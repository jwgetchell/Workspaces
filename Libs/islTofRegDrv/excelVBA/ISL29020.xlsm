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trlProps/ctrlProp1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2880" activeTab="1"/>
  </bookViews>
  <sheets>
    <sheet name="ISL29020" sheetId="1" r:id="rId1"/>
    <sheet name="ISL29147" sheetId="4" r:id="rId2"/>
    <sheet name="Log Linear" sheetId="5" r:id="rId3"/>
  </sheets>
  <functionGroups builtInGroupCount="18"/>
  <definedNames>
    <definedName name="DUTswpNsamp">'ISL29020'!$BO$5</definedName>
    <definedName name="dVOS">'ISL29020'!$Q$31</definedName>
    <definedName name="filename" localSheetId="1">'ISL29147'!$J$21</definedName>
    <definedName name="filename">'ISL29020'!$I$15</definedName>
    <definedName name="fwIdx">'ISL29020'!$Q$27</definedName>
    <definedName name="i2cAddr" localSheetId="1">'ISL29147'!$P$20</definedName>
    <definedName name="i2cAddr">'ISL29020'!$O$14</definedName>
    <definedName name="NDcal">'ISL29020'!$AV$11:$AX$42</definedName>
    <definedName name="NDcalNsamp">'ISL29020'!$AW$5</definedName>
    <definedName name="NDtable">'ISL29020'!$BD$11:$BE$42</definedName>
    <definedName name="regMap" localSheetId="1">'ISL29147'!$E$4:$F$19</definedName>
    <definedName name="regMap">'ISL29020'!$D$12:$E$14</definedName>
    <definedName name="samples" localSheetId="1">'ISL29147'!$D$23:$D$54</definedName>
    <definedName name="samples">'ISL29020'!$D$17:$D$48</definedName>
    <definedName name="solver_adj" localSheetId="0" hidden="1">'ISL29020'!$Y$5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'ISL29020'!$Y$6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0.02</definedName>
    <definedName name="solver_ver" localSheetId="0" hidden="1">3</definedName>
    <definedName name="sweepDUT">'ISL29020'!$BN$11:$BT$1010</definedName>
    <definedName name="valueIn" localSheetId="1">'ISL29147'!$D$21</definedName>
    <definedName name="valueIn">'ISL29020'!$D$16</definedName>
    <definedName name="valuesOut" localSheetId="1">'ISL29147'!$F$21:$H$21</definedName>
    <definedName name="valuesOut">'ISL29020'!$E$16:$G$16</definedName>
    <definedName name="VOS">'ISL29020'!$Q$29</definedName>
    <definedName name="VOScal">'ISL29020'!$Y$11:$AA$71</definedName>
    <definedName name="VOScalNsamp">'ISL29020'!$Y$5</definedName>
    <definedName name="vosCoeff">'ISL29020'!$AD$6:$AG$6</definedName>
    <definedName name="WID">'ISL29020'!$Q$30</definedName>
    <definedName name="WIDcal">'ISL29020'!$AQ$11:$AS$61</definedName>
    <definedName name="WIDcalNsamp">'ISL29020'!$AQ$5</definedName>
  </definedNames>
  <calcPr calcId="152511"/>
</workbook>
</file>

<file path=xl/calcChain.xml><?xml version="1.0" encoding="utf-8"?>
<calcChain xmlns="http://schemas.openxmlformats.org/spreadsheetml/2006/main">
  <c r="AE71" i="1" l="1"/>
  <c r="AD71" i="1"/>
  <c r="AF71" i="1" s="1"/>
  <c r="AD70" i="1"/>
  <c r="AE70" i="1" s="1"/>
  <c r="AE69" i="1"/>
  <c r="AD69" i="1"/>
  <c r="AF69" i="1" s="1"/>
  <c r="AD68" i="1"/>
  <c r="AE68" i="1" s="1"/>
  <c r="AE67" i="1"/>
  <c r="AD67" i="1"/>
  <c r="AF67" i="1" s="1"/>
  <c r="Y4" i="1"/>
  <c r="Y3" i="1"/>
  <c r="AC71" i="1" s="1"/>
  <c r="Y67" i="1"/>
  <c r="Y68" i="1" s="1"/>
  <c r="Y69" i="1" s="1"/>
  <c r="Y70" i="1" s="1"/>
  <c r="Y71" i="1" s="1"/>
  <c r="X67" i="1"/>
  <c r="X68" i="1" s="1"/>
  <c r="X69" i="1" s="1"/>
  <c r="X70" i="1" s="1"/>
  <c r="X71" i="1" s="1"/>
  <c r="BW1010" i="1"/>
  <c r="BW1009" i="1"/>
  <c r="BW1008" i="1"/>
  <c r="BW1007" i="1"/>
  <c r="BW1006" i="1"/>
  <c r="BW1005" i="1"/>
  <c r="BW1004" i="1"/>
  <c r="BW1003" i="1"/>
  <c r="BW1002" i="1"/>
  <c r="BW1001" i="1"/>
  <c r="BW1000" i="1"/>
  <c r="BW999" i="1"/>
  <c r="BW998" i="1"/>
  <c r="BW997" i="1"/>
  <c r="BW996" i="1"/>
  <c r="BW995" i="1"/>
  <c r="BW994" i="1"/>
  <c r="BW993" i="1"/>
  <c r="BW992" i="1"/>
  <c r="BW991" i="1"/>
  <c r="BW990" i="1"/>
  <c r="BW989" i="1"/>
  <c r="BW988" i="1"/>
  <c r="BW987" i="1"/>
  <c r="BW986" i="1"/>
  <c r="BW985" i="1"/>
  <c r="BW984" i="1"/>
  <c r="BW983" i="1"/>
  <c r="BW982" i="1"/>
  <c r="BW981" i="1"/>
  <c r="BW980" i="1"/>
  <c r="BW979" i="1"/>
  <c r="BW978" i="1"/>
  <c r="BW977" i="1"/>
  <c r="BW976" i="1"/>
  <c r="BW975" i="1"/>
  <c r="BW974" i="1"/>
  <c r="BW973" i="1"/>
  <c r="BW972" i="1"/>
  <c r="BW971" i="1"/>
  <c r="BW970" i="1"/>
  <c r="BW969" i="1"/>
  <c r="BW968" i="1"/>
  <c r="BW967" i="1"/>
  <c r="BW966" i="1"/>
  <c r="BW965" i="1"/>
  <c r="BW964" i="1"/>
  <c r="BW963" i="1"/>
  <c r="BW962" i="1"/>
  <c r="BW961" i="1"/>
  <c r="BW960" i="1"/>
  <c r="BW959" i="1"/>
  <c r="BW958" i="1"/>
  <c r="BW957" i="1"/>
  <c r="BW956" i="1"/>
  <c r="BW955" i="1"/>
  <c r="BW954" i="1"/>
  <c r="BW953" i="1"/>
  <c r="BW952" i="1"/>
  <c r="BW951" i="1"/>
  <c r="BW950" i="1"/>
  <c r="BW949" i="1"/>
  <c r="BW948" i="1"/>
  <c r="BW947" i="1"/>
  <c r="BW946" i="1"/>
  <c r="BW945" i="1"/>
  <c r="BW944" i="1"/>
  <c r="BW943" i="1"/>
  <c r="BW942" i="1"/>
  <c r="BW941" i="1"/>
  <c r="BW940" i="1"/>
  <c r="BW939" i="1"/>
  <c r="BW938" i="1"/>
  <c r="BW937" i="1"/>
  <c r="BW936" i="1"/>
  <c r="BW935" i="1"/>
  <c r="BW934" i="1"/>
  <c r="BW933" i="1"/>
  <c r="BW932" i="1"/>
  <c r="BW931" i="1"/>
  <c r="BW930" i="1"/>
  <c r="BW929" i="1"/>
  <c r="BW928" i="1"/>
  <c r="BW927" i="1"/>
  <c r="BW926" i="1"/>
  <c r="BW925" i="1"/>
  <c r="BW924" i="1"/>
  <c r="BW923" i="1"/>
  <c r="BW922" i="1"/>
  <c r="BW921" i="1"/>
  <c r="BW920" i="1"/>
  <c r="BW919" i="1"/>
  <c r="BW918" i="1"/>
  <c r="BW917" i="1"/>
  <c r="BW916" i="1"/>
  <c r="BW915" i="1"/>
  <c r="BW914" i="1"/>
  <c r="BW913" i="1"/>
  <c r="BW912" i="1"/>
  <c r="BW911" i="1"/>
  <c r="BW910" i="1"/>
  <c r="BW909" i="1"/>
  <c r="BW908" i="1"/>
  <c r="BW907" i="1"/>
  <c r="BW906" i="1"/>
  <c r="BW905" i="1"/>
  <c r="BW904" i="1"/>
  <c r="BW903" i="1"/>
  <c r="BW902" i="1"/>
  <c r="BW901" i="1"/>
  <c r="BW900" i="1"/>
  <c r="BW899" i="1"/>
  <c r="BW898" i="1"/>
  <c r="BW897" i="1"/>
  <c r="BW896" i="1"/>
  <c r="BW895" i="1"/>
  <c r="BW894" i="1"/>
  <c r="BW893" i="1"/>
  <c r="BW892" i="1"/>
  <c r="BW891" i="1"/>
  <c r="BW890" i="1"/>
  <c r="BW889" i="1"/>
  <c r="BW888" i="1"/>
  <c r="BW887" i="1"/>
  <c r="BW886" i="1"/>
  <c r="BW885" i="1"/>
  <c r="BW884" i="1"/>
  <c r="BW883" i="1"/>
  <c r="BW882" i="1"/>
  <c r="BW881" i="1"/>
  <c r="BW880" i="1"/>
  <c r="BW879" i="1"/>
  <c r="BW878" i="1"/>
  <c r="BW877" i="1"/>
  <c r="BW876" i="1"/>
  <c r="BW875" i="1"/>
  <c r="BW874" i="1"/>
  <c r="BW873" i="1"/>
  <c r="BW872" i="1"/>
  <c r="BW871" i="1"/>
  <c r="BW870" i="1"/>
  <c r="BW869" i="1"/>
  <c r="BW868" i="1"/>
  <c r="BW867" i="1"/>
  <c r="BW866" i="1"/>
  <c r="BW865" i="1"/>
  <c r="BW864" i="1"/>
  <c r="BW863" i="1"/>
  <c r="BW862" i="1"/>
  <c r="BW861" i="1"/>
  <c r="BW860" i="1"/>
  <c r="BW859" i="1"/>
  <c r="BW858" i="1"/>
  <c r="BW857" i="1"/>
  <c r="BW856" i="1"/>
  <c r="BW855" i="1"/>
  <c r="BW854" i="1"/>
  <c r="BW853" i="1"/>
  <c r="BW852" i="1"/>
  <c r="BW851" i="1"/>
  <c r="BW850" i="1"/>
  <c r="BW849" i="1"/>
  <c r="BW848" i="1"/>
  <c r="BW847" i="1"/>
  <c r="BW846" i="1"/>
  <c r="BW845" i="1"/>
  <c r="BW844" i="1"/>
  <c r="BW843" i="1"/>
  <c r="BW842" i="1"/>
  <c r="BW841" i="1"/>
  <c r="BW840" i="1"/>
  <c r="BW839" i="1"/>
  <c r="BW838" i="1"/>
  <c r="BW837" i="1"/>
  <c r="BW836" i="1"/>
  <c r="BW835" i="1"/>
  <c r="BW834" i="1"/>
  <c r="BW833" i="1"/>
  <c r="BW832" i="1"/>
  <c r="BW831" i="1"/>
  <c r="BW830" i="1"/>
  <c r="BW829" i="1"/>
  <c r="BW828" i="1"/>
  <c r="BW827" i="1"/>
  <c r="BW826" i="1"/>
  <c r="BW825" i="1"/>
  <c r="BW824" i="1"/>
  <c r="BW823" i="1"/>
  <c r="BW822" i="1"/>
  <c r="BW821" i="1"/>
  <c r="BW820" i="1"/>
  <c r="BW819" i="1"/>
  <c r="BW818" i="1"/>
  <c r="BW817" i="1"/>
  <c r="BW816" i="1"/>
  <c r="BW815" i="1"/>
  <c r="BW814" i="1"/>
  <c r="BW813" i="1"/>
  <c r="BW812" i="1"/>
  <c r="BW811" i="1"/>
  <c r="BW810" i="1"/>
  <c r="BW809" i="1"/>
  <c r="BW808" i="1"/>
  <c r="BW807" i="1"/>
  <c r="BW806" i="1"/>
  <c r="BW805" i="1"/>
  <c r="BW804" i="1"/>
  <c r="BW803" i="1"/>
  <c r="BW802" i="1"/>
  <c r="BW801" i="1"/>
  <c r="BW800" i="1"/>
  <c r="BW799" i="1"/>
  <c r="BW798" i="1"/>
  <c r="BW797" i="1"/>
  <c r="BW796" i="1"/>
  <c r="BW795" i="1"/>
  <c r="BW794" i="1"/>
  <c r="BW793" i="1"/>
  <c r="BW792" i="1"/>
  <c r="BW791" i="1"/>
  <c r="BW790" i="1"/>
  <c r="BW789" i="1"/>
  <c r="BW788" i="1"/>
  <c r="BW787" i="1"/>
  <c r="BW786" i="1"/>
  <c r="BW785" i="1"/>
  <c r="BW784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2" i="1"/>
  <c r="BW761" i="1"/>
  <c r="BW760" i="1"/>
  <c r="BW759" i="1"/>
  <c r="BW758" i="1"/>
  <c r="BW757" i="1"/>
  <c r="BW756" i="1"/>
  <c r="BW755" i="1"/>
  <c r="BW754" i="1"/>
  <c r="BW753" i="1"/>
  <c r="BW752" i="1"/>
  <c r="BW751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38" i="1"/>
  <c r="BW737" i="1"/>
  <c r="BW736" i="1"/>
  <c r="BW735" i="1"/>
  <c r="BW734" i="1"/>
  <c r="BW733" i="1"/>
  <c r="BW732" i="1"/>
  <c r="BW731" i="1"/>
  <c r="BW730" i="1"/>
  <c r="BW729" i="1"/>
  <c r="BW728" i="1"/>
  <c r="BW727" i="1"/>
  <c r="BW726" i="1"/>
  <c r="BW725" i="1"/>
  <c r="BW724" i="1"/>
  <c r="BW723" i="1"/>
  <c r="BW722" i="1"/>
  <c r="BW721" i="1"/>
  <c r="BW720" i="1"/>
  <c r="BW719" i="1"/>
  <c r="BW718" i="1"/>
  <c r="BW717" i="1"/>
  <c r="BW716" i="1"/>
  <c r="BW715" i="1"/>
  <c r="BW714" i="1"/>
  <c r="BW713" i="1"/>
  <c r="BW712" i="1"/>
  <c r="BW711" i="1"/>
  <c r="BW710" i="1"/>
  <c r="BW709" i="1"/>
  <c r="BW708" i="1"/>
  <c r="BW707" i="1"/>
  <c r="BW706" i="1"/>
  <c r="BW705" i="1"/>
  <c r="BW704" i="1"/>
  <c r="BW703" i="1"/>
  <c r="BW702" i="1"/>
  <c r="BW701" i="1"/>
  <c r="BW700" i="1"/>
  <c r="BW699" i="1"/>
  <c r="BW698" i="1"/>
  <c r="BW697" i="1"/>
  <c r="BW696" i="1"/>
  <c r="BW695" i="1"/>
  <c r="BW694" i="1"/>
  <c r="BW693" i="1"/>
  <c r="BW692" i="1"/>
  <c r="BW691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670" i="1"/>
  <c r="BW669" i="1"/>
  <c r="BW668" i="1"/>
  <c r="BW667" i="1"/>
  <c r="BW666" i="1"/>
  <c r="BW665" i="1"/>
  <c r="BW664" i="1"/>
  <c r="BW663" i="1"/>
  <c r="BW662" i="1"/>
  <c r="BW661" i="1"/>
  <c r="BW660" i="1"/>
  <c r="BW659" i="1"/>
  <c r="BW658" i="1"/>
  <c r="BW657" i="1"/>
  <c r="BW656" i="1"/>
  <c r="BW655" i="1"/>
  <c r="BW654" i="1"/>
  <c r="BW653" i="1"/>
  <c r="BW652" i="1"/>
  <c r="BW651" i="1"/>
  <c r="BW650" i="1"/>
  <c r="BW649" i="1"/>
  <c r="BW648" i="1"/>
  <c r="BW647" i="1"/>
  <c r="BW646" i="1"/>
  <c r="BW645" i="1"/>
  <c r="BW644" i="1"/>
  <c r="BW643" i="1"/>
  <c r="BW642" i="1"/>
  <c r="BW641" i="1"/>
  <c r="BW640" i="1"/>
  <c r="BW639" i="1"/>
  <c r="BW638" i="1"/>
  <c r="BW637" i="1"/>
  <c r="BW636" i="1"/>
  <c r="BW635" i="1"/>
  <c r="BW634" i="1"/>
  <c r="BW633" i="1"/>
  <c r="BW632" i="1"/>
  <c r="BW631" i="1"/>
  <c r="BW630" i="1"/>
  <c r="BW629" i="1"/>
  <c r="BW628" i="1"/>
  <c r="BW627" i="1"/>
  <c r="BW626" i="1"/>
  <c r="BW625" i="1"/>
  <c r="BW624" i="1"/>
  <c r="BW623" i="1"/>
  <c r="BW622" i="1"/>
  <c r="BW621" i="1"/>
  <c r="BW620" i="1"/>
  <c r="BW619" i="1"/>
  <c r="BW618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05" i="1"/>
  <c r="BW604" i="1"/>
  <c r="BW603" i="1"/>
  <c r="BW602" i="1"/>
  <c r="BW601" i="1"/>
  <c r="BW600" i="1"/>
  <c r="BW599" i="1"/>
  <c r="BW598" i="1"/>
  <c r="BW597" i="1"/>
  <c r="BW596" i="1"/>
  <c r="BW595" i="1"/>
  <c r="BW594" i="1"/>
  <c r="BW593" i="1"/>
  <c r="BW592" i="1"/>
  <c r="BW591" i="1"/>
  <c r="BW590" i="1"/>
  <c r="BW589" i="1"/>
  <c r="BW588" i="1"/>
  <c r="BW587" i="1"/>
  <c r="BW586" i="1"/>
  <c r="BW585" i="1"/>
  <c r="BW584" i="1"/>
  <c r="BW583" i="1"/>
  <c r="BW582" i="1"/>
  <c r="BW581" i="1"/>
  <c r="BW580" i="1"/>
  <c r="BW579" i="1"/>
  <c r="BW578" i="1"/>
  <c r="BW577" i="1"/>
  <c r="BW576" i="1"/>
  <c r="BW575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42" i="1"/>
  <c r="BW541" i="1"/>
  <c r="BW540" i="1"/>
  <c r="BW539" i="1"/>
  <c r="BW538" i="1"/>
  <c r="BW537" i="1"/>
  <c r="BW536" i="1"/>
  <c r="BW535" i="1"/>
  <c r="BW534" i="1"/>
  <c r="BW533" i="1"/>
  <c r="BW532" i="1"/>
  <c r="BW531" i="1"/>
  <c r="BW530" i="1"/>
  <c r="BW529" i="1"/>
  <c r="BW528" i="1"/>
  <c r="BW527" i="1"/>
  <c r="BW526" i="1"/>
  <c r="BW525" i="1"/>
  <c r="BW524" i="1"/>
  <c r="BW523" i="1"/>
  <c r="BW522" i="1"/>
  <c r="BW521" i="1"/>
  <c r="BW520" i="1"/>
  <c r="BW519" i="1"/>
  <c r="BW518" i="1"/>
  <c r="BW517" i="1"/>
  <c r="BW516" i="1"/>
  <c r="BW515" i="1"/>
  <c r="BW514" i="1"/>
  <c r="BW513" i="1"/>
  <c r="BW512" i="1"/>
  <c r="BW511" i="1"/>
  <c r="BW510" i="1"/>
  <c r="BW509" i="1"/>
  <c r="BW508" i="1"/>
  <c r="BW507" i="1"/>
  <c r="BW506" i="1"/>
  <c r="BW505" i="1"/>
  <c r="BW504" i="1"/>
  <c r="BW503" i="1"/>
  <c r="BW502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479" i="1"/>
  <c r="BW478" i="1"/>
  <c r="BW477" i="1"/>
  <c r="BW476" i="1"/>
  <c r="BW475" i="1"/>
  <c r="BW474" i="1"/>
  <c r="BW473" i="1"/>
  <c r="BW472" i="1"/>
  <c r="BW471" i="1"/>
  <c r="BW470" i="1"/>
  <c r="BW469" i="1"/>
  <c r="BW468" i="1"/>
  <c r="BW467" i="1"/>
  <c r="BW466" i="1"/>
  <c r="BW465" i="1"/>
  <c r="BW464" i="1"/>
  <c r="BW463" i="1"/>
  <c r="BW462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36" i="1"/>
  <c r="BW435" i="1"/>
  <c r="BW434" i="1"/>
  <c r="BW433" i="1"/>
  <c r="BW432" i="1"/>
  <c r="BW431" i="1"/>
  <c r="BW430" i="1"/>
  <c r="BW429" i="1"/>
  <c r="BW428" i="1"/>
  <c r="BW427" i="1"/>
  <c r="BW426" i="1"/>
  <c r="BW425" i="1"/>
  <c r="BW424" i="1"/>
  <c r="BW423" i="1"/>
  <c r="BW422" i="1"/>
  <c r="BW421" i="1"/>
  <c r="BW420" i="1"/>
  <c r="BW419" i="1"/>
  <c r="BW418" i="1"/>
  <c r="BW417" i="1"/>
  <c r="BW416" i="1"/>
  <c r="BW415" i="1"/>
  <c r="BW414" i="1"/>
  <c r="BW413" i="1"/>
  <c r="BW412" i="1"/>
  <c r="BW411" i="1"/>
  <c r="BW410" i="1"/>
  <c r="BW409" i="1"/>
  <c r="BW408" i="1"/>
  <c r="BW407" i="1"/>
  <c r="BW406" i="1"/>
  <c r="BW405" i="1"/>
  <c r="BW404" i="1"/>
  <c r="BW403" i="1"/>
  <c r="BW402" i="1"/>
  <c r="BW401" i="1"/>
  <c r="BW400" i="1"/>
  <c r="BW399" i="1"/>
  <c r="BW398" i="1"/>
  <c r="BW397" i="1"/>
  <c r="BW396" i="1"/>
  <c r="BW395" i="1"/>
  <c r="BW394" i="1"/>
  <c r="BW393" i="1"/>
  <c r="BW392" i="1"/>
  <c r="BW391" i="1"/>
  <c r="BW390" i="1"/>
  <c r="BW389" i="1"/>
  <c r="BW388" i="1"/>
  <c r="BW387" i="1"/>
  <c r="BW386" i="1"/>
  <c r="BW385" i="1"/>
  <c r="BW384" i="1"/>
  <c r="BW383" i="1"/>
  <c r="BW382" i="1"/>
  <c r="BW381" i="1"/>
  <c r="BW380" i="1"/>
  <c r="BW379" i="1"/>
  <c r="BW378" i="1"/>
  <c r="BW377" i="1"/>
  <c r="BW376" i="1"/>
  <c r="BW375" i="1"/>
  <c r="BW374" i="1"/>
  <c r="BW373" i="1"/>
  <c r="BW372" i="1"/>
  <c r="BW371" i="1"/>
  <c r="BW370" i="1"/>
  <c r="BW369" i="1"/>
  <c r="BW368" i="1"/>
  <c r="BW367" i="1"/>
  <c r="BW366" i="1"/>
  <c r="BW365" i="1"/>
  <c r="BW364" i="1"/>
  <c r="BW363" i="1"/>
  <c r="BW362" i="1"/>
  <c r="BW361" i="1"/>
  <c r="BW360" i="1"/>
  <c r="BW359" i="1"/>
  <c r="BW358" i="1"/>
  <c r="BW357" i="1"/>
  <c r="BW356" i="1"/>
  <c r="BW355" i="1"/>
  <c r="BW354" i="1"/>
  <c r="BW353" i="1"/>
  <c r="BW352" i="1"/>
  <c r="BW351" i="1"/>
  <c r="BW350" i="1"/>
  <c r="BW349" i="1"/>
  <c r="BW348" i="1"/>
  <c r="BW347" i="1"/>
  <c r="BW346" i="1"/>
  <c r="BW345" i="1"/>
  <c r="BW344" i="1"/>
  <c r="BW343" i="1"/>
  <c r="BW342" i="1"/>
  <c r="BW341" i="1"/>
  <c r="BW340" i="1"/>
  <c r="BW339" i="1"/>
  <c r="BW338" i="1"/>
  <c r="BW337" i="1"/>
  <c r="BW336" i="1"/>
  <c r="BW335" i="1"/>
  <c r="BW334" i="1"/>
  <c r="BW333" i="1"/>
  <c r="BW332" i="1"/>
  <c r="BW331" i="1"/>
  <c r="BW330" i="1"/>
  <c r="BW329" i="1"/>
  <c r="BW328" i="1"/>
  <c r="BW327" i="1"/>
  <c r="BW326" i="1"/>
  <c r="BW325" i="1"/>
  <c r="BW324" i="1"/>
  <c r="BW323" i="1"/>
  <c r="BW322" i="1"/>
  <c r="BW321" i="1"/>
  <c r="BW320" i="1"/>
  <c r="BW319" i="1"/>
  <c r="BW318" i="1"/>
  <c r="BW317" i="1"/>
  <c r="BW316" i="1"/>
  <c r="BW315" i="1"/>
  <c r="BW314" i="1"/>
  <c r="BW313" i="1"/>
  <c r="BW312" i="1"/>
  <c r="BW311" i="1"/>
  <c r="BW310" i="1"/>
  <c r="BW309" i="1"/>
  <c r="BW308" i="1"/>
  <c r="BW307" i="1"/>
  <c r="BW306" i="1"/>
  <c r="BW305" i="1"/>
  <c r="BW304" i="1"/>
  <c r="BW303" i="1"/>
  <c r="BW302" i="1"/>
  <c r="BW301" i="1"/>
  <c r="BW300" i="1"/>
  <c r="BW299" i="1"/>
  <c r="BW298" i="1"/>
  <c r="BW297" i="1"/>
  <c r="BW296" i="1"/>
  <c r="BW295" i="1"/>
  <c r="BW294" i="1"/>
  <c r="BW293" i="1"/>
  <c r="BW292" i="1"/>
  <c r="BW291" i="1"/>
  <c r="BW290" i="1"/>
  <c r="BW289" i="1"/>
  <c r="BW288" i="1"/>
  <c r="BW287" i="1"/>
  <c r="BW286" i="1"/>
  <c r="BW285" i="1"/>
  <c r="BW284" i="1"/>
  <c r="BW283" i="1"/>
  <c r="BW282" i="1"/>
  <c r="BW281" i="1"/>
  <c r="BW280" i="1"/>
  <c r="BW279" i="1"/>
  <c r="BW278" i="1"/>
  <c r="BW277" i="1"/>
  <c r="BW276" i="1"/>
  <c r="BW275" i="1"/>
  <c r="BW274" i="1"/>
  <c r="BW273" i="1"/>
  <c r="BW272" i="1"/>
  <c r="BW271" i="1"/>
  <c r="BW270" i="1"/>
  <c r="BW269" i="1"/>
  <c r="BW268" i="1"/>
  <c r="BW267" i="1"/>
  <c r="BW266" i="1"/>
  <c r="BW265" i="1"/>
  <c r="BW264" i="1"/>
  <c r="BW263" i="1"/>
  <c r="BW262" i="1"/>
  <c r="BW261" i="1"/>
  <c r="BW260" i="1"/>
  <c r="BW259" i="1"/>
  <c r="BW258" i="1"/>
  <c r="BW257" i="1"/>
  <c r="BW256" i="1"/>
  <c r="BW255" i="1"/>
  <c r="BW254" i="1"/>
  <c r="BW253" i="1"/>
  <c r="BW252" i="1"/>
  <c r="BW251" i="1"/>
  <c r="BW250" i="1"/>
  <c r="BW249" i="1"/>
  <c r="BW248" i="1"/>
  <c r="BW247" i="1"/>
  <c r="BW246" i="1"/>
  <c r="BW245" i="1"/>
  <c r="BW244" i="1"/>
  <c r="BW243" i="1"/>
  <c r="BW242" i="1"/>
  <c r="BW241" i="1"/>
  <c r="BW240" i="1"/>
  <c r="BW239" i="1"/>
  <c r="BW238" i="1"/>
  <c r="BW237" i="1"/>
  <c r="BW236" i="1"/>
  <c r="BW235" i="1"/>
  <c r="BW234" i="1"/>
  <c r="BW233" i="1"/>
  <c r="BW232" i="1"/>
  <c r="BW231" i="1"/>
  <c r="BW230" i="1"/>
  <c r="BW229" i="1"/>
  <c r="BW228" i="1"/>
  <c r="BW227" i="1"/>
  <c r="BW226" i="1"/>
  <c r="BW225" i="1"/>
  <c r="BW224" i="1"/>
  <c r="BW223" i="1"/>
  <c r="BW222" i="1"/>
  <c r="BW221" i="1"/>
  <c r="BW220" i="1"/>
  <c r="BW219" i="1"/>
  <c r="BW218" i="1"/>
  <c r="BW217" i="1"/>
  <c r="BW216" i="1"/>
  <c r="BW215" i="1"/>
  <c r="BW214" i="1"/>
  <c r="BW213" i="1"/>
  <c r="BW212" i="1"/>
  <c r="BW211" i="1"/>
  <c r="BW210" i="1"/>
  <c r="BW209" i="1"/>
  <c r="BW208" i="1"/>
  <c r="BW207" i="1"/>
  <c r="BW206" i="1"/>
  <c r="BW205" i="1"/>
  <c r="BW204" i="1"/>
  <c r="BW203" i="1"/>
  <c r="BW202" i="1"/>
  <c r="BW201" i="1"/>
  <c r="BW200" i="1"/>
  <c r="BW199" i="1"/>
  <c r="BW198" i="1"/>
  <c r="BW197" i="1"/>
  <c r="BW196" i="1"/>
  <c r="BW195" i="1"/>
  <c r="BW194" i="1"/>
  <c r="BW193" i="1"/>
  <c r="BW192" i="1"/>
  <c r="BW191" i="1"/>
  <c r="BW190" i="1"/>
  <c r="BW189" i="1"/>
  <c r="BW188" i="1"/>
  <c r="BW187" i="1"/>
  <c r="BW186" i="1"/>
  <c r="BW185" i="1"/>
  <c r="BW184" i="1"/>
  <c r="BW183" i="1"/>
  <c r="BW182" i="1"/>
  <c r="BW181" i="1"/>
  <c r="BW180" i="1"/>
  <c r="BW179" i="1"/>
  <c r="BW178" i="1"/>
  <c r="BW177" i="1"/>
  <c r="BW176" i="1"/>
  <c r="BW175" i="1"/>
  <c r="BW174" i="1"/>
  <c r="BW173" i="1"/>
  <c r="BW172" i="1"/>
  <c r="BW171" i="1"/>
  <c r="BW170" i="1"/>
  <c r="BW169" i="1"/>
  <c r="BW168" i="1"/>
  <c r="BW167" i="1"/>
  <c r="BW166" i="1"/>
  <c r="BW165" i="1"/>
  <c r="BW164" i="1"/>
  <c r="BW163" i="1"/>
  <c r="BW162" i="1"/>
  <c r="BW161" i="1"/>
  <c r="BW160" i="1"/>
  <c r="BW159" i="1"/>
  <c r="BW158" i="1"/>
  <c r="BW157" i="1"/>
  <c r="BW156" i="1"/>
  <c r="BW155" i="1"/>
  <c r="BW154" i="1"/>
  <c r="BW153" i="1"/>
  <c r="BW152" i="1"/>
  <c r="BW151" i="1"/>
  <c r="BW150" i="1"/>
  <c r="BW149" i="1"/>
  <c r="BW148" i="1"/>
  <c r="BW147" i="1"/>
  <c r="BW146" i="1"/>
  <c r="BW145" i="1"/>
  <c r="BW144" i="1"/>
  <c r="BW143" i="1"/>
  <c r="BW142" i="1"/>
  <c r="BW141" i="1"/>
  <c r="BW140" i="1"/>
  <c r="BW139" i="1"/>
  <c r="BW138" i="1"/>
  <c r="BW137" i="1"/>
  <c r="BW136" i="1"/>
  <c r="BW135" i="1"/>
  <c r="BW134" i="1"/>
  <c r="BW133" i="1"/>
  <c r="BW132" i="1"/>
  <c r="BW131" i="1"/>
  <c r="BW130" i="1"/>
  <c r="BW129" i="1"/>
  <c r="BW128" i="1"/>
  <c r="BW127" i="1"/>
  <c r="BW126" i="1"/>
  <c r="BW125" i="1"/>
  <c r="BW124" i="1"/>
  <c r="BW123" i="1"/>
  <c r="BW122" i="1"/>
  <c r="BW121" i="1"/>
  <c r="BW120" i="1"/>
  <c r="BW119" i="1"/>
  <c r="BW118" i="1"/>
  <c r="BW117" i="1"/>
  <c r="BW116" i="1"/>
  <c r="BW115" i="1"/>
  <c r="BW114" i="1"/>
  <c r="BW113" i="1"/>
  <c r="BW112" i="1"/>
  <c r="BW111" i="1"/>
  <c r="BW110" i="1"/>
  <c r="BW109" i="1"/>
  <c r="BW108" i="1"/>
  <c r="BW107" i="1"/>
  <c r="BW106" i="1"/>
  <c r="BW105" i="1"/>
  <c r="BW104" i="1"/>
  <c r="BW103" i="1"/>
  <c r="BW102" i="1"/>
  <c r="BW101" i="1"/>
  <c r="BW100" i="1"/>
  <c r="BW99" i="1"/>
  <c r="BW98" i="1"/>
  <c r="BW97" i="1"/>
  <c r="BW96" i="1"/>
  <c r="BW95" i="1"/>
  <c r="BW94" i="1"/>
  <c r="BW93" i="1"/>
  <c r="BW92" i="1"/>
  <c r="BW91" i="1"/>
  <c r="BW90" i="1"/>
  <c r="BW89" i="1"/>
  <c r="BW88" i="1"/>
  <c r="BW87" i="1"/>
  <c r="BW86" i="1"/>
  <c r="BW85" i="1"/>
  <c r="BW84" i="1"/>
  <c r="BW83" i="1"/>
  <c r="BW82" i="1"/>
  <c r="BW81" i="1"/>
  <c r="BW80" i="1"/>
  <c r="BW79" i="1"/>
  <c r="BW78" i="1"/>
  <c r="BW77" i="1"/>
  <c r="BW76" i="1"/>
  <c r="BW75" i="1"/>
  <c r="BW74" i="1"/>
  <c r="BW73" i="1"/>
  <c r="BW72" i="1"/>
  <c r="BW71" i="1"/>
  <c r="BW70" i="1"/>
  <c r="BW69" i="1"/>
  <c r="BW68" i="1"/>
  <c r="BW67" i="1"/>
  <c r="BW66" i="1"/>
  <c r="BW65" i="1"/>
  <c r="BW64" i="1"/>
  <c r="BW63" i="1"/>
  <c r="BW62" i="1"/>
  <c r="BW61" i="1"/>
  <c r="BW60" i="1"/>
  <c r="BW59" i="1"/>
  <c r="BW58" i="1"/>
  <c r="BW57" i="1"/>
  <c r="BW56" i="1"/>
  <c r="BW55" i="1"/>
  <c r="BW54" i="1"/>
  <c r="BW53" i="1"/>
  <c r="BW52" i="1"/>
  <c r="BW51" i="1"/>
  <c r="BW50" i="1"/>
  <c r="BW49" i="1"/>
  <c r="BW48" i="1"/>
  <c r="BW47" i="1"/>
  <c r="BW46" i="1"/>
  <c r="BW45" i="1"/>
  <c r="BW44" i="1"/>
  <c r="BW43" i="1"/>
  <c r="BW42" i="1"/>
  <c r="BW41" i="1"/>
  <c r="BW40" i="1"/>
  <c r="BW39" i="1"/>
  <c r="BW38" i="1"/>
  <c r="BW37" i="1"/>
  <c r="BW36" i="1"/>
  <c r="BW35" i="1"/>
  <c r="BW34" i="1"/>
  <c r="BW33" i="1"/>
  <c r="BW32" i="1"/>
  <c r="BW31" i="1"/>
  <c r="BW30" i="1"/>
  <c r="BW29" i="1"/>
  <c r="BW28" i="1"/>
  <c r="BW27" i="1"/>
  <c r="BW26" i="1"/>
  <c r="BW25" i="1"/>
  <c r="BW24" i="1"/>
  <c r="BW23" i="1"/>
  <c r="BW22" i="1"/>
  <c r="BW21" i="1"/>
  <c r="BW20" i="1"/>
  <c r="BW19" i="1"/>
  <c r="BW18" i="1"/>
  <c r="BW17" i="1"/>
  <c r="AF65" i="1"/>
  <c r="AE65" i="1"/>
  <c r="AF64" i="1"/>
  <c r="AE64" i="1"/>
  <c r="AF63" i="1"/>
  <c r="AE63" i="1"/>
  <c r="AF62" i="1"/>
  <c r="AE62" i="1"/>
  <c r="AF61" i="1"/>
  <c r="AE61" i="1"/>
  <c r="AF60" i="1"/>
  <c r="AE60" i="1"/>
  <c r="AF59" i="1"/>
  <c r="AE59" i="1"/>
  <c r="AF58" i="1"/>
  <c r="AE58" i="1"/>
  <c r="AF57" i="1"/>
  <c r="AE57" i="1"/>
  <c r="AF56" i="1"/>
  <c r="AE56" i="1"/>
  <c r="AF55" i="1"/>
  <c r="AE55" i="1"/>
  <c r="AF54" i="1"/>
  <c r="AE54" i="1"/>
  <c r="AF53" i="1"/>
  <c r="AE53" i="1"/>
  <c r="AF52" i="1"/>
  <c r="AE52" i="1"/>
  <c r="AF51" i="1"/>
  <c r="AE51" i="1"/>
  <c r="AF50" i="1"/>
  <c r="AE50" i="1"/>
  <c r="AF49" i="1"/>
  <c r="AE49" i="1"/>
  <c r="AF48" i="1"/>
  <c r="AE48" i="1"/>
  <c r="AF47" i="1"/>
  <c r="AE47" i="1"/>
  <c r="AF46" i="1"/>
  <c r="AE46" i="1"/>
  <c r="AF45" i="1"/>
  <c r="AE45" i="1"/>
  <c r="AF44" i="1"/>
  <c r="AE44" i="1"/>
  <c r="AF43" i="1"/>
  <c r="AE43" i="1"/>
  <c r="AF42" i="1"/>
  <c r="AE42" i="1"/>
  <c r="AF41" i="1"/>
  <c r="AE41" i="1"/>
  <c r="AF40" i="1"/>
  <c r="AE40" i="1"/>
  <c r="AF39" i="1"/>
  <c r="AE39" i="1"/>
  <c r="AF38" i="1"/>
  <c r="AE38" i="1"/>
  <c r="AF37" i="1"/>
  <c r="AE37" i="1"/>
  <c r="AF36" i="1"/>
  <c r="AE36" i="1"/>
  <c r="AF35" i="1"/>
  <c r="AE35" i="1"/>
  <c r="AF34" i="1"/>
  <c r="AE34" i="1"/>
  <c r="AF33" i="1"/>
  <c r="AE33" i="1"/>
  <c r="AF32" i="1"/>
  <c r="AE32" i="1"/>
  <c r="AF31" i="1"/>
  <c r="AE31" i="1"/>
  <c r="AF30" i="1"/>
  <c r="AE30" i="1"/>
  <c r="AF29" i="1"/>
  <c r="AE29" i="1"/>
  <c r="AF28" i="1"/>
  <c r="AE28" i="1"/>
  <c r="AF27" i="1"/>
  <c r="AE27" i="1"/>
  <c r="AF26" i="1"/>
  <c r="AE26" i="1"/>
  <c r="AF25" i="1"/>
  <c r="AE25" i="1"/>
  <c r="AF24" i="1"/>
  <c r="AE24" i="1"/>
  <c r="AF23" i="1"/>
  <c r="AE23" i="1"/>
  <c r="AF22" i="1"/>
  <c r="AE22" i="1"/>
  <c r="AF21" i="1"/>
  <c r="AE21" i="1"/>
  <c r="AF20" i="1"/>
  <c r="AE20" i="1"/>
  <c r="AF19" i="1"/>
  <c r="AE19" i="1"/>
  <c r="AF18" i="1"/>
  <c r="AE18" i="1"/>
  <c r="AF17" i="1"/>
  <c r="AE17" i="1"/>
  <c r="AF16" i="1"/>
  <c r="AE16" i="1"/>
  <c r="AF15" i="1"/>
  <c r="AE15" i="1"/>
  <c r="AF14" i="1"/>
  <c r="AE14" i="1"/>
  <c r="AF13" i="1"/>
  <c r="AE13" i="1"/>
  <c r="AF12" i="1"/>
  <c r="AE12" i="1"/>
  <c r="AF11" i="1"/>
  <c r="AE11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Y58" i="1"/>
  <c r="Y59" i="1" s="1"/>
  <c r="Y60" i="1" s="1"/>
  <c r="Y61" i="1" s="1"/>
  <c r="Y62" i="1" s="1"/>
  <c r="Y63" i="1" s="1"/>
  <c r="Y64" i="1" s="1"/>
  <c r="Y65" i="1" s="1"/>
  <c r="Y66" i="1" s="1"/>
  <c r="Y57" i="1"/>
  <c r="X63" i="1"/>
  <c r="X64" i="1" s="1"/>
  <c r="X65" i="1" s="1"/>
  <c r="X66" i="1" s="1"/>
  <c r="X62" i="1"/>
  <c r="BW16" i="1"/>
  <c r="BW15" i="1"/>
  <c r="BW14" i="1"/>
  <c r="BW13" i="1"/>
  <c r="BW12" i="1"/>
  <c r="BW11" i="1"/>
  <c r="BL11" i="1"/>
  <c r="BL12" i="1" s="1"/>
  <c r="BL13" i="1" s="1"/>
  <c r="AB67" i="1" l="1"/>
  <c r="AB68" i="1"/>
  <c r="AC69" i="1"/>
  <c r="AC70" i="1"/>
  <c r="AB71" i="1"/>
  <c r="AC67" i="1"/>
  <c r="AC68" i="1"/>
  <c r="AB69" i="1"/>
  <c r="AB70" i="1"/>
  <c r="AF68" i="1"/>
  <c r="AF70" i="1"/>
  <c r="AC65" i="1"/>
  <c r="AC63" i="1"/>
  <c r="AC61" i="1"/>
  <c r="AC59" i="1"/>
  <c r="AC57" i="1"/>
  <c r="AC55" i="1"/>
  <c r="AC53" i="1"/>
  <c r="AC51" i="1"/>
  <c r="AC49" i="1"/>
  <c r="AC47" i="1"/>
  <c r="AC45" i="1"/>
  <c r="AC43" i="1"/>
  <c r="AC41" i="1"/>
  <c r="AC39" i="1"/>
  <c r="AC37" i="1"/>
  <c r="AC35" i="1"/>
  <c r="AC33" i="1"/>
  <c r="AC31" i="1"/>
  <c r="AC29" i="1"/>
  <c r="AC27" i="1"/>
  <c r="AC25" i="1"/>
  <c r="AB57" i="1"/>
  <c r="AB59" i="1"/>
  <c r="AB61" i="1"/>
  <c r="AB63" i="1"/>
  <c r="AB65" i="1"/>
  <c r="AC11" i="1"/>
  <c r="AC13" i="1"/>
  <c r="AC15" i="1"/>
  <c r="AC17" i="1"/>
  <c r="AC19" i="1"/>
  <c r="AC21" i="1"/>
  <c r="AC23" i="1"/>
  <c r="AC26" i="1"/>
  <c r="AC30" i="1"/>
  <c r="AC34" i="1"/>
  <c r="AC38" i="1"/>
  <c r="AC42" i="1"/>
  <c r="AC46" i="1"/>
  <c r="AC50" i="1"/>
  <c r="AC54" i="1"/>
  <c r="AC58" i="1"/>
  <c r="AC62" i="1"/>
  <c r="AC66" i="1"/>
  <c r="AE66" i="1"/>
  <c r="AB58" i="1"/>
  <c r="AB60" i="1"/>
  <c r="AB62" i="1"/>
  <c r="AB64" i="1"/>
  <c r="AB66" i="1"/>
  <c r="AC12" i="1"/>
  <c r="AC14" i="1"/>
  <c r="AC16" i="1"/>
  <c r="AC18" i="1"/>
  <c r="AC20" i="1"/>
  <c r="AC22" i="1"/>
  <c r="AC24" i="1"/>
  <c r="AC28" i="1"/>
  <c r="AC32" i="1"/>
  <c r="AC36" i="1"/>
  <c r="AC40" i="1"/>
  <c r="AC44" i="1"/>
  <c r="AC48" i="1"/>
  <c r="AC52" i="1"/>
  <c r="AC56" i="1"/>
  <c r="AC60" i="1"/>
  <c r="AC64" i="1"/>
  <c r="AF66" i="1"/>
  <c r="BL14" i="1"/>
  <c r="C49" i="1"/>
  <c r="C50" i="1" s="1"/>
  <c r="C51" i="1" s="1"/>
  <c r="C52" i="1" s="1"/>
  <c r="AD6" i="1" l="1" a="1"/>
  <c r="BL15" i="1"/>
  <c r="AD6" i="1" l="1"/>
  <c r="AF6" i="1"/>
  <c r="AE6" i="1"/>
  <c r="AG6" i="1"/>
  <c r="BL16" i="1"/>
  <c r="AY42" i="1"/>
  <c r="AY41" i="1"/>
  <c r="AY40" i="1"/>
  <c r="AY39" i="1"/>
  <c r="AY38" i="1"/>
  <c r="AY37" i="1"/>
  <c r="AY36" i="1"/>
  <c r="AY35" i="1"/>
  <c r="AY34" i="1"/>
  <c r="AY33" i="1"/>
  <c r="AY32" i="1"/>
  <c r="AY31" i="1"/>
  <c r="AY30" i="1"/>
  <c r="AY29" i="1"/>
  <c r="AY28" i="1"/>
  <c r="AY27" i="1"/>
  <c r="AY26" i="1"/>
  <c r="AY25" i="1"/>
  <c r="AY24" i="1"/>
  <c r="AY23" i="1"/>
  <c r="AY22" i="1"/>
  <c r="AY21" i="1"/>
  <c r="AY20" i="1"/>
  <c r="AY19" i="1"/>
  <c r="AY18" i="1"/>
  <c r="AY17" i="1"/>
  <c r="AY16" i="1"/>
  <c r="AY15" i="1"/>
  <c r="AY14" i="1"/>
  <c r="AY13" i="1"/>
  <c r="AY12" i="1"/>
  <c r="AY11" i="1"/>
  <c r="AZ42" i="1"/>
  <c r="AZ9" i="1" s="1"/>
  <c r="AZ41" i="1"/>
  <c r="AZ40" i="1"/>
  <c r="AZ39" i="1"/>
  <c r="AZ38" i="1"/>
  <c r="AZ37" i="1"/>
  <c r="AZ36" i="1"/>
  <c r="BA36" i="1" s="1"/>
  <c r="AZ35" i="1"/>
  <c r="BA35" i="1" s="1"/>
  <c r="AZ34" i="1"/>
  <c r="AZ33" i="1"/>
  <c r="AZ32" i="1"/>
  <c r="AZ31" i="1"/>
  <c r="AZ30" i="1"/>
  <c r="BA30" i="1" s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1" i="1"/>
  <c r="AZ12" i="1"/>
  <c r="BA12" i="1" s="1"/>
  <c r="BA42" i="1" l="1"/>
  <c r="BA41" i="1"/>
  <c r="BA40" i="1"/>
  <c r="BA39" i="1"/>
  <c r="BA38" i="1"/>
  <c r="BA37" i="1"/>
  <c r="BA34" i="1"/>
  <c r="BA33" i="1"/>
  <c r="BA32" i="1"/>
  <c r="BA31" i="1"/>
  <c r="BA29" i="1"/>
  <c r="BA28" i="1"/>
  <c r="BA26" i="1"/>
  <c r="BA27" i="1"/>
  <c r="BA18" i="1"/>
  <c r="BA19" i="1"/>
  <c r="BA13" i="1"/>
  <c r="BA14" i="1"/>
  <c r="BA17" i="1"/>
  <c r="BA20" i="1"/>
  <c r="BA25" i="1"/>
  <c r="BA24" i="1"/>
  <c r="BA23" i="1"/>
  <c r="BA22" i="1"/>
  <c r="BA21" i="1"/>
  <c r="BA16" i="1"/>
  <c r="BA15" i="1"/>
  <c r="AG70" i="1"/>
  <c r="AH70" i="1" s="1"/>
  <c r="AG68" i="1"/>
  <c r="AH68" i="1" s="1"/>
  <c r="AG71" i="1"/>
  <c r="AH71" i="1" s="1"/>
  <c r="AG69" i="1"/>
  <c r="AH69" i="1" s="1"/>
  <c r="AG67" i="1"/>
  <c r="AH67" i="1" s="1"/>
  <c r="AG26" i="1"/>
  <c r="AH26" i="1" s="1"/>
  <c r="AG51" i="1"/>
  <c r="AH51" i="1" s="1"/>
  <c r="AG58" i="1"/>
  <c r="AH58" i="1" s="1"/>
  <c r="AG19" i="1"/>
  <c r="AH19" i="1" s="1"/>
  <c r="AG33" i="1"/>
  <c r="AH33" i="1" s="1"/>
  <c r="AG42" i="1"/>
  <c r="AH42" i="1" s="1"/>
  <c r="AG35" i="1"/>
  <c r="AH35" i="1" s="1"/>
  <c r="Q31" i="1"/>
  <c r="AG65" i="1"/>
  <c r="AH65" i="1" s="1"/>
  <c r="AG66" i="1"/>
  <c r="AH66" i="1" s="1"/>
  <c r="AG11" i="1"/>
  <c r="AH11" i="1" s="1"/>
  <c r="AG27" i="1"/>
  <c r="AH27" i="1" s="1"/>
  <c r="AG43" i="1"/>
  <c r="AH43" i="1" s="1"/>
  <c r="AG59" i="1"/>
  <c r="AH59" i="1" s="1"/>
  <c r="AG17" i="1"/>
  <c r="AH17" i="1" s="1"/>
  <c r="AG49" i="1"/>
  <c r="AH49" i="1" s="1"/>
  <c r="AG18" i="1"/>
  <c r="AH18" i="1" s="1"/>
  <c r="AG34" i="1"/>
  <c r="AH34" i="1" s="1"/>
  <c r="AG50" i="1"/>
  <c r="AH50" i="1" s="1"/>
  <c r="AG64" i="1"/>
  <c r="AH64" i="1" s="1"/>
  <c r="AG25" i="1"/>
  <c r="AH25" i="1" s="1"/>
  <c r="AG41" i="1"/>
  <c r="AH41" i="1" s="1"/>
  <c r="AG57" i="1"/>
  <c r="AH57" i="1" s="1"/>
  <c r="AG14" i="1"/>
  <c r="AH14" i="1" s="1"/>
  <c r="AG22" i="1"/>
  <c r="AH22" i="1" s="1"/>
  <c r="AG30" i="1"/>
  <c r="AH30" i="1" s="1"/>
  <c r="AG38" i="1"/>
  <c r="AH38" i="1" s="1"/>
  <c r="AG46" i="1"/>
  <c r="AH46" i="1" s="1"/>
  <c r="AG54" i="1"/>
  <c r="AH54" i="1" s="1"/>
  <c r="AG62" i="1"/>
  <c r="AH62" i="1" s="1"/>
  <c r="AG15" i="1"/>
  <c r="AH15" i="1" s="1"/>
  <c r="AG23" i="1"/>
  <c r="AH23" i="1" s="1"/>
  <c r="AG31" i="1"/>
  <c r="AH31" i="1" s="1"/>
  <c r="AG39" i="1"/>
  <c r="AH39" i="1" s="1"/>
  <c r="AG47" i="1"/>
  <c r="AH47" i="1" s="1"/>
  <c r="AG55" i="1"/>
  <c r="AH55" i="1" s="1"/>
  <c r="AG63" i="1"/>
  <c r="AH63" i="1" s="1"/>
  <c r="AG13" i="1"/>
  <c r="AH13" i="1" s="1"/>
  <c r="AG21" i="1"/>
  <c r="AH21" i="1" s="1"/>
  <c r="AG29" i="1"/>
  <c r="AH29" i="1" s="1"/>
  <c r="AG37" i="1"/>
  <c r="AH37" i="1" s="1"/>
  <c r="AG45" i="1"/>
  <c r="AH45" i="1" s="1"/>
  <c r="AG53" i="1"/>
  <c r="AH53" i="1" s="1"/>
  <c r="AG61" i="1"/>
  <c r="AH61" i="1" s="1"/>
  <c r="AG12" i="1"/>
  <c r="AH12" i="1" s="1"/>
  <c r="AG16" i="1"/>
  <c r="AH16" i="1" s="1"/>
  <c r="AG20" i="1"/>
  <c r="AH20" i="1" s="1"/>
  <c r="AG24" i="1"/>
  <c r="AH24" i="1" s="1"/>
  <c r="AG28" i="1"/>
  <c r="AH28" i="1" s="1"/>
  <c r="AG32" i="1"/>
  <c r="AH32" i="1" s="1"/>
  <c r="AG36" i="1"/>
  <c r="AH36" i="1" s="1"/>
  <c r="AG40" i="1"/>
  <c r="AH40" i="1" s="1"/>
  <c r="AG44" i="1"/>
  <c r="AH44" i="1" s="1"/>
  <c r="AG48" i="1"/>
  <c r="AH48" i="1" s="1"/>
  <c r="AG52" i="1"/>
  <c r="AH52" i="1" s="1"/>
  <c r="AG56" i="1"/>
  <c r="AH56" i="1" s="1"/>
  <c r="AG60" i="1"/>
  <c r="AH60" i="1" s="1"/>
  <c r="BL17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Q11" i="1"/>
  <c r="AS7" i="1"/>
  <c r="AQ5" i="1"/>
  <c r="AQ4" i="1"/>
  <c r="AQ3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X58" i="1"/>
  <c r="X59" i="1" s="1"/>
  <c r="X60" i="1" s="1"/>
  <c r="X61" i="1" s="1"/>
  <c r="X57" i="1"/>
  <c r="Y5" i="1"/>
  <c r="Y11" i="1"/>
  <c r="BB6" i="1" l="1"/>
  <c r="BC6" i="1" s="1"/>
  <c r="BD6" i="1" s="1"/>
  <c r="BL18" i="1"/>
  <c r="AT60" i="1"/>
  <c r="AT12" i="1"/>
  <c r="AT14" i="1"/>
  <c r="AT16" i="1"/>
  <c r="AT18" i="1"/>
  <c r="AT20" i="1"/>
  <c r="AT22" i="1"/>
  <c r="AT24" i="1"/>
  <c r="AT26" i="1"/>
  <c r="AT28" i="1"/>
  <c r="AT30" i="1"/>
  <c r="AT32" i="1"/>
  <c r="AT34" i="1"/>
  <c r="AT36" i="1"/>
  <c r="AT38" i="1"/>
  <c r="AT40" i="1"/>
  <c r="AT42" i="1"/>
  <c r="AT44" i="1"/>
  <c r="AT46" i="1"/>
  <c r="AT48" i="1"/>
  <c r="AT50" i="1"/>
  <c r="AT52" i="1"/>
  <c r="AT54" i="1"/>
  <c r="AT56" i="1"/>
  <c r="AT58" i="1"/>
  <c r="AR8" i="1"/>
  <c r="AT11" i="1"/>
  <c r="AT13" i="1"/>
  <c r="AT15" i="1"/>
  <c r="AT17" i="1"/>
  <c r="AT19" i="1"/>
  <c r="AT21" i="1"/>
  <c r="AT23" i="1"/>
  <c r="AT25" i="1"/>
  <c r="AT27" i="1"/>
  <c r="AT29" i="1"/>
  <c r="AT31" i="1"/>
  <c r="AT33" i="1"/>
  <c r="AT35" i="1"/>
  <c r="AT37" i="1"/>
  <c r="AT39" i="1"/>
  <c r="AT41" i="1"/>
  <c r="AT43" i="1"/>
  <c r="AT45" i="1"/>
  <c r="AT47" i="1"/>
  <c r="AT49" i="1"/>
  <c r="AT51" i="1"/>
  <c r="AT53" i="1"/>
  <c r="AT55" i="1"/>
  <c r="AT57" i="1"/>
  <c r="AT59" i="1"/>
  <c r="AT61" i="1"/>
  <c r="AR7" i="1"/>
  <c r="X12" i="1"/>
  <c r="X13" i="1" s="1"/>
  <c r="X14" i="1" s="1"/>
  <c r="X15" i="1" s="1"/>
  <c r="X16" i="1" s="1"/>
  <c r="X17" i="1" s="1"/>
  <c r="X18" i="1" s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Y12" i="1"/>
  <c r="Y13" i="1" s="1"/>
  <c r="G18" i="1"/>
  <c r="Y14" i="1" l="1"/>
  <c r="Y15" i="1" s="1"/>
  <c r="Y16" i="1" s="1"/>
  <c r="Y17" i="1" s="1"/>
  <c r="Y18" i="1" s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BL19" i="1"/>
  <c r="AR2" i="1"/>
  <c r="AR3" i="1" s="1"/>
  <c r="D1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  <c r="B1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B816" i="5" s="1"/>
  <c r="B817" i="5" s="1"/>
  <c r="B818" i="5" s="1"/>
  <c r="B819" i="5" s="1"/>
  <c r="B820" i="5" s="1"/>
  <c r="B821" i="5" s="1"/>
  <c r="B822" i="5" s="1"/>
  <c r="B823" i="5" s="1"/>
  <c r="B824" i="5" s="1"/>
  <c r="B825" i="5" s="1"/>
  <c r="B826" i="5" s="1"/>
  <c r="B827" i="5" s="1"/>
  <c r="B828" i="5" s="1"/>
  <c r="B829" i="5" s="1"/>
  <c r="B830" i="5" s="1"/>
  <c r="B831" i="5" s="1"/>
  <c r="B832" i="5" s="1"/>
  <c r="B833" i="5" s="1"/>
  <c r="B834" i="5" s="1"/>
  <c r="B835" i="5" s="1"/>
  <c r="B836" i="5" s="1"/>
  <c r="B837" i="5" s="1"/>
  <c r="B838" i="5" s="1"/>
  <c r="B839" i="5" s="1"/>
  <c r="B840" i="5" s="1"/>
  <c r="B841" i="5" s="1"/>
  <c r="B842" i="5" s="1"/>
  <c r="B843" i="5" s="1"/>
  <c r="B844" i="5" s="1"/>
  <c r="B845" i="5" s="1"/>
  <c r="B846" i="5" s="1"/>
  <c r="B847" i="5" s="1"/>
  <c r="B848" i="5" s="1"/>
  <c r="B849" i="5" s="1"/>
  <c r="B850" i="5" s="1"/>
  <c r="B851" i="5" s="1"/>
  <c r="B852" i="5" s="1"/>
  <c r="B853" i="5" s="1"/>
  <c r="B854" i="5" s="1"/>
  <c r="B855" i="5" s="1"/>
  <c r="B856" i="5" s="1"/>
  <c r="B857" i="5" s="1"/>
  <c r="B858" i="5" s="1"/>
  <c r="B859" i="5" s="1"/>
  <c r="B860" i="5" s="1"/>
  <c r="B861" i="5" s="1"/>
  <c r="B862" i="5" s="1"/>
  <c r="B863" i="5" s="1"/>
  <c r="B864" i="5" s="1"/>
  <c r="B865" i="5" s="1"/>
  <c r="B866" i="5" s="1"/>
  <c r="B867" i="5" s="1"/>
  <c r="B868" i="5" s="1"/>
  <c r="B869" i="5" s="1"/>
  <c r="B870" i="5" s="1"/>
  <c r="B871" i="5" s="1"/>
  <c r="B872" i="5" s="1"/>
  <c r="B873" i="5" s="1"/>
  <c r="B874" i="5" s="1"/>
  <c r="B875" i="5" s="1"/>
  <c r="B876" i="5" s="1"/>
  <c r="B877" i="5" s="1"/>
  <c r="B878" i="5" s="1"/>
  <c r="B879" i="5" s="1"/>
  <c r="B880" i="5" s="1"/>
  <c r="B881" i="5" s="1"/>
  <c r="B882" i="5" s="1"/>
  <c r="B883" i="5" s="1"/>
  <c r="B884" i="5" s="1"/>
  <c r="B885" i="5" s="1"/>
  <c r="B886" i="5" s="1"/>
  <c r="B887" i="5" s="1"/>
  <c r="B888" i="5" s="1"/>
  <c r="B889" i="5" s="1"/>
  <c r="B890" i="5" s="1"/>
  <c r="B891" i="5" s="1"/>
  <c r="B892" i="5" s="1"/>
  <c r="B893" i="5" s="1"/>
  <c r="B894" i="5" s="1"/>
  <c r="B895" i="5" s="1"/>
  <c r="B896" i="5" s="1"/>
  <c r="B897" i="5" s="1"/>
  <c r="B898" i="5" s="1"/>
  <c r="B899" i="5" s="1"/>
  <c r="B900" i="5" s="1"/>
  <c r="B901" i="5" s="1"/>
  <c r="B902" i="5" s="1"/>
  <c r="B903" i="5" s="1"/>
  <c r="B904" i="5" s="1"/>
  <c r="B905" i="5" s="1"/>
  <c r="B906" i="5" s="1"/>
  <c r="B907" i="5" s="1"/>
  <c r="B908" i="5" s="1"/>
  <c r="B909" i="5" s="1"/>
  <c r="B910" i="5" s="1"/>
  <c r="B911" i="5" s="1"/>
  <c r="B912" i="5" s="1"/>
  <c r="B913" i="5" s="1"/>
  <c r="B914" i="5" s="1"/>
  <c r="B915" i="5" s="1"/>
  <c r="B916" i="5" s="1"/>
  <c r="B917" i="5" s="1"/>
  <c r="B918" i="5" s="1"/>
  <c r="B919" i="5" s="1"/>
  <c r="B920" i="5" s="1"/>
  <c r="B921" i="5" s="1"/>
  <c r="B922" i="5" s="1"/>
  <c r="B923" i="5" s="1"/>
  <c r="B924" i="5" s="1"/>
  <c r="B925" i="5" s="1"/>
  <c r="B926" i="5" s="1"/>
  <c r="B927" i="5" s="1"/>
  <c r="B928" i="5" s="1"/>
  <c r="B929" i="5" s="1"/>
  <c r="B930" i="5" s="1"/>
  <c r="B931" i="5" s="1"/>
  <c r="B932" i="5" s="1"/>
  <c r="B933" i="5" s="1"/>
  <c r="B934" i="5" s="1"/>
  <c r="B935" i="5" s="1"/>
  <c r="B936" i="5" s="1"/>
  <c r="B937" i="5" s="1"/>
  <c r="B938" i="5" s="1"/>
  <c r="B939" i="5" s="1"/>
  <c r="B940" i="5" s="1"/>
  <c r="B941" i="5" s="1"/>
  <c r="B942" i="5" s="1"/>
  <c r="B943" i="5" s="1"/>
  <c r="B944" i="5" s="1"/>
  <c r="B945" i="5" s="1"/>
  <c r="B946" i="5" s="1"/>
  <c r="B947" i="5" s="1"/>
  <c r="B948" i="5" s="1"/>
  <c r="B949" i="5" s="1"/>
  <c r="B950" i="5" s="1"/>
  <c r="B951" i="5" s="1"/>
  <c r="B952" i="5" s="1"/>
  <c r="B953" i="5" s="1"/>
  <c r="B954" i="5" s="1"/>
  <c r="B955" i="5" s="1"/>
  <c r="B956" i="5" s="1"/>
  <c r="B957" i="5" s="1"/>
  <c r="B958" i="5" s="1"/>
  <c r="B959" i="5" s="1"/>
  <c r="B960" i="5" s="1"/>
  <c r="B961" i="5" s="1"/>
  <c r="B962" i="5" s="1"/>
  <c r="B963" i="5" s="1"/>
  <c r="B964" i="5" s="1"/>
  <c r="B965" i="5" s="1"/>
  <c r="B966" i="5" s="1"/>
  <c r="B967" i="5" s="1"/>
  <c r="B968" i="5" s="1"/>
  <c r="B969" i="5" s="1"/>
  <c r="B970" i="5" s="1"/>
  <c r="B971" i="5" s="1"/>
  <c r="B972" i="5" s="1"/>
  <c r="B973" i="5" s="1"/>
  <c r="B974" i="5" s="1"/>
  <c r="B975" i="5" s="1"/>
  <c r="B976" i="5" s="1"/>
  <c r="B977" i="5" s="1"/>
  <c r="B978" i="5" s="1"/>
  <c r="B979" i="5" s="1"/>
  <c r="B980" i="5" s="1"/>
  <c r="B981" i="5" s="1"/>
  <c r="B982" i="5" s="1"/>
  <c r="B983" i="5" s="1"/>
  <c r="B984" i="5" s="1"/>
  <c r="B985" i="5" s="1"/>
  <c r="B986" i="5" s="1"/>
  <c r="B987" i="5" s="1"/>
  <c r="B988" i="5" s="1"/>
  <c r="B989" i="5" s="1"/>
  <c r="B990" i="5" s="1"/>
  <c r="B991" i="5" s="1"/>
  <c r="B992" i="5" s="1"/>
  <c r="B993" i="5" s="1"/>
  <c r="B994" i="5" s="1"/>
  <c r="B995" i="5" s="1"/>
  <c r="B996" i="5" s="1"/>
  <c r="B997" i="5" s="1"/>
  <c r="B998" i="5" s="1"/>
  <c r="B999" i="5" s="1"/>
  <c r="B1000" i="5" s="1"/>
  <c r="B1001" i="5" s="1"/>
  <c r="B3" i="5"/>
  <c r="E17" i="1"/>
  <c r="F17" i="1"/>
  <c r="Q14" i="1" s="1"/>
  <c r="P30" i="1"/>
  <c r="P27" i="1"/>
  <c r="P29" i="1"/>
  <c r="Z7" i="1" l="1"/>
  <c r="BL20" i="1"/>
  <c r="AS2" i="1"/>
  <c r="AT2" i="1" s="1"/>
  <c r="AQ2" i="1"/>
  <c r="AB55" i="1"/>
  <c r="AB53" i="1"/>
  <c r="AB51" i="1"/>
  <c r="AB49" i="1"/>
  <c r="AB47" i="1"/>
  <c r="AB45" i="1"/>
  <c r="AB43" i="1"/>
  <c r="AB41" i="1"/>
  <c r="AB39" i="1"/>
  <c r="AB37" i="1"/>
  <c r="AB35" i="1"/>
  <c r="AB33" i="1"/>
  <c r="AB31" i="1"/>
  <c r="AB29" i="1"/>
  <c r="AB27" i="1"/>
  <c r="AB25" i="1"/>
  <c r="AB23" i="1"/>
  <c r="AB21" i="1"/>
  <c r="AB19" i="1"/>
  <c r="AB17" i="1"/>
  <c r="AB15" i="1"/>
  <c r="AB13" i="1"/>
  <c r="AB11" i="1"/>
  <c r="AB56" i="1"/>
  <c r="AB54" i="1"/>
  <c r="AB52" i="1"/>
  <c r="AB50" i="1"/>
  <c r="AB48" i="1"/>
  <c r="AB46" i="1"/>
  <c r="AB44" i="1"/>
  <c r="AB42" i="1"/>
  <c r="AB40" i="1"/>
  <c r="AB38" i="1"/>
  <c r="AB36" i="1"/>
  <c r="AB34" i="1"/>
  <c r="AB32" i="1"/>
  <c r="AB30" i="1"/>
  <c r="AB28" i="1"/>
  <c r="AB26" i="1"/>
  <c r="AB24" i="1"/>
  <c r="AB22" i="1"/>
  <c r="AB20" i="1"/>
  <c r="AB18" i="1"/>
  <c r="AB16" i="1"/>
  <c r="AB14" i="1"/>
  <c r="AB12" i="1"/>
  <c r="Z8" i="1"/>
  <c r="R27" i="1"/>
  <c r="S27" i="1" s="1"/>
  <c r="D1000" i="5"/>
  <c r="D998" i="5"/>
  <c r="D996" i="5"/>
  <c r="D994" i="5"/>
  <c r="D992" i="5"/>
  <c r="D990" i="5"/>
  <c r="D988" i="5"/>
  <c r="D986" i="5"/>
  <c r="D984" i="5"/>
  <c r="D982" i="5"/>
  <c r="D980" i="5"/>
  <c r="D978" i="5"/>
  <c r="D976" i="5"/>
  <c r="D974" i="5"/>
  <c r="D972" i="5"/>
  <c r="D970" i="5"/>
  <c r="D968" i="5"/>
  <c r="D966" i="5"/>
  <c r="D964" i="5"/>
  <c r="D962" i="5"/>
  <c r="D960" i="5"/>
  <c r="D958" i="5"/>
  <c r="D956" i="5"/>
  <c r="D954" i="5"/>
  <c r="D952" i="5"/>
  <c r="D950" i="5"/>
  <c r="D948" i="5"/>
  <c r="D946" i="5"/>
  <c r="D944" i="5"/>
  <c r="D942" i="5"/>
  <c r="D940" i="5"/>
  <c r="D938" i="5"/>
  <c r="D936" i="5"/>
  <c r="D934" i="5"/>
  <c r="D932" i="5"/>
  <c r="D930" i="5"/>
  <c r="D928" i="5"/>
  <c r="D926" i="5"/>
  <c r="D924" i="5"/>
  <c r="D922" i="5"/>
  <c r="D920" i="5"/>
  <c r="D918" i="5"/>
  <c r="D916" i="5"/>
  <c r="D914" i="5"/>
  <c r="D912" i="5"/>
  <c r="D910" i="5"/>
  <c r="D908" i="5"/>
  <c r="D906" i="5"/>
  <c r="D904" i="5"/>
  <c r="D902" i="5"/>
  <c r="D900" i="5"/>
  <c r="D898" i="5"/>
  <c r="D896" i="5"/>
  <c r="D894" i="5"/>
  <c r="D892" i="5"/>
  <c r="D890" i="5"/>
  <c r="D888" i="5"/>
  <c r="D886" i="5"/>
  <c r="D884" i="5"/>
  <c r="D882" i="5"/>
  <c r="D880" i="5"/>
  <c r="D878" i="5"/>
  <c r="D876" i="5"/>
  <c r="D874" i="5"/>
  <c r="D872" i="5"/>
  <c r="D870" i="5"/>
  <c r="D868" i="5"/>
  <c r="D866" i="5"/>
  <c r="D864" i="5"/>
  <c r="D862" i="5"/>
  <c r="D860" i="5"/>
  <c r="D858" i="5"/>
  <c r="D856" i="5"/>
  <c r="D854" i="5"/>
  <c r="D852" i="5"/>
  <c r="D850" i="5"/>
  <c r="D848" i="5"/>
  <c r="D846" i="5"/>
  <c r="D844" i="5"/>
  <c r="D842" i="5"/>
  <c r="D840" i="5"/>
  <c r="D838" i="5"/>
  <c r="D836" i="5"/>
  <c r="D834" i="5"/>
  <c r="D832" i="5"/>
  <c r="D999" i="5"/>
  <c r="E999" i="5" s="1"/>
  <c r="D997" i="5"/>
  <c r="E997" i="5" s="1"/>
  <c r="D995" i="5"/>
  <c r="E995" i="5" s="1"/>
  <c r="D993" i="5"/>
  <c r="E993" i="5" s="1"/>
  <c r="D991" i="5"/>
  <c r="E991" i="5" s="1"/>
  <c r="D989" i="5"/>
  <c r="E989" i="5" s="1"/>
  <c r="D987" i="5"/>
  <c r="E987" i="5" s="1"/>
  <c r="D985" i="5"/>
  <c r="E985" i="5" s="1"/>
  <c r="D983" i="5"/>
  <c r="E983" i="5" s="1"/>
  <c r="D981" i="5"/>
  <c r="E981" i="5" s="1"/>
  <c r="D979" i="5"/>
  <c r="E979" i="5" s="1"/>
  <c r="D977" i="5"/>
  <c r="E977" i="5" s="1"/>
  <c r="D975" i="5"/>
  <c r="E975" i="5" s="1"/>
  <c r="D973" i="5"/>
  <c r="E973" i="5" s="1"/>
  <c r="D971" i="5"/>
  <c r="E971" i="5" s="1"/>
  <c r="D969" i="5"/>
  <c r="E969" i="5" s="1"/>
  <c r="D967" i="5"/>
  <c r="E967" i="5" s="1"/>
  <c r="D965" i="5"/>
  <c r="E965" i="5" s="1"/>
  <c r="D963" i="5"/>
  <c r="E963" i="5" s="1"/>
  <c r="D961" i="5"/>
  <c r="E961" i="5" s="1"/>
  <c r="D959" i="5"/>
  <c r="E959" i="5" s="1"/>
  <c r="D957" i="5"/>
  <c r="E957" i="5" s="1"/>
  <c r="D955" i="5"/>
  <c r="E955" i="5" s="1"/>
  <c r="D953" i="5"/>
  <c r="E953" i="5" s="1"/>
  <c r="D951" i="5"/>
  <c r="E951" i="5" s="1"/>
  <c r="D949" i="5"/>
  <c r="E949" i="5" s="1"/>
  <c r="D947" i="5"/>
  <c r="E947" i="5" s="1"/>
  <c r="D945" i="5"/>
  <c r="E945" i="5" s="1"/>
  <c r="D943" i="5"/>
  <c r="E943" i="5" s="1"/>
  <c r="D941" i="5"/>
  <c r="E941" i="5" s="1"/>
  <c r="D939" i="5"/>
  <c r="E939" i="5" s="1"/>
  <c r="D937" i="5"/>
  <c r="E937" i="5" s="1"/>
  <c r="D935" i="5"/>
  <c r="E935" i="5" s="1"/>
  <c r="D933" i="5"/>
  <c r="E933" i="5" s="1"/>
  <c r="D931" i="5"/>
  <c r="E931" i="5" s="1"/>
  <c r="D929" i="5"/>
  <c r="E929" i="5" s="1"/>
  <c r="D927" i="5"/>
  <c r="E927" i="5" s="1"/>
  <c r="D925" i="5"/>
  <c r="E925" i="5" s="1"/>
  <c r="D923" i="5"/>
  <c r="E923" i="5" s="1"/>
  <c r="D921" i="5"/>
  <c r="E921" i="5" s="1"/>
  <c r="D919" i="5"/>
  <c r="E919" i="5" s="1"/>
  <c r="D917" i="5"/>
  <c r="E917" i="5" s="1"/>
  <c r="D915" i="5"/>
  <c r="E915" i="5" s="1"/>
  <c r="D913" i="5"/>
  <c r="E913" i="5" s="1"/>
  <c r="D911" i="5"/>
  <c r="E911" i="5" s="1"/>
  <c r="D909" i="5"/>
  <c r="E909" i="5" s="1"/>
  <c r="D907" i="5"/>
  <c r="E907" i="5" s="1"/>
  <c r="D905" i="5"/>
  <c r="E905" i="5" s="1"/>
  <c r="D903" i="5"/>
  <c r="E903" i="5" s="1"/>
  <c r="D901" i="5"/>
  <c r="E901" i="5" s="1"/>
  <c r="D899" i="5"/>
  <c r="E899" i="5" s="1"/>
  <c r="D897" i="5"/>
  <c r="E897" i="5" s="1"/>
  <c r="D895" i="5"/>
  <c r="E895" i="5" s="1"/>
  <c r="D893" i="5"/>
  <c r="E893" i="5" s="1"/>
  <c r="D891" i="5"/>
  <c r="E891" i="5" s="1"/>
  <c r="D889" i="5"/>
  <c r="E889" i="5" s="1"/>
  <c r="D887" i="5"/>
  <c r="E887" i="5" s="1"/>
  <c r="D885" i="5"/>
  <c r="E885" i="5" s="1"/>
  <c r="D883" i="5"/>
  <c r="E883" i="5" s="1"/>
  <c r="D881" i="5"/>
  <c r="E881" i="5" s="1"/>
  <c r="D879" i="5"/>
  <c r="E879" i="5" s="1"/>
  <c r="D877" i="5"/>
  <c r="E877" i="5" s="1"/>
  <c r="D875" i="5"/>
  <c r="E875" i="5" s="1"/>
  <c r="D873" i="5"/>
  <c r="E873" i="5" s="1"/>
  <c r="D871" i="5"/>
  <c r="E871" i="5" s="1"/>
  <c r="D869" i="5"/>
  <c r="E869" i="5" s="1"/>
  <c r="D867" i="5"/>
  <c r="E867" i="5" s="1"/>
  <c r="D865" i="5"/>
  <c r="E865" i="5" s="1"/>
  <c r="D863" i="5"/>
  <c r="E863" i="5" s="1"/>
  <c r="D861" i="5"/>
  <c r="E861" i="5" s="1"/>
  <c r="D859" i="5"/>
  <c r="E859" i="5" s="1"/>
  <c r="D857" i="5"/>
  <c r="E857" i="5" s="1"/>
  <c r="D855" i="5"/>
  <c r="E855" i="5" s="1"/>
  <c r="D853" i="5"/>
  <c r="E853" i="5" s="1"/>
  <c r="D851" i="5"/>
  <c r="E851" i="5" s="1"/>
  <c r="D849" i="5"/>
  <c r="E849" i="5" s="1"/>
  <c r="D847" i="5"/>
  <c r="E847" i="5" s="1"/>
  <c r="D845" i="5"/>
  <c r="E845" i="5" s="1"/>
  <c r="D843" i="5"/>
  <c r="E843" i="5" s="1"/>
  <c r="D841" i="5"/>
  <c r="E841" i="5" s="1"/>
  <c r="D839" i="5"/>
  <c r="E839" i="5" s="1"/>
  <c r="D837" i="5"/>
  <c r="E837" i="5" s="1"/>
  <c r="D835" i="5"/>
  <c r="E835" i="5" s="1"/>
  <c r="D833" i="5"/>
  <c r="E833" i="5" s="1"/>
  <c r="D831" i="5"/>
  <c r="E831" i="5" s="1"/>
  <c r="D830" i="5"/>
  <c r="D828" i="5"/>
  <c r="D826" i="5"/>
  <c r="D824" i="5"/>
  <c r="D822" i="5"/>
  <c r="D820" i="5"/>
  <c r="D818" i="5"/>
  <c r="D816" i="5"/>
  <c r="D814" i="5"/>
  <c r="D812" i="5"/>
  <c r="D810" i="5"/>
  <c r="D808" i="5"/>
  <c r="D806" i="5"/>
  <c r="D804" i="5"/>
  <c r="D802" i="5"/>
  <c r="D800" i="5"/>
  <c r="D798" i="5"/>
  <c r="D796" i="5"/>
  <c r="D794" i="5"/>
  <c r="D792" i="5"/>
  <c r="D790" i="5"/>
  <c r="D788" i="5"/>
  <c r="D786" i="5"/>
  <c r="D784" i="5"/>
  <c r="D782" i="5"/>
  <c r="D780" i="5"/>
  <c r="D778" i="5"/>
  <c r="D776" i="5"/>
  <c r="D774" i="5"/>
  <c r="D772" i="5"/>
  <c r="D770" i="5"/>
  <c r="D768" i="5"/>
  <c r="D766" i="5"/>
  <c r="D764" i="5"/>
  <c r="D762" i="5"/>
  <c r="D760" i="5"/>
  <c r="D758" i="5"/>
  <c r="D756" i="5"/>
  <c r="D754" i="5"/>
  <c r="D752" i="5"/>
  <c r="D750" i="5"/>
  <c r="D748" i="5"/>
  <c r="D746" i="5"/>
  <c r="D744" i="5"/>
  <c r="D742" i="5"/>
  <c r="D740" i="5"/>
  <c r="D738" i="5"/>
  <c r="D736" i="5"/>
  <c r="D734" i="5"/>
  <c r="D732" i="5"/>
  <c r="D730" i="5"/>
  <c r="D728" i="5"/>
  <c r="D726" i="5"/>
  <c r="D724" i="5"/>
  <c r="D722" i="5"/>
  <c r="D720" i="5"/>
  <c r="D718" i="5"/>
  <c r="D716" i="5"/>
  <c r="D714" i="5"/>
  <c r="D712" i="5"/>
  <c r="D710" i="5"/>
  <c r="D708" i="5"/>
  <c r="D706" i="5"/>
  <c r="D704" i="5"/>
  <c r="D702" i="5"/>
  <c r="D700" i="5"/>
  <c r="D698" i="5"/>
  <c r="D696" i="5"/>
  <c r="D694" i="5"/>
  <c r="D692" i="5"/>
  <c r="D690" i="5"/>
  <c r="D688" i="5"/>
  <c r="D686" i="5"/>
  <c r="D684" i="5"/>
  <c r="D682" i="5"/>
  <c r="D680" i="5"/>
  <c r="D678" i="5"/>
  <c r="D676" i="5"/>
  <c r="D674" i="5"/>
  <c r="D672" i="5"/>
  <c r="D670" i="5"/>
  <c r="D668" i="5"/>
  <c r="D666" i="5"/>
  <c r="D664" i="5"/>
  <c r="D662" i="5"/>
  <c r="D660" i="5"/>
  <c r="D658" i="5"/>
  <c r="D656" i="5"/>
  <c r="D654" i="5"/>
  <c r="D652" i="5"/>
  <c r="D650" i="5"/>
  <c r="D648" i="5"/>
  <c r="D646" i="5"/>
  <c r="D644" i="5"/>
  <c r="D642" i="5"/>
  <c r="D640" i="5"/>
  <c r="D638" i="5"/>
  <c r="D636" i="5"/>
  <c r="D634" i="5"/>
  <c r="D632" i="5"/>
  <c r="D630" i="5"/>
  <c r="D628" i="5"/>
  <c r="D626" i="5"/>
  <c r="D624" i="5"/>
  <c r="D622" i="5"/>
  <c r="D620" i="5"/>
  <c r="D618" i="5"/>
  <c r="D616" i="5"/>
  <c r="D614" i="5"/>
  <c r="D612" i="5"/>
  <c r="D610" i="5"/>
  <c r="D608" i="5"/>
  <c r="D606" i="5"/>
  <c r="D604" i="5"/>
  <c r="D602" i="5"/>
  <c r="D600" i="5"/>
  <c r="D598" i="5"/>
  <c r="D596" i="5"/>
  <c r="D594" i="5"/>
  <c r="D592" i="5"/>
  <c r="D590" i="5"/>
  <c r="D588" i="5"/>
  <c r="D586" i="5"/>
  <c r="D584" i="5"/>
  <c r="D582" i="5"/>
  <c r="D580" i="5"/>
  <c r="D578" i="5"/>
  <c r="D576" i="5"/>
  <c r="D574" i="5"/>
  <c r="D572" i="5"/>
  <c r="D570" i="5"/>
  <c r="D568" i="5"/>
  <c r="D566" i="5"/>
  <c r="D564" i="5"/>
  <c r="D562" i="5"/>
  <c r="D560" i="5"/>
  <c r="D558" i="5"/>
  <c r="D556" i="5"/>
  <c r="D554" i="5"/>
  <c r="D552" i="5"/>
  <c r="D550" i="5"/>
  <c r="D548" i="5"/>
  <c r="D546" i="5"/>
  <c r="D544" i="5"/>
  <c r="D542" i="5"/>
  <c r="D540" i="5"/>
  <c r="D538" i="5"/>
  <c r="D536" i="5"/>
  <c r="D534" i="5"/>
  <c r="D532" i="5"/>
  <c r="D530" i="5"/>
  <c r="D528" i="5"/>
  <c r="D526" i="5"/>
  <c r="D524" i="5"/>
  <c r="D522" i="5"/>
  <c r="D520" i="5"/>
  <c r="D518" i="5"/>
  <c r="D516" i="5"/>
  <c r="D514" i="5"/>
  <c r="D512" i="5"/>
  <c r="D510" i="5"/>
  <c r="D508" i="5"/>
  <c r="D506" i="5"/>
  <c r="D504" i="5"/>
  <c r="D502" i="5"/>
  <c r="D500" i="5"/>
  <c r="D498" i="5"/>
  <c r="D496" i="5"/>
  <c r="D494" i="5"/>
  <c r="D492" i="5"/>
  <c r="D829" i="5"/>
  <c r="E829" i="5" s="1"/>
  <c r="D827" i="5"/>
  <c r="E827" i="5" s="1"/>
  <c r="D825" i="5"/>
  <c r="E825" i="5" s="1"/>
  <c r="D823" i="5"/>
  <c r="E823" i="5" s="1"/>
  <c r="D821" i="5"/>
  <c r="E821" i="5" s="1"/>
  <c r="D819" i="5"/>
  <c r="E819" i="5" s="1"/>
  <c r="D817" i="5"/>
  <c r="E817" i="5" s="1"/>
  <c r="D815" i="5"/>
  <c r="E815" i="5" s="1"/>
  <c r="D813" i="5"/>
  <c r="E813" i="5" s="1"/>
  <c r="D811" i="5"/>
  <c r="E811" i="5" s="1"/>
  <c r="D809" i="5"/>
  <c r="E809" i="5" s="1"/>
  <c r="D807" i="5"/>
  <c r="E807" i="5" s="1"/>
  <c r="D805" i="5"/>
  <c r="E805" i="5" s="1"/>
  <c r="D803" i="5"/>
  <c r="E803" i="5" s="1"/>
  <c r="D801" i="5"/>
  <c r="E801" i="5" s="1"/>
  <c r="D799" i="5"/>
  <c r="E799" i="5" s="1"/>
  <c r="D797" i="5"/>
  <c r="E797" i="5" s="1"/>
  <c r="D795" i="5"/>
  <c r="E795" i="5" s="1"/>
  <c r="D793" i="5"/>
  <c r="E793" i="5" s="1"/>
  <c r="D791" i="5"/>
  <c r="E791" i="5" s="1"/>
  <c r="D789" i="5"/>
  <c r="E789" i="5" s="1"/>
  <c r="D785" i="5"/>
  <c r="E785" i="5" s="1"/>
  <c r="D781" i="5"/>
  <c r="E781" i="5" s="1"/>
  <c r="D777" i="5"/>
  <c r="E777" i="5" s="1"/>
  <c r="D773" i="5"/>
  <c r="E773" i="5" s="1"/>
  <c r="D769" i="5"/>
  <c r="E769" i="5" s="1"/>
  <c r="D765" i="5"/>
  <c r="E765" i="5" s="1"/>
  <c r="D761" i="5"/>
  <c r="E761" i="5" s="1"/>
  <c r="D757" i="5"/>
  <c r="E757" i="5" s="1"/>
  <c r="D753" i="5"/>
  <c r="E753" i="5" s="1"/>
  <c r="D749" i="5"/>
  <c r="E749" i="5" s="1"/>
  <c r="D745" i="5"/>
  <c r="E745" i="5" s="1"/>
  <c r="D741" i="5"/>
  <c r="E741" i="5" s="1"/>
  <c r="D737" i="5"/>
  <c r="E737" i="5" s="1"/>
  <c r="D733" i="5"/>
  <c r="E733" i="5" s="1"/>
  <c r="D729" i="5"/>
  <c r="E729" i="5" s="1"/>
  <c r="D725" i="5"/>
  <c r="E725" i="5" s="1"/>
  <c r="D721" i="5"/>
  <c r="E721" i="5" s="1"/>
  <c r="D717" i="5"/>
  <c r="E717" i="5" s="1"/>
  <c r="D713" i="5"/>
  <c r="E713" i="5" s="1"/>
  <c r="D709" i="5"/>
  <c r="E709" i="5" s="1"/>
  <c r="D705" i="5"/>
  <c r="E705" i="5" s="1"/>
  <c r="D701" i="5"/>
  <c r="E701" i="5" s="1"/>
  <c r="D697" i="5"/>
  <c r="E697" i="5" s="1"/>
  <c r="D693" i="5"/>
  <c r="E693" i="5" s="1"/>
  <c r="D689" i="5"/>
  <c r="E689" i="5" s="1"/>
  <c r="D685" i="5"/>
  <c r="E685" i="5" s="1"/>
  <c r="D681" i="5"/>
  <c r="E681" i="5" s="1"/>
  <c r="D677" i="5"/>
  <c r="E677" i="5" s="1"/>
  <c r="D673" i="5"/>
  <c r="E673" i="5" s="1"/>
  <c r="D669" i="5"/>
  <c r="E669" i="5" s="1"/>
  <c r="D665" i="5"/>
  <c r="E665" i="5" s="1"/>
  <c r="D661" i="5"/>
  <c r="E661" i="5" s="1"/>
  <c r="D657" i="5"/>
  <c r="E657" i="5" s="1"/>
  <c r="D653" i="5"/>
  <c r="E653" i="5" s="1"/>
  <c r="D649" i="5"/>
  <c r="E649" i="5" s="1"/>
  <c r="D645" i="5"/>
  <c r="E645" i="5" s="1"/>
  <c r="D641" i="5"/>
  <c r="E641" i="5" s="1"/>
  <c r="D637" i="5"/>
  <c r="E637" i="5" s="1"/>
  <c r="D633" i="5"/>
  <c r="E633" i="5" s="1"/>
  <c r="D629" i="5"/>
  <c r="E629" i="5" s="1"/>
  <c r="D625" i="5"/>
  <c r="E625" i="5" s="1"/>
  <c r="D621" i="5"/>
  <c r="E621" i="5" s="1"/>
  <c r="D617" i="5"/>
  <c r="E617" i="5" s="1"/>
  <c r="D613" i="5"/>
  <c r="E613" i="5" s="1"/>
  <c r="D609" i="5"/>
  <c r="E609" i="5" s="1"/>
  <c r="D605" i="5"/>
  <c r="E605" i="5" s="1"/>
  <c r="D601" i="5"/>
  <c r="E601" i="5" s="1"/>
  <c r="D597" i="5"/>
  <c r="E597" i="5" s="1"/>
  <c r="D593" i="5"/>
  <c r="E593" i="5" s="1"/>
  <c r="D589" i="5"/>
  <c r="E589" i="5" s="1"/>
  <c r="D585" i="5"/>
  <c r="E585" i="5" s="1"/>
  <c r="D581" i="5"/>
  <c r="E581" i="5" s="1"/>
  <c r="D577" i="5"/>
  <c r="E577" i="5" s="1"/>
  <c r="D573" i="5"/>
  <c r="E573" i="5" s="1"/>
  <c r="D569" i="5"/>
  <c r="E569" i="5" s="1"/>
  <c r="D565" i="5"/>
  <c r="E565" i="5" s="1"/>
  <c r="D561" i="5"/>
  <c r="E561" i="5" s="1"/>
  <c r="D557" i="5"/>
  <c r="E557" i="5" s="1"/>
  <c r="D553" i="5"/>
  <c r="E553" i="5" s="1"/>
  <c r="D549" i="5"/>
  <c r="E549" i="5" s="1"/>
  <c r="D545" i="5"/>
  <c r="E545" i="5" s="1"/>
  <c r="D541" i="5"/>
  <c r="E541" i="5" s="1"/>
  <c r="D537" i="5"/>
  <c r="E537" i="5" s="1"/>
  <c r="D533" i="5"/>
  <c r="E533" i="5" s="1"/>
  <c r="D529" i="5"/>
  <c r="E529" i="5" s="1"/>
  <c r="D525" i="5"/>
  <c r="E525" i="5" s="1"/>
  <c r="D521" i="5"/>
  <c r="E521" i="5" s="1"/>
  <c r="D517" i="5"/>
  <c r="E517" i="5" s="1"/>
  <c r="D513" i="5"/>
  <c r="E513" i="5" s="1"/>
  <c r="D509" i="5"/>
  <c r="E509" i="5" s="1"/>
  <c r="D505" i="5"/>
  <c r="E505" i="5" s="1"/>
  <c r="D501" i="5"/>
  <c r="E501" i="5" s="1"/>
  <c r="D497" i="5"/>
  <c r="E497" i="5" s="1"/>
  <c r="D493" i="5"/>
  <c r="E493" i="5" s="1"/>
  <c r="D490" i="5"/>
  <c r="D488" i="5"/>
  <c r="D486" i="5"/>
  <c r="D484" i="5"/>
  <c r="D482" i="5"/>
  <c r="D480" i="5"/>
  <c r="D478" i="5"/>
  <c r="D476" i="5"/>
  <c r="D474" i="5"/>
  <c r="D472" i="5"/>
  <c r="D470" i="5"/>
  <c r="D468" i="5"/>
  <c r="D466" i="5"/>
  <c r="D464" i="5"/>
  <c r="D462" i="5"/>
  <c r="D460" i="5"/>
  <c r="D458" i="5"/>
  <c r="D456" i="5"/>
  <c r="D454" i="5"/>
  <c r="D452" i="5"/>
  <c r="D450" i="5"/>
  <c r="D448" i="5"/>
  <c r="D446" i="5"/>
  <c r="D444" i="5"/>
  <c r="D442" i="5"/>
  <c r="D440" i="5"/>
  <c r="D438" i="5"/>
  <c r="D436" i="5"/>
  <c r="D434" i="5"/>
  <c r="D432" i="5"/>
  <c r="D430" i="5"/>
  <c r="D428" i="5"/>
  <c r="D426" i="5"/>
  <c r="D424" i="5"/>
  <c r="D422" i="5"/>
  <c r="D420" i="5"/>
  <c r="D418" i="5"/>
  <c r="D416" i="5"/>
  <c r="D414" i="5"/>
  <c r="D412" i="5"/>
  <c r="D410" i="5"/>
  <c r="D408" i="5"/>
  <c r="D406" i="5"/>
  <c r="D404" i="5"/>
  <c r="D402" i="5"/>
  <c r="D400" i="5"/>
  <c r="D398" i="5"/>
  <c r="D396" i="5"/>
  <c r="D394" i="5"/>
  <c r="D392" i="5"/>
  <c r="D390" i="5"/>
  <c r="D388" i="5"/>
  <c r="D386" i="5"/>
  <c r="D384" i="5"/>
  <c r="D382" i="5"/>
  <c r="D380" i="5"/>
  <c r="D378" i="5"/>
  <c r="D376" i="5"/>
  <c r="D374" i="5"/>
  <c r="D372" i="5"/>
  <c r="D370" i="5"/>
  <c r="D368" i="5"/>
  <c r="D366" i="5"/>
  <c r="D364" i="5"/>
  <c r="D362" i="5"/>
  <c r="D360" i="5"/>
  <c r="D358" i="5"/>
  <c r="D356" i="5"/>
  <c r="D354" i="5"/>
  <c r="D352" i="5"/>
  <c r="D350" i="5"/>
  <c r="D348" i="5"/>
  <c r="D346" i="5"/>
  <c r="D344" i="5"/>
  <c r="D342" i="5"/>
  <c r="D340" i="5"/>
  <c r="D338" i="5"/>
  <c r="D336" i="5"/>
  <c r="D334" i="5"/>
  <c r="D332" i="5"/>
  <c r="D330" i="5"/>
  <c r="D328" i="5"/>
  <c r="D326" i="5"/>
  <c r="D324" i="5"/>
  <c r="D322" i="5"/>
  <c r="D320" i="5"/>
  <c r="D318" i="5"/>
  <c r="D316" i="5"/>
  <c r="D314" i="5"/>
  <c r="D312" i="5"/>
  <c r="D310" i="5"/>
  <c r="D308" i="5"/>
  <c r="D306" i="5"/>
  <c r="D304" i="5"/>
  <c r="D302" i="5"/>
  <c r="D300" i="5"/>
  <c r="D298" i="5"/>
  <c r="D296" i="5"/>
  <c r="D294" i="5"/>
  <c r="D787" i="5"/>
  <c r="E787" i="5" s="1"/>
  <c r="D783" i="5"/>
  <c r="E783" i="5" s="1"/>
  <c r="D779" i="5"/>
  <c r="E779" i="5" s="1"/>
  <c r="D775" i="5"/>
  <c r="E775" i="5" s="1"/>
  <c r="D771" i="5"/>
  <c r="E771" i="5" s="1"/>
  <c r="D767" i="5"/>
  <c r="E767" i="5" s="1"/>
  <c r="D763" i="5"/>
  <c r="E763" i="5" s="1"/>
  <c r="D759" i="5"/>
  <c r="E759" i="5" s="1"/>
  <c r="D755" i="5"/>
  <c r="E755" i="5" s="1"/>
  <c r="D751" i="5"/>
  <c r="E751" i="5" s="1"/>
  <c r="D747" i="5"/>
  <c r="E747" i="5" s="1"/>
  <c r="D743" i="5"/>
  <c r="E743" i="5" s="1"/>
  <c r="D739" i="5"/>
  <c r="E739" i="5" s="1"/>
  <c r="D735" i="5"/>
  <c r="E735" i="5" s="1"/>
  <c r="D731" i="5"/>
  <c r="E731" i="5" s="1"/>
  <c r="D727" i="5"/>
  <c r="E727" i="5" s="1"/>
  <c r="D723" i="5"/>
  <c r="E723" i="5" s="1"/>
  <c r="D719" i="5"/>
  <c r="E719" i="5" s="1"/>
  <c r="D715" i="5"/>
  <c r="E715" i="5" s="1"/>
  <c r="D711" i="5"/>
  <c r="E711" i="5" s="1"/>
  <c r="D707" i="5"/>
  <c r="E707" i="5" s="1"/>
  <c r="D703" i="5"/>
  <c r="E703" i="5" s="1"/>
  <c r="D699" i="5"/>
  <c r="E699" i="5" s="1"/>
  <c r="D695" i="5"/>
  <c r="E695" i="5" s="1"/>
  <c r="D691" i="5"/>
  <c r="E691" i="5" s="1"/>
  <c r="D687" i="5"/>
  <c r="E687" i="5" s="1"/>
  <c r="D683" i="5"/>
  <c r="E683" i="5" s="1"/>
  <c r="D679" i="5"/>
  <c r="E679" i="5" s="1"/>
  <c r="D675" i="5"/>
  <c r="E675" i="5" s="1"/>
  <c r="D671" i="5"/>
  <c r="E671" i="5" s="1"/>
  <c r="D667" i="5"/>
  <c r="E667" i="5" s="1"/>
  <c r="D663" i="5"/>
  <c r="E663" i="5" s="1"/>
  <c r="D659" i="5"/>
  <c r="E659" i="5" s="1"/>
  <c r="D655" i="5"/>
  <c r="E655" i="5" s="1"/>
  <c r="D651" i="5"/>
  <c r="E651" i="5" s="1"/>
  <c r="D647" i="5"/>
  <c r="E647" i="5" s="1"/>
  <c r="D643" i="5"/>
  <c r="E643" i="5" s="1"/>
  <c r="D639" i="5"/>
  <c r="E639" i="5" s="1"/>
  <c r="D635" i="5"/>
  <c r="E635" i="5" s="1"/>
  <c r="D631" i="5"/>
  <c r="E631" i="5" s="1"/>
  <c r="D627" i="5"/>
  <c r="E627" i="5" s="1"/>
  <c r="D623" i="5"/>
  <c r="E623" i="5" s="1"/>
  <c r="D619" i="5"/>
  <c r="E619" i="5" s="1"/>
  <c r="D615" i="5"/>
  <c r="E615" i="5" s="1"/>
  <c r="D611" i="5"/>
  <c r="E611" i="5" s="1"/>
  <c r="D607" i="5"/>
  <c r="E607" i="5" s="1"/>
  <c r="D603" i="5"/>
  <c r="E603" i="5" s="1"/>
  <c r="D599" i="5"/>
  <c r="E599" i="5" s="1"/>
  <c r="D595" i="5"/>
  <c r="E595" i="5" s="1"/>
  <c r="D591" i="5"/>
  <c r="E591" i="5" s="1"/>
  <c r="D587" i="5"/>
  <c r="E587" i="5" s="1"/>
  <c r="D583" i="5"/>
  <c r="E583" i="5" s="1"/>
  <c r="D579" i="5"/>
  <c r="E579" i="5" s="1"/>
  <c r="D575" i="5"/>
  <c r="E575" i="5" s="1"/>
  <c r="D571" i="5"/>
  <c r="E571" i="5" s="1"/>
  <c r="D567" i="5"/>
  <c r="E567" i="5" s="1"/>
  <c r="D563" i="5"/>
  <c r="E563" i="5" s="1"/>
  <c r="D559" i="5"/>
  <c r="E559" i="5" s="1"/>
  <c r="D555" i="5"/>
  <c r="E555" i="5" s="1"/>
  <c r="D551" i="5"/>
  <c r="E551" i="5" s="1"/>
  <c r="D547" i="5"/>
  <c r="E547" i="5" s="1"/>
  <c r="D543" i="5"/>
  <c r="E543" i="5" s="1"/>
  <c r="D539" i="5"/>
  <c r="E539" i="5" s="1"/>
  <c r="D535" i="5"/>
  <c r="E535" i="5" s="1"/>
  <c r="D531" i="5"/>
  <c r="E531" i="5" s="1"/>
  <c r="D527" i="5"/>
  <c r="E527" i="5" s="1"/>
  <c r="D523" i="5"/>
  <c r="E523" i="5" s="1"/>
  <c r="D519" i="5"/>
  <c r="E519" i="5" s="1"/>
  <c r="D515" i="5"/>
  <c r="E515" i="5" s="1"/>
  <c r="D511" i="5"/>
  <c r="E511" i="5" s="1"/>
  <c r="D507" i="5"/>
  <c r="E507" i="5" s="1"/>
  <c r="D503" i="5"/>
  <c r="E503" i="5" s="1"/>
  <c r="D499" i="5"/>
  <c r="E499" i="5" s="1"/>
  <c r="D495" i="5"/>
  <c r="E495" i="5" s="1"/>
  <c r="D491" i="5"/>
  <c r="E491" i="5" s="1"/>
  <c r="D489" i="5"/>
  <c r="E489" i="5" s="1"/>
  <c r="D487" i="5"/>
  <c r="E487" i="5" s="1"/>
  <c r="D485" i="5"/>
  <c r="E485" i="5" s="1"/>
  <c r="D483" i="5"/>
  <c r="E483" i="5" s="1"/>
  <c r="D481" i="5"/>
  <c r="E481" i="5" s="1"/>
  <c r="D479" i="5"/>
  <c r="E479" i="5" s="1"/>
  <c r="D477" i="5"/>
  <c r="E477" i="5" s="1"/>
  <c r="D475" i="5"/>
  <c r="E475" i="5" s="1"/>
  <c r="D473" i="5"/>
  <c r="E473" i="5" s="1"/>
  <c r="D471" i="5"/>
  <c r="E471" i="5" s="1"/>
  <c r="D469" i="5"/>
  <c r="E469" i="5" s="1"/>
  <c r="D467" i="5"/>
  <c r="E467" i="5" s="1"/>
  <c r="D465" i="5"/>
  <c r="E465" i="5" s="1"/>
  <c r="D463" i="5"/>
  <c r="E463" i="5" s="1"/>
  <c r="D461" i="5"/>
  <c r="E461" i="5" s="1"/>
  <c r="D459" i="5"/>
  <c r="E459" i="5" s="1"/>
  <c r="D457" i="5"/>
  <c r="E457" i="5" s="1"/>
  <c r="D455" i="5"/>
  <c r="E455" i="5" s="1"/>
  <c r="D453" i="5"/>
  <c r="E453" i="5" s="1"/>
  <c r="D451" i="5"/>
  <c r="E451" i="5" s="1"/>
  <c r="D449" i="5"/>
  <c r="E449" i="5" s="1"/>
  <c r="D447" i="5"/>
  <c r="E447" i="5" s="1"/>
  <c r="D445" i="5"/>
  <c r="E445" i="5" s="1"/>
  <c r="D443" i="5"/>
  <c r="E443" i="5" s="1"/>
  <c r="D441" i="5"/>
  <c r="E441" i="5" s="1"/>
  <c r="D439" i="5"/>
  <c r="E439" i="5" s="1"/>
  <c r="D437" i="5"/>
  <c r="E437" i="5" s="1"/>
  <c r="D435" i="5"/>
  <c r="E435" i="5" s="1"/>
  <c r="D433" i="5"/>
  <c r="E433" i="5" s="1"/>
  <c r="D431" i="5"/>
  <c r="E431" i="5" s="1"/>
  <c r="D429" i="5"/>
  <c r="E429" i="5" s="1"/>
  <c r="D427" i="5"/>
  <c r="E427" i="5" s="1"/>
  <c r="D425" i="5"/>
  <c r="E425" i="5" s="1"/>
  <c r="D423" i="5"/>
  <c r="E423" i="5" s="1"/>
  <c r="D421" i="5"/>
  <c r="E421" i="5" s="1"/>
  <c r="D419" i="5"/>
  <c r="E419" i="5" s="1"/>
  <c r="D417" i="5"/>
  <c r="E417" i="5" s="1"/>
  <c r="D415" i="5"/>
  <c r="E415" i="5" s="1"/>
  <c r="D413" i="5"/>
  <c r="E413" i="5" s="1"/>
  <c r="D411" i="5"/>
  <c r="E411" i="5" s="1"/>
  <c r="D409" i="5"/>
  <c r="E409" i="5" s="1"/>
  <c r="D407" i="5"/>
  <c r="E407" i="5" s="1"/>
  <c r="D405" i="5"/>
  <c r="E405" i="5" s="1"/>
  <c r="D403" i="5"/>
  <c r="E403" i="5" s="1"/>
  <c r="D401" i="5"/>
  <c r="E401" i="5" s="1"/>
  <c r="D399" i="5"/>
  <c r="E399" i="5" s="1"/>
  <c r="D397" i="5"/>
  <c r="E397" i="5" s="1"/>
  <c r="D395" i="5"/>
  <c r="E395" i="5" s="1"/>
  <c r="D393" i="5"/>
  <c r="E393" i="5" s="1"/>
  <c r="D391" i="5"/>
  <c r="E391" i="5" s="1"/>
  <c r="D389" i="5"/>
  <c r="E389" i="5" s="1"/>
  <c r="D387" i="5"/>
  <c r="E387" i="5" s="1"/>
  <c r="D385" i="5"/>
  <c r="E385" i="5" s="1"/>
  <c r="D383" i="5"/>
  <c r="E383" i="5" s="1"/>
  <c r="D381" i="5"/>
  <c r="E381" i="5" s="1"/>
  <c r="D379" i="5"/>
  <c r="E379" i="5" s="1"/>
  <c r="D377" i="5"/>
  <c r="E377" i="5" s="1"/>
  <c r="D375" i="5"/>
  <c r="E375" i="5" s="1"/>
  <c r="D373" i="5"/>
  <c r="E373" i="5" s="1"/>
  <c r="D371" i="5"/>
  <c r="E371" i="5" s="1"/>
  <c r="D369" i="5"/>
  <c r="E369" i="5" s="1"/>
  <c r="D367" i="5"/>
  <c r="E367" i="5" s="1"/>
  <c r="D365" i="5"/>
  <c r="E365" i="5" s="1"/>
  <c r="D363" i="5"/>
  <c r="E363" i="5" s="1"/>
  <c r="D361" i="5"/>
  <c r="E361" i="5" s="1"/>
  <c r="D359" i="5"/>
  <c r="E359" i="5" s="1"/>
  <c r="D357" i="5"/>
  <c r="E357" i="5" s="1"/>
  <c r="D355" i="5"/>
  <c r="E355" i="5" s="1"/>
  <c r="D353" i="5"/>
  <c r="E353" i="5" s="1"/>
  <c r="D351" i="5"/>
  <c r="E351" i="5" s="1"/>
  <c r="D349" i="5"/>
  <c r="E349" i="5" s="1"/>
  <c r="D347" i="5"/>
  <c r="E347" i="5" s="1"/>
  <c r="D345" i="5"/>
  <c r="E345" i="5" s="1"/>
  <c r="D343" i="5"/>
  <c r="E343" i="5" s="1"/>
  <c r="D341" i="5"/>
  <c r="E341" i="5" s="1"/>
  <c r="D339" i="5"/>
  <c r="E339" i="5" s="1"/>
  <c r="D337" i="5"/>
  <c r="E337" i="5" s="1"/>
  <c r="D335" i="5"/>
  <c r="E335" i="5" s="1"/>
  <c r="D333" i="5"/>
  <c r="E333" i="5" s="1"/>
  <c r="D331" i="5"/>
  <c r="E331" i="5" s="1"/>
  <c r="D329" i="5"/>
  <c r="E329" i="5" s="1"/>
  <c r="D327" i="5"/>
  <c r="E327" i="5" s="1"/>
  <c r="D325" i="5"/>
  <c r="E325" i="5" s="1"/>
  <c r="D323" i="5"/>
  <c r="E323" i="5" s="1"/>
  <c r="D321" i="5"/>
  <c r="E321" i="5" s="1"/>
  <c r="D319" i="5"/>
  <c r="E319" i="5" s="1"/>
  <c r="D317" i="5"/>
  <c r="E317" i="5" s="1"/>
  <c r="D315" i="5"/>
  <c r="E315" i="5" s="1"/>
  <c r="D313" i="5"/>
  <c r="E313" i="5" s="1"/>
  <c r="D311" i="5"/>
  <c r="E311" i="5" s="1"/>
  <c r="D309" i="5"/>
  <c r="E309" i="5" s="1"/>
  <c r="D307" i="5"/>
  <c r="E307" i="5" s="1"/>
  <c r="D305" i="5"/>
  <c r="E305" i="5" s="1"/>
  <c r="D303" i="5"/>
  <c r="E303" i="5" s="1"/>
  <c r="D301" i="5"/>
  <c r="E301" i="5" s="1"/>
  <c r="D299" i="5"/>
  <c r="E299" i="5" s="1"/>
  <c r="D295" i="5"/>
  <c r="E295" i="5" s="1"/>
  <c r="D292" i="5"/>
  <c r="D290" i="5"/>
  <c r="D288" i="5"/>
  <c r="D286" i="5"/>
  <c r="D284" i="5"/>
  <c r="D282" i="5"/>
  <c r="D280" i="5"/>
  <c r="D278" i="5"/>
  <c r="D276" i="5"/>
  <c r="D274" i="5"/>
  <c r="D272" i="5"/>
  <c r="D270" i="5"/>
  <c r="D268" i="5"/>
  <c r="D266" i="5"/>
  <c r="D264" i="5"/>
  <c r="D262" i="5"/>
  <c r="D260" i="5"/>
  <c r="D258" i="5"/>
  <c r="D256" i="5"/>
  <c r="D254" i="5"/>
  <c r="D252" i="5"/>
  <c r="D250" i="5"/>
  <c r="D248" i="5"/>
  <c r="D246" i="5"/>
  <c r="D244" i="5"/>
  <c r="D242" i="5"/>
  <c r="D240" i="5"/>
  <c r="D238" i="5"/>
  <c r="D236" i="5"/>
  <c r="D234" i="5"/>
  <c r="D232" i="5"/>
  <c r="D230" i="5"/>
  <c r="D228" i="5"/>
  <c r="D226" i="5"/>
  <c r="D224" i="5"/>
  <c r="D222" i="5"/>
  <c r="D220" i="5"/>
  <c r="D218" i="5"/>
  <c r="D216" i="5"/>
  <c r="D214" i="5"/>
  <c r="D212" i="5"/>
  <c r="D210" i="5"/>
  <c r="D208" i="5"/>
  <c r="D206" i="5"/>
  <c r="D204" i="5"/>
  <c r="D202" i="5"/>
  <c r="D200" i="5"/>
  <c r="D198" i="5"/>
  <c r="D196" i="5"/>
  <c r="D194" i="5"/>
  <c r="D192" i="5"/>
  <c r="D190" i="5"/>
  <c r="D188" i="5"/>
  <c r="D186" i="5"/>
  <c r="D184" i="5"/>
  <c r="D182" i="5"/>
  <c r="D180" i="5"/>
  <c r="D178" i="5"/>
  <c r="D176" i="5"/>
  <c r="D174" i="5"/>
  <c r="D172" i="5"/>
  <c r="D170" i="5"/>
  <c r="D168" i="5"/>
  <c r="D166" i="5"/>
  <c r="D164" i="5"/>
  <c r="D162" i="5"/>
  <c r="D160" i="5"/>
  <c r="D158" i="5"/>
  <c r="D156" i="5"/>
  <c r="D154" i="5"/>
  <c r="D152" i="5"/>
  <c r="D150" i="5"/>
  <c r="D148" i="5"/>
  <c r="D146" i="5"/>
  <c r="D144" i="5"/>
  <c r="D142" i="5"/>
  <c r="D140" i="5"/>
  <c r="D138" i="5"/>
  <c r="D136" i="5"/>
  <c r="D134" i="5"/>
  <c r="D132" i="5"/>
  <c r="D130" i="5"/>
  <c r="D128" i="5"/>
  <c r="D126" i="5"/>
  <c r="D124" i="5"/>
  <c r="D122" i="5"/>
  <c r="D120" i="5"/>
  <c r="D118" i="5"/>
  <c r="D116" i="5"/>
  <c r="D114" i="5"/>
  <c r="D112" i="5"/>
  <c r="D110" i="5"/>
  <c r="D108" i="5"/>
  <c r="D106" i="5"/>
  <c r="D104" i="5"/>
  <c r="D102" i="5"/>
  <c r="D100" i="5"/>
  <c r="D98" i="5"/>
  <c r="D96" i="5"/>
  <c r="D94" i="5"/>
  <c r="D92" i="5"/>
  <c r="D90" i="5"/>
  <c r="D88" i="5"/>
  <c r="D86" i="5"/>
  <c r="D84" i="5"/>
  <c r="D82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D54" i="5"/>
  <c r="D52" i="5"/>
  <c r="D50" i="5"/>
  <c r="D48" i="5"/>
  <c r="D46" i="5"/>
  <c r="D44" i="5"/>
  <c r="D42" i="5"/>
  <c r="D40" i="5"/>
  <c r="D38" i="5"/>
  <c r="D36" i="5"/>
  <c r="D34" i="5"/>
  <c r="D32" i="5"/>
  <c r="D30" i="5"/>
  <c r="D28" i="5"/>
  <c r="D26" i="5"/>
  <c r="D24" i="5"/>
  <c r="D22" i="5"/>
  <c r="D20" i="5"/>
  <c r="D18" i="5"/>
  <c r="D16" i="5"/>
  <c r="D14" i="5"/>
  <c r="D12" i="5"/>
  <c r="D10" i="5"/>
  <c r="D8" i="5"/>
  <c r="D6" i="5"/>
  <c r="D4" i="5"/>
  <c r="D1001" i="5"/>
  <c r="E1001" i="5" s="1"/>
  <c r="D297" i="5"/>
  <c r="E297" i="5" s="1"/>
  <c r="D293" i="5"/>
  <c r="E293" i="5" s="1"/>
  <c r="D291" i="5"/>
  <c r="E291" i="5" s="1"/>
  <c r="D289" i="5"/>
  <c r="E289" i="5" s="1"/>
  <c r="D287" i="5"/>
  <c r="E287" i="5" s="1"/>
  <c r="D285" i="5"/>
  <c r="E285" i="5" s="1"/>
  <c r="D283" i="5"/>
  <c r="E283" i="5" s="1"/>
  <c r="D281" i="5"/>
  <c r="E281" i="5" s="1"/>
  <c r="D279" i="5"/>
  <c r="E279" i="5" s="1"/>
  <c r="D277" i="5"/>
  <c r="E277" i="5" s="1"/>
  <c r="D275" i="5"/>
  <c r="E275" i="5" s="1"/>
  <c r="D273" i="5"/>
  <c r="E273" i="5" s="1"/>
  <c r="D271" i="5"/>
  <c r="E271" i="5" s="1"/>
  <c r="D269" i="5"/>
  <c r="E269" i="5" s="1"/>
  <c r="D267" i="5"/>
  <c r="E267" i="5" s="1"/>
  <c r="D265" i="5"/>
  <c r="E265" i="5" s="1"/>
  <c r="D263" i="5"/>
  <c r="E263" i="5" s="1"/>
  <c r="D261" i="5"/>
  <c r="E261" i="5" s="1"/>
  <c r="D259" i="5"/>
  <c r="E259" i="5" s="1"/>
  <c r="D257" i="5"/>
  <c r="E257" i="5" s="1"/>
  <c r="D255" i="5"/>
  <c r="E255" i="5" s="1"/>
  <c r="D253" i="5"/>
  <c r="E253" i="5" s="1"/>
  <c r="D251" i="5"/>
  <c r="E251" i="5" s="1"/>
  <c r="D249" i="5"/>
  <c r="E249" i="5" s="1"/>
  <c r="D247" i="5"/>
  <c r="E247" i="5" s="1"/>
  <c r="D245" i="5"/>
  <c r="E245" i="5" s="1"/>
  <c r="D243" i="5"/>
  <c r="E243" i="5" s="1"/>
  <c r="D241" i="5"/>
  <c r="E241" i="5" s="1"/>
  <c r="D239" i="5"/>
  <c r="E239" i="5" s="1"/>
  <c r="D237" i="5"/>
  <c r="E237" i="5" s="1"/>
  <c r="D235" i="5"/>
  <c r="E235" i="5" s="1"/>
  <c r="D233" i="5"/>
  <c r="E233" i="5" s="1"/>
  <c r="D231" i="5"/>
  <c r="E231" i="5" s="1"/>
  <c r="D229" i="5"/>
  <c r="E229" i="5" s="1"/>
  <c r="D227" i="5"/>
  <c r="E227" i="5" s="1"/>
  <c r="D225" i="5"/>
  <c r="E225" i="5" s="1"/>
  <c r="D223" i="5"/>
  <c r="E223" i="5" s="1"/>
  <c r="D221" i="5"/>
  <c r="E221" i="5" s="1"/>
  <c r="D219" i="5"/>
  <c r="E219" i="5" s="1"/>
  <c r="D217" i="5"/>
  <c r="E217" i="5" s="1"/>
  <c r="D215" i="5"/>
  <c r="E215" i="5" s="1"/>
  <c r="D213" i="5"/>
  <c r="E213" i="5" s="1"/>
  <c r="D211" i="5"/>
  <c r="E211" i="5" s="1"/>
  <c r="D209" i="5"/>
  <c r="E209" i="5" s="1"/>
  <c r="D207" i="5"/>
  <c r="E207" i="5" s="1"/>
  <c r="D205" i="5"/>
  <c r="E205" i="5" s="1"/>
  <c r="D203" i="5"/>
  <c r="E203" i="5" s="1"/>
  <c r="D201" i="5"/>
  <c r="E201" i="5" s="1"/>
  <c r="D199" i="5"/>
  <c r="E199" i="5" s="1"/>
  <c r="D197" i="5"/>
  <c r="E197" i="5" s="1"/>
  <c r="D195" i="5"/>
  <c r="E195" i="5" s="1"/>
  <c r="D193" i="5"/>
  <c r="E193" i="5" s="1"/>
  <c r="D191" i="5"/>
  <c r="E191" i="5" s="1"/>
  <c r="D189" i="5"/>
  <c r="E189" i="5" s="1"/>
  <c r="D187" i="5"/>
  <c r="E187" i="5" s="1"/>
  <c r="D185" i="5"/>
  <c r="E185" i="5" s="1"/>
  <c r="D183" i="5"/>
  <c r="E183" i="5" s="1"/>
  <c r="D181" i="5"/>
  <c r="E181" i="5" s="1"/>
  <c r="D179" i="5"/>
  <c r="E179" i="5" s="1"/>
  <c r="D177" i="5"/>
  <c r="E177" i="5" s="1"/>
  <c r="D175" i="5"/>
  <c r="E175" i="5" s="1"/>
  <c r="D173" i="5"/>
  <c r="E173" i="5" s="1"/>
  <c r="D171" i="5"/>
  <c r="E171" i="5" s="1"/>
  <c r="D169" i="5"/>
  <c r="E169" i="5" s="1"/>
  <c r="D167" i="5"/>
  <c r="E167" i="5" s="1"/>
  <c r="D165" i="5"/>
  <c r="E165" i="5" s="1"/>
  <c r="D163" i="5"/>
  <c r="E163" i="5" s="1"/>
  <c r="D161" i="5"/>
  <c r="E161" i="5" s="1"/>
  <c r="D159" i="5"/>
  <c r="E159" i="5" s="1"/>
  <c r="D157" i="5"/>
  <c r="E157" i="5" s="1"/>
  <c r="D155" i="5"/>
  <c r="E155" i="5" s="1"/>
  <c r="D153" i="5"/>
  <c r="E153" i="5" s="1"/>
  <c r="D151" i="5"/>
  <c r="E151" i="5" s="1"/>
  <c r="D149" i="5"/>
  <c r="E149" i="5" s="1"/>
  <c r="D147" i="5"/>
  <c r="E147" i="5" s="1"/>
  <c r="D145" i="5"/>
  <c r="E145" i="5" s="1"/>
  <c r="D143" i="5"/>
  <c r="E143" i="5" s="1"/>
  <c r="D141" i="5"/>
  <c r="E141" i="5" s="1"/>
  <c r="D139" i="5"/>
  <c r="E139" i="5" s="1"/>
  <c r="D137" i="5"/>
  <c r="E137" i="5" s="1"/>
  <c r="D135" i="5"/>
  <c r="E135" i="5" s="1"/>
  <c r="D133" i="5"/>
  <c r="E133" i="5" s="1"/>
  <c r="D131" i="5"/>
  <c r="E131" i="5" s="1"/>
  <c r="D129" i="5"/>
  <c r="E129" i="5" s="1"/>
  <c r="D127" i="5"/>
  <c r="E127" i="5" s="1"/>
  <c r="D125" i="5"/>
  <c r="E125" i="5" s="1"/>
  <c r="D123" i="5"/>
  <c r="E123" i="5" s="1"/>
  <c r="D121" i="5"/>
  <c r="E121" i="5" s="1"/>
  <c r="D119" i="5"/>
  <c r="E119" i="5" s="1"/>
  <c r="D117" i="5"/>
  <c r="E117" i="5" s="1"/>
  <c r="D115" i="5"/>
  <c r="E115" i="5" s="1"/>
  <c r="D113" i="5"/>
  <c r="E113" i="5" s="1"/>
  <c r="D111" i="5"/>
  <c r="E111" i="5" s="1"/>
  <c r="D109" i="5"/>
  <c r="E109" i="5" s="1"/>
  <c r="D107" i="5"/>
  <c r="E107" i="5" s="1"/>
  <c r="D105" i="5"/>
  <c r="E105" i="5" s="1"/>
  <c r="D103" i="5"/>
  <c r="E103" i="5" s="1"/>
  <c r="D101" i="5"/>
  <c r="E101" i="5" s="1"/>
  <c r="D99" i="5"/>
  <c r="E99" i="5" s="1"/>
  <c r="D97" i="5"/>
  <c r="E97" i="5" s="1"/>
  <c r="D95" i="5"/>
  <c r="E95" i="5" s="1"/>
  <c r="D93" i="5"/>
  <c r="E93" i="5" s="1"/>
  <c r="D91" i="5"/>
  <c r="E91" i="5" s="1"/>
  <c r="D89" i="5"/>
  <c r="E89" i="5" s="1"/>
  <c r="D87" i="5"/>
  <c r="E87" i="5" s="1"/>
  <c r="D85" i="5"/>
  <c r="E85" i="5" s="1"/>
  <c r="D83" i="5"/>
  <c r="E83" i="5" s="1"/>
  <c r="D81" i="5"/>
  <c r="E81" i="5" s="1"/>
  <c r="D79" i="5"/>
  <c r="E79" i="5" s="1"/>
  <c r="D77" i="5"/>
  <c r="E77" i="5" s="1"/>
  <c r="D75" i="5"/>
  <c r="E75" i="5" s="1"/>
  <c r="D73" i="5"/>
  <c r="E73" i="5" s="1"/>
  <c r="D71" i="5"/>
  <c r="E71" i="5" s="1"/>
  <c r="D69" i="5"/>
  <c r="E69" i="5" s="1"/>
  <c r="D67" i="5"/>
  <c r="E67" i="5" s="1"/>
  <c r="D65" i="5"/>
  <c r="E65" i="5" s="1"/>
  <c r="D63" i="5"/>
  <c r="E63" i="5" s="1"/>
  <c r="D61" i="5"/>
  <c r="E61" i="5" s="1"/>
  <c r="D59" i="5"/>
  <c r="E59" i="5" s="1"/>
  <c r="D57" i="5"/>
  <c r="E57" i="5" s="1"/>
  <c r="D55" i="5"/>
  <c r="E55" i="5" s="1"/>
  <c r="D53" i="5"/>
  <c r="E53" i="5" s="1"/>
  <c r="D51" i="5"/>
  <c r="E51" i="5" s="1"/>
  <c r="D49" i="5"/>
  <c r="E49" i="5" s="1"/>
  <c r="D47" i="5"/>
  <c r="E47" i="5" s="1"/>
  <c r="D45" i="5"/>
  <c r="E45" i="5" s="1"/>
  <c r="D43" i="5"/>
  <c r="E43" i="5" s="1"/>
  <c r="D41" i="5"/>
  <c r="E41" i="5" s="1"/>
  <c r="F41" i="5" s="1"/>
  <c r="D39" i="5"/>
  <c r="E39" i="5" s="1"/>
  <c r="D37" i="5"/>
  <c r="E37" i="5" s="1"/>
  <c r="F37" i="5" s="1"/>
  <c r="D35" i="5"/>
  <c r="E35" i="5" s="1"/>
  <c r="D33" i="5"/>
  <c r="E33" i="5" s="1"/>
  <c r="F33" i="5" s="1"/>
  <c r="D31" i="5"/>
  <c r="E31" i="5" s="1"/>
  <c r="D29" i="5"/>
  <c r="E29" i="5" s="1"/>
  <c r="F29" i="5" s="1"/>
  <c r="D27" i="5"/>
  <c r="E27" i="5" s="1"/>
  <c r="D25" i="5"/>
  <c r="E25" i="5" s="1"/>
  <c r="F25" i="5" s="1"/>
  <c r="D23" i="5"/>
  <c r="E23" i="5" s="1"/>
  <c r="D21" i="5"/>
  <c r="E21" i="5" s="1"/>
  <c r="F21" i="5" s="1"/>
  <c r="D19" i="5"/>
  <c r="E19" i="5" s="1"/>
  <c r="D17" i="5"/>
  <c r="E17" i="5" s="1"/>
  <c r="F17" i="5" s="1"/>
  <c r="D15" i="5"/>
  <c r="E15" i="5" s="1"/>
  <c r="D13" i="5"/>
  <c r="E13" i="5" s="1"/>
  <c r="F13" i="5" s="1"/>
  <c r="D11" i="5"/>
  <c r="E11" i="5" s="1"/>
  <c r="D9" i="5"/>
  <c r="E9" i="5" s="1"/>
  <c r="F9" i="5" s="1"/>
  <c r="D7" i="5"/>
  <c r="E7" i="5" s="1"/>
  <c r="D5" i="5"/>
  <c r="E5" i="5" s="1"/>
  <c r="F5" i="5" s="1"/>
  <c r="D3" i="5"/>
  <c r="E3" i="5" s="1"/>
  <c r="G5" i="5"/>
  <c r="G3" i="5"/>
  <c r="F3" i="5"/>
  <c r="G7" i="5"/>
  <c r="F7" i="5"/>
  <c r="G9" i="5"/>
  <c r="G11" i="5"/>
  <c r="F11" i="5"/>
  <c r="G13" i="5"/>
  <c r="G15" i="5"/>
  <c r="F15" i="5"/>
  <c r="G17" i="5"/>
  <c r="G19" i="5"/>
  <c r="F19" i="5"/>
  <c r="G21" i="5"/>
  <c r="G23" i="5"/>
  <c r="F23" i="5"/>
  <c r="G25" i="5"/>
  <c r="G27" i="5"/>
  <c r="F27" i="5"/>
  <c r="G29" i="5"/>
  <c r="G31" i="5"/>
  <c r="F31" i="5"/>
  <c r="G33" i="5"/>
  <c r="G35" i="5"/>
  <c r="F35" i="5"/>
  <c r="G37" i="5"/>
  <c r="G39" i="5"/>
  <c r="F39" i="5"/>
  <c r="G41" i="5"/>
  <c r="G43" i="5"/>
  <c r="F43" i="5"/>
  <c r="G45" i="5"/>
  <c r="F45" i="5"/>
  <c r="G47" i="5"/>
  <c r="F47" i="5"/>
  <c r="G49" i="5"/>
  <c r="F49" i="5"/>
  <c r="G51" i="5"/>
  <c r="F51" i="5"/>
  <c r="G53" i="5"/>
  <c r="F53" i="5"/>
  <c r="G55" i="5"/>
  <c r="F55" i="5"/>
  <c r="G57" i="5"/>
  <c r="F57" i="5"/>
  <c r="G59" i="5"/>
  <c r="F59" i="5"/>
  <c r="G61" i="5"/>
  <c r="F61" i="5"/>
  <c r="G63" i="5"/>
  <c r="F63" i="5"/>
  <c r="F65" i="5"/>
  <c r="G65" i="5"/>
  <c r="G67" i="5"/>
  <c r="F67" i="5"/>
  <c r="F69" i="5"/>
  <c r="G69" i="5"/>
  <c r="G71" i="5"/>
  <c r="F71" i="5"/>
  <c r="F73" i="5"/>
  <c r="G73" i="5"/>
  <c r="G75" i="5"/>
  <c r="F75" i="5"/>
  <c r="F77" i="5"/>
  <c r="G77" i="5"/>
  <c r="G79" i="5"/>
  <c r="F79" i="5"/>
  <c r="F81" i="5"/>
  <c r="G81" i="5"/>
  <c r="G83" i="5"/>
  <c r="F83" i="5"/>
  <c r="F85" i="5"/>
  <c r="G85" i="5"/>
  <c r="G87" i="5"/>
  <c r="F87" i="5"/>
  <c r="F89" i="5"/>
  <c r="G89" i="5"/>
  <c r="G91" i="5"/>
  <c r="F91" i="5"/>
  <c r="F93" i="5"/>
  <c r="G93" i="5"/>
  <c r="G95" i="5"/>
  <c r="F95" i="5"/>
  <c r="F97" i="5"/>
  <c r="G97" i="5"/>
  <c r="G99" i="5"/>
  <c r="F99" i="5"/>
  <c r="F101" i="5"/>
  <c r="G101" i="5"/>
  <c r="G103" i="5"/>
  <c r="F103" i="5"/>
  <c r="F105" i="5"/>
  <c r="G105" i="5"/>
  <c r="G107" i="5"/>
  <c r="F107" i="5"/>
  <c r="F109" i="5"/>
  <c r="G109" i="5"/>
  <c r="G111" i="5"/>
  <c r="F111" i="5"/>
  <c r="F113" i="5"/>
  <c r="G113" i="5"/>
  <c r="G115" i="5"/>
  <c r="F115" i="5"/>
  <c r="F117" i="5"/>
  <c r="G117" i="5"/>
  <c r="G119" i="5"/>
  <c r="F119" i="5"/>
  <c r="F121" i="5"/>
  <c r="G121" i="5"/>
  <c r="G123" i="5"/>
  <c r="F123" i="5"/>
  <c r="F125" i="5"/>
  <c r="G125" i="5"/>
  <c r="G127" i="5"/>
  <c r="F127" i="5"/>
  <c r="F129" i="5"/>
  <c r="G129" i="5"/>
  <c r="G131" i="5"/>
  <c r="F131" i="5"/>
  <c r="F133" i="5"/>
  <c r="G133" i="5"/>
  <c r="G135" i="5"/>
  <c r="F135" i="5"/>
  <c r="F137" i="5"/>
  <c r="G137" i="5"/>
  <c r="G139" i="5"/>
  <c r="F139" i="5"/>
  <c r="F141" i="5"/>
  <c r="G141" i="5"/>
  <c r="G143" i="5"/>
  <c r="F143" i="5"/>
  <c r="F145" i="5"/>
  <c r="G145" i="5"/>
  <c r="G147" i="5"/>
  <c r="F147" i="5"/>
  <c r="F149" i="5"/>
  <c r="G149" i="5"/>
  <c r="G151" i="5"/>
  <c r="F151" i="5"/>
  <c r="F153" i="5"/>
  <c r="G153" i="5"/>
  <c r="G155" i="5"/>
  <c r="F155" i="5"/>
  <c r="F157" i="5"/>
  <c r="G157" i="5"/>
  <c r="G159" i="5"/>
  <c r="F159" i="5"/>
  <c r="F161" i="5"/>
  <c r="G161" i="5"/>
  <c r="G163" i="5"/>
  <c r="F163" i="5"/>
  <c r="F165" i="5"/>
  <c r="G165" i="5"/>
  <c r="G167" i="5"/>
  <c r="F167" i="5"/>
  <c r="F169" i="5"/>
  <c r="G169" i="5"/>
  <c r="G171" i="5"/>
  <c r="F171" i="5"/>
  <c r="F173" i="5"/>
  <c r="G173" i="5"/>
  <c r="G175" i="5"/>
  <c r="F175" i="5"/>
  <c r="F177" i="5"/>
  <c r="G177" i="5"/>
  <c r="G179" i="5"/>
  <c r="F179" i="5"/>
  <c r="F181" i="5"/>
  <c r="G181" i="5"/>
  <c r="G183" i="5"/>
  <c r="F183" i="5"/>
  <c r="F185" i="5"/>
  <c r="G185" i="5"/>
  <c r="G187" i="5"/>
  <c r="F187" i="5"/>
  <c r="F189" i="5"/>
  <c r="G189" i="5"/>
  <c r="G191" i="5"/>
  <c r="F191" i="5"/>
  <c r="F193" i="5"/>
  <c r="G193" i="5"/>
  <c r="G195" i="5"/>
  <c r="F195" i="5"/>
  <c r="F197" i="5"/>
  <c r="G197" i="5"/>
  <c r="G199" i="5"/>
  <c r="F199" i="5"/>
  <c r="F201" i="5"/>
  <c r="G201" i="5"/>
  <c r="G203" i="5"/>
  <c r="F203" i="5"/>
  <c r="F205" i="5"/>
  <c r="G205" i="5"/>
  <c r="G207" i="5"/>
  <c r="F207" i="5"/>
  <c r="F209" i="5"/>
  <c r="G209" i="5"/>
  <c r="G211" i="5"/>
  <c r="F211" i="5"/>
  <c r="F213" i="5"/>
  <c r="G213" i="5"/>
  <c r="G215" i="5"/>
  <c r="F215" i="5"/>
  <c r="F217" i="5"/>
  <c r="G217" i="5"/>
  <c r="G219" i="5"/>
  <c r="F219" i="5"/>
  <c r="F221" i="5"/>
  <c r="G221" i="5"/>
  <c r="G223" i="5"/>
  <c r="F223" i="5"/>
  <c r="F225" i="5"/>
  <c r="G225" i="5"/>
  <c r="G227" i="5"/>
  <c r="F227" i="5"/>
  <c r="F229" i="5"/>
  <c r="G229" i="5"/>
  <c r="G231" i="5"/>
  <c r="F231" i="5"/>
  <c r="F233" i="5"/>
  <c r="G233" i="5"/>
  <c r="G235" i="5"/>
  <c r="F235" i="5"/>
  <c r="F237" i="5"/>
  <c r="G237" i="5"/>
  <c r="G239" i="5"/>
  <c r="F239" i="5"/>
  <c r="F241" i="5"/>
  <c r="G241" i="5"/>
  <c r="G243" i="5"/>
  <c r="F243" i="5"/>
  <c r="F245" i="5"/>
  <c r="G245" i="5"/>
  <c r="G247" i="5"/>
  <c r="F247" i="5"/>
  <c r="F249" i="5"/>
  <c r="G249" i="5"/>
  <c r="G251" i="5"/>
  <c r="F251" i="5"/>
  <c r="F253" i="5"/>
  <c r="G253" i="5"/>
  <c r="G255" i="5"/>
  <c r="F255" i="5"/>
  <c r="F257" i="5"/>
  <c r="G257" i="5"/>
  <c r="G259" i="5"/>
  <c r="F259" i="5"/>
  <c r="F261" i="5"/>
  <c r="G261" i="5"/>
  <c r="G263" i="5"/>
  <c r="F263" i="5"/>
  <c r="F265" i="5"/>
  <c r="G265" i="5"/>
  <c r="G267" i="5"/>
  <c r="F267" i="5"/>
  <c r="F269" i="5"/>
  <c r="G269" i="5"/>
  <c r="G271" i="5"/>
  <c r="F271" i="5"/>
  <c r="F273" i="5"/>
  <c r="G273" i="5"/>
  <c r="G275" i="5"/>
  <c r="F275" i="5"/>
  <c r="F277" i="5"/>
  <c r="G277" i="5"/>
  <c r="G279" i="5"/>
  <c r="F279" i="5"/>
  <c r="F281" i="5"/>
  <c r="G281" i="5"/>
  <c r="G283" i="5"/>
  <c r="F283" i="5"/>
  <c r="F285" i="5"/>
  <c r="G285" i="5"/>
  <c r="G287" i="5"/>
  <c r="F287" i="5"/>
  <c r="F289" i="5"/>
  <c r="G289" i="5"/>
  <c r="G291" i="5"/>
  <c r="F291" i="5"/>
  <c r="F293" i="5"/>
  <c r="G293" i="5"/>
  <c r="G295" i="5"/>
  <c r="F295" i="5"/>
  <c r="F297" i="5"/>
  <c r="G297" i="5"/>
  <c r="G299" i="5"/>
  <c r="F299" i="5"/>
  <c r="F301" i="5"/>
  <c r="G301" i="5"/>
  <c r="G303" i="5"/>
  <c r="F303" i="5"/>
  <c r="F305" i="5"/>
  <c r="G305" i="5"/>
  <c r="G307" i="5"/>
  <c r="F307" i="5"/>
  <c r="F309" i="5"/>
  <c r="G309" i="5"/>
  <c r="G311" i="5"/>
  <c r="F311" i="5"/>
  <c r="F313" i="5"/>
  <c r="G313" i="5"/>
  <c r="G315" i="5"/>
  <c r="F315" i="5"/>
  <c r="F317" i="5"/>
  <c r="G317" i="5"/>
  <c r="G319" i="5"/>
  <c r="F319" i="5"/>
  <c r="F321" i="5"/>
  <c r="G321" i="5"/>
  <c r="G323" i="5"/>
  <c r="F323" i="5"/>
  <c r="F325" i="5"/>
  <c r="G325" i="5"/>
  <c r="G327" i="5"/>
  <c r="F327" i="5"/>
  <c r="F329" i="5"/>
  <c r="G329" i="5"/>
  <c r="G331" i="5"/>
  <c r="F331" i="5"/>
  <c r="F333" i="5"/>
  <c r="G333" i="5"/>
  <c r="G335" i="5"/>
  <c r="F335" i="5"/>
  <c r="F337" i="5"/>
  <c r="G337" i="5"/>
  <c r="G339" i="5"/>
  <c r="F339" i="5"/>
  <c r="F341" i="5"/>
  <c r="G341" i="5"/>
  <c r="G343" i="5"/>
  <c r="F343" i="5"/>
  <c r="F345" i="5"/>
  <c r="G345" i="5"/>
  <c r="G347" i="5"/>
  <c r="F347" i="5"/>
  <c r="F349" i="5"/>
  <c r="G349" i="5"/>
  <c r="G351" i="5"/>
  <c r="F351" i="5"/>
  <c r="F353" i="5"/>
  <c r="G353" i="5"/>
  <c r="G355" i="5"/>
  <c r="F355" i="5"/>
  <c r="F357" i="5"/>
  <c r="G357" i="5"/>
  <c r="G359" i="5"/>
  <c r="F359" i="5"/>
  <c r="F361" i="5"/>
  <c r="G361" i="5"/>
  <c r="G363" i="5"/>
  <c r="F363" i="5"/>
  <c r="F365" i="5"/>
  <c r="G365" i="5"/>
  <c r="G367" i="5"/>
  <c r="F367" i="5"/>
  <c r="F369" i="5"/>
  <c r="G369" i="5"/>
  <c r="G371" i="5"/>
  <c r="F371" i="5"/>
  <c r="F373" i="5"/>
  <c r="G373" i="5"/>
  <c r="G375" i="5"/>
  <c r="F375" i="5"/>
  <c r="F377" i="5"/>
  <c r="G377" i="5"/>
  <c r="G379" i="5"/>
  <c r="F379" i="5"/>
  <c r="F381" i="5"/>
  <c r="G381" i="5"/>
  <c r="G383" i="5"/>
  <c r="F383" i="5"/>
  <c r="F385" i="5"/>
  <c r="G385" i="5"/>
  <c r="G387" i="5"/>
  <c r="F387" i="5"/>
  <c r="F389" i="5"/>
  <c r="G389" i="5"/>
  <c r="G391" i="5"/>
  <c r="F391" i="5"/>
  <c r="F393" i="5"/>
  <c r="G393" i="5"/>
  <c r="G395" i="5"/>
  <c r="F395" i="5"/>
  <c r="F397" i="5"/>
  <c r="G397" i="5"/>
  <c r="G399" i="5"/>
  <c r="F399" i="5"/>
  <c r="F401" i="5"/>
  <c r="G401" i="5"/>
  <c r="G403" i="5"/>
  <c r="F403" i="5"/>
  <c r="F405" i="5"/>
  <c r="G405" i="5"/>
  <c r="G407" i="5"/>
  <c r="F407" i="5"/>
  <c r="F409" i="5"/>
  <c r="G409" i="5"/>
  <c r="G411" i="5"/>
  <c r="F411" i="5"/>
  <c r="F413" i="5"/>
  <c r="G413" i="5"/>
  <c r="G415" i="5"/>
  <c r="F415" i="5"/>
  <c r="F417" i="5"/>
  <c r="G417" i="5"/>
  <c r="G419" i="5"/>
  <c r="F419" i="5"/>
  <c r="F421" i="5"/>
  <c r="G421" i="5"/>
  <c r="G423" i="5"/>
  <c r="F423" i="5"/>
  <c r="F425" i="5"/>
  <c r="G425" i="5"/>
  <c r="G427" i="5"/>
  <c r="F427" i="5"/>
  <c r="F429" i="5"/>
  <c r="G429" i="5"/>
  <c r="G431" i="5"/>
  <c r="F431" i="5"/>
  <c r="F433" i="5"/>
  <c r="G433" i="5"/>
  <c r="G435" i="5"/>
  <c r="F435" i="5"/>
  <c r="F437" i="5"/>
  <c r="G437" i="5"/>
  <c r="G439" i="5"/>
  <c r="F439" i="5"/>
  <c r="F441" i="5"/>
  <c r="G441" i="5"/>
  <c r="G443" i="5"/>
  <c r="F443" i="5"/>
  <c r="F445" i="5"/>
  <c r="G445" i="5"/>
  <c r="G447" i="5"/>
  <c r="F447" i="5"/>
  <c r="F449" i="5"/>
  <c r="G449" i="5"/>
  <c r="G451" i="5"/>
  <c r="F451" i="5"/>
  <c r="F453" i="5"/>
  <c r="G453" i="5"/>
  <c r="G455" i="5"/>
  <c r="F455" i="5"/>
  <c r="F457" i="5"/>
  <c r="G457" i="5"/>
  <c r="G459" i="5"/>
  <c r="F459" i="5"/>
  <c r="F461" i="5"/>
  <c r="G461" i="5"/>
  <c r="G463" i="5"/>
  <c r="F463" i="5"/>
  <c r="F465" i="5"/>
  <c r="G465" i="5"/>
  <c r="G467" i="5"/>
  <c r="F467" i="5"/>
  <c r="F469" i="5"/>
  <c r="G469" i="5"/>
  <c r="G471" i="5"/>
  <c r="F471" i="5"/>
  <c r="F473" i="5"/>
  <c r="G473" i="5"/>
  <c r="G475" i="5"/>
  <c r="F475" i="5"/>
  <c r="F477" i="5"/>
  <c r="G477" i="5"/>
  <c r="G479" i="5"/>
  <c r="F479" i="5"/>
  <c r="F481" i="5"/>
  <c r="G481" i="5"/>
  <c r="G483" i="5"/>
  <c r="F483" i="5"/>
  <c r="F485" i="5"/>
  <c r="G485" i="5"/>
  <c r="G487" i="5"/>
  <c r="F487" i="5"/>
  <c r="F489" i="5"/>
  <c r="G489" i="5"/>
  <c r="G491" i="5"/>
  <c r="F491" i="5"/>
  <c r="F493" i="5"/>
  <c r="G493" i="5"/>
  <c r="G495" i="5"/>
  <c r="F495" i="5"/>
  <c r="F497" i="5"/>
  <c r="G497" i="5"/>
  <c r="G499" i="5"/>
  <c r="F499" i="5"/>
  <c r="F501" i="5"/>
  <c r="G501" i="5"/>
  <c r="G503" i="5"/>
  <c r="F503" i="5"/>
  <c r="F505" i="5"/>
  <c r="G505" i="5"/>
  <c r="G507" i="5"/>
  <c r="F507" i="5"/>
  <c r="F509" i="5"/>
  <c r="G509" i="5"/>
  <c r="G511" i="5"/>
  <c r="F511" i="5"/>
  <c r="F513" i="5"/>
  <c r="G513" i="5"/>
  <c r="G515" i="5"/>
  <c r="F515" i="5"/>
  <c r="F517" i="5"/>
  <c r="G517" i="5"/>
  <c r="G519" i="5"/>
  <c r="F519" i="5"/>
  <c r="F521" i="5"/>
  <c r="G521" i="5"/>
  <c r="G523" i="5"/>
  <c r="F523" i="5"/>
  <c r="F525" i="5"/>
  <c r="G525" i="5"/>
  <c r="G527" i="5"/>
  <c r="F527" i="5"/>
  <c r="F529" i="5"/>
  <c r="G529" i="5"/>
  <c r="G531" i="5"/>
  <c r="F531" i="5"/>
  <c r="F533" i="5"/>
  <c r="G533" i="5"/>
  <c r="G535" i="5"/>
  <c r="F535" i="5"/>
  <c r="F537" i="5"/>
  <c r="G537" i="5"/>
  <c r="G539" i="5"/>
  <c r="F539" i="5"/>
  <c r="F541" i="5"/>
  <c r="G541" i="5"/>
  <c r="G543" i="5"/>
  <c r="F543" i="5"/>
  <c r="F545" i="5"/>
  <c r="G545" i="5"/>
  <c r="G547" i="5"/>
  <c r="F547" i="5"/>
  <c r="F549" i="5"/>
  <c r="G549" i="5"/>
  <c r="G551" i="5"/>
  <c r="F551" i="5"/>
  <c r="F553" i="5"/>
  <c r="G553" i="5"/>
  <c r="G555" i="5"/>
  <c r="F555" i="5"/>
  <c r="F557" i="5"/>
  <c r="G557" i="5"/>
  <c r="G559" i="5"/>
  <c r="F559" i="5"/>
  <c r="F561" i="5"/>
  <c r="G561" i="5"/>
  <c r="G563" i="5"/>
  <c r="F563" i="5"/>
  <c r="F565" i="5"/>
  <c r="G565" i="5"/>
  <c r="G567" i="5"/>
  <c r="F567" i="5"/>
  <c r="F569" i="5"/>
  <c r="G569" i="5"/>
  <c r="G571" i="5"/>
  <c r="F571" i="5"/>
  <c r="F573" i="5"/>
  <c r="G573" i="5"/>
  <c r="G575" i="5"/>
  <c r="F575" i="5"/>
  <c r="G577" i="5"/>
  <c r="F577" i="5"/>
  <c r="F579" i="5"/>
  <c r="G579" i="5"/>
  <c r="G581" i="5"/>
  <c r="F581" i="5"/>
  <c r="G583" i="5"/>
  <c r="F583" i="5"/>
  <c r="G585" i="5"/>
  <c r="F585" i="5"/>
  <c r="F587" i="5"/>
  <c r="G587" i="5"/>
  <c r="G589" i="5"/>
  <c r="F589" i="5"/>
  <c r="G591" i="5"/>
  <c r="F591" i="5"/>
  <c r="G593" i="5"/>
  <c r="F593" i="5"/>
  <c r="F595" i="5"/>
  <c r="G595" i="5"/>
  <c r="G597" i="5"/>
  <c r="F597" i="5"/>
  <c r="G599" i="5"/>
  <c r="F599" i="5"/>
  <c r="G601" i="5"/>
  <c r="F601" i="5"/>
  <c r="F603" i="5"/>
  <c r="G603" i="5"/>
  <c r="G605" i="5"/>
  <c r="F605" i="5"/>
  <c r="G607" i="5"/>
  <c r="F607" i="5"/>
  <c r="G609" i="5"/>
  <c r="F609" i="5"/>
  <c r="F611" i="5"/>
  <c r="G611" i="5"/>
  <c r="G613" i="5"/>
  <c r="F613" i="5"/>
  <c r="G615" i="5"/>
  <c r="F615" i="5"/>
  <c r="G617" i="5"/>
  <c r="F617" i="5"/>
  <c r="F619" i="5"/>
  <c r="G619" i="5"/>
  <c r="G621" i="5"/>
  <c r="F621" i="5"/>
  <c r="G623" i="5"/>
  <c r="F623" i="5"/>
  <c r="G625" i="5"/>
  <c r="F625" i="5"/>
  <c r="F627" i="5"/>
  <c r="G627" i="5"/>
  <c r="G629" i="5"/>
  <c r="F629" i="5"/>
  <c r="G631" i="5"/>
  <c r="F631" i="5"/>
  <c r="G633" i="5"/>
  <c r="F633" i="5"/>
  <c r="F635" i="5"/>
  <c r="G635" i="5"/>
  <c r="G637" i="5"/>
  <c r="F637" i="5"/>
  <c r="G639" i="5"/>
  <c r="F639" i="5"/>
  <c r="G641" i="5"/>
  <c r="F641" i="5"/>
  <c r="F643" i="5"/>
  <c r="G643" i="5"/>
  <c r="G645" i="5"/>
  <c r="F645" i="5"/>
  <c r="G647" i="5"/>
  <c r="F647" i="5"/>
  <c r="G649" i="5"/>
  <c r="F649" i="5"/>
  <c r="F651" i="5"/>
  <c r="G651" i="5"/>
  <c r="G653" i="5"/>
  <c r="F653" i="5"/>
  <c r="G655" i="5"/>
  <c r="F655" i="5"/>
  <c r="G657" i="5"/>
  <c r="F657" i="5"/>
  <c r="F659" i="5"/>
  <c r="G659" i="5"/>
  <c r="G661" i="5"/>
  <c r="F661" i="5"/>
  <c r="G663" i="5"/>
  <c r="F663" i="5"/>
  <c r="G665" i="5"/>
  <c r="F665" i="5"/>
  <c r="F667" i="5"/>
  <c r="G667" i="5"/>
  <c r="G669" i="5"/>
  <c r="F669" i="5"/>
  <c r="G671" i="5"/>
  <c r="F671" i="5"/>
  <c r="G673" i="5"/>
  <c r="F673" i="5"/>
  <c r="F675" i="5"/>
  <c r="G675" i="5"/>
  <c r="G677" i="5"/>
  <c r="F677" i="5"/>
  <c r="G679" i="5"/>
  <c r="F679" i="5"/>
  <c r="G681" i="5"/>
  <c r="F681" i="5"/>
  <c r="F683" i="5"/>
  <c r="G683" i="5"/>
  <c r="G685" i="5"/>
  <c r="F685" i="5"/>
  <c r="G687" i="5"/>
  <c r="F687" i="5"/>
  <c r="G689" i="5"/>
  <c r="F689" i="5"/>
  <c r="F691" i="5"/>
  <c r="G691" i="5"/>
  <c r="G693" i="5"/>
  <c r="F693" i="5"/>
  <c r="G695" i="5"/>
  <c r="F695" i="5"/>
  <c r="G697" i="5"/>
  <c r="F697" i="5"/>
  <c r="F699" i="5"/>
  <c r="G699" i="5"/>
  <c r="G701" i="5"/>
  <c r="F701" i="5"/>
  <c r="G703" i="5"/>
  <c r="F703" i="5"/>
  <c r="G705" i="5"/>
  <c r="F705" i="5"/>
  <c r="F707" i="5"/>
  <c r="G707" i="5"/>
  <c r="G709" i="5"/>
  <c r="F709" i="5"/>
  <c r="G711" i="5"/>
  <c r="F711" i="5"/>
  <c r="G713" i="5"/>
  <c r="F713" i="5"/>
  <c r="F715" i="5"/>
  <c r="G715" i="5"/>
  <c r="G717" i="5"/>
  <c r="F717" i="5"/>
  <c r="G719" i="5"/>
  <c r="F719" i="5"/>
  <c r="G721" i="5"/>
  <c r="F721" i="5"/>
  <c r="F723" i="5"/>
  <c r="G723" i="5"/>
  <c r="G725" i="5"/>
  <c r="F725" i="5"/>
  <c r="G727" i="5"/>
  <c r="F727" i="5"/>
  <c r="G729" i="5"/>
  <c r="F729" i="5"/>
  <c r="F731" i="5"/>
  <c r="G731" i="5"/>
  <c r="G733" i="5"/>
  <c r="F733" i="5"/>
  <c r="G735" i="5"/>
  <c r="F735" i="5"/>
  <c r="G737" i="5"/>
  <c r="F737" i="5"/>
  <c r="F739" i="5"/>
  <c r="G739" i="5"/>
  <c r="G741" i="5"/>
  <c r="F741" i="5"/>
  <c r="G743" i="5"/>
  <c r="F743" i="5"/>
  <c r="G745" i="5"/>
  <c r="F745" i="5"/>
  <c r="F747" i="5"/>
  <c r="G747" i="5"/>
  <c r="G749" i="5"/>
  <c r="F749" i="5"/>
  <c r="G751" i="5"/>
  <c r="F751" i="5"/>
  <c r="G753" i="5"/>
  <c r="F753" i="5"/>
  <c r="F755" i="5"/>
  <c r="G755" i="5"/>
  <c r="G757" i="5"/>
  <c r="F757" i="5"/>
  <c r="G759" i="5"/>
  <c r="F759" i="5"/>
  <c r="G761" i="5"/>
  <c r="F761" i="5"/>
  <c r="F763" i="5"/>
  <c r="G763" i="5"/>
  <c r="G765" i="5"/>
  <c r="F765" i="5"/>
  <c r="G767" i="5"/>
  <c r="F767" i="5"/>
  <c r="G769" i="5"/>
  <c r="F769" i="5"/>
  <c r="F771" i="5"/>
  <c r="G771" i="5"/>
  <c r="G773" i="5"/>
  <c r="F773" i="5"/>
  <c r="G775" i="5"/>
  <c r="F775" i="5"/>
  <c r="G777" i="5"/>
  <c r="F777" i="5"/>
  <c r="F779" i="5"/>
  <c r="G779" i="5"/>
  <c r="G781" i="5"/>
  <c r="F781" i="5"/>
  <c r="G783" i="5"/>
  <c r="F783" i="5"/>
  <c r="G785" i="5"/>
  <c r="F785" i="5"/>
  <c r="F787" i="5"/>
  <c r="G787" i="5"/>
  <c r="G789" i="5"/>
  <c r="F789" i="5"/>
  <c r="G791" i="5"/>
  <c r="F791" i="5"/>
  <c r="G793" i="5"/>
  <c r="F793" i="5"/>
  <c r="F795" i="5"/>
  <c r="G795" i="5"/>
  <c r="G797" i="5"/>
  <c r="F797" i="5"/>
  <c r="G799" i="5"/>
  <c r="F799" i="5"/>
  <c r="G801" i="5"/>
  <c r="F801" i="5"/>
  <c r="F803" i="5"/>
  <c r="G803" i="5"/>
  <c r="G805" i="5"/>
  <c r="F805" i="5"/>
  <c r="G807" i="5"/>
  <c r="F807" i="5"/>
  <c r="G809" i="5"/>
  <c r="F809" i="5"/>
  <c r="F811" i="5"/>
  <c r="G811" i="5"/>
  <c r="G813" i="5"/>
  <c r="F813" i="5"/>
  <c r="G815" i="5"/>
  <c r="F815" i="5"/>
  <c r="G817" i="5"/>
  <c r="F817" i="5"/>
  <c r="F819" i="5"/>
  <c r="G819" i="5"/>
  <c r="G821" i="5"/>
  <c r="F821" i="5"/>
  <c r="G823" i="5"/>
  <c r="F823" i="5"/>
  <c r="G825" i="5"/>
  <c r="F825" i="5"/>
  <c r="F827" i="5"/>
  <c r="G827" i="5"/>
  <c r="G829" i="5"/>
  <c r="F829" i="5"/>
  <c r="G831" i="5"/>
  <c r="F831" i="5"/>
  <c r="G833" i="5"/>
  <c r="F833" i="5"/>
  <c r="G835" i="5"/>
  <c r="F835" i="5"/>
  <c r="G837" i="5"/>
  <c r="F837" i="5"/>
  <c r="G839" i="5"/>
  <c r="F839" i="5"/>
  <c r="G841" i="5"/>
  <c r="F841" i="5"/>
  <c r="G843" i="5"/>
  <c r="F843" i="5"/>
  <c r="G845" i="5"/>
  <c r="F845" i="5"/>
  <c r="G847" i="5"/>
  <c r="F847" i="5"/>
  <c r="G849" i="5"/>
  <c r="F849" i="5"/>
  <c r="G851" i="5"/>
  <c r="F851" i="5"/>
  <c r="G853" i="5"/>
  <c r="F853" i="5"/>
  <c r="G855" i="5"/>
  <c r="F855" i="5"/>
  <c r="G857" i="5"/>
  <c r="F857" i="5"/>
  <c r="G859" i="5"/>
  <c r="F859" i="5"/>
  <c r="G861" i="5"/>
  <c r="F861" i="5"/>
  <c r="G863" i="5"/>
  <c r="F863" i="5"/>
  <c r="G865" i="5"/>
  <c r="F865" i="5"/>
  <c r="G867" i="5"/>
  <c r="F867" i="5"/>
  <c r="G869" i="5"/>
  <c r="F869" i="5"/>
  <c r="G871" i="5"/>
  <c r="F871" i="5"/>
  <c r="G873" i="5"/>
  <c r="F873" i="5"/>
  <c r="G875" i="5"/>
  <c r="F875" i="5"/>
  <c r="G877" i="5"/>
  <c r="F877" i="5"/>
  <c r="G879" i="5"/>
  <c r="F879" i="5"/>
  <c r="G881" i="5"/>
  <c r="F881" i="5"/>
  <c r="G883" i="5"/>
  <c r="F883" i="5"/>
  <c r="G885" i="5"/>
  <c r="F885" i="5"/>
  <c r="G887" i="5"/>
  <c r="F887" i="5"/>
  <c r="G889" i="5"/>
  <c r="F889" i="5"/>
  <c r="G891" i="5"/>
  <c r="F891" i="5"/>
  <c r="G893" i="5"/>
  <c r="F893" i="5"/>
  <c r="G895" i="5"/>
  <c r="F895" i="5"/>
  <c r="G897" i="5"/>
  <c r="F897" i="5"/>
  <c r="G899" i="5"/>
  <c r="F899" i="5"/>
  <c r="G901" i="5"/>
  <c r="F901" i="5"/>
  <c r="G903" i="5"/>
  <c r="F903" i="5"/>
  <c r="G905" i="5"/>
  <c r="F905" i="5"/>
  <c r="G907" i="5"/>
  <c r="F907" i="5"/>
  <c r="G909" i="5"/>
  <c r="F909" i="5"/>
  <c r="G911" i="5"/>
  <c r="F911" i="5"/>
  <c r="G913" i="5"/>
  <c r="F913" i="5"/>
  <c r="G915" i="5"/>
  <c r="F915" i="5"/>
  <c r="G917" i="5"/>
  <c r="F917" i="5"/>
  <c r="G919" i="5"/>
  <c r="F919" i="5"/>
  <c r="G921" i="5"/>
  <c r="F921" i="5"/>
  <c r="G923" i="5"/>
  <c r="F923" i="5"/>
  <c r="G925" i="5"/>
  <c r="F925" i="5"/>
  <c r="G927" i="5"/>
  <c r="F927" i="5"/>
  <c r="G929" i="5"/>
  <c r="F929" i="5"/>
  <c r="G931" i="5"/>
  <c r="F931" i="5"/>
  <c r="G933" i="5"/>
  <c r="F933" i="5"/>
  <c r="G935" i="5"/>
  <c r="F935" i="5"/>
  <c r="G937" i="5"/>
  <c r="F937" i="5"/>
  <c r="G939" i="5"/>
  <c r="F939" i="5"/>
  <c r="G941" i="5"/>
  <c r="F941" i="5"/>
  <c r="G943" i="5"/>
  <c r="F943" i="5"/>
  <c r="G945" i="5"/>
  <c r="F945" i="5"/>
  <c r="G947" i="5"/>
  <c r="F947" i="5"/>
  <c r="G949" i="5"/>
  <c r="F949" i="5"/>
  <c r="G951" i="5"/>
  <c r="F951" i="5"/>
  <c r="G953" i="5"/>
  <c r="F953" i="5"/>
  <c r="G955" i="5"/>
  <c r="F955" i="5"/>
  <c r="G957" i="5"/>
  <c r="F957" i="5"/>
  <c r="G959" i="5"/>
  <c r="F959" i="5"/>
  <c r="G961" i="5"/>
  <c r="F961" i="5"/>
  <c r="G963" i="5"/>
  <c r="F963" i="5"/>
  <c r="G965" i="5"/>
  <c r="F965" i="5"/>
  <c r="G967" i="5"/>
  <c r="F967" i="5"/>
  <c r="G969" i="5"/>
  <c r="F969" i="5"/>
  <c r="G971" i="5"/>
  <c r="F971" i="5"/>
  <c r="G973" i="5"/>
  <c r="F973" i="5"/>
  <c r="G975" i="5"/>
  <c r="F975" i="5"/>
  <c r="G977" i="5"/>
  <c r="F977" i="5"/>
  <c r="G979" i="5"/>
  <c r="F979" i="5"/>
  <c r="G981" i="5"/>
  <c r="F981" i="5"/>
  <c r="G983" i="5"/>
  <c r="F983" i="5"/>
  <c r="G985" i="5"/>
  <c r="F985" i="5"/>
  <c r="G987" i="5"/>
  <c r="F987" i="5"/>
  <c r="G989" i="5"/>
  <c r="F989" i="5"/>
  <c r="G991" i="5"/>
  <c r="F991" i="5"/>
  <c r="G993" i="5"/>
  <c r="F993" i="5"/>
  <c r="G995" i="5"/>
  <c r="F995" i="5"/>
  <c r="G997" i="5"/>
  <c r="F997" i="5"/>
  <c r="G999" i="5"/>
  <c r="F999" i="5"/>
  <c r="G1001" i="5"/>
  <c r="F1001" i="5"/>
  <c r="Q24" i="1"/>
  <c r="Q18" i="1"/>
  <c r="G27" i="4"/>
  <c r="I21" i="4"/>
  <c r="G22" i="4"/>
  <c r="K15" i="4"/>
  <c r="D21" i="4" s="1"/>
  <c r="P6" i="4"/>
  <c r="P5" i="4" s="1"/>
  <c r="N6" i="4"/>
  <c r="N5" i="4" s="1"/>
  <c r="S6" i="4" s="1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5" i="4"/>
  <c r="D4" i="4"/>
  <c r="O30" i="4"/>
  <c r="N30" i="4"/>
  <c r="M30" i="4"/>
  <c r="L30" i="4"/>
  <c r="K30" i="4"/>
  <c r="J30" i="4"/>
  <c r="I30" i="4"/>
  <c r="P29" i="4"/>
  <c r="O29" i="4"/>
  <c r="N29" i="4"/>
  <c r="M29" i="4"/>
  <c r="L29" i="4"/>
  <c r="K29" i="4"/>
  <c r="J29" i="4"/>
  <c r="I29" i="4"/>
  <c r="P28" i="4"/>
  <c r="O28" i="4"/>
  <c r="N28" i="4"/>
  <c r="M28" i="4"/>
  <c r="L28" i="4"/>
  <c r="K28" i="4"/>
  <c r="J28" i="4"/>
  <c r="I28" i="4"/>
  <c r="P27" i="4"/>
  <c r="O27" i="4"/>
  <c r="N27" i="4"/>
  <c r="M27" i="4"/>
  <c r="L27" i="4"/>
  <c r="K27" i="4"/>
  <c r="J27" i="4"/>
  <c r="I27" i="4"/>
  <c r="C25" i="4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24" i="4"/>
  <c r="P20" i="4"/>
  <c r="H19" i="4"/>
  <c r="G19" i="4"/>
  <c r="H5" i="4"/>
  <c r="H4" i="4"/>
  <c r="G4" i="4"/>
  <c r="K3" i="4"/>
  <c r="L3" i="4" s="1"/>
  <c r="M3" i="4" s="1"/>
  <c r="N3" i="4" s="1"/>
  <c r="O3" i="4" s="1"/>
  <c r="P3" i="4" s="1"/>
  <c r="J3" i="4"/>
  <c r="BL21" i="1" l="1"/>
  <c r="Z2" i="1"/>
  <c r="AA2" i="1" s="1"/>
  <c r="E6" i="5"/>
  <c r="E10" i="5"/>
  <c r="E14" i="5"/>
  <c r="E18" i="5"/>
  <c r="E22" i="5"/>
  <c r="E26" i="5"/>
  <c r="E30" i="5"/>
  <c r="E34" i="5"/>
  <c r="E38" i="5"/>
  <c r="E42" i="5"/>
  <c r="E46" i="5"/>
  <c r="E50" i="5"/>
  <c r="E54" i="5"/>
  <c r="E58" i="5"/>
  <c r="E62" i="5"/>
  <c r="E66" i="5"/>
  <c r="E70" i="5"/>
  <c r="E74" i="5"/>
  <c r="E78" i="5"/>
  <c r="E82" i="5"/>
  <c r="E86" i="5"/>
  <c r="E90" i="5"/>
  <c r="E94" i="5"/>
  <c r="E98" i="5"/>
  <c r="E102" i="5"/>
  <c r="E106" i="5"/>
  <c r="E110" i="5"/>
  <c r="E114" i="5"/>
  <c r="E118" i="5"/>
  <c r="E122" i="5"/>
  <c r="E126" i="5"/>
  <c r="E130" i="5"/>
  <c r="E134" i="5"/>
  <c r="E138" i="5"/>
  <c r="E142" i="5"/>
  <c r="E146" i="5"/>
  <c r="E150" i="5"/>
  <c r="E154" i="5"/>
  <c r="E158" i="5"/>
  <c r="E162" i="5"/>
  <c r="E166" i="5"/>
  <c r="E170" i="5"/>
  <c r="E174" i="5"/>
  <c r="E178" i="5"/>
  <c r="E182" i="5"/>
  <c r="E186" i="5"/>
  <c r="E190" i="5"/>
  <c r="E194" i="5"/>
  <c r="E198" i="5"/>
  <c r="E202" i="5"/>
  <c r="E206" i="5"/>
  <c r="E210" i="5"/>
  <c r="E214" i="5"/>
  <c r="E218" i="5"/>
  <c r="E222" i="5"/>
  <c r="E226" i="5"/>
  <c r="E230" i="5"/>
  <c r="E234" i="5"/>
  <c r="E238" i="5"/>
  <c r="E242" i="5"/>
  <c r="E246" i="5"/>
  <c r="E250" i="5"/>
  <c r="E254" i="5"/>
  <c r="E258" i="5"/>
  <c r="E262" i="5"/>
  <c r="E266" i="5"/>
  <c r="E270" i="5"/>
  <c r="E274" i="5"/>
  <c r="E278" i="5"/>
  <c r="E282" i="5"/>
  <c r="E286" i="5"/>
  <c r="E290" i="5"/>
  <c r="E294" i="5"/>
  <c r="E298" i="5"/>
  <c r="E302" i="5"/>
  <c r="E306" i="5"/>
  <c r="E310" i="5"/>
  <c r="E314" i="5"/>
  <c r="E318" i="5"/>
  <c r="E322" i="5"/>
  <c r="E326" i="5"/>
  <c r="E330" i="5"/>
  <c r="E334" i="5"/>
  <c r="E338" i="5"/>
  <c r="E342" i="5"/>
  <c r="E346" i="5"/>
  <c r="E350" i="5"/>
  <c r="E354" i="5"/>
  <c r="E358" i="5"/>
  <c r="E362" i="5"/>
  <c r="E366" i="5"/>
  <c r="E370" i="5"/>
  <c r="E374" i="5"/>
  <c r="E378" i="5"/>
  <c r="E382" i="5"/>
  <c r="E386" i="5"/>
  <c r="E390" i="5"/>
  <c r="E394" i="5"/>
  <c r="E398" i="5"/>
  <c r="E402" i="5"/>
  <c r="E406" i="5"/>
  <c r="E410" i="5"/>
  <c r="E414" i="5"/>
  <c r="E418" i="5"/>
  <c r="E422" i="5"/>
  <c r="E426" i="5"/>
  <c r="E430" i="5"/>
  <c r="E434" i="5"/>
  <c r="E438" i="5"/>
  <c r="E442" i="5"/>
  <c r="E446" i="5"/>
  <c r="E450" i="5"/>
  <c r="E454" i="5"/>
  <c r="E458" i="5"/>
  <c r="E462" i="5"/>
  <c r="E466" i="5"/>
  <c r="E470" i="5"/>
  <c r="E474" i="5"/>
  <c r="E478" i="5"/>
  <c r="E482" i="5"/>
  <c r="E486" i="5"/>
  <c r="E490" i="5"/>
  <c r="E492" i="5"/>
  <c r="E496" i="5"/>
  <c r="E500" i="5"/>
  <c r="E504" i="5"/>
  <c r="E508" i="5"/>
  <c r="E512" i="5"/>
  <c r="E516" i="5"/>
  <c r="E520" i="5"/>
  <c r="E524" i="5"/>
  <c r="E528" i="5"/>
  <c r="E532" i="5"/>
  <c r="E536" i="5"/>
  <c r="E540" i="5"/>
  <c r="E544" i="5"/>
  <c r="E548" i="5"/>
  <c r="E552" i="5"/>
  <c r="E556" i="5"/>
  <c r="E560" i="5"/>
  <c r="E564" i="5"/>
  <c r="E568" i="5"/>
  <c r="E572" i="5"/>
  <c r="E576" i="5"/>
  <c r="E580" i="5"/>
  <c r="E584" i="5"/>
  <c r="E588" i="5"/>
  <c r="E592" i="5"/>
  <c r="E596" i="5"/>
  <c r="E600" i="5"/>
  <c r="E604" i="5"/>
  <c r="E608" i="5"/>
  <c r="E612" i="5"/>
  <c r="E616" i="5"/>
  <c r="E620" i="5"/>
  <c r="E624" i="5"/>
  <c r="E628" i="5"/>
  <c r="E632" i="5"/>
  <c r="E636" i="5"/>
  <c r="E640" i="5"/>
  <c r="E644" i="5"/>
  <c r="E648" i="5"/>
  <c r="E652" i="5"/>
  <c r="E656" i="5"/>
  <c r="E660" i="5"/>
  <c r="E664" i="5"/>
  <c r="E668" i="5"/>
  <c r="E672" i="5"/>
  <c r="E676" i="5"/>
  <c r="E680" i="5"/>
  <c r="E684" i="5"/>
  <c r="E688" i="5"/>
  <c r="E692" i="5"/>
  <c r="E696" i="5"/>
  <c r="E700" i="5"/>
  <c r="E704" i="5"/>
  <c r="E708" i="5"/>
  <c r="E712" i="5"/>
  <c r="E716" i="5"/>
  <c r="E720" i="5"/>
  <c r="E724" i="5"/>
  <c r="E728" i="5"/>
  <c r="E732" i="5"/>
  <c r="E736" i="5"/>
  <c r="E740" i="5"/>
  <c r="E744" i="5"/>
  <c r="E748" i="5"/>
  <c r="E752" i="5"/>
  <c r="E756" i="5"/>
  <c r="E760" i="5"/>
  <c r="E764" i="5"/>
  <c r="E768" i="5"/>
  <c r="E772" i="5"/>
  <c r="E776" i="5"/>
  <c r="E780" i="5"/>
  <c r="E784" i="5"/>
  <c r="E788" i="5"/>
  <c r="E792" i="5"/>
  <c r="E796" i="5"/>
  <c r="E800" i="5"/>
  <c r="E804" i="5"/>
  <c r="E808" i="5"/>
  <c r="E812" i="5"/>
  <c r="E816" i="5"/>
  <c r="E820" i="5"/>
  <c r="E824" i="5"/>
  <c r="E828" i="5"/>
  <c r="E834" i="5"/>
  <c r="E838" i="5"/>
  <c r="E842" i="5"/>
  <c r="E846" i="5"/>
  <c r="E850" i="5"/>
  <c r="E854" i="5"/>
  <c r="E858" i="5"/>
  <c r="E862" i="5"/>
  <c r="E866" i="5"/>
  <c r="E870" i="5"/>
  <c r="E874" i="5"/>
  <c r="E878" i="5"/>
  <c r="E882" i="5"/>
  <c r="E886" i="5"/>
  <c r="E890" i="5"/>
  <c r="E894" i="5"/>
  <c r="E898" i="5"/>
  <c r="E902" i="5"/>
  <c r="E906" i="5"/>
  <c r="E910" i="5"/>
  <c r="E914" i="5"/>
  <c r="E918" i="5"/>
  <c r="E922" i="5"/>
  <c r="E926" i="5"/>
  <c r="E930" i="5"/>
  <c r="E934" i="5"/>
  <c r="E938" i="5"/>
  <c r="E942" i="5"/>
  <c r="E946" i="5"/>
  <c r="E950" i="5"/>
  <c r="E954" i="5"/>
  <c r="E958" i="5"/>
  <c r="E962" i="5"/>
  <c r="E966" i="5"/>
  <c r="E970" i="5"/>
  <c r="E974" i="5"/>
  <c r="E978" i="5"/>
  <c r="E982" i="5"/>
  <c r="E986" i="5"/>
  <c r="E990" i="5"/>
  <c r="E994" i="5"/>
  <c r="E998" i="5"/>
  <c r="E4" i="5"/>
  <c r="E8" i="5"/>
  <c r="E12" i="5"/>
  <c r="E16" i="5"/>
  <c r="E20" i="5"/>
  <c r="E24" i="5"/>
  <c r="E28" i="5"/>
  <c r="E32" i="5"/>
  <c r="E36" i="5"/>
  <c r="E40" i="5"/>
  <c r="E44" i="5"/>
  <c r="E48" i="5"/>
  <c r="E52" i="5"/>
  <c r="E56" i="5"/>
  <c r="E60" i="5"/>
  <c r="E64" i="5"/>
  <c r="E68" i="5"/>
  <c r="E72" i="5"/>
  <c r="E76" i="5"/>
  <c r="E80" i="5"/>
  <c r="E84" i="5"/>
  <c r="E88" i="5"/>
  <c r="E92" i="5"/>
  <c r="E96" i="5"/>
  <c r="E100" i="5"/>
  <c r="E104" i="5"/>
  <c r="E108" i="5"/>
  <c r="E112" i="5"/>
  <c r="E116" i="5"/>
  <c r="E120" i="5"/>
  <c r="E124" i="5"/>
  <c r="E128" i="5"/>
  <c r="E132" i="5"/>
  <c r="E136" i="5"/>
  <c r="E140" i="5"/>
  <c r="E144" i="5"/>
  <c r="E148" i="5"/>
  <c r="E152" i="5"/>
  <c r="E156" i="5"/>
  <c r="E160" i="5"/>
  <c r="E164" i="5"/>
  <c r="E168" i="5"/>
  <c r="E172" i="5"/>
  <c r="E176" i="5"/>
  <c r="E180" i="5"/>
  <c r="E184" i="5"/>
  <c r="E188" i="5"/>
  <c r="E192" i="5"/>
  <c r="E196" i="5"/>
  <c r="E200" i="5"/>
  <c r="E204" i="5"/>
  <c r="E208" i="5"/>
  <c r="E212" i="5"/>
  <c r="E216" i="5"/>
  <c r="E220" i="5"/>
  <c r="E224" i="5"/>
  <c r="E228" i="5"/>
  <c r="E232" i="5"/>
  <c r="E236" i="5"/>
  <c r="E240" i="5"/>
  <c r="E244" i="5"/>
  <c r="E248" i="5"/>
  <c r="E252" i="5"/>
  <c r="E256" i="5"/>
  <c r="E260" i="5"/>
  <c r="E264" i="5"/>
  <c r="E268" i="5"/>
  <c r="E272" i="5"/>
  <c r="E276" i="5"/>
  <c r="E280" i="5"/>
  <c r="E284" i="5"/>
  <c r="E288" i="5"/>
  <c r="E292" i="5"/>
  <c r="E296" i="5"/>
  <c r="E300" i="5"/>
  <c r="E304" i="5"/>
  <c r="E308" i="5"/>
  <c r="E312" i="5"/>
  <c r="E316" i="5"/>
  <c r="E320" i="5"/>
  <c r="E324" i="5"/>
  <c r="E328" i="5"/>
  <c r="E332" i="5"/>
  <c r="E336" i="5"/>
  <c r="E340" i="5"/>
  <c r="E344" i="5"/>
  <c r="E348" i="5"/>
  <c r="E352" i="5"/>
  <c r="E356" i="5"/>
  <c r="E360" i="5"/>
  <c r="E364" i="5"/>
  <c r="E368" i="5"/>
  <c r="E372" i="5"/>
  <c r="E376" i="5"/>
  <c r="E380" i="5"/>
  <c r="E384" i="5"/>
  <c r="E388" i="5"/>
  <c r="E392" i="5"/>
  <c r="E396" i="5"/>
  <c r="E400" i="5"/>
  <c r="E404" i="5"/>
  <c r="E408" i="5"/>
  <c r="E412" i="5"/>
  <c r="E416" i="5"/>
  <c r="E420" i="5"/>
  <c r="E424" i="5"/>
  <c r="E428" i="5"/>
  <c r="E432" i="5"/>
  <c r="E436" i="5"/>
  <c r="E440" i="5"/>
  <c r="E444" i="5"/>
  <c r="E448" i="5"/>
  <c r="E452" i="5"/>
  <c r="E456" i="5"/>
  <c r="E460" i="5"/>
  <c r="E464" i="5"/>
  <c r="E468" i="5"/>
  <c r="E472" i="5"/>
  <c r="E476" i="5"/>
  <c r="E480" i="5"/>
  <c r="E484" i="5"/>
  <c r="E488" i="5"/>
  <c r="E494" i="5"/>
  <c r="E498" i="5"/>
  <c r="E502" i="5"/>
  <c r="E506" i="5"/>
  <c r="E510" i="5"/>
  <c r="E514" i="5"/>
  <c r="E518" i="5"/>
  <c r="E522" i="5"/>
  <c r="E526" i="5"/>
  <c r="E530" i="5"/>
  <c r="E534" i="5"/>
  <c r="E538" i="5"/>
  <c r="E542" i="5"/>
  <c r="E546" i="5"/>
  <c r="E550" i="5"/>
  <c r="E554" i="5"/>
  <c r="E558" i="5"/>
  <c r="E562" i="5"/>
  <c r="E566" i="5"/>
  <c r="E570" i="5"/>
  <c r="E574" i="5"/>
  <c r="E578" i="5"/>
  <c r="E582" i="5"/>
  <c r="E586" i="5"/>
  <c r="E590" i="5"/>
  <c r="E594" i="5"/>
  <c r="E598" i="5"/>
  <c r="E602" i="5"/>
  <c r="E606" i="5"/>
  <c r="E610" i="5"/>
  <c r="E614" i="5"/>
  <c r="E618" i="5"/>
  <c r="E622" i="5"/>
  <c r="E626" i="5"/>
  <c r="E630" i="5"/>
  <c r="E634" i="5"/>
  <c r="E638" i="5"/>
  <c r="E642" i="5"/>
  <c r="E646" i="5"/>
  <c r="E650" i="5"/>
  <c r="E654" i="5"/>
  <c r="E658" i="5"/>
  <c r="E662" i="5"/>
  <c r="E666" i="5"/>
  <c r="E670" i="5"/>
  <c r="E674" i="5"/>
  <c r="E678" i="5"/>
  <c r="E682" i="5"/>
  <c r="E686" i="5"/>
  <c r="E690" i="5"/>
  <c r="E694" i="5"/>
  <c r="E698" i="5"/>
  <c r="E702" i="5"/>
  <c r="E706" i="5"/>
  <c r="E710" i="5"/>
  <c r="E714" i="5"/>
  <c r="E718" i="5"/>
  <c r="E722" i="5"/>
  <c r="E726" i="5"/>
  <c r="E730" i="5"/>
  <c r="E734" i="5"/>
  <c r="E738" i="5"/>
  <c r="E742" i="5"/>
  <c r="E746" i="5"/>
  <c r="E750" i="5"/>
  <c r="E754" i="5"/>
  <c r="E758" i="5"/>
  <c r="E762" i="5"/>
  <c r="E766" i="5"/>
  <c r="E770" i="5"/>
  <c r="E774" i="5"/>
  <c r="E778" i="5"/>
  <c r="E782" i="5"/>
  <c r="E786" i="5"/>
  <c r="E790" i="5"/>
  <c r="E794" i="5"/>
  <c r="E798" i="5"/>
  <c r="E802" i="5"/>
  <c r="E806" i="5"/>
  <c r="E810" i="5"/>
  <c r="E814" i="5"/>
  <c r="E818" i="5"/>
  <c r="E822" i="5"/>
  <c r="E826" i="5"/>
  <c r="E830" i="5"/>
  <c r="E832" i="5"/>
  <c r="E836" i="5"/>
  <c r="E840" i="5"/>
  <c r="E844" i="5"/>
  <c r="E848" i="5"/>
  <c r="E852" i="5"/>
  <c r="E856" i="5"/>
  <c r="E860" i="5"/>
  <c r="E864" i="5"/>
  <c r="E868" i="5"/>
  <c r="E872" i="5"/>
  <c r="E876" i="5"/>
  <c r="E880" i="5"/>
  <c r="E884" i="5"/>
  <c r="E888" i="5"/>
  <c r="E892" i="5"/>
  <c r="E896" i="5"/>
  <c r="E900" i="5"/>
  <c r="E904" i="5"/>
  <c r="E908" i="5"/>
  <c r="E912" i="5"/>
  <c r="E916" i="5"/>
  <c r="E920" i="5"/>
  <c r="E924" i="5"/>
  <c r="E928" i="5"/>
  <c r="E932" i="5"/>
  <c r="E936" i="5"/>
  <c r="E940" i="5"/>
  <c r="E944" i="5"/>
  <c r="E948" i="5"/>
  <c r="E952" i="5"/>
  <c r="E956" i="5"/>
  <c r="E960" i="5"/>
  <c r="E964" i="5"/>
  <c r="E968" i="5"/>
  <c r="E972" i="5"/>
  <c r="E976" i="5"/>
  <c r="E980" i="5"/>
  <c r="E984" i="5"/>
  <c r="E988" i="5"/>
  <c r="E992" i="5"/>
  <c r="E996" i="5"/>
  <c r="E1000" i="5"/>
  <c r="Q17" i="1"/>
  <c r="G5" i="4"/>
  <c r="I26" i="4"/>
  <c r="F23" i="4" s="1"/>
  <c r="I20" i="4"/>
  <c r="F22" i="1"/>
  <c r="BL22" i="1" l="1"/>
  <c r="AB2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B41" i="1"/>
  <c r="BB39" i="1"/>
  <c r="BB37" i="1"/>
  <c r="BB35" i="1"/>
  <c r="BB33" i="1"/>
  <c r="BB31" i="1"/>
  <c r="BB29" i="1"/>
  <c r="BB27" i="1"/>
  <c r="BB25" i="1"/>
  <c r="BB23" i="1"/>
  <c r="BB21" i="1"/>
  <c r="BB19" i="1"/>
  <c r="BB17" i="1"/>
  <c r="BB15" i="1"/>
  <c r="BB13" i="1"/>
  <c r="BB11" i="1"/>
  <c r="BB42" i="1"/>
  <c r="BB40" i="1"/>
  <c r="BB38" i="1"/>
  <c r="BB36" i="1"/>
  <c r="BB34" i="1"/>
  <c r="BB32" i="1"/>
  <c r="BB30" i="1"/>
  <c r="BB28" i="1"/>
  <c r="BB26" i="1"/>
  <c r="BB24" i="1"/>
  <c r="BB22" i="1"/>
  <c r="BB20" i="1"/>
  <c r="BB18" i="1"/>
  <c r="BB16" i="1"/>
  <c r="BB14" i="1"/>
  <c r="BB12" i="1"/>
  <c r="Y2" i="1"/>
  <c r="Z3" i="1"/>
  <c r="G996" i="5"/>
  <c r="F996" i="5"/>
  <c r="G988" i="5"/>
  <c r="F988" i="5"/>
  <c r="G980" i="5"/>
  <c r="F980" i="5"/>
  <c r="G972" i="5"/>
  <c r="F972" i="5"/>
  <c r="G964" i="5"/>
  <c r="F964" i="5"/>
  <c r="G956" i="5"/>
  <c r="F956" i="5"/>
  <c r="G948" i="5"/>
  <c r="F948" i="5"/>
  <c r="G940" i="5"/>
  <c r="F940" i="5"/>
  <c r="G932" i="5"/>
  <c r="F932" i="5"/>
  <c r="G924" i="5"/>
  <c r="F924" i="5"/>
  <c r="G916" i="5"/>
  <c r="F916" i="5"/>
  <c r="G908" i="5"/>
  <c r="F908" i="5"/>
  <c r="G900" i="5"/>
  <c r="F900" i="5"/>
  <c r="G892" i="5"/>
  <c r="F892" i="5"/>
  <c r="G884" i="5"/>
  <c r="F884" i="5"/>
  <c r="G876" i="5"/>
  <c r="F876" i="5"/>
  <c r="G868" i="5"/>
  <c r="F868" i="5"/>
  <c r="G860" i="5"/>
  <c r="F860" i="5"/>
  <c r="G852" i="5"/>
  <c r="F852" i="5"/>
  <c r="G844" i="5"/>
  <c r="F844" i="5"/>
  <c r="G836" i="5"/>
  <c r="F836" i="5"/>
  <c r="G830" i="5"/>
  <c r="F830" i="5"/>
  <c r="G822" i="5"/>
  <c r="F822" i="5"/>
  <c r="G814" i="5"/>
  <c r="F814" i="5"/>
  <c r="G806" i="5"/>
  <c r="F806" i="5"/>
  <c r="G798" i="5"/>
  <c r="F798" i="5"/>
  <c r="G790" i="5"/>
  <c r="F790" i="5"/>
  <c r="G782" i="5"/>
  <c r="F782" i="5"/>
  <c r="G774" i="5"/>
  <c r="F774" i="5"/>
  <c r="G766" i="5"/>
  <c r="F766" i="5"/>
  <c r="G758" i="5"/>
  <c r="F758" i="5"/>
  <c r="G750" i="5"/>
  <c r="F750" i="5"/>
  <c r="G742" i="5"/>
  <c r="F742" i="5"/>
  <c r="G734" i="5"/>
  <c r="F734" i="5"/>
  <c r="G726" i="5"/>
  <c r="F726" i="5"/>
  <c r="G718" i="5"/>
  <c r="F718" i="5"/>
  <c r="G710" i="5"/>
  <c r="F710" i="5"/>
  <c r="G702" i="5"/>
  <c r="F702" i="5"/>
  <c r="G694" i="5"/>
  <c r="F694" i="5"/>
  <c r="G686" i="5"/>
  <c r="F686" i="5"/>
  <c r="G678" i="5"/>
  <c r="F678" i="5"/>
  <c r="G670" i="5"/>
  <c r="F670" i="5"/>
  <c r="G662" i="5"/>
  <c r="F662" i="5"/>
  <c r="G654" i="5"/>
  <c r="F654" i="5"/>
  <c r="G646" i="5"/>
  <c r="F646" i="5"/>
  <c r="G638" i="5"/>
  <c r="F638" i="5"/>
  <c r="G630" i="5"/>
  <c r="F630" i="5"/>
  <c r="G622" i="5"/>
  <c r="F622" i="5"/>
  <c r="G614" i="5"/>
  <c r="F614" i="5"/>
  <c r="G606" i="5"/>
  <c r="F606" i="5"/>
  <c r="G598" i="5"/>
  <c r="F598" i="5"/>
  <c r="G590" i="5"/>
  <c r="F590" i="5"/>
  <c r="G582" i="5"/>
  <c r="F582" i="5"/>
  <c r="G574" i="5"/>
  <c r="F574" i="5"/>
  <c r="G566" i="5"/>
  <c r="F566" i="5"/>
  <c r="G558" i="5"/>
  <c r="F558" i="5"/>
  <c r="G550" i="5"/>
  <c r="F550" i="5"/>
  <c r="G542" i="5"/>
  <c r="F542" i="5"/>
  <c r="G534" i="5"/>
  <c r="F534" i="5"/>
  <c r="G526" i="5"/>
  <c r="F526" i="5"/>
  <c r="G518" i="5"/>
  <c r="F518" i="5"/>
  <c r="G510" i="5"/>
  <c r="F510" i="5"/>
  <c r="G502" i="5"/>
  <c r="F502" i="5"/>
  <c r="G494" i="5"/>
  <c r="F494" i="5"/>
  <c r="G484" i="5"/>
  <c r="F484" i="5"/>
  <c r="G476" i="5"/>
  <c r="F476" i="5"/>
  <c r="G468" i="5"/>
  <c r="F468" i="5"/>
  <c r="G460" i="5"/>
  <c r="F460" i="5"/>
  <c r="G452" i="5"/>
  <c r="F452" i="5"/>
  <c r="G444" i="5"/>
  <c r="F444" i="5"/>
  <c r="G436" i="5"/>
  <c r="F436" i="5"/>
  <c r="G428" i="5"/>
  <c r="F428" i="5"/>
  <c r="G420" i="5"/>
  <c r="F420" i="5"/>
  <c r="G412" i="5"/>
  <c r="F412" i="5"/>
  <c r="G404" i="5"/>
  <c r="F404" i="5"/>
  <c r="G396" i="5"/>
  <c r="F396" i="5"/>
  <c r="G388" i="5"/>
  <c r="F388" i="5"/>
  <c r="G380" i="5"/>
  <c r="F380" i="5"/>
  <c r="G372" i="5"/>
  <c r="F372" i="5"/>
  <c r="G364" i="5"/>
  <c r="F364" i="5"/>
  <c r="G356" i="5"/>
  <c r="F356" i="5"/>
  <c r="G348" i="5"/>
  <c r="F348" i="5"/>
  <c r="G340" i="5"/>
  <c r="F340" i="5"/>
  <c r="G332" i="5"/>
  <c r="F332" i="5"/>
  <c r="G324" i="5"/>
  <c r="F324" i="5"/>
  <c r="G316" i="5"/>
  <c r="F316" i="5"/>
  <c r="G308" i="5"/>
  <c r="F308" i="5"/>
  <c r="G300" i="5"/>
  <c r="F300" i="5"/>
  <c r="G292" i="5"/>
  <c r="F292" i="5"/>
  <c r="G284" i="5"/>
  <c r="F284" i="5"/>
  <c r="G276" i="5"/>
  <c r="F276" i="5"/>
  <c r="G268" i="5"/>
  <c r="F268" i="5"/>
  <c r="G260" i="5"/>
  <c r="F260" i="5"/>
  <c r="G252" i="5"/>
  <c r="F252" i="5"/>
  <c r="G244" i="5"/>
  <c r="F244" i="5"/>
  <c r="G236" i="5"/>
  <c r="F236" i="5"/>
  <c r="G228" i="5"/>
  <c r="F228" i="5"/>
  <c r="G220" i="5"/>
  <c r="F220" i="5"/>
  <c r="G212" i="5"/>
  <c r="F212" i="5"/>
  <c r="G204" i="5"/>
  <c r="F204" i="5"/>
  <c r="G196" i="5"/>
  <c r="F196" i="5"/>
  <c r="G188" i="5"/>
  <c r="F188" i="5"/>
  <c r="G180" i="5"/>
  <c r="F180" i="5"/>
  <c r="G172" i="5"/>
  <c r="F172" i="5"/>
  <c r="G164" i="5"/>
  <c r="F164" i="5"/>
  <c r="G156" i="5"/>
  <c r="F156" i="5"/>
  <c r="G148" i="5"/>
  <c r="F148" i="5"/>
  <c r="G140" i="5"/>
  <c r="F140" i="5"/>
  <c r="G132" i="5"/>
  <c r="F132" i="5"/>
  <c r="G124" i="5"/>
  <c r="F124" i="5"/>
  <c r="G116" i="5"/>
  <c r="F116" i="5"/>
  <c r="G108" i="5"/>
  <c r="F108" i="5"/>
  <c r="G100" i="5"/>
  <c r="F100" i="5"/>
  <c r="G92" i="5"/>
  <c r="F92" i="5"/>
  <c r="G84" i="5"/>
  <c r="F84" i="5"/>
  <c r="G76" i="5"/>
  <c r="F76" i="5"/>
  <c r="G68" i="5"/>
  <c r="F68" i="5"/>
  <c r="F60" i="5"/>
  <c r="G60" i="5"/>
  <c r="F52" i="5"/>
  <c r="G52" i="5"/>
  <c r="F44" i="5"/>
  <c r="G44" i="5"/>
  <c r="G36" i="5"/>
  <c r="F36" i="5"/>
  <c r="G28" i="5"/>
  <c r="F28" i="5"/>
  <c r="G20" i="5"/>
  <c r="F20" i="5"/>
  <c r="G12" i="5"/>
  <c r="F12" i="5"/>
  <c r="G4" i="5"/>
  <c r="F4" i="5"/>
  <c r="G994" i="5"/>
  <c r="F994" i="5"/>
  <c r="G986" i="5"/>
  <c r="F986" i="5"/>
  <c r="G978" i="5"/>
  <c r="F978" i="5"/>
  <c r="G970" i="5"/>
  <c r="F970" i="5"/>
  <c r="G962" i="5"/>
  <c r="F962" i="5"/>
  <c r="G954" i="5"/>
  <c r="F954" i="5"/>
  <c r="G946" i="5"/>
  <c r="F946" i="5"/>
  <c r="G938" i="5"/>
  <c r="F938" i="5"/>
  <c r="G930" i="5"/>
  <c r="F930" i="5"/>
  <c r="G922" i="5"/>
  <c r="F922" i="5"/>
  <c r="G914" i="5"/>
  <c r="F914" i="5"/>
  <c r="G906" i="5"/>
  <c r="F906" i="5"/>
  <c r="G898" i="5"/>
  <c r="F898" i="5"/>
  <c r="G890" i="5"/>
  <c r="F890" i="5"/>
  <c r="G882" i="5"/>
  <c r="F882" i="5"/>
  <c r="G874" i="5"/>
  <c r="F874" i="5"/>
  <c r="G866" i="5"/>
  <c r="F866" i="5"/>
  <c r="G858" i="5"/>
  <c r="F858" i="5"/>
  <c r="G850" i="5"/>
  <c r="F850" i="5"/>
  <c r="G842" i="5"/>
  <c r="F842" i="5"/>
  <c r="G834" i="5"/>
  <c r="F834" i="5"/>
  <c r="G824" i="5"/>
  <c r="F824" i="5"/>
  <c r="G816" i="5"/>
  <c r="F816" i="5"/>
  <c r="G808" i="5"/>
  <c r="F808" i="5"/>
  <c r="G800" i="5"/>
  <c r="F800" i="5"/>
  <c r="G792" i="5"/>
  <c r="F792" i="5"/>
  <c r="G784" i="5"/>
  <c r="F784" i="5"/>
  <c r="G776" i="5"/>
  <c r="F776" i="5"/>
  <c r="G768" i="5"/>
  <c r="F768" i="5"/>
  <c r="G760" i="5"/>
  <c r="F760" i="5"/>
  <c r="G752" i="5"/>
  <c r="F752" i="5"/>
  <c r="G744" i="5"/>
  <c r="F744" i="5"/>
  <c r="G736" i="5"/>
  <c r="F736" i="5"/>
  <c r="G728" i="5"/>
  <c r="F728" i="5"/>
  <c r="G720" i="5"/>
  <c r="F720" i="5"/>
  <c r="G712" i="5"/>
  <c r="F712" i="5"/>
  <c r="G704" i="5"/>
  <c r="F704" i="5"/>
  <c r="G696" i="5"/>
  <c r="F696" i="5"/>
  <c r="G688" i="5"/>
  <c r="F688" i="5"/>
  <c r="G680" i="5"/>
  <c r="F680" i="5"/>
  <c r="G672" i="5"/>
  <c r="F672" i="5"/>
  <c r="G664" i="5"/>
  <c r="F664" i="5"/>
  <c r="G656" i="5"/>
  <c r="F656" i="5"/>
  <c r="G648" i="5"/>
  <c r="F648" i="5"/>
  <c r="G640" i="5"/>
  <c r="F640" i="5"/>
  <c r="G632" i="5"/>
  <c r="F632" i="5"/>
  <c r="G624" i="5"/>
  <c r="F624" i="5"/>
  <c r="G616" i="5"/>
  <c r="F616" i="5"/>
  <c r="G608" i="5"/>
  <c r="F608" i="5"/>
  <c r="G600" i="5"/>
  <c r="F600" i="5"/>
  <c r="G592" i="5"/>
  <c r="F592" i="5"/>
  <c r="G584" i="5"/>
  <c r="F584" i="5"/>
  <c r="G576" i="5"/>
  <c r="F576" i="5"/>
  <c r="G568" i="5"/>
  <c r="F568" i="5"/>
  <c r="G560" i="5"/>
  <c r="F560" i="5"/>
  <c r="G552" i="5"/>
  <c r="F552" i="5"/>
  <c r="G544" i="5"/>
  <c r="F544" i="5"/>
  <c r="G536" i="5"/>
  <c r="F536" i="5"/>
  <c r="G528" i="5"/>
  <c r="F528" i="5"/>
  <c r="G520" i="5"/>
  <c r="F520" i="5"/>
  <c r="G512" i="5"/>
  <c r="F512" i="5"/>
  <c r="G504" i="5"/>
  <c r="F504" i="5"/>
  <c r="G496" i="5"/>
  <c r="F496" i="5"/>
  <c r="G490" i="5"/>
  <c r="F490" i="5"/>
  <c r="G482" i="5"/>
  <c r="F482" i="5"/>
  <c r="G474" i="5"/>
  <c r="F474" i="5"/>
  <c r="G466" i="5"/>
  <c r="F466" i="5"/>
  <c r="G458" i="5"/>
  <c r="F458" i="5"/>
  <c r="G450" i="5"/>
  <c r="F450" i="5"/>
  <c r="G442" i="5"/>
  <c r="F442" i="5"/>
  <c r="G434" i="5"/>
  <c r="F434" i="5"/>
  <c r="G426" i="5"/>
  <c r="F426" i="5"/>
  <c r="G418" i="5"/>
  <c r="F418" i="5"/>
  <c r="G410" i="5"/>
  <c r="F410" i="5"/>
  <c r="G402" i="5"/>
  <c r="F402" i="5"/>
  <c r="G394" i="5"/>
  <c r="F394" i="5"/>
  <c r="G386" i="5"/>
  <c r="F386" i="5"/>
  <c r="G378" i="5"/>
  <c r="F378" i="5"/>
  <c r="G370" i="5"/>
  <c r="F370" i="5"/>
  <c r="G362" i="5"/>
  <c r="F362" i="5"/>
  <c r="G354" i="5"/>
  <c r="F354" i="5"/>
  <c r="G346" i="5"/>
  <c r="F346" i="5"/>
  <c r="G338" i="5"/>
  <c r="F338" i="5"/>
  <c r="G330" i="5"/>
  <c r="F330" i="5"/>
  <c r="G322" i="5"/>
  <c r="F322" i="5"/>
  <c r="G314" i="5"/>
  <c r="F314" i="5"/>
  <c r="G306" i="5"/>
  <c r="F306" i="5"/>
  <c r="G298" i="5"/>
  <c r="F298" i="5"/>
  <c r="G290" i="5"/>
  <c r="F290" i="5"/>
  <c r="G282" i="5"/>
  <c r="F282" i="5"/>
  <c r="G274" i="5"/>
  <c r="F274" i="5"/>
  <c r="G266" i="5"/>
  <c r="F266" i="5"/>
  <c r="G258" i="5"/>
  <c r="F258" i="5"/>
  <c r="G250" i="5"/>
  <c r="F250" i="5"/>
  <c r="G242" i="5"/>
  <c r="F242" i="5"/>
  <c r="G234" i="5"/>
  <c r="F234" i="5"/>
  <c r="G226" i="5"/>
  <c r="F226" i="5"/>
  <c r="G218" i="5"/>
  <c r="F218" i="5"/>
  <c r="G210" i="5"/>
  <c r="F210" i="5"/>
  <c r="G202" i="5"/>
  <c r="F202" i="5"/>
  <c r="G194" i="5"/>
  <c r="F194" i="5"/>
  <c r="G186" i="5"/>
  <c r="F186" i="5"/>
  <c r="G178" i="5"/>
  <c r="F178" i="5"/>
  <c r="G170" i="5"/>
  <c r="F170" i="5"/>
  <c r="G162" i="5"/>
  <c r="F162" i="5"/>
  <c r="G154" i="5"/>
  <c r="F154" i="5"/>
  <c r="G146" i="5"/>
  <c r="F146" i="5"/>
  <c r="G138" i="5"/>
  <c r="F138" i="5"/>
  <c r="G130" i="5"/>
  <c r="F130" i="5"/>
  <c r="G122" i="5"/>
  <c r="F122" i="5"/>
  <c r="G114" i="5"/>
  <c r="F114" i="5"/>
  <c r="G106" i="5"/>
  <c r="F106" i="5"/>
  <c r="G98" i="5"/>
  <c r="F98" i="5"/>
  <c r="G90" i="5"/>
  <c r="F90" i="5"/>
  <c r="G82" i="5"/>
  <c r="F82" i="5"/>
  <c r="G74" i="5"/>
  <c r="F74" i="5"/>
  <c r="G66" i="5"/>
  <c r="F66" i="5"/>
  <c r="G58" i="5"/>
  <c r="F58" i="5"/>
  <c r="G50" i="5"/>
  <c r="F50" i="5"/>
  <c r="G42" i="5"/>
  <c r="F42" i="5"/>
  <c r="G34" i="5"/>
  <c r="F34" i="5"/>
  <c r="G26" i="5"/>
  <c r="F26" i="5"/>
  <c r="G18" i="5"/>
  <c r="F18" i="5"/>
  <c r="G10" i="5"/>
  <c r="F10" i="5"/>
  <c r="F1000" i="5"/>
  <c r="G1000" i="5"/>
  <c r="G992" i="5"/>
  <c r="F992" i="5"/>
  <c r="G984" i="5"/>
  <c r="F984" i="5"/>
  <c r="G976" i="5"/>
  <c r="F976" i="5"/>
  <c r="F968" i="5"/>
  <c r="G968" i="5"/>
  <c r="G960" i="5"/>
  <c r="F960" i="5"/>
  <c r="G952" i="5"/>
  <c r="F952" i="5"/>
  <c r="G944" i="5"/>
  <c r="F944" i="5"/>
  <c r="F936" i="5"/>
  <c r="G936" i="5"/>
  <c r="G928" i="5"/>
  <c r="F928" i="5"/>
  <c r="G920" i="5"/>
  <c r="F920" i="5"/>
  <c r="G912" i="5"/>
  <c r="F912" i="5"/>
  <c r="F904" i="5"/>
  <c r="G904" i="5"/>
  <c r="G896" i="5"/>
  <c r="F896" i="5"/>
  <c r="G888" i="5"/>
  <c r="F888" i="5"/>
  <c r="G880" i="5"/>
  <c r="F880" i="5"/>
  <c r="F872" i="5"/>
  <c r="G872" i="5"/>
  <c r="G864" i="5"/>
  <c r="F864" i="5"/>
  <c r="G856" i="5"/>
  <c r="F856" i="5"/>
  <c r="G848" i="5"/>
  <c r="F848" i="5"/>
  <c r="F840" i="5"/>
  <c r="G840" i="5"/>
  <c r="G832" i="5"/>
  <c r="F832" i="5"/>
  <c r="G826" i="5"/>
  <c r="F826" i="5"/>
  <c r="G818" i="5"/>
  <c r="F818" i="5"/>
  <c r="G810" i="5"/>
  <c r="F810" i="5"/>
  <c r="G802" i="5"/>
  <c r="F802" i="5"/>
  <c r="G794" i="5"/>
  <c r="F794" i="5"/>
  <c r="G786" i="5"/>
  <c r="F786" i="5"/>
  <c r="G778" i="5"/>
  <c r="F778" i="5"/>
  <c r="G770" i="5"/>
  <c r="F770" i="5"/>
  <c r="G762" i="5"/>
  <c r="F762" i="5"/>
  <c r="G754" i="5"/>
  <c r="F754" i="5"/>
  <c r="G746" i="5"/>
  <c r="F746" i="5"/>
  <c r="G738" i="5"/>
  <c r="F738" i="5"/>
  <c r="G730" i="5"/>
  <c r="F730" i="5"/>
  <c r="G722" i="5"/>
  <c r="F722" i="5"/>
  <c r="G714" i="5"/>
  <c r="F714" i="5"/>
  <c r="G706" i="5"/>
  <c r="F706" i="5"/>
  <c r="G698" i="5"/>
  <c r="F698" i="5"/>
  <c r="G690" i="5"/>
  <c r="F690" i="5"/>
  <c r="G682" i="5"/>
  <c r="F682" i="5"/>
  <c r="G674" i="5"/>
  <c r="F674" i="5"/>
  <c r="G666" i="5"/>
  <c r="F666" i="5"/>
  <c r="G658" i="5"/>
  <c r="F658" i="5"/>
  <c r="G650" i="5"/>
  <c r="F650" i="5"/>
  <c r="G642" i="5"/>
  <c r="F642" i="5"/>
  <c r="G634" i="5"/>
  <c r="F634" i="5"/>
  <c r="G626" i="5"/>
  <c r="F626" i="5"/>
  <c r="G618" i="5"/>
  <c r="F618" i="5"/>
  <c r="G610" i="5"/>
  <c r="F610" i="5"/>
  <c r="G602" i="5"/>
  <c r="F602" i="5"/>
  <c r="G594" i="5"/>
  <c r="F594" i="5"/>
  <c r="G586" i="5"/>
  <c r="F586" i="5"/>
  <c r="G578" i="5"/>
  <c r="F578" i="5"/>
  <c r="G570" i="5"/>
  <c r="F570" i="5"/>
  <c r="G562" i="5"/>
  <c r="F562" i="5"/>
  <c r="G554" i="5"/>
  <c r="F554" i="5"/>
  <c r="G546" i="5"/>
  <c r="F546" i="5"/>
  <c r="G538" i="5"/>
  <c r="F538" i="5"/>
  <c r="G530" i="5"/>
  <c r="F530" i="5"/>
  <c r="G522" i="5"/>
  <c r="F522" i="5"/>
  <c r="G514" i="5"/>
  <c r="F514" i="5"/>
  <c r="G506" i="5"/>
  <c r="F506" i="5"/>
  <c r="G498" i="5"/>
  <c r="F498" i="5"/>
  <c r="G488" i="5"/>
  <c r="F488" i="5"/>
  <c r="G480" i="5"/>
  <c r="F480" i="5"/>
  <c r="G472" i="5"/>
  <c r="F472" i="5"/>
  <c r="G464" i="5"/>
  <c r="F464" i="5"/>
  <c r="G456" i="5"/>
  <c r="F456" i="5"/>
  <c r="G448" i="5"/>
  <c r="F448" i="5"/>
  <c r="G440" i="5"/>
  <c r="F440" i="5"/>
  <c r="G432" i="5"/>
  <c r="F432" i="5"/>
  <c r="G424" i="5"/>
  <c r="F424" i="5"/>
  <c r="G416" i="5"/>
  <c r="F416" i="5"/>
  <c r="G408" i="5"/>
  <c r="F408" i="5"/>
  <c r="G400" i="5"/>
  <c r="F400" i="5"/>
  <c r="G392" i="5"/>
  <c r="F392" i="5"/>
  <c r="G384" i="5"/>
  <c r="F384" i="5"/>
  <c r="G376" i="5"/>
  <c r="F376" i="5"/>
  <c r="G368" i="5"/>
  <c r="F368" i="5"/>
  <c r="G360" i="5"/>
  <c r="F360" i="5"/>
  <c r="G352" i="5"/>
  <c r="F352" i="5"/>
  <c r="G344" i="5"/>
  <c r="F344" i="5"/>
  <c r="G336" i="5"/>
  <c r="F336" i="5"/>
  <c r="G328" i="5"/>
  <c r="F328" i="5"/>
  <c r="G320" i="5"/>
  <c r="F320" i="5"/>
  <c r="G312" i="5"/>
  <c r="F312" i="5"/>
  <c r="G304" i="5"/>
  <c r="F304" i="5"/>
  <c r="G296" i="5"/>
  <c r="F296" i="5"/>
  <c r="G288" i="5"/>
  <c r="F288" i="5"/>
  <c r="G280" i="5"/>
  <c r="F280" i="5"/>
  <c r="G272" i="5"/>
  <c r="F272" i="5"/>
  <c r="G264" i="5"/>
  <c r="F264" i="5"/>
  <c r="G256" i="5"/>
  <c r="F256" i="5"/>
  <c r="G248" i="5"/>
  <c r="F248" i="5"/>
  <c r="G240" i="5"/>
  <c r="F240" i="5"/>
  <c r="G232" i="5"/>
  <c r="F232" i="5"/>
  <c r="G224" i="5"/>
  <c r="F224" i="5"/>
  <c r="G216" i="5"/>
  <c r="F216" i="5"/>
  <c r="G208" i="5"/>
  <c r="F208" i="5"/>
  <c r="G200" i="5"/>
  <c r="F200" i="5"/>
  <c r="G192" i="5"/>
  <c r="F192" i="5"/>
  <c r="G184" i="5"/>
  <c r="F184" i="5"/>
  <c r="G176" i="5"/>
  <c r="F176" i="5"/>
  <c r="G168" i="5"/>
  <c r="F168" i="5"/>
  <c r="G160" i="5"/>
  <c r="F160" i="5"/>
  <c r="G152" i="5"/>
  <c r="F152" i="5"/>
  <c r="G144" i="5"/>
  <c r="F144" i="5"/>
  <c r="G136" i="5"/>
  <c r="F136" i="5"/>
  <c r="G128" i="5"/>
  <c r="F128" i="5"/>
  <c r="G120" i="5"/>
  <c r="F120" i="5"/>
  <c r="G112" i="5"/>
  <c r="F112" i="5"/>
  <c r="G104" i="5"/>
  <c r="F104" i="5"/>
  <c r="G96" i="5"/>
  <c r="F96" i="5"/>
  <c r="G88" i="5"/>
  <c r="F88" i="5"/>
  <c r="G80" i="5"/>
  <c r="F80" i="5"/>
  <c r="G72" i="5"/>
  <c r="F72" i="5"/>
  <c r="G64" i="5"/>
  <c r="F64" i="5"/>
  <c r="F56" i="5"/>
  <c r="G56" i="5"/>
  <c r="F48" i="5"/>
  <c r="G48" i="5"/>
  <c r="F40" i="5"/>
  <c r="G40" i="5"/>
  <c r="G32" i="5"/>
  <c r="F32" i="5"/>
  <c r="G24" i="5"/>
  <c r="F24" i="5"/>
  <c r="G16" i="5"/>
  <c r="F16" i="5"/>
  <c r="G8" i="5"/>
  <c r="F8" i="5"/>
  <c r="G998" i="5"/>
  <c r="F998" i="5"/>
  <c r="G990" i="5"/>
  <c r="F990" i="5"/>
  <c r="G982" i="5"/>
  <c r="F982" i="5"/>
  <c r="G974" i="5"/>
  <c r="F974" i="5"/>
  <c r="G966" i="5"/>
  <c r="F966" i="5"/>
  <c r="G958" i="5"/>
  <c r="F958" i="5"/>
  <c r="G950" i="5"/>
  <c r="F950" i="5"/>
  <c r="G942" i="5"/>
  <c r="F942" i="5"/>
  <c r="G934" i="5"/>
  <c r="F934" i="5"/>
  <c r="G926" i="5"/>
  <c r="F926" i="5"/>
  <c r="G918" i="5"/>
  <c r="F918" i="5"/>
  <c r="G910" i="5"/>
  <c r="F910" i="5"/>
  <c r="G902" i="5"/>
  <c r="F902" i="5"/>
  <c r="G894" i="5"/>
  <c r="F894" i="5"/>
  <c r="G886" i="5"/>
  <c r="F886" i="5"/>
  <c r="G878" i="5"/>
  <c r="F878" i="5"/>
  <c r="G870" i="5"/>
  <c r="F870" i="5"/>
  <c r="G862" i="5"/>
  <c r="F862" i="5"/>
  <c r="G854" i="5"/>
  <c r="F854" i="5"/>
  <c r="G846" i="5"/>
  <c r="F846" i="5"/>
  <c r="G838" i="5"/>
  <c r="F838" i="5"/>
  <c r="G828" i="5"/>
  <c r="F828" i="5"/>
  <c r="G820" i="5"/>
  <c r="F820" i="5"/>
  <c r="G812" i="5"/>
  <c r="F812" i="5"/>
  <c r="G804" i="5"/>
  <c r="F804" i="5"/>
  <c r="G796" i="5"/>
  <c r="F796" i="5"/>
  <c r="G788" i="5"/>
  <c r="F788" i="5"/>
  <c r="G780" i="5"/>
  <c r="F780" i="5"/>
  <c r="G772" i="5"/>
  <c r="F772" i="5"/>
  <c r="G764" i="5"/>
  <c r="F764" i="5"/>
  <c r="G756" i="5"/>
  <c r="F756" i="5"/>
  <c r="G748" i="5"/>
  <c r="F748" i="5"/>
  <c r="G740" i="5"/>
  <c r="F740" i="5"/>
  <c r="G732" i="5"/>
  <c r="F732" i="5"/>
  <c r="G724" i="5"/>
  <c r="F724" i="5"/>
  <c r="G716" i="5"/>
  <c r="F716" i="5"/>
  <c r="G708" i="5"/>
  <c r="F708" i="5"/>
  <c r="G700" i="5"/>
  <c r="F700" i="5"/>
  <c r="G692" i="5"/>
  <c r="F692" i="5"/>
  <c r="G684" i="5"/>
  <c r="F684" i="5"/>
  <c r="G676" i="5"/>
  <c r="F676" i="5"/>
  <c r="G668" i="5"/>
  <c r="F668" i="5"/>
  <c r="G660" i="5"/>
  <c r="F660" i="5"/>
  <c r="G652" i="5"/>
  <c r="F652" i="5"/>
  <c r="G644" i="5"/>
  <c r="F644" i="5"/>
  <c r="G636" i="5"/>
  <c r="F636" i="5"/>
  <c r="G628" i="5"/>
  <c r="F628" i="5"/>
  <c r="G620" i="5"/>
  <c r="F620" i="5"/>
  <c r="G612" i="5"/>
  <c r="F612" i="5"/>
  <c r="G604" i="5"/>
  <c r="F604" i="5"/>
  <c r="G596" i="5"/>
  <c r="F596" i="5"/>
  <c r="G588" i="5"/>
  <c r="F588" i="5"/>
  <c r="G580" i="5"/>
  <c r="F580" i="5"/>
  <c r="G572" i="5"/>
  <c r="F572" i="5"/>
  <c r="G564" i="5"/>
  <c r="F564" i="5"/>
  <c r="G556" i="5"/>
  <c r="F556" i="5"/>
  <c r="G548" i="5"/>
  <c r="F548" i="5"/>
  <c r="G540" i="5"/>
  <c r="F540" i="5"/>
  <c r="G532" i="5"/>
  <c r="F532" i="5"/>
  <c r="G524" i="5"/>
  <c r="F524" i="5"/>
  <c r="G516" i="5"/>
  <c r="F516" i="5"/>
  <c r="G508" i="5"/>
  <c r="F508" i="5"/>
  <c r="G500" i="5"/>
  <c r="F500" i="5"/>
  <c r="G492" i="5"/>
  <c r="F492" i="5"/>
  <c r="G486" i="5"/>
  <c r="F486" i="5"/>
  <c r="G478" i="5"/>
  <c r="F478" i="5"/>
  <c r="G470" i="5"/>
  <c r="F470" i="5"/>
  <c r="G462" i="5"/>
  <c r="F462" i="5"/>
  <c r="G454" i="5"/>
  <c r="F454" i="5"/>
  <c r="G446" i="5"/>
  <c r="F446" i="5"/>
  <c r="G438" i="5"/>
  <c r="F438" i="5"/>
  <c r="G430" i="5"/>
  <c r="F430" i="5"/>
  <c r="G422" i="5"/>
  <c r="F422" i="5"/>
  <c r="G414" i="5"/>
  <c r="F414" i="5"/>
  <c r="G406" i="5"/>
  <c r="F406" i="5"/>
  <c r="G398" i="5"/>
  <c r="F398" i="5"/>
  <c r="G390" i="5"/>
  <c r="F390" i="5"/>
  <c r="G382" i="5"/>
  <c r="F382" i="5"/>
  <c r="G374" i="5"/>
  <c r="F374" i="5"/>
  <c r="G366" i="5"/>
  <c r="F366" i="5"/>
  <c r="G358" i="5"/>
  <c r="F358" i="5"/>
  <c r="G350" i="5"/>
  <c r="F350" i="5"/>
  <c r="G342" i="5"/>
  <c r="F342" i="5"/>
  <c r="G334" i="5"/>
  <c r="F334" i="5"/>
  <c r="G326" i="5"/>
  <c r="F326" i="5"/>
  <c r="G318" i="5"/>
  <c r="F318" i="5"/>
  <c r="G310" i="5"/>
  <c r="F310" i="5"/>
  <c r="G302" i="5"/>
  <c r="F302" i="5"/>
  <c r="G294" i="5"/>
  <c r="F294" i="5"/>
  <c r="G286" i="5"/>
  <c r="F286" i="5"/>
  <c r="G278" i="5"/>
  <c r="F278" i="5"/>
  <c r="G270" i="5"/>
  <c r="F270" i="5"/>
  <c r="G262" i="5"/>
  <c r="F262" i="5"/>
  <c r="G254" i="5"/>
  <c r="F254" i="5"/>
  <c r="G246" i="5"/>
  <c r="F246" i="5"/>
  <c r="G238" i="5"/>
  <c r="F238" i="5"/>
  <c r="G230" i="5"/>
  <c r="F230" i="5"/>
  <c r="G222" i="5"/>
  <c r="F222" i="5"/>
  <c r="G214" i="5"/>
  <c r="F214" i="5"/>
  <c r="G206" i="5"/>
  <c r="F206" i="5"/>
  <c r="G198" i="5"/>
  <c r="F198" i="5"/>
  <c r="G190" i="5"/>
  <c r="F190" i="5"/>
  <c r="G182" i="5"/>
  <c r="F182" i="5"/>
  <c r="G174" i="5"/>
  <c r="F174" i="5"/>
  <c r="G166" i="5"/>
  <c r="F166" i="5"/>
  <c r="G158" i="5"/>
  <c r="F158" i="5"/>
  <c r="G150" i="5"/>
  <c r="F150" i="5"/>
  <c r="G142" i="5"/>
  <c r="F142" i="5"/>
  <c r="G134" i="5"/>
  <c r="F134" i="5"/>
  <c r="G126" i="5"/>
  <c r="F126" i="5"/>
  <c r="G118" i="5"/>
  <c r="F118" i="5"/>
  <c r="G110" i="5"/>
  <c r="F110" i="5"/>
  <c r="G102" i="5"/>
  <c r="F102" i="5"/>
  <c r="G94" i="5"/>
  <c r="F94" i="5"/>
  <c r="G86" i="5"/>
  <c r="F86" i="5"/>
  <c r="G78" i="5"/>
  <c r="F78" i="5"/>
  <c r="G70" i="5"/>
  <c r="F70" i="5"/>
  <c r="G62" i="5"/>
  <c r="F62" i="5"/>
  <c r="G54" i="5"/>
  <c r="F54" i="5"/>
  <c r="G46" i="5"/>
  <c r="F46" i="5"/>
  <c r="G38" i="5"/>
  <c r="F38" i="5"/>
  <c r="G30" i="5"/>
  <c r="F30" i="5"/>
  <c r="G22" i="5"/>
  <c r="F22" i="5"/>
  <c r="G14" i="5"/>
  <c r="F14" i="5"/>
  <c r="G6" i="5"/>
  <c r="F6" i="5"/>
  <c r="O14" i="1"/>
  <c r="BL23" i="1" l="1"/>
  <c r="BE15" i="1"/>
  <c r="BD14" i="1"/>
  <c r="BE19" i="1"/>
  <c r="BD18" i="1"/>
  <c r="BE23" i="1"/>
  <c r="BD22" i="1"/>
  <c r="BE27" i="1"/>
  <c r="BD26" i="1"/>
  <c r="BE31" i="1"/>
  <c r="BD30" i="1"/>
  <c r="BE35" i="1"/>
  <c r="BD34" i="1"/>
  <c r="BE39" i="1"/>
  <c r="BD38" i="1"/>
  <c r="BE14" i="1"/>
  <c r="BD13" i="1"/>
  <c r="BE18" i="1"/>
  <c r="BD17" i="1"/>
  <c r="BE22" i="1"/>
  <c r="BD21" i="1"/>
  <c r="BE26" i="1"/>
  <c r="BD25" i="1"/>
  <c r="BE30" i="1"/>
  <c r="BD29" i="1"/>
  <c r="BE34" i="1"/>
  <c r="BD33" i="1"/>
  <c r="BE38" i="1"/>
  <c r="BD37" i="1"/>
  <c r="BE42" i="1"/>
  <c r="BD41" i="1"/>
  <c r="BE13" i="1"/>
  <c r="BD12" i="1"/>
  <c r="BE17" i="1"/>
  <c r="BD16" i="1"/>
  <c r="BE21" i="1"/>
  <c r="BD20" i="1"/>
  <c r="BE25" i="1"/>
  <c r="BD24" i="1"/>
  <c r="BE29" i="1"/>
  <c r="BD28" i="1"/>
  <c r="BE33" i="1"/>
  <c r="BD32" i="1"/>
  <c r="BE37" i="1"/>
  <c r="BD36" i="1"/>
  <c r="BE41" i="1"/>
  <c r="BD40" i="1"/>
  <c r="BD11" i="1"/>
  <c r="BE12" i="1"/>
  <c r="BE16" i="1"/>
  <c r="BD15" i="1"/>
  <c r="BE20" i="1"/>
  <c r="BD19" i="1"/>
  <c r="BE24" i="1"/>
  <c r="BD23" i="1"/>
  <c r="BE28" i="1"/>
  <c r="BD27" i="1"/>
  <c r="BE32" i="1"/>
  <c r="BD31" i="1"/>
  <c r="BE36" i="1"/>
  <c r="BD35" i="1"/>
  <c r="BE40" i="1"/>
  <c r="BD39" i="1"/>
  <c r="O23" i="1"/>
  <c r="O22" i="1"/>
  <c r="O21" i="1"/>
  <c r="N24" i="1"/>
  <c r="N23" i="1"/>
  <c r="N22" i="1"/>
  <c r="N21" i="1"/>
  <c r="M24" i="1"/>
  <c r="M23" i="1"/>
  <c r="M22" i="1"/>
  <c r="M21" i="1"/>
  <c r="L24" i="1"/>
  <c r="L23" i="1"/>
  <c r="L22" i="1"/>
  <c r="L21" i="1"/>
  <c r="K24" i="1"/>
  <c r="K23" i="1"/>
  <c r="K22" i="1"/>
  <c r="K21" i="1"/>
  <c r="J24" i="1"/>
  <c r="J23" i="1"/>
  <c r="J22" i="1"/>
  <c r="J21" i="1"/>
  <c r="I24" i="1"/>
  <c r="I23" i="1"/>
  <c r="I22" i="1"/>
  <c r="I21" i="1"/>
  <c r="H24" i="1"/>
  <c r="H23" i="1"/>
  <c r="H22" i="1"/>
  <c r="H21" i="1"/>
  <c r="BL24" i="1" l="1"/>
  <c r="H15" i="1"/>
  <c r="BL25" i="1" l="1"/>
  <c r="M12" i="1"/>
  <c r="BM7" i="1" s="1"/>
  <c r="BM9" i="1" s="1"/>
  <c r="BM24" i="1" s="1"/>
  <c r="C18" i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BM11" i="1" l="1"/>
  <c r="BM13" i="1"/>
  <c r="BM12" i="1"/>
  <c r="BM14" i="1"/>
  <c r="BM15" i="1"/>
  <c r="BM16" i="1"/>
  <c r="BM17" i="1"/>
  <c r="BM18" i="1"/>
  <c r="BM19" i="1"/>
  <c r="BM20" i="1"/>
  <c r="BM21" i="1"/>
  <c r="BM22" i="1"/>
  <c r="BM23" i="1"/>
  <c r="BM25" i="1"/>
  <c r="BL26" i="1"/>
  <c r="BM26" i="1" s="1"/>
  <c r="O12" i="1"/>
  <c r="BM8" i="1" s="1"/>
  <c r="I11" i="1"/>
  <c r="J11" i="1" s="1"/>
  <c r="K11" i="1" s="1"/>
  <c r="L11" i="1" s="1"/>
  <c r="M11" i="1" s="1"/>
  <c r="N11" i="1" s="1"/>
  <c r="O11" i="1" s="1"/>
  <c r="G14" i="1"/>
  <c r="G13" i="1"/>
  <c r="G12" i="1"/>
  <c r="BN23" i="1" l="1"/>
  <c r="BN21" i="1"/>
  <c r="BN19" i="1"/>
  <c r="BN17" i="1"/>
  <c r="BN25" i="1"/>
  <c r="BN22" i="1"/>
  <c r="BN20" i="1"/>
  <c r="BN18" i="1"/>
  <c r="BN24" i="1"/>
  <c r="BN16" i="1"/>
  <c r="BU16" i="1" s="1"/>
  <c r="BN14" i="1"/>
  <c r="BN13" i="1"/>
  <c r="BU13" i="1" s="1"/>
  <c r="BN15" i="1"/>
  <c r="BN26" i="1"/>
  <c r="BL27" i="1"/>
  <c r="BM27" i="1" s="1"/>
  <c r="BN12" i="1"/>
  <c r="BU12" i="1" s="1"/>
  <c r="BN11" i="1"/>
  <c r="BU11" i="1" s="1"/>
  <c r="G22" i="1"/>
  <c r="G17" i="1"/>
  <c r="H14" i="1"/>
  <c r="D16" i="1"/>
  <c r="F14" i="1"/>
  <c r="F13" i="1"/>
  <c r="F12" i="1"/>
  <c r="BV26" i="1" l="1"/>
  <c r="BU26" i="1"/>
  <c r="BV18" i="1"/>
  <c r="BU18" i="1"/>
  <c r="BV22" i="1"/>
  <c r="BU22" i="1"/>
  <c r="BU21" i="1"/>
  <c r="BV21" i="1"/>
  <c r="BV24" i="1"/>
  <c r="BU24" i="1"/>
  <c r="BV20" i="1"/>
  <c r="BU20" i="1"/>
  <c r="BU25" i="1"/>
  <c r="BV25" i="1"/>
  <c r="BU19" i="1"/>
  <c r="BV19" i="1"/>
  <c r="BU23" i="1"/>
  <c r="BV23" i="1"/>
  <c r="BU17" i="1"/>
  <c r="BV17" i="1"/>
  <c r="BV15" i="1"/>
  <c r="BU15" i="1"/>
  <c r="BV14" i="1"/>
  <c r="BU14" i="1"/>
  <c r="BV16" i="1"/>
  <c r="BV13" i="1"/>
  <c r="BV11" i="1"/>
  <c r="BV12" i="1"/>
  <c r="BL28" i="1"/>
  <c r="BM28" i="1" s="1"/>
  <c r="BN27" i="1"/>
  <c r="H20" i="1"/>
  <c r="E18" i="1" s="1"/>
  <c r="BU27" i="1" l="1"/>
  <c r="BV27" i="1"/>
  <c r="BL29" i="1"/>
  <c r="BM29" i="1" s="1"/>
  <c r="BN28" i="1"/>
  <c r="Q19" i="1"/>
  <c r="Q20" i="1" s="1"/>
  <c r="Q21" i="1" s="1"/>
  <c r="Q22" i="1" s="1"/>
  <c r="Q23" i="1" s="1"/>
  <c r="R21" i="1"/>
  <c r="R23" i="1"/>
  <c r="R20" i="1"/>
  <c r="R22" i="1"/>
  <c r="R19" i="1"/>
  <c r="R18" i="1"/>
  <c r="R24" i="1"/>
  <c r="BV28" i="1" l="1"/>
  <c r="BU28" i="1"/>
  <c r="BL30" i="1"/>
  <c r="BM30" i="1" s="1"/>
  <c r="BN29" i="1"/>
  <c r="BU29" i="1" l="1"/>
  <c r="BV29" i="1"/>
  <c r="BN30" i="1"/>
  <c r="BL31" i="1"/>
  <c r="BM31" i="1" s="1"/>
  <c r="BV30" i="1" l="1"/>
  <c r="BU30" i="1"/>
  <c r="BL32" i="1"/>
  <c r="BM32" i="1" s="1"/>
  <c r="BN31" i="1"/>
  <c r="BU31" i="1" l="1"/>
  <c r="BV31" i="1"/>
  <c r="BL33" i="1"/>
  <c r="BM33" i="1" s="1"/>
  <c r="BN32" i="1"/>
  <c r="BV32" i="1" l="1"/>
  <c r="BU32" i="1"/>
  <c r="BL34" i="1"/>
  <c r="BM34" i="1" s="1"/>
  <c r="BN33" i="1"/>
  <c r="BU33" i="1" l="1"/>
  <c r="BV33" i="1"/>
  <c r="BN34" i="1"/>
  <c r="BL35" i="1"/>
  <c r="BM35" i="1" s="1"/>
  <c r="BV34" i="1" l="1"/>
  <c r="BU34" i="1"/>
  <c r="BL36" i="1"/>
  <c r="BM36" i="1" s="1"/>
  <c r="BN35" i="1"/>
  <c r="BU35" i="1" l="1"/>
  <c r="BV35" i="1"/>
  <c r="BL37" i="1"/>
  <c r="BM37" i="1" s="1"/>
  <c r="BN36" i="1"/>
  <c r="BV36" i="1" l="1"/>
  <c r="BU36" i="1"/>
  <c r="BL38" i="1"/>
  <c r="BM38" i="1" s="1"/>
  <c r="BN37" i="1"/>
  <c r="BU37" i="1" l="1"/>
  <c r="BV37" i="1"/>
  <c r="BN38" i="1"/>
  <c r="BL39" i="1"/>
  <c r="BM39" i="1" s="1"/>
  <c r="BV38" i="1" l="1"/>
  <c r="BU38" i="1"/>
  <c r="BL40" i="1"/>
  <c r="BM40" i="1" s="1"/>
  <c r="BN39" i="1"/>
  <c r="BU39" i="1" l="1"/>
  <c r="BV39" i="1"/>
  <c r="BL41" i="1"/>
  <c r="BM41" i="1" s="1"/>
  <c r="BN40" i="1"/>
  <c r="BV40" i="1" l="1"/>
  <c r="BU40" i="1"/>
  <c r="BL42" i="1"/>
  <c r="BM42" i="1" s="1"/>
  <c r="BN41" i="1"/>
  <c r="BU41" i="1" l="1"/>
  <c r="BV41" i="1"/>
  <c r="BN42" i="1"/>
  <c r="BL43" i="1"/>
  <c r="BM43" i="1" s="1"/>
  <c r="BV42" i="1" l="1"/>
  <c r="BU42" i="1"/>
  <c r="BL44" i="1"/>
  <c r="BM44" i="1" s="1"/>
  <c r="BN43" i="1"/>
  <c r="BU43" i="1" l="1"/>
  <c r="BV43" i="1"/>
  <c r="BL45" i="1"/>
  <c r="BM45" i="1" s="1"/>
  <c r="BN44" i="1"/>
  <c r="BV44" i="1" l="1"/>
  <c r="BU44" i="1"/>
  <c r="BL46" i="1"/>
  <c r="BM46" i="1" s="1"/>
  <c r="BN45" i="1"/>
  <c r="BU45" i="1" l="1"/>
  <c r="BV45" i="1"/>
  <c r="BN46" i="1"/>
  <c r="BL47" i="1"/>
  <c r="BM47" i="1" s="1"/>
  <c r="BV46" i="1" l="1"/>
  <c r="BU46" i="1"/>
  <c r="BL48" i="1"/>
  <c r="BM48" i="1" s="1"/>
  <c r="BN47" i="1"/>
  <c r="BU47" i="1" l="1"/>
  <c r="BV47" i="1"/>
  <c r="BL49" i="1"/>
  <c r="BM49" i="1" s="1"/>
  <c r="BN48" i="1"/>
  <c r="BV48" i="1" l="1"/>
  <c r="BU48" i="1"/>
  <c r="BL50" i="1"/>
  <c r="BM50" i="1" s="1"/>
  <c r="BN49" i="1"/>
  <c r="BU49" i="1" l="1"/>
  <c r="BV49" i="1"/>
  <c r="BN50" i="1"/>
  <c r="BL51" i="1"/>
  <c r="BM51" i="1" s="1"/>
  <c r="BV50" i="1" l="1"/>
  <c r="BU50" i="1"/>
  <c r="BL52" i="1"/>
  <c r="BM52" i="1" s="1"/>
  <c r="BN51" i="1"/>
  <c r="BU51" i="1" l="1"/>
  <c r="BV51" i="1"/>
  <c r="BL53" i="1"/>
  <c r="BM53" i="1" s="1"/>
  <c r="BN52" i="1"/>
  <c r="BV52" i="1" l="1"/>
  <c r="BU52" i="1"/>
  <c r="BL54" i="1"/>
  <c r="BM54" i="1" s="1"/>
  <c r="BN53" i="1"/>
  <c r="BU53" i="1" l="1"/>
  <c r="BV53" i="1"/>
  <c r="BN54" i="1"/>
  <c r="BL55" i="1"/>
  <c r="BM55" i="1" s="1"/>
  <c r="BV54" i="1" l="1"/>
  <c r="BU54" i="1"/>
  <c r="BL56" i="1"/>
  <c r="BM56" i="1" s="1"/>
  <c r="BN55" i="1"/>
  <c r="BU55" i="1" l="1"/>
  <c r="BV55" i="1"/>
  <c r="BL57" i="1"/>
  <c r="BM57" i="1" s="1"/>
  <c r="BN56" i="1"/>
  <c r="BV56" i="1" l="1"/>
  <c r="BU56" i="1"/>
  <c r="BL58" i="1"/>
  <c r="BM58" i="1" s="1"/>
  <c r="BN57" i="1"/>
  <c r="BU57" i="1" l="1"/>
  <c r="BV57" i="1"/>
  <c r="BN58" i="1"/>
  <c r="BL59" i="1"/>
  <c r="BM59" i="1" s="1"/>
  <c r="BV58" i="1" l="1"/>
  <c r="BU58" i="1"/>
  <c r="BL60" i="1"/>
  <c r="BM60" i="1" s="1"/>
  <c r="BN59" i="1"/>
  <c r="BU59" i="1" l="1"/>
  <c r="BV59" i="1"/>
  <c r="BL61" i="1"/>
  <c r="BM61" i="1" s="1"/>
  <c r="BN60" i="1"/>
  <c r="BV60" i="1" l="1"/>
  <c r="BU60" i="1"/>
  <c r="BL62" i="1"/>
  <c r="BM62" i="1" s="1"/>
  <c r="BN61" i="1"/>
  <c r="BU61" i="1" l="1"/>
  <c r="BV61" i="1"/>
  <c r="BN62" i="1"/>
  <c r="BL63" i="1"/>
  <c r="BM63" i="1" s="1"/>
  <c r="BV62" i="1" l="1"/>
  <c r="BU62" i="1"/>
  <c r="BL64" i="1"/>
  <c r="BM64" i="1" s="1"/>
  <c r="BN63" i="1"/>
  <c r="BU63" i="1" l="1"/>
  <c r="BV63" i="1"/>
  <c r="BL65" i="1"/>
  <c r="BM65" i="1" s="1"/>
  <c r="BN64" i="1"/>
  <c r="BV64" i="1" l="1"/>
  <c r="BU64" i="1"/>
  <c r="BL66" i="1"/>
  <c r="BM66" i="1" s="1"/>
  <c r="BN65" i="1"/>
  <c r="BU65" i="1" l="1"/>
  <c r="BV65" i="1"/>
  <c r="BN66" i="1"/>
  <c r="BL67" i="1"/>
  <c r="BM67" i="1" s="1"/>
  <c r="BV66" i="1" l="1"/>
  <c r="BU66" i="1"/>
  <c r="BL68" i="1"/>
  <c r="BM68" i="1" s="1"/>
  <c r="BN67" i="1"/>
  <c r="BU67" i="1" l="1"/>
  <c r="BV67" i="1"/>
  <c r="BL69" i="1"/>
  <c r="BM69" i="1" s="1"/>
  <c r="BN68" i="1"/>
  <c r="BV68" i="1" l="1"/>
  <c r="BU68" i="1"/>
  <c r="BL70" i="1"/>
  <c r="BM70" i="1" s="1"/>
  <c r="BN69" i="1"/>
  <c r="BU69" i="1" l="1"/>
  <c r="BV69" i="1"/>
  <c r="BN70" i="1"/>
  <c r="BL71" i="1"/>
  <c r="BM71" i="1" s="1"/>
  <c r="BV70" i="1" l="1"/>
  <c r="BU70" i="1"/>
  <c r="BL72" i="1"/>
  <c r="BM72" i="1" s="1"/>
  <c r="BN71" i="1"/>
  <c r="BU71" i="1" l="1"/>
  <c r="BV71" i="1"/>
  <c r="BL73" i="1"/>
  <c r="BM73" i="1" s="1"/>
  <c r="BN72" i="1"/>
  <c r="BV72" i="1" l="1"/>
  <c r="BU72" i="1"/>
  <c r="BL74" i="1"/>
  <c r="BM74" i="1" s="1"/>
  <c r="BN73" i="1"/>
  <c r="BU73" i="1" l="1"/>
  <c r="BV73" i="1"/>
  <c r="BN74" i="1"/>
  <c r="BL75" i="1"/>
  <c r="BM75" i="1" s="1"/>
  <c r="BV74" i="1" l="1"/>
  <c r="BU74" i="1"/>
  <c r="BL76" i="1"/>
  <c r="BM76" i="1" s="1"/>
  <c r="BN75" i="1"/>
  <c r="BU75" i="1" l="1"/>
  <c r="BV75" i="1"/>
  <c r="BL77" i="1"/>
  <c r="BM77" i="1" s="1"/>
  <c r="BN76" i="1"/>
  <c r="BV76" i="1" l="1"/>
  <c r="BU76" i="1"/>
  <c r="BL78" i="1"/>
  <c r="BM78" i="1" s="1"/>
  <c r="BN77" i="1"/>
  <c r="BU77" i="1" l="1"/>
  <c r="BV77" i="1"/>
  <c r="BN78" i="1"/>
  <c r="BL79" i="1"/>
  <c r="BM79" i="1" s="1"/>
  <c r="BV78" i="1" l="1"/>
  <c r="BU78" i="1"/>
  <c r="BL80" i="1"/>
  <c r="BM80" i="1" s="1"/>
  <c r="BN79" i="1"/>
  <c r="BU79" i="1" l="1"/>
  <c r="BV79" i="1"/>
  <c r="BL81" i="1"/>
  <c r="BM81" i="1" s="1"/>
  <c r="BN80" i="1"/>
  <c r="BV80" i="1" l="1"/>
  <c r="BU80" i="1"/>
  <c r="BL82" i="1"/>
  <c r="BM82" i="1" s="1"/>
  <c r="BN81" i="1"/>
  <c r="BU81" i="1" l="1"/>
  <c r="BV81" i="1"/>
  <c r="BN82" i="1"/>
  <c r="BL83" i="1"/>
  <c r="BM83" i="1" s="1"/>
  <c r="BV82" i="1" l="1"/>
  <c r="BU82" i="1"/>
  <c r="BL84" i="1"/>
  <c r="BM84" i="1" s="1"/>
  <c r="BN83" i="1"/>
  <c r="BU83" i="1" l="1"/>
  <c r="BV83" i="1"/>
  <c r="BL85" i="1"/>
  <c r="BM85" i="1" s="1"/>
  <c r="BN84" i="1"/>
  <c r="BU84" i="1" l="1"/>
  <c r="BV84" i="1"/>
  <c r="BL86" i="1"/>
  <c r="BM86" i="1" s="1"/>
  <c r="BN85" i="1"/>
  <c r="BV85" i="1" l="1"/>
  <c r="BU85" i="1"/>
  <c r="BN86" i="1"/>
  <c r="BL87" i="1"/>
  <c r="BM87" i="1" s="1"/>
  <c r="BU86" i="1" l="1"/>
  <c r="BV86" i="1"/>
  <c r="BL88" i="1"/>
  <c r="BM88" i="1" s="1"/>
  <c r="BN87" i="1"/>
  <c r="BV87" i="1" l="1"/>
  <c r="BU87" i="1"/>
  <c r="BL89" i="1"/>
  <c r="BM89" i="1" s="1"/>
  <c r="BN88" i="1"/>
  <c r="BU88" i="1" l="1"/>
  <c r="BV88" i="1"/>
  <c r="BL90" i="1"/>
  <c r="BM90" i="1" s="1"/>
  <c r="BN89" i="1"/>
  <c r="BV89" i="1" l="1"/>
  <c r="BU89" i="1"/>
  <c r="BN90" i="1"/>
  <c r="BL91" i="1"/>
  <c r="BM91" i="1" s="1"/>
  <c r="BU90" i="1" l="1"/>
  <c r="BV90" i="1"/>
  <c r="BL92" i="1"/>
  <c r="BM92" i="1" s="1"/>
  <c r="BN91" i="1"/>
  <c r="BV91" i="1" l="1"/>
  <c r="BU91" i="1"/>
  <c r="BL93" i="1"/>
  <c r="BM93" i="1" s="1"/>
  <c r="BN92" i="1"/>
  <c r="BU92" i="1" l="1"/>
  <c r="BV92" i="1"/>
  <c r="BL94" i="1"/>
  <c r="BM94" i="1" s="1"/>
  <c r="BN93" i="1"/>
  <c r="BV93" i="1" l="1"/>
  <c r="BU93" i="1"/>
  <c r="BN94" i="1"/>
  <c r="BL95" i="1"/>
  <c r="BM95" i="1" s="1"/>
  <c r="BU94" i="1" l="1"/>
  <c r="BV94" i="1"/>
  <c r="BL96" i="1"/>
  <c r="BM96" i="1" s="1"/>
  <c r="BN95" i="1"/>
  <c r="BV95" i="1" l="1"/>
  <c r="BU95" i="1"/>
  <c r="BL97" i="1"/>
  <c r="BM97" i="1" s="1"/>
  <c r="BN96" i="1"/>
  <c r="BU96" i="1" l="1"/>
  <c r="BV96" i="1"/>
  <c r="BL98" i="1"/>
  <c r="BM98" i="1" s="1"/>
  <c r="BN97" i="1"/>
  <c r="BV97" i="1" l="1"/>
  <c r="BU97" i="1"/>
  <c r="BN98" i="1"/>
  <c r="BL99" i="1"/>
  <c r="BM99" i="1" s="1"/>
  <c r="BU98" i="1" l="1"/>
  <c r="BV98" i="1"/>
  <c r="BL100" i="1"/>
  <c r="BM100" i="1" s="1"/>
  <c r="BN99" i="1"/>
  <c r="BV99" i="1" l="1"/>
  <c r="BU99" i="1"/>
  <c r="BL101" i="1"/>
  <c r="BM101" i="1" s="1"/>
  <c r="BN100" i="1"/>
  <c r="BU100" i="1" l="1"/>
  <c r="BV100" i="1"/>
  <c r="BL102" i="1"/>
  <c r="BM102" i="1" s="1"/>
  <c r="BN101" i="1"/>
  <c r="BV101" i="1" l="1"/>
  <c r="BU101" i="1"/>
  <c r="BN102" i="1"/>
  <c r="BL103" i="1"/>
  <c r="BM103" i="1" s="1"/>
  <c r="BU102" i="1" l="1"/>
  <c r="BV102" i="1"/>
  <c r="BL104" i="1"/>
  <c r="BM104" i="1" s="1"/>
  <c r="BN103" i="1"/>
  <c r="BV103" i="1" l="1"/>
  <c r="BU103" i="1"/>
  <c r="BL105" i="1"/>
  <c r="BM105" i="1" s="1"/>
  <c r="BN104" i="1"/>
  <c r="BU104" i="1" l="1"/>
  <c r="BV104" i="1"/>
  <c r="BL106" i="1"/>
  <c r="BM106" i="1" s="1"/>
  <c r="BN105" i="1"/>
  <c r="BV105" i="1" l="1"/>
  <c r="BU105" i="1"/>
  <c r="BN106" i="1"/>
  <c r="BL107" i="1"/>
  <c r="BM107" i="1" s="1"/>
  <c r="BU106" i="1" l="1"/>
  <c r="BV106" i="1"/>
  <c r="BL108" i="1"/>
  <c r="BM108" i="1" s="1"/>
  <c r="BN107" i="1"/>
  <c r="BV107" i="1" l="1"/>
  <c r="BU107" i="1"/>
  <c r="BL109" i="1"/>
  <c r="BM109" i="1" s="1"/>
  <c r="BN108" i="1"/>
  <c r="BU108" i="1" l="1"/>
  <c r="BV108" i="1"/>
  <c r="BL110" i="1"/>
  <c r="BM110" i="1" s="1"/>
  <c r="BN109" i="1"/>
  <c r="BV109" i="1" l="1"/>
  <c r="BU109" i="1"/>
  <c r="BN110" i="1"/>
  <c r="BL111" i="1"/>
  <c r="BM111" i="1" s="1"/>
  <c r="BU110" i="1" l="1"/>
  <c r="BV110" i="1"/>
  <c r="BL112" i="1"/>
  <c r="BM112" i="1" s="1"/>
  <c r="BN111" i="1"/>
  <c r="BV111" i="1" l="1"/>
  <c r="BU111" i="1"/>
  <c r="BL113" i="1"/>
  <c r="BM113" i="1" s="1"/>
  <c r="BN112" i="1"/>
  <c r="BU112" i="1" l="1"/>
  <c r="BV112" i="1"/>
  <c r="BL114" i="1"/>
  <c r="BM114" i="1" s="1"/>
  <c r="BN113" i="1"/>
  <c r="BV113" i="1" l="1"/>
  <c r="BU113" i="1"/>
  <c r="BN114" i="1"/>
  <c r="BL115" i="1"/>
  <c r="BM115" i="1" s="1"/>
  <c r="BU114" i="1" l="1"/>
  <c r="BV114" i="1"/>
  <c r="BL116" i="1"/>
  <c r="BM116" i="1" s="1"/>
  <c r="BN115" i="1"/>
  <c r="BV115" i="1" l="1"/>
  <c r="BU115" i="1"/>
  <c r="BL117" i="1"/>
  <c r="BM117" i="1" s="1"/>
  <c r="BN116" i="1"/>
  <c r="BU116" i="1" l="1"/>
  <c r="BV116" i="1"/>
  <c r="BL118" i="1"/>
  <c r="BM118" i="1" s="1"/>
  <c r="BN117" i="1"/>
  <c r="BV117" i="1" l="1"/>
  <c r="BU117" i="1"/>
  <c r="BN118" i="1"/>
  <c r="BL119" i="1"/>
  <c r="BM119" i="1" s="1"/>
  <c r="BU118" i="1" l="1"/>
  <c r="BV118" i="1"/>
  <c r="BL120" i="1"/>
  <c r="BM120" i="1" s="1"/>
  <c r="BN119" i="1"/>
  <c r="BV119" i="1" l="1"/>
  <c r="BU119" i="1"/>
  <c r="BL121" i="1"/>
  <c r="BM121" i="1" s="1"/>
  <c r="BN120" i="1"/>
  <c r="BU120" i="1" l="1"/>
  <c r="BV120" i="1"/>
  <c r="BL122" i="1"/>
  <c r="BM122" i="1" s="1"/>
  <c r="BN121" i="1"/>
  <c r="BV121" i="1" l="1"/>
  <c r="BU121" i="1"/>
  <c r="BN122" i="1"/>
  <c r="BL123" i="1"/>
  <c r="BM123" i="1" s="1"/>
  <c r="BU122" i="1" l="1"/>
  <c r="BV122" i="1"/>
  <c r="BL124" i="1"/>
  <c r="BM124" i="1" s="1"/>
  <c r="BN123" i="1"/>
  <c r="BV123" i="1" l="1"/>
  <c r="BU123" i="1"/>
  <c r="BL125" i="1"/>
  <c r="BM125" i="1" s="1"/>
  <c r="BN124" i="1"/>
  <c r="BU124" i="1" l="1"/>
  <c r="BV124" i="1"/>
  <c r="BL126" i="1"/>
  <c r="BM126" i="1" s="1"/>
  <c r="BN125" i="1"/>
  <c r="BV125" i="1" l="1"/>
  <c r="BU125" i="1"/>
  <c r="BN126" i="1"/>
  <c r="BL127" i="1"/>
  <c r="BM127" i="1" s="1"/>
  <c r="BU126" i="1" l="1"/>
  <c r="BV126" i="1"/>
  <c r="BL128" i="1"/>
  <c r="BM128" i="1" s="1"/>
  <c r="BN127" i="1"/>
  <c r="BV127" i="1" l="1"/>
  <c r="BU127" i="1"/>
  <c r="BL129" i="1"/>
  <c r="BM129" i="1" s="1"/>
  <c r="BN128" i="1"/>
  <c r="BU128" i="1" l="1"/>
  <c r="BV128" i="1"/>
  <c r="BL130" i="1"/>
  <c r="BM130" i="1" s="1"/>
  <c r="BN129" i="1"/>
  <c r="BV129" i="1" l="1"/>
  <c r="BU129" i="1"/>
  <c r="BN130" i="1"/>
  <c r="BL131" i="1"/>
  <c r="BM131" i="1" s="1"/>
  <c r="BU130" i="1" l="1"/>
  <c r="BV130" i="1"/>
  <c r="BL132" i="1"/>
  <c r="BM132" i="1" s="1"/>
  <c r="BN131" i="1"/>
  <c r="BV131" i="1" l="1"/>
  <c r="BU131" i="1"/>
  <c r="BL133" i="1"/>
  <c r="BM133" i="1" s="1"/>
  <c r="BN132" i="1"/>
  <c r="BU132" i="1" l="1"/>
  <c r="BV132" i="1"/>
  <c r="BL134" i="1"/>
  <c r="BM134" i="1" s="1"/>
  <c r="BN133" i="1"/>
  <c r="BV133" i="1" l="1"/>
  <c r="BU133" i="1"/>
  <c r="BN134" i="1"/>
  <c r="BL135" i="1"/>
  <c r="BM135" i="1" s="1"/>
  <c r="BU134" i="1" l="1"/>
  <c r="BV134" i="1"/>
  <c r="BL136" i="1"/>
  <c r="BM136" i="1" s="1"/>
  <c r="BN135" i="1"/>
  <c r="BV135" i="1" l="1"/>
  <c r="BU135" i="1"/>
  <c r="BL137" i="1"/>
  <c r="BM137" i="1" s="1"/>
  <c r="BN136" i="1"/>
  <c r="BU136" i="1" l="1"/>
  <c r="BV136" i="1"/>
  <c r="BL138" i="1"/>
  <c r="BM138" i="1" s="1"/>
  <c r="BN137" i="1"/>
  <c r="BV137" i="1" l="1"/>
  <c r="BU137" i="1"/>
  <c r="BN138" i="1"/>
  <c r="BL139" i="1"/>
  <c r="BM139" i="1" s="1"/>
  <c r="BU138" i="1" l="1"/>
  <c r="BV138" i="1"/>
  <c r="BL140" i="1"/>
  <c r="BM140" i="1" s="1"/>
  <c r="BN139" i="1"/>
  <c r="BV139" i="1" l="1"/>
  <c r="BU139" i="1"/>
  <c r="BL141" i="1"/>
  <c r="BM141" i="1" s="1"/>
  <c r="BN140" i="1"/>
  <c r="BU140" i="1" l="1"/>
  <c r="BV140" i="1"/>
  <c r="BL142" i="1"/>
  <c r="BM142" i="1" s="1"/>
  <c r="BN141" i="1"/>
  <c r="BV141" i="1" l="1"/>
  <c r="BU141" i="1"/>
  <c r="BN142" i="1"/>
  <c r="BL143" i="1"/>
  <c r="BM143" i="1" s="1"/>
  <c r="BU142" i="1" l="1"/>
  <c r="BV142" i="1"/>
  <c r="BL144" i="1"/>
  <c r="BM144" i="1" s="1"/>
  <c r="BN143" i="1"/>
  <c r="BV143" i="1" l="1"/>
  <c r="BU143" i="1"/>
  <c r="BL145" i="1"/>
  <c r="BM145" i="1" s="1"/>
  <c r="BN144" i="1"/>
  <c r="BU144" i="1" l="1"/>
  <c r="BV144" i="1"/>
  <c r="BL146" i="1"/>
  <c r="BM146" i="1" s="1"/>
  <c r="BN145" i="1"/>
  <c r="BV145" i="1" l="1"/>
  <c r="BU145" i="1"/>
  <c r="BN146" i="1"/>
  <c r="BL147" i="1"/>
  <c r="BM147" i="1" s="1"/>
  <c r="BU146" i="1" l="1"/>
  <c r="BV146" i="1"/>
  <c r="BL148" i="1"/>
  <c r="BM148" i="1" s="1"/>
  <c r="BN147" i="1"/>
  <c r="BV147" i="1" l="1"/>
  <c r="BU147" i="1"/>
  <c r="BL149" i="1"/>
  <c r="BM149" i="1" s="1"/>
  <c r="BN148" i="1"/>
  <c r="BU148" i="1" l="1"/>
  <c r="BV148" i="1"/>
  <c r="BL150" i="1"/>
  <c r="BM150" i="1" s="1"/>
  <c r="BN149" i="1"/>
  <c r="BV149" i="1" l="1"/>
  <c r="BU149" i="1"/>
  <c r="BN150" i="1"/>
  <c r="BL151" i="1"/>
  <c r="BM151" i="1" s="1"/>
  <c r="BU150" i="1" l="1"/>
  <c r="BV150" i="1"/>
  <c r="BL152" i="1"/>
  <c r="BM152" i="1" s="1"/>
  <c r="BN151" i="1"/>
  <c r="BV151" i="1" l="1"/>
  <c r="BU151" i="1"/>
  <c r="BL153" i="1"/>
  <c r="BM153" i="1" s="1"/>
  <c r="BN152" i="1"/>
  <c r="BU152" i="1" l="1"/>
  <c r="BV152" i="1"/>
  <c r="BL154" i="1"/>
  <c r="BM154" i="1" s="1"/>
  <c r="BN153" i="1"/>
  <c r="BV153" i="1" l="1"/>
  <c r="BU153" i="1"/>
  <c r="BN154" i="1"/>
  <c r="BL155" i="1"/>
  <c r="BM155" i="1" s="1"/>
  <c r="BU154" i="1" l="1"/>
  <c r="BV154" i="1"/>
  <c r="BL156" i="1"/>
  <c r="BM156" i="1" s="1"/>
  <c r="BN155" i="1"/>
  <c r="BV155" i="1" l="1"/>
  <c r="BU155" i="1"/>
  <c r="BL157" i="1"/>
  <c r="BM157" i="1" s="1"/>
  <c r="BN156" i="1"/>
  <c r="BU156" i="1" l="1"/>
  <c r="BV156" i="1"/>
  <c r="BL158" i="1"/>
  <c r="BM158" i="1" s="1"/>
  <c r="BN157" i="1"/>
  <c r="BV157" i="1" l="1"/>
  <c r="BU157" i="1"/>
  <c r="BN158" i="1"/>
  <c r="BL159" i="1"/>
  <c r="BM159" i="1" s="1"/>
  <c r="BU158" i="1" l="1"/>
  <c r="BV158" i="1"/>
  <c r="BL160" i="1"/>
  <c r="BM160" i="1" s="1"/>
  <c r="BN159" i="1"/>
  <c r="BV159" i="1" l="1"/>
  <c r="BU159" i="1"/>
  <c r="BL161" i="1"/>
  <c r="BM161" i="1" s="1"/>
  <c r="BN160" i="1"/>
  <c r="BU160" i="1" l="1"/>
  <c r="BV160" i="1"/>
  <c r="BL162" i="1"/>
  <c r="BM162" i="1" s="1"/>
  <c r="BN161" i="1"/>
  <c r="BV161" i="1" l="1"/>
  <c r="BU161" i="1"/>
  <c r="BN162" i="1"/>
  <c r="BL163" i="1"/>
  <c r="BM163" i="1" s="1"/>
  <c r="BU162" i="1" l="1"/>
  <c r="BV162" i="1"/>
  <c r="BL164" i="1"/>
  <c r="BM164" i="1" s="1"/>
  <c r="BN163" i="1"/>
  <c r="BV163" i="1" l="1"/>
  <c r="BU163" i="1"/>
  <c r="BL165" i="1"/>
  <c r="BM165" i="1" s="1"/>
  <c r="BN164" i="1"/>
  <c r="BU164" i="1" l="1"/>
  <c r="BV164" i="1"/>
  <c r="BL166" i="1"/>
  <c r="BM166" i="1" s="1"/>
  <c r="BN165" i="1"/>
  <c r="BV165" i="1" l="1"/>
  <c r="BU165" i="1"/>
  <c r="BN166" i="1"/>
  <c r="BL167" i="1"/>
  <c r="BM167" i="1" s="1"/>
  <c r="BU166" i="1" l="1"/>
  <c r="BV166" i="1"/>
  <c r="BL168" i="1"/>
  <c r="BM168" i="1" s="1"/>
  <c r="BN167" i="1"/>
  <c r="BV167" i="1" l="1"/>
  <c r="BU167" i="1"/>
  <c r="BL169" i="1"/>
  <c r="BM169" i="1" s="1"/>
  <c r="BN168" i="1"/>
  <c r="BU168" i="1" l="1"/>
  <c r="BV168" i="1"/>
  <c r="BL170" i="1"/>
  <c r="BM170" i="1" s="1"/>
  <c r="BN169" i="1"/>
  <c r="BV169" i="1" l="1"/>
  <c r="BU169" i="1"/>
  <c r="BN170" i="1"/>
  <c r="BL171" i="1"/>
  <c r="BM171" i="1" s="1"/>
  <c r="BU170" i="1" l="1"/>
  <c r="BV170" i="1"/>
  <c r="BL172" i="1"/>
  <c r="BM172" i="1" s="1"/>
  <c r="BN171" i="1"/>
  <c r="BV171" i="1" l="1"/>
  <c r="BU171" i="1"/>
  <c r="BL173" i="1"/>
  <c r="BM173" i="1" s="1"/>
  <c r="BN172" i="1"/>
  <c r="BU172" i="1" l="1"/>
  <c r="BV172" i="1"/>
  <c r="BL174" i="1"/>
  <c r="BM174" i="1" s="1"/>
  <c r="BN173" i="1"/>
  <c r="BV173" i="1" l="1"/>
  <c r="BU173" i="1"/>
  <c r="BN174" i="1"/>
  <c r="BL175" i="1"/>
  <c r="BM175" i="1" s="1"/>
  <c r="BU174" i="1" l="1"/>
  <c r="BV174" i="1"/>
  <c r="BL176" i="1"/>
  <c r="BM176" i="1" s="1"/>
  <c r="BN175" i="1"/>
  <c r="BV175" i="1" l="1"/>
  <c r="BU175" i="1"/>
  <c r="BL177" i="1"/>
  <c r="BM177" i="1" s="1"/>
  <c r="BN176" i="1"/>
  <c r="BU176" i="1" l="1"/>
  <c r="BV176" i="1"/>
  <c r="BL178" i="1"/>
  <c r="BM178" i="1" s="1"/>
  <c r="BN177" i="1"/>
  <c r="BV177" i="1" l="1"/>
  <c r="BU177" i="1"/>
  <c r="BN178" i="1"/>
  <c r="BL179" i="1"/>
  <c r="BM179" i="1" s="1"/>
  <c r="BU178" i="1" l="1"/>
  <c r="BV178" i="1"/>
  <c r="BL180" i="1"/>
  <c r="BM180" i="1" s="1"/>
  <c r="BN179" i="1"/>
  <c r="BV179" i="1" l="1"/>
  <c r="BU179" i="1"/>
  <c r="BL181" i="1"/>
  <c r="BM181" i="1" s="1"/>
  <c r="BN180" i="1"/>
  <c r="BU180" i="1" l="1"/>
  <c r="BV180" i="1"/>
  <c r="BL182" i="1"/>
  <c r="BM182" i="1" s="1"/>
  <c r="BN181" i="1"/>
  <c r="BV181" i="1" l="1"/>
  <c r="BU181" i="1"/>
  <c r="BN182" i="1"/>
  <c r="BL183" i="1"/>
  <c r="BM183" i="1" s="1"/>
  <c r="BU182" i="1" l="1"/>
  <c r="BV182" i="1"/>
  <c r="BL184" i="1"/>
  <c r="BM184" i="1" s="1"/>
  <c r="BN183" i="1"/>
  <c r="BV183" i="1" l="1"/>
  <c r="BU183" i="1"/>
  <c r="BL185" i="1"/>
  <c r="BM185" i="1" s="1"/>
  <c r="BN184" i="1"/>
  <c r="BU184" i="1" l="1"/>
  <c r="BV184" i="1"/>
  <c r="BL186" i="1"/>
  <c r="BM186" i="1" s="1"/>
  <c r="BN185" i="1"/>
  <c r="BV185" i="1" l="1"/>
  <c r="BU185" i="1"/>
  <c r="BN186" i="1"/>
  <c r="BL187" i="1"/>
  <c r="BM187" i="1" s="1"/>
  <c r="BU186" i="1" l="1"/>
  <c r="BV186" i="1"/>
  <c r="BL188" i="1"/>
  <c r="BM188" i="1" s="1"/>
  <c r="BN187" i="1"/>
  <c r="BV187" i="1" l="1"/>
  <c r="BU187" i="1"/>
  <c r="BL189" i="1"/>
  <c r="BM189" i="1" s="1"/>
  <c r="BN188" i="1"/>
  <c r="BU188" i="1" l="1"/>
  <c r="BV188" i="1"/>
  <c r="BL190" i="1"/>
  <c r="BM190" i="1" s="1"/>
  <c r="BN189" i="1"/>
  <c r="BV189" i="1" l="1"/>
  <c r="BU189" i="1"/>
  <c r="BN190" i="1"/>
  <c r="BL191" i="1"/>
  <c r="BM191" i="1" s="1"/>
  <c r="BU190" i="1" l="1"/>
  <c r="BV190" i="1"/>
  <c r="BL192" i="1"/>
  <c r="BM192" i="1" s="1"/>
  <c r="BN191" i="1"/>
  <c r="BV191" i="1" l="1"/>
  <c r="BU191" i="1"/>
  <c r="BL193" i="1"/>
  <c r="BM193" i="1" s="1"/>
  <c r="BN192" i="1"/>
  <c r="BU192" i="1" l="1"/>
  <c r="BV192" i="1"/>
  <c r="BL194" i="1"/>
  <c r="BM194" i="1" s="1"/>
  <c r="BN193" i="1"/>
  <c r="BV193" i="1" l="1"/>
  <c r="BU193" i="1"/>
  <c r="BN194" i="1"/>
  <c r="BL195" i="1"/>
  <c r="BM195" i="1" s="1"/>
  <c r="BU194" i="1" l="1"/>
  <c r="BV194" i="1"/>
  <c r="BL196" i="1"/>
  <c r="BM196" i="1" s="1"/>
  <c r="BN195" i="1"/>
  <c r="BV195" i="1" l="1"/>
  <c r="BU195" i="1"/>
  <c r="BL197" i="1"/>
  <c r="BM197" i="1" s="1"/>
  <c r="BN196" i="1"/>
  <c r="BU196" i="1" l="1"/>
  <c r="BV196" i="1"/>
  <c r="BL198" i="1"/>
  <c r="BM198" i="1" s="1"/>
  <c r="BN197" i="1"/>
  <c r="BV197" i="1" l="1"/>
  <c r="BU197" i="1"/>
  <c r="BN198" i="1"/>
  <c r="BL199" i="1"/>
  <c r="BM199" i="1" s="1"/>
  <c r="BU198" i="1" l="1"/>
  <c r="BV198" i="1"/>
  <c r="BL200" i="1"/>
  <c r="BM200" i="1" s="1"/>
  <c r="BN199" i="1"/>
  <c r="BV199" i="1" l="1"/>
  <c r="BU199" i="1"/>
  <c r="BL201" i="1"/>
  <c r="BM201" i="1" s="1"/>
  <c r="BN200" i="1"/>
  <c r="BU200" i="1" l="1"/>
  <c r="BV200" i="1"/>
  <c r="BL202" i="1"/>
  <c r="BM202" i="1" s="1"/>
  <c r="BN201" i="1"/>
  <c r="BV201" i="1" l="1"/>
  <c r="BU201" i="1"/>
  <c r="BN202" i="1"/>
  <c r="BL203" i="1"/>
  <c r="BM203" i="1" s="1"/>
  <c r="BU202" i="1" l="1"/>
  <c r="BV202" i="1"/>
  <c r="BL204" i="1"/>
  <c r="BM204" i="1" s="1"/>
  <c r="BN203" i="1"/>
  <c r="BV203" i="1" l="1"/>
  <c r="BU203" i="1"/>
  <c r="BL205" i="1"/>
  <c r="BM205" i="1" s="1"/>
  <c r="BN204" i="1"/>
  <c r="BU204" i="1" l="1"/>
  <c r="BV204" i="1"/>
  <c r="BL206" i="1"/>
  <c r="BM206" i="1" s="1"/>
  <c r="BN205" i="1"/>
  <c r="BV205" i="1" l="1"/>
  <c r="BU205" i="1"/>
  <c r="BN206" i="1"/>
  <c r="BL207" i="1"/>
  <c r="BM207" i="1" s="1"/>
  <c r="BU206" i="1" l="1"/>
  <c r="BV206" i="1"/>
  <c r="BL208" i="1"/>
  <c r="BM208" i="1" s="1"/>
  <c r="BN207" i="1"/>
  <c r="BV207" i="1" l="1"/>
  <c r="BU207" i="1"/>
  <c r="BL209" i="1"/>
  <c r="BM209" i="1" s="1"/>
  <c r="BN208" i="1"/>
  <c r="BU208" i="1" l="1"/>
  <c r="BV208" i="1"/>
  <c r="BL210" i="1"/>
  <c r="BM210" i="1" s="1"/>
  <c r="BN209" i="1"/>
  <c r="BV209" i="1" l="1"/>
  <c r="BU209" i="1"/>
  <c r="BN210" i="1"/>
  <c r="BL211" i="1"/>
  <c r="BM211" i="1" s="1"/>
  <c r="BU210" i="1" l="1"/>
  <c r="BV210" i="1"/>
  <c r="BL212" i="1"/>
  <c r="BM212" i="1" s="1"/>
  <c r="BN211" i="1"/>
  <c r="BV211" i="1" l="1"/>
  <c r="BU211" i="1"/>
  <c r="BL213" i="1"/>
  <c r="BM213" i="1" s="1"/>
  <c r="BN212" i="1"/>
  <c r="BU212" i="1" l="1"/>
  <c r="BV212" i="1"/>
  <c r="BL214" i="1"/>
  <c r="BM214" i="1" s="1"/>
  <c r="BN213" i="1"/>
  <c r="BV213" i="1" l="1"/>
  <c r="BU213" i="1"/>
  <c r="BN214" i="1"/>
  <c r="BL215" i="1"/>
  <c r="BM215" i="1" s="1"/>
  <c r="BU214" i="1" l="1"/>
  <c r="BV214" i="1"/>
  <c r="BL216" i="1"/>
  <c r="BM216" i="1" s="1"/>
  <c r="BN215" i="1"/>
  <c r="BV215" i="1" l="1"/>
  <c r="BU215" i="1"/>
  <c r="BL217" i="1"/>
  <c r="BM217" i="1" s="1"/>
  <c r="BN216" i="1"/>
  <c r="BU216" i="1" l="1"/>
  <c r="BV216" i="1"/>
  <c r="BL218" i="1"/>
  <c r="BM218" i="1" s="1"/>
  <c r="BN217" i="1"/>
  <c r="BV217" i="1" l="1"/>
  <c r="BU217" i="1"/>
  <c r="BN218" i="1"/>
  <c r="BL219" i="1"/>
  <c r="BM219" i="1" s="1"/>
  <c r="BU218" i="1" l="1"/>
  <c r="BV218" i="1"/>
  <c r="BL220" i="1"/>
  <c r="BM220" i="1" s="1"/>
  <c r="BN219" i="1"/>
  <c r="BV219" i="1" l="1"/>
  <c r="BU219" i="1"/>
  <c r="BL221" i="1"/>
  <c r="BM221" i="1" s="1"/>
  <c r="BN220" i="1"/>
  <c r="BU220" i="1" l="1"/>
  <c r="BV220" i="1"/>
  <c r="BL222" i="1"/>
  <c r="BM222" i="1" s="1"/>
  <c r="BN221" i="1"/>
  <c r="BV221" i="1" l="1"/>
  <c r="BU221" i="1"/>
  <c r="BN222" i="1"/>
  <c r="BL223" i="1"/>
  <c r="BM223" i="1" s="1"/>
  <c r="BU222" i="1" l="1"/>
  <c r="BV222" i="1"/>
  <c r="BL224" i="1"/>
  <c r="BM224" i="1" s="1"/>
  <c r="BN223" i="1"/>
  <c r="BV223" i="1" l="1"/>
  <c r="BU223" i="1"/>
  <c r="BL225" i="1"/>
  <c r="BM225" i="1" s="1"/>
  <c r="BN224" i="1"/>
  <c r="BU224" i="1" l="1"/>
  <c r="BV224" i="1"/>
  <c r="BL226" i="1"/>
  <c r="BM226" i="1" s="1"/>
  <c r="BN225" i="1"/>
  <c r="BV225" i="1" l="1"/>
  <c r="BU225" i="1"/>
  <c r="BN226" i="1"/>
  <c r="BL227" i="1"/>
  <c r="BM227" i="1" s="1"/>
  <c r="BU226" i="1" l="1"/>
  <c r="BV226" i="1"/>
  <c r="BL228" i="1"/>
  <c r="BM228" i="1" s="1"/>
  <c r="BN227" i="1"/>
  <c r="BV227" i="1" l="1"/>
  <c r="BU227" i="1"/>
  <c r="BL229" i="1"/>
  <c r="BM229" i="1" s="1"/>
  <c r="BN228" i="1"/>
  <c r="BU228" i="1" l="1"/>
  <c r="BV228" i="1"/>
  <c r="BL230" i="1"/>
  <c r="BM230" i="1" s="1"/>
  <c r="BN229" i="1"/>
  <c r="BV229" i="1" l="1"/>
  <c r="BU229" i="1"/>
  <c r="BN230" i="1"/>
  <c r="BL231" i="1"/>
  <c r="BM231" i="1" s="1"/>
  <c r="BU230" i="1" l="1"/>
  <c r="BV230" i="1"/>
  <c r="BL232" i="1"/>
  <c r="BM232" i="1" s="1"/>
  <c r="BN231" i="1"/>
  <c r="BV231" i="1" l="1"/>
  <c r="BU231" i="1"/>
  <c r="BL233" i="1"/>
  <c r="BM233" i="1" s="1"/>
  <c r="BN232" i="1"/>
  <c r="BU232" i="1" l="1"/>
  <c r="BV232" i="1"/>
  <c r="BL234" i="1"/>
  <c r="BM234" i="1" s="1"/>
  <c r="BN233" i="1"/>
  <c r="BV233" i="1" l="1"/>
  <c r="BU233" i="1"/>
  <c r="BN234" i="1"/>
  <c r="BL235" i="1"/>
  <c r="BM235" i="1" s="1"/>
  <c r="BU234" i="1" l="1"/>
  <c r="BV234" i="1"/>
  <c r="BL236" i="1"/>
  <c r="BM236" i="1" s="1"/>
  <c r="BN235" i="1"/>
  <c r="BV235" i="1" l="1"/>
  <c r="BU235" i="1"/>
  <c r="BL237" i="1"/>
  <c r="BM237" i="1" s="1"/>
  <c r="BN236" i="1"/>
  <c r="BU236" i="1" l="1"/>
  <c r="BV236" i="1"/>
  <c r="BL238" i="1"/>
  <c r="BM238" i="1" s="1"/>
  <c r="BN237" i="1"/>
  <c r="BV237" i="1" l="1"/>
  <c r="BU237" i="1"/>
  <c r="BN238" i="1"/>
  <c r="BL239" i="1"/>
  <c r="BM239" i="1" s="1"/>
  <c r="BU238" i="1" l="1"/>
  <c r="BV238" i="1"/>
  <c r="BL240" i="1"/>
  <c r="BM240" i="1" s="1"/>
  <c r="BN239" i="1"/>
  <c r="BV239" i="1" l="1"/>
  <c r="BU239" i="1"/>
  <c r="BL241" i="1"/>
  <c r="BM241" i="1" s="1"/>
  <c r="BN240" i="1"/>
  <c r="BU240" i="1" l="1"/>
  <c r="BV240" i="1"/>
  <c r="BL242" i="1"/>
  <c r="BM242" i="1" s="1"/>
  <c r="BN241" i="1"/>
  <c r="BV241" i="1" l="1"/>
  <c r="BU241" i="1"/>
  <c r="BN242" i="1"/>
  <c r="BL243" i="1"/>
  <c r="BM243" i="1" s="1"/>
  <c r="BU242" i="1" l="1"/>
  <c r="BV242" i="1"/>
  <c r="BL244" i="1"/>
  <c r="BM244" i="1" s="1"/>
  <c r="BN243" i="1"/>
  <c r="BV243" i="1" l="1"/>
  <c r="BU243" i="1"/>
  <c r="BL245" i="1"/>
  <c r="BM245" i="1" s="1"/>
  <c r="BN244" i="1"/>
  <c r="BU244" i="1" l="1"/>
  <c r="BV244" i="1"/>
  <c r="BL246" i="1"/>
  <c r="BM246" i="1" s="1"/>
  <c r="BN245" i="1"/>
  <c r="BV245" i="1" l="1"/>
  <c r="BU245" i="1"/>
  <c r="BL247" i="1"/>
  <c r="BM247" i="1" s="1"/>
  <c r="BN246" i="1"/>
  <c r="BU246" i="1" l="1"/>
  <c r="BV246" i="1"/>
  <c r="BL248" i="1"/>
  <c r="BM248" i="1" s="1"/>
  <c r="BN247" i="1"/>
  <c r="BV247" i="1" l="1"/>
  <c r="BU247" i="1"/>
  <c r="BL249" i="1"/>
  <c r="BM249" i="1" s="1"/>
  <c r="BN248" i="1"/>
  <c r="BU248" i="1" l="1"/>
  <c r="BV248" i="1"/>
  <c r="BL250" i="1"/>
  <c r="BM250" i="1" s="1"/>
  <c r="BN249" i="1"/>
  <c r="BV249" i="1" l="1"/>
  <c r="BU249" i="1"/>
  <c r="BL251" i="1"/>
  <c r="BM251" i="1" s="1"/>
  <c r="BN250" i="1"/>
  <c r="BU250" i="1" l="1"/>
  <c r="BV250" i="1"/>
  <c r="BL252" i="1"/>
  <c r="BM252" i="1" s="1"/>
  <c r="BN251" i="1"/>
  <c r="BV251" i="1" l="1"/>
  <c r="BU251" i="1"/>
  <c r="BL253" i="1"/>
  <c r="BM253" i="1" s="1"/>
  <c r="BN252" i="1"/>
  <c r="BU252" i="1" l="1"/>
  <c r="BV252" i="1"/>
  <c r="BL254" i="1"/>
  <c r="BM254" i="1" s="1"/>
  <c r="BN253" i="1"/>
  <c r="BV253" i="1" l="1"/>
  <c r="BU253" i="1"/>
  <c r="BL255" i="1"/>
  <c r="BM255" i="1" s="1"/>
  <c r="BN254" i="1"/>
  <c r="BU254" i="1" l="1"/>
  <c r="BV254" i="1"/>
  <c r="BL256" i="1"/>
  <c r="BM256" i="1" s="1"/>
  <c r="BN255" i="1"/>
  <c r="BV255" i="1" l="1"/>
  <c r="BU255" i="1"/>
  <c r="BL257" i="1"/>
  <c r="BM257" i="1" s="1"/>
  <c r="BN256" i="1"/>
  <c r="BU256" i="1" l="1"/>
  <c r="BV256" i="1"/>
  <c r="BL258" i="1"/>
  <c r="BM258" i="1" s="1"/>
  <c r="BN257" i="1"/>
  <c r="BV257" i="1" l="1"/>
  <c r="BU257" i="1"/>
  <c r="BL259" i="1"/>
  <c r="BM259" i="1" s="1"/>
  <c r="BN258" i="1"/>
  <c r="BU258" i="1" l="1"/>
  <c r="BV258" i="1"/>
  <c r="BL260" i="1"/>
  <c r="BM260" i="1" s="1"/>
  <c r="BN259" i="1"/>
  <c r="BV259" i="1" l="1"/>
  <c r="BU259" i="1"/>
  <c r="BL261" i="1"/>
  <c r="BM261" i="1" s="1"/>
  <c r="BN260" i="1"/>
  <c r="BU260" i="1" l="1"/>
  <c r="BV260" i="1"/>
  <c r="BL262" i="1"/>
  <c r="BM262" i="1" s="1"/>
  <c r="BN261" i="1"/>
  <c r="BV261" i="1" l="1"/>
  <c r="BU261" i="1"/>
  <c r="BL263" i="1"/>
  <c r="BM263" i="1" s="1"/>
  <c r="BN262" i="1"/>
  <c r="BU262" i="1" l="1"/>
  <c r="BV262" i="1"/>
  <c r="BL264" i="1"/>
  <c r="BM264" i="1" s="1"/>
  <c r="BN263" i="1"/>
  <c r="BV263" i="1" l="1"/>
  <c r="BU263" i="1"/>
  <c r="BL265" i="1"/>
  <c r="BM265" i="1" s="1"/>
  <c r="BN264" i="1"/>
  <c r="BU264" i="1" l="1"/>
  <c r="BV264" i="1"/>
  <c r="BL266" i="1"/>
  <c r="BM266" i="1" s="1"/>
  <c r="BN265" i="1"/>
  <c r="BV265" i="1" l="1"/>
  <c r="BU265" i="1"/>
  <c r="BL267" i="1"/>
  <c r="BM267" i="1" s="1"/>
  <c r="BN266" i="1"/>
  <c r="BU266" i="1" l="1"/>
  <c r="BV266" i="1"/>
  <c r="BL268" i="1"/>
  <c r="BM268" i="1" s="1"/>
  <c r="BN267" i="1"/>
  <c r="BV267" i="1" l="1"/>
  <c r="BU267" i="1"/>
  <c r="BL269" i="1"/>
  <c r="BM269" i="1" s="1"/>
  <c r="BN268" i="1"/>
  <c r="BU268" i="1" l="1"/>
  <c r="BV268" i="1"/>
  <c r="BL270" i="1"/>
  <c r="BM270" i="1" s="1"/>
  <c r="BN269" i="1"/>
  <c r="BV269" i="1" l="1"/>
  <c r="BU269" i="1"/>
  <c r="BL271" i="1"/>
  <c r="BM271" i="1" s="1"/>
  <c r="BN270" i="1"/>
  <c r="BU270" i="1" l="1"/>
  <c r="BV270" i="1"/>
  <c r="BL272" i="1"/>
  <c r="BM272" i="1" s="1"/>
  <c r="BN271" i="1"/>
  <c r="BV271" i="1" l="1"/>
  <c r="BU271" i="1"/>
  <c r="BL273" i="1"/>
  <c r="BM273" i="1" s="1"/>
  <c r="BN272" i="1"/>
  <c r="BU272" i="1" l="1"/>
  <c r="BV272" i="1"/>
  <c r="BL274" i="1"/>
  <c r="BM274" i="1" s="1"/>
  <c r="BN273" i="1"/>
  <c r="BV273" i="1" l="1"/>
  <c r="BU273" i="1"/>
  <c r="BL275" i="1"/>
  <c r="BM275" i="1" s="1"/>
  <c r="BN274" i="1"/>
  <c r="BU274" i="1" l="1"/>
  <c r="BV274" i="1"/>
  <c r="BL276" i="1"/>
  <c r="BM276" i="1" s="1"/>
  <c r="BN275" i="1"/>
  <c r="BV275" i="1" l="1"/>
  <c r="BU275" i="1"/>
  <c r="BL277" i="1"/>
  <c r="BM277" i="1" s="1"/>
  <c r="BN276" i="1"/>
  <c r="BU276" i="1" l="1"/>
  <c r="BV276" i="1"/>
  <c r="BL278" i="1"/>
  <c r="BM278" i="1" s="1"/>
  <c r="BN277" i="1"/>
  <c r="BV277" i="1" l="1"/>
  <c r="BU277" i="1"/>
  <c r="BL279" i="1"/>
  <c r="BM279" i="1" s="1"/>
  <c r="BN278" i="1"/>
  <c r="BU278" i="1" l="1"/>
  <c r="BV278" i="1"/>
  <c r="BL280" i="1"/>
  <c r="BM280" i="1" s="1"/>
  <c r="BN279" i="1"/>
  <c r="BV279" i="1" l="1"/>
  <c r="BU279" i="1"/>
  <c r="BL281" i="1"/>
  <c r="BM281" i="1" s="1"/>
  <c r="BN280" i="1"/>
  <c r="BU280" i="1" l="1"/>
  <c r="BV280" i="1"/>
  <c r="BL282" i="1"/>
  <c r="BM282" i="1" s="1"/>
  <c r="BN281" i="1"/>
  <c r="BV281" i="1" l="1"/>
  <c r="BU281" i="1"/>
  <c r="BL283" i="1"/>
  <c r="BM283" i="1" s="1"/>
  <c r="BN282" i="1"/>
  <c r="BU282" i="1" l="1"/>
  <c r="BV282" i="1"/>
  <c r="BL284" i="1"/>
  <c r="BM284" i="1" s="1"/>
  <c r="BN283" i="1"/>
  <c r="BV283" i="1" l="1"/>
  <c r="BU283" i="1"/>
  <c r="BL285" i="1"/>
  <c r="BM285" i="1" s="1"/>
  <c r="BN284" i="1"/>
  <c r="BU284" i="1" l="1"/>
  <c r="BV284" i="1"/>
  <c r="BL286" i="1"/>
  <c r="BM286" i="1" s="1"/>
  <c r="BN285" i="1"/>
  <c r="BV285" i="1" l="1"/>
  <c r="BU285" i="1"/>
  <c r="BL287" i="1"/>
  <c r="BM287" i="1" s="1"/>
  <c r="BN286" i="1"/>
  <c r="BU286" i="1" l="1"/>
  <c r="BV286" i="1"/>
  <c r="BL288" i="1"/>
  <c r="BM288" i="1" s="1"/>
  <c r="BN287" i="1"/>
  <c r="BV287" i="1" l="1"/>
  <c r="BU287" i="1"/>
  <c r="BL289" i="1"/>
  <c r="BM289" i="1" s="1"/>
  <c r="BN288" i="1"/>
  <c r="BU288" i="1" l="1"/>
  <c r="BV288" i="1"/>
  <c r="BL290" i="1"/>
  <c r="BM290" i="1" s="1"/>
  <c r="BN289" i="1"/>
  <c r="BV289" i="1" l="1"/>
  <c r="BU289" i="1"/>
  <c r="BL291" i="1"/>
  <c r="BM291" i="1" s="1"/>
  <c r="BN290" i="1"/>
  <c r="BU290" i="1" l="1"/>
  <c r="BV290" i="1"/>
  <c r="BL292" i="1"/>
  <c r="BM292" i="1" s="1"/>
  <c r="BN291" i="1"/>
  <c r="BV291" i="1" l="1"/>
  <c r="BU291" i="1"/>
  <c r="BL293" i="1"/>
  <c r="BM293" i="1" s="1"/>
  <c r="BN292" i="1"/>
  <c r="BU292" i="1" l="1"/>
  <c r="BV292" i="1"/>
  <c r="BL294" i="1"/>
  <c r="BM294" i="1" s="1"/>
  <c r="BN293" i="1"/>
  <c r="BV293" i="1" l="1"/>
  <c r="BU293" i="1"/>
  <c r="BL295" i="1"/>
  <c r="BM295" i="1" s="1"/>
  <c r="BN294" i="1"/>
  <c r="BU294" i="1" l="1"/>
  <c r="BV294" i="1"/>
  <c r="BL296" i="1"/>
  <c r="BM296" i="1" s="1"/>
  <c r="BN295" i="1"/>
  <c r="BV295" i="1" l="1"/>
  <c r="BU295" i="1"/>
  <c r="BL297" i="1"/>
  <c r="BM297" i="1" s="1"/>
  <c r="BN296" i="1"/>
  <c r="BU296" i="1" l="1"/>
  <c r="BV296" i="1"/>
  <c r="BL298" i="1"/>
  <c r="BM298" i="1" s="1"/>
  <c r="BN297" i="1"/>
  <c r="BV297" i="1" l="1"/>
  <c r="BU297" i="1"/>
  <c r="BL299" i="1"/>
  <c r="BM299" i="1" s="1"/>
  <c r="BN298" i="1"/>
  <c r="BU298" i="1" l="1"/>
  <c r="BV298" i="1"/>
  <c r="BL300" i="1"/>
  <c r="BM300" i="1" s="1"/>
  <c r="BN299" i="1"/>
  <c r="BV299" i="1" l="1"/>
  <c r="BU299" i="1"/>
  <c r="BL301" i="1"/>
  <c r="BM301" i="1" s="1"/>
  <c r="BN300" i="1"/>
  <c r="BU300" i="1" l="1"/>
  <c r="BV300" i="1"/>
  <c r="BL302" i="1"/>
  <c r="BM302" i="1" s="1"/>
  <c r="BN301" i="1"/>
  <c r="BV301" i="1" l="1"/>
  <c r="BU301" i="1"/>
  <c r="BL303" i="1"/>
  <c r="BM303" i="1" s="1"/>
  <c r="BN302" i="1"/>
  <c r="BU302" i="1" l="1"/>
  <c r="BV302" i="1"/>
  <c r="BL304" i="1"/>
  <c r="BM304" i="1" s="1"/>
  <c r="BN303" i="1"/>
  <c r="BV303" i="1" l="1"/>
  <c r="BU303" i="1"/>
  <c r="BL305" i="1"/>
  <c r="BM305" i="1" s="1"/>
  <c r="BN304" i="1"/>
  <c r="BU304" i="1" l="1"/>
  <c r="BV304" i="1"/>
  <c r="BL306" i="1"/>
  <c r="BM306" i="1" s="1"/>
  <c r="BN305" i="1"/>
  <c r="BV305" i="1" l="1"/>
  <c r="BU305" i="1"/>
  <c r="BL307" i="1"/>
  <c r="BM307" i="1" s="1"/>
  <c r="BN306" i="1"/>
  <c r="BU306" i="1" l="1"/>
  <c r="BV306" i="1"/>
  <c r="BL308" i="1"/>
  <c r="BM308" i="1" s="1"/>
  <c r="BN307" i="1"/>
  <c r="BV307" i="1" l="1"/>
  <c r="BU307" i="1"/>
  <c r="BL309" i="1"/>
  <c r="BM309" i="1" s="1"/>
  <c r="BN308" i="1"/>
  <c r="BU308" i="1" l="1"/>
  <c r="BV308" i="1"/>
  <c r="BL310" i="1"/>
  <c r="BM310" i="1" s="1"/>
  <c r="BN309" i="1"/>
  <c r="BV309" i="1" l="1"/>
  <c r="BU309" i="1"/>
  <c r="BL311" i="1"/>
  <c r="BM311" i="1" s="1"/>
  <c r="BN310" i="1"/>
  <c r="BU310" i="1" l="1"/>
  <c r="BV310" i="1"/>
  <c r="BL312" i="1"/>
  <c r="BM312" i="1" s="1"/>
  <c r="BN311" i="1"/>
  <c r="BV311" i="1" l="1"/>
  <c r="BU311" i="1"/>
  <c r="BL313" i="1"/>
  <c r="BM313" i="1" s="1"/>
  <c r="BN312" i="1"/>
  <c r="BU312" i="1" l="1"/>
  <c r="BV312" i="1"/>
  <c r="BL314" i="1"/>
  <c r="BM314" i="1" s="1"/>
  <c r="BN313" i="1"/>
  <c r="BV313" i="1" l="1"/>
  <c r="BU313" i="1"/>
  <c r="BL315" i="1"/>
  <c r="BM315" i="1" s="1"/>
  <c r="BN314" i="1"/>
  <c r="BU314" i="1" l="1"/>
  <c r="BV314" i="1"/>
  <c r="BL316" i="1"/>
  <c r="BM316" i="1" s="1"/>
  <c r="BN315" i="1"/>
  <c r="BV315" i="1" l="1"/>
  <c r="BU315" i="1"/>
  <c r="BL317" i="1"/>
  <c r="BM317" i="1" s="1"/>
  <c r="BN316" i="1"/>
  <c r="BU316" i="1" l="1"/>
  <c r="BV316" i="1"/>
  <c r="BL318" i="1"/>
  <c r="BM318" i="1" s="1"/>
  <c r="BN317" i="1"/>
  <c r="BV317" i="1" l="1"/>
  <c r="BU317" i="1"/>
  <c r="BL319" i="1"/>
  <c r="BM319" i="1" s="1"/>
  <c r="BN318" i="1"/>
  <c r="BU318" i="1" l="1"/>
  <c r="BV318" i="1"/>
  <c r="BL320" i="1"/>
  <c r="BM320" i="1" s="1"/>
  <c r="BN319" i="1"/>
  <c r="BV319" i="1" l="1"/>
  <c r="BU319" i="1"/>
  <c r="BL321" i="1"/>
  <c r="BM321" i="1" s="1"/>
  <c r="BN320" i="1"/>
  <c r="BU320" i="1" l="1"/>
  <c r="BV320" i="1"/>
  <c r="BL322" i="1"/>
  <c r="BM322" i="1" s="1"/>
  <c r="BN321" i="1"/>
  <c r="BV321" i="1" l="1"/>
  <c r="BU321" i="1"/>
  <c r="BL323" i="1"/>
  <c r="BM323" i="1" s="1"/>
  <c r="BN322" i="1"/>
  <c r="BU322" i="1" l="1"/>
  <c r="BV322" i="1"/>
  <c r="BL324" i="1"/>
  <c r="BM324" i="1" s="1"/>
  <c r="BN323" i="1"/>
  <c r="BV323" i="1" l="1"/>
  <c r="BU323" i="1"/>
  <c r="BL325" i="1"/>
  <c r="BM325" i="1" s="1"/>
  <c r="BN324" i="1"/>
  <c r="BU324" i="1" l="1"/>
  <c r="BV324" i="1"/>
  <c r="BL326" i="1"/>
  <c r="BM326" i="1" s="1"/>
  <c r="BN325" i="1"/>
  <c r="BV325" i="1" l="1"/>
  <c r="BU325" i="1"/>
  <c r="BL327" i="1"/>
  <c r="BM327" i="1" s="1"/>
  <c r="BN326" i="1"/>
  <c r="BU326" i="1" l="1"/>
  <c r="BV326" i="1"/>
  <c r="BL328" i="1"/>
  <c r="BM328" i="1" s="1"/>
  <c r="BN327" i="1"/>
  <c r="BV327" i="1" l="1"/>
  <c r="BU327" i="1"/>
  <c r="BL329" i="1"/>
  <c r="BM329" i="1" s="1"/>
  <c r="BN328" i="1"/>
  <c r="BU328" i="1" l="1"/>
  <c r="BV328" i="1"/>
  <c r="BL330" i="1"/>
  <c r="BM330" i="1" s="1"/>
  <c r="BN329" i="1"/>
  <c r="BV329" i="1" l="1"/>
  <c r="BU329" i="1"/>
  <c r="BL331" i="1"/>
  <c r="BM331" i="1" s="1"/>
  <c r="BN330" i="1"/>
  <c r="BU330" i="1" l="1"/>
  <c r="BV330" i="1"/>
  <c r="BL332" i="1"/>
  <c r="BM332" i="1" s="1"/>
  <c r="BN331" i="1"/>
  <c r="BV331" i="1" l="1"/>
  <c r="BU331" i="1"/>
  <c r="BL333" i="1"/>
  <c r="BM333" i="1" s="1"/>
  <c r="BN332" i="1"/>
  <c r="BU332" i="1" l="1"/>
  <c r="BV332" i="1"/>
  <c r="BL334" i="1"/>
  <c r="BM334" i="1" s="1"/>
  <c r="BN333" i="1"/>
  <c r="BV333" i="1" l="1"/>
  <c r="BU333" i="1"/>
  <c r="BL335" i="1"/>
  <c r="BM335" i="1" s="1"/>
  <c r="BN334" i="1"/>
  <c r="BU334" i="1" l="1"/>
  <c r="BV334" i="1"/>
  <c r="BL336" i="1"/>
  <c r="BM336" i="1" s="1"/>
  <c r="BN335" i="1"/>
  <c r="BV335" i="1" l="1"/>
  <c r="BU335" i="1"/>
  <c r="BL337" i="1"/>
  <c r="BM337" i="1" s="1"/>
  <c r="BN336" i="1"/>
  <c r="BU336" i="1" l="1"/>
  <c r="BV336" i="1"/>
  <c r="BL338" i="1"/>
  <c r="BM338" i="1" s="1"/>
  <c r="BN337" i="1"/>
  <c r="BV337" i="1" l="1"/>
  <c r="BU337" i="1"/>
  <c r="BL339" i="1"/>
  <c r="BM339" i="1" s="1"/>
  <c r="BN338" i="1"/>
  <c r="BU338" i="1" l="1"/>
  <c r="BV338" i="1"/>
  <c r="BL340" i="1"/>
  <c r="BM340" i="1" s="1"/>
  <c r="BN339" i="1"/>
  <c r="BV339" i="1" l="1"/>
  <c r="BU339" i="1"/>
  <c r="BL341" i="1"/>
  <c r="BM341" i="1" s="1"/>
  <c r="BN340" i="1"/>
  <c r="BU340" i="1" l="1"/>
  <c r="BV340" i="1"/>
  <c r="BL342" i="1"/>
  <c r="BM342" i="1" s="1"/>
  <c r="BN341" i="1"/>
  <c r="BV341" i="1" l="1"/>
  <c r="BU341" i="1"/>
  <c r="BL343" i="1"/>
  <c r="BM343" i="1" s="1"/>
  <c r="BN342" i="1"/>
  <c r="BU342" i="1" l="1"/>
  <c r="BV342" i="1"/>
  <c r="BL344" i="1"/>
  <c r="BM344" i="1" s="1"/>
  <c r="BN343" i="1"/>
  <c r="BV343" i="1" l="1"/>
  <c r="BU343" i="1"/>
  <c r="BL345" i="1"/>
  <c r="BM345" i="1" s="1"/>
  <c r="BN344" i="1"/>
  <c r="BU344" i="1" l="1"/>
  <c r="BV344" i="1"/>
  <c r="BL346" i="1"/>
  <c r="BM346" i="1" s="1"/>
  <c r="BN345" i="1"/>
  <c r="BV345" i="1" l="1"/>
  <c r="BU345" i="1"/>
  <c r="BL347" i="1"/>
  <c r="BM347" i="1" s="1"/>
  <c r="BN346" i="1"/>
  <c r="BU346" i="1" l="1"/>
  <c r="BV346" i="1"/>
  <c r="BL348" i="1"/>
  <c r="BM348" i="1" s="1"/>
  <c r="BN347" i="1"/>
  <c r="BV347" i="1" l="1"/>
  <c r="BU347" i="1"/>
  <c r="BL349" i="1"/>
  <c r="BM349" i="1" s="1"/>
  <c r="BN348" i="1"/>
  <c r="BU348" i="1" l="1"/>
  <c r="BV348" i="1"/>
  <c r="BL350" i="1"/>
  <c r="BM350" i="1" s="1"/>
  <c r="BN349" i="1"/>
  <c r="BV349" i="1" l="1"/>
  <c r="BU349" i="1"/>
  <c r="BL351" i="1"/>
  <c r="BM351" i="1" s="1"/>
  <c r="BN350" i="1"/>
  <c r="BU350" i="1" l="1"/>
  <c r="BV350" i="1"/>
  <c r="BL352" i="1"/>
  <c r="BM352" i="1" s="1"/>
  <c r="BN351" i="1"/>
  <c r="BV351" i="1" l="1"/>
  <c r="BU351" i="1"/>
  <c r="BL353" i="1"/>
  <c r="BM353" i="1" s="1"/>
  <c r="BN352" i="1"/>
  <c r="BU352" i="1" l="1"/>
  <c r="BV352" i="1"/>
  <c r="BL354" i="1"/>
  <c r="BM354" i="1" s="1"/>
  <c r="BN353" i="1"/>
  <c r="BV353" i="1" l="1"/>
  <c r="BU353" i="1"/>
  <c r="BL355" i="1"/>
  <c r="BM355" i="1" s="1"/>
  <c r="BN354" i="1"/>
  <c r="BU354" i="1" l="1"/>
  <c r="BV354" i="1"/>
  <c r="BL356" i="1"/>
  <c r="BM356" i="1" s="1"/>
  <c r="BN355" i="1"/>
  <c r="BV355" i="1" l="1"/>
  <c r="BU355" i="1"/>
  <c r="BL357" i="1"/>
  <c r="BM357" i="1" s="1"/>
  <c r="BN356" i="1"/>
  <c r="BU356" i="1" l="1"/>
  <c r="BV356" i="1"/>
  <c r="BL358" i="1"/>
  <c r="BM358" i="1" s="1"/>
  <c r="BN357" i="1"/>
  <c r="BV357" i="1" l="1"/>
  <c r="BU357" i="1"/>
  <c r="BN358" i="1"/>
  <c r="BL359" i="1"/>
  <c r="BM359" i="1" s="1"/>
  <c r="BU358" i="1" l="1"/>
  <c r="BV358" i="1"/>
  <c r="BL360" i="1"/>
  <c r="BM360" i="1" s="1"/>
  <c r="BN359" i="1"/>
  <c r="BV359" i="1" l="1"/>
  <c r="BU359" i="1"/>
  <c r="BL361" i="1"/>
  <c r="BM361" i="1" s="1"/>
  <c r="BN360" i="1"/>
  <c r="BU360" i="1" l="1"/>
  <c r="BV360" i="1"/>
  <c r="BL362" i="1"/>
  <c r="BM362" i="1" s="1"/>
  <c r="BN361" i="1"/>
  <c r="BV361" i="1" l="1"/>
  <c r="BU361" i="1"/>
  <c r="BN362" i="1"/>
  <c r="BL363" i="1"/>
  <c r="BM363" i="1" s="1"/>
  <c r="BU362" i="1" l="1"/>
  <c r="BV362" i="1"/>
  <c r="BL364" i="1"/>
  <c r="BM364" i="1" s="1"/>
  <c r="BN363" i="1"/>
  <c r="BV363" i="1" l="1"/>
  <c r="BU363" i="1"/>
  <c r="BL365" i="1"/>
  <c r="BM365" i="1" s="1"/>
  <c r="BN364" i="1"/>
  <c r="BU364" i="1" l="1"/>
  <c r="BV364" i="1"/>
  <c r="BL366" i="1"/>
  <c r="BM366" i="1" s="1"/>
  <c r="BN365" i="1"/>
  <c r="BV365" i="1" l="1"/>
  <c r="BU365" i="1"/>
  <c r="BN366" i="1"/>
  <c r="BL367" i="1"/>
  <c r="BM367" i="1" s="1"/>
  <c r="BU366" i="1" l="1"/>
  <c r="BV366" i="1"/>
  <c r="BL368" i="1"/>
  <c r="BM368" i="1" s="1"/>
  <c r="BN367" i="1"/>
  <c r="BV367" i="1" l="1"/>
  <c r="BU367" i="1"/>
  <c r="BL369" i="1"/>
  <c r="BM369" i="1" s="1"/>
  <c r="BN368" i="1"/>
  <c r="BU368" i="1" l="1"/>
  <c r="BV368" i="1"/>
  <c r="BL370" i="1"/>
  <c r="BM370" i="1" s="1"/>
  <c r="BN369" i="1"/>
  <c r="BV369" i="1" l="1"/>
  <c r="BU369" i="1"/>
  <c r="BN370" i="1"/>
  <c r="BL371" i="1"/>
  <c r="BM371" i="1" s="1"/>
  <c r="BU370" i="1" l="1"/>
  <c r="BV370" i="1"/>
  <c r="BL372" i="1"/>
  <c r="BM372" i="1" s="1"/>
  <c r="BN371" i="1"/>
  <c r="BV371" i="1" l="1"/>
  <c r="BU371" i="1"/>
  <c r="BL373" i="1"/>
  <c r="BM373" i="1" s="1"/>
  <c r="BN372" i="1"/>
  <c r="BU372" i="1" l="1"/>
  <c r="BV372" i="1"/>
  <c r="BL374" i="1"/>
  <c r="BM374" i="1" s="1"/>
  <c r="BN373" i="1"/>
  <c r="BV373" i="1" l="1"/>
  <c r="BU373" i="1"/>
  <c r="BN374" i="1"/>
  <c r="BL375" i="1"/>
  <c r="BM375" i="1" s="1"/>
  <c r="BU374" i="1" l="1"/>
  <c r="BV374" i="1"/>
  <c r="BL376" i="1"/>
  <c r="BM376" i="1" s="1"/>
  <c r="BN375" i="1"/>
  <c r="BV375" i="1" l="1"/>
  <c r="BU375" i="1"/>
  <c r="BL377" i="1"/>
  <c r="BM377" i="1" s="1"/>
  <c r="BN376" i="1"/>
  <c r="BU376" i="1" l="1"/>
  <c r="BV376" i="1"/>
  <c r="BL378" i="1"/>
  <c r="BM378" i="1" s="1"/>
  <c r="BN377" i="1"/>
  <c r="BV377" i="1" l="1"/>
  <c r="BU377" i="1"/>
  <c r="BN378" i="1"/>
  <c r="BL379" i="1"/>
  <c r="BM379" i="1" s="1"/>
  <c r="BU378" i="1" l="1"/>
  <c r="BV378" i="1"/>
  <c r="BL380" i="1"/>
  <c r="BM380" i="1" s="1"/>
  <c r="BN379" i="1"/>
  <c r="BV379" i="1" l="1"/>
  <c r="BU379" i="1"/>
  <c r="BL381" i="1"/>
  <c r="BM381" i="1" s="1"/>
  <c r="BN380" i="1"/>
  <c r="BU380" i="1" l="1"/>
  <c r="BV380" i="1"/>
  <c r="BL382" i="1"/>
  <c r="BM382" i="1" s="1"/>
  <c r="BN381" i="1"/>
  <c r="BV381" i="1" l="1"/>
  <c r="BU381" i="1"/>
  <c r="BN382" i="1"/>
  <c r="BL383" i="1"/>
  <c r="BM383" i="1" s="1"/>
  <c r="BU382" i="1" l="1"/>
  <c r="BV382" i="1"/>
  <c r="BL384" i="1"/>
  <c r="BM384" i="1" s="1"/>
  <c r="BN383" i="1"/>
  <c r="BV383" i="1" l="1"/>
  <c r="BU383" i="1"/>
  <c r="BL385" i="1"/>
  <c r="BM385" i="1" s="1"/>
  <c r="BN384" i="1"/>
  <c r="BU384" i="1" l="1"/>
  <c r="BV384" i="1"/>
  <c r="BL386" i="1"/>
  <c r="BM386" i="1" s="1"/>
  <c r="BN385" i="1"/>
  <c r="BV385" i="1" l="1"/>
  <c r="BU385" i="1"/>
  <c r="BN386" i="1"/>
  <c r="BL387" i="1"/>
  <c r="BM387" i="1" s="1"/>
  <c r="BU386" i="1" l="1"/>
  <c r="BV386" i="1"/>
  <c r="BL388" i="1"/>
  <c r="BM388" i="1" s="1"/>
  <c r="BN387" i="1"/>
  <c r="BV387" i="1" l="1"/>
  <c r="BU387" i="1"/>
  <c r="BL389" i="1"/>
  <c r="BM389" i="1" s="1"/>
  <c r="BN388" i="1"/>
  <c r="BU388" i="1" l="1"/>
  <c r="BV388" i="1"/>
  <c r="BL390" i="1"/>
  <c r="BM390" i="1" s="1"/>
  <c r="BN389" i="1"/>
  <c r="BV389" i="1" l="1"/>
  <c r="BU389" i="1"/>
  <c r="BN390" i="1"/>
  <c r="BL391" i="1"/>
  <c r="BM391" i="1" s="1"/>
  <c r="BU390" i="1" l="1"/>
  <c r="BV390" i="1"/>
  <c r="BL392" i="1"/>
  <c r="BM392" i="1" s="1"/>
  <c r="BN391" i="1"/>
  <c r="BV391" i="1" l="1"/>
  <c r="BU391" i="1"/>
  <c r="BL393" i="1"/>
  <c r="BM393" i="1" s="1"/>
  <c r="BN392" i="1"/>
  <c r="BU392" i="1" l="1"/>
  <c r="BV392" i="1"/>
  <c r="BL394" i="1"/>
  <c r="BM394" i="1" s="1"/>
  <c r="BN393" i="1"/>
  <c r="BV393" i="1" l="1"/>
  <c r="BU393" i="1"/>
  <c r="BN394" i="1"/>
  <c r="BL395" i="1"/>
  <c r="BM395" i="1" s="1"/>
  <c r="BU394" i="1" l="1"/>
  <c r="BV394" i="1"/>
  <c r="BL396" i="1"/>
  <c r="BM396" i="1" s="1"/>
  <c r="BN395" i="1"/>
  <c r="BV395" i="1" l="1"/>
  <c r="BU395" i="1"/>
  <c r="BL397" i="1"/>
  <c r="BM397" i="1" s="1"/>
  <c r="BN396" i="1"/>
  <c r="BU396" i="1" l="1"/>
  <c r="BV396" i="1"/>
  <c r="BL398" i="1"/>
  <c r="BM398" i="1" s="1"/>
  <c r="BN397" i="1"/>
  <c r="BV397" i="1" l="1"/>
  <c r="BU397" i="1"/>
  <c r="BN398" i="1"/>
  <c r="BL399" i="1"/>
  <c r="BM399" i="1" s="1"/>
  <c r="BU398" i="1" l="1"/>
  <c r="BV398" i="1"/>
  <c r="BL400" i="1"/>
  <c r="BM400" i="1" s="1"/>
  <c r="BN399" i="1"/>
  <c r="BV399" i="1" l="1"/>
  <c r="BU399" i="1"/>
  <c r="BL401" i="1"/>
  <c r="BM401" i="1" s="1"/>
  <c r="BN400" i="1"/>
  <c r="BU400" i="1" l="1"/>
  <c r="BV400" i="1"/>
  <c r="BL402" i="1"/>
  <c r="BM402" i="1" s="1"/>
  <c r="BN401" i="1"/>
  <c r="BV401" i="1" l="1"/>
  <c r="BU401" i="1"/>
  <c r="BN402" i="1"/>
  <c r="BL403" i="1"/>
  <c r="BM403" i="1" s="1"/>
  <c r="BU402" i="1" l="1"/>
  <c r="BV402" i="1"/>
  <c r="BL404" i="1"/>
  <c r="BM404" i="1" s="1"/>
  <c r="BN403" i="1"/>
  <c r="BV403" i="1" l="1"/>
  <c r="BU403" i="1"/>
  <c r="BL405" i="1"/>
  <c r="BM405" i="1" s="1"/>
  <c r="BN404" i="1"/>
  <c r="BU404" i="1" l="1"/>
  <c r="BV404" i="1"/>
  <c r="BL406" i="1"/>
  <c r="BM406" i="1" s="1"/>
  <c r="BN405" i="1"/>
  <c r="BV405" i="1" l="1"/>
  <c r="BU405" i="1"/>
  <c r="BN406" i="1"/>
  <c r="BL407" i="1"/>
  <c r="BM407" i="1" s="1"/>
  <c r="BU406" i="1" l="1"/>
  <c r="BV406" i="1"/>
  <c r="BL408" i="1"/>
  <c r="BM408" i="1" s="1"/>
  <c r="BN407" i="1"/>
  <c r="BV407" i="1" l="1"/>
  <c r="BU407" i="1"/>
  <c r="BL409" i="1"/>
  <c r="BM409" i="1" s="1"/>
  <c r="BN408" i="1"/>
  <c r="BU408" i="1" l="1"/>
  <c r="BV408" i="1"/>
  <c r="BL410" i="1"/>
  <c r="BM410" i="1" s="1"/>
  <c r="BN409" i="1"/>
  <c r="BV409" i="1" l="1"/>
  <c r="BU409" i="1"/>
  <c r="BN410" i="1"/>
  <c r="BL411" i="1"/>
  <c r="BM411" i="1" s="1"/>
  <c r="BU410" i="1" l="1"/>
  <c r="BV410" i="1"/>
  <c r="BL412" i="1"/>
  <c r="BM412" i="1" s="1"/>
  <c r="BN411" i="1"/>
  <c r="BV411" i="1" l="1"/>
  <c r="BU411" i="1"/>
  <c r="BL413" i="1"/>
  <c r="BM413" i="1" s="1"/>
  <c r="BN412" i="1"/>
  <c r="BU412" i="1" l="1"/>
  <c r="BV412" i="1"/>
  <c r="BL414" i="1"/>
  <c r="BM414" i="1" s="1"/>
  <c r="BN413" i="1"/>
  <c r="BV413" i="1" l="1"/>
  <c r="BU413" i="1"/>
  <c r="BN414" i="1"/>
  <c r="BL415" i="1"/>
  <c r="BM415" i="1" s="1"/>
  <c r="BU414" i="1" l="1"/>
  <c r="BV414" i="1"/>
  <c r="BL416" i="1"/>
  <c r="BM416" i="1" s="1"/>
  <c r="BN415" i="1"/>
  <c r="BU415" i="1" l="1"/>
  <c r="BV415" i="1"/>
  <c r="BL417" i="1"/>
  <c r="BM417" i="1" s="1"/>
  <c r="BN416" i="1"/>
  <c r="BV416" i="1" l="1"/>
  <c r="BU416" i="1"/>
  <c r="BL418" i="1"/>
  <c r="BM418" i="1" s="1"/>
  <c r="BN417" i="1"/>
  <c r="BU417" i="1" l="1"/>
  <c r="BV417" i="1"/>
  <c r="BN418" i="1"/>
  <c r="BL419" i="1"/>
  <c r="BM419" i="1" s="1"/>
  <c r="BV418" i="1" l="1"/>
  <c r="BU418" i="1"/>
  <c r="BL420" i="1"/>
  <c r="BM420" i="1" s="1"/>
  <c r="BN419" i="1"/>
  <c r="BU419" i="1" l="1"/>
  <c r="BV419" i="1"/>
  <c r="BL421" i="1"/>
  <c r="BM421" i="1" s="1"/>
  <c r="BN420" i="1"/>
  <c r="BV420" i="1" l="1"/>
  <c r="BU420" i="1"/>
  <c r="BL422" i="1"/>
  <c r="BM422" i="1" s="1"/>
  <c r="BN421" i="1"/>
  <c r="BU421" i="1" l="1"/>
  <c r="BV421" i="1"/>
  <c r="BN422" i="1"/>
  <c r="BL423" i="1"/>
  <c r="BM423" i="1" s="1"/>
  <c r="BV422" i="1" l="1"/>
  <c r="BU422" i="1"/>
  <c r="BL424" i="1"/>
  <c r="BM424" i="1" s="1"/>
  <c r="BN423" i="1"/>
  <c r="BU423" i="1" l="1"/>
  <c r="BV423" i="1"/>
  <c r="BL425" i="1"/>
  <c r="BM425" i="1" s="1"/>
  <c r="BN424" i="1"/>
  <c r="BV424" i="1" l="1"/>
  <c r="BU424" i="1"/>
  <c r="BL426" i="1"/>
  <c r="BM426" i="1" s="1"/>
  <c r="BN425" i="1"/>
  <c r="BU425" i="1" l="1"/>
  <c r="BV425" i="1"/>
  <c r="BN426" i="1"/>
  <c r="BL427" i="1"/>
  <c r="BM427" i="1" s="1"/>
  <c r="BV426" i="1" l="1"/>
  <c r="BU426" i="1"/>
  <c r="BL428" i="1"/>
  <c r="BM428" i="1" s="1"/>
  <c r="BN427" i="1"/>
  <c r="BU427" i="1" l="1"/>
  <c r="BV427" i="1"/>
  <c r="BL429" i="1"/>
  <c r="BM429" i="1" s="1"/>
  <c r="BN428" i="1"/>
  <c r="BV428" i="1" l="1"/>
  <c r="BU428" i="1"/>
  <c r="BL430" i="1"/>
  <c r="BM430" i="1" s="1"/>
  <c r="BN429" i="1"/>
  <c r="BU429" i="1" l="1"/>
  <c r="BV429" i="1"/>
  <c r="BN430" i="1"/>
  <c r="BL431" i="1"/>
  <c r="BM431" i="1" s="1"/>
  <c r="BV430" i="1" l="1"/>
  <c r="BU430" i="1"/>
  <c r="BL432" i="1"/>
  <c r="BM432" i="1" s="1"/>
  <c r="BN431" i="1"/>
  <c r="BU431" i="1" l="1"/>
  <c r="BV431" i="1"/>
  <c r="BL433" i="1"/>
  <c r="BM433" i="1" s="1"/>
  <c r="BN432" i="1"/>
  <c r="BV432" i="1" l="1"/>
  <c r="BU432" i="1"/>
  <c r="BL434" i="1"/>
  <c r="BM434" i="1" s="1"/>
  <c r="BN433" i="1"/>
  <c r="BU433" i="1" l="1"/>
  <c r="BV433" i="1"/>
  <c r="BN434" i="1"/>
  <c r="BL435" i="1"/>
  <c r="BM435" i="1" s="1"/>
  <c r="BV434" i="1" l="1"/>
  <c r="BU434" i="1"/>
  <c r="BL436" i="1"/>
  <c r="BM436" i="1" s="1"/>
  <c r="BN435" i="1"/>
  <c r="BU435" i="1" l="1"/>
  <c r="BV435" i="1"/>
  <c r="BL437" i="1"/>
  <c r="BM437" i="1" s="1"/>
  <c r="BN436" i="1"/>
  <c r="BV436" i="1" l="1"/>
  <c r="BU436" i="1"/>
  <c r="BL438" i="1"/>
  <c r="BM438" i="1" s="1"/>
  <c r="BN437" i="1"/>
  <c r="BU437" i="1" l="1"/>
  <c r="BV437" i="1"/>
  <c r="BN438" i="1"/>
  <c r="BL439" i="1"/>
  <c r="BM439" i="1" s="1"/>
  <c r="BV438" i="1" l="1"/>
  <c r="BU438" i="1"/>
  <c r="BL440" i="1"/>
  <c r="BM440" i="1" s="1"/>
  <c r="BN439" i="1"/>
  <c r="BU439" i="1" l="1"/>
  <c r="BV439" i="1"/>
  <c r="BL441" i="1"/>
  <c r="BM441" i="1" s="1"/>
  <c r="BN440" i="1"/>
  <c r="BV440" i="1" l="1"/>
  <c r="BU440" i="1"/>
  <c r="BL442" i="1"/>
  <c r="BM442" i="1" s="1"/>
  <c r="BN441" i="1"/>
  <c r="BU441" i="1" l="1"/>
  <c r="BV441" i="1"/>
  <c r="BN442" i="1"/>
  <c r="BL443" i="1"/>
  <c r="BM443" i="1" s="1"/>
  <c r="BV442" i="1" l="1"/>
  <c r="BU442" i="1"/>
  <c r="BL444" i="1"/>
  <c r="BM444" i="1" s="1"/>
  <c r="BN443" i="1"/>
  <c r="BU443" i="1" l="1"/>
  <c r="BV443" i="1"/>
  <c r="BL445" i="1"/>
  <c r="BM445" i="1" s="1"/>
  <c r="BN444" i="1"/>
  <c r="BV444" i="1" l="1"/>
  <c r="BU444" i="1"/>
  <c r="BL446" i="1"/>
  <c r="BM446" i="1" s="1"/>
  <c r="BN445" i="1"/>
  <c r="BU445" i="1" l="1"/>
  <c r="BV445" i="1"/>
  <c r="BN446" i="1"/>
  <c r="BL447" i="1"/>
  <c r="BM447" i="1" s="1"/>
  <c r="BV446" i="1" l="1"/>
  <c r="BU446" i="1"/>
  <c r="BL448" i="1"/>
  <c r="BM448" i="1" s="1"/>
  <c r="BN447" i="1"/>
  <c r="BU447" i="1" l="1"/>
  <c r="BV447" i="1"/>
  <c r="BL449" i="1"/>
  <c r="BM449" i="1" s="1"/>
  <c r="BN448" i="1"/>
  <c r="BV448" i="1" l="1"/>
  <c r="BU448" i="1"/>
  <c r="BL450" i="1"/>
  <c r="BM450" i="1" s="1"/>
  <c r="BN449" i="1"/>
  <c r="BU449" i="1" l="1"/>
  <c r="BV449" i="1"/>
  <c r="BN450" i="1"/>
  <c r="BL451" i="1"/>
  <c r="BM451" i="1" s="1"/>
  <c r="BV450" i="1" l="1"/>
  <c r="BU450" i="1"/>
  <c r="BL452" i="1"/>
  <c r="BM452" i="1" s="1"/>
  <c r="BN451" i="1"/>
  <c r="BU451" i="1" l="1"/>
  <c r="BV451" i="1"/>
  <c r="BL453" i="1"/>
  <c r="BM453" i="1" s="1"/>
  <c r="BN452" i="1"/>
  <c r="BV452" i="1" l="1"/>
  <c r="BU452" i="1"/>
  <c r="BL454" i="1"/>
  <c r="BM454" i="1" s="1"/>
  <c r="BN453" i="1"/>
  <c r="BU453" i="1" l="1"/>
  <c r="BV453" i="1"/>
  <c r="BN454" i="1"/>
  <c r="BL455" i="1"/>
  <c r="BM455" i="1" s="1"/>
  <c r="BV454" i="1" l="1"/>
  <c r="BU454" i="1"/>
  <c r="BL456" i="1"/>
  <c r="BM456" i="1" s="1"/>
  <c r="BN455" i="1"/>
  <c r="BU455" i="1" l="1"/>
  <c r="BV455" i="1"/>
  <c r="BL457" i="1"/>
  <c r="BM457" i="1" s="1"/>
  <c r="BN456" i="1"/>
  <c r="BV456" i="1" l="1"/>
  <c r="BU456" i="1"/>
  <c r="BL458" i="1"/>
  <c r="BM458" i="1" s="1"/>
  <c r="BN457" i="1"/>
  <c r="BU457" i="1" l="1"/>
  <c r="BV457" i="1"/>
  <c r="BN458" i="1"/>
  <c r="BL459" i="1"/>
  <c r="BM459" i="1" s="1"/>
  <c r="BV458" i="1" l="1"/>
  <c r="BU458" i="1"/>
  <c r="BL460" i="1"/>
  <c r="BM460" i="1" s="1"/>
  <c r="BN459" i="1"/>
  <c r="BU459" i="1" l="1"/>
  <c r="BV459" i="1"/>
  <c r="BL461" i="1"/>
  <c r="BM461" i="1" s="1"/>
  <c r="BN460" i="1"/>
  <c r="BV460" i="1" l="1"/>
  <c r="BU460" i="1"/>
  <c r="BL462" i="1"/>
  <c r="BM462" i="1" s="1"/>
  <c r="BN461" i="1"/>
  <c r="BU461" i="1" l="1"/>
  <c r="BV461" i="1"/>
  <c r="BN462" i="1"/>
  <c r="BL463" i="1"/>
  <c r="BM463" i="1" s="1"/>
  <c r="BV462" i="1" l="1"/>
  <c r="BU462" i="1"/>
  <c r="BL464" i="1"/>
  <c r="BM464" i="1" s="1"/>
  <c r="BN463" i="1"/>
  <c r="BU463" i="1" l="1"/>
  <c r="BV463" i="1"/>
  <c r="BL465" i="1"/>
  <c r="BM465" i="1" s="1"/>
  <c r="BN464" i="1"/>
  <c r="BV464" i="1" l="1"/>
  <c r="BU464" i="1"/>
  <c r="BL466" i="1"/>
  <c r="BM466" i="1" s="1"/>
  <c r="BN465" i="1"/>
  <c r="BU465" i="1" l="1"/>
  <c r="BV465" i="1"/>
  <c r="BN466" i="1"/>
  <c r="BL467" i="1"/>
  <c r="BM467" i="1" s="1"/>
  <c r="BV466" i="1" l="1"/>
  <c r="BU466" i="1"/>
  <c r="BL468" i="1"/>
  <c r="BM468" i="1" s="1"/>
  <c r="BN467" i="1"/>
  <c r="BU467" i="1" l="1"/>
  <c r="BV467" i="1"/>
  <c r="BL469" i="1"/>
  <c r="BM469" i="1" s="1"/>
  <c r="BN468" i="1"/>
  <c r="BV468" i="1" l="1"/>
  <c r="BU468" i="1"/>
  <c r="BL470" i="1"/>
  <c r="BM470" i="1" s="1"/>
  <c r="BN469" i="1"/>
  <c r="BU469" i="1" l="1"/>
  <c r="BV469" i="1"/>
  <c r="BN470" i="1"/>
  <c r="BL471" i="1"/>
  <c r="BM471" i="1" s="1"/>
  <c r="BV470" i="1" l="1"/>
  <c r="BU470" i="1"/>
  <c r="BL472" i="1"/>
  <c r="BM472" i="1" s="1"/>
  <c r="BN471" i="1"/>
  <c r="BU471" i="1" l="1"/>
  <c r="BV471" i="1"/>
  <c r="BL473" i="1"/>
  <c r="BM473" i="1" s="1"/>
  <c r="BN472" i="1"/>
  <c r="BV472" i="1" l="1"/>
  <c r="BU472" i="1"/>
  <c r="BL474" i="1"/>
  <c r="BM474" i="1" s="1"/>
  <c r="BN473" i="1"/>
  <c r="BU473" i="1" l="1"/>
  <c r="BV473" i="1"/>
  <c r="BN474" i="1"/>
  <c r="BL475" i="1"/>
  <c r="BM475" i="1" s="1"/>
  <c r="BV474" i="1" l="1"/>
  <c r="BU474" i="1"/>
  <c r="BL476" i="1"/>
  <c r="BM476" i="1" s="1"/>
  <c r="BN475" i="1"/>
  <c r="BU475" i="1" l="1"/>
  <c r="BV475" i="1"/>
  <c r="BL477" i="1"/>
  <c r="BM477" i="1" s="1"/>
  <c r="BN476" i="1"/>
  <c r="BV476" i="1" l="1"/>
  <c r="BU476" i="1"/>
  <c r="BL478" i="1"/>
  <c r="BM478" i="1" s="1"/>
  <c r="BN477" i="1"/>
  <c r="BU477" i="1" l="1"/>
  <c r="BV477" i="1"/>
  <c r="BN478" i="1"/>
  <c r="BL479" i="1"/>
  <c r="BM479" i="1" s="1"/>
  <c r="BV478" i="1" l="1"/>
  <c r="BU478" i="1"/>
  <c r="BL480" i="1"/>
  <c r="BM480" i="1" s="1"/>
  <c r="BN479" i="1"/>
  <c r="BU479" i="1" l="1"/>
  <c r="BV479" i="1"/>
  <c r="BL481" i="1"/>
  <c r="BM481" i="1" s="1"/>
  <c r="BN480" i="1"/>
  <c r="BV480" i="1" l="1"/>
  <c r="BU480" i="1"/>
  <c r="BL482" i="1"/>
  <c r="BM482" i="1" s="1"/>
  <c r="BN481" i="1"/>
  <c r="BU481" i="1" l="1"/>
  <c r="BV481" i="1"/>
  <c r="BN482" i="1"/>
  <c r="BL483" i="1"/>
  <c r="BM483" i="1" s="1"/>
  <c r="BV482" i="1" l="1"/>
  <c r="BU482" i="1"/>
  <c r="BL484" i="1"/>
  <c r="BM484" i="1" s="1"/>
  <c r="BN483" i="1"/>
  <c r="BU483" i="1" l="1"/>
  <c r="BV483" i="1"/>
  <c r="BL485" i="1"/>
  <c r="BM485" i="1" s="1"/>
  <c r="BN484" i="1"/>
  <c r="BV484" i="1" l="1"/>
  <c r="BU484" i="1"/>
  <c r="BL486" i="1"/>
  <c r="BM486" i="1" s="1"/>
  <c r="BN485" i="1"/>
  <c r="BU485" i="1" l="1"/>
  <c r="BV485" i="1"/>
  <c r="BN486" i="1"/>
  <c r="BL487" i="1"/>
  <c r="BM487" i="1" s="1"/>
  <c r="BV486" i="1" l="1"/>
  <c r="BU486" i="1"/>
  <c r="BL488" i="1"/>
  <c r="BM488" i="1" s="1"/>
  <c r="BN487" i="1"/>
  <c r="BU487" i="1" l="1"/>
  <c r="BV487" i="1"/>
  <c r="BL489" i="1"/>
  <c r="BM489" i="1" s="1"/>
  <c r="BN488" i="1"/>
  <c r="BV488" i="1" l="1"/>
  <c r="BU488" i="1"/>
  <c r="BL490" i="1"/>
  <c r="BM490" i="1" s="1"/>
  <c r="BN489" i="1"/>
  <c r="BU489" i="1" l="1"/>
  <c r="BV489" i="1"/>
  <c r="BN490" i="1"/>
  <c r="BL491" i="1"/>
  <c r="BM491" i="1" s="1"/>
  <c r="BV490" i="1" l="1"/>
  <c r="BU490" i="1"/>
  <c r="BL492" i="1"/>
  <c r="BM492" i="1" s="1"/>
  <c r="BN491" i="1"/>
  <c r="BU491" i="1" l="1"/>
  <c r="BV491" i="1"/>
  <c r="BL493" i="1"/>
  <c r="BM493" i="1" s="1"/>
  <c r="BN492" i="1"/>
  <c r="BV492" i="1" l="1"/>
  <c r="BU492" i="1"/>
  <c r="BL494" i="1"/>
  <c r="BM494" i="1" s="1"/>
  <c r="BN493" i="1"/>
  <c r="BU493" i="1" l="1"/>
  <c r="BV493" i="1"/>
  <c r="BN494" i="1"/>
  <c r="BL495" i="1"/>
  <c r="BM495" i="1" s="1"/>
  <c r="BV494" i="1" l="1"/>
  <c r="BU494" i="1"/>
  <c r="BL496" i="1"/>
  <c r="BM496" i="1" s="1"/>
  <c r="BN495" i="1"/>
  <c r="BU495" i="1" l="1"/>
  <c r="BV495" i="1"/>
  <c r="BL497" i="1"/>
  <c r="BM497" i="1" s="1"/>
  <c r="BN496" i="1"/>
  <c r="BV496" i="1" l="1"/>
  <c r="BU496" i="1"/>
  <c r="BL498" i="1"/>
  <c r="BM498" i="1" s="1"/>
  <c r="BN497" i="1"/>
  <c r="BU497" i="1" l="1"/>
  <c r="BV497" i="1"/>
  <c r="BN498" i="1"/>
  <c r="BL499" i="1"/>
  <c r="BM499" i="1" s="1"/>
  <c r="BV498" i="1" l="1"/>
  <c r="BU498" i="1"/>
  <c r="BL500" i="1"/>
  <c r="BM500" i="1" s="1"/>
  <c r="BN499" i="1"/>
  <c r="BU499" i="1" l="1"/>
  <c r="BV499" i="1"/>
  <c r="BL501" i="1"/>
  <c r="BM501" i="1" s="1"/>
  <c r="BN500" i="1"/>
  <c r="BV500" i="1" l="1"/>
  <c r="BU500" i="1"/>
  <c r="BL502" i="1"/>
  <c r="BM502" i="1" s="1"/>
  <c r="BN501" i="1"/>
  <c r="BU501" i="1" l="1"/>
  <c r="BV501" i="1"/>
  <c r="BN502" i="1"/>
  <c r="BL503" i="1"/>
  <c r="BM503" i="1" s="1"/>
  <c r="BV502" i="1" l="1"/>
  <c r="BU502" i="1"/>
  <c r="BL504" i="1"/>
  <c r="BM504" i="1" s="1"/>
  <c r="BN503" i="1"/>
  <c r="BU503" i="1" l="1"/>
  <c r="BV503" i="1"/>
  <c r="BL505" i="1"/>
  <c r="BM505" i="1" s="1"/>
  <c r="BN504" i="1"/>
  <c r="BV504" i="1" l="1"/>
  <c r="BU504" i="1"/>
  <c r="BL506" i="1"/>
  <c r="BM506" i="1" s="1"/>
  <c r="BN505" i="1"/>
  <c r="BU505" i="1" l="1"/>
  <c r="BV505" i="1"/>
  <c r="BN506" i="1"/>
  <c r="BL507" i="1"/>
  <c r="BM507" i="1" s="1"/>
  <c r="BV506" i="1" l="1"/>
  <c r="BU506" i="1"/>
  <c r="BL508" i="1"/>
  <c r="BM508" i="1" s="1"/>
  <c r="BN507" i="1"/>
  <c r="BU507" i="1" l="1"/>
  <c r="BV507" i="1"/>
  <c r="BL509" i="1"/>
  <c r="BM509" i="1" s="1"/>
  <c r="BN508" i="1"/>
  <c r="BV508" i="1" l="1"/>
  <c r="BU508" i="1"/>
  <c r="BL510" i="1"/>
  <c r="BM510" i="1" s="1"/>
  <c r="BN509" i="1"/>
  <c r="BU509" i="1" l="1"/>
  <c r="BV509" i="1"/>
  <c r="BN510" i="1"/>
  <c r="BL511" i="1"/>
  <c r="BM511" i="1" s="1"/>
  <c r="BV510" i="1" l="1"/>
  <c r="BU510" i="1"/>
  <c r="BL512" i="1"/>
  <c r="BM512" i="1" s="1"/>
  <c r="BN511" i="1"/>
  <c r="BU511" i="1" l="1"/>
  <c r="BV511" i="1"/>
  <c r="BL513" i="1"/>
  <c r="BM513" i="1" s="1"/>
  <c r="BN512" i="1"/>
  <c r="BV512" i="1" l="1"/>
  <c r="BU512" i="1"/>
  <c r="BL514" i="1"/>
  <c r="BM514" i="1" s="1"/>
  <c r="BN513" i="1"/>
  <c r="BU513" i="1" l="1"/>
  <c r="BV513" i="1"/>
  <c r="BN514" i="1"/>
  <c r="BL515" i="1"/>
  <c r="BM515" i="1" s="1"/>
  <c r="BV514" i="1" l="1"/>
  <c r="BU514" i="1"/>
  <c r="BL516" i="1"/>
  <c r="BM516" i="1" s="1"/>
  <c r="BN515" i="1"/>
  <c r="BU515" i="1" l="1"/>
  <c r="BV515" i="1"/>
  <c r="BL517" i="1"/>
  <c r="BM517" i="1" s="1"/>
  <c r="BN516" i="1"/>
  <c r="BV516" i="1" l="1"/>
  <c r="BU516" i="1"/>
  <c r="BL518" i="1"/>
  <c r="BM518" i="1" s="1"/>
  <c r="BN517" i="1"/>
  <c r="BU517" i="1" l="1"/>
  <c r="BV517" i="1"/>
  <c r="BN518" i="1"/>
  <c r="BL519" i="1"/>
  <c r="BM519" i="1" s="1"/>
  <c r="BV518" i="1" l="1"/>
  <c r="BU518" i="1"/>
  <c r="BL520" i="1"/>
  <c r="BM520" i="1" s="1"/>
  <c r="BN519" i="1"/>
  <c r="BU519" i="1" l="1"/>
  <c r="BV519" i="1"/>
  <c r="BL521" i="1"/>
  <c r="BM521" i="1" s="1"/>
  <c r="BN520" i="1"/>
  <c r="BV520" i="1" l="1"/>
  <c r="BU520" i="1"/>
  <c r="BL522" i="1"/>
  <c r="BM522" i="1" s="1"/>
  <c r="BN521" i="1"/>
  <c r="BU521" i="1" l="1"/>
  <c r="BV521" i="1"/>
  <c r="BN522" i="1"/>
  <c r="BL523" i="1"/>
  <c r="BM523" i="1" s="1"/>
  <c r="BV522" i="1" l="1"/>
  <c r="BU522" i="1"/>
  <c r="BL524" i="1"/>
  <c r="BM524" i="1" s="1"/>
  <c r="BN523" i="1"/>
  <c r="BU523" i="1" l="1"/>
  <c r="BV523" i="1"/>
  <c r="BL525" i="1"/>
  <c r="BM525" i="1" s="1"/>
  <c r="BN524" i="1"/>
  <c r="BV524" i="1" l="1"/>
  <c r="BU524" i="1"/>
  <c r="BL526" i="1"/>
  <c r="BM526" i="1" s="1"/>
  <c r="BN525" i="1"/>
  <c r="BU525" i="1" l="1"/>
  <c r="BV525" i="1"/>
  <c r="BN526" i="1"/>
  <c r="BL527" i="1"/>
  <c r="BM527" i="1" s="1"/>
  <c r="BV526" i="1" l="1"/>
  <c r="BU526" i="1"/>
  <c r="BL528" i="1"/>
  <c r="BM528" i="1" s="1"/>
  <c r="BN527" i="1"/>
  <c r="BU527" i="1" l="1"/>
  <c r="BV527" i="1"/>
  <c r="BL529" i="1"/>
  <c r="BM529" i="1" s="1"/>
  <c r="BN528" i="1"/>
  <c r="BV528" i="1" l="1"/>
  <c r="BU528" i="1"/>
  <c r="BL530" i="1"/>
  <c r="BM530" i="1" s="1"/>
  <c r="BN529" i="1"/>
  <c r="BU529" i="1" l="1"/>
  <c r="BV529" i="1"/>
  <c r="BN530" i="1"/>
  <c r="BL531" i="1"/>
  <c r="BM531" i="1" s="1"/>
  <c r="BV530" i="1" l="1"/>
  <c r="BU530" i="1"/>
  <c r="BL532" i="1"/>
  <c r="BM532" i="1" s="1"/>
  <c r="BN531" i="1"/>
  <c r="BU531" i="1" l="1"/>
  <c r="BV531" i="1"/>
  <c r="BL533" i="1"/>
  <c r="BM533" i="1" s="1"/>
  <c r="BN532" i="1"/>
  <c r="BV532" i="1" l="1"/>
  <c r="BU532" i="1"/>
  <c r="BL534" i="1"/>
  <c r="BM534" i="1" s="1"/>
  <c r="BN533" i="1"/>
  <c r="BU533" i="1" l="1"/>
  <c r="BV533" i="1"/>
  <c r="BN534" i="1"/>
  <c r="BL535" i="1"/>
  <c r="BM535" i="1" s="1"/>
  <c r="BV534" i="1" l="1"/>
  <c r="BU534" i="1"/>
  <c r="BL536" i="1"/>
  <c r="BM536" i="1" s="1"/>
  <c r="BN535" i="1"/>
  <c r="BU535" i="1" l="1"/>
  <c r="BV535" i="1"/>
  <c r="BL537" i="1"/>
  <c r="BM537" i="1" s="1"/>
  <c r="BN536" i="1"/>
  <c r="BV536" i="1" l="1"/>
  <c r="BU536" i="1"/>
  <c r="BL538" i="1"/>
  <c r="BM538" i="1" s="1"/>
  <c r="BN537" i="1"/>
  <c r="BU537" i="1" l="1"/>
  <c r="BV537" i="1"/>
  <c r="BN538" i="1"/>
  <c r="BL539" i="1"/>
  <c r="BM539" i="1" s="1"/>
  <c r="BV538" i="1" l="1"/>
  <c r="BU538" i="1"/>
  <c r="BL540" i="1"/>
  <c r="BM540" i="1" s="1"/>
  <c r="BN539" i="1"/>
  <c r="BU539" i="1" l="1"/>
  <c r="BV539" i="1"/>
  <c r="BL541" i="1"/>
  <c r="BM541" i="1" s="1"/>
  <c r="BN540" i="1"/>
  <c r="BV540" i="1" l="1"/>
  <c r="BU540" i="1"/>
  <c r="BL542" i="1"/>
  <c r="BM542" i="1" s="1"/>
  <c r="BN541" i="1"/>
  <c r="BU541" i="1" l="1"/>
  <c r="BV541" i="1"/>
  <c r="BN542" i="1"/>
  <c r="BL543" i="1"/>
  <c r="BM543" i="1" s="1"/>
  <c r="BV542" i="1" l="1"/>
  <c r="BU542" i="1"/>
  <c r="BL544" i="1"/>
  <c r="BM544" i="1" s="1"/>
  <c r="BN543" i="1"/>
  <c r="BU543" i="1" l="1"/>
  <c r="BV543" i="1"/>
  <c r="BL545" i="1"/>
  <c r="BM545" i="1" s="1"/>
  <c r="BN544" i="1"/>
  <c r="BV544" i="1" l="1"/>
  <c r="BU544" i="1"/>
  <c r="BL546" i="1"/>
  <c r="BM546" i="1" s="1"/>
  <c r="BN545" i="1"/>
  <c r="BU545" i="1" l="1"/>
  <c r="BV545" i="1"/>
  <c r="BN546" i="1"/>
  <c r="BL547" i="1"/>
  <c r="BM547" i="1" s="1"/>
  <c r="BV546" i="1" l="1"/>
  <c r="BU546" i="1"/>
  <c r="BL548" i="1"/>
  <c r="BM548" i="1" s="1"/>
  <c r="BN547" i="1"/>
  <c r="BU547" i="1" l="1"/>
  <c r="BV547" i="1"/>
  <c r="BL549" i="1"/>
  <c r="BM549" i="1" s="1"/>
  <c r="BN548" i="1"/>
  <c r="BV548" i="1" l="1"/>
  <c r="BU548" i="1"/>
  <c r="BL550" i="1"/>
  <c r="BM550" i="1" s="1"/>
  <c r="BN549" i="1"/>
  <c r="BU549" i="1" l="1"/>
  <c r="BV549" i="1"/>
  <c r="BN550" i="1"/>
  <c r="BL551" i="1"/>
  <c r="BM551" i="1" s="1"/>
  <c r="BV550" i="1" l="1"/>
  <c r="BU550" i="1"/>
  <c r="BL552" i="1"/>
  <c r="BM552" i="1" s="1"/>
  <c r="BN551" i="1"/>
  <c r="BU551" i="1" l="1"/>
  <c r="BV551" i="1"/>
  <c r="BL553" i="1"/>
  <c r="BM553" i="1" s="1"/>
  <c r="BN552" i="1"/>
  <c r="BV552" i="1" l="1"/>
  <c r="BU552" i="1"/>
  <c r="BL554" i="1"/>
  <c r="BM554" i="1" s="1"/>
  <c r="BN553" i="1"/>
  <c r="BU553" i="1" l="1"/>
  <c r="BV553" i="1"/>
  <c r="BN554" i="1"/>
  <c r="BL555" i="1"/>
  <c r="BM555" i="1" s="1"/>
  <c r="BV554" i="1" l="1"/>
  <c r="BU554" i="1"/>
  <c r="BL556" i="1"/>
  <c r="BM556" i="1" s="1"/>
  <c r="BN555" i="1"/>
  <c r="BU555" i="1" l="1"/>
  <c r="BV555" i="1"/>
  <c r="BL557" i="1"/>
  <c r="BM557" i="1" s="1"/>
  <c r="BN556" i="1"/>
  <c r="BV556" i="1" l="1"/>
  <c r="BU556" i="1"/>
  <c r="BL558" i="1"/>
  <c r="BM558" i="1" s="1"/>
  <c r="BN557" i="1"/>
  <c r="BU557" i="1" l="1"/>
  <c r="BV557" i="1"/>
  <c r="BN558" i="1"/>
  <c r="BL559" i="1"/>
  <c r="BM559" i="1" s="1"/>
  <c r="BV558" i="1" l="1"/>
  <c r="BU558" i="1"/>
  <c r="BL560" i="1"/>
  <c r="BM560" i="1" s="1"/>
  <c r="BN559" i="1"/>
  <c r="BU559" i="1" l="1"/>
  <c r="BV559" i="1"/>
  <c r="BL561" i="1"/>
  <c r="BM561" i="1" s="1"/>
  <c r="BN560" i="1"/>
  <c r="BV560" i="1" l="1"/>
  <c r="BU560" i="1"/>
  <c r="BL562" i="1"/>
  <c r="BM562" i="1" s="1"/>
  <c r="BN561" i="1"/>
  <c r="BU561" i="1" l="1"/>
  <c r="BV561" i="1"/>
  <c r="BN562" i="1"/>
  <c r="BL563" i="1"/>
  <c r="BM563" i="1" s="1"/>
  <c r="BV562" i="1" l="1"/>
  <c r="BU562" i="1"/>
  <c r="BL564" i="1"/>
  <c r="BM564" i="1" s="1"/>
  <c r="BN563" i="1"/>
  <c r="BU563" i="1" l="1"/>
  <c r="BV563" i="1"/>
  <c r="BL565" i="1"/>
  <c r="BM565" i="1" s="1"/>
  <c r="BN564" i="1"/>
  <c r="BV564" i="1" l="1"/>
  <c r="BU564" i="1"/>
  <c r="BL566" i="1"/>
  <c r="BM566" i="1" s="1"/>
  <c r="BN565" i="1"/>
  <c r="BU565" i="1" l="1"/>
  <c r="BV565" i="1"/>
  <c r="BN566" i="1"/>
  <c r="BL567" i="1"/>
  <c r="BM567" i="1" s="1"/>
  <c r="BV566" i="1" l="1"/>
  <c r="BU566" i="1"/>
  <c r="BL568" i="1"/>
  <c r="BM568" i="1" s="1"/>
  <c r="BN567" i="1"/>
  <c r="BU567" i="1" l="1"/>
  <c r="BV567" i="1"/>
  <c r="BL569" i="1"/>
  <c r="BM569" i="1" s="1"/>
  <c r="BN568" i="1"/>
  <c r="BV568" i="1" l="1"/>
  <c r="BU568" i="1"/>
  <c r="BL570" i="1"/>
  <c r="BM570" i="1" s="1"/>
  <c r="BN569" i="1"/>
  <c r="BU569" i="1" l="1"/>
  <c r="BV569" i="1"/>
  <c r="BN570" i="1"/>
  <c r="BL571" i="1"/>
  <c r="BM571" i="1" s="1"/>
  <c r="BV570" i="1" l="1"/>
  <c r="BU570" i="1"/>
  <c r="BL572" i="1"/>
  <c r="BM572" i="1" s="1"/>
  <c r="BN571" i="1"/>
  <c r="BU571" i="1" l="1"/>
  <c r="BV571" i="1"/>
  <c r="BL573" i="1"/>
  <c r="BM573" i="1" s="1"/>
  <c r="BN572" i="1"/>
  <c r="BV572" i="1" l="1"/>
  <c r="BU572" i="1"/>
  <c r="BL574" i="1"/>
  <c r="BM574" i="1" s="1"/>
  <c r="BN573" i="1"/>
  <c r="BU573" i="1" l="1"/>
  <c r="BV573" i="1"/>
  <c r="BN574" i="1"/>
  <c r="BL575" i="1"/>
  <c r="BM575" i="1" s="1"/>
  <c r="BV574" i="1" l="1"/>
  <c r="BU574" i="1"/>
  <c r="BL576" i="1"/>
  <c r="BM576" i="1" s="1"/>
  <c r="BN575" i="1"/>
  <c r="BU575" i="1" l="1"/>
  <c r="BV575" i="1"/>
  <c r="BL577" i="1"/>
  <c r="BM577" i="1" s="1"/>
  <c r="BN576" i="1"/>
  <c r="BV576" i="1" l="1"/>
  <c r="BU576" i="1"/>
  <c r="BL578" i="1"/>
  <c r="BM578" i="1" s="1"/>
  <c r="BN577" i="1"/>
  <c r="BU577" i="1" l="1"/>
  <c r="BV577" i="1"/>
  <c r="BN578" i="1"/>
  <c r="BL579" i="1"/>
  <c r="BM579" i="1" s="1"/>
  <c r="BV578" i="1" l="1"/>
  <c r="BU578" i="1"/>
  <c r="BL580" i="1"/>
  <c r="BM580" i="1" s="1"/>
  <c r="BN579" i="1"/>
  <c r="BU579" i="1" l="1"/>
  <c r="BV579" i="1"/>
  <c r="BL581" i="1"/>
  <c r="BM581" i="1" s="1"/>
  <c r="BN580" i="1"/>
  <c r="BV580" i="1" l="1"/>
  <c r="BU580" i="1"/>
  <c r="BL582" i="1"/>
  <c r="BM582" i="1" s="1"/>
  <c r="BN581" i="1"/>
  <c r="BU581" i="1" l="1"/>
  <c r="BV581" i="1"/>
  <c r="BN582" i="1"/>
  <c r="BL583" i="1"/>
  <c r="BM583" i="1" s="1"/>
  <c r="BV582" i="1" l="1"/>
  <c r="BU582" i="1"/>
  <c r="BL584" i="1"/>
  <c r="BM584" i="1" s="1"/>
  <c r="BN583" i="1"/>
  <c r="BU583" i="1" l="1"/>
  <c r="BV583" i="1"/>
  <c r="BL585" i="1"/>
  <c r="BM585" i="1" s="1"/>
  <c r="BN584" i="1"/>
  <c r="BV584" i="1" l="1"/>
  <c r="BU584" i="1"/>
  <c r="BL586" i="1"/>
  <c r="BM586" i="1" s="1"/>
  <c r="BN585" i="1"/>
  <c r="BU585" i="1" l="1"/>
  <c r="BV585" i="1"/>
  <c r="BN586" i="1"/>
  <c r="BL587" i="1"/>
  <c r="BM587" i="1" s="1"/>
  <c r="BV586" i="1" l="1"/>
  <c r="BU586" i="1"/>
  <c r="BL588" i="1"/>
  <c r="BM588" i="1" s="1"/>
  <c r="BN587" i="1"/>
  <c r="BU587" i="1" l="1"/>
  <c r="BV587" i="1"/>
  <c r="BL589" i="1"/>
  <c r="BM589" i="1" s="1"/>
  <c r="BN588" i="1"/>
  <c r="BV588" i="1" l="1"/>
  <c r="BU588" i="1"/>
  <c r="BL590" i="1"/>
  <c r="BM590" i="1" s="1"/>
  <c r="BN589" i="1"/>
  <c r="BU589" i="1" l="1"/>
  <c r="BV589" i="1"/>
  <c r="BN590" i="1"/>
  <c r="BL591" i="1"/>
  <c r="BM591" i="1" s="1"/>
  <c r="BV590" i="1" l="1"/>
  <c r="BU590" i="1"/>
  <c r="BL592" i="1"/>
  <c r="BM592" i="1" s="1"/>
  <c r="BN591" i="1"/>
  <c r="BU591" i="1" l="1"/>
  <c r="BV591" i="1"/>
  <c r="BL593" i="1"/>
  <c r="BM593" i="1" s="1"/>
  <c r="BN592" i="1"/>
  <c r="BV592" i="1" l="1"/>
  <c r="BU592" i="1"/>
  <c r="BL594" i="1"/>
  <c r="BM594" i="1" s="1"/>
  <c r="BN593" i="1"/>
  <c r="BU593" i="1" l="1"/>
  <c r="BV593" i="1"/>
  <c r="BN594" i="1"/>
  <c r="BL595" i="1"/>
  <c r="BM595" i="1" s="1"/>
  <c r="BV594" i="1" l="1"/>
  <c r="BU594" i="1"/>
  <c r="BL596" i="1"/>
  <c r="BM596" i="1" s="1"/>
  <c r="BN595" i="1"/>
  <c r="BU595" i="1" l="1"/>
  <c r="BV595" i="1"/>
  <c r="BL597" i="1"/>
  <c r="BM597" i="1" s="1"/>
  <c r="BN596" i="1"/>
  <c r="BV596" i="1" l="1"/>
  <c r="BU596" i="1"/>
  <c r="BL598" i="1"/>
  <c r="BM598" i="1" s="1"/>
  <c r="BN597" i="1"/>
  <c r="BU597" i="1" l="1"/>
  <c r="BV597" i="1"/>
  <c r="BN598" i="1"/>
  <c r="BL599" i="1"/>
  <c r="BM599" i="1" s="1"/>
  <c r="BV598" i="1" l="1"/>
  <c r="BU598" i="1"/>
  <c r="BL600" i="1"/>
  <c r="BM600" i="1" s="1"/>
  <c r="BN599" i="1"/>
  <c r="BU599" i="1" l="1"/>
  <c r="BV599" i="1"/>
  <c r="BL601" i="1"/>
  <c r="BM601" i="1" s="1"/>
  <c r="BN600" i="1"/>
  <c r="BV600" i="1" l="1"/>
  <c r="BU600" i="1"/>
  <c r="BL602" i="1"/>
  <c r="BM602" i="1" s="1"/>
  <c r="BN601" i="1"/>
  <c r="BU601" i="1" l="1"/>
  <c r="BV601" i="1"/>
  <c r="BN602" i="1"/>
  <c r="BL603" i="1"/>
  <c r="BM603" i="1" s="1"/>
  <c r="BV602" i="1" l="1"/>
  <c r="BU602" i="1"/>
  <c r="BL604" i="1"/>
  <c r="BM604" i="1" s="1"/>
  <c r="BN603" i="1"/>
  <c r="BU603" i="1" l="1"/>
  <c r="BV603" i="1"/>
  <c r="BL605" i="1"/>
  <c r="BM605" i="1" s="1"/>
  <c r="BN604" i="1"/>
  <c r="BV604" i="1" l="1"/>
  <c r="BU604" i="1"/>
  <c r="BL606" i="1"/>
  <c r="BM606" i="1" s="1"/>
  <c r="BN605" i="1"/>
  <c r="BU605" i="1" l="1"/>
  <c r="BV605" i="1"/>
  <c r="BN606" i="1"/>
  <c r="BL607" i="1"/>
  <c r="BM607" i="1" s="1"/>
  <c r="BV606" i="1" l="1"/>
  <c r="BU606" i="1"/>
  <c r="BL608" i="1"/>
  <c r="BM608" i="1" s="1"/>
  <c r="BN607" i="1"/>
  <c r="BU607" i="1" l="1"/>
  <c r="BV607" i="1"/>
  <c r="BL609" i="1"/>
  <c r="BM609" i="1" s="1"/>
  <c r="BN608" i="1"/>
  <c r="BV608" i="1" l="1"/>
  <c r="BU608" i="1"/>
  <c r="BL610" i="1"/>
  <c r="BM610" i="1" s="1"/>
  <c r="BN609" i="1"/>
  <c r="BU609" i="1" l="1"/>
  <c r="BV609" i="1"/>
  <c r="BN610" i="1"/>
  <c r="BL611" i="1"/>
  <c r="BM611" i="1" s="1"/>
  <c r="BV610" i="1" l="1"/>
  <c r="BU610" i="1"/>
  <c r="BL612" i="1"/>
  <c r="BM612" i="1" s="1"/>
  <c r="BN611" i="1"/>
  <c r="BU611" i="1" l="1"/>
  <c r="BV611" i="1"/>
  <c r="BL613" i="1"/>
  <c r="BM613" i="1" s="1"/>
  <c r="BN612" i="1"/>
  <c r="BV612" i="1" l="1"/>
  <c r="BU612" i="1"/>
  <c r="BL614" i="1"/>
  <c r="BM614" i="1" s="1"/>
  <c r="BN613" i="1"/>
  <c r="BU613" i="1" l="1"/>
  <c r="BV613" i="1"/>
  <c r="BN614" i="1"/>
  <c r="BL615" i="1"/>
  <c r="BM615" i="1" s="1"/>
  <c r="BV614" i="1" l="1"/>
  <c r="BU614" i="1"/>
  <c r="BL616" i="1"/>
  <c r="BM616" i="1" s="1"/>
  <c r="BN615" i="1"/>
  <c r="BU615" i="1" l="1"/>
  <c r="BV615" i="1"/>
  <c r="BL617" i="1"/>
  <c r="BM617" i="1" s="1"/>
  <c r="BN616" i="1"/>
  <c r="BV616" i="1" l="1"/>
  <c r="BU616" i="1"/>
  <c r="BL618" i="1"/>
  <c r="BM618" i="1" s="1"/>
  <c r="BN617" i="1"/>
  <c r="BU617" i="1" l="1"/>
  <c r="BV617" i="1"/>
  <c r="BN618" i="1"/>
  <c r="BL619" i="1"/>
  <c r="BM619" i="1" s="1"/>
  <c r="BV618" i="1" l="1"/>
  <c r="BU618" i="1"/>
  <c r="BL620" i="1"/>
  <c r="BM620" i="1" s="1"/>
  <c r="BN619" i="1"/>
  <c r="BU619" i="1" l="1"/>
  <c r="BV619" i="1"/>
  <c r="BL621" i="1"/>
  <c r="BM621" i="1" s="1"/>
  <c r="BN620" i="1"/>
  <c r="BV620" i="1" l="1"/>
  <c r="BU620" i="1"/>
  <c r="BL622" i="1"/>
  <c r="BM622" i="1" s="1"/>
  <c r="BN621" i="1"/>
  <c r="BU621" i="1" l="1"/>
  <c r="BV621" i="1"/>
  <c r="BN622" i="1"/>
  <c r="BL623" i="1"/>
  <c r="BM623" i="1" s="1"/>
  <c r="BV622" i="1" l="1"/>
  <c r="BU622" i="1"/>
  <c r="BL624" i="1"/>
  <c r="BM624" i="1" s="1"/>
  <c r="BN623" i="1"/>
  <c r="BU623" i="1" l="1"/>
  <c r="BV623" i="1"/>
  <c r="BL625" i="1"/>
  <c r="BM625" i="1" s="1"/>
  <c r="BN624" i="1"/>
  <c r="BV624" i="1" l="1"/>
  <c r="BU624" i="1"/>
  <c r="BL626" i="1"/>
  <c r="BM626" i="1" s="1"/>
  <c r="BN625" i="1"/>
  <c r="BU625" i="1" l="1"/>
  <c r="BV625" i="1"/>
  <c r="BN626" i="1"/>
  <c r="BL627" i="1"/>
  <c r="BM627" i="1" s="1"/>
  <c r="BV626" i="1" l="1"/>
  <c r="BU626" i="1"/>
  <c r="BL628" i="1"/>
  <c r="BM628" i="1" s="1"/>
  <c r="BN627" i="1"/>
  <c r="BU627" i="1" l="1"/>
  <c r="BV627" i="1"/>
  <c r="BL629" i="1"/>
  <c r="BM629" i="1" s="1"/>
  <c r="BN628" i="1"/>
  <c r="BV628" i="1" l="1"/>
  <c r="BU628" i="1"/>
  <c r="BL630" i="1"/>
  <c r="BM630" i="1" s="1"/>
  <c r="BN629" i="1"/>
  <c r="BU629" i="1" l="1"/>
  <c r="BV629" i="1"/>
  <c r="BN630" i="1"/>
  <c r="BL631" i="1"/>
  <c r="BM631" i="1" s="1"/>
  <c r="BV630" i="1" l="1"/>
  <c r="BU630" i="1"/>
  <c r="BL632" i="1"/>
  <c r="BM632" i="1" s="1"/>
  <c r="BN631" i="1"/>
  <c r="BU631" i="1" l="1"/>
  <c r="BV631" i="1"/>
  <c r="BL633" i="1"/>
  <c r="BM633" i="1" s="1"/>
  <c r="BN632" i="1"/>
  <c r="BV632" i="1" l="1"/>
  <c r="BU632" i="1"/>
  <c r="BL634" i="1"/>
  <c r="BM634" i="1" s="1"/>
  <c r="BN633" i="1"/>
  <c r="BU633" i="1" l="1"/>
  <c r="BV633" i="1"/>
  <c r="BN634" i="1"/>
  <c r="BL635" i="1"/>
  <c r="BM635" i="1" s="1"/>
  <c r="BV634" i="1" l="1"/>
  <c r="BU634" i="1"/>
  <c r="BL636" i="1"/>
  <c r="BM636" i="1" s="1"/>
  <c r="BN635" i="1"/>
  <c r="BU635" i="1" l="1"/>
  <c r="BV635" i="1"/>
  <c r="BL637" i="1"/>
  <c r="BM637" i="1" s="1"/>
  <c r="BN636" i="1"/>
  <c r="BV636" i="1" l="1"/>
  <c r="BU636" i="1"/>
  <c r="BL638" i="1"/>
  <c r="BM638" i="1" s="1"/>
  <c r="BN637" i="1"/>
  <c r="BU637" i="1" l="1"/>
  <c r="BV637" i="1"/>
  <c r="BN638" i="1"/>
  <c r="BL639" i="1"/>
  <c r="BM639" i="1" s="1"/>
  <c r="BV638" i="1" l="1"/>
  <c r="BU638" i="1"/>
  <c r="BL640" i="1"/>
  <c r="BM640" i="1" s="1"/>
  <c r="BN639" i="1"/>
  <c r="BU639" i="1" l="1"/>
  <c r="BV639" i="1"/>
  <c r="BL641" i="1"/>
  <c r="BM641" i="1" s="1"/>
  <c r="BN640" i="1"/>
  <c r="BV640" i="1" l="1"/>
  <c r="BU640" i="1"/>
  <c r="BL642" i="1"/>
  <c r="BM642" i="1" s="1"/>
  <c r="BN641" i="1"/>
  <c r="BU641" i="1" l="1"/>
  <c r="BV641" i="1"/>
  <c r="BN642" i="1"/>
  <c r="BL643" i="1"/>
  <c r="BM643" i="1" s="1"/>
  <c r="BV642" i="1" l="1"/>
  <c r="BU642" i="1"/>
  <c r="BL644" i="1"/>
  <c r="BM644" i="1" s="1"/>
  <c r="BN643" i="1"/>
  <c r="BU643" i="1" l="1"/>
  <c r="BV643" i="1"/>
  <c r="BL645" i="1"/>
  <c r="BM645" i="1" s="1"/>
  <c r="BN644" i="1"/>
  <c r="BV644" i="1" l="1"/>
  <c r="BU644" i="1"/>
  <c r="BL646" i="1"/>
  <c r="BM646" i="1" s="1"/>
  <c r="BN645" i="1"/>
  <c r="BU645" i="1" l="1"/>
  <c r="BV645" i="1"/>
  <c r="BN646" i="1"/>
  <c r="BL647" i="1"/>
  <c r="BM647" i="1" s="1"/>
  <c r="BV646" i="1" l="1"/>
  <c r="BU646" i="1"/>
  <c r="BL648" i="1"/>
  <c r="BM648" i="1" s="1"/>
  <c r="BN647" i="1"/>
  <c r="BU647" i="1" l="1"/>
  <c r="BV647" i="1"/>
  <c r="BL649" i="1"/>
  <c r="BM649" i="1" s="1"/>
  <c r="BN648" i="1"/>
  <c r="BV648" i="1" l="1"/>
  <c r="BU648" i="1"/>
  <c r="BL650" i="1"/>
  <c r="BM650" i="1" s="1"/>
  <c r="BN649" i="1"/>
  <c r="BU649" i="1" l="1"/>
  <c r="BV649" i="1"/>
  <c r="BN650" i="1"/>
  <c r="BL651" i="1"/>
  <c r="BM651" i="1" s="1"/>
  <c r="BV650" i="1" l="1"/>
  <c r="BU650" i="1"/>
  <c r="BL652" i="1"/>
  <c r="BM652" i="1" s="1"/>
  <c r="BN651" i="1"/>
  <c r="BU651" i="1" l="1"/>
  <c r="BV651" i="1"/>
  <c r="BL653" i="1"/>
  <c r="BM653" i="1" s="1"/>
  <c r="BN652" i="1"/>
  <c r="BV652" i="1" l="1"/>
  <c r="BU652" i="1"/>
  <c r="BL654" i="1"/>
  <c r="BM654" i="1" s="1"/>
  <c r="BN653" i="1"/>
  <c r="BU653" i="1" l="1"/>
  <c r="BV653" i="1"/>
  <c r="BN654" i="1"/>
  <c r="BL655" i="1"/>
  <c r="BM655" i="1" s="1"/>
  <c r="BV654" i="1" l="1"/>
  <c r="BU654" i="1"/>
  <c r="BL656" i="1"/>
  <c r="BM656" i="1" s="1"/>
  <c r="BN655" i="1"/>
  <c r="BU655" i="1" l="1"/>
  <c r="BV655" i="1"/>
  <c r="BL657" i="1"/>
  <c r="BM657" i="1" s="1"/>
  <c r="BN656" i="1"/>
  <c r="BV656" i="1" l="1"/>
  <c r="BU656" i="1"/>
  <c r="BL658" i="1"/>
  <c r="BM658" i="1" s="1"/>
  <c r="BN657" i="1"/>
  <c r="BU657" i="1" l="1"/>
  <c r="BV657" i="1"/>
  <c r="BN658" i="1"/>
  <c r="BL659" i="1"/>
  <c r="BM659" i="1" s="1"/>
  <c r="BV658" i="1" l="1"/>
  <c r="BU658" i="1"/>
  <c r="BL660" i="1"/>
  <c r="BM660" i="1" s="1"/>
  <c r="BN659" i="1"/>
  <c r="BU659" i="1" l="1"/>
  <c r="BV659" i="1"/>
  <c r="BL661" i="1"/>
  <c r="BM661" i="1" s="1"/>
  <c r="BN660" i="1"/>
  <c r="BV660" i="1" l="1"/>
  <c r="BU660" i="1"/>
  <c r="BL662" i="1"/>
  <c r="BM662" i="1" s="1"/>
  <c r="BN661" i="1"/>
  <c r="BU661" i="1" l="1"/>
  <c r="BV661" i="1"/>
  <c r="BN662" i="1"/>
  <c r="BL663" i="1"/>
  <c r="BM663" i="1" s="1"/>
  <c r="BV662" i="1" l="1"/>
  <c r="BU662" i="1"/>
  <c r="BL664" i="1"/>
  <c r="BM664" i="1" s="1"/>
  <c r="BN663" i="1"/>
  <c r="BU663" i="1" l="1"/>
  <c r="BV663" i="1"/>
  <c r="BL665" i="1"/>
  <c r="BM665" i="1" s="1"/>
  <c r="BN664" i="1"/>
  <c r="BV664" i="1" l="1"/>
  <c r="BU664" i="1"/>
  <c r="BL666" i="1"/>
  <c r="BM666" i="1" s="1"/>
  <c r="BN665" i="1"/>
  <c r="BU665" i="1" l="1"/>
  <c r="BV665" i="1"/>
  <c r="BN666" i="1"/>
  <c r="BL667" i="1"/>
  <c r="BM667" i="1" s="1"/>
  <c r="BV666" i="1" l="1"/>
  <c r="BU666" i="1"/>
  <c r="BL668" i="1"/>
  <c r="BM668" i="1" s="1"/>
  <c r="BN667" i="1"/>
  <c r="BU667" i="1" l="1"/>
  <c r="BV667" i="1"/>
  <c r="BL669" i="1"/>
  <c r="BM669" i="1" s="1"/>
  <c r="BN668" i="1"/>
  <c r="BV668" i="1" l="1"/>
  <c r="BU668" i="1"/>
  <c r="BL670" i="1"/>
  <c r="BM670" i="1" s="1"/>
  <c r="BN669" i="1"/>
  <c r="BU669" i="1" l="1"/>
  <c r="BV669" i="1"/>
  <c r="BN670" i="1"/>
  <c r="BL671" i="1"/>
  <c r="BM671" i="1" s="1"/>
  <c r="BV670" i="1" l="1"/>
  <c r="BU670" i="1"/>
  <c r="BL672" i="1"/>
  <c r="BM672" i="1" s="1"/>
  <c r="BN671" i="1"/>
  <c r="BU671" i="1" l="1"/>
  <c r="BV671" i="1"/>
  <c r="BL673" i="1"/>
  <c r="BM673" i="1" s="1"/>
  <c r="BN672" i="1"/>
  <c r="BV672" i="1" l="1"/>
  <c r="BU672" i="1"/>
  <c r="BL674" i="1"/>
  <c r="BM674" i="1" s="1"/>
  <c r="BN673" i="1"/>
  <c r="BU673" i="1" l="1"/>
  <c r="BV673" i="1"/>
  <c r="BN674" i="1"/>
  <c r="BL675" i="1"/>
  <c r="BM675" i="1" s="1"/>
  <c r="BV674" i="1" l="1"/>
  <c r="BU674" i="1"/>
  <c r="BL676" i="1"/>
  <c r="BM676" i="1" s="1"/>
  <c r="BN675" i="1"/>
  <c r="BU675" i="1" l="1"/>
  <c r="BV675" i="1"/>
  <c r="BL677" i="1"/>
  <c r="BM677" i="1" s="1"/>
  <c r="BN676" i="1"/>
  <c r="BV676" i="1" l="1"/>
  <c r="BU676" i="1"/>
  <c r="BL678" i="1"/>
  <c r="BM678" i="1" s="1"/>
  <c r="BN677" i="1"/>
  <c r="BU677" i="1" l="1"/>
  <c r="BV677" i="1"/>
  <c r="BN678" i="1"/>
  <c r="BL679" i="1"/>
  <c r="BM679" i="1" s="1"/>
  <c r="BV678" i="1" l="1"/>
  <c r="BU678" i="1"/>
  <c r="BL680" i="1"/>
  <c r="BM680" i="1" s="1"/>
  <c r="BN679" i="1"/>
  <c r="BU679" i="1" l="1"/>
  <c r="BV679" i="1"/>
  <c r="BL681" i="1"/>
  <c r="BM681" i="1" s="1"/>
  <c r="BN680" i="1"/>
  <c r="BV680" i="1" l="1"/>
  <c r="BU680" i="1"/>
  <c r="BL682" i="1"/>
  <c r="BM682" i="1" s="1"/>
  <c r="BN681" i="1"/>
  <c r="BU681" i="1" l="1"/>
  <c r="BV681" i="1"/>
  <c r="BN682" i="1"/>
  <c r="BL683" i="1"/>
  <c r="BM683" i="1" s="1"/>
  <c r="BV682" i="1" l="1"/>
  <c r="BU682" i="1"/>
  <c r="BL684" i="1"/>
  <c r="BM684" i="1" s="1"/>
  <c r="BN683" i="1"/>
  <c r="BU683" i="1" l="1"/>
  <c r="BV683" i="1"/>
  <c r="BL685" i="1"/>
  <c r="BM685" i="1" s="1"/>
  <c r="BN684" i="1"/>
  <c r="BV684" i="1" l="1"/>
  <c r="BU684" i="1"/>
  <c r="BL686" i="1"/>
  <c r="BM686" i="1" s="1"/>
  <c r="BN685" i="1"/>
  <c r="BU685" i="1" l="1"/>
  <c r="BV685" i="1"/>
  <c r="BN686" i="1"/>
  <c r="BL687" i="1"/>
  <c r="BM687" i="1" s="1"/>
  <c r="BV686" i="1" l="1"/>
  <c r="BU686" i="1"/>
  <c r="BL688" i="1"/>
  <c r="BM688" i="1" s="1"/>
  <c r="BN687" i="1"/>
  <c r="BU687" i="1" l="1"/>
  <c r="BV687" i="1"/>
  <c r="BL689" i="1"/>
  <c r="BM689" i="1" s="1"/>
  <c r="BN688" i="1"/>
  <c r="BV688" i="1" l="1"/>
  <c r="BU688" i="1"/>
  <c r="BL690" i="1"/>
  <c r="BM690" i="1" s="1"/>
  <c r="BN689" i="1"/>
  <c r="BU689" i="1" l="1"/>
  <c r="BV689" i="1"/>
  <c r="BN690" i="1"/>
  <c r="BL691" i="1"/>
  <c r="BM691" i="1" s="1"/>
  <c r="BV690" i="1" l="1"/>
  <c r="BU690" i="1"/>
  <c r="BL692" i="1"/>
  <c r="BM692" i="1" s="1"/>
  <c r="BN691" i="1"/>
  <c r="BU691" i="1" l="1"/>
  <c r="BV691" i="1"/>
  <c r="BL693" i="1"/>
  <c r="BM693" i="1" s="1"/>
  <c r="BN692" i="1"/>
  <c r="BV692" i="1" l="1"/>
  <c r="BU692" i="1"/>
  <c r="BL694" i="1"/>
  <c r="BM694" i="1" s="1"/>
  <c r="BN693" i="1"/>
  <c r="BU693" i="1" l="1"/>
  <c r="BV693" i="1"/>
  <c r="BN694" i="1"/>
  <c r="BL695" i="1"/>
  <c r="BM695" i="1" s="1"/>
  <c r="BV694" i="1" l="1"/>
  <c r="BU694" i="1"/>
  <c r="BL696" i="1"/>
  <c r="BM696" i="1" s="1"/>
  <c r="BN695" i="1"/>
  <c r="BU695" i="1" l="1"/>
  <c r="BV695" i="1"/>
  <c r="BL697" i="1"/>
  <c r="BM697" i="1" s="1"/>
  <c r="BN696" i="1"/>
  <c r="BV696" i="1" l="1"/>
  <c r="BU696" i="1"/>
  <c r="BL698" i="1"/>
  <c r="BM698" i="1" s="1"/>
  <c r="BN697" i="1"/>
  <c r="BU697" i="1" l="1"/>
  <c r="BV697" i="1"/>
  <c r="BL699" i="1"/>
  <c r="BM699" i="1" s="1"/>
  <c r="BN698" i="1"/>
  <c r="BV698" i="1" l="1"/>
  <c r="BU698" i="1"/>
  <c r="BL700" i="1"/>
  <c r="BM700" i="1" s="1"/>
  <c r="BN699" i="1"/>
  <c r="BU699" i="1" l="1"/>
  <c r="BV699" i="1"/>
  <c r="BL701" i="1"/>
  <c r="BM701" i="1" s="1"/>
  <c r="BN700" i="1"/>
  <c r="BV700" i="1" l="1"/>
  <c r="BU700" i="1"/>
  <c r="BN701" i="1"/>
  <c r="BL702" i="1"/>
  <c r="BM702" i="1" s="1"/>
  <c r="BU701" i="1" l="1"/>
  <c r="BV701" i="1"/>
  <c r="BL703" i="1"/>
  <c r="BM703" i="1" s="1"/>
  <c r="BN702" i="1"/>
  <c r="BV702" i="1" l="1"/>
  <c r="BU702" i="1"/>
  <c r="BL704" i="1"/>
  <c r="BM704" i="1" s="1"/>
  <c r="BN703" i="1"/>
  <c r="BU703" i="1" l="1"/>
  <c r="BV703" i="1"/>
  <c r="BL705" i="1"/>
  <c r="BM705" i="1" s="1"/>
  <c r="BN704" i="1"/>
  <c r="BV704" i="1" l="1"/>
  <c r="BU704" i="1"/>
  <c r="BN705" i="1"/>
  <c r="BL706" i="1"/>
  <c r="BM706" i="1" s="1"/>
  <c r="BU705" i="1" l="1"/>
  <c r="BV705" i="1"/>
  <c r="BL707" i="1"/>
  <c r="BM707" i="1" s="1"/>
  <c r="BN706" i="1"/>
  <c r="BV706" i="1" l="1"/>
  <c r="BU706" i="1"/>
  <c r="BL708" i="1"/>
  <c r="BM708" i="1" s="1"/>
  <c r="BN707" i="1"/>
  <c r="BU707" i="1" l="1"/>
  <c r="BV707" i="1"/>
  <c r="BL709" i="1"/>
  <c r="BM709" i="1" s="1"/>
  <c r="BN708" i="1"/>
  <c r="BV708" i="1" l="1"/>
  <c r="BU708" i="1"/>
  <c r="BN709" i="1"/>
  <c r="BL710" i="1"/>
  <c r="BM710" i="1" s="1"/>
  <c r="BU709" i="1" l="1"/>
  <c r="BV709" i="1"/>
  <c r="BL711" i="1"/>
  <c r="BM711" i="1" s="1"/>
  <c r="BN710" i="1"/>
  <c r="BV710" i="1" l="1"/>
  <c r="BU710" i="1"/>
  <c r="BL712" i="1"/>
  <c r="BM712" i="1" s="1"/>
  <c r="BN711" i="1"/>
  <c r="BU711" i="1" l="1"/>
  <c r="BV711" i="1"/>
  <c r="BL713" i="1"/>
  <c r="BM713" i="1" s="1"/>
  <c r="BN712" i="1"/>
  <c r="BV712" i="1" l="1"/>
  <c r="BU712" i="1"/>
  <c r="BN713" i="1"/>
  <c r="BL714" i="1"/>
  <c r="BM714" i="1" s="1"/>
  <c r="BU713" i="1" l="1"/>
  <c r="BV713" i="1"/>
  <c r="BL715" i="1"/>
  <c r="BM715" i="1" s="1"/>
  <c r="BN714" i="1"/>
  <c r="BV714" i="1" l="1"/>
  <c r="BU714" i="1"/>
  <c r="BL716" i="1"/>
  <c r="BM716" i="1" s="1"/>
  <c r="BN715" i="1"/>
  <c r="BU715" i="1" l="1"/>
  <c r="BV715" i="1"/>
  <c r="BL717" i="1"/>
  <c r="BM717" i="1" s="1"/>
  <c r="BN716" i="1"/>
  <c r="BV716" i="1" l="1"/>
  <c r="BU716" i="1"/>
  <c r="BN717" i="1"/>
  <c r="BL718" i="1"/>
  <c r="BM718" i="1" s="1"/>
  <c r="BU717" i="1" l="1"/>
  <c r="BV717" i="1"/>
  <c r="BL719" i="1"/>
  <c r="BM719" i="1" s="1"/>
  <c r="BN718" i="1"/>
  <c r="BV718" i="1" l="1"/>
  <c r="BU718" i="1"/>
  <c r="BL720" i="1"/>
  <c r="BM720" i="1" s="1"/>
  <c r="BN719" i="1"/>
  <c r="BU719" i="1" l="1"/>
  <c r="BV719" i="1"/>
  <c r="BL721" i="1"/>
  <c r="BM721" i="1" s="1"/>
  <c r="BN720" i="1"/>
  <c r="BV720" i="1" l="1"/>
  <c r="BU720" i="1"/>
  <c r="BN721" i="1"/>
  <c r="BL722" i="1"/>
  <c r="BM722" i="1" s="1"/>
  <c r="BU721" i="1" l="1"/>
  <c r="BV721" i="1"/>
  <c r="BL723" i="1"/>
  <c r="BM723" i="1" s="1"/>
  <c r="BN722" i="1"/>
  <c r="BV722" i="1" l="1"/>
  <c r="BU722" i="1"/>
  <c r="BL724" i="1"/>
  <c r="BM724" i="1" s="1"/>
  <c r="BN723" i="1"/>
  <c r="BU723" i="1" l="1"/>
  <c r="BV723" i="1"/>
  <c r="BL725" i="1"/>
  <c r="BM725" i="1" s="1"/>
  <c r="BN724" i="1"/>
  <c r="BV724" i="1" l="1"/>
  <c r="BU724" i="1"/>
  <c r="BN725" i="1"/>
  <c r="BL726" i="1"/>
  <c r="BM726" i="1" s="1"/>
  <c r="BU725" i="1" l="1"/>
  <c r="BV725" i="1"/>
  <c r="BL727" i="1"/>
  <c r="BM727" i="1" s="1"/>
  <c r="BN726" i="1"/>
  <c r="BV726" i="1" l="1"/>
  <c r="BU726" i="1"/>
  <c r="BL728" i="1"/>
  <c r="BM728" i="1" s="1"/>
  <c r="BN727" i="1"/>
  <c r="BU727" i="1" l="1"/>
  <c r="BV727" i="1"/>
  <c r="BL729" i="1"/>
  <c r="BM729" i="1" s="1"/>
  <c r="BN728" i="1"/>
  <c r="BV728" i="1" l="1"/>
  <c r="BU728" i="1"/>
  <c r="BN729" i="1"/>
  <c r="BL730" i="1"/>
  <c r="BM730" i="1" s="1"/>
  <c r="BU729" i="1" l="1"/>
  <c r="BV729" i="1"/>
  <c r="BL731" i="1"/>
  <c r="BM731" i="1" s="1"/>
  <c r="BN730" i="1"/>
  <c r="BV730" i="1" l="1"/>
  <c r="BU730" i="1"/>
  <c r="BL732" i="1"/>
  <c r="BM732" i="1" s="1"/>
  <c r="BN731" i="1"/>
  <c r="BU731" i="1" l="1"/>
  <c r="BV731" i="1"/>
  <c r="BL733" i="1"/>
  <c r="BM733" i="1" s="1"/>
  <c r="BN732" i="1"/>
  <c r="BV732" i="1" l="1"/>
  <c r="BU732" i="1"/>
  <c r="BN733" i="1"/>
  <c r="BL734" i="1"/>
  <c r="BM734" i="1" s="1"/>
  <c r="BU733" i="1" l="1"/>
  <c r="BV733" i="1"/>
  <c r="BL735" i="1"/>
  <c r="BM735" i="1" s="1"/>
  <c r="BN734" i="1"/>
  <c r="BV734" i="1" l="1"/>
  <c r="BU734" i="1"/>
  <c r="BL736" i="1"/>
  <c r="BM736" i="1" s="1"/>
  <c r="BN735" i="1"/>
  <c r="BU735" i="1" l="1"/>
  <c r="BV735" i="1"/>
  <c r="BL737" i="1"/>
  <c r="BM737" i="1" s="1"/>
  <c r="BN736" i="1"/>
  <c r="BV736" i="1" l="1"/>
  <c r="BU736" i="1"/>
  <c r="BN737" i="1"/>
  <c r="BL738" i="1"/>
  <c r="BM738" i="1" s="1"/>
  <c r="BU737" i="1" l="1"/>
  <c r="BV737" i="1"/>
  <c r="BL739" i="1"/>
  <c r="BM739" i="1" s="1"/>
  <c r="BN738" i="1"/>
  <c r="BV738" i="1" l="1"/>
  <c r="BU738" i="1"/>
  <c r="BL740" i="1"/>
  <c r="BM740" i="1" s="1"/>
  <c r="BN739" i="1"/>
  <c r="BU739" i="1" l="1"/>
  <c r="BV739" i="1"/>
  <c r="BL741" i="1"/>
  <c r="BM741" i="1" s="1"/>
  <c r="BN740" i="1"/>
  <c r="BV740" i="1" l="1"/>
  <c r="BU740" i="1"/>
  <c r="BN741" i="1"/>
  <c r="BL742" i="1"/>
  <c r="BM742" i="1" s="1"/>
  <c r="BU741" i="1" l="1"/>
  <c r="BV741" i="1"/>
  <c r="BL743" i="1"/>
  <c r="BM743" i="1" s="1"/>
  <c r="BN742" i="1"/>
  <c r="BV742" i="1" l="1"/>
  <c r="BU742" i="1"/>
  <c r="BL744" i="1"/>
  <c r="BM744" i="1" s="1"/>
  <c r="BN743" i="1"/>
  <c r="BU743" i="1" l="1"/>
  <c r="BV743" i="1"/>
  <c r="BL745" i="1"/>
  <c r="BM745" i="1" s="1"/>
  <c r="BN744" i="1"/>
  <c r="BV744" i="1" l="1"/>
  <c r="BU744" i="1"/>
  <c r="BN745" i="1"/>
  <c r="BL746" i="1"/>
  <c r="BM746" i="1" s="1"/>
  <c r="BU745" i="1" l="1"/>
  <c r="BV745" i="1"/>
  <c r="BL747" i="1"/>
  <c r="BM747" i="1" s="1"/>
  <c r="BN746" i="1"/>
  <c r="BV746" i="1" l="1"/>
  <c r="BU746" i="1"/>
  <c r="BL748" i="1"/>
  <c r="BM748" i="1" s="1"/>
  <c r="BN747" i="1"/>
  <c r="BU747" i="1" l="1"/>
  <c r="BV747" i="1"/>
  <c r="BL749" i="1"/>
  <c r="BM749" i="1" s="1"/>
  <c r="BN748" i="1"/>
  <c r="BV748" i="1" l="1"/>
  <c r="BU748" i="1"/>
  <c r="BN749" i="1"/>
  <c r="BL750" i="1"/>
  <c r="BM750" i="1" s="1"/>
  <c r="BU749" i="1" l="1"/>
  <c r="BV749" i="1"/>
  <c r="BL751" i="1"/>
  <c r="BM751" i="1" s="1"/>
  <c r="BN750" i="1"/>
  <c r="BV750" i="1" l="1"/>
  <c r="BU750" i="1"/>
  <c r="BL752" i="1"/>
  <c r="BM752" i="1" s="1"/>
  <c r="BN751" i="1"/>
  <c r="BU751" i="1" l="1"/>
  <c r="BV751" i="1"/>
  <c r="BL753" i="1"/>
  <c r="BM753" i="1" s="1"/>
  <c r="BN752" i="1"/>
  <c r="BV752" i="1" l="1"/>
  <c r="BU752" i="1"/>
  <c r="BN753" i="1"/>
  <c r="BL754" i="1"/>
  <c r="BM754" i="1" s="1"/>
  <c r="BU753" i="1" l="1"/>
  <c r="BV753" i="1"/>
  <c r="BL755" i="1"/>
  <c r="BM755" i="1" s="1"/>
  <c r="BN754" i="1"/>
  <c r="BV754" i="1" l="1"/>
  <c r="BU754" i="1"/>
  <c r="BL756" i="1"/>
  <c r="BM756" i="1" s="1"/>
  <c r="BN755" i="1"/>
  <c r="BU755" i="1" l="1"/>
  <c r="BV755" i="1"/>
  <c r="BL757" i="1"/>
  <c r="BM757" i="1" s="1"/>
  <c r="BN756" i="1"/>
  <c r="BV756" i="1" l="1"/>
  <c r="BU756" i="1"/>
  <c r="BN757" i="1"/>
  <c r="BL758" i="1"/>
  <c r="BM758" i="1" s="1"/>
  <c r="BU757" i="1" l="1"/>
  <c r="BV757" i="1"/>
  <c r="BL759" i="1"/>
  <c r="BM759" i="1" s="1"/>
  <c r="BN758" i="1"/>
  <c r="BV758" i="1" l="1"/>
  <c r="BU758" i="1"/>
  <c r="BL760" i="1"/>
  <c r="BM760" i="1" s="1"/>
  <c r="BN759" i="1"/>
  <c r="BU759" i="1" l="1"/>
  <c r="BV759" i="1"/>
  <c r="BL761" i="1"/>
  <c r="BM761" i="1" s="1"/>
  <c r="BN760" i="1"/>
  <c r="BV760" i="1" l="1"/>
  <c r="BU760" i="1"/>
  <c r="BN761" i="1"/>
  <c r="BL762" i="1"/>
  <c r="BM762" i="1" s="1"/>
  <c r="BU761" i="1" l="1"/>
  <c r="BV761" i="1"/>
  <c r="BL763" i="1"/>
  <c r="BM763" i="1" s="1"/>
  <c r="BN762" i="1"/>
  <c r="BV762" i="1" l="1"/>
  <c r="BU762" i="1"/>
  <c r="BL764" i="1"/>
  <c r="BM764" i="1" s="1"/>
  <c r="BN763" i="1"/>
  <c r="BU763" i="1" l="1"/>
  <c r="BV763" i="1"/>
  <c r="BL765" i="1"/>
  <c r="BM765" i="1" s="1"/>
  <c r="BN764" i="1"/>
  <c r="BV764" i="1" l="1"/>
  <c r="BU764" i="1"/>
  <c r="BN765" i="1"/>
  <c r="BL766" i="1"/>
  <c r="BM766" i="1" s="1"/>
  <c r="BU765" i="1" l="1"/>
  <c r="BV765" i="1"/>
  <c r="BL767" i="1"/>
  <c r="BM767" i="1" s="1"/>
  <c r="BN766" i="1"/>
  <c r="BV766" i="1" l="1"/>
  <c r="BU766" i="1"/>
  <c r="BL768" i="1"/>
  <c r="BM768" i="1" s="1"/>
  <c r="BN767" i="1"/>
  <c r="BU767" i="1" l="1"/>
  <c r="BV767" i="1"/>
  <c r="BL769" i="1"/>
  <c r="BM769" i="1" s="1"/>
  <c r="BN768" i="1"/>
  <c r="BV768" i="1" l="1"/>
  <c r="BU768" i="1"/>
  <c r="BN769" i="1"/>
  <c r="BL770" i="1"/>
  <c r="BM770" i="1" s="1"/>
  <c r="BU769" i="1" l="1"/>
  <c r="BV769" i="1"/>
  <c r="BL771" i="1"/>
  <c r="BM771" i="1" s="1"/>
  <c r="BN770" i="1"/>
  <c r="BV770" i="1" l="1"/>
  <c r="BU770" i="1"/>
  <c r="BL772" i="1"/>
  <c r="BM772" i="1" s="1"/>
  <c r="BN771" i="1"/>
  <c r="BU771" i="1" l="1"/>
  <c r="BV771" i="1"/>
  <c r="BL773" i="1"/>
  <c r="BM773" i="1" s="1"/>
  <c r="BN772" i="1"/>
  <c r="BV772" i="1" l="1"/>
  <c r="BU772" i="1"/>
  <c r="BN773" i="1"/>
  <c r="BL774" i="1"/>
  <c r="BM774" i="1" s="1"/>
  <c r="BU773" i="1" l="1"/>
  <c r="BV773" i="1"/>
  <c r="BL775" i="1"/>
  <c r="BM775" i="1" s="1"/>
  <c r="BN774" i="1"/>
  <c r="BV774" i="1" l="1"/>
  <c r="BU774" i="1"/>
  <c r="BL776" i="1"/>
  <c r="BM776" i="1" s="1"/>
  <c r="BN775" i="1"/>
  <c r="BU775" i="1" l="1"/>
  <c r="BV775" i="1"/>
  <c r="BL777" i="1"/>
  <c r="BM777" i="1" s="1"/>
  <c r="BN776" i="1"/>
  <c r="BV776" i="1" l="1"/>
  <c r="BU776" i="1"/>
  <c r="BN777" i="1"/>
  <c r="BL778" i="1"/>
  <c r="BM778" i="1" s="1"/>
  <c r="BU777" i="1" l="1"/>
  <c r="BV777" i="1"/>
  <c r="BL779" i="1"/>
  <c r="BM779" i="1" s="1"/>
  <c r="BN778" i="1"/>
  <c r="BV778" i="1" l="1"/>
  <c r="BU778" i="1"/>
  <c r="BL780" i="1"/>
  <c r="BM780" i="1" s="1"/>
  <c r="BN779" i="1"/>
  <c r="BU779" i="1" l="1"/>
  <c r="BV779" i="1"/>
  <c r="BL781" i="1"/>
  <c r="BM781" i="1" s="1"/>
  <c r="BN780" i="1"/>
  <c r="BV780" i="1" l="1"/>
  <c r="BU780" i="1"/>
  <c r="BN781" i="1"/>
  <c r="BL782" i="1"/>
  <c r="BM782" i="1" s="1"/>
  <c r="BU781" i="1" l="1"/>
  <c r="BV781" i="1"/>
  <c r="BL783" i="1"/>
  <c r="BM783" i="1" s="1"/>
  <c r="BN782" i="1"/>
  <c r="BV782" i="1" l="1"/>
  <c r="BU782" i="1"/>
  <c r="BL784" i="1"/>
  <c r="BM784" i="1" s="1"/>
  <c r="BN783" i="1"/>
  <c r="BU783" i="1" l="1"/>
  <c r="BV783" i="1"/>
  <c r="BL785" i="1"/>
  <c r="BM785" i="1" s="1"/>
  <c r="BN784" i="1"/>
  <c r="BV784" i="1" l="1"/>
  <c r="BU784" i="1"/>
  <c r="BN785" i="1"/>
  <c r="BL786" i="1"/>
  <c r="BM786" i="1" s="1"/>
  <c r="BU785" i="1" l="1"/>
  <c r="BV785" i="1"/>
  <c r="BL787" i="1"/>
  <c r="BM787" i="1" s="1"/>
  <c r="BN786" i="1"/>
  <c r="BV786" i="1" l="1"/>
  <c r="BU786" i="1"/>
  <c r="BL788" i="1"/>
  <c r="BM788" i="1" s="1"/>
  <c r="BN787" i="1"/>
  <c r="BU787" i="1" l="1"/>
  <c r="BV787" i="1"/>
  <c r="BL789" i="1"/>
  <c r="BM789" i="1" s="1"/>
  <c r="BN788" i="1"/>
  <c r="BV788" i="1" l="1"/>
  <c r="BU788" i="1"/>
  <c r="BN789" i="1"/>
  <c r="BL790" i="1"/>
  <c r="BM790" i="1" s="1"/>
  <c r="BU789" i="1" l="1"/>
  <c r="BV789" i="1"/>
  <c r="BL791" i="1"/>
  <c r="BM791" i="1" s="1"/>
  <c r="BN790" i="1"/>
  <c r="BV790" i="1" l="1"/>
  <c r="BU790" i="1"/>
  <c r="BL792" i="1"/>
  <c r="BM792" i="1" s="1"/>
  <c r="BN791" i="1"/>
  <c r="BU791" i="1" l="1"/>
  <c r="BV791" i="1"/>
  <c r="BL793" i="1"/>
  <c r="BM793" i="1" s="1"/>
  <c r="BN792" i="1"/>
  <c r="BV792" i="1" l="1"/>
  <c r="BU792" i="1"/>
  <c r="BN793" i="1"/>
  <c r="BL794" i="1"/>
  <c r="BM794" i="1" s="1"/>
  <c r="BU793" i="1" l="1"/>
  <c r="BV793" i="1"/>
  <c r="BL795" i="1"/>
  <c r="BM795" i="1" s="1"/>
  <c r="BN794" i="1"/>
  <c r="BV794" i="1" l="1"/>
  <c r="BU794" i="1"/>
  <c r="BL796" i="1"/>
  <c r="BM796" i="1" s="1"/>
  <c r="BN795" i="1"/>
  <c r="BU795" i="1" l="1"/>
  <c r="BV795" i="1"/>
  <c r="BL797" i="1"/>
  <c r="BM797" i="1" s="1"/>
  <c r="BN796" i="1"/>
  <c r="BV796" i="1" l="1"/>
  <c r="BU796" i="1"/>
  <c r="BN797" i="1"/>
  <c r="BL798" i="1"/>
  <c r="BM798" i="1" s="1"/>
  <c r="BU797" i="1" l="1"/>
  <c r="BV797" i="1"/>
  <c r="BL799" i="1"/>
  <c r="BM799" i="1" s="1"/>
  <c r="BN798" i="1"/>
  <c r="BV798" i="1" l="1"/>
  <c r="BU798" i="1"/>
  <c r="BL800" i="1"/>
  <c r="BM800" i="1" s="1"/>
  <c r="BN799" i="1"/>
  <c r="BU799" i="1" l="1"/>
  <c r="BV799" i="1"/>
  <c r="BL801" i="1"/>
  <c r="BM801" i="1" s="1"/>
  <c r="BN800" i="1"/>
  <c r="BV800" i="1" l="1"/>
  <c r="BU800" i="1"/>
  <c r="BN801" i="1"/>
  <c r="BL802" i="1"/>
  <c r="BM802" i="1" s="1"/>
  <c r="BU801" i="1" l="1"/>
  <c r="BV801" i="1"/>
  <c r="BL803" i="1"/>
  <c r="BM803" i="1" s="1"/>
  <c r="BN802" i="1"/>
  <c r="BV802" i="1" l="1"/>
  <c r="BU802" i="1"/>
  <c r="BL804" i="1"/>
  <c r="BM804" i="1" s="1"/>
  <c r="BN803" i="1"/>
  <c r="BU803" i="1" l="1"/>
  <c r="BV803" i="1"/>
  <c r="BL805" i="1"/>
  <c r="BM805" i="1" s="1"/>
  <c r="BN804" i="1"/>
  <c r="BV804" i="1" l="1"/>
  <c r="BU804" i="1"/>
  <c r="BN805" i="1"/>
  <c r="BL806" i="1"/>
  <c r="BM806" i="1" s="1"/>
  <c r="BU805" i="1" l="1"/>
  <c r="BV805" i="1"/>
  <c r="BL807" i="1"/>
  <c r="BM807" i="1" s="1"/>
  <c r="BN806" i="1"/>
  <c r="BV806" i="1" l="1"/>
  <c r="BU806" i="1"/>
  <c r="BL808" i="1"/>
  <c r="BM808" i="1" s="1"/>
  <c r="BN807" i="1"/>
  <c r="BU807" i="1" l="1"/>
  <c r="BV807" i="1"/>
  <c r="BL809" i="1"/>
  <c r="BM809" i="1" s="1"/>
  <c r="BN808" i="1"/>
  <c r="BV808" i="1" l="1"/>
  <c r="BU808" i="1"/>
  <c r="BN809" i="1"/>
  <c r="BL810" i="1"/>
  <c r="BM810" i="1" s="1"/>
  <c r="BU809" i="1" l="1"/>
  <c r="BV809" i="1"/>
  <c r="BL811" i="1"/>
  <c r="BM811" i="1" s="1"/>
  <c r="BN810" i="1"/>
  <c r="BV810" i="1" l="1"/>
  <c r="BU810" i="1"/>
  <c r="BL812" i="1"/>
  <c r="BM812" i="1" s="1"/>
  <c r="BN811" i="1"/>
  <c r="BU811" i="1" l="1"/>
  <c r="BV811" i="1"/>
  <c r="BL813" i="1"/>
  <c r="BM813" i="1" s="1"/>
  <c r="BN812" i="1"/>
  <c r="BV812" i="1" l="1"/>
  <c r="BU812" i="1"/>
  <c r="BN813" i="1"/>
  <c r="BL814" i="1"/>
  <c r="BM814" i="1" s="1"/>
  <c r="BU813" i="1" l="1"/>
  <c r="BV813" i="1"/>
  <c r="BL815" i="1"/>
  <c r="BM815" i="1" s="1"/>
  <c r="BN814" i="1"/>
  <c r="BV814" i="1" l="1"/>
  <c r="BU814" i="1"/>
  <c r="BL816" i="1"/>
  <c r="BM816" i="1" s="1"/>
  <c r="BN815" i="1"/>
  <c r="BU815" i="1" l="1"/>
  <c r="BV815" i="1"/>
  <c r="BL817" i="1"/>
  <c r="BM817" i="1" s="1"/>
  <c r="BN816" i="1"/>
  <c r="BV816" i="1" l="1"/>
  <c r="BU816" i="1"/>
  <c r="BN817" i="1"/>
  <c r="BL818" i="1"/>
  <c r="BM818" i="1" s="1"/>
  <c r="BU817" i="1" l="1"/>
  <c r="BV817" i="1"/>
  <c r="BL819" i="1"/>
  <c r="BM819" i="1" s="1"/>
  <c r="BN818" i="1"/>
  <c r="BV818" i="1" l="1"/>
  <c r="BU818" i="1"/>
  <c r="BL820" i="1"/>
  <c r="BM820" i="1" s="1"/>
  <c r="BN819" i="1"/>
  <c r="BU819" i="1" l="1"/>
  <c r="BV819" i="1"/>
  <c r="BL821" i="1"/>
  <c r="BM821" i="1" s="1"/>
  <c r="BN820" i="1"/>
  <c r="BV820" i="1" l="1"/>
  <c r="BU820" i="1"/>
  <c r="BN821" i="1"/>
  <c r="BL822" i="1"/>
  <c r="BM822" i="1" s="1"/>
  <c r="BU821" i="1" l="1"/>
  <c r="BV821" i="1"/>
  <c r="BL823" i="1"/>
  <c r="BM823" i="1" s="1"/>
  <c r="BN822" i="1"/>
  <c r="BV822" i="1" l="1"/>
  <c r="BU822" i="1"/>
  <c r="BL824" i="1"/>
  <c r="BM824" i="1" s="1"/>
  <c r="BN823" i="1"/>
  <c r="BU823" i="1" l="1"/>
  <c r="BV823" i="1"/>
  <c r="BL825" i="1"/>
  <c r="BM825" i="1" s="1"/>
  <c r="BN824" i="1"/>
  <c r="BV824" i="1" l="1"/>
  <c r="BU824" i="1"/>
  <c r="BN825" i="1"/>
  <c r="BL826" i="1"/>
  <c r="BM826" i="1" s="1"/>
  <c r="BU825" i="1" l="1"/>
  <c r="BV825" i="1"/>
  <c r="BL827" i="1"/>
  <c r="BM827" i="1" s="1"/>
  <c r="BN826" i="1"/>
  <c r="BV826" i="1" l="1"/>
  <c r="BU826" i="1"/>
  <c r="BL828" i="1"/>
  <c r="BM828" i="1" s="1"/>
  <c r="BN827" i="1"/>
  <c r="BU827" i="1" l="1"/>
  <c r="BV827" i="1"/>
  <c r="BL829" i="1"/>
  <c r="BM829" i="1" s="1"/>
  <c r="BN828" i="1"/>
  <c r="BV828" i="1" l="1"/>
  <c r="BU828" i="1"/>
  <c r="BN829" i="1"/>
  <c r="BL830" i="1"/>
  <c r="BM830" i="1" s="1"/>
  <c r="BU829" i="1" l="1"/>
  <c r="BV829" i="1"/>
  <c r="BL831" i="1"/>
  <c r="BM831" i="1" s="1"/>
  <c r="BN830" i="1"/>
  <c r="BV830" i="1" l="1"/>
  <c r="BU830" i="1"/>
  <c r="BL832" i="1"/>
  <c r="BM832" i="1" s="1"/>
  <c r="BN831" i="1"/>
  <c r="BU831" i="1" l="1"/>
  <c r="BV831" i="1"/>
  <c r="BL833" i="1"/>
  <c r="BM833" i="1" s="1"/>
  <c r="BN832" i="1"/>
  <c r="BV832" i="1" l="1"/>
  <c r="BU832" i="1"/>
  <c r="BN833" i="1"/>
  <c r="BL834" i="1"/>
  <c r="BM834" i="1" s="1"/>
  <c r="BU833" i="1" l="1"/>
  <c r="BV833" i="1"/>
  <c r="BL835" i="1"/>
  <c r="BM835" i="1" s="1"/>
  <c r="BN834" i="1"/>
  <c r="BV834" i="1" l="1"/>
  <c r="BU834" i="1"/>
  <c r="BL836" i="1"/>
  <c r="BM836" i="1" s="1"/>
  <c r="BN835" i="1"/>
  <c r="BU835" i="1" l="1"/>
  <c r="BV835" i="1"/>
  <c r="BL837" i="1"/>
  <c r="BM837" i="1" s="1"/>
  <c r="BN836" i="1"/>
  <c r="BV836" i="1" l="1"/>
  <c r="BU836" i="1"/>
  <c r="BN837" i="1"/>
  <c r="BL838" i="1"/>
  <c r="BM838" i="1" s="1"/>
  <c r="BU837" i="1" l="1"/>
  <c r="BV837" i="1"/>
  <c r="BL839" i="1"/>
  <c r="BM839" i="1" s="1"/>
  <c r="BN838" i="1"/>
  <c r="BV838" i="1" l="1"/>
  <c r="BU838" i="1"/>
  <c r="BL840" i="1"/>
  <c r="BM840" i="1" s="1"/>
  <c r="BN839" i="1"/>
  <c r="BU839" i="1" l="1"/>
  <c r="BV839" i="1"/>
  <c r="BL841" i="1"/>
  <c r="BM841" i="1" s="1"/>
  <c r="BN840" i="1"/>
  <c r="BV840" i="1" l="1"/>
  <c r="BU840" i="1"/>
  <c r="BN841" i="1"/>
  <c r="BL842" i="1"/>
  <c r="BM842" i="1" s="1"/>
  <c r="BU841" i="1" l="1"/>
  <c r="BV841" i="1"/>
  <c r="BL843" i="1"/>
  <c r="BM843" i="1" s="1"/>
  <c r="BN842" i="1"/>
  <c r="BV842" i="1" l="1"/>
  <c r="BU842" i="1"/>
  <c r="BL844" i="1"/>
  <c r="BM844" i="1" s="1"/>
  <c r="BN843" i="1"/>
  <c r="BU843" i="1" l="1"/>
  <c r="BV843" i="1"/>
  <c r="BL845" i="1"/>
  <c r="BM845" i="1" s="1"/>
  <c r="BN844" i="1"/>
  <c r="BV844" i="1" l="1"/>
  <c r="BU844" i="1"/>
  <c r="BN845" i="1"/>
  <c r="BL846" i="1"/>
  <c r="BM846" i="1" s="1"/>
  <c r="BU845" i="1" l="1"/>
  <c r="BV845" i="1"/>
  <c r="BL847" i="1"/>
  <c r="BM847" i="1" s="1"/>
  <c r="BN846" i="1"/>
  <c r="BV846" i="1" l="1"/>
  <c r="BU846" i="1"/>
  <c r="BL848" i="1"/>
  <c r="BM848" i="1" s="1"/>
  <c r="BN847" i="1"/>
  <c r="BU847" i="1" l="1"/>
  <c r="BV847" i="1"/>
  <c r="BL849" i="1"/>
  <c r="BM849" i="1" s="1"/>
  <c r="BN848" i="1"/>
  <c r="BV848" i="1" l="1"/>
  <c r="BU848" i="1"/>
  <c r="BN849" i="1"/>
  <c r="BL850" i="1"/>
  <c r="BM850" i="1" s="1"/>
  <c r="BU849" i="1" l="1"/>
  <c r="BV849" i="1"/>
  <c r="BL851" i="1"/>
  <c r="BM851" i="1" s="1"/>
  <c r="BN850" i="1"/>
  <c r="BV850" i="1" l="1"/>
  <c r="BU850" i="1"/>
  <c r="BL852" i="1"/>
  <c r="BM852" i="1" s="1"/>
  <c r="BN851" i="1"/>
  <c r="BU851" i="1" l="1"/>
  <c r="BV851" i="1"/>
  <c r="BL853" i="1"/>
  <c r="BM853" i="1" s="1"/>
  <c r="BN852" i="1"/>
  <c r="BV852" i="1" l="1"/>
  <c r="BU852" i="1"/>
  <c r="BN853" i="1"/>
  <c r="BL854" i="1"/>
  <c r="BM854" i="1" s="1"/>
  <c r="BU853" i="1" l="1"/>
  <c r="BV853" i="1"/>
  <c r="BL855" i="1"/>
  <c r="BM855" i="1" s="1"/>
  <c r="BN854" i="1"/>
  <c r="BV854" i="1" l="1"/>
  <c r="BU854" i="1"/>
  <c r="BL856" i="1"/>
  <c r="BM856" i="1" s="1"/>
  <c r="BN855" i="1"/>
  <c r="BU855" i="1" l="1"/>
  <c r="BV855" i="1"/>
  <c r="BL857" i="1"/>
  <c r="BM857" i="1" s="1"/>
  <c r="BN856" i="1"/>
  <c r="BV856" i="1" l="1"/>
  <c r="BU856" i="1"/>
  <c r="BN857" i="1"/>
  <c r="BL858" i="1"/>
  <c r="BM858" i="1" s="1"/>
  <c r="BU857" i="1" l="1"/>
  <c r="BV857" i="1"/>
  <c r="BL859" i="1"/>
  <c r="BM859" i="1" s="1"/>
  <c r="BN858" i="1"/>
  <c r="BV858" i="1" l="1"/>
  <c r="BU858" i="1"/>
  <c r="BL860" i="1"/>
  <c r="BM860" i="1" s="1"/>
  <c r="BN859" i="1"/>
  <c r="BU859" i="1" l="1"/>
  <c r="BV859" i="1"/>
  <c r="BL861" i="1"/>
  <c r="BM861" i="1" s="1"/>
  <c r="BN860" i="1"/>
  <c r="BV860" i="1" l="1"/>
  <c r="BU860" i="1"/>
  <c r="BN861" i="1"/>
  <c r="BL862" i="1"/>
  <c r="BM862" i="1" s="1"/>
  <c r="BU861" i="1" l="1"/>
  <c r="BV861" i="1"/>
  <c r="BL863" i="1"/>
  <c r="BM863" i="1" s="1"/>
  <c r="BN862" i="1"/>
  <c r="BV862" i="1" l="1"/>
  <c r="BU862" i="1"/>
  <c r="BL864" i="1"/>
  <c r="BM864" i="1" s="1"/>
  <c r="BN863" i="1"/>
  <c r="BU863" i="1" l="1"/>
  <c r="BV863" i="1"/>
  <c r="BL865" i="1"/>
  <c r="BM865" i="1" s="1"/>
  <c r="BN864" i="1"/>
  <c r="BV864" i="1" l="1"/>
  <c r="BU864" i="1"/>
  <c r="BN865" i="1"/>
  <c r="BL866" i="1"/>
  <c r="BM866" i="1" s="1"/>
  <c r="BU865" i="1" l="1"/>
  <c r="BV865" i="1"/>
  <c r="BL867" i="1"/>
  <c r="BM867" i="1" s="1"/>
  <c r="BN866" i="1"/>
  <c r="BV866" i="1" l="1"/>
  <c r="BU866" i="1"/>
  <c r="BL868" i="1"/>
  <c r="BM868" i="1" s="1"/>
  <c r="BN867" i="1"/>
  <c r="BU867" i="1" l="1"/>
  <c r="BV867" i="1"/>
  <c r="BL869" i="1"/>
  <c r="BM869" i="1" s="1"/>
  <c r="BN868" i="1"/>
  <c r="BV868" i="1" l="1"/>
  <c r="BU868" i="1"/>
  <c r="BL870" i="1"/>
  <c r="BM870" i="1" s="1"/>
  <c r="BN869" i="1"/>
  <c r="BU869" i="1" l="1"/>
  <c r="BV869" i="1"/>
  <c r="BL871" i="1"/>
  <c r="BM871" i="1" s="1"/>
  <c r="BN870" i="1"/>
  <c r="BV870" i="1" l="1"/>
  <c r="BU870" i="1"/>
  <c r="BN871" i="1"/>
  <c r="BL872" i="1"/>
  <c r="BM872" i="1" s="1"/>
  <c r="BU871" i="1" l="1"/>
  <c r="BV871" i="1"/>
  <c r="BL873" i="1"/>
  <c r="BM873" i="1" s="1"/>
  <c r="BN872" i="1"/>
  <c r="BV872" i="1" l="1"/>
  <c r="BU872" i="1"/>
  <c r="BL874" i="1"/>
  <c r="BM874" i="1" s="1"/>
  <c r="BN873" i="1"/>
  <c r="BU873" i="1" l="1"/>
  <c r="BV873" i="1"/>
  <c r="BL875" i="1"/>
  <c r="BM875" i="1" s="1"/>
  <c r="BN874" i="1"/>
  <c r="BV874" i="1" l="1"/>
  <c r="BU874" i="1"/>
  <c r="BN875" i="1"/>
  <c r="BL876" i="1"/>
  <c r="BM876" i="1" s="1"/>
  <c r="BU875" i="1" l="1"/>
  <c r="BV875" i="1"/>
  <c r="BL877" i="1"/>
  <c r="BM877" i="1" s="1"/>
  <c r="BN876" i="1"/>
  <c r="BV876" i="1" l="1"/>
  <c r="BU876" i="1"/>
  <c r="BL878" i="1"/>
  <c r="BM878" i="1" s="1"/>
  <c r="BN877" i="1"/>
  <c r="BU877" i="1" l="1"/>
  <c r="BV877" i="1"/>
  <c r="BL879" i="1"/>
  <c r="BM879" i="1" s="1"/>
  <c r="BN878" i="1"/>
  <c r="BV878" i="1" l="1"/>
  <c r="BU878" i="1"/>
  <c r="BN879" i="1"/>
  <c r="BL880" i="1"/>
  <c r="BM880" i="1" s="1"/>
  <c r="BU879" i="1" l="1"/>
  <c r="BV879" i="1"/>
  <c r="BL881" i="1"/>
  <c r="BM881" i="1" s="1"/>
  <c r="BN880" i="1"/>
  <c r="BV880" i="1" l="1"/>
  <c r="BU880" i="1"/>
  <c r="BL882" i="1"/>
  <c r="BM882" i="1" s="1"/>
  <c r="BN881" i="1"/>
  <c r="BU881" i="1" l="1"/>
  <c r="BV881" i="1"/>
  <c r="BL883" i="1"/>
  <c r="BM883" i="1" s="1"/>
  <c r="BN882" i="1"/>
  <c r="BV882" i="1" l="1"/>
  <c r="BU882" i="1"/>
  <c r="BN883" i="1"/>
  <c r="BL884" i="1"/>
  <c r="BM884" i="1" s="1"/>
  <c r="BU883" i="1" l="1"/>
  <c r="BV883" i="1"/>
  <c r="BL885" i="1"/>
  <c r="BM885" i="1" s="1"/>
  <c r="BN884" i="1"/>
  <c r="BV884" i="1" l="1"/>
  <c r="BU884" i="1"/>
  <c r="BL886" i="1"/>
  <c r="BM886" i="1" s="1"/>
  <c r="BN885" i="1"/>
  <c r="BU885" i="1" l="1"/>
  <c r="BV885" i="1"/>
  <c r="BL887" i="1"/>
  <c r="BM887" i="1" s="1"/>
  <c r="BN886" i="1"/>
  <c r="BV886" i="1" l="1"/>
  <c r="BU886" i="1"/>
  <c r="BN887" i="1"/>
  <c r="BL888" i="1"/>
  <c r="BM888" i="1" s="1"/>
  <c r="BU887" i="1" l="1"/>
  <c r="BV887" i="1"/>
  <c r="BL889" i="1"/>
  <c r="BM889" i="1" s="1"/>
  <c r="BN888" i="1"/>
  <c r="BV888" i="1" l="1"/>
  <c r="BU888" i="1"/>
  <c r="BL890" i="1"/>
  <c r="BM890" i="1" s="1"/>
  <c r="BN889" i="1"/>
  <c r="BU889" i="1" l="1"/>
  <c r="BV889" i="1"/>
  <c r="BL891" i="1"/>
  <c r="BM891" i="1" s="1"/>
  <c r="BN890" i="1"/>
  <c r="BV890" i="1" l="1"/>
  <c r="BU890" i="1"/>
  <c r="BN891" i="1"/>
  <c r="BL892" i="1"/>
  <c r="BM892" i="1" s="1"/>
  <c r="BU891" i="1" l="1"/>
  <c r="BV891" i="1"/>
  <c r="BL893" i="1"/>
  <c r="BM893" i="1" s="1"/>
  <c r="BN892" i="1"/>
  <c r="BV892" i="1" l="1"/>
  <c r="BU892" i="1"/>
  <c r="BL894" i="1"/>
  <c r="BM894" i="1" s="1"/>
  <c r="BN893" i="1"/>
  <c r="BU893" i="1" l="1"/>
  <c r="BV893" i="1"/>
  <c r="BL895" i="1"/>
  <c r="BM895" i="1" s="1"/>
  <c r="BN894" i="1"/>
  <c r="BV894" i="1" l="1"/>
  <c r="BU894" i="1"/>
  <c r="BN895" i="1"/>
  <c r="BL896" i="1"/>
  <c r="BM896" i="1" s="1"/>
  <c r="BU895" i="1" l="1"/>
  <c r="BV895" i="1"/>
  <c r="BL897" i="1"/>
  <c r="BM897" i="1" s="1"/>
  <c r="BN896" i="1"/>
  <c r="BV896" i="1" l="1"/>
  <c r="BU896" i="1"/>
  <c r="BL898" i="1"/>
  <c r="BM898" i="1" s="1"/>
  <c r="BN897" i="1"/>
  <c r="BU897" i="1" l="1"/>
  <c r="BV897" i="1"/>
  <c r="BL899" i="1"/>
  <c r="BM899" i="1" s="1"/>
  <c r="BN898" i="1"/>
  <c r="BV898" i="1" l="1"/>
  <c r="BU898" i="1"/>
  <c r="BN899" i="1"/>
  <c r="BL900" i="1"/>
  <c r="BM900" i="1" s="1"/>
  <c r="BU899" i="1" l="1"/>
  <c r="BV899" i="1"/>
  <c r="BL901" i="1"/>
  <c r="BM901" i="1" s="1"/>
  <c r="BN900" i="1"/>
  <c r="BV900" i="1" l="1"/>
  <c r="BU900" i="1"/>
  <c r="BL902" i="1"/>
  <c r="BM902" i="1" s="1"/>
  <c r="BN901" i="1"/>
  <c r="BU901" i="1" l="1"/>
  <c r="BV901" i="1"/>
  <c r="BL903" i="1"/>
  <c r="BM903" i="1" s="1"/>
  <c r="BN902" i="1"/>
  <c r="BV902" i="1" l="1"/>
  <c r="BU902" i="1"/>
  <c r="BN903" i="1"/>
  <c r="BL904" i="1"/>
  <c r="BM904" i="1" s="1"/>
  <c r="BU903" i="1" l="1"/>
  <c r="BV903" i="1"/>
  <c r="BL905" i="1"/>
  <c r="BM905" i="1" s="1"/>
  <c r="BN904" i="1"/>
  <c r="BV904" i="1" l="1"/>
  <c r="BU904" i="1"/>
  <c r="BL906" i="1"/>
  <c r="BM906" i="1" s="1"/>
  <c r="BN905" i="1"/>
  <c r="BU905" i="1" l="1"/>
  <c r="BV905" i="1"/>
  <c r="BL907" i="1"/>
  <c r="BM907" i="1" s="1"/>
  <c r="BN906" i="1"/>
  <c r="BV906" i="1" l="1"/>
  <c r="BU906" i="1"/>
  <c r="BN907" i="1"/>
  <c r="BL908" i="1"/>
  <c r="BM908" i="1" s="1"/>
  <c r="BU907" i="1" l="1"/>
  <c r="BV907" i="1"/>
  <c r="BL909" i="1"/>
  <c r="BM909" i="1" s="1"/>
  <c r="BN908" i="1"/>
  <c r="BV908" i="1" l="1"/>
  <c r="BU908" i="1"/>
  <c r="BL910" i="1"/>
  <c r="BM910" i="1" s="1"/>
  <c r="BN909" i="1"/>
  <c r="BU909" i="1" l="1"/>
  <c r="BV909" i="1"/>
  <c r="BL911" i="1"/>
  <c r="BM911" i="1" s="1"/>
  <c r="BN910" i="1"/>
  <c r="BV910" i="1" l="1"/>
  <c r="BU910" i="1"/>
  <c r="BN911" i="1"/>
  <c r="BL912" i="1"/>
  <c r="BM912" i="1" s="1"/>
  <c r="BU911" i="1" l="1"/>
  <c r="BV911" i="1"/>
  <c r="BL913" i="1"/>
  <c r="BM913" i="1" s="1"/>
  <c r="BN912" i="1"/>
  <c r="BV912" i="1" l="1"/>
  <c r="BU912" i="1"/>
  <c r="BL914" i="1"/>
  <c r="BM914" i="1" s="1"/>
  <c r="BN913" i="1"/>
  <c r="BU913" i="1" l="1"/>
  <c r="BV913" i="1"/>
  <c r="BL915" i="1"/>
  <c r="BM915" i="1" s="1"/>
  <c r="BN914" i="1"/>
  <c r="BV914" i="1" l="1"/>
  <c r="BU914" i="1"/>
  <c r="BN915" i="1"/>
  <c r="BL916" i="1"/>
  <c r="BM916" i="1" s="1"/>
  <c r="BU915" i="1" l="1"/>
  <c r="BV915" i="1"/>
  <c r="BL917" i="1"/>
  <c r="BM917" i="1" s="1"/>
  <c r="BN916" i="1"/>
  <c r="BV916" i="1" l="1"/>
  <c r="BU916" i="1"/>
  <c r="BL918" i="1"/>
  <c r="BM918" i="1" s="1"/>
  <c r="BN917" i="1"/>
  <c r="BU917" i="1" l="1"/>
  <c r="BV917" i="1"/>
  <c r="BL919" i="1"/>
  <c r="BM919" i="1" s="1"/>
  <c r="BN918" i="1"/>
  <c r="BV918" i="1" l="1"/>
  <c r="BU918" i="1"/>
  <c r="BN919" i="1"/>
  <c r="BL920" i="1"/>
  <c r="BM920" i="1" s="1"/>
  <c r="BU919" i="1" l="1"/>
  <c r="BV919" i="1"/>
  <c r="BL921" i="1"/>
  <c r="BM921" i="1" s="1"/>
  <c r="BN920" i="1"/>
  <c r="BV920" i="1" l="1"/>
  <c r="BU920" i="1"/>
  <c r="BL922" i="1"/>
  <c r="BM922" i="1" s="1"/>
  <c r="BN921" i="1"/>
  <c r="BU921" i="1" l="1"/>
  <c r="BV921" i="1"/>
  <c r="BL923" i="1"/>
  <c r="BM923" i="1" s="1"/>
  <c r="BN922" i="1"/>
  <c r="BV922" i="1" l="1"/>
  <c r="BU922" i="1"/>
  <c r="BN923" i="1"/>
  <c r="BL924" i="1"/>
  <c r="BM924" i="1" s="1"/>
  <c r="BU923" i="1" l="1"/>
  <c r="BV923" i="1"/>
  <c r="BL925" i="1"/>
  <c r="BM925" i="1" s="1"/>
  <c r="BN924" i="1"/>
  <c r="BV924" i="1" l="1"/>
  <c r="BU924" i="1"/>
  <c r="BL926" i="1"/>
  <c r="BM926" i="1" s="1"/>
  <c r="BN925" i="1"/>
  <c r="BU925" i="1" l="1"/>
  <c r="BV925" i="1"/>
  <c r="BL927" i="1"/>
  <c r="BM927" i="1" s="1"/>
  <c r="BN926" i="1"/>
  <c r="BU926" i="1" l="1"/>
  <c r="BV926" i="1"/>
  <c r="BN927" i="1"/>
  <c r="BL928" i="1"/>
  <c r="BM928" i="1" s="1"/>
  <c r="BV927" i="1" l="1"/>
  <c r="BU927" i="1"/>
  <c r="BL929" i="1"/>
  <c r="BM929" i="1" s="1"/>
  <c r="BN928" i="1"/>
  <c r="BU928" i="1" l="1"/>
  <c r="BV928" i="1"/>
  <c r="BL930" i="1"/>
  <c r="BM930" i="1" s="1"/>
  <c r="BN929" i="1"/>
  <c r="BV929" i="1" l="1"/>
  <c r="BU929" i="1"/>
  <c r="BL931" i="1"/>
  <c r="BM931" i="1" s="1"/>
  <c r="BN930" i="1"/>
  <c r="BU930" i="1" l="1"/>
  <c r="BV930" i="1"/>
  <c r="BN931" i="1"/>
  <c r="BL932" i="1"/>
  <c r="BM932" i="1" s="1"/>
  <c r="BV931" i="1" l="1"/>
  <c r="BU931" i="1"/>
  <c r="BL933" i="1"/>
  <c r="BM933" i="1" s="1"/>
  <c r="BN932" i="1"/>
  <c r="BU932" i="1" l="1"/>
  <c r="BV932" i="1"/>
  <c r="BL934" i="1"/>
  <c r="BM934" i="1" s="1"/>
  <c r="BN933" i="1"/>
  <c r="BV933" i="1" l="1"/>
  <c r="BU933" i="1"/>
  <c r="BL935" i="1"/>
  <c r="BM935" i="1" s="1"/>
  <c r="BN934" i="1"/>
  <c r="BU934" i="1" l="1"/>
  <c r="BV934" i="1"/>
  <c r="BN935" i="1"/>
  <c r="BL936" i="1"/>
  <c r="BM936" i="1" s="1"/>
  <c r="BV935" i="1" l="1"/>
  <c r="BU935" i="1"/>
  <c r="BL937" i="1"/>
  <c r="BM937" i="1" s="1"/>
  <c r="BN936" i="1"/>
  <c r="BU936" i="1" l="1"/>
  <c r="BV936" i="1"/>
  <c r="BL938" i="1"/>
  <c r="BM938" i="1" s="1"/>
  <c r="BN937" i="1"/>
  <c r="BV937" i="1" l="1"/>
  <c r="BU937" i="1"/>
  <c r="BL939" i="1"/>
  <c r="BM939" i="1" s="1"/>
  <c r="BN938" i="1"/>
  <c r="BU938" i="1" l="1"/>
  <c r="BV938" i="1"/>
  <c r="BN939" i="1"/>
  <c r="BL940" i="1"/>
  <c r="BM940" i="1" s="1"/>
  <c r="BV939" i="1" l="1"/>
  <c r="BU939" i="1"/>
  <c r="BL941" i="1"/>
  <c r="BM941" i="1" s="1"/>
  <c r="BN940" i="1"/>
  <c r="BU940" i="1" l="1"/>
  <c r="BV940" i="1"/>
  <c r="BL942" i="1"/>
  <c r="BM942" i="1" s="1"/>
  <c r="BN941" i="1"/>
  <c r="BV941" i="1" l="1"/>
  <c r="BU941" i="1"/>
  <c r="BL943" i="1"/>
  <c r="BM943" i="1" s="1"/>
  <c r="BN942" i="1"/>
  <c r="BU942" i="1" l="1"/>
  <c r="BV942" i="1"/>
  <c r="BN943" i="1"/>
  <c r="BL944" i="1"/>
  <c r="BM944" i="1" s="1"/>
  <c r="BV943" i="1" l="1"/>
  <c r="BU943" i="1"/>
  <c r="BL945" i="1"/>
  <c r="BM945" i="1" s="1"/>
  <c r="BN944" i="1"/>
  <c r="BU944" i="1" l="1"/>
  <c r="BV944" i="1"/>
  <c r="BL946" i="1"/>
  <c r="BM946" i="1" s="1"/>
  <c r="BN945" i="1"/>
  <c r="BV945" i="1" l="1"/>
  <c r="BU945" i="1"/>
  <c r="BL947" i="1"/>
  <c r="BM947" i="1" s="1"/>
  <c r="BN946" i="1"/>
  <c r="BU946" i="1" l="1"/>
  <c r="BV946" i="1"/>
  <c r="BN947" i="1"/>
  <c r="BL948" i="1"/>
  <c r="BM948" i="1" s="1"/>
  <c r="BV947" i="1" l="1"/>
  <c r="BU947" i="1"/>
  <c r="BL949" i="1"/>
  <c r="BM949" i="1" s="1"/>
  <c r="BN948" i="1"/>
  <c r="BU948" i="1" l="1"/>
  <c r="BV948" i="1"/>
  <c r="BL950" i="1"/>
  <c r="BM950" i="1" s="1"/>
  <c r="BN949" i="1"/>
  <c r="BV949" i="1" l="1"/>
  <c r="BU949" i="1"/>
  <c r="BL951" i="1"/>
  <c r="BM951" i="1" s="1"/>
  <c r="BN950" i="1"/>
  <c r="BU950" i="1" l="1"/>
  <c r="BV950" i="1"/>
  <c r="BN951" i="1"/>
  <c r="BL952" i="1"/>
  <c r="BM952" i="1" s="1"/>
  <c r="BV951" i="1" l="1"/>
  <c r="BU951" i="1"/>
  <c r="BL953" i="1"/>
  <c r="BM953" i="1" s="1"/>
  <c r="BN952" i="1"/>
  <c r="BU952" i="1" l="1"/>
  <c r="BV952" i="1"/>
  <c r="BL954" i="1"/>
  <c r="BM954" i="1" s="1"/>
  <c r="BN953" i="1"/>
  <c r="BV953" i="1" l="1"/>
  <c r="BU953" i="1"/>
  <c r="BN954" i="1"/>
  <c r="BL955" i="1"/>
  <c r="BM955" i="1" s="1"/>
  <c r="BU954" i="1" l="1"/>
  <c r="BV954" i="1"/>
  <c r="BL956" i="1"/>
  <c r="BM956" i="1" s="1"/>
  <c r="BN955" i="1"/>
  <c r="BV955" i="1" l="1"/>
  <c r="BU955" i="1"/>
  <c r="BL957" i="1"/>
  <c r="BM957" i="1" s="1"/>
  <c r="BN956" i="1"/>
  <c r="BU956" i="1" l="1"/>
  <c r="BV956" i="1"/>
  <c r="BL958" i="1"/>
  <c r="BM958" i="1" s="1"/>
  <c r="BN957" i="1"/>
  <c r="BV957" i="1" l="1"/>
  <c r="BU957" i="1"/>
  <c r="BN958" i="1"/>
  <c r="BL959" i="1"/>
  <c r="BM959" i="1" s="1"/>
  <c r="BU958" i="1" l="1"/>
  <c r="BV958" i="1"/>
  <c r="BL960" i="1"/>
  <c r="BM960" i="1" s="1"/>
  <c r="BN959" i="1"/>
  <c r="BV959" i="1" l="1"/>
  <c r="BU959" i="1"/>
  <c r="BL961" i="1"/>
  <c r="BM961" i="1" s="1"/>
  <c r="BN960" i="1"/>
  <c r="BU960" i="1" l="1"/>
  <c r="BV960" i="1"/>
  <c r="BL962" i="1"/>
  <c r="BM962" i="1" s="1"/>
  <c r="BN961" i="1"/>
  <c r="BV961" i="1" l="1"/>
  <c r="BU961" i="1"/>
  <c r="BN962" i="1"/>
  <c r="BL963" i="1"/>
  <c r="BM963" i="1" s="1"/>
  <c r="BU962" i="1" l="1"/>
  <c r="BV962" i="1"/>
  <c r="BL964" i="1"/>
  <c r="BM964" i="1" s="1"/>
  <c r="BN963" i="1"/>
  <c r="BV963" i="1" l="1"/>
  <c r="BU963" i="1"/>
  <c r="BL965" i="1"/>
  <c r="BM965" i="1" s="1"/>
  <c r="BN964" i="1"/>
  <c r="BU964" i="1" l="1"/>
  <c r="BV964" i="1"/>
  <c r="BL966" i="1"/>
  <c r="BM966" i="1" s="1"/>
  <c r="BN965" i="1"/>
  <c r="BV965" i="1" l="1"/>
  <c r="BU965" i="1"/>
  <c r="BN966" i="1"/>
  <c r="BL967" i="1"/>
  <c r="BM967" i="1" s="1"/>
  <c r="BU966" i="1" l="1"/>
  <c r="BV966" i="1"/>
  <c r="BL968" i="1"/>
  <c r="BM968" i="1" s="1"/>
  <c r="BN967" i="1"/>
  <c r="BV967" i="1" l="1"/>
  <c r="BU967" i="1"/>
  <c r="BL969" i="1"/>
  <c r="BM969" i="1" s="1"/>
  <c r="BN968" i="1"/>
  <c r="BU968" i="1" l="1"/>
  <c r="BV968" i="1"/>
  <c r="BL970" i="1"/>
  <c r="BM970" i="1" s="1"/>
  <c r="BN969" i="1"/>
  <c r="BV969" i="1" l="1"/>
  <c r="BU969" i="1"/>
  <c r="BN970" i="1"/>
  <c r="BL971" i="1"/>
  <c r="BM971" i="1" s="1"/>
  <c r="BU970" i="1" l="1"/>
  <c r="BV970" i="1"/>
  <c r="BL972" i="1"/>
  <c r="BM972" i="1" s="1"/>
  <c r="BN971" i="1"/>
  <c r="BV971" i="1" l="1"/>
  <c r="BU971" i="1"/>
  <c r="BL973" i="1"/>
  <c r="BM973" i="1" s="1"/>
  <c r="BN972" i="1"/>
  <c r="BU972" i="1" l="1"/>
  <c r="BV972" i="1"/>
  <c r="BL974" i="1"/>
  <c r="BM974" i="1" s="1"/>
  <c r="BN973" i="1"/>
  <c r="BV973" i="1" l="1"/>
  <c r="BU973" i="1"/>
  <c r="BN974" i="1"/>
  <c r="BL975" i="1"/>
  <c r="BM975" i="1" s="1"/>
  <c r="BU974" i="1" l="1"/>
  <c r="BV974" i="1"/>
  <c r="BL976" i="1"/>
  <c r="BM976" i="1" s="1"/>
  <c r="BN975" i="1"/>
  <c r="BV975" i="1" l="1"/>
  <c r="BU975" i="1"/>
  <c r="BL977" i="1"/>
  <c r="BM977" i="1" s="1"/>
  <c r="BN976" i="1"/>
  <c r="BU976" i="1" l="1"/>
  <c r="BV976" i="1"/>
  <c r="BL978" i="1"/>
  <c r="BM978" i="1" s="1"/>
  <c r="BN977" i="1"/>
  <c r="BV977" i="1" l="1"/>
  <c r="BU977" i="1"/>
  <c r="BN978" i="1"/>
  <c r="BL979" i="1"/>
  <c r="BM979" i="1" s="1"/>
  <c r="BU978" i="1" l="1"/>
  <c r="BV978" i="1"/>
  <c r="BL980" i="1"/>
  <c r="BM980" i="1" s="1"/>
  <c r="BN979" i="1"/>
  <c r="BV979" i="1" l="1"/>
  <c r="BU979" i="1"/>
  <c r="BL981" i="1"/>
  <c r="BM981" i="1" s="1"/>
  <c r="BN980" i="1"/>
  <c r="BU980" i="1" l="1"/>
  <c r="BV980" i="1"/>
  <c r="BL982" i="1"/>
  <c r="BM982" i="1" s="1"/>
  <c r="BN981" i="1"/>
  <c r="BV981" i="1" l="1"/>
  <c r="BU981" i="1"/>
  <c r="BN982" i="1"/>
  <c r="BL983" i="1"/>
  <c r="BM983" i="1" s="1"/>
  <c r="BU982" i="1" l="1"/>
  <c r="BV982" i="1"/>
  <c r="BL984" i="1"/>
  <c r="BM984" i="1" s="1"/>
  <c r="BN983" i="1"/>
  <c r="BV983" i="1" l="1"/>
  <c r="BU983" i="1"/>
  <c r="BL985" i="1"/>
  <c r="BM985" i="1" s="1"/>
  <c r="BN984" i="1"/>
  <c r="BU984" i="1" l="1"/>
  <c r="BV984" i="1"/>
  <c r="BL986" i="1"/>
  <c r="BM986" i="1" s="1"/>
  <c r="BN985" i="1"/>
  <c r="BV985" i="1" l="1"/>
  <c r="BU985" i="1"/>
  <c r="BN986" i="1"/>
  <c r="BL987" i="1"/>
  <c r="BM987" i="1" s="1"/>
  <c r="BU986" i="1" l="1"/>
  <c r="BV986" i="1"/>
  <c r="BL988" i="1"/>
  <c r="BM988" i="1" s="1"/>
  <c r="BN987" i="1"/>
  <c r="BV987" i="1" l="1"/>
  <c r="BU987" i="1"/>
  <c r="BL989" i="1"/>
  <c r="BM989" i="1" s="1"/>
  <c r="BN988" i="1"/>
  <c r="BU988" i="1" l="1"/>
  <c r="BV988" i="1"/>
  <c r="BL990" i="1"/>
  <c r="BM990" i="1" s="1"/>
  <c r="BN989" i="1"/>
  <c r="BV989" i="1" l="1"/>
  <c r="BU989" i="1"/>
  <c r="BN990" i="1"/>
  <c r="BL991" i="1"/>
  <c r="BM991" i="1" s="1"/>
  <c r="BU990" i="1" l="1"/>
  <c r="BV990" i="1"/>
  <c r="BL992" i="1"/>
  <c r="BM992" i="1" s="1"/>
  <c r="BN991" i="1"/>
  <c r="BV991" i="1" l="1"/>
  <c r="BU991" i="1"/>
  <c r="BL993" i="1"/>
  <c r="BM993" i="1" s="1"/>
  <c r="BN992" i="1"/>
  <c r="BU992" i="1" l="1"/>
  <c r="BV992" i="1"/>
  <c r="BL994" i="1"/>
  <c r="BM994" i="1" s="1"/>
  <c r="BN993" i="1"/>
  <c r="BV993" i="1" l="1"/>
  <c r="BU993" i="1"/>
  <c r="BN994" i="1"/>
  <c r="BL995" i="1"/>
  <c r="BM995" i="1" s="1"/>
  <c r="BU994" i="1" l="1"/>
  <c r="BV994" i="1"/>
  <c r="BL996" i="1"/>
  <c r="BM996" i="1" s="1"/>
  <c r="BN995" i="1"/>
  <c r="BV995" i="1" l="1"/>
  <c r="BU995" i="1"/>
  <c r="BL997" i="1"/>
  <c r="BM997" i="1" s="1"/>
  <c r="BN996" i="1"/>
  <c r="BU996" i="1" l="1"/>
  <c r="BV996" i="1"/>
  <c r="BL998" i="1"/>
  <c r="BM998" i="1" s="1"/>
  <c r="BN997" i="1"/>
  <c r="BV997" i="1" l="1"/>
  <c r="BU997" i="1"/>
  <c r="BN998" i="1"/>
  <c r="BL999" i="1"/>
  <c r="BM999" i="1" s="1"/>
  <c r="BU998" i="1" l="1"/>
  <c r="BV998" i="1"/>
  <c r="BL1000" i="1"/>
  <c r="BM1000" i="1" s="1"/>
  <c r="BN999" i="1"/>
  <c r="BV999" i="1" l="1"/>
  <c r="BU999" i="1"/>
  <c r="BL1001" i="1"/>
  <c r="BM1001" i="1" s="1"/>
  <c r="BN1000" i="1"/>
  <c r="BU1000" i="1" l="1"/>
  <c r="BV1000" i="1"/>
  <c r="BL1002" i="1"/>
  <c r="BM1002" i="1" s="1"/>
  <c r="BN1001" i="1"/>
  <c r="BV1001" i="1" l="1"/>
  <c r="BU1001" i="1"/>
  <c r="BN1002" i="1"/>
  <c r="BL1003" i="1"/>
  <c r="BM1003" i="1" s="1"/>
  <c r="BU1002" i="1" l="1"/>
  <c r="BV1002" i="1"/>
  <c r="BL1004" i="1"/>
  <c r="BM1004" i="1" s="1"/>
  <c r="BN1003" i="1"/>
  <c r="BV1003" i="1" l="1"/>
  <c r="BU1003" i="1"/>
  <c r="BL1005" i="1"/>
  <c r="BM1005" i="1" s="1"/>
  <c r="BN1004" i="1"/>
  <c r="BU1004" i="1" l="1"/>
  <c r="BV1004" i="1"/>
  <c r="BL1006" i="1"/>
  <c r="BM1006" i="1" s="1"/>
  <c r="BN1005" i="1"/>
  <c r="BV1005" i="1" l="1"/>
  <c r="BU1005" i="1"/>
  <c r="BN1006" i="1"/>
  <c r="BL1007" i="1"/>
  <c r="BM1007" i="1" s="1"/>
  <c r="BU1006" i="1" l="1"/>
  <c r="BV1006" i="1"/>
  <c r="BL1008" i="1"/>
  <c r="BM1008" i="1" s="1"/>
  <c r="BN1007" i="1"/>
  <c r="BV1007" i="1" l="1"/>
  <c r="BU1007" i="1"/>
  <c r="BL1009" i="1"/>
  <c r="BN1008" i="1"/>
  <c r="BU1008" i="1" l="1"/>
  <c r="BV1008" i="1"/>
  <c r="BM1009" i="1"/>
  <c r="BN1009" i="1" s="1"/>
  <c r="BL1010" i="1"/>
  <c r="BV1009" i="1" l="1"/>
  <c r="BU1009" i="1"/>
  <c r="BM1010" i="1"/>
  <c r="BN1010" i="1" s="1"/>
  <c r="BO5" i="1"/>
  <c r="BU1010" i="1" l="1"/>
  <c r="BV1010" i="1"/>
</calcChain>
</file>

<file path=xl/sharedStrings.xml><?xml version="1.0" encoding="utf-8"?>
<sst xmlns="http://schemas.openxmlformats.org/spreadsheetml/2006/main" count="112" uniqueCount="74">
  <si>
    <t>address</t>
  </si>
  <si>
    <t>decimal</t>
  </si>
  <si>
    <t>hex</t>
  </si>
  <si>
    <t>binary</t>
  </si>
  <si>
    <t>FSR=</t>
  </si>
  <si>
    <t>FSC=</t>
  </si>
  <si>
    <t>Lux</t>
  </si>
  <si>
    <t>Average</t>
  </si>
  <si>
    <t>Noise</t>
  </si>
  <si>
    <t>Pk-Pk</t>
  </si>
  <si>
    <t>Device Registers</t>
  </si>
  <si>
    <t>Command Word</t>
  </si>
  <si>
    <t>Datasheet: ISL29020</t>
  </si>
  <si>
    <t>0x88</t>
  </si>
  <si>
    <t>0x8A</t>
  </si>
  <si>
    <t>Addr=</t>
  </si>
  <si>
    <t>Code=</t>
  </si>
  <si>
    <t>Datasheet: ISL29147</t>
  </si>
  <si>
    <t>Prx En</t>
  </si>
  <si>
    <t>IRDR=</t>
  </si>
  <si>
    <t>Sleep Time=</t>
  </si>
  <si>
    <t>Proximity Data</t>
  </si>
  <si>
    <t>Duty Cycle=</t>
  </si>
  <si>
    <t>Proximity</t>
  </si>
  <si>
    <t>Toggle Start</t>
  </si>
  <si>
    <t>%/FSR</t>
  </si>
  <si>
    <t>%/Val</t>
  </si>
  <si>
    <t>dY/dX</t>
  </si>
  <si>
    <t>Filter Wheels</t>
  </si>
  <si>
    <t>Meter</t>
  </si>
  <si>
    <t>DUT</t>
  </si>
  <si>
    <t>Pulse Generator</t>
  </si>
  <si>
    <t>VOS</t>
  </si>
  <si>
    <t>Meas</t>
  </si>
  <si>
    <t>Step</t>
  </si>
  <si>
    <t>m</t>
  </si>
  <si>
    <t>b</t>
  </si>
  <si>
    <t>gMean</t>
  </si>
  <si>
    <t>Start</t>
  </si>
  <si>
    <t>Stop</t>
  </si>
  <si>
    <t>%/mv</t>
  </si>
  <si>
    <t>nSamp</t>
  </si>
  <si>
    <t>WID</t>
  </si>
  <si>
    <t>INL</t>
  </si>
  <si>
    <r>
      <t>ND</t>
    </r>
    <r>
      <rPr>
        <sz val="11"/>
        <color theme="1"/>
        <rFont val="Calibri"/>
        <family val="2"/>
      </rPr>
      <t>±</t>
    </r>
  </si>
  <si>
    <t>xRange</t>
  </si>
  <si>
    <t>%/us</t>
  </si>
  <si>
    <r>
      <t>ND</t>
    </r>
    <r>
      <rPr>
        <vertAlign val="subscript"/>
        <sz val="16"/>
        <color theme="1"/>
        <rFont val="Calibri"/>
        <family val="2"/>
        <scheme val="minor"/>
      </rPr>
      <t>IDX</t>
    </r>
  </si>
  <si>
    <t>OD</t>
  </si>
  <si>
    <t>Min</t>
  </si>
  <si>
    <t>Max</t>
  </si>
  <si>
    <t>Δ</t>
  </si>
  <si>
    <t>Down</t>
  </si>
  <si>
    <t>Up</t>
  </si>
  <si>
    <t>ENOB</t>
  </si>
  <si>
    <t>Target</t>
  </si>
  <si>
    <t>ND</t>
  </si>
  <si>
    <t>LM</t>
  </si>
  <si>
    <t>Final</t>
  </si>
  <si>
    <t>FSR%</t>
  </si>
  <si>
    <t>FSC</t>
  </si>
  <si>
    <t>gStep</t>
  </si>
  <si>
    <t>FSR</t>
  </si>
  <si>
    <t>Sample</t>
  </si>
  <si>
    <t>MIN</t>
  </si>
  <si>
    <t>dB</t>
  </si>
  <si>
    <t>%/val/mv</t>
  </si>
  <si>
    <t>Fit</t>
  </si>
  <si>
    <t>Error</t>
  </si>
  <si>
    <r>
      <rPr>
        <b/>
        <sz val="11"/>
        <color theme="1"/>
        <rFont val="Calibri"/>
        <family val="2"/>
        <scheme val="minor"/>
      </rPr>
      <t>Vos Coeff</t>
    </r>
    <r>
      <rPr>
        <sz val="11"/>
        <color theme="1"/>
        <rFont val="Calibri"/>
        <family val="2"/>
        <scheme val="minor"/>
      </rPr>
      <t>icients</t>
    </r>
  </si>
  <si>
    <t>dVOS</t>
  </si>
  <si>
    <t>Max Step</t>
  </si>
  <si>
    <t>Factor</t>
  </si>
  <si>
    <t>SQRT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</si>
</sst>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%"/>
    <numFmt numFmtId="165" formatCode="0.0%"/>
    <numFmt numFmtId="166" formatCode="0.0"/>
    <numFmt numFmtId="167" formatCode="0.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vertAlign val="subscript"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right" vertical="center"/>
    </xf>
    <xf numFmtId="0" fontId="0" fillId="0" borderId="23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0" borderId="10" xfId="0" applyNumberFormat="1" applyBorder="1" applyAlignment="1">
      <alignment horizontal="center"/>
    </xf>
    <xf numFmtId="165" fontId="0" fillId="0" borderId="30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/>
    </xf>
    <xf numFmtId="10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12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2" fontId="0" fillId="0" borderId="37" xfId="0" applyNumberFormat="1" applyBorder="1" applyAlignment="1">
      <alignment horizontal="center" vertical="center"/>
    </xf>
    <xf numFmtId="2" fontId="0" fillId="0" borderId="38" xfId="0" applyNumberForma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2" fontId="0" fillId="0" borderId="24" xfId="0" applyNumberFormat="1" applyBorder="1" applyAlignment="1">
      <alignment horizontal="center" vertical="center"/>
    </xf>
    <xf numFmtId="48" fontId="0" fillId="0" borderId="0" xfId="0" applyNumberFormat="1" applyAlignment="1">
      <alignment horizontal="center" vertical="center"/>
    </xf>
    <xf numFmtId="2" fontId="0" fillId="0" borderId="40" xfId="0" applyNumberFormat="1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2" fillId="0" borderId="0" xfId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3" xfId="0" applyBorder="1" applyAlignment="1">
      <alignment horizontal="right" vertical="center"/>
    </xf>
    <xf numFmtId="0" fontId="0" fillId="0" borderId="34" xfId="0" applyBorder="1" applyAlignment="1">
      <alignment horizontal="right" vertical="center"/>
    </xf>
    <xf numFmtId="2" fontId="0" fillId="0" borderId="15" xfId="0" applyNumberFormat="1" applyBorder="1" applyAlignment="1">
      <alignment horizontal="center" vertical="center"/>
    </xf>
    <xf numFmtId="2" fontId="0" fillId="0" borderId="16" xfId="0" applyNumberFormat="1" applyBorder="1" applyAlignment="1">
      <alignment horizontal="center" vertical="center"/>
    </xf>
    <xf numFmtId="2" fontId="0" fillId="0" borderId="32" xfId="0" applyNumberForma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1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2" borderId="26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'ISL29020'!$H$14:$M$14</c:f>
          <c:strCache>
            <c:ptCount val="6"/>
            <c:pt idx="0">
              <c:v>ISL29020 Samples: FSC=65535 FSR=1000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'ISL29020'!$D$15</c:f>
              <c:strCache>
                <c:ptCount val="1"/>
                <c:pt idx="0">
                  <c:v>Lux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yVal>
            <c:numRef>
              <c:f>[0]!samples</c:f>
              <c:numCache>
                <c:formatCode>General</c:formatCode>
                <c:ptCount val="32"/>
                <c:pt idx="0">
                  <c:v>4.5777065690089262E-2</c:v>
                </c:pt>
                <c:pt idx="1">
                  <c:v>4.5777065690089262E-2</c:v>
                </c:pt>
                <c:pt idx="2">
                  <c:v>4.5777065690089262E-2</c:v>
                </c:pt>
                <c:pt idx="3">
                  <c:v>4.5777065690089262E-2</c:v>
                </c:pt>
                <c:pt idx="4">
                  <c:v>4.5777065690089262E-2</c:v>
                </c:pt>
                <c:pt idx="5">
                  <c:v>4.5777065690089262E-2</c:v>
                </c:pt>
                <c:pt idx="6">
                  <c:v>4.5777065690089262E-2</c:v>
                </c:pt>
                <c:pt idx="7">
                  <c:v>4.5777065690089262E-2</c:v>
                </c:pt>
                <c:pt idx="8">
                  <c:v>4.5777065690089262E-2</c:v>
                </c:pt>
                <c:pt idx="9">
                  <c:v>4.5777065690089262E-2</c:v>
                </c:pt>
                <c:pt idx="10">
                  <c:v>4.5777065690089262E-2</c:v>
                </c:pt>
                <c:pt idx="11">
                  <c:v>4.5777065690089262E-2</c:v>
                </c:pt>
                <c:pt idx="12">
                  <c:v>4.5777065690089262E-2</c:v>
                </c:pt>
                <c:pt idx="13">
                  <c:v>4.5777065690089262E-2</c:v>
                </c:pt>
                <c:pt idx="14">
                  <c:v>4.5777065690089262E-2</c:v>
                </c:pt>
                <c:pt idx="15">
                  <c:v>4.5777065690089262E-2</c:v>
                </c:pt>
                <c:pt idx="16">
                  <c:v>4.5777065690089262E-2</c:v>
                </c:pt>
                <c:pt idx="17">
                  <c:v>4.5777065690089262E-2</c:v>
                </c:pt>
                <c:pt idx="18">
                  <c:v>4.5777065690089262E-2</c:v>
                </c:pt>
                <c:pt idx="19">
                  <c:v>4.5777065690089262E-2</c:v>
                </c:pt>
                <c:pt idx="20">
                  <c:v>4.5777065690089262E-2</c:v>
                </c:pt>
                <c:pt idx="21">
                  <c:v>4.5777065690089262E-2</c:v>
                </c:pt>
                <c:pt idx="22">
                  <c:v>4.5777065690089262E-2</c:v>
                </c:pt>
                <c:pt idx="23">
                  <c:v>4.5777065690089262E-2</c:v>
                </c:pt>
                <c:pt idx="24">
                  <c:v>4.5777065690089262E-2</c:v>
                </c:pt>
                <c:pt idx="25">
                  <c:v>4.5777065690089262E-2</c:v>
                </c:pt>
                <c:pt idx="26">
                  <c:v>1.5259021896696421E-2</c:v>
                </c:pt>
                <c:pt idx="27">
                  <c:v>1.5259021896696421E-2</c:v>
                </c:pt>
                <c:pt idx="28">
                  <c:v>3.0518043793392843E-2</c:v>
                </c:pt>
                <c:pt idx="29">
                  <c:v>4.5777065690089262E-2</c:v>
                </c:pt>
                <c:pt idx="30">
                  <c:v>4.5777065690089262E-2</c:v>
                </c:pt>
                <c:pt idx="31">
                  <c:v>4.5777065690089262E-2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5904"/>
        <c:axId val="383964136"/>
      </c:scatterChart>
      <c:valAx>
        <c:axId val="383955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4136"/>
        <c:crosses val="autoZero"/>
        <c:crossBetween val="midCat"/>
      </c:valAx>
      <c:valAx>
        <c:axId val="383964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5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'ISL29020'!$Q$14:$V$14</c:f>
          <c:strCache>
            <c:ptCount val="6"/>
            <c:pt idx="0">
              <c:v>Histogram: Avg=0.04 ± 0.01(3σ)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8575">
              <a:noFill/>
            </a:ln>
            <a:effectLst/>
          </c:spPr>
          <c:invertIfNegative val="0"/>
          <c:cat>
            <c:numRef>
              <c:f>'ISL29020'!$Q$19:$Q$24</c:f>
              <c:numCache>
                <c:formatCode>0.000</c:formatCode>
                <c:ptCount val="6"/>
                <c:pt idx="0">
                  <c:v>3.5535988587755321E-2</c:v>
                </c:pt>
                <c:pt idx="1">
                  <c:v>3.9464416053242884E-2</c:v>
                </c:pt>
                <c:pt idx="2">
                  <c:v>4.3392843518730448E-2</c:v>
                </c:pt>
                <c:pt idx="3">
                  <c:v>4.7321270984218011E-2</c:v>
                </c:pt>
                <c:pt idx="4">
                  <c:v>5.1249698449705575E-2</c:v>
                </c:pt>
                <c:pt idx="5">
                  <c:v>5.5178125915193124E-2</c:v>
                </c:pt>
              </c:numCache>
            </c:numRef>
          </c:cat>
          <c:val>
            <c:numRef>
              <c:f>'ISL29020'!$R$19:$R$24</c:f>
              <c:numCache>
                <c:formatCode>General</c:formatCode>
                <c:ptCount val="6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29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3951984"/>
        <c:axId val="383954336"/>
      </c:barChart>
      <c:catAx>
        <c:axId val="383951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 Measured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4336"/>
        <c:crosses val="autoZero"/>
        <c:auto val="1"/>
        <c:lblAlgn val="ctr"/>
        <c:lblOffset val="100"/>
        <c:tickMarkSkip val="1"/>
        <c:noMultiLvlLbl val="0"/>
      </c:catAx>
      <c:valAx>
        <c:axId val="38395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#/samples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1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1905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</a:t>
            </a:r>
            <a:r>
              <a:rPr lang="en-US" baseline="0"/>
              <a:t> Lux vs. V</a:t>
            </a:r>
            <a:r>
              <a:rPr lang="en-US" sz="1800" baseline="-25000"/>
              <a:t>os</a:t>
            </a:r>
            <a:r>
              <a:rPr lang="en-US" baseline="0"/>
              <a:t>: ND</a:t>
            </a:r>
            <a:r>
              <a:rPr lang="en-US" sz="1800" baseline="-25000"/>
              <a:t>IDX</a:t>
            </a:r>
            <a:r>
              <a:rPr lang="en-US" baseline="0"/>
              <a:t>=3, WID=50%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75115952971632"/>
          <c:y val="0.20097485905674903"/>
          <c:w val="0.69007248409017363"/>
          <c:h val="0.580558766379916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'ISL29020'!$Z$10</c:f>
              <c:strCache>
                <c:ptCount val="1"/>
                <c:pt idx="0">
                  <c:v>Meas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'ISL29020'!$Z$11:$Z$71</c:f>
              <c:numCache>
                <c:formatCode>0.00</c:formatCode>
                <c:ptCount val="61"/>
                <c:pt idx="0">
                  <c:v>102.77046608924866</c:v>
                </c:pt>
                <c:pt idx="1">
                  <c:v>119.23352003097534</c:v>
                </c:pt>
                <c:pt idx="2">
                  <c:v>134.09819030761719</c:v>
                </c:pt>
                <c:pt idx="3">
                  <c:v>148.75400924682617</c:v>
                </c:pt>
                <c:pt idx="4">
                  <c:v>162.07608413696289</c:v>
                </c:pt>
                <c:pt idx="5">
                  <c:v>174.83644485473633</c:v>
                </c:pt>
                <c:pt idx="6">
                  <c:v>187.0016975402832</c:v>
                </c:pt>
                <c:pt idx="7">
                  <c:v>198.75973129272461</c:v>
                </c:pt>
                <c:pt idx="8">
                  <c:v>209.09580612182617</c:v>
                </c:pt>
                <c:pt idx="9">
                  <c:v>219.7981071472168</c:v>
                </c:pt>
                <c:pt idx="10">
                  <c:v>231.13269424438477</c:v>
                </c:pt>
                <c:pt idx="11">
                  <c:v>240.72394943237305</c:v>
                </c:pt>
                <c:pt idx="12">
                  <c:v>250.8454475402832</c:v>
                </c:pt>
                <c:pt idx="13">
                  <c:v>261.32411193847656</c:v>
                </c:pt>
                <c:pt idx="14">
                  <c:v>271.70405578613281</c:v>
                </c:pt>
                <c:pt idx="15">
                  <c:v>282.25566101074219</c:v>
                </c:pt>
                <c:pt idx="16">
                  <c:v>292.79868316650391</c:v>
                </c:pt>
                <c:pt idx="17">
                  <c:v>303.36986923217773</c:v>
                </c:pt>
                <c:pt idx="18">
                  <c:v>314.0273323059082</c:v>
                </c:pt>
                <c:pt idx="19">
                  <c:v>324.40775299072266</c:v>
                </c:pt>
                <c:pt idx="20">
                  <c:v>331.08407211303711</c:v>
                </c:pt>
                <c:pt idx="21">
                  <c:v>341.70243453979492</c:v>
                </c:pt>
                <c:pt idx="22">
                  <c:v>352.65362930297852</c:v>
                </c:pt>
                <c:pt idx="23">
                  <c:v>363.56146240234375</c:v>
                </c:pt>
                <c:pt idx="24">
                  <c:v>374.50216674804687</c:v>
                </c:pt>
                <c:pt idx="25">
                  <c:v>384.94600677490234</c:v>
                </c:pt>
                <c:pt idx="26">
                  <c:v>396.40029525756836</c:v>
                </c:pt>
                <c:pt idx="27">
                  <c:v>407.36677932739258</c:v>
                </c:pt>
                <c:pt idx="28">
                  <c:v>417.57935333251953</c:v>
                </c:pt>
                <c:pt idx="29">
                  <c:v>427.91447448730469</c:v>
                </c:pt>
                <c:pt idx="30">
                  <c:v>437.78897094726562</c:v>
                </c:pt>
                <c:pt idx="31">
                  <c:v>446.83612442016602</c:v>
                </c:pt>
                <c:pt idx="32">
                  <c:v>457.22897338867187</c:v>
                </c:pt>
                <c:pt idx="33">
                  <c:v>466.74342727661133</c:v>
                </c:pt>
                <c:pt idx="34">
                  <c:v>475.92269515991211</c:v>
                </c:pt>
                <c:pt idx="35">
                  <c:v>484.43149948120117</c:v>
                </c:pt>
                <c:pt idx="36">
                  <c:v>492.4014778137207</c:v>
                </c:pt>
                <c:pt idx="37">
                  <c:v>502.65505981445312</c:v>
                </c:pt>
                <c:pt idx="38">
                  <c:v>511.96688842773437</c:v>
                </c:pt>
                <c:pt idx="39">
                  <c:v>517.98894119262695</c:v>
                </c:pt>
                <c:pt idx="40">
                  <c:v>528.4962158203125</c:v>
                </c:pt>
                <c:pt idx="41">
                  <c:v>537.36693954467773</c:v>
                </c:pt>
                <c:pt idx="42">
                  <c:v>545.94107055664062</c:v>
                </c:pt>
                <c:pt idx="43">
                  <c:v>554.44135284423828</c:v>
                </c:pt>
                <c:pt idx="44">
                  <c:v>562.52529525756836</c:v>
                </c:pt>
                <c:pt idx="45">
                  <c:v>570.52149963378906</c:v>
                </c:pt>
                <c:pt idx="46">
                  <c:v>578.66170883178711</c:v>
                </c:pt>
                <c:pt idx="47">
                  <c:v>586.19681167602539</c:v>
                </c:pt>
                <c:pt idx="48">
                  <c:v>593.84534072875977</c:v>
                </c:pt>
                <c:pt idx="49">
                  <c:v>601.21164321899414</c:v>
                </c:pt>
                <c:pt idx="50">
                  <c:v>608.5293083190918</c:v>
                </c:pt>
                <c:pt idx="51">
                  <c:v>614.56904983520508</c:v>
                </c:pt>
                <c:pt idx="52">
                  <c:v>621.56097412109375</c:v>
                </c:pt>
                <c:pt idx="53">
                  <c:v>627.52585220336914</c:v>
                </c:pt>
                <c:pt idx="54">
                  <c:v>631.87514495849609</c:v>
                </c:pt>
                <c:pt idx="55">
                  <c:v>637.24534606933594</c:v>
                </c:pt>
                <c:pt idx="56" formatCode="General">
                  <c:v>642.25130462646484</c:v>
                </c:pt>
                <c:pt idx="57" formatCode="General">
                  <c:v>646.55052947998047</c:v>
                </c:pt>
                <c:pt idx="58" formatCode="General">
                  <c:v>648.84506988525391</c:v>
                </c:pt>
                <c:pt idx="59" formatCode="General">
                  <c:v>651.7972297668457</c:v>
                </c:pt>
                <c:pt idx="60" formatCode="General">
                  <c:v>654.20293426513672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8648"/>
        <c:axId val="383956296"/>
      </c:scatterChart>
      <c:scatterChart>
        <c:scatterStyle val="lineMarker"/>
        <c:varyColors val="0"/>
        <c:ser>
          <c:idx val="1"/>
          <c:order val="1"/>
          <c:tx>
            <c:strRef>
              <c:f>'ISL29020'!$AA$10</c:f>
              <c:strCache>
                <c:ptCount val="1"/>
                <c:pt idx="0">
                  <c:v>Noise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'ISL29020'!$AA$11:$AA$71</c:f>
              <c:numCache>
                <c:formatCode>0.00</c:formatCode>
                <c:ptCount val="61"/>
                <c:pt idx="0">
                  <c:v>0.19269626442728907</c:v>
                </c:pt>
                <c:pt idx="1">
                  <c:v>9.1868390429707292E-2</c:v>
                </c:pt>
                <c:pt idx="2">
                  <c:v>8.2582209245646868E-2</c:v>
                </c:pt>
                <c:pt idx="3">
                  <c:v>5.9694542023181939E-2</c:v>
                </c:pt>
                <c:pt idx="4">
                  <c:v>4.5371629006837083E-2</c:v>
                </c:pt>
                <c:pt idx="5">
                  <c:v>3.849984344843306E-2</c:v>
                </c:pt>
                <c:pt idx="6">
                  <c:v>3.2518067248168955E-2</c:v>
                </c:pt>
                <c:pt idx="7">
                  <c:v>2.481956854182945E-2</c:v>
                </c:pt>
                <c:pt idx="8">
                  <c:v>5.2855317231612499E-2</c:v>
                </c:pt>
                <c:pt idx="9">
                  <c:v>3.3518250965047347E-2</c:v>
                </c:pt>
                <c:pt idx="10">
                  <c:v>1.8689626923076054E-2</c:v>
                </c:pt>
                <c:pt idx="11">
                  <c:v>9.7826316822962767E-3</c:v>
                </c:pt>
                <c:pt idx="12">
                  <c:v>1.2176263509838694E-2</c:v>
                </c:pt>
                <c:pt idx="13">
                  <c:v>1.1377665005756564E-2</c:v>
                </c:pt>
                <c:pt idx="14">
                  <c:v>8.2763781203501613E-3</c:v>
                </c:pt>
                <c:pt idx="15">
                  <c:v>7.9669810499679097E-3</c:v>
                </c:pt>
                <c:pt idx="16">
                  <c:v>8.6359040740973426E-3</c:v>
                </c:pt>
                <c:pt idx="17">
                  <c:v>5.5682364815977268E-3</c:v>
                </c:pt>
                <c:pt idx="18">
                  <c:v>7.5603164495899825E-3</c:v>
                </c:pt>
                <c:pt idx="19">
                  <c:v>9.5484866455918284E-3</c:v>
                </c:pt>
                <c:pt idx="20">
                  <c:v>7.6304857812256738E-3</c:v>
                </c:pt>
                <c:pt idx="21">
                  <c:v>5.9056611238525302E-3</c:v>
                </c:pt>
                <c:pt idx="22">
                  <c:v>6.5895016182012369E-3</c:v>
                </c:pt>
                <c:pt idx="23">
                  <c:v>5.4520870760270358E-3</c:v>
                </c:pt>
                <c:pt idx="24">
                  <c:v>6.6013009165092366E-3</c:v>
                </c:pt>
                <c:pt idx="25">
                  <c:v>5.3307647555565652E-3</c:v>
                </c:pt>
                <c:pt idx="26">
                  <c:v>5.5581975811803365E-3</c:v>
                </c:pt>
                <c:pt idx="27">
                  <c:v>4.75039672057291E-3</c:v>
                </c:pt>
                <c:pt idx="28">
                  <c:v>5.0811557070806392E-3</c:v>
                </c:pt>
                <c:pt idx="29">
                  <c:v>5.4041922693458949E-3</c:v>
                </c:pt>
                <c:pt idx="30">
                  <c:v>5.154995066318808E-3</c:v>
                </c:pt>
                <c:pt idx="31">
                  <c:v>1.2542874946417589E-2</c:v>
                </c:pt>
                <c:pt idx="32">
                  <c:v>1.2514613291520087E-2</c:v>
                </c:pt>
                <c:pt idx="33">
                  <c:v>4.2847302770622746E-3</c:v>
                </c:pt>
                <c:pt idx="34">
                  <c:v>6.4551967921443552E-3</c:v>
                </c:pt>
                <c:pt idx="35">
                  <c:v>5.553353389232317E-3</c:v>
                </c:pt>
                <c:pt idx="36">
                  <c:v>1.4451751950744459E-2</c:v>
                </c:pt>
                <c:pt idx="37">
                  <c:v>8.5860758878206055E-3</c:v>
                </c:pt>
                <c:pt idx="38">
                  <c:v>6.1893097926603736E-3</c:v>
                </c:pt>
                <c:pt idx="39">
                  <c:v>7.0621176921854042E-3</c:v>
                </c:pt>
                <c:pt idx="40">
                  <c:v>5.0007835205437374E-3</c:v>
                </c:pt>
                <c:pt idx="41">
                  <c:v>1.0253115987864929E-2</c:v>
                </c:pt>
                <c:pt idx="42">
                  <c:v>4.5819219859741366E-3</c:v>
                </c:pt>
                <c:pt idx="43">
                  <c:v>8.4947408243100011E-3</c:v>
                </c:pt>
                <c:pt idx="44">
                  <c:v>6.0411091349495448E-3</c:v>
                </c:pt>
                <c:pt idx="45">
                  <c:v>6.0454898642175155E-3</c:v>
                </c:pt>
                <c:pt idx="46">
                  <c:v>4.3157611226409837E-3</c:v>
                </c:pt>
                <c:pt idx="47">
                  <c:v>6.6319176861318763E-3</c:v>
                </c:pt>
                <c:pt idx="48">
                  <c:v>7.4251446371916465E-3</c:v>
                </c:pt>
                <c:pt idx="49">
                  <c:v>4.9903943939457445E-3</c:v>
                </c:pt>
                <c:pt idx="50">
                  <c:v>9.0946991229356455E-3</c:v>
                </c:pt>
                <c:pt idx="51">
                  <c:v>5.8139845115415248E-3</c:v>
                </c:pt>
                <c:pt idx="52">
                  <c:v>6.7788489325431144E-3</c:v>
                </c:pt>
                <c:pt idx="53">
                  <c:v>7.9110269068393239E-3</c:v>
                </c:pt>
                <c:pt idx="54">
                  <c:v>9.5824170488588434E-3</c:v>
                </c:pt>
                <c:pt idx="55">
                  <c:v>3.4257679650074339E-3</c:v>
                </c:pt>
                <c:pt idx="56">
                  <c:v>4.7863263107364891E-3</c:v>
                </c:pt>
                <c:pt idx="57">
                  <c:v>3.7979872183467045E-3</c:v>
                </c:pt>
                <c:pt idx="58">
                  <c:v>6.8798663247397907E-3</c:v>
                </c:pt>
                <c:pt idx="59">
                  <c:v>4.0116544592734482E-3</c:v>
                </c:pt>
                <c:pt idx="60">
                  <c:v>5.5452542223479902E-3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'ISL29020'!$AB$10</c:f>
              <c:strCache>
                <c:ptCount val="1"/>
                <c:pt idx="0">
                  <c:v>INL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4706072699814E-2"/>
                  <c:y val="0.42147316678837904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'ISL29020'!$AB$11:$AB$71</c:f>
              <c:numCache>
                <c:formatCode>0.00</c:formatCode>
                <c:ptCount val="61"/>
                <c:pt idx="0">
                  <c:v>-0.26646688730766865</c:v>
                </c:pt>
                <c:pt idx="1">
                  <c:v>-0.20222602993454564</c:v>
                </c:pt>
                <c:pt idx="2">
                  <c:v>-0.15561765273053674</c:v>
                </c:pt>
                <c:pt idx="3">
                  <c:v>-0.11543646100578597</c:v>
                </c:pt>
                <c:pt idx="4">
                  <c:v>-8.7003096506138466E-2</c:v>
                </c:pt>
                <c:pt idx="5">
                  <c:v>-6.4422125108096528E-2</c:v>
                </c:pt>
                <c:pt idx="6">
                  <c:v>-4.7026762424724478E-2</c:v>
                </c:pt>
                <c:pt idx="7">
                  <c:v>-3.3195220932964675E-2</c:v>
                </c:pt>
                <c:pt idx="8">
                  <c:v>-2.718326522095782E-2</c:v>
                </c:pt>
                <c:pt idx="9">
                  <c:v>-2.0039977479339055E-2</c:v>
                </c:pt>
                <c:pt idx="10">
                  <c:v>-1.0762516812515832E-2</c:v>
                </c:pt>
                <c:pt idx="11">
                  <c:v>-9.3734857144408545E-3</c:v>
                </c:pt>
                <c:pt idx="12">
                  <c:v>-5.9862631984698433E-3</c:v>
                </c:pt>
                <c:pt idx="13">
                  <c:v>-1.4764436115368706E-3</c:v>
                </c:pt>
                <c:pt idx="14">
                  <c:v>2.357914809099082E-3</c:v>
                </c:pt>
                <c:pt idx="15">
                  <c:v>6.5486152107858686E-3</c:v>
                </c:pt>
                <c:pt idx="16">
                  <c:v>1.0439129626533594E-2</c:v>
                </c:pt>
                <c:pt idx="17">
                  <c:v>1.4180467455772394E-2</c:v>
                </c:pt>
                <c:pt idx="18">
                  <c:v>1.7974583333600247E-2</c:v>
                </c:pt>
                <c:pt idx="19">
                  <c:v>2.0673717083585563E-2</c:v>
                </c:pt>
                <c:pt idx="20">
                  <c:v>1.1897608860889752E-2</c:v>
                </c:pt>
                <c:pt idx="21">
                  <c:v>1.5322619228704371E-2</c:v>
                </c:pt>
                <c:pt idx="22">
                  <c:v>1.9524601215653581E-2</c:v>
                </c:pt>
                <c:pt idx="23">
                  <c:v>2.3383235896528909E-2</c:v>
                </c:pt>
                <c:pt idx="24">
                  <c:v>2.7134031343025722E-2</c:v>
                </c:pt>
                <c:pt idx="25">
                  <c:v>2.9368535661349338E-2</c:v>
                </c:pt>
                <c:pt idx="26">
                  <c:v>3.4130039680134949E-2</c:v>
                </c:pt>
                <c:pt idx="27">
                  <c:v>3.7422413412062427E-2</c:v>
                </c:pt>
                <c:pt idx="28">
                  <c:v>3.8686297683756532E-2</c:v>
                </c:pt>
                <c:pt idx="29">
                  <c:v>4.019059520735091E-2</c:v>
                </c:pt>
                <c:pt idx="30">
                  <c:v>4.0533192336412283E-2</c:v>
                </c:pt>
                <c:pt idx="31">
                  <c:v>3.8937234061646953E-2</c:v>
                </c:pt>
                <c:pt idx="32">
                  <c:v>4.0471490067103044E-2</c:v>
                </c:pt>
                <c:pt idx="33">
                  <c:v>3.9984573257573208E-2</c:v>
                </c:pt>
                <c:pt idx="34">
                  <c:v>3.8785936747482319E-2</c:v>
                </c:pt>
                <c:pt idx="35">
                  <c:v>3.6201142939594755E-2</c:v>
                </c:pt>
                <c:pt idx="36">
                  <c:v>3.2587816692858151E-2</c:v>
                </c:pt>
                <c:pt idx="37">
                  <c:v>3.3810210902262217E-2</c:v>
                </c:pt>
                <c:pt idx="38">
                  <c:v>3.3086114916744735E-2</c:v>
                </c:pt>
                <c:pt idx="39">
                  <c:v>2.5873470560849654E-2</c:v>
                </c:pt>
                <c:pt idx="40">
                  <c:v>2.764458812781867E-2</c:v>
                </c:pt>
                <c:pt idx="41">
                  <c:v>2.6227051546927838E-2</c:v>
                </c:pt>
                <c:pt idx="42">
                  <c:v>2.4302801244039829E-2</c:v>
                </c:pt>
                <c:pt idx="43">
                  <c:v>2.230876415754679E-2</c:v>
                </c:pt>
                <c:pt idx="44">
                  <c:v>1.9627694120432304E-2</c:v>
                </c:pt>
                <c:pt idx="45">
                  <c:v>1.6879645412870126E-2</c:v>
                </c:pt>
                <c:pt idx="46">
                  <c:v>1.4474190651500685E-2</c:v>
                </c:pt>
                <c:pt idx="47">
                  <c:v>1.1102640853658752E-2</c:v>
                </c:pt>
                <c:pt idx="48">
                  <c:v>8.0306998313217637E-3</c:v>
                </c:pt>
                <c:pt idx="49">
                  <c:v>4.5832099301676976E-3</c:v>
                </c:pt>
                <c:pt idx="50">
                  <c:v>1.1618147499246056E-3</c:v>
                </c:pt>
                <c:pt idx="51">
                  <c:v>-4.2264592769569731E-3</c:v>
                </c:pt>
                <c:pt idx="52">
                  <c:v>-7.9340673661726369E-3</c:v>
                </c:pt>
                <c:pt idx="53">
                  <c:v>-1.3147732935079648E-2</c:v>
                </c:pt>
                <c:pt idx="54">
                  <c:v>-2.0714077011223742E-2</c:v>
                </c:pt>
                <c:pt idx="55">
                  <c:v>-2.6504566839614441E-2</c:v>
                </c:pt>
                <c:pt idx="56">
                  <c:v>-3.2680491846938886E-2</c:v>
                </c:pt>
                <c:pt idx="57">
                  <c:v>-3.9734459625521579E-2</c:v>
                </c:pt>
                <c:pt idx="58">
                  <c:v>-4.9531693354302631E-2</c:v>
                </c:pt>
                <c:pt idx="59">
                  <c:v>-5.8113755912017062E-2</c:v>
                </c:pt>
                <c:pt idx="60">
                  <c:v>-6.7246023043423087E-2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2568"/>
        <c:axId val="383953552"/>
      </c:scatterChart>
      <c:valAx>
        <c:axId val="383958648"/>
        <c:scaling>
          <c:orientation val="minMax"/>
          <c:min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V</a:t>
                </a:r>
                <a:r>
                  <a:rPr lang="en-US" sz="1100" baseline="-25000"/>
                  <a:t>OS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6296"/>
        <c:crosses val="autoZero"/>
        <c:crossBetween val="midCat"/>
      </c:valAx>
      <c:valAx>
        <c:axId val="383956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8648"/>
        <c:crosses val="autoZero"/>
        <c:crossBetween val="midCat"/>
      </c:valAx>
      <c:valAx>
        <c:axId val="3839535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Noise(%/value) &amp; INL(1/value)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2568"/>
        <c:crosses val="max"/>
        <c:crossBetween val="midCat"/>
      </c:valAx>
      <c:valAx>
        <c:axId val="3839625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8395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3010915758817823"/>
          <c:y val="0.59474832086255769"/>
          <c:w val="0.13868514723330816"/>
          <c:h val="0.15650311712519233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DUT</a:t>
            </a:r>
            <a:r>
              <a:rPr lang="en-US" baseline="0"/>
              <a:t> Lux vs. WID: ND</a:t>
            </a:r>
            <a:r>
              <a:rPr lang="en-US" sz="1800" baseline="-25000"/>
              <a:t>IDX</a:t>
            </a:r>
            <a:r>
              <a:rPr lang="en-US" baseline="0"/>
              <a:t>=3, V</a:t>
            </a:r>
            <a:r>
              <a:rPr lang="en-US" sz="1800" baseline="-25000"/>
              <a:t>os</a:t>
            </a:r>
            <a:r>
              <a:rPr lang="en-US" baseline="0"/>
              <a:t>=1.14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'ISL29020'!$Z$10</c:f>
              <c:strCache>
                <c:ptCount val="1"/>
                <c:pt idx="0">
                  <c:v>Meas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4389286712872509"/>
                  <c:y val="0.6193494028191782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'ISL29020'!$AR$11:$AR$61</c:f>
              <c:numCache>
                <c:formatCode>General</c:formatCode>
                <c:ptCount val="51"/>
                <c:pt idx="0">
                  <c:v>517.84206008911133</c:v>
                </c:pt>
                <c:pt idx="1">
                  <c:v>518.75860214233398</c:v>
                </c:pt>
                <c:pt idx="2">
                  <c:v>519.7075080871582</c:v>
                </c:pt>
                <c:pt idx="3">
                  <c:v>520.70505142211914</c:v>
                </c:pt>
                <c:pt idx="4">
                  <c:v>522.01495552062988</c:v>
                </c:pt>
                <c:pt idx="5">
                  <c:v>522.93861770629883</c:v>
                </c:pt>
                <c:pt idx="6">
                  <c:v>524.05918502807617</c:v>
                </c:pt>
                <c:pt idx="7">
                  <c:v>524.99950790405273</c:v>
                </c:pt>
                <c:pt idx="8">
                  <c:v>525.92696571350098</c:v>
                </c:pt>
                <c:pt idx="9">
                  <c:v>526.8787841796875</c:v>
                </c:pt>
                <c:pt idx="10">
                  <c:v>527.70180511474609</c:v>
                </c:pt>
                <c:pt idx="11">
                  <c:v>528.45377731323242</c:v>
                </c:pt>
                <c:pt idx="12">
                  <c:v>529.24198913574219</c:v>
                </c:pt>
                <c:pt idx="13">
                  <c:v>529.98683547973633</c:v>
                </c:pt>
                <c:pt idx="14">
                  <c:v>530.70260238647461</c:v>
                </c:pt>
                <c:pt idx="15">
                  <c:v>531.42882537841797</c:v>
                </c:pt>
                <c:pt idx="16">
                  <c:v>532.01485824584961</c:v>
                </c:pt>
                <c:pt idx="17">
                  <c:v>532.74251174926758</c:v>
                </c:pt>
                <c:pt idx="18">
                  <c:v>533.36573791503906</c:v>
                </c:pt>
                <c:pt idx="19">
                  <c:v>534.03669357299805</c:v>
                </c:pt>
                <c:pt idx="20">
                  <c:v>534.64133834838867</c:v>
                </c:pt>
                <c:pt idx="21">
                  <c:v>535.2860221862793</c:v>
                </c:pt>
                <c:pt idx="22">
                  <c:v>535.93595123291016</c:v>
                </c:pt>
                <c:pt idx="23">
                  <c:v>536.51197052001953</c:v>
                </c:pt>
                <c:pt idx="24">
                  <c:v>537.12756729125977</c:v>
                </c:pt>
                <c:pt idx="25">
                  <c:v>537.6969108581543</c:v>
                </c:pt>
                <c:pt idx="26">
                  <c:v>538.35929870605469</c:v>
                </c:pt>
                <c:pt idx="27">
                  <c:v>538.86999130249023</c:v>
                </c:pt>
                <c:pt idx="28">
                  <c:v>539.44028854370117</c:v>
                </c:pt>
                <c:pt idx="29">
                  <c:v>540.05302429199219</c:v>
                </c:pt>
                <c:pt idx="30">
                  <c:v>540.48933029174805</c:v>
                </c:pt>
                <c:pt idx="31">
                  <c:v>541.153564453125</c:v>
                </c:pt>
                <c:pt idx="32">
                  <c:v>541.58987045288086</c:v>
                </c:pt>
                <c:pt idx="33">
                  <c:v>542.16547393798828</c:v>
                </c:pt>
                <c:pt idx="34">
                  <c:v>542.73577117919922</c:v>
                </c:pt>
                <c:pt idx="35">
                  <c:v>543.26124572753906</c:v>
                </c:pt>
                <c:pt idx="36">
                  <c:v>543.79768753051758</c:v>
                </c:pt>
                <c:pt idx="37">
                  <c:v>544.35177230834961</c:v>
                </c:pt>
                <c:pt idx="38">
                  <c:v>544.92350006103516</c:v>
                </c:pt>
                <c:pt idx="39">
                  <c:v>545.46709442138672</c:v>
                </c:pt>
                <c:pt idx="40">
                  <c:v>545.9520378112793</c:v>
                </c:pt>
                <c:pt idx="41">
                  <c:v>546.53050231933594</c:v>
                </c:pt>
                <c:pt idx="42">
                  <c:v>546.97634506225586</c:v>
                </c:pt>
                <c:pt idx="43">
                  <c:v>547.53519821166992</c:v>
                </c:pt>
                <c:pt idx="44">
                  <c:v>548.08928298950195</c:v>
                </c:pt>
                <c:pt idx="45">
                  <c:v>548.60426712036133</c:v>
                </c:pt>
                <c:pt idx="46">
                  <c:v>549.13641738891602</c:v>
                </c:pt>
                <c:pt idx="47">
                  <c:v>549.70719146728516</c:v>
                </c:pt>
                <c:pt idx="48">
                  <c:v>550.11256408691406</c:v>
                </c:pt>
                <c:pt idx="49">
                  <c:v>550.62802505493164</c:v>
                </c:pt>
                <c:pt idx="50">
                  <c:v>551.21548843383789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7864"/>
        <c:axId val="383959824"/>
      </c:scatterChart>
      <c:scatterChart>
        <c:scatterStyle val="lineMarker"/>
        <c:varyColors val="0"/>
        <c:ser>
          <c:idx val="1"/>
          <c:order val="1"/>
          <c:tx>
            <c:strRef>
              <c:f>'ISL29020'!$AS$10</c:f>
              <c:strCache>
                <c:ptCount val="1"/>
                <c:pt idx="0">
                  <c:v>Noise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'ISL29020'!$AS$11:$AS$61</c:f>
              <c:numCache>
                <c:formatCode>General</c:formatCode>
                <c:ptCount val="51"/>
                <c:pt idx="0">
                  <c:v>1.2880564355259303E-2</c:v>
                </c:pt>
                <c:pt idx="1">
                  <c:v>2.4566774802035049E-2</c:v>
                </c:pt>
                <c:pt idx="2">
                  <c:v>1.7346289913655395E-2</c:v>
                </c:pt>
                <c:pt idx="3">
                  <c:v>1.908790202569921E-2</c:v>
                </c:pt>
                <c:pt idx="4">
                  <c:v>2.1260171917972543E-2</c:v>
                </c:pt>
                <c:pt idx="5">
                  <c:v>1.6356058464767051E-2</c:v>
                </c:pt>
                <c:pt idx="6">
                  <c:v>1.87955987147869E-2</c:v>
                </c:pt>
                <c:pt idx="7">
                  <c:v>1.1537074035771857E-2</c:v>
                </c:pt>
                <c:pt idx="8">
                  <c:v>1.4155791546754974E-2</c:v>
                </c:pt>
                <c:pt idx="9">
                  <c:v>1.274765243073914E-2</c:v>
                </c:pt>
                <c:pt idx="10">
                  <c:v>9.5612121827490792E-3</c:v>
                </c:pt>
                <c:pt idx="11">
                  <c:v>1.1153484035281857E-2</c:v>
                </c:pt>
                <c:pt idx="12">
                  <c:v>8.8498201611028702E-3</c:v>
                </c:pt>
                <c:pt idx="13">
                  <c:v>9.9896239093894921E-3</c:v>
                </c:pt>
                <c:pt idx="14">
                  <c:v>7.5340313453839108E-3</c:v>
                </c:pt>
                <c:pt idx="15">
                  <c:v>8.6567160212660046E-3</c:v>
                </c:pt>
                <c:pt idx="16">
                  <c:v>8.2648013417748814E-3</c:v>
                </c:pt>
                <c:pt idx="17">
                  <c:v>9.5863521152054799E-3</c:v>
                </c:pt>
                <c:pt idx="18">
                  <c:v>9.4816218505325723E-3</c:v>
                </c:pt>
                <c:pt idx="19">
                  <c:v>8.001538618257701E-3</c:v>
                </c:pt>
                <c:pt idx="20">
                  <c:v>8.5690352874863776E-3</c:v>
                </c:pt>
                <c:pt idx="21">
                  <c:v>7.8870486623558913E-3</c:v>
                </c:pt>
                <c:pt idx="22">
                  <c:v>5.5563488355092009E-3</c:v>
                </c:pt>
                <c:pt idx="23">
                  <c:v>5.8389047784415818E-3</c:v>
                </c:pt>
                <c:pt idx="24">
                  <c:v>7.536503576922109E-3</c:v>
                </c:pt>
                <c:pt idx="25">
                  <c:v>1.2994473435169403E-2</c:v>
                </c:pt>
                <c:pt idx="26">
                  <c:v>4.8448313857033208E-3</c:v>
                </c:pt>
                <c:pt idx="27">
                  <c:v>9.1785070454888529E-3</c:v>
                </c:pt>
                <c:pt idx="28">
                  <c:v>4.8857621349831289E-3</c:v>
                </c:pt>
                <c:pt idx="29">
                  <c:v>4.2233949729421124E-3</c:v>
                </c:pt>
                <c:pt idx="30">
                  <c:v>8.8289375075032983E-3</c:v>
                </c:pt>
                <c:pt idx="31">
                  <c:v>3.4533864092401671E-3</c:v>
                </c:pt>
                <c:pt idx="32">
                  <c:v>5.0477682787353952E-3</c:v>
                </c:pt>
                <c:pt idx="33">
                  <c:v>4.4742512652088395E-3</c:v>
                </c:pt>
                <c:pt idx="34">
                  <c:v>4.0030896764952518E-3</c:v>
                </c:pt>
                <c:pt idx="35">
                  <c:v>5.8222078320391227E-3</c:v>
                </c:pt>
                <c:pt idx="36">
                  <c:v>3.3447543811631294E-3</c:v>
                </c:pt>
                <c:pt idx="37">
                  <c:v>6.9146360399503582E-3</c:v>
                </c:pt>
                <c:pt idx="38">
                  <c:v>4.9962407088826434E-3</c:v>
                </c:pt>
                <c:pt idx="39">
                  <c:v>6.3110807631877441E-3</c:v>
                </c:pt>
                <c:pt idx="40">
                  <c:v>5.0135264344000063E-3</c:v>
                </c:pt>
                <c:pt idx="41">
                  <c:v>3.9329419615087352E-3</c:v>
                </c:pt>
                <c:pt idx="42">
                  <c:v>4.7485423900958312E-3</c:v>
                </c:pt>
                <c:pt idx="43">
                  <c:v>4.7882533555460337E-3</c:v>
                </c:pt>
                <c:pt idx="44">
                  <c:v>4.9939764531645248E-3</c:v>
                </c:pt>
                <c:pt idx="45">
                  <c:v>4.9037602518884017E-3</c:v>
                </c:pt>
                <c:pt idx="46">
                  <c:v>4.9905008269136592E-3</c:v>
                </c:pt>
                <c:pt idx="47">
                  <c:v>5.7198342002540582E-3</c:v>
                </c:pt>
                <c:pt idx="48">
                  <c:v>5.3151123567225537E-3</c:v>
                </c:pt>
                <c:pt idx="49">
                  <c:v>3.9103928689754406E-3</c:v>
                </c:pt>
                <c:pt idx="50">
                  <c:v>3.813160443820322E-3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'ISL29020'!$AT$10</c:f>
              <c:strCache>
                <c:ptCount val="1"/>
                <c:pt idx="0">
                  <c:v>INL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'ISL29020'!$AQ$11:$AQ$61</c:f>
              <c:numCache>
                <c:formatCode>General</c:formatCode>
                <c:ptCount val="51"/>
                <c:pt idx="0">
                  <c:v>250</c:v>
                </c:pt>
                <c:pt idx="1">
                  <c:v>260</c:v>
                </c:pt>
                <c:pt idx="2">
                  <c:v>270</c:v>
                </c:pt>
                <c:pt idx="3">
                  <c:v>280</c:v>
                </c:pt>
                <c:pt idx="4">
                  <c:v>290</c:v>
                </c:pt>
                <c:pt idx="5">
                  <c:v>300</c:v>
                </c:pt>
                <c:pt idx="6">
                  <c:v>310</c:v>
                </c:pt>
                <c:pt idx="7">
                  <c:v>320</c:v>
                </c:pt>
                <c:pt idx="8">
                  <c:v>330</c:v>
                </c:pt>
                <c:pt idx="9">
                  <c:v>340</c:v>
                </c:pt>
                <c:pt idx="10">
                  <c:v>350</c:v>
                </c:pt>
                <c:pt idx="11">
                  <c:v>360</c:v>
                </c:pt>
                <c:pt idx="12">
                  <c:v>370</c:v>
                </c:pt>
                <c:pt idx="13">
                  <c:v>380</c:v>
                </c:pt>
                <c:pt idx="14">
                  <c:v>390</c:v>
                </c:pt>
                <c:pt idx="15">
                  <c:v>400</c:v>
                </c:pt>
                <c:pt idx="16">
                  <c:v>410</c:v>
                </c:pt>
                <c:pt idx="17">
                  <c:v>420</c:v>
                </c:pt>
                <c:pt idx="18">
                  <c:v>430</c:v>
                </c:pt>
                <c:pt idx="19">
                  <c:v>440</c:v>
                </c:pt>
                <c:pt idx="20">
                  <c:v>450</c:v>
                </c:pt>
                <c:pt idx="21">
                  <c:v>460</c:v>
                </c:pt>
                <c:pt idx="22">
                  <c:v>470</c:v>
                </c:pt>
                <c:pt idx="23">
                  <c:v>480</c:v>
                </c:pt>
                <c:pt idx="24">
                  <c:v>490</c:v>
                </c:pt>
                <c:pt idx="25">
                  <c:v>500</c:v>
                </c:pt>
                <c:pt idx="26">
                  <c:v>510</c:v>
                </c:pt>
                <c:pt idx="27">
                  <c:v>520</c:v>
                </c:pt>
                <c:pt idx="28">
                  <c:v>530</c:v>
                </c:pt>
                <c:pt idx="29">
                  <c:v>540</c:v>
                </c:pt>
                <c:pt idx="30">
                  <c:v>550</c:v>
                </c:pt>
                <c:pt idx="31">
                  <c:v>560</c:v>
                </c:pt>
                <c:pt idx="32">
                  <c:v>570</c:v>
                </c:pt>
                <c:pt idx="33">
                  <c:v>580</c:v>
                </c:pt>
                <c:pt idx="34">
                  <c:v>590</c:v>
                </c:pt>
                <c:pt idx="35">
                  <c:v>600</c:v>
                </c:pt>
                <c:pt idx="36">
                  <c:v>610</c:v>
                </c:pt>
                <c:pt idx="37">
                  <c:v>620</c:v>
                </c:pt>
                <c:pt idx="38">
                  <c:v>630</c:v>
                </c:pt>
                <c:pt idx="39">
                  <c:v>640</c:v>
                </c:pt>
                <c:pt idx="40">
                  <c:v>650</c:v>
                </c:pt>
                <c:pt idx="41">
                  <c:v>660</c:v>
                </c:pt>
                <c:pt idx="42">
                  <c:v>670</c:v>
                </c:pt>
                <c:pt idx="43">
                  <c:v>680</c:v>
                </c:pt>
                <c:pt idx="44">
                  <c:v>690</c:v>
                </c:pt>
                <c:pt idx="45">
                  <c:v>700</c:v>
                </c:pt>
                <c:pt idx="46">
                  <c:v>710</c:v>
                </c:pt>
                <c:pt idx="47">
                  <c:v>720</c:v>
                </c:pt>
                <c:pt idx="48">
                  <c:v>730</c:v>
                </c:pt>
                <c:pt idx="49">
                  <c:v>740</c:v>
                </c:pt>
                <c:pt idx="50">
                  <c:v>750</c:v>
                </c:pt>
              </c:numCache>
            </c:numRef>
          </c:xVal>
          <c:yVal>
            <c:numRef>
              <c:f>'ISL29020'!$AT$11:$AT$61</c:f>
              <c:numCache>
                <c:formatCode>0.00</c:formatCode>
                <c:ptCount val="51"/>
                <c:pt idx="0">
                  <c:v>-0.58860777634708317</c:v>
                </c:pt>
                <c:pt idx="1">
                  <c:v>-0.53560190689642129</c:v>
                </c:pt>
                <c:pt idx="2">
                  <c:v>-0.47652909914159824</c:v>
                </c:pt>
                <c:pt idx="3">
                  <c:v>-0.40829924646169635</c:v>
                </c:pt>
                <c:pt idx="4">
                  <c:v>-0.2805676099308152</c:v>
                </c:pt>
                <c:pt idx="5">
                  <c:v>-0.22684215362797078</c:v>
                </c:pt>
                <c:pt idx="6">
                  <c:v>-0.13572646073736205</c:v>
                </c:pt>
                <c:pt idx="7">
                  <c:v>-7.9139223522772806E-2</c:v>
                </c:pt>
                <c:pt idx="8">
                  <c:v>-2.5136062976194307E-2</c:v>
                </c:pt>
                <c:pt idx="9">
                  <c:v>3.3360184487607469E-2</c:v>
                </c:pt>
                <c:pt idx="10">
                  <c:v>6.728990700399784E-2</c:v>
                </c:pt>
                <c:pt idx="11">
                  <c:v>8.7680441958548627E-2</c:v>
                </c:pt>
                <c:pt idx="12">
                  <c:v>0.11487662977571755</c:v>
                </c:pt>
                <c:pt idx="13">
                  <c:v>0.13381333000153095</c:v>
                </c:pt>
                <c:pt idx="14">
                  <c:v>0.14721652339158009</c:v>
                </c:pt>
                <c:pt idx="15">
                  <c:v>0.1625579257565013</c:v>
                </c:pt>
                <c:pt idx="16">
                  <c:v>0.15147143242690841</c:v>
                </c:pt>
                <c:pt idx="17">
                  <c:v>0.16703950502683362</c:v>
                </c:pt>
                <c:pt idx="18">
                  <c:v>0.16295908696402073</c:v>
                </c:pt>
                <c:pt idx="19">
                  <c:v>0.1678410185889545</c:v>
                </c:pt>
                <c:pt idx="20">
                  <c:v>0.16028841987019149</c:v>
                </c:pt>
                <c:pt idx="21">
                  <c:v>0.16024594411785387</c:v>
                </c:pt>
                <c:pt idx="22">
                  <c:v>0.16118384876802061</c:v>
                </c:pt>
                <c:pt idx="23">
                  <c:v>0.14832309007406508</c:v>
                </c:pt>
                <c:pt idx="24">
                  <c:v>0.14287209467380713</c:v>
                </c:pt>
                <c:pt idx="25">
                  <c:v>0.12882099367172994</c:v>
                </c:pt>
                <c:pt idx="26">
                  <c:v>0.13210931348954791</c:v>
                </c:pt>
                <c:pt idx="27">
                  <c:v>0.10720896520350909</c:v>
                </c:pt>
                <c:pt idx="28">
                  <c:v>9.3427787852395916E-2</c:v>
                </c:pt>
                <c:pt idx="29">
                  <c:v>8.7544591124522064E-2</c:v>
                </c:pt>
                <c:pt idx="30">
                  <c:v>4.9016822069991584E-2</c:v>
                </c:pt>
                <c:pt idx="31">
                  <c:v>5.2721933033295088E-2</c:v>
                </c:pt>
                <c:pt idx="32">
                  <c:v>1.4327191424245989E-2</c:v>
                </c:pt>
                <c:pt idx="33">
                  <c:v>1.7168870999340058E-3</c:v>
                </c:pt>
                <c:pt idx="34">
                  <c:v>-1.1841068906048857E-2</c:v>
                </c:pt>
                <c:pt idx="35">
                  <c:v>-3.3614794259184677E-2</c:v>
                </c:pt>
                <c:pt idx="36">
                  <c:v>-5.3321271019468597E-2</c:v>
                </c:pt>
                <c:pt idx="37">
                  <c:v>-6.9742323574339959E-2</c:v>
                </c:pt>
                <c:pt idx="38">
                  <c:v>-8.2889588390877567E-2</c:v>
                </c:pt>
                <c:pt idx="39">
                  <c:v>-0.10115829861242487</c:v>
                </c:pt>
                <c:pt idx="40">
                  <c:v>-0.13011287560562579</c:v>
                </c:pt>
                <c:pt idx="41">
                  <c:v>-0.14191182526346324</c:v>
                </c:pt>
                <c:pt idx="42">
                  <c:v>-0.17788625871549835</c:v>
                </c:pt>
                <c:pt idx="43">
                  <c:v>-0.19317627477474231</c:v>
                </c:pt>
                <c:pt idx="44">
                  <c:v>-0.20929861968189689</c:v>
                </c:pt>
                <c:pt idx="45">
                  <c:v>-0.23249393296493892</c:v>
                </c:pt>
                <c:pt idx="46">
                  <c:v>-0.2525168586799853</c:v>
                </c:pt>
                <c:pt idx="47">
                  <c:v>-0.26548540489413908</c:v>
                </c:pt>
                <c:pt idx="48">
                  <c:v>-0.30839780017389851</c:v>
                </c:pt>
                <c:pt idx="49">
                  <c:v>-0.33128316883709319</c:v>
                </c:pt>
                <c:pt idx="50">
                  <c:v>-0.34109733088116823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1000"/>
        <c:axId val="383960216"/>
      </c:scatterChart>
      <c:valAx>
        <c:axId val="383957864"/>
        <c:scaling>
          <c:orientation val="minMax"/>
          <c:max val="750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WID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9824"/>
        <c:crosses val="autoZero"/>
        <c:crossBetween val="midCat"/>
      </c:valAx>
      <c:valAx>
        <c:axId val="38395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7864"/>
        <c:crosses val="autoZero"/>
        <c:crossBetween val="midCat"/>
      </c:valAx>
      <c:valAx>
        <c:axId val="3839602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Noise(%/value) &amp; INL(%/value)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1000"/>
        <c:crosses val="max"/>
        <c:crossBetween val="midCat"/>
      </c:valAx>
      <c:valAx>
        <c:axId val="383961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3960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'ISL29020'!$AY$10</c:f>
              <c:strCache>
                <c:ptCount val="1"/>
                <c:pt idx="0">
                  <c:v>ENOB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'ISL29020'!$AW$11:$AW$42</c:f>
              <c:numCache>
                <c:formatCode>General</c:formatCode>
                <c:ptCount val="32"/>
                <c:pt idx="0">
                  <c:v>774.6237907409668</c:v>
                </c:pt>
                <c:pt idx="1">
                  <c:v>630.58148574829102</c:v>
                </c:pt>
                <c:pt idx="2">
                  <c:v>521.04742050170898</c:v>
                </c:pt>
                <c:pt idx="3">
                  <c:v>428.70220947265625</c:v>
                </c:pt>
                <c:pt idx="4">
                  <c:v>321.67067718505859</c:v>
                </c:pt>
                <c:pt idx="5">
                  <c:v>239.82032775878906</c:v>
                </c:pt>
                <c:pt idx="6">
                  <c:v>197.47939300537109</c:v>
                </c:pt>
                <c:pt idx="7">
                  <c:v>160.53922271728516</c:v>
                </c:pt>
                <c:pt idx="8">
                  <c:v>132.70676422119141</c:v>
                </c:pt>
                <c:pt idx="9">
                  <c:v>109.14301300048828</c:v>
                </c:pt>
                <c:pt idx="10">
                  <c:v>81.655792236328125</c:v>
                </c:pt>
                <c:pt idx="11">
                  <c:v>74.052509307861328</c:v>
                </c:pt>
                <c:pt idx="12">
                  <c:v>61.450942993164063</c:v>
                </c:pt>
                <c:pt idx="13">
                  <c:v>60.21734619140625</c:v>
                </c:pt>
                <c:pt idx="14">
                  <c:v>49.747272491455078</c:v>
                </c:pt>
                <c:pt idx="15">
                  <c:v>40.920406341552734</c:v>
                </c:pt>
                <c:pt idx="16">
                  <c:v>30.607690811157227</c:v>
                </c:pt>
                <c:pt idx="17">
                  <c:v>22.827974319458008</c:v>
                </c:pt>
                <c:pt idx="18">
                  <c:v>5.0664720684289932</c:v>
                </c:pt>
                <c:pt idx="19">
                  <c:v>4.138532742857933</c:v>
                </c:pt>
                <c:pt idx="20">
                  <c:v>3.4323263019323349</c:v>
                </c:pt>
                <c:pt idx="21">
                  <c:v>2.833886556327343</c:v>
                </c:pt>
                <c:pt idx="22">
                  <c:v>2.1281567737460136</c:v>
                </c:pt>
                <c:pt idx="23">
                  <c:v>1.5921835526823997</c:v>
                </c:pt>
                <c:pt idx="24">
                  <c:v>0.54932481050491333</c:v>
                </c:pt>
                <c:pt idx="25">
                  <c:v>0.4444190226495266</c:v>
                </c:pt>
                <c:pt idx="26">
                  <c:v>0.36717022769153118</c:v>
                </c:pt>
                <c:pt idx="27">
                  <c:v>0.30518043041229248</c:v>
                </c:pt>
                <c:pt idx="28">
                  <c:v>0.22888532280921936</c:v>
                </c:pt>
                <c:pt idx="29">
                  <c:v>0.17357137799263</c:v>
                </c:pt>
                <c:pt idx="30">
                  <c:v>4.5777067542076111E-2</c:v>
                </c:pt>
                <c:pt idx="31">
                  <c:v>4.5777067542076111E-2</c:v>
                </c:pt>
              </c:numCache>
            </c:numRef>
          </c:xVal>
          <c:yVal>
            <c:numRef>
              <c:f>'ISL29020'!$AY$11:$AY$42</c:f>
              <c:numCache>
                <c:formatCode>General</c:formatCode>
                <c:ptCount val="32"/>
                <c:pt idx="0">
                  <c:v>13.727700777878674</c:v>
                </c:pt>
                <c:pt idx="1">
                  <c:v>14.192459287276936</c:v>
                </c:pt>
                <c:pt idx="2">
                  <c:v>13.872401403408881</c:v>
                </c:pt>
                <c:pt idx="3">
                  <c:v>13.901992615306305</c:v>
                </c:pt>
                <c:pt idx="4">
                  <c:v>14.121151498912193</c:v>
                </c:pt>
                <c:pt idx="5">
                  <c:v>13.284912705246358</c:v>
                </c:pt>
                <c:pt idx="6">
                  <c:v>14.041990105072832</c:v>
                </c:pt>
                <c:pt idx="7">
                  <c:v>13.705940244643982</c:v>
                </c:pt>
                <c:pt idx="8">
                  <c:v>13.690496251461431</c:v>
                </c:pt>
                <c:pt idx="9">
                  <c:v>13.584206958761085</c:v>
                </c:pt>
                <c:pt idx="10">
                  <c:v>13.496416919043725</c:v>
                </c:pt>
                <c:pt idx="11">
                  <c:v>13.961278311839065</c:v>
                </c:pt>
                <c:pt idx="12">
                  <c:v>13.334281150350524</c:v>
                </c:pt>
                <c:pt idx="13">
                  <c:v>12.845356785252187</c:v>
                </c:pt>
                <c:pt idx="14">
                  <c:v>13.029433053400155</c:v>
                </c:pt>
                <c:pt idx="15">
                  <c:v>12.543526922238579</c:v>
                </c:pt>
                <c:pt idx="16">
                  <c:v>12.567716868199335</c:v>
                </c:pt>
                <c:pt idx="17">
                  <c:v>13.071526888789887</c:v>
                </c:pt>
                <c:pt idx="18">
                  <c:v>10.899515960773847</c:v>
                </c:pt>
                <c:pt idx="19">
                  <c:v>9.3586835548952667</c:v>
                </c:pt>
                <c:pt idx="20">
                  <c:v>9.8611113863580844</c:v>
                </c:pt>
                <c:pt idx="21">
                  <c:v>8.6911540032483945</c:v>
                </c:pt>
                <c:pt idx="22">
                  <c:v>8.1274764278255986</c:v>
                </c:pt>
                <c:pt idx="23">
                  <c:v>7.7801509956794677</c:v>
                </c:pt>
                <c:pt idx="24">
                  <c:v>6.6910802053450196</c:v>
                </c:pt>
                <c:pt idx="25">
                  <c:v>6.4612588590757323</c:v>
                </c:pt>
                <c:pt idx="26">
                  <c:v>6.6361271305758551</c:v>
                </c:pt>
                <c:pt idx="27">
                  <c:v>5.2536545358488107</c:v>
                </c:pt>
                <c:pt idx="28">
                  <c:v>2.8085865548923903</c:v>
                </c:pt>
                <c:pt idx="29">
                  <c:v>4.554851253989268</c:v>
                </c:pt>
                <c:pt idx="30">
                  <c:v>4.0935411543006932</c:v>
                </c:pt>
                <c:pt idx="31">
                  <c:v>4.0935411543006932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2176"/>
        <c:axId val="383963352"/>
      </c:scatterChart>
      <c:valAx>
        <c:axId val="3839621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3352"/>
        <c:crosses val="autoZero"/>
        <c:crossBetween val="midCat"/>
      </c:valAx>
      <c:valAx>
        <c:axId val="383963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2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 b="0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75115952971632"/>
          <c:y val="0.20097485905674903"/>
          <c:w val="0.69007248409017363"/>
          <c:h val="0.58055876637991677"/>
        </c:manualLayout>
      </c:layout>
      <c:scatterChart>
        <c:scatterStyle val="lineMarker"/>
        <c:varyColors val="0"/>
        <c:ser>
          <c:idx val="0"/>
          <c:order val="0"/>
          <c:tx>
            <c:strRef>
              <c:f>'ISL29020'!$AC$10</c:f>
              <c:strCache>
                <c:ptCount val="1"/>
                <c:pt idx="0">
                  <c:v>%/val/mv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13824671916010497"/>
                  <c:y val="3.929279673374161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'ISL29020'!$Y$11:$Y$71</c:f>
              <c:numCache>
                <c:formatCode>0.00</c:formatCode>
                <c:ptCount val="61"/>
                <c:pt idx="0">
                  <c:v>0.6</c:v>
                </c:pt>
                <c:pt idx="1">
                  <c:v>0.62</c:v>
                </c:pt>
                <c:pt idx="2">
                  <c:v>0.64</c:v>
                </c:pt>
                <c:pt idx="3">
                  <c:v>0.66</c:v>
                </c:pt>
                <c:pt idx="4">
                  <c:v>0.68</c:v>
                </c:pt>
                <c:pt idx="5">
                  <c:v>0.70000000000000007</c:v>
                </c:pt>
                <c:pt idx="6">
                  <c:v>0.72000000000000008</c:v>
                </c:pt>
                <c:pt idx="7">
                  <c:v>0.7400000000000001</c:v>
                </c:pt>
                <c:pt idx="8">
                  <c:v>0.76000000000000012</c:v>
                </c:pt>
                <c:pt idx="9">
                  <c:v>0.78000000000000014</c:v>
                </c:pt>
                <c:pt idx="10">
                  <c:v>0.80000000000000016</c:v>
                </c:pt>
                <c:pt idx="11">
                  <c:v>0.82000000000000017</c:v>
                </c:pt>
                <c:pt idx="12">
                  <c:v>0.84000000000000019</c:v>
                </c:pt>
                <c:pt idx="13">
                  <c:v>0.86000000000000021</c:v>
                </c:pt>
                <c:pt idx="14">
                  <c:v>0.88000000000000023</c:v>
                </c:pt>
                <c:pt idx="15">
                  <c:v>0.90000000000000024</c:v>
                </c:pt>
                <c:pt idx="16">
                  <c:v>0.92000000000000026</c:v>
                </c:pt>
                <c:pt idx="17">
                  <c:v>0.94000000000000028</c:v>
                </c:pt>
                <c:pt idx="18">
                  <c:v>0.9600000000000003</c:v>
                </c:pt>
                <c:pt idx="19">
                  <c:v>0.98000000000000032</c:v>
                </c:pt>
                <c:pt idx="20">
                  <c:v>1.0000000000000002</c:v>
                </c:pt>
                <c:pt idx="21">
                  <c:v>1.0200000000000002</c:v>
                </c:pt>
                <c:pt idx="22">
                  <c:v>1.0400000000000003</c:v>
                </c:pt>
                <c:pt idx="23">
                  <c:v>1.0600000000000003</c:v>
                </c:pt>
                <c:pt idx="24">
                  <c:v>1.0800000000000003</c:v>
                </c:pt>
                <c:pt idx="25">
                  <c:v>1.1000000000000003</c:v>
                </c:pt>
                <c:pt idx="26">
                  <c:v>1.1200000000000003</c:v>
                </c:pt>
                <c:pt idx="27">
                  <c:v>1.1400000000000003</c:v>
                </c:pt>
                <c:pt idx="28">
                  <c:v>1.1600000000000004</c:v>
                </c:pt>
                <c:pt idx="29">
                  <c:v>1.1800000000000004</c:v>
                </c:pt>
                <c:pt idx="30">
                  <c:v>1.2000000000000004</c:v>
                </c:pt>
                <c:pt idx="31">
                  <c:v>1.2200000000000004</c:v>
                </c:pt>
                <c:pt idx="32">
                  <c:v>1.2400000000000004</c:v>
                </c:pt>
                <c:pt idx="33">
                  <c:v>1.2600000000000005</c:v>
                </c:pt>
                <c:pt idx="34">
                  <c:v>1.2800000000000005</c:v>
                </c:pt>
                <c:pt idx="35">
                  <c:v>1.3000000000000005</c:v>
                </c:pt>
                <c:pt idx="36">
                  <c:v>1.3200000000000005</c:v>
                </c:pt>
                <c:pt idx="37">
                  <c:v>1.3400000000000005</c:v>
                </c:pt>
                <c:pt idx="38">
                  <c:v>1.3600000000000005</c:v>
                </c:pt>
                <c:pt idx="39">
                  <c:v>1.3800000000000006</c:v>
                </c:pt>
                <c:pt idx="40">
                  <c:v>1.4000000000000006</c:v>
                </c:pt>
                <c:pt idx="41">
                  <c:v>1.4200000000000006</c:v>
                </c:pt>
                <c:pt idx="42">
                  <c:v>1.4400000000000006</c:v>
                </c:pt>
                <c:pt idx="43">
                  <c:v>1.4600000000000006</c:v>
                </c:pt>
                <c:pt idx="44">
                  <c:v>1.4800000000000006</c:v>
                </c:pt>
                <c:pt idx="45">
                  <c:v>1.5000000000000007</c:v>
                </c:pt>
                <c:pt idx="46">
                  <c:v>1.5200000000000007</c:v>
                </c:pt>
                <c:pt idx="47">
                  <c:v>1.5400000000000007</c:v>
                </c:pt>
                <c:pt idx="48">
                  <c:v>1.5600000000000007</c:v>
                </c:pt>
                <c:pt idx="49">
                  <c:v>1.5800000000000007</c:v>
                </c:pt>
                <c:pt idx="50">
                  <c:v>1.6000000000000008</c:v>
                </c:pt>
                <c:pt idx="51">
                  <c:v>1.6200000000000008</c:v>
                </c:pt>
                <c:pt idx="52">
                  <c:v>1.6400000000000008</c:v>
                </c:pt>
                <c:pt idx="53">
                  <c:v>1.6600000000000008</c:v>
                </c:pt>
                <c:pt idx="54">
                  <c:v>1.6800000000000008</c:v>
                </c:pt>
                <c:pt idx="55">
                  <c:v>1.7000000000000008</c:v>
                </c:pt>
                <c:pt idx="56">
                  <c:v>1.7200000000000009</c:v>
                </c:pt>
                <c:pt idx="57">
                  <c:v>1.7400000000000009</c:v>
                </c:pt>
                <c:pt idx="58">
                  <c:v>1.7600000000000009</c:v>
                </c:pt>
                <c:pt idx="59">
                  <c:v>1.7800000000000009</c:v>
                </c:pt>
                <c:pt idx="60">
                  <c:v>1.8000000000000009</c:v>
                </c:pt>
              </c:numCache>
            </c:numRef>
          </c:xVal>
          <c:yVal>
            <c:numRef>
              <c:f>'ISL29020'!$AC$11:$AC$71</c:f>
              <c:numCache>
                <c:formatCode>0.00%</c:formatCode>
                <c:ptCount val="61"/>
                <c:pt idx="0">
                  <c:v>4.5511105615288596E-3</c:v>
                </c:pt>
                <c:pt idx="1">
                  <c:v>3.9227203349403378E-3</c:v>
                </c:pt>
                <c:pt idx="2">
                  <c:v>3.4878901240880892E-3</c:v>
                </c:pt>
                <c:pt idx="3">
                  <c:v>3.1442497314875056E-3</c:v>
                </c:pt>
                <c:pt idx="4">
                  <c:v>2.8858036404481187E-3</c:v>
                </c:pt>
                <c:pt idx="5">
                  <c:v>2.6751845361568079E-3</c:v>
                </c:pt>
                <c:pt idx="6">
                  <c:v>2.5011524482619666E-3</c:v>
                </c:pt>
                <c:pt idx="7">
                  <c:v>2.3531917184129517E-3</c:v>
                </c:pt>
                <c:pt idx="8">
                  <c:v>2.2368681720929115E-3</c:v>
                </c:pt>
                <c:pt idx="9">
                  <c:v>2.1279516903152987E-3</c:v>
                </c:pt>
                <c:pt idx="10">
                  <c:v>2.0235984145864127E-3</c:v>
                </c:pt>
                <c:pt idx="11">
                  <c:v>1.9429714190669688E-3</c:v>
                </c:pt>
                <c:pt idx="12">
                  <c:v>1.8645734184867442E-3</c:v>
                </c:pt>
                <c:pt idx="13">
                  <c:v>1.7898071102682564E-3</c:v>
                </c:pt>
                <c:pt idx="14">
                  <c:v>1.7214308865532014E-3</c:v>
                </c:pt>
                <c:pt idx="15">
                  <c:v>1.657078380490737E-3</c:v>
                </c:pt>
                <c:pt idx="16">
                  <c:v>1.5974107143304603E-3</c:v>
                </c:pt>
                <c:pt idx="17">
                  <c:v>1.5417475532946341E-3</c:v>
                </c:pt>
                <c:pt idx="18">
                  <c:v>1.4894237077949515E-3</c:v>
                </c:pt>
                <c:pt idx="19">
                  <c:v>1.4417650297198627E-3</c:v>
                </c:pt>
                <c:pt idx="20">
                  <c:v>1.4126917995388691E-3</c:v>
                </c:pt>
                <c:pt idx="21">
                  <c:v>1.3687925702430199E-3</c:v>
                </c:pt>
                <c:pt idx="22">
                  <c:v>1.3262865167628455E-3</c:v>
                </c:pt>
                <c:pt idx="23">
                  <c:v>1.2864943125198737E-3</c:v>
                </c:pt>
                <c:pt idx="24">
                  <c:v>1.2489106743852035E-3</c:v>
                </c:pt>
                <c:pt idx="25">
                  <c:v>1.2150269009168417E-3</c:v>
                </c:pt>
                <c:pt idx="26">
                  <c:v>1.1799177730887249E-3</c:v>
                </c:pt>
                <c:pt idx="27">
                  <c:v>1.148153893167921E-3</c:v>
                </c:pt>
                <c:pt idx="28">
                  <c:v>1.1200739449863956E-3</c:v>
                </c:pt>
                <c:pt idx="29">
                  <c:v>1.09302157678216E-3</c:v>
                </c:pt>
                <c:pt idx="30">
                  <c:v>1.0683680601180855E-3</c:v>
                </c:pt>
                <c:pt idx="31">
                  <c:v>1.0467366626611861E-3</c:v>
                </c:pt>
                <c:pt idx="32">
                  <c:v>1.0229442595590579E-3</c:v>
                </c:pt>
                <c:pt idx="33">
                  <c:v>1.0020917838331619E-3</c:v>
                </c:pt>
                <c:pt idx="34">
                  <c:v>9.8276413036967524E-4</c:v>
                </c:pt>
                <c:pt idx="35">
                  <c:v>9.6550235509648859E-4</c:v>
                </c:pt>
                <c:pt idx="36">
                  <c:v>9.4987479669783831E-4</c:v>
                </c:pt>
                <c:pt idx="37">
                  <c:v>9.3049844918436546E-4</c:v>
                </c:pt>
                <c:pt idx="38">
                  <c:v>9.1357422560744983E-4</c:v>
                </c:pt>
                <c:pt idx="39">
                  <c:v>9.0295316451184616E-4</c:v>
                </c:pt>
                <c:pt idx="40">
                  <c:v>8.8500114027504555E-4</c:v>
                </c:pt>
                <c:pt idx="41">
                  <c:v>8.7039175507955865E-4</c:v>
                </c:pt>
                <c:pt idx="42">
                  <c:v>8.5672205088936952E-4</c:v>
                </c:pt>
                <c:pt idx="43">
                  <c:v>8.4358742585245391E-4</c:v>
                </c:pt>
                <c:pt idx="44">
                  <c:v>8.3146439382403986E-4</c:v>
                </c:pt>
                <c:pt idx="45">
                  <c:v>8.1981091673538479E-4</c:v>
                </c:pt>
                <c:pt idx="46">
                  <c:v>8.0827838872605607E-4</c:v>
                </c:pt>
                <c:pt idx="47">
                  <c:v>7.9788860040835353E-4</c:v>
                </c:pt>
                <c:pt idx="48">
                  <c:v>7.8761206252463503E-4</c:v>
                </c:pt>
                <c:pt idx="49">
                  <c:v>7.779619022808146E-4</c:v>
                </c:pt>
                <c:pt idx="50">
                  <c:v>7.6860678234870982E-4</c:v>
                </c:pt>
                <c:pt idx="51">
                  <c:v>7.6105321893030708E-4</c:v>
                </c:pt>
                <c:pt idx="52">
                  <c:v>7.5249214977403172E-4</c:v>
                </c:pt>
                <c:pt idx="53">
                  <c:v>7.4533941827219588E-4</c:v>
                </c:pt>
                <c:pt idx="54">
                  <c:v>7.4020913366159495E-4</c:v>
                </c:pt>
                <c:pt idx="55">
                  <c:v>7.3397123496784632E-4</c:v>
                </c:pt>
                <c:pt idx="56">
                  <c:v>7.2825037530137868E-4</c:v>
                </c:pt>
                <c:pt idx="57">
                  <c:v>7.2340788895217415E-4</c:v>
                </c:pt>
                <c:pt idx="58">
                  <c:v>7.2084966865007972E-4</c:v>
                </c:pt>
                <c:pt idx="59">
                  <c:v>7.1758475223856208E-4</c:v>
                </c:pt>
                <c:pt idx="60">
                  <c:v>7.149459733888394E-4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56688"/>
        <c:axId val="383957472"/>
      </c:scatterChart>
      <c:valAx>
        <c:axId val="383956688"/>
        <c:scaling>
          <c:orientation val="minMax"/>
          <c:min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PG V</a:t>
                </a:r>
                <a:r>
                  <a:rPr lang="en-US" sz="1100" baseline="-25000"/>
                  <a:t>OS</a:t>
                </a:r>
                <a:endParaRPr lang="en-US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7472"/>
        <c:crosses val="autoZero"/>
        <c:crossBetween val="midCat"/>
      </c:valAx>
      <c:valAx>
        <c:axId val="383957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DUT Lux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566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6241513560804901"/>
          <c:y val="0.34307633420822403"/>
          <c:w val="0.27188998250218721"/>
          <c:h val="0.15625109361329836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'ISL29147'!$I$20:$N$20</c:f>
          <c:strCache>
            <c:ptCount val="6"/>
            <c:pt idx="0">
              <c:v>ISL29147 Samples: Sleep Time=3.125 IRDR=62.5</c:v>
            </c:pt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'ISL29147'!$C$23:$C$54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'ISL29147'!$D$23:$D$54</c:f>
              <c:numCache>
                <c:formatCode>General</c:formatCode>
                <c:ptCount val="32"/>
                <c:pt idx="0">
                  <c:v>3.9215686274509803E-3</c:v>
                </c:pt>
                <c:pt idx="1">
                  <c:v>3.9215686274509803E-3</c:v>
                </c:pt>
                <c:pt idx="2">
                  <c:v>7.8431372549019607E-3</c:v>
                </c:pt>
                <c:pt idx="3">
                  <c:v>3.9215686274509803E-3</c:v>
                </c:pt>
                <c:pt idx="4">
                  <c:v>3.9215686274509803E-3</c:v>
                </c:pt>
                <c:pt idx="5">
                  <c:v>1.1764705882352941E-2</c:v>
                </c:pt>
                <c:pt idx="6">
                  <c:v>0</c:v>
                </c:pt>
                <c:pt idx="7">
                  <c:v>7.8431372549019607E-3</c:v>
                </c:pt>
                <c:pt idx="8">
                  <c:v>3.9215686274509803E-3</c:v>
                </c:pt>
                <c:pt idx="9">
                  <c:v>3.9215686274509803E-3</c:v>
                </c:pt>
                <c:pt idx="10">
                  <c:v>7.8431372549019607E-3</c:v>
                </c:pt>
                <c:pt idx="11">
                  <c:v>0</c:v>
                </c:pt>
                <c:pt idx="12">
                  <c:v>0</c:v>
                </c:pt>
                <c:pt idx="13">
                  <c:v>7.8431372549019607E-3</c:v>
                </c:pt>
                <c:pt idx="14">
                  <c:v>0</c:v>
                </c:pt>
                <c:pt idx="15">
                  <c:v>7.8431372549019607E-3</c:v>
                </c:pt>
                <c:pt idx="16">
                  <c:v>7.8431372549019607E-3</c:v>
                </c:pt>
                <c:pt idx="17">
                  <c:v>7.8431372549019607E-3</c:v>
                </c:pt>
                <c:pt idx="18">
                  <c:v>0</c:v>
                </c:pt>
                <c:pt idx="19">
                  <c:v>0</c:v>
                </c:pt>
                <c:pt idx="20">
                  <c:v>7.8431372549019607E-3</c:v>
                </c:pt>
                <c:pt idx="21">
                  <c:v>1.9607843137254902E-2</c:v>
                </c:pt>
                <c:pt idx="22">
                  <c:v>3.9215686274509803E-3</c:v>
                </c:pt>
                <c:pt idx="23">
                  <c:v>3.9215686274509803E-3</c:v>
                </c:pt>
                <c:pt idx="24">
                  <c:v>3.9215686274509803E-3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7.8431372549019607E-3</c:v>
                </c:pt>
                <c:pt idx="29">
                  <c:v>1.1764705882352941E-2</c:v>
                </c:pt>
                <c:pt idx="30">
                  <c:v>3.9215686274509803E-3</c:v>
                </c:pt>
                <c:pt idx="31">
                  <c:v>7.8431372549019607E-3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7272"/>
        <c:axId val="383967664"/>
      </c:scatterChart>
      <c:valAx>
        <c:axId val="383967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Sample #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7664"/>
        <c:crosses val="autoZero"/>
        <c:crossBetween val="midCat"/>
      </c:valAx>
      <c:valAx>
        <c:axId val="383967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Lux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7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Linear'!$C$2:$C$1001</c:f>
              <c:numCache>
                <c:formatCode>General</c:formatCode>
                <c:ptCount val="1000"/>
                <c:pt idx="0">
                  <c:v>0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>
                  <c:v>45</c:v>
                </c:pt>
                <c:pt idx="12">
                  <c:v>49</c:v>
                </c:pt>
                <c:pt idx="13">
                  <c:v>53</c:v>
                </c:pt>
                <c:pt idx="14">
                  <c:v>57</c:v>
                </c:pt>
                <c:pt idx="15">
                  <c:v>61</c:v>
                </c:pt>
                <c:pt idx="16">
                  <c:v>66</c:v>
                </c:pt>
                <c:pt idx="17">
                  <c:v>70</c:v>
                </c:pt>
                <c:pt idx="18">
                  <c:v>74</c:v>
                </c:pt>
                <c:pt idx="19">
                  <c:v>78</c:v>
                </c:pt>
                <c:pt idx="20">
                  <c:v>82</c:v>
                </c:pt>
                <c:pt idx="21">
                  <c:v>86</c:v>
                </c:pt>
                <c:pt idx="22">
                  <c:v>90</c:v>
                </c:pt>
                <c:pt idx="23">
                  <c:v>94</c:v>
                </c:pt>
                <c:pt idx="24">
                  <c:v>98</c:v>
                </c:pt>
                <c:pt idx="25">
                  <c:v>102</c:v>
                </c:pt>
                <c:pt idx="26">
                  <c:v>107</c:v>
                </c:pt>
                <c:pt idx="27">
                  <c:v>111</c:v>
                </c:pt>
                <c:pt idx="28">
                  <c:v>115</c:v>
                </c:pt>
                <c:pt idx="29">
                  <c:v>119</c:v>
                </c:pt>
                <c:pt idx="30">
                  <c:v>123</c:v>
                </c:pt>
                <c:pt idx="31">
                  <c:v>127</c:v>
                </c:pt>
                <c:pt idx="32">
                  <c:v>131</c:v>
                </c:pt>
                <c:pt idx="33">
                  <c:v>135</c:v>
                </c:pt>
                <c:pt idx="34">
                  <c:v>139</c:v>
                </c:pt>
                <c:pt idx="35">
                  <c:v>143</c:v>
                </c:pt>
                <c:pt idx="36">
                  <c:v>148</c:v>
                </c:pt>
                <c:pt idx="37">
                  <c:v>152</c:v>
                </c:pt>
                <c:pt idx="38">
                  <c:v>156</c:v>
                </c:pt>
                <c:pt idx="39">
                  <c:v>160</c:v>
                </c:pt>
                <c:pt idx="40">
                  <c:v>164</c:v>
                </c:pt>
                <c:pt idx="41">
                  <c:v>168</c:v>
                </c:pt>
                <c:pt idx="42">
                  <c:v>172</c:v>
                </c:pt>
                <c:pt idx="43">
                  <c:v>176</c:v>
                </c:pt>
                <c:pt idx="44">
                  <c:v>180</c:v>
                </c:pt>
                <c:pt idx="45">
                  <c:v>184</c:v>
                </c:pt>
                <c:pt idx="46">
                  <c:v>189</c:v>
                </c:pt>
                <c:pt idx="47">
                  <c:v>193</c:v>
                </c:pt>
                <c:pt idx="48">
                  <c:v>197</c:v>
                </c:pt>
                <c:pt idx="49">
                  <c:v>201</c:v>
                </c:pt>
                <c:pt idx="50">
                  <c:v>205</c:v>
                </c:pt>
                <c:pt idx="51">
                  <c:v>209</c:v>
                </c:pt>
                <c:pt idx="52">
                  <c:v>213</c:v>
                </c:pt>
                <c:pt idx="53">
                  <c:v>217</c:v>
                </c:pt>
                <c:pt idx="54">
                  <c:v>221</c:v>
                </c:pt>
                <c:pt idx="55">
                  <c:v>225</c:v>
                </c:pt>
                <c:pt idx="56">
                  <c:v>230</c:v>
                </c:pt>
                <c:pt idx="57">
                  <c:v>234</c:v>
                </c:pt>
                <c:pt idx="58">
                  <c:v>238</c:v>
                </c:pt>
                <c:pt idx="59">
                  <c:v>242</c:v>
                </c:pt>
                <c:pt idx="60">
                  <c:v>246</c:v>
                </c:pt>
                <c:pt idx="61">
                  <c:v>250</c:v>
                </c:pt>
                <c:pt idx="62">
                  <c:v>254</c:v>
                </c:pt>
                <c:pt idx="63">
                  <c:v>258</c:v>
                </c:pt>
                <c:pt idx="64">
                  <c:v>262</c:v>
                </c:pt>
                <c:pt idx="65">
                  <c:v>266</c:v>
                </c:pt>
                <c:pt idx="66">
                  <c:v>271</c:v>
                </c:pt>
                <c:pt idx="67">
                  <c:v>275</c:v>
                </c:pt>
                <c:pt idx="68">
                  <c:v>279</c:v>
                </c:pt>
                <c:pt idx="69">
                  <c:v>283</c:v>
                </c:pt>
                <c:pt idx="70">
                  <c:v>287</c:v>
                </c:pt>
                <c:pt idx="71">
                  <c:v>291</c:v>
                </c:pt>
                <c:pt idx="72">
                  <c:v>295</c:v>
                </c:pt>
                <c:pt idx="73">
                  <c:v>299</c:v>
                </c:pt>
                <c:pt idx="74">
                  <c:v>303</c:v>
                </c:pt>
                <c:pt idx="75">
                  <c:v>307</c:v>
                </c:pt>
                <c:pt idx="76">
                  <c:v>312</c:v>
                </c:pt>
                <c:pt idx="77">
                  <c:v>316</c:v>
                </c:pt>
                <c:pt idx="78">
                  <c:v>320</c:v>
                </c:pt>
                <c:pt idx="79">
                  <c:v>324</c:v>
                </c:pt>
                <c:pt idx="80">
                  <c:v>328</c:v>
                </c:pt>
                <c:pt idx="81">
                  <c:v>332</c:v>
                </c:pt>
                <c:pt idx="82">
                  <c:v>336</c:v>
                </c:pt>
                <c:pt idx="83">
                  <c:v>340</c:v>
                </c:pt>
                <c:pt idx="84">
                  <c:v>344</c:v>
                </c:pt>
                <c:pt idx="85">
                  <c:v>348</c:v>
                </c:pt>
                <c:pt idx="86">
                  <c:v>353</c:v>
                </c:pt>
                <c:pt idx="87">
                  <c:v>357</c:v>
                </c:pt>
                <c:pt idx="88">
                  <c:v>361</c:v>
                </c:pt>
                <c:pt idx="89">
                  <c:v>365</c:v>
                </c:pt>
                <c:pt idx="90">
                  <c:v>369</c:v>
                </c:pt>
                <c:pt idx="91">
                  <c:v>373</c:v>
                </c:pt>
                <c:pt idx="92">
                  <c:v>377</c:v>
                </c:pt>
                <c:pt idx="93">
                  <c:v>381</c:v>
                </c:pt>
                <c:pt idx="94">
                  <c:v>385</c:v>
                </c:pt>
                <c:pt idx="95">
                  <c:v>389</c:v>
                </c:pt>
                <c:pt idx="96">
                  <c:v>394</c:v>
                </c:pt>
                <c:pt idx="97">
                  <c:v>398</c:v>
                </c:pt>
                <c:pt idx="98">
                  <c:v>402</c:v>
                </c:pt>
                <c:pt idx="99">
                  <c:v>406</c:v>
                </c:pt>
                <c:pt idx="100">
                  <c:v>410</c:v>
                </c:pt>
                <c:pt idx="101">
                  <c:v>414</c:v>
                </c:pt>
                <c:pt idx="102">
                  <c:v>418</c:v>
                </c:pt>
                <c:pt idx="103">
                  <c:v>422</c:v>
                </c:pt>
                <c:pt idx="104">
                  <c:v>426</c:v>
                </c:pt>
                <c:pt idx="105">
                  <c:v>430</c:v>
                </c:pt>
                <c:pt idx="106">
                  <c:v>435</c:v>
                </c:pt>
                <c:pt idx="107">
                  <c:v>439</c:v>
                </c:pt>
                <c:pt idx="108">
                  <c:v>443</c:v>
                </c:pt>
                <c:pt idx="109">
                  <c:v>447</c:v>
                </c:pt>
                <c:pt idx="110">
                  <c:v>451</c:v>
                </c:pt>
                <c:pt idx="111">
                  <c:v>455</c:v>
                </c:pt>
                <c:pt idx="112">
                  <c:v>459</c:v>
                </c:pt>
                <c:pt idx="113">
                  <c:v>463</c:v>
                </c:pt>
                <c:pt idx="114">
                  <c:v>467</c:v>
                </c:pt>
                <c:pt idx="115">
                  <c:v>471</c:v>
                </c:pt>
                <c:pt idx="116">
                  <c:v>475</c:v>
                </c:pt>
                <c:pt idx="117">
                  <c:v>480</c:v>
                </c:pt>
                <c:pt idx="118">
                  <c:v>484</c:v>
                </c:pt>
                <c:pt idx="119">
                  <c:v>488</c:v>
                </c:pt>
                <c:pt idx="120">
                  <c:v>492</c:v>
                </c:pt>
                <c:pt idx="121">
                  <c:v>496</c:v>
                </c:pt>
                <c:pt idx="122">
                  <c:v>500</c:v>
                </c:pt>
                <c:pt idx="123">
                  <c:v>504</c:v>
                </c:pt>
                <c:pt idx="124">
                  <c:v>508</c:v>
                </c:pt>
                <c:pt idx="125">
                  <c:v>512</c:v>
                </c:pt>
                <c:pt idx="126">
                  <c:v>516</c:v>
                </c:pt>
                <c:pt idx="127">
                  <c:v>521</c:v>
                </c:pt>
                <c:pt idx="128">
                  <c:v>525</c:v>
                </c:pt>
                <c:pt idx="129">
                  <c:v>529</c:v>
                </c:pt>
                <c:pt idx="130">
                  <c:v>533</c:v>
                </c:pt>
                <c:pt idx="131">
                  <c:v>537</c:v>
                </c:pt>
                <c:pt idx="132">
                  <c:v>541</c:v>
                </c:pt>
                <c:pt idx="133">
                  <c:v>545</c:v>
                </c:pt>
                <c:pt idx="134">
                  <c:v>549</c:v>
                </c:pt>
                <c:pt idx="135">
                  <c:v>553</c:v>
                </c:pt>
                <c:pt idx="136">
                  <c:v>557</c:v>
                </c:pt>
                <c:pt idx="137">
                  <c:v>562</c:v>
                </c:pt>
                <c:pt idx="138">
                  <c:v>566</c:v>
                </c:pt>
                <c:pt idx="139">
                  <c:v>570</c:v>
                </c:pt>
                <c:pt idx="140">
                  <c:v>574</c:v>
                </c:pt>
                <c:pt idx="141">
                  <c:v>578</c:v>
                </c:pt>
                <c:pt idx="142">
                  <c:v>582</c:v>
                </c:pt>
                <c:pt idx="143">
                  <c:v>586</c:v>
                </c:pt>
                <c:pt idx="144">
                  <c:v>590</c:v>
                </c:pt>
                <c:pt idx="145">
                  <c:v>594</c:v>
                </c:pt>
                <c:pt idx="146">
                  <c:v>598</c:v>
                </c:pt>
                <c:pt idx="147">
                  <c:v>603</c:v>
                </c:pt>
                <c:pt idx="148">
                  <c:v>607</c:v>
                </c:pt>
                <c:pt idx="149">
                  <c:v>611</c:v>
                </c:pt>
                <c:pt idx="150">
                  <c:v>615</c:v>
                </c:pt>
                <c:pt idx="151">
                  <c:v>619</c:v>
                </c:pt>
                <c:pt idx="152">
                  <c:v>623</c:v>
                </c:pt>
                <c:pt idx="153">
                  <c:v>627</c:v>
                </c:pt>
                <c:pt idx="154">
                  <c:v>631</c:v>
                </c:pt>
                <c:pt idx="155">
                  <c:v>635</c:v>
                </c:pt>
                <c:pt idx="156">
                  <c:v>639</c:v>
                </c:pt>
                <c:pt idx="157">
                  <c:v>644</c:v>
                </c:pt>
                <c:pt idx="158">
                  <c:v>648</c:v>
                </c:pt>
                <c:pt idx="159">
                  <c:v>652</c:v>
                </c:pt>
                <c:pt idx="160">
                  <c:v>656</c:v>
                </c:pt>
                <c:pt idx="161">
                  <c:v>660</c:v>
                </c:pt>
                <c:pt idx="162">
                  <c:v>664</c:v>
                </c:pt>
                <c:pt idx="163">
                  <c:v>668</c:v>
                </c:pt>
                <c:pt idx="164">
                  <c:v>672</c:v>
                </c:pt>
                <c:pt idx="165">
                  <c:v>676</c:v>
                </c:pt>
                <c:pt idx="166">
                  <c:v>680</c:v>
                </c:pt>
                <c:pt idx="167">
                  <c:v>685</c:v>
                </c:pt>
                <c:pt idx="168">
                  <c:v>689</c:v>
                </c:pt>
                <c:pt idx="169">
                  <c:v>693</c:v>
                </c:pt>
                <c:pt idx="170">
                  <c:v>697</c:v>
                </c:pt>
                <c:pt idx="171">
                  <c:v>701</c:v>
                </c:pt>
                <c:pt idx="172">
                  <c:v>705</c:v>
                </c:pt>
                <c:pt idx="173">
                  <c:v>709</c:v>
                </c:pt>
                <c:pt idx="174">
                  <c:v>713</c:v>
                </c:pt>
                <c:pt idx="175">
                  <c:v>717</c:v>
                </c:pt>
                <c:pt idx="176">
                  <c:v>721</c:v>
                </c:pt>
                <c:pt idx="177">
                  <c:v>726</c:v>
                </c:pt>
                <c:pt idx="178">
                  <c:v>730</c:v>
                </c:pt>
                <c:pt idx="179">
                  <c:v>734</c:v>
                </c:pt>
                <c:pt idx="180">
                  <c:v>738</c:v>
                </c:pt>
                <c:pt idx="181">
                  <c:v>742</c:v>
                </c:pt>
                <c:pt idx="182">
                  <c:v>746</c:v>
                </c:pt>
                <c:pt idx="183">
                  <c:v>750</c:v>
                </c:pt>
                <c:pt idx="184">
                  <c:v>754</c:v>
                </c:pt>
                <c:pt idx="185">
                  <c:v>758</c:v>
                </c:pt>
                <c:pt idx="186">
                  <c:v>762</c:v>
                </c:pt>
                <c:pt idx="187">
                  <c:v>767</c:v>
                </c:pt>
                <c:pt idx="188">
                  <c:v>771</c:v>
                </c:pt>
                <c:pt idx="189">
                  <c:v>775</c:v>
                </c:pt>
                <c:pt idx="190">
                  <c:v>779</c:v>
                </c:pt>
                <c:pt idx="191">
                  <c:v>783</c:v>
                </c:pt>
                <c:pt idx="192">
                  <c:v>787</c:v>
                </c:pt>
                <c:pt idx="193">
                  <c:v>791</c:v>
                </c:pt>
                <c:pt idx="194">
                  <c:v>795</c:v>
                </c:pt>
                <c:pt idx="195">
                  <c:v>799</c:v>
                </c:pt>
                <c:pt idx="196">
                  <c:v>803</c:v>
                </c:pt>
                <c:pt idx="197">
                  <c:v>808</c:v>
                </c:pt>
                <c:pt idx="198">
                  <c:v>812</c:v>
                </c:pt>
                <c:pt idx="199">
                  <c:v>816</c:v>
                </c:pt>
                <c:pt idx="200">
                  <c:v>820</c:v>
                </c:pt>
                <c:pt idx="201">
                  <c:v>824</c:v>
                </c:pt>
                <c:pt idx="202">
                  <c:v>828</c:v>
                </c:pt>
                <c:pt idx="203">
                  <c:v>832</c:v>
                </c:pt>
                <c:pt idx="204">
                  <c:v>836</c:v>
                </c:pt>
                <c:pt idx="205">
                  <c:v>840</c:v>
                </c:pt>
                <c:pt idx="206">
                  <c:v>844</c:v>
                </c:pt>
                <c:pt idx="207">
                  <c:v>849</c:v>
                </c:pt>
                <c:pt idx="208">
                  <c:v>853</c:v>
                </c:pt>
                <c:pt idx="209">
                  <c:v>857</c:v>
                </c:pt>
                <c:pt idx="210">
                  <c:v>861</c:v>
                </c:pt>
                <c:pt idx="211">
                  <c:v>865</c:v>
                </c:pt>
                <c:pt idx="212">
                  <c:v>869</c:v>
                </c:pt>
                <c:pt idx="213">
                  <c:v>873</c:v>
                </c:pt>
                <c:pt idx="214">
                  <c:v>877</c:v>
                </c:pt>
                <c:pt idx="215">
                  <c:v>881</c:v>
                </c:pt>
                <c:pt idx="216">
                  <c:v>885</c:v>
                </c:pt>
                <c:pt idx="217">
                  <c:v>890</c:v>
                </c:pt>
                <c:pt idx="218">
                  <c:v>894</c:v>
                </c:pt>
                <c:pt idx="219">
                  <c:v>898</c:v>
                </c:pt>
                <c:pt idx="220">
                  <c:v>902</c:v>
                </c:pt>
                <c:pt idx="221">
                  <c:v>906</c:v>
                </c:pt>
                <c:pt idx="222">
                  <c:v>910</c:v>
                </c:pt>
                <c:pt idx="223">
                  <c:v>914</c:v>
                </c:pt>
                <c:pt idx="224">
                  <c:v>918</c:v>
                </c:pt>
                <c:pt idx="225">
                  <c:v>922</c:v>
                </c:pt>
                <c:pt idx="226">
                  <c:v>926</c:v>
                </c:pt>
                <c:pt idx="227">
                  <c:v>930</c:v>
                </c:pt>
                <c:pt idx="228">
                  <c:v>935</c:v>
                </c:pt>
                <c:pt idx="229">
                  <c:v>939</c:v>
                </c:pt>
                <c:pt idx="230">
                  <c:v>943</c:v>
                </c:pt>
                <c:pt idx="231">
                  <c:v>947</c:v>
                </c:pt>
                <c:pt idx="232">
                  <c:v>951</c:v>
                </c:pt>
                <c:pt idx="233">
                  <c:v>955</c:v>
                </c:pt>
                <c:pt idx="234">
                  <c:v>959</c:v>
                </c:pt>
                <c:pt idx="235">
                  <c:v>963</c:v>
                </c:pt>
                <c:pt idx="236">
                  <c:v>967</c:v>
                </c:pt>
                <c:pt idx="237">
                  <c:v>971</c:v>
                </c:pt>
                <c:pt idx="238">
                  <c:v>976</c:v>
                </c:pt>
                <c:pt idx="239">
                  <c:v>980</c:v>
                </c:pt>
                <c:pt idx="240">
                  <c:v>984</c:v>
                </c:pt>
                <c:pt idx="241">
                  <c:v>988</c:v>
                </c:pt>
                <c:pt idx="242">
                  <c:v>992</c:v>
                </c:pt>
                <c:pt idx="243">
                  <c:v>996</c:v>
                </c:pt>
                <c:pt idx="244">
                  <c:v>1000</c:v>
                </c:pt>
                <c:pt idx="245">
                  <c:v>1004</c:v>
                </c:pt>
                <c:pt idx="246">
                  <c:v>1008</c:v>
                </c:pt>
                <c:pt idx="247">
                  <c:v>1012</c:v>
                </c:pt>
                <c:pt idx="248">
                  <c:v>1017</c:v>
                </c:pt>
                <c:pt idx="249">
                  <c:v>1021</c:v>
                </c:pt>
                <c:pt idx="250">
                  <c:v>1025</c:v>
                </c:pt>
                <c:pt idx="251">
                  <c:v>1029</c:v>
                </c:pt>
                <c:pt idx="252">
                  <c:v>1033</c:v>
                </c:pt>
                <c:pt idx="253">
                  <c:v>1037</c:v>
                </c:pt>
                <c:pt idx="254">
                  <c:v>1041</c:v>
                </c:pt>
                <c:pt idx="255">
                  <c:v>1045</c:v>
                </c:pt>
                <c:pt idx="256">
                  <c:v>1049</c:v>
                </c:pt>
                <c:pt idx="257">
                  <c:v>1053</c:v>
                </c:pt>
                <c:pt idx="258">
                  <c:v>1058</c:v>
                </c:pt>
                <c:pt idx="259">
                  <c:v>1062</c:v>
                </c:pt>
                <c:pt idx="260">
                  <c:v>1066</c:v>
                </c:pt>
                <c:pt idx="261">
                  <c:v>1070</c:v>
                </c:pt>
                <c:pt idx="262">
                  <c:v>1074</c:v>
                </c:pt>
                <c:pt idx="263">
                  <c:v>1078</c:v>
                </c:pt>
                <c:pt idx="264">
                  <c:v>1082</c:v>
                </c:pt>
                <c:pt idx="265">
                  <c:v>1086</c:v>
                </c:pt>
                <c:pt idx="266">
                  <c:v>1090</c:v>
                </c:pt>
                <c:pt idx="267">
                  <c:v>1094</c:v>
                </c:pt>
                <c:pt idx="268">
                  <c:v>1099</c:v>
                </c:pt>
                <c:pt idx="269">
                  <c:v>1103</c:v>
                </c:pt>
                <c:pt idx="270">
                  <c:v>1107</c:v>
                </c:pt>
                <c:pt idx="271">
                  <c:v>1111</c:v>
                </c:pt>
                <c:pt idx="272">
                  <c:v>1115</c:v>
                </c:pt>
                <c:pt idx="273">
                  <c:v>1119</c:v>
                </c:pt>
                <c:pt idx="274">
                  <c:v>1123</c:v>
                </c:pt>
                <c:pt idx="275">
                  <c:v>1127</c:v>
                </c:pt>
                <c:pt idx="276">
                  <c:v>1131</c:v>
                </c:pt>
                <c:pt idx="277">
                  <c:v>1135</c:v>
                </c:pt>
                <c:pt idx="278">
                  <c:v>1140</c:v>
                </c:pt>
                <c:pt idx="279">
                  <c:v>1144</c:v>
                </c:pt>
                <c:pt idx="280">
                  <c:v>1148</c:v>
                </c:pt>
                <c:pt idx="281">
                  <c:v>1152</c:v>
                </c:pt>
                <c:pt idx="282">
                  <c:v>1156</c:v>
                </c:pt>
                <c:pt idx="283">
                  <c:v>1160</c:v>
                </c:pt>
                <c:pt idx="284">
                  <c:v>1164</c:v>
                </c:pt>
                <c:pt idx="285">
                  <c:v>1168</c:v>
                </c:pt>
                <c:pt idx="286">
                  <c:v>1172</c:v>
                </c:pt>
                <c:pt idx="287">
                  <c:v>1176</c:v>
                </c:pt>
                <c:pt idx="288">
                  <c:v>1181</c:v>
                </c:pt>
                <c:pt idx="289">
                  <c:v>1185</c:v>
                </c:pt>
                <c:pt idx="290">
                  <c:v>1189</c:v>
                </c:pt>
                <c:pt idx="291">
                  <c:v>1193</c:v>
                </c:pt>
                <c:pt idx="292">
                  <c:v>1197</c:v>
                </c:pt>
                <c:pt idx="293">
                  <c:v>1201</c:v>
                </c:pt>
                <c:pt idx="294">
                  <c:v>1205</c:v>
                </c:pt>
                <c:pt idx="295">
                  <c:v>1209</c:v>
                </c:pt>
                <c:pt idx="296">
                  <c:v>1213</c:v>
                </c:pt>
                <c:pt idx="297">
                  <c:v>1217</c:v>
                </c:pt>
                <c:pt idx="298">
                  <c:v>1222</c:v>
                </c:pt>
                <c:pt idx="299">
                  <c:v>1226</c:v>
                </c:pt>
                <c:pt idx="300">
                  <c:v>1230</c:v>
                </c:pt>
                <c:pt idx="301">
                  <c:v>1234</c:v>
                </c:pt>
                <c:pt idx="302">
                  <c:v>1238</c:v>
                </c:pt>
                <c:pt idx="303">
                  <c:v>1242</c:v>
                </c:pt>
                <c:pt idx="304">
                  <c:v>1246</c:v>
                </c:pt>
                <c:pt idx="305">
                  <c:v>1250</c:v>
                </c:pt>
                <c:pt idx="306">
                  <c:v>1254</c:v>
                </c:pt>
                <c:pt idx="307">
                  <c:v>1258</c:v>
                </c:pt>
                <c:pt idx="308">
                  <c:v>1263</c:v>
                </c:pt>
                <c:pt idx="309">
                  <c:v>1267</c:v>
                </c:pt>
                <c:pt idx="310">
                  <c:v>1271</c:v>
                </c:pt>
                <c:pt idx="311">
                  <c:v>1275</c:v>
                </c:pt>
                <c:pt idx="312">
                  <c:v>1279</c:v>
                </c:pt>
                <c:pt idx="313">
                  <c:v>1283</c:v>
                </c:pt>
                <c:pt idx="314">
                  <c:v>1287</c:v>
                </c:pt>
                <c:pt idx="315">
                  <c:v>1291</c:v>
                </c:pt>
                <c:pt idx="316">
                  <c:v>1295</c:v>
                </c:pt>
                <c:pt idx="317">
                  <c:v>1299</c:v>
                </c:pt>
                <c:pt idx="318">
                  <c:v>1304</c:v>
                </c:pt>
                <c:pt idx="319">
                  <c:v>1308</c:v>
                </c:pt>
                <c:pt idx="320">
                  <c:v>1312</c:v>
                </c:pt>
                <c:pt idx="321">
                  <c:v>1316</c:v>
                </c:pt>
                <c:pt idx="322">
                  <c:v>1320</c:v>
                </c:pt>
                <c:pt idx="323">
                  <c:v>1324</c:v>
                </c:pt>
                <c:pt idx="324">
                  <c:v>1328</c:v>
                </c:pt>
                <c:pt idx="325">
                  <c:v>1332</c:v>
                </c:pt>
                <c:pt idx="326">
                  <c:v>1336</c:v>
                </c:pt>
                <c:pt idx="327">
                  <c:v>1340</c:v>
                </c:pt>
                <c:pt idx="328">
                  <c:v>1345</c:v>
                </c:pt>
                <c:pt idx="329">
                  <c:v>1349</c:v>
                </c:pt>
                <c:pt idx="330">
                  <c:v>1353</c:v>
                </c:pt>
                <c:pt idx="331">
                  <c:v>1357</c:v>
                </c:pt>
                <c:pt idx="332">
                  <c:v>1361</c:v>
                </c:pt>
                <c:pt idx="333">
                  <c:v>1365</c:v>
                </c:pt>
                <c:pt idx="334">
                  <c:v>1369</c:v>
                </c:pt>
                <c:pt idx="335">
                  <c:v>1373</c:v>
                </c:pt>
                <c:pt idx="336">
                  <c:v>1377</c:v>
                </c:pt>
                <c:pt idx="337">
                  <c:v>1381</c:v>
                </c:pt>
                <c:pt idx="338">
                  <c:v>1385</c:v>
                </c:pt>
                <c:pt idx="339">
                  <c:v>1390</c:v>
                </c:pt>
                <c:pt idx="340">
                  <c:v>1394</c:v>
                </c:pt>
                <c:pt idx="341">
                  <c:v>1398</c:v>
                </c:pt>
                <c:pt idx="342">
                  <c:v>1402</c:v>
                </c:pt>
                <c:pt idx="343">
                  <c:v>1406</c:v>
                </c:pt>
                <c:pt idx="344">
                  <c:v>1410</c:v>
                </c:pt>
                <c:pt idx="345">
                  <c:v>1414</c:v>
                </c:pt>
                <c:pt idx="346">
                  <c:v>1418</c:v>
                </c:pt>
                <c:pt idx="347">
                  <c:v>1422</c:v>
                </c:pt>
                <c:pt idx="348">
                  <c:v>1426</c:v>
                </c:pt>
                <c:pt idx="349">
                  <c:v>1431</c:v>
                </c:pt>
                <c:pt idx="350">
                  <c:v>1435</c:v>
                </c:pt>
                <c:pt idx="351">
                  <c:v>1439</c:v>
                </c:pt>
                <c:pt idx="352">
                  <c:v>1443</c:v>
                </c:pt>
                <c:pt idx="353">
                  <c:v>1447</c:v>
                </c:pt>
                <c:pt idx="354">
                  <c:v>1451</c:v>
                </c:pt>
                <c:pt idx="355">
                  <c:v>1455</c:v>
                </c:pt>
                <c:pt idx="356">
                  <c:v>1459</c:v>
                </c:pt>
                <c:pt idx="357">
                  <c:v>1463</c:v>
                </c:pt>
                <c:pt idx="358">
                  <c:v>1467</c:v>
                </c:pt>
                <c:pt idx="359">
                  <c:v>1472</c:v>
                </c:pt>
                <c:pt idx="360">
                  <c:v>1476</c:v>
                </c:pt>
                <c:pt idx="361">
                  <c:v>1480</c:v>
                </c:pt>
                <c:pt idx="362">
                  <c:v>1484</c:v>
                </c:pt>
                <c:pt idx="363">
                  <c:v>1488</c:v>
                </c:pt>
                <c:pt idx="364">
                  <c:v>1492</c:v>
                </c:pt>
                <c:pt idx="365">
                  <c:v>1496</c:v>
                </c:pt>
                <c:pt idx="366">
                  <c:v>1500</c:v>
                </c:pt>
                <c:pt idx="367">
                  <c:v>1504</c:v>
                </c:pt>
                <c:pt idx="368">
                  <c:v>1508</c:v>
                </c:pt>
                <c:pt idx="369">
                  <c:v>1513</c:v>
                </c:pt>
                <c:pt idx="370">
                  <c:v>1517</c:v>
                </c:pt>
                <c:pt idx="371">
                  <c:v>1521</c:v>
                </c:pt>
                <c:pt idx="372">
                  <c:v>1525</c:v>
                </c:pt>
                <c:pt idx="373">
                  <c:v>1529</c:v>
                </c:pt>
                <c:pt idx="374">
                  <c:v>1533</c:v>
                </c:pt>
                <c:pt idx="375">
                  <c:v>1537</c:v>
                </c:pt>
                <c:pt idx="376">
                  <c:v>1541</c:v>
                </c:pt>
                <c:pt idx="377">
                  <c:v>1545</c:v>
                </c:pt>
                <c:pt idx="378">
                  <c:v>1549</c:v>
                </c:pt>
                <c:pt idx="379">
                  <c:v>1554</c:v>
                </c:pt>
                <c:pt idx="380">
                  <c:v>1558</c:v>
                </c:pt>
                <c:pt idx="381">
                  <c:v>1562</c:v>
                </c:pt>
                <c:pt idx="382">
                  <c:v>1566</c:v>
                </c:pt>
                <c:pt idx="383">
                  <c:v>1570</c:v>
                </c:pt>
                <c:pt idx="384">
                  <c:v>1574</c:v>
                </c:pt>
                <c:pt idx="385">
                  <c:v>1578</c:v>
                </c:pt>
                <c:pt idx="386">
                  <c:v>1582</c:v>
                </c:pt>
                <c:pt idx="387">
                  <c:v>1586</c:v>
                </c:pt>
                <c:pt idx="388">
                  <c:v>1590</c:v>
                </c:pt>
                <c:pt idx="389">
                  <c:v>1595</c:v>
                </c:pt>
                <c:pt idx="390">
                  <c:v>1599</c:v>
                </c:pt>
                <c:pt idx="391">
                  <c:v>1603</c:v>
                </c:pt>
                <c:pt idx="392">
                  <c:v>1607</c:v>
                </c:pt>
                <c:pt idx="393">
                  <c:v>1611</c:v>
                </c:pt>
                <c:pt idx="394">
                  <c:v>1615</c:v>
                </c:pt>
                <c:pt idx="395">
                  <c:v>1619</c:v>
                </c:pt>
                <c:pt idx="396">
                  <c:v>1623</c:v>
                </c:pt>
                <c:pt idx="397">
                  <c:v>1627</c:v>
                </c:pt>
                <c:pt idx="398">
                  <c:v>1631</c:v>
                </c:pt>
                <c:pt idx="399">
                  <c:v>1636</c:v>
                </c:pt>
                <c:pt idx="400">
                  <c:v>1640</c:v>
                </c:pt>
                <c:pt idx="401">
                  <c:v>1644</c:v>
                </c:pt>
                <c:pt idx="402">
                  <c:v>1648</c:v>
                </c:pt>
                <c:pt idx="403">
                  <c:v>1652</c:v>
                </c:pt>
                <c:pt idx="404">
                  <c:v>1656</c:v>
                </c:pt>
                <c:pt idx="405">
                  <c:v>1660</c:v>
                </c:pt>
                <c:pt idx="406">
                  <c:v>1664</c:v>
                </c:pt>
                <c:pt idx="407">
                  <c:v>1668</c:v>
                </c:pt>
                <c:pt idx="408">
                  <c:v>1672</c:v>
                </c:pt>
                <c:pt idx="409">
                  <c:v>1677</c:v>
                </c:pt>
                <c:pt idx="410">
                  <c:v>1681</c:v>
                </c:pt>
                <c:pt idx="411">
                  <c:v>1685</c:v>
                </c:pt>
                <c:pt idx="412">
                  <c:v>1689</c:v>
                </c:pt>
                <c:pt idx="413">
                  <c:v>1693</c:v>
                </c:pt>
                <c:pt idx="414">
                  <c:v>1697</c:v>
                </c:pt>
                <c:pt idx="415">
                  <c:v>1701</c:v>
                </c:pt>
                <c:pt idx="416">
                  <c:v>1705</c:v>
                </c:pt>
                <c:pt idx="417">
                  <c:v>1709</c:v>
                </c:pt>
                <c:pt idx="418">
                  <c:v>1713</c:v>
                </c:pt>
                <c:pt idx="419">
                  <c:v>1718</c:v>
                </c:pt>
                <c:pt idx="420">
                  <c:v>1722</c:v>
                </c:pt>
                <c:pt idx="421">
                  <c:v>1726</c:v>
                </c:pt>
                <c:pt idx="422">
                  <c:v>1730</c:v>
                </c:pt>
                <c:pt idx="423">
                  <c:v>1734</c:v>
                </c:pt>
                <c:pt idx="424">
                  <c:v>1738</c:v>
                </c:pt>
                <c:pt idx="425">
                  <c:v>1742</c:v>
                </c:pt>
                <c:pt idx="426">
                  <c:v>1746</c:v>
                </c:pt>
                <c:pt idx="427">
                  <c:v>1750</c:v>
                </c:pt>
                <c:pt idx="428">
                  <c:v>1754</c:v>
                </c:pt>
                <c:pt idx="429">
                  <c:v>1759</c:v>
                </c:pt>
                <c:pt idx="430">
                  <c:v>1763</c:v>
                </c:pt>
                <c:pt idx="431">
                  <c:v>1767</c:v>
                </c:pt>
                <c:pt idx="432">
                  <c:v>1771</c:v>
                </c:pt>
                <c:pt idx="433">
                  <c:v>1775</c:v>
                </c:pt>
                <c:pt idx="434">
                  <c:v>1779</c:v>
                </c:pt>
                <c:pt idx="435">
                  <c:v>1783</c:v>
                </c:pt>
                <c:pt idx="436">
                  <c:v>1787</c:v>
                </c:pt>
                <c:pt idx="437">
                  <c:v>1791</c:v>
                </c:pt>
                <c:pt idx="438">
                  <c:v>1795</c:v>
                </c:pt>
                <c:pt idx="439">
                  <c:v>1800</c:v>
                </c:pt>
                <c:pt idx="440">
                  <c:v>1804</c:v>
                </c:pt>
                <c:pt idx="441">
                  <c:v>1808</c:v>
                </c:pt>
                <c:pt idx="442">
                  <c:v>1812</c:v>
                </c:pt>
                <c:pt idx="443">
                  <c:v>1816</c:v>
                </c:pt>
                <c:pt idx="444">
                  <c:v>1820</c:v>
                </c:pt>
                <c:pt idx="445">
                  <c:v>1824</c:v>
                </c:pt>
                <c:pt idx="446">
                  <c:v>1828</c:v>
                </c:pt>
                <c:pt idx="447">
                  <c:v>1832</c:v>
                </c:pt>
                <c:pt idx="448">
                  <c:v>1836</c:v>
                </c:pt>
                <c:pt idx="449">
                  <c:v>1840</c:v>
                </c:pt>
                <c:pt idx="450">
                  <c:v>1845</c:v>
                </c:pt>
                <c:pt idx="451">
                  <c:v>1849</c:v>
                </c:pt>
                <c:pt idx="452">
                  <c:v>1853</c:v>
                </c:pt>
                <c:pt idx="453">
                  <c:v>1857</c:v>
                </c:pt>
                <c:pt idx="454">
                  <c:v>1861</c:v>
                </c:pt>
                <c:pt idx="455">
                  <c:v>1865</c:v>
                </c:pt>
                <c:pt idx="456">
                  <c:v>1869</c:v>
                </c:pt>
                <c:pt idx="457">
                  <c:v>1873</c:v>
                </c:pt>
                <c:pt idx="458">
                  <c:v>1877</c:v>
                </c:pt>
                <c:pt idx="459">
                  <c:v>1881</c:v>
                </c:pt>
                <c:pt idx="460">
                  <c:v>1886</c:v>
                </c:pt>
                <c:pt idx="461">
                  <c:v>1890</c:v>
                </c:pt>
                <c:pt idx="462">
                  <c:v>1894</c:v>
                </c:pt>
                <c:pt idx="463">
                  <c:v>1898</c:v>
                </c:pt>
                <c:pt idx="464">
                  <c:v>1902</c:v>
                </c:pt>
                <c:pt idx="465">
                  <c:v>1906</c:v>
                </c:pt>
                <c:pt idx="466">
                  <c:v>1910</c:v>
                </c:pt>
                <c:pt idx="467">
                  <c:v>1914</c:v>
                </c:pt>
                <c:pt idx="468">
                  <c:v>1918</c:v>
                </c:pt>
                <c:pt idx="469">
                  <c:v>1922</c:v>
                </c:pt>
                <c:pt idx="470">
                  <c:v>1927</c:v>
                </c:pt>
                <c:pt idx="471">
                  <c:v>1931</c:v>
                </c:pt>
                <c:pt idx="472">
                  <c:v>1935</c:v>
                </c:pt>
                <c:pt idx="473">
                  <c:v>1939</c:v>
                </c:pt>
                <c:pt idx="474">
                  <c:v>1943</c:v>
                </c:pt>
                <c:pt idx="475">
                  <c:v>1947</c:v>
                </c:pt>
                <c:pt idx="476">
                  <c:v>1951</c:v>
                </c:pt>
                <c:pt idx="477">
                  <c:v>1955</c:v>
                </c:pt>
                <c:pt idx="478">
                  <c:v>1959</c:v>
                </c:pt>
                <c:pt idx="479">
                  <c:v>1963</c:v>
                </c:pt>
                <c:pt idx="480">
                  <c:v>1968</c:v>
                </c:pt>
                <c:pt idx="481">
                  <c:v>1972</c:v>
                </c:pt>
                <c:pt idx="482">
                  <c:v>1976</c:v>
                </c:pt>
                <c:pt idx="483">
                  <c:v>1980</c:v>
                </c:pt>
                <c:pt idx="484">
                  <c:v>1984</c:v>
                </c:pt>
                <c:pt idx="485">
                  <c:v>1988</c:v>
                </c:pt>
                <c:pt idx="486">
                  <c:v>1992</c:v>
                </c:pt>
                <c:pt idx="487">
                  <c:v>1996</c:v>
                </c:pt>
                <c:pt idx="488">
                  <c:v>2000</c:v>
                </c:pt>
                <c:pt idx="489">
                  <c:v>2004</c:v>
                </c:pt>
                <c:pt idx="490">
                  <c:v>2009</c:v>
                </c:pt>
                <c:pt idx="491">
                  <c:v>2013</c:v>
                </c:pt>
                <c:pt idx="492">
                  <c:v>2017</c:v>
                </c:pt>
                <c:pt idx="493">
                  <c:v>2021</c:v>
                </c:pt>
                <c:pt idx="494">
                  <c:v>2025</c:v>
                </c:pt>
                <c:pt idx="495">
                  <c:v>2029</c:v>
                </c:pt>
                <c:pt idx="496">
                  <c:v>2033</c:v>
                </c:pt>
                <c:pt idx="497">
                  <c:v>2037</c:v>
                </c:pt>
                <c:pt idx="498">
                  <c:v>2041</c:v>
                </c:pt>
                <c:pt idx="499">
                  <c:v>2045</c:v>
                </c:pt>
                <c:pt idx="500">
                  <c:v>2050</c:v>
                </c:pt>
                <c:pt idx="501">
                  <c:v>2054</c:v>
                </c:pt>
                <c:pt idx="502">
                  <c:v>2058</c:v>
                </c:pt>
                <c:pt idx="503">
                  <c:v>2062</c:v>
                </c:pt>
                <c:pt idx="504">
                  <c:v>2066</c:v>
                </c:pt>
                <c:pt idx="505">
                  <c:v>2070</c:v>
                </c:pt>
                <c:pt idx="506">
                  <c:v>2074</c:v>
                </c:pt>
                <c:pt idx="507">
                  <c:v>2078</c:v>
                </c:pt>
                <c:pt idx="508">
                  <c:v>2082</c:v>
                </c:pt>
                <c:pt idx="509">
                  <c:v>2086</c:v>
                </c:pt>
                <c:pt idx="510">
                  <c:v>2091</c:v>
                </c:pt>
                <c:pt idx="511">
                  <c:v>2095</c:v>
                </c:pt>
                <c:pt idx="512">
                  <c:v>2099</c:v>
                </c:pt>
                <c:pt idx="513">
                  <c:v>2103</c:v>
                </c:pt>
                <c:pt idx="514">
                  <c:v>2107</c:v>
                </c:pt>
                <c:pt idx="515">
                  <c:v>2111</c:v>
                </c:pt>
                <c:pt idx="516">
                  <c:v>2115</c:v>
                </c:pt>
                <c:pt idx="517">
                  <c:v>2119</c:v>
                </c:pt>
                <c:pt idx="518">
                  <c:v>2123</c:v>
                </c:pt>
                <c:pt idx="519">
                  <c:v>2127</c:v>
                </c:pt>
                <c:pt idx="520">
                  <c:v>2132</c:v>
                </c:pt>
                <c:pt idx="521">
                  <c:v>2136</c:v>
                </c:pt>
                <c:pt idx="522">
                  <c:v>2140</c:v>
                </c:pt>
                <c:pt idx="523">
                  <c:v>2144</c:v>
                </c:pt>
                <c:pt idx="524">
                  <c:v>2148</c:v>
                </c:pt>
                <c:pt idx="525">
                  <c:v>2152</c:v>
                </c:pt>
                <c:pt idx="526">
                  <c:v>2156</c:v>
                </c:pt>
                <c:pt idx="527">
                  <c:v>2160</c:v>
                </c:pt>
                <c:pt idx="528">
                  <c:v>2164</c:v>
                </c:pt>
                <c:pt idx="529">
                  <c:v>2168</c:v>
                </c:pt>
                <c:pt idx="530">
                  <c:v>2173</c:v>
                </c:pt>
                <c:pt idx="531">
                  <c:v>2177</c:v>
                </c:pt>
                <c:pt idx="532">
                  <c:v>2181</c:v>
                </c:pt>
                <c:pt idx="533">
                  <c:v>2185</c:v>
                </c:pt>
                <c:pt idx="534">
                  <c:v>2189</c:v>
                </c:pt>
                <c:pt idx="535">
                  <c:v>2193</c:v>
                </c:pt>
                <c:pt idx="536">
                  <c:v>2197</c:v>
                </c:pt>
                <c:pt idx="537">
                  <c:v>2201</c:v>
                </c:pt>
                <c:pt idx="538">
                  <c:v>2205</c:v>
                </c:pt>
                <c:pt idx="539">
                  <c:v>2209</c:v>
                </c:pt>
                <c:pt idx="540">
                  <c:v>2214</c:v>
                </c:pt>
                <c:pt idx="541">
                  <c:v>2218</c:v>
                </c:pt>
                <c:pt idx="542">
                  <c:v>2222</c:v>
                </c:pt>
                <c:pt idx="543">
                  <c:v>2226</c:v>
                </c:pt>
                <c:pt idx="544">
                  <c:v>2230</c:v>
                </c:pt>
                <c:pt idx="545">
                  <c:v>2234</c:v>
                </c:pt>
                <c:pt idx="546">
                  <c:v>2238</c:v>
                </c:pt>
                <c:pt idx="547">
                  <c:v>2242</c:v>
                </c:pt>
                <c:pt idx="548">
                  <c:v>2246</c:v>
                </c:pt>
                <c:pt idx="549">
                  <c:v>2250</c:v>
                </c:pt>
                <c:pt idx="550">
                  <c:v>2255</c:v>
                </c:pt>
                <c:pt idx="551">
                  <c:v>2259</c:v>
                </c:pt>
                <c:pt idx="552">
                  <c:v>2263</c:v>
                </c:pt>
                <c:pt idx="553">
                  <c:v>2267</c:v>
                </c:pt>
                <c:pt idx="554">
                  <c:v>2271</c:v>
                </c:pt>
                <c:pt idx="555">
                  <c:v>2275</c:v>
                </c:pt>
                <c:pt idx="556">
                  <c:v>2279</c:v>
                </c:pt>
                <c:pt idx="557">
                  <c:v>2283</c:v>
                </c:pt>
                <c:pt idx="558">
                  <c:v>2287</c:v>
                </c:pt>
                <c:pt idx="559">
                  <c:v>2291</c:v>
                </c:pt>
                <c:pt idx="560">
                  <c:v>2295</c:v>
                </c:pt>
                <c:pt idx="561">
                  <c:v>2300</c:v>
                </c:pt>
                <c:pt idx="562">
                  <c:v>2304</c:v>
                </c:pt>
                <c:pt idx="563">
                  <c:v>2308</c:v>
                </c:pt>
                <c:pt idx="564">
                  <c:v>2312</c:v>
                </c:pt>
                <c:pt idx="565">
                  <c:v>2316</c:v>
                </c:pt>
                <c:pt idx="566">
                  <c:v>2320</c:v>
                </c:pt>
                <c:pt idx="567">
                  <c:v>2324</c:v>
                </c:pt>
                <c:pt idx="568">
                  <c:v>2328</c:v>
                </c:pt>
                <c:pt idx="569">
                  <c:v>2332</c:v>
                </c:pt>
                <c:pt idx="570">
                  <c:v>2336</c:v>
                </c:pt>
                <c:pt idx="571">
                  <c:v>2341</c:v>
                </c:pt>
                <c:pt idx="572">
                  <c:v>2345</c:v>
                </c:pt>
                <c:pt idx="573">
                  <c:v>2349</c:v>
                </c:pt>
                <c:pt idx="574">
                  <c:v>2353</c:v>
                </c:pt>
                <c:pt idx="575">
                  <c:v>2357</c:v>
                </c:pt>
                <c:pt idx="576">
                  <c:v>2361</c:v>
                </c:pt>
                <c:pt idx="577">
                  <c:v>2365</c:v>
                </c:pt>
                <c:pt idx="578">
                  <c:v>2369</c:v>
                </c:pt>
                <c:pt idx="579">
                  <c:v>2373</c:v>
                </c:pt>
                <c:pt idx="580">
                  <c:v>2377</c:v>
                </c:pt>
                <c:pt idx="581">
                  <c:v>2382</c:v>
                </c:pt>
                <c:pt idx="582">
                  <c:v>2386</c:v>
                </c:pt>
                <c:pt idx="583">
                  <c:v>2390</c:v>
                </c:pt>
                <c:pt idx="584">
                  <c:v>2394</c:v>
                </c:pt>
                <c:pt idx="585">
                  <c:v>2398</c:v>
                </c:pt>
                <c:pt idx="586">
                  <c:v>2402</c:v>
                </c:pt>
                <c:pt idx="587">
                  <c:v>2406</c:v>
                </c:pt>
                <c:pt idx="588">
                  <c:v>2410</c:v>
                </c:pt>
                <c:pt idx="589">
                  <c:v>2414</c:v>
                </c:pt>
                <c:pt idx="590">
                  <c:v>2418</c:v>
                </c:pt>
                <c:pt idx="591">
                  <c:v>2423</c:v>
                </c:pt>
                <c:pt idx="592">
                  <c:v>2427</c:v>
                </c:pt>
                <c:pt idx="593">
                  <c:v>2431</c:v>
                </c:pt>
                <c:pt idx="594">
                  <c:v>2435</c:v>
                </c:pt>
                <c:pt idx="595">
                  <c:v>2439</c:v>
                </c:pt>
                <c:pt idx="596">
                  <c:v>2443</c:v>
                </c:pt>
                <c:pt idx="597">
                  <c:v>2447</c:v>
                </c:pt>
                <c:pt idx="598">
                  <c:v>2451</c:v>
                </c:pt>
                <c:pt idx="599">
                  <c:v>2455</c:v>
                </c:pt>
                <c:pt idx="600">
                  <c:v>2459</c:v>
                </c:pt>
                <c:pt idx="601">
                  <c:v>2464</c:v>
                </c:pt>
                <c:pt idx="602">
                  <c:v>2468</c:v>
                </c:pt>
                <c:pt idx="603">
                  <c:v>2472</c:v>
                </c:pt>
                <c:pt idx="604">
                  <c:v>2476</c:v>
                </c:pt>
                <c:pt idx="605">
                  <c:v>2480</c:v>
                </c:pt>
                <c:pt idx="606">
                  <c:v>2484</c:v>
                </c:pt>
                <c:pt idx="607">
                  <c:v>2488</c:v>
                </c:pt>
                <c:pt idx="608">
                  <c:v>2492</c:v>
                </c:pt>
                <c:pt idx="609">
                  <c:v>2496</c:v>
                </c:pt>
                <c:pt idx="610">
                  <c:v>2500</c:v>
                </c:pt>
                <c:pt idx="611">
                  <c:v>2505</c:v>
                </c:pt>
                <c:pt idx="612">
                  <c:v>2509</c:v>
                </c:pt>
                <c:pt idx="613">
                  <c:v>2513</c:v>
                </c:pt>
                <c:pt idx="614">
                  <c:v>2517</c:v>
                </c:pt>
                <c:pt idx="615">
                  <c:v>2521</c:v>
                </c:pt>
                <c:pt idx="616">
                  <c:v>2525</c:v>
                </c:pt>
                <c:pt idx="617">
                  <c:v>2529</c:v>
                </c:pt>
                <c:pt idx="618">
                  <c:v>2533</c:v>
                </c:pt>
                <c:pt idx="619">
                  <c:v>2537</c:v>
                </c:pt>
                <c:pt idx="620">
                  <c:v>2541</c:v>
                </c:pt>
                <c:pt idx="621">
                  <c:v>2546</c:v>
                </c:pt>
                <c:pt idx="622">
                  <c:v>2550</c:v>
                </c:pt>
                <c:pt idx="623">
                  <c:v>2554</c:v>
                </c:pt>
                <c:pt idx="624">
                  <c:v>2558</c:v>
                </c:pt>
                <c:pt idx="625">
                  <c:v>2562</c:v>
                </c:pt>
                <c:pt idx="626">
                  <c:v>2566</c:v>
                </c:pt>
                <c:pt idx="627">
                  <c:v>2570</c:v>
                </c:pt>
                <c:pt idx="628">
                  <c:v>2574</c:v>
                </c:pt>
                <c:pt idx="629">
                  <c:v>2578</c:v>
                </c:pt>
                <c:pt idx="630">
                  <c:v>2582</c:v>
                </c:pt>
                <c:pt idx="631">
                  <c:v>2587</c:v>
                </c:pt>
                <c:pt idx="632">
                  <c:v>2591</c:v>
                </c:pt>
                <c:pt idx="633">
                  <c:v>2595</c:v>
                </c:pt>
                <c:pt idx="634">
                  <c:v>2599</c:v>
                </c:pt>
                <c:pt idx="635">
                  <c:v>2603</c:v>
                </c:pt>
                <c:pt idx="636">
                  <c:v>2607</c:v>
                </c:pt>
                <c:pt idx="637">
                  <c:v>2611</c:v>
                </c:pt>
                <c:pt idx="638">
                  <c:v>2615</c:v>
                </c:pt>
                <c:pt idx="639">
                  <c:v>2619</c:v>
                </c:pt>
                <c:pt idx="640">
                  <c:v>2623</c:v>
                </c:pt>
                <c:pt idx="641">
                  <c:v>2628</c:v>
                </c:pt>
                <c:pt idx="642">
                  <c:v>2632</c:v>
                </c:pt>
                <c:pt idx="643">
                  <c:v>2636</c:v>
                </c:pt>
                <c:pt idx="644">
                  <c:v>2640</c:v>
                </c:pt>
                <c:pt idx="645">
                  <c:v>2644</c:v>
                </c:pt>
                <c:pt idx="646">
                  <c:v>2648</c:v>
                </c:pt>
                <c:pt idx="647">
                  <c:v>2652</c:v>
                </c:pt>
                <c:pt idx="648">
                  <c:v>2656</c:v>
                </c:pt>
                <c:pt idx="649">
                  <c:v>2660</c:v>
                </c:pt>
                <c:pt idx="650">
                  <c:v>2664</c:v>
                </c:pt>
                <c:pt idx="651">
                  <c:v>2669</c:v>
                </c:pt>
                <c:pt idx="652">
                  <c:v>2673</c:v>
                </c:pt>
                <c:pt idx="653">
                  <c:v>2677</c:v>
                </c:pt>
                <c:pt idx="654">
                  <c:v>2681</c:v>
                </c:pt>
                <c:pt idx="655">
                  <c:v>2685</c:v>
                </c:pt>
                <c:pt idx="656">
                  <c:v>2689</c:v>
                </c:pt>
                <c:pt idx="657">
                  <c:v>2693</c:v>
                </c:pt>
                <c:pt idx="658">
                  <c:v>2697</c:v>
                </c:pt>
                <c:pt idx="659">
                  <c:v>2701</c:v>
                </c:pt>
                <c:pt idx="660">
                  <c:v>2705</c:v>
                </c:pt>
                <c:pt idx="661">
                  <c:v>2710</c:v>
                </c:pt>
                <c:pt idx="662">
                  <c:v>2714</c:v>
                </c:pt>
                <c:pt idx="663">
                  <c:v>2718</c:v>
                </c:pt>
                <c:pt idx="664">
                  <c:v>2722</c:v>
                </c:pt>
                <c:pt idx="665">
                  <c:v>2726</c:v>
                </c:pt>
                <c:pt idx="666">
                  <c:v>2730</c:v>
                </c:pt>
                <c:pt idx="667">
                  <c:v>2734</c:v>
                </c:pt>
                <c:pt idx="668">
                  <c:v>2738</c:v>
                </c:pt>
                <c:pt idx="669">
                  <c:v>2742</c:v>
                </c:pt>
                <c:pt idx="670">
                  <c:v>2746</c:v>
                </c:pt>
                <c:pt idx="671">
                  <c:v>2750</c:v>
                </c:pt>
                <c:pt idx="672">
                  <c:v>2755</c:v>
                </c:pt>
                <c:pt idx="673">
                  <c:v>2759</c:v>
                </c:pt>
                <c:pt idx="674">
                  <c:v>2763</c:v>
                </c:pt>
                <c:pt idx="675">
                  <c:v>2767</c:v>
                </c:pt>
                <c:pt idx="676">
                  <c:v>2771</c:v>
                </c:pt>
                <c:pt idx="677">
                  <c:v>2775</c:v>
                </c:pt>
                <c:pt idx="678">
                  <c:v>2779</c:v>
                </c:pt>
                <c:pt idx="679">
                  <c:v>2783</c:v>
                </c:pt>
                <c:pt idx="680">
                  <c:v>2787</c:v>
                </c:pt>
                <c:pt idx="681">
                  <c:v>2791</c:v>
                </c:pt>
                <c:pt idx="682">
                  <c:v>2796</c:v>
                </c:pt>
                <c:pt idx="683">
                  <c:v>2800</c:v>
                </c:pt>
                <c:pt idx="684">
                  <c:v>2804</c:v>
                </c:pt>
                <c:pt idx="685">
                  <c:v>2808</c:v>
                </c:pt>
                <c:pt idx="686">
                  <c:v>2812</c:v>
                </c:pt>
                <c:pt idx="687">
                  <c:v>2816</c:v>
                </c:pt>
                <c:pt idx="688">
                  <c:v>2820</c:v>
                </c:pt>
                <c:pt idx="689">
                  <c:v>2824</c:v>
                </c:pt>
                <c:pt idx="690">
                  <c:v>2828</c:v>
                </c:pt>
                <c:pt idx="691">
                  <c:v>2832</c:v>
                </c:pt>
                <c:pt idx="692">
                  <c:v>2837</c:v>
                </c:pt>
                <c:pt idx="693">
                  <c:v>2841</c:v>
                </c:pt>
                <c:pt idx="694">
                  <c:v>2845</c:v>
                </c:pt>
                <c:pt idx="695">
                  <c:v>2849</c:v>
                </c:pt>
                <c:pt idx="696">
                  <c:v>2853</c:v>
                </c:pt>
                <c:pt idx="697">
                  <c:v>2857</c:v>
                </c:pt>
                <c:pt idx="698">
                  <c:v>2861</c:v>
                </c:pt>
                <c:pt idx="699">
                  <c:v>2865</c:v>
                </c:pt>
                <c:pt idx="700">
                  <c:v>2869</c:v>
                </c:pt>
                <c:pt idx="701">
                  <c:v>2873</c:v>
                </c:pt>
                <c:pt idx="702">
                  <c:v>2878</c:v>
                </c:pt>
                <c:pt idx="703">
                  <c:v>2882</c:v>
                </c:pt>
                <c:pt idx="704">
                  <c:v>2886</c:v>
                </c:pt>
                <c:pt idx="705">
                  <c:v>2890</c:v>
                </c:pt>
                <c:pt idx="706">
                  <c:v>2894</c:v>
                </c:pt>
                <c:pt idx="707">
                  <c:v>2898</c:v>
                </c:pt>
                <c:pt idx="708">
                  <c:v>2902</c:v>
                </c:pt>
                <c:pt idx="709">
                  <c:v>2906</c:v>
                </c:pt>
                <c:pt idx="710">
                  <c:v>2910</c:v>
                </c:pt>
                <c:pt idx="711">
                  <c:v>2914</c:v>
                </c:pt>
                <c:pt idx="712">
                  <c:v>2919</c:v>
                </c:pt>
                <c:pt idx="713">
                  <c:v>2923</c:v>
                </c:pt>
                <c:pt idx="714">
                  <c:v>2927</c:v>
                </c:pt>
                <c:pt idx="715">
                  <c:v>2931</c:v>
                </c:pt>
                <c:pt idx="716">
                  <c:v>2935</c:v>
                </c:pt>
                <c:pt idx="717">
                  <c:v>2939</c:v>
                </c:pt>
                <c:pt idx="718">
                  <c:v>2943</c:v>
                </c:pt>
                <c:pt idx="719">
                  <c:v>2947</c:v>
                </c:pt>
                <c:pt idx="720">
                  <c:v>2951</c:v>
                </c:pt>
                <c:pt idx="721">
                  <c:v>2955</c:v>
                </c:pt>
                <c:pt idx="722">
                  <c:v>2960</c:v>
                </c:pt>
                <c:pt idx="723">
                  <c:v>2964</c:v>
                </c:pt>
                <c:pt idx="724">
                  <c:v>2968</c:v>
                </c:pt>
                <c:pt idx="725">
                  <c:v>2972</c:v>
                </c:pt>
                <c:pt idx="726">
                  <c:v>2976</c:v>
                </c:pt>
                <c:pt idx="727">
                  <c:v>2980</c:v>
                </c:pt>
                <c:pt idx="728">
                  <c:v>2984</c:v>
                </c:pt>
                <c:pt idx="729">
                  <c:v>2988</c:v>
                </c:pt>
                <c:pt idx="730">
                  <c:v>2992</c:v>
                </c:pt>
                <c:pt idx="731">
                  <c:v>2996</c:v>
                </c:pt>
                <c:pt idx="732">
                  <c:v>3001</c:v>
                </c:pt>
                <c:pt idx="733">
                  <c:v>3005</c:v>
                </c:pt>
                <c:pt idx="734">
                  <c:v>3009</c:v>
                </c:pt>
                <c:pt idx="735">
                  <c:v>3013</c:v>
                </c:pt>
                <c:pt idx="736">
                  <c:v>3017</c:v>
                </c:pt>
                <c:pt idx="737">
                  <c:v>3021</c:v>
                </c:pt>
                <c:pt idx="738">
                  <c:v>3025</c:v>
                </c:pt>
                <c:pt idx="739">
                  <c:v>3029</c:v>
                </c:pt>
                <c:pt idx="740">
                  <c:v>3033</c:v>
                </c:pt>
                <c:pt idx="741">
                  <c:v>3037</c:v>
                </c:pt>
                <c:pt idx="742">
                  <c:v>3042</c:v>
                </c:pt>
                <c:pt idx="743">
                  <c:v>3046</c:v>
                </c:pt>
                <c:pt idx="744">
                  <c:v>3050</c:v>
                </c:pt>
                <c:pt idx="745">
                  <c:v>3054</c:v>
                </c:pt>
                <c:pt idx="746">
                  <c:v>3058</c:v>
                </c:pt>
                <c:pt idx="747">
                  <c:v>3062</c:v>
                </c:pt>
                <c:pt idx="748">
                  <c:v>3066</c:v>
                </c:pt>
                <c:pt idx="749">
                  <c:v>3070</c:v>
                </c:pt>
                <c:pt idx="750">
                  <c:v>3074</c:v>
                </c:pt>
                <c:pt idx="751">
                  <c:v>3078</c:v>
                </c:pt>
                <c:pt idx="752">
                  <c:v>3083</c:v>
                </c:pt>
                <c:pt idx="753">
                  <c:v>3087</c:v>
                </c:pt>
                <c:pt idx="754">
                  <c:v>3091</c:v>
                </c:pt>
                <c:pt idx="755">
                  <c:v>3095</c:v>
                </c:pt>
                <c:pt idx="756">
                  <c:v>3099</c:v>
                </c:pt>
                <c:pt idx="757">
                  <c:v>3103</c:v>
                </c:pt>
                <c:pt idx="758">
                  <c:v>3107</c:v>
                </c:pt>
                <c:pt idx="759">
                  <c:v>3111</c:v>
                </c:pt>
                <c:pt idx="760">
                  <c:v>3115</c:v>
                </c:pt>
                <c:pt idx="761">
                  <c:v>3119</c:v>
                </c:pt>
                <c:pt idx="762">
                  <c:v>3124</c:v>
                </c:pt>
                <c:pt idx="763">
                  <c:v>3128</c:v>
                </c:pt>
                <c:pt idx="764">
                  <c:v>3132</c:v>
                </c:pt>
                <c:pt idx="765">
                  <c:v>3136</c:v>
                </c:pt>
                <c:pt idx="766">
                  <c:v>3140</c:v>
                </c:pt>
                <c:pt idx="767">
                  <c:v>3144</c:v>
                </c:pt>
                <c:pt idx="768">
                  <c:v>3148</c:v>
                </c:pt>
                <c:pt idx="769">
                  <c:v>3152</c:v>
                </c:pt>
                <c:pt idx="770">
                  <c:v>3156</c:v>
                </c:pt>
                <c:pt idx="771">
                  <c:v>3160</c:v>
                </c:pt>
                <c:pt idx="772">
                  <c:v>3165</c:v>
                </c:pt>
                <c:pt idx="773">
                  <c:v>3169</c:v>
                </c:pt>
                <c:pt idx="774">
                  <c:v>3173</c:v>
                </c:pt>
                <c:pt idx="775">
                  <c:v>3177</c:v>
                </c:pt>
                <c:pt idx="776">
                  <c:v>3181</c:v>
                </c:pt>
                <c:pt idx="777">
                  <c:v>3185</c:v>
                </c:pt>
                <c:pt idx="778">
                  <c:v>3189</c:v>
                </c:pt>
                <c:pt idx="779">
                  <c:v>3193</c:v>
                </c:pt>
                <c:pt idx="780">
                  <c:v>3197</c:v>
                </c:pt>
                <c:pt idx="781">
                  <c:v>3201</c:v>
                </c:pt>
                <c:pt idx="782">
                  <c:v>3205</c:v>
                </c:pt>
                <c:pt idx="783">
                  <c:v>3210</c:v>
                </c:pt>
                <c:pt idx="784">
                  <c:v>3214</c:v>
                </c:pt>
                <c:pt idx="785">
                  <c:v>3218</c:v>
                </c:pt>
                <c:pt idx="786">
                  <c:v>3222</c:v>
                </c:pt>
                <c:pt idx="787">
                  <c:v>3226</c:v>
                </c:pt>
                <c:pt idx="788">
                  <c:v>3230</c:v>
                </c:pt>
                <c:pt idx="789">
                  <c:v>3234</c:v>
                </c:pt>
                <c:pt idx="790">
                  <c:v>3238</c:v>
                </c:pt>
                <c:pt idx="791">
                  <c:v>3242</c:v>
                </c:pt>
                <c:pt idx="792">
                  <c:v>3246</c:v>
                </c:pt>
                <c:pt idx="793">
                  <c:v>3251</c:v>
                </c:pt>
                <c:pt idx="794">
                  <c:v>3255</c:v>
                </c:pt>
                <c:pt idx="795">
                  <c:v>3259</c:v>
                </c:pt>
                <c:pt idx="796">
                  <c:v>3263</c:v>
                </c:pt>
                <c:pt idx="797">
                  <c:v>3267</c:v>
                </c:pt>
                <c:pt idx="798">
                  <c:v>3271</c:v>
                </c:pt>
                <c:pt idx="799">
                  <c:v>3275</c:v>
                </c:pt>
                <c:pt idx="800">
                  <c:v>3279</c:v>
                </c:pt>
                <c:pt idx="801">
                  <c:v>3283</c:v>
                </c:pt>
                <c:pt idx="802">
                  <c:v>3287</c:v>
                </c:pt>
                <c:pt idx="803">
                  <c:v>3292</c:v>
                </c:pt>
                <c:pt idx="804">
                  <c:v>3296</c:v>
                </c:pt>
                <c:pt idx="805">
                  <c:v>3300</c:v>
                </c:pt>
                <c:pt idx="806">
                  <c:v>3304</c:v>
                </c:pt>
                <c:pt idx="807">
                  <c:v>3308</c:v>
                </c:pt>
                <c:pt idx="808">
                  <c:v>3312</c:v>
                </c:pt>
                <c:pt idx="809">
                  <c:v>3316</c:v>
                </c:pt>
                <c:pt idx="810">
                  <c:v>3320</c:v>
                </c:pt>
                <c:pt idx="811">
                  <c:v>3324</c:v>
                </c:pt>
                <c:pt idx="812">
                  <c:v>3328</c:v>
                </c:pt>
                <c:pt idx="813">
                  <c:v>3333</c:v>
                </c:pt>
                <c:pt idx="814">
                  <c:v>3337</c:v>
                </c:pt>
                <c:pt idx="815">
                  <c:v>3341</c:v>
                </c:pt>
                <c:pt idx="816">
                  <c:v>3345</c:v>
                </c:pt>
                <c:pt idx="817">
                  <c:v>3349</c:v>
                </c:pt>
                <c:pt idx="818">
                  <c:v>3353</c:v>
                </c:pt>
                <c:pt idx="819">
                  <c:v>3357</c:v>
                </c:pt>
                <c:pt idx="820">
                  <c:v>3361</c:v>
                </c:pt>
                <c:pt idx="821">
                  <c:v>3365</c:v>
                </c:pt>
                <c:pt idx="822">
                  <c:v>3369</c:v>
                </c:pt>
                <c:pt idx="823">
                  <c:v>3374</c:v>
                </c:pt>
                <c:pt idx="824">
                  <c:v>3378</c:v>
                </c:pt>
                <c:pt idx="825">
                  <c:v>3382</c:v>
                </c:pt>
                <c:pt idx="826">
                  <c:v>3386</c:v>
                </c:pt>
                <c:pt idx="827">
                  <c:v>3390</c:v>
                </c:pt>
                <c:pt idx="828">
                  <c:v>3394</c:v>
                </c:pt>
                <c:pt idx="829">
                  <c:v>3398</c:v>
                </c:pt>
                <c:pt idx="830">
                  <c:v>3402</c:v>
                </c:pt>
                <c:pt idx="831">
                  <c:v>3406</c:v>
                </c:pt>
                <c:pt idx="832">
                  <c:v>3410</c:v>
                </c:pt>
                <c:pt idx="833">
                  <c:v>3415</c:v>
                </c:pt>
                <c:pt idx="834">
                  <c:v>3419</c:v>
                </c:pt>
                <c:pt idx="835">
                  <c:v>3423</c:v>
                </c:pt>
                <c:pt idx="836">
                  <c:v>3427</c:v>
                </c:pt>
                <c:pt idx="837">
                  <c:v>3431</c:v>
                </c:pt>
                <c:pt idx="838">
                  <c:v>3435</c:v>
                </c:pt>
                <c:pt idx="839">
                  <c:v>3439</c:v>
                </c:pt>
                <c:pt idx="840">
                  <c:v>3443</c:v>
                </c:pt>
                <c:pt idx="841">
                  <c:v>3447</c:v>
                </c:pt>
                <c:pt idx="842">
                  <c:v>3451</c:v>
                </c:pt>
                <c:pt idx="843">
                  <c:v>3456</c:v>
                </c:pt>
                <c:pt idx="844">
                  <c:v>3460</c:v>
                </c:pt>
                <c:pt idx="845">
                  <c:v>3464</c:v>
                </c:pt>
                <c:pt idx="846">
                  <c:v>3468</c:v>
                </c:pt>
                <c:pt idx="847">
                  <c:v>3472</c:v>
                </c:pt>
                <c:pt idx="848">
                  <c:v>3476</c:v>
                </c:pt>
                <c:pt idx="849">
                  <c:v>3480</c:v>
                </c:pt>
                <c:pt idx="850">
                  <c:v>3484</c:v>
                </c:pt>
                <c:pt idx="851">
                  <c:v>3488</c:v>
                </c:pt>
                <c:pt idx="852">
                  <c:v>3492</c:v>
                </c:pt>
                <c:pt idx="853">
                  <c:v>3497</c:v>
                </c:pt>
                <c:pt idx="854">
                  <c:v>3501</c:v>
                </c:pt>
                <c:pt idx="855">
                  <c:v>3505</c:v>
                </c:pt>
                <c:pt idx="856">
                  <c:v>3509</c:v>
                </c:pt>
                <c:pt idx="857">
                  <c:v>3513</c:v>
                </c:pt>
                <c:pt idx="858">
                  <c:v>3517</c:v>
                </c:pt>
                <c:pt idx="859">
                  <c:v>3521</c:v>
                </c:pt>
                <c:pt idx="860">
                  <c:v>3525</c:v>
                </c:pt>
                <c:pt idx="861">
                  <c:v>3529</c:v>
                </c:pt>
                <c:pt idx="862">
                  <c:v>3533</c:v>
                </c:pt>
                <c:pt idx="863">
                  <c:v>3538</c:v>
                </c:pt>
                <c:pt idx="864">
                  <c:v>3542</c:v>
                </c:pt>
                <c:pt idx="865">
                  <c:v>3546</c:v>
                </c:pt>
                <c:pt idx="866">
                  <c:v>3550</c:v>
                </c:pt>
                <c:pt idx="867">
                  <c:v>3554</c:v>
                </c:pt>
                <c:pt idx="868">
                  <c:v>3558</c:v>
                </c:pt>
                <c:pt idx="869">
                  <c:v>3562</c:v>
                </c:pt>
                <c:pt idx="870">
                  <c:v>3566</c:v>
                </c:pt>
                <c:pt idx="871">
                  <c:v>3570</c:v>
                </c:pt>
                <c:pt idx="872">
                  <c:v>3574</c:v>
                </c:pt>
                <c:pt idx="873">
                  <c:v>3579</c:v>
                </c:pt>
                <c:pt idx="874">
                  <c:v>3583</c:v>
                </c:pt>
                <c:pt idx="875">
                  <c:v>3587</c:v>
                </c:pt>
                <c:pt idx="876">
                  <c:v>3591</c:v>
                </c:pt>
                <c:pt idx="877">
                  <c:v>3595</c:v>
                </c:pt>
                <c:pt idx="878">
                  <c:v>3599</c:v>
                </c:pt>
                <c:pt idx="879">
                  <c:v>3603</c:v>
                </c:pt>
                <c:pt idx="880">
                  <c:v>3607</c:v>
                </c:pt>
                <c:pt idx="881">
                  <c:v>3611</c:v>
                </c:pt>
                <c:pt idx="882">
                  <c:v>3615</c:v>
                </c:pt>
                <c:pt idx="883">
                  <c:v>3620</c:v>
                </c:pt>
                <c:pt idx="884">
                  <c:v>3624</c:v>
                </c:pt>
                <c:pt idx="885">
                  <c:v>3628</c:v>
                </c:pt>
                <c:pt idx="886">
                  <c:v>3632</c:v>
                </c:pt>
                <c:pt idx="887">
                  <c:v>3636</c:v>
                </c:pt>
                <c:pt idx="888">
                  <c:v>3640</c:v>
                </c:pt>
                <c:pt idx="889">
                  <c:v>3644</c:v>
                </c:pt>
                <c:pt idx="890">
                  <c:v>3648</c:v>
                </c:pt>
                <c:pt idx="891">
                  <c:v>3652</c:v>
                </c:pt>
                <c:pt idx="892">
                  <c:v>3656</c:v>
                </c:pt>
                <c:pt idx="893">
                  <c:v>3660</c:v>
                </c:pt>
                <c:pt idx="894">
                  <c:v>3665</c:v>
                </c:pt>
                <c:pt idx="895">
                  <c:v>3669</c:v>
                </c:pt>
                <c:pt idx="896">
                  <c:v>3673</c:v>
                </c:pt>
                <c:pt idx="897">
                  <c:v>3677</c:v>
                </c:pt>
                <c:pt idx="898">
                  <c:v>3681</c:v>
                </c:pt>
                <c:pt idx="899">
                  <c:v>3685</c:v>
                </c:pt>
                <c:pt idx="900">
                  <c:v>3689</c:v>
                </c:pt>
                <c:pt idx="901">
                  <c:v>3693</c:v>
                </c:pt>
                <c:pt idx="902">
                  <c:v>3697</c:v>
                </c:pt>
                <c:pt idx="903">
                  <c:v>3701</c:v>
                </c:pt>
                <c:pt idx="904">
                  <c:v>3706</c:v>
                </c:pt>
                <c:pt idx="905">
                  <c:v>3710</c:v>
                </c:pt>
                <c:pt idx="906">
                  <c:v>3714</c:v>
                </c:pt>
                <c:pt idx="907">
                  <c:v>3718</c:v>
                </c:pt>
                <c:pt idx="908">
                  <c:v>3722</c:v>
                </c:pt>
                <c:pt idx="909">
                  <c:v>3726</c:v>
                </c:pt>
                <c:pt idx="910">
                  <c:v>3730</c:v>
                </c:pt>
                <c:pt idx="911">
                  <c:v>3734</c:v>
                </c:pt>
                <c:pt idx="912">
                  <c:v>3738</c:v>
                </c:pt>
                <c:pt idx="913">
                  <c:v>3742</c:v>
                </c:pt>
                <c:pt idx="914">
                  <c:v>3747</c:v>
                </c:pt>
                <c:pt idx="915">
                  <c:v>3751</c:v>
                </c:pt>
                <c:pt idx="916">
                  <c:v>3755</c:v>
                </c:pt>
                <c:pt idx="917">
                  <c:v>3759</c:v>
                </c:pt>
                <c:pt idx="918">
                  <c:v>3763</c:v>
                </c:pt>
                <c:pt idx="919">
                  <c:v>3767</c:v>
                </c:pt>
                <c:pt idx="920">
                  <c:v>3771</c:v>
                </c:pt>
                <c:pt idx="921">
                  <c:v>3775</c:v>
                </c:pt>
                <c:pt idx="922">
                  <c:v>3779</c:v>
                </c:pt>
                <c:pt idx="923">
                  <c:v>3783</c:v>
                </c:pt>
                <c:pt idx="924">
                  <c:v>3788</c:v>
                </c:pt>
                <c:pt idx="925">
                  <c:v>3792</c:v>
                </c:pt>
                <c:pt idx="926">
                  <c:v>3796</c:v>
                </c:pt>
                <c:pt idx="927">
                  <c:v>3800</c:v>
                </c:pt>
                <c:pt idx="928">
                  <c:v>3804</c:v>
                </c:pt>
                <c:pt idx="929">
                  <c:v>3808</c:v>
                </c:pt>
                <c:pt idx="930">
                  <c:v>3812</c:v>
                </c:pt>
                <c:pt idx="931">
                  <c:v>3816</c:v>
                </c:pt>
                <c:pt idx="932">
                  <c:v>3820</c:v>
                </c:pt>
                <c:pt idx="933">
                  <c:v>3824</c:v>
                </c:pt>
                <c:pt idx="934">
                  <c:v>3829</c:v>
                </c:pt>
                <c:pt idx="935">
                  <c:v>3833</c:v>
                </c:pt>
                <c:pt idx="936">
                  <c:v>3837</c:v>
                </c:pt>
                <c:pt idx="937">
                  <c:v>3841</c:v>
                </c:pt>
                <c:pt idx="938">
                  <c:v>3845</c:v>
                </c:pt>
                <c:pt idx="939">
                  <c:v>3849</c:v>
                </c:pt>
                <c:pt idx="940">
                  <c:v>3853</c:v>
                </c:pt>
                <c:pt idx="941">
                  <c:v>3857</c:v>
                </c:pt>
                <c:pt idx="942">
                  <c:v>3861</c:v>
                </c:pt>
                <c:pt idx="943">
                  <c:v>3865</c:v>
                </c:pt>
                <c:pt idx="944">
                  <c:v>3870</c:v>
                </c:pt>
                <c:pt idx="945">
                  <c:v>3874</c:v>
                </c:pt>
                <c:pt idx="946">
                  <c:v>3878</c:v>
                </c:pt>
                <c:pt idx="947">
                  <c:v>3882</c:v>
                </c:pt>
                <c:pt idx="948">
                  <c:v>3886</c:v>
                </c:pt>
                <c:pt idx="949">
                  <c:v>3890</c:v>
                </c:pt>
                <c:pt idx="950">
                  <c:v>3894</c:v>
                </c:pt>
                <c:pt idx="951">
                  <c:v>3898</c:v>
                </c:pt>
                <c:pt idx="952">
                  <c:v>3902</c:v>
                </c:pt>
                <c:pt idx="953">
                  <c:v>3906</c:v>
                </c:pt>
                <c:pt idx="954">
                  <c:v>3911</c:v>
                </c:pt>
                <c:pt idx="955">
                  <c:v>3915</c:v>
                </c:pt>
                <c:pt idx="956">
                  <c:v>3919</c:v>
                </c:pt>
                <c:pt idx="957">
                  <c:v>3923</c:v>
                </c:pt>
                <c:pt idx="958">
                  <c:v>3927</c:v>
                </c:pt>
                <c:pt idx="959">
                  <c:v>3931</c:v>
                </c:pt>
                <c:pt idx="960">
                  <c:v>3935</c:v>
                </c:pt>
                <c:pt idx="961">
                  <c:v>3939</c:v>
                </c:pt>
                <c:pt idx="962">
                  <c:v>3943</c:v>
                </c:pt>
                <c:pt idx="963">
                  <c:v>3947</c:v>
                </c:pt>
                <c:pt idx="964">
                  <c:v>3952</c:v>
                </c:pt>
                <c:pt idx="965">
                  <c:v>3956</c:v>
                </c:pt>
                <c:pt idx="966">
                  <c:v>3960</c:v>
                </c:pt>
                <c:pt idx="967">
                  <c:v>3964</c:v>
                </c:pt>
                <c:pt idx="968">
                  <c:v>3968</c:v>
                </c:pt>
                <c:pt idx="969">
                  <c:v>3972</c:v>
                </c:pt>
                <c:pt idx="970">
                  <c:v>3976</c:v>
                </c:pt>
                <c:pt idx="971">
                  <c:v>3980</c:v>
                </c:pt>
                <c:pt idx="972">
                  <c:v>3984</c:v>
                </c:pt>
                <c:pt idx="973">
                  <c:v>3988</c:v>
                </c:pt>
                <c:pt idx="974">
                  <c:v>3993</c:v>
                </c:pt>
                <c:pt idx="975">
                  <c:v>3997</c:v>
                </c:pt>
                <c:pt idx="976">
                  <c:v>4001</c:v>
                </c:pt>
                <c:pt idx="977">
                  <c:v>4005</c:v>
                </c:pt>
                <c:pt idx="978">
                  <c:v>4009</c:v>
                </c:pt>
                <c:pt idx="979">
                  <c:v>4013</c:v>
                </c:pt>
                <c:pt idx="980">
                  <c:v>4017</c:v>
                </c:pt>
                <c:pt idx="981">
                  <c:v>4021</c:v>
                </c:pt>
                <c:pt idx="982">
                  <c:v>4025</c:v>
                </c:pt>
                <c:pt idx="983">
                  <c:v>4029</c:v>
                </c:pt>
                <c:pt idx="984">
                  <c:v>4034</c:v>
                </c:pt>
                <c:pt idx="985">
                  <c:v>4038</c:v>
                </c:pt>
                <c:pt idx="986">
                  <c:v>4042</c:v>
                </c:pt>
                <c:pt idx="987">
                  <c:v>4046</c:v>
                </c:pt>
                <c:pt idx="988">
                  <c:v>4050</c:v>
                </c:pt>
                <c:pt idx="989">
                  <c:v>4054</c:v>
                </c:pt>
                <c:pt idx="990">
                  <c:v>4058</c:v>
                </c:pt>
                <c:pt idx="991">
                  <c:v>4062</c:v>
                </c:pt>
                <c:pt idx="992">
                  <c:v>4066</c:v>
                </c:pt>
                <c:pt idx="993">
                  <c:v>4070</c:v>
                </c:pt>
                <c:pt idx="994">
                  <c:v>4075</c:v>
                </c:pt>
                <c:pt idx="995">
                  <c:v>4079</c:v>
                </c:pt>
                <c:pt idx="996">
                  <c:v>4083</c:v>
                </c:pt>
                <c:pt idx="997">
                  <c:v>4087</c:v>
                </c:pt>
                <c:pt idx="998">
                  <c:v>4091</c:v>
                </c:pt>
                <c:pt idx="999">
                  <c:v>4095</c:v>
                </c:pt>
              </c:numCache>
            </c:numRef>
          </c:yVal>
          <c:smooth val="0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Linear'!$D$2:$D$1001</c:f>
              <c:numCache>
                <c:formatCode>General</c:formatCode>
                <c:ptCount val="1000"/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809</c:v>
                </c:pt>
                <c:pt idx="805">
                  <c:v>816</c:v>
                </c:pt>
                <c:pt idx="806">
                  <c:v>822</c:v>
                </c:pt>
                <c:pt idx="807">
                  <c:v>829</c:v>
                </c:pt>
                <c:pt idx="808">
                  <c:v>836</c:v>
                </c:pt>
                <c:pt idx="809">
                  <c:v>843</c:v>
                </c:pt>
                <c:pt idx="810">
                  <c:v>850</c:v>
                </c:pt>
                <c:pt idx="811">
                  <c:v>857</c:v>
                </c:pt>
                <c:pt idx="812">
                  <c:v>864</c:v>
                </c:pt>
                <c:pt idx="813">
                  <c:v>872</c:v>
                </c:pt>
                <c:pt idx="814">
                  <c:v>879</c:v>
                </c:pt>
                <c:pt idx="815">
                  <c:v>886</c:v>
                </c:pt>
                <c:pt idx="816">
                  <c:v>894</c:v>
                </c:pt>
                <c:pt idx="817">
                  <c:v>901</c:v>
                </c:pt>
                <c:pt idx="818">
                  <c:v>909</c:v>
                </c:pt>
                <c:pt idx="819">
                  <c:v>916</c:v>
                </c:pt>
                <c:pt idx="820">
                  <c:v>924</c:v>
                </c:pt>
                <c:pt idx="821">
                  <c:v>932</c:v>
                </c:pt>
                <c:pt idx="822">
                  <c:v>939</c:v>
                </c:pt>
                <c:pt idx="823">
                  <c:v>947</c:v>
                </c:pt>
                <c:pt idx="824">
                  <c:v>955</c:v>
                </c:pt>
                <c:pt idx="825">
                  <c:v>963</c:v>
                </c:pt>
                <c:pt idx="826">
                  <c:v>971</c:v>
                </c:pt>
                <c:pt idx="827">
                  <c:v>979</c:v>
                </c:pt>
                <c:pt idx="828">
                  <c:v>988</c:v>
                </c:pt>
                <c:pt idx="829">
                  <c:v>996</c:v>
                </c:pt>
                <c:pt idx="830">
                  <c:v>1004</c:v>
                </c:pt>
                <c:pt idx="831">
                  <c:v>1013</c:v>
                </c:pt>
                <c:pt idx="832">
                  <c:v>1021</c:v>
                </c:pt>
                <c:pt idx="833">
                  <c:v>1029</c:v>
                </c:pt>
                <c:pt idx="834">
                  <c:v>1038</c:v>
                </c:pt>
                <c:pt idx="835">
                  <c:v>1047</c:v>
                </c:pt>
                <c:pt idx="836">
                  <c:v>1055</c:v>
                </c:pt>
                <c:pt idx="837">
                  <c:v>1064</c:v>
                </c:pt>
                <c:pt idx="838">
                  <c:v>1073</c:v>
                </c:pt>
                <c:pt idx="839">
                  <c:v>1082</c:v>
                </c:pt>
                <c:pt idx="840">
                  <c:v>1091</c:v>
                </c:pt>
                <c:pt idx="841">
                  <c:v>1100</c:v>
                </c:pt>
                <c:pt idx="842">
                  <c:v>1110</c:v>
                </c:pt>
                <c:pt idx="843">
                  <c:v>1119</c:v>
                </c:pt>
                <c:pt idx="844">
                  <c:v>1128</c:v>
                </c:pt>
                <c:pt idx="845">
                  <c:v>1138</c:v>
                </c:pt>
                <c:pt idx="846">
                  <c:v>1147</c:v>
                </c:pt>
                <c:pt idx="847">
                  <c:v>1157</c:v>
                </c:pt>
                <c:pt idx="848">
                  <c:v>1166</c:v>
                </c:pt>
                <c:pt idx="849">
                  <c:v>1176</c:v>
                </c:pt>
                <c:pt idx="850">
                  <c:v>1186</c:v>
                </c:pt>
                <c:pt idx="851">
                  <c:v>1196</c:v>
                </c:pt>
                <c:pt idx="852">
                  <c:v>1206</c:v>
                </c:pt>
                <c:pt idx="853">
                  <c:v>1216</c:v>
                </c:pt>
                <c:pt idx="854">
                  <c:v>1226</c:v>
                </c:pt>
                <c:pt idx="855">
                  <c:v>1236</c:v>
                </c:pt>
                <c:pt idx="856">
                  <c:v>1247</c:v>
                </c:pt>
                <c:pt idx="857">
                  <c:v>1257</c:v>
                </c:pt>
                <c:pt idx="858">
                  <c:v>1267</c:v>
                </c:pt>
                <c:pt idx="859">
                  <c:v>1278</c:v>
                </c:pt>
                <c:pt idx="860">
                  <c:v>1289</c:v>
                </c:pt>
                <c:pt idx="861">
                  <c:v>1299</c:v>
                </c:pt>
                <c:pt idx="862">
                  <c:v>1310</c:v>
                </c:pt>
                <c:pt idx="863">
                  <c:v>1321</c:v>
                </c:pt>
                <c:pt idx="864">
                  <c:v>1332</c:v>
                </c:pt>
                <c:pt idx="865">
                  <c:v>1343</c:v>
                </c:pt>
                <c:pt idx="866">
                  <c:v>1355</c:v>
                </c:pt>
                <c:pt idx="867">
                  <c:v>1366</c:v>
                </c:pt>
                <c:pt idx="868">
                  <c:v>1377</c:v>
                </c:pt>
                <c:pt idx="869">
                  <c:v>1389</c:v>
                </c:pt>
                <c:pt idx="870">
                  <c:v>1400</c:v>
                </c:pt>
                <c:pt idx="871">
                  <c:v>1412</c:v>
                </c:pt>
                <c:pt idx="872">
                  <c:v>1424</c:v>
                </c:pt>
                <c:pt idx="873">
                  <c:v>1436</c:v>
                </c:pt>
                <c:pt idx="874">
                  <c:v>1448</c:v>
                </c:pt>
                <c:pt idx="875">
                  <c:v>1460</c:v>
                </c:pt>
                <c:pt idx="876">
                  <c:v>1472</c:v>
                </c:pt>
                <c:pt idx="877">
                  <c:v>1484</c:v>
                </c:pt>
                <c:pt idx="878">
                  <c:v>1497</c:v>
                </c:pt>
                <c:pt idx="879">
                  <c:v>1509</c:v>
                </c:pt>
                <c:pt idx="880">
                  <c:v>1522</c:v>
                </c:pt>
                <c:pt idx="881">
                  <c:v>1535</c:v>
                </c:pt>
                <c:pt idx="882">
                  <c:v>1547</c:v>
                </c:pt>
                <c:pt idx="883">
                  <c:v>1560</c:v>
                </c:pt>
                <c:pt idx="884">
                  <c:v>1573</c:v>
                </c:pt>
                <c:pt idx="885">
                  <c:v>1587</c:v>
                </c:pt>
                <c:pt idx="886">
                  <c:v>1600</c:v>
                </c:pt>
                <c:pt idx="887">
                  <c:v>1613</c:v>
                </c:pt>
                <c:pt idx="888">
                  <c:v>1627</c:v>
                </c:pt>
                <c:pt idx="889">
                  <c:v>1640</c:v>
                </c:pt>
                <c:pt idx="890">
                  <c:v>1654</c:v>
                </c:pt>
                <c:pt idx="891">
                  <c:v>1668</c:v>
                </c:pt>
                <c:pt idx="892">
                  <c:v>1682</c:v>
                </c:pt>
                <c:pt idx="893">
                  <c:v>1696</c:v>
                </c:pt>
                <c:pt idx="894">
                  <c:v>1710</c:v>
                </c:pt>
                <c:pt idx="895">
                  <c:v>1724</c:v>
                </c:pt>
                <c:pt idx="896">
                  <c:v>1739</c:v>
                </c:pt>
                <c:pt idx="897">
                  <c:v>1753</c:v>
                </c:pt>
                <c:pt idx="898">
                  <c:v>1768</c:v>
                </c:pt>
                <c:pt idx="899">
                  <c:v>1782</c:v>
                </c:pt>
                <c:pt idx="900">
                  <c:v>1797</c:v>
                </c:pt>
                <c:pt idx="901">
                  <c:v>1812</c:v>
                </c:pt>
                <c:pt idx="902">
                  <c:v>1828</c:v>
                </c:pt>
                <c:pt idx="903">
                  <c:v>1843</c:v>
                </c:pt>
                <c:pt idx="904">
                  <c:v>1858</c:v>
                </c:pt>
                <c:pt idx="905">
                  <c:v>1874</c:v>
                </c:pt>
                <c:pt idx="906">
                  <c:v>1889</c:v>
                </c:pt>
                <c:pt idx="907">
                  <c:v>1905</c:v>
                </c:pt>
                <c:pt idx="908">
                  <c:v>1921</c:v>
                </c:pt>
                <c:pt idx="909">
                  <c:v>1937</c:v>
                </c:pt>
                <c:pt idx="910">
                  <c:v>1953</c:v>
                </c:pt>
                <c:pt idx="911">
                  <c:v>1970</c:v>
                </c:pt>
                <c:pt idx="912">
                  <c:v>1986</c:v>
                </c:pt>
                <c:pt idx="913">
                  <c:v>2003</c:v>
                </c:pt>
                <c:pt idx="914">
                  <c:v>2019</c:v>
                </c:pt>
                <c:pt idx="915">
                  <c:v>2036</c:v>
                </c:pt>
                <c:pt idx="916">
                  <c:v>2053</c:v>
                </c:pt>
                <c:pt idx="917">
                  <c:v>2070</c:v>
                </c:pt>
                <c:pt idx="918">
                  <c:v>2088</c:v>
                </c:pt>
                <c:pt idx="919">
                  <c:v>2105</c:v>
                </c:pt>
                <c:pt idx="920">
                  <c:v>2123</c:v>
                </c:pt>
                <c:pt idx="921">
                  <c:v>2140</c:v>
                </c:pt>
                <c:pt idx="922">
                  <c:v>2158</c:v>
                </c:pt>
                <c:pt idx="923">
                  <c:v>2176</c:v>
                </c:pt>
                <c:pt idx="924">
                  <c:v>2194</c:v>
                </c:pt>
                <c:pt idx="925">
                  <c:v>2213</c:v>
                </c:pt>
                <c:pt idx="926">
                  <c:v>2231</c:v>
                </c:pt>
                <c:pt idx="927">
                  <c:v>2250</c:v>
                </c:pt>
                <c:pt idx="928">
                  <c:v>2269</c:v>
                </c:pt>
                <c:pt idx="929">
                  <c:v>2288</c:v>
                </c:pt>
                <c:pt idx="930">
                  <c:v>2307</c:v>
                </c:pt>
                <c:pt idx="931">
                  <c:v>2326</c:v>
                </c:pt>
                <c:pt idx="932">
                  <c:v>2345</c:v>
                </c:pt>
                <c:pt idx="933">
                  <c:v>2365</c:v>
                </c:pt>
                <c:pt idx="934">
                  <c:v>2385</c:v>
                </c:pt>
                <c:pt idx="935">
                  <c:v>2405</c:v>
                </c:pt>
                <c:pt idx="936">
                  <c:v>2425</c:v>
                </c:pt>
                <c:pt idx="937">
                  <c:v>2445</c:v>
                </c:pt>
                <c:pt idx="938">
                  <c:v>2466</c:v>
                </c:pt>
                <c:pt idx="939">
                  <c:v>2486</c:v>
                </c:pt>
                <c:pt idx="940">
                  <c:v>2507</c:v>
                </c:pt>
                <c:pt idx="941">
                  <c:v>2528</c:v>
                </c:pt>
                <c:pt idx="942">
                  <c:v>2549</c:v>
                </c:pt>
                <c:pt idx="943">
                  <c:v>2570</c:v>
                </c:pt>
                <c:pt idx="944">
                  <c:v>2592</c:v>
                </c:pt>
                <c:pt idx="945">
                  <c:v>2613</c:v>
                </c:pt>
                <c:pt idx="946">
                  <c:v>2635</c:v>
                </c:pt>
                <c:pt idx="947">
                  <c:v>2657</c:v>
                </c:pt>
                <c:pt idx="948">
                  <c:v>2679</c:v>
                </c:pt>
                <c:pt idx="949">
                  <c:v>2702</c:v>
                </c:pt>
                <c:pt idx="950">
                  <c:v>2724</c:v>
                </c:pt>
                <c:pt idx="951">
                  <c:v>2747</c:v>
                </c:pt>
                <c:pt idx="952">
                  <c:v>2770</c:v>
                </c:pt>
                <c:pt idx="953">
                  <c:v>2793</c:v>
                </c:pt>
                <c:pt idx="954">
                  <c:v>2816</c:v>
                </c:pt>
                <c:pt idx="955">
                  <c:v>2840</c:v>
                </c:pt>
                <c:pt idx="956">
                  <c:v>2864</c:v>
                </c:pt>
                <c:pt idx="957">
                  <c:v>2888</c:v>
                </c:pt>
                <c:pt idx="958">
                  <c:v>2912</c:v>
                </c:pt>
                <c:pt idx="959">
                  <c:v>2936</c:v>
                </c:pt>
                <c:pt idx="960">
                  <c:v>2961</c:v>
                </c:pt>
                <c:pt idx="961">
                  <c:v>2985</c:v>
                </c:pt>
                <c:pt idx="962">
                  <c:v>3010</c:v>
                </c:pt>
                <c:pt idx="963">
                  <c:v>3035</c:v>
                </c:pt>
                <c:pt idx="964">
                  <c:v>3061</c:v>
                </c:pt>
                <c:pt idx="965">
                  <c:v>3086</c:v>
                </c:pt>
                <c:pt idx="966">
                  <c:v>3112</c:v>
                </c:pt>
                <c:pt idx="967">
                  <c:v>3138</c:v>
                </c:pt>
                <c:pt idx="968">
                  <c:v>3164</c:v>
                </c:pt>
                <c:pt idx="969">
                  <c:v>3191</c:v>
                </c:pt>
                <c:pt idx="970">
                  <c:v>3217</c:v>
                </c:pt>
                <c:pt idx="971">
                  <c:v>3244</c:v>
                </c:pt>
                <c:pt idx="972">
                  <c:v>3271</c:v>
                </c:pt>
                <c:pt idx="973">
                  <c:v>3299</c:v>
                </c:pt>
                <c:pt idx="974">
                  <c:v>3326</c:v>
                </c:pt>
                <c:pt idx="975">
                  <c:v>3354</c:v>
                </c:pt>
                <c:pt idx="976">
                  <c:v>3382</c:v>
                </c:pt>
                <c:pt idx="977">
                  <c:v>3410</c:v>
                </c:pt>
                <c:pt idx="978">
                  <c:v>3439</c:v>
                </c:pt>
                <c:pt idx="979">
                  <c:v>3467</c:v>
                </c:pt>
                <c:pt idx="980">
                  <c:v>3496</c:v>
                </c:pt>
                <c:pt idx="981">
                  <c:v>3526</c:v>
                </c:pt>
                <c:pt idx="982">
                  <c:v>3555</c:v>
                </c:pt>
                <c:pt idx="983">
                  <c:v>3585</c:v>
                </c:pt>
                <c:pt idx="984">
                  <c:v>3615</c:v>
                </c:pt>
                <c:pt idx="985">
                  <c:v>3645</c:v>
                </c:pt>
                <c:pt idx="986">
                  <c:v>3675</c:v>
                </c:pt>
                <c:pt idx="987">
                  <c:v>3706</c:v>
                </c:pt>
                <c:pt idx="988">
                  <c:v>3737</c:v>
                </c:pt>
                <c:pt idx="989">
                  <c:v>3768</c:v>
                </c:pt>
                <c:pt idx="990">
                  <c:v>3800</c:v>
                </c:pt>
                <c:pt idx="991">
                  <c:v>3831</c:v>
                </c:pt>
                <c:pt idx="992">
                  <c:v>3863</c:v>
                </c:pt>
                <c:pt idx="993">
                  <c:v>3896</c:v>
                </c:pt>
                <c:pt idx="994">
                  <c:v>3928</c:v>
                </c:pt>
                <c:pt idx="995">
                  <c:v>3961</c:v>
                </c:pt>
                <c:pt idx="996">
                  <c:v>3994</c:v>
                </c:pt>
                <c:pt idx="997">
                  <c:v>4027</c:v>
                </c:pt>
                <c:pt idx="998">
                  <c:v>4061</c:v>
                </c:pt>
                <c:pt idx="999">
                  <c:v>4095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6488"/>
        <c:axId val="383965312"/>
      </c:scatterChart>
      <c:scatterChart>
        <c:scatterStyle val="lineMarker"/>
        <c:varyColors val="0"/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'Log Linear'!$B$2:$B$1001</c:f>
              <c:numCache>
                <c:formatCode>General</c:formatCode>
                <c:ptCount val="10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</c:numCache>
            </c:numRef>
          </c:xVal>
          <c:yVal>
            <c:numRef>
              <c:f>'Log Linear'!$E$2:$E$1001</c:f>
              <c:numCache>
                <c:formatCode>General</c:formatCode>
                <c:ptCount val="1000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6</c:v>
                </c:pt>
                <c:pt idx="805">
                  <c:v>7</c:v>
                </c:pt>
                <c:pt idx="806">
                  <c:v>6</c:v>
                </c:pt>
                <c:pt idx="807">
                  <c:v>7</c:v>
                </c:pt>
                <c:pt idx="808">
                  <c:v>7</c:v>
                </c:pt>
                <c:pt idx="809">
                  <c:v>7</c:v>
                </c:pt>
                <c:pt idx="810">
                  <c:v>7</c:v>
                </c:pt>
                <c:pt idx="811">
                  <c:v>7</c:v>
                </c:pt>
                <c:pt idx="812">
                  <c:v>7</c:v>
                </c:pt>
                <c:pt idx="813">
                  <c:v>8</c:v>
                </c:pt>
                <c:pt idx="814">
                  <c:v>7</c:v>
                </c:pt>
                <c:pt idx="815">
                  <c:v>7</c:v>
                </c:pt>
                <c:pt idx="816">
                  <c:v>8</c:v>
                </c:pt>
                <c:pt idx="817">
                  <c:v>7</c:v>
                </c:pt>
                <c:pt idx="818">
                  <c:v>8</c:v>
                </c:pt>
                <c:pt idx="819">
                  <c:v>7</c:v>
                </c:pt>
                <c:pt idx="820">
                  <c:v>8</c:v>
                </c:pt>
                <c:pt idx="821">
                  <c:v>8</c:v>
                </c:pt>
                <c:pt idx="822">
                  <c:v>7</c:v>
                </c:pt>
                <c:pt idx="823">
                  <c:v>8</c:v>
                </c:pt>
                <c:pt idx="824">
                  <c:v>8</c:v>
                </c:pt>
                <c:pt idx="825">
                  <c:v>8</c:v>
                </c:pt>
                <c:pt idx="826">
                  <c:v>8</c:v>
                </c:pt>
                <c:pt idx="827">
                  <c:v>8</c:v>
                </c:pt>
                <c:pt idx="828">
                  <c:v>9</c:v>
                </c:pt>
                <c:pt idx="829">
                  <c:v>8</c:v>
                </c:pt>
                <c:pt idx="830">
                  <c:v>8</c:v>
                </c:pt>
                <c:pt idx="831">
                  <c:v>9</c:v>
                </c:pt>
                <c:pt idx="832">
                  <c:v>8</c:v>
                </c:pt>
                <c:pt idx="833">
                  <c:v>8</c:v>
                </c:pt>
                <c:pt idx="834">
                  <c:v>9</c:v>
                </c:pt>
                <c:pt idx="835">
                  <c:v>9</c:v>
                </c:pt>
                <c:pt idx="836">
                  <c:v>8</c:v>
                </c:pt>
                <c:pt idx="837">
                  <c:v>9</c:v>
                </c:pt>
                <c:pt idx="838">
                  <c:v>9</c:v>
                </c:pt>
                <c:pt idx="839">
                  <c:v>9</c:v>
                </c:pt>
                <c:pt idx="840">
                  <c:v>9</c:v>
                </c:pt>
                <c:pt idx="841">
                  <c:v>9</c:v>
                </c:pt>
                <c:pt idx="842">
                  <c:v>10</c:v>
                </c:pt>
                <c:pt idx="843">
                  <c:v>9</c:v>
                </c:pt>
                <c:pt idx="844">
                  <c:v>9</c:v>
                </c:pt>
                <c:pt idx="845">
                  <c:v>10</c:v>
                </c:pt>
                <c:pt idx="846">
                  <c:v>9</c:v>
                </c:pt>
                <c:pt idx="847">
                  <c:v>10</c:v>
                </c:pt>
                <c:pt idx="848">
                  <c:v>9</c:v>
                </c:pt>
                <c:pt idx="849">
                  <c:v>10</c:v>
                </c:pt>
                <c:pt idx="850">
                  <c:v>10</c:v>
                </c:pt>
                <c:pt idx="851">
                  <c:v>10</c:v>
                </c:pt>
                <c:pt idx="852">
                  <c:v>10</c:v>
                </c:pt>
                <c:pt idx="853">
                  <c:v>10</c:v>
                </c:pt>
                <c:pt idx="854">
                  <c:v>10</c:v>
                </c:pt>
                <c:pt idx="855">
                  <c:v>10</c:v>
                </c:pt>
                <c:pt idx="856">
                  <c:v>11</c:v>
                </c:pt>
                <c:pt idx="857">
                  <c:v>10</c:v>
                </c:pt>
                <c:pt idx="858">
                  <c:v>10</c:v>
                </c:pt>
                <c:pt idx="859">
                  <c:v>11</c:v>
                </c:pt>
                <c:pt idx="860">
                  <c:v>11</c:v>
                </c:pt>
                <c:pt idx="861">
                  <c:v>10</c:v>
                </c:pt>
                <c:pt idx="862">
                  <c:v>11</c:v>
                </c:pt>
                <c:pt idx="863">
                  <c:v>11</c:v>
                </c:pt>
                <c:pt idx="864">
                  <c:v>11</c:v>
                </c:pt>
                <c:pt idx="865">
                  <c:v>11</c:v>
                </c:pt>
                <c:pt idx="866">
                  <c:v>12</c:v>
                </c:pt>
                <c:pt idx="867">
                  <c:v>11</c:v>
                </c:pt>
                <c:pt idx="868">
                  <c:v>11</c:v>
                </c:pt>
                <c:pt idx="869">
                  <c:v>12</c:v>
                </c:pt>
                <c:pt idx="870">
                  <c:v>11</c:v>
                </c:pt>
                <c:pt idx="871">
                  <c:v>12</c:v>
                </c:pt>
                <c:pt idx="872">
                  <c:v>12</c:v>
                </c:pt>
                <c:pt idx="873">
                  <c:v>12</c:v>
                </c:pt>
                <c:pt idx="874">
                  <c:v>12</c:v>
                </c:pt>
                <c:pt idx="875">
                  <c:v>12</c:v>
                </c:pt>
                <c:pt idx="876">
                  <c:v>12</c:v>
                </c:pt>
                <c:pt idx="877">
                  <c:v>12</c:v>
                </c:pt>
                <c:pt idx="878">
                  <c:v>13</c:v>
                </c:pt>
                <c:pt idx="879">
                  <c:v>12</c:v>
                </c:pt>
                <c:pt idx="880">
                  <c:v>13</c:v>
                </c:pt>
                <c:pt idx="881">
                  <c:v>13</c:v>
                </c:pt>
                <c:pt idx="882">
                  <c:v>12</c:v>
                </c:pt>
                <c:pt idx="883">
                  <c:v>13</c:v>
                </c:pt>
                <c:pt idx="884">
                  <c:v>13</c:v>
                </c:pt>
                <c:pt idx="885">
                  <c:v>14</c:v>
                </c:pt>
                <c:pt idx="886">
                  <c:v>13</c:v>
                </c:pt>
                <c:pt idx="887">
                  <c:v>13</c:v>
                </c:pt>
                <c:pt idx="888">
                  <c:v>14</c:v>
                </c:pt>
                <c:pt idx="889">
                  <c:v>13</c:v>
                </c:pt>
                <c:pt idx="890">
                  <c:v>14</c:v>
                </c:pt>
                <c:pt idx="891">
                  <c:v>14</c:v>
                </c:pt>
                <c:pt idx="892">
                  <c:v>14</c:v>
                </c:pt>
                <c:pt idx="893">
                  <c:v>14</c:v>
                </c:pt>
                <c:pt idx="894">
                  <c:v>14</c:v>
                </c:pt>
                <c:pt idx="895">
                  <c:v>14</c:v>
                </c:pt>
                <c:pt idx="896">
                  <c:v>15</c:v>
                </c:pt>
                <c:pt idx="897">
                  <c:v>14</c:v>
                </c:pt>
                <c:pt idx="898">
                  <c:v>15</c:v>
                </c:pt>
                <c:pt idx="899">
                  <c:v>14</c:v>
                </c:pt>
                <c:pt idx="900">
                  <c:v>15</c:v>
                </c:pt>
                <c:pt idx="901">
                  <c:v>15</c:v>
                </c:pt>
                <c:pt idx="902">
                  <c:v>16</c:v>
                </c:pt>
                <c:pt idx="903">
                  <c:v>15</c:v>
                </c:pt>
                <c:pt idx="904">
                  <c:v>15</c:v>
                </c:pt>
                <c:pt idx="905">
                  <c:v>16</c:v>
                </c:pt>
                <c:pt idx="906">
                  <c:v>15</c:v>
                </c:pt>
                <c:pt idx="907">
                  <c:v>16</c:v>
                </c:pt>
                <c:pt idx="908">
                  <c:v>16</c:v>
                </c:pt>
                <c:pt idx="909">
                  <c:v>16</c:v>
                </c:pt>
                <c:pt idx="910">
                  <c:v>16</c:v>
                </c:pt>
                <c:pt idx="911">
                  <c:v>17</c:v>
                </c:pt>
                <c:pt idx="912">
                  <c:v>16</c:v>
                </c:pt>
                <c:pt idx="913">
                  <c:v>17</c:v>
                </c:pt>
                <c:pt idx="914">
                  <c:v>16</c:v>
                </c:pt>
                <c:pt idx="915">
                  <c:v>17</c:v>
                </c:pt>
                <c:pt idx="916">
                  <c:v>17</c:v>
                </c:pt>
                <c:pt idx="917">
                  <c:v>17</c:v>
                </c:pt>
                <c:pt idx="918">
                  <c:v>18</c:v>
                </c:pt>
                <c:pt idx="919">
                  <c:v>17</c:v>
                </c:pt>
                <c:pt idx="920">
                  <c:v>18</c:v>
                </c:pt>
                <c:pt idx="921">
                  <c:v>17</c:v>
                </c:pt>
                <c:pt idx="922">
                  <c:v>18</c:v>
                </c:pt>
                <c:pt idx="923">
                  <c:v>18</c:v>
                </c:pt>
                <c:pt idx="924">
                  <c:v>18</c:v>
                </c:pt>
                <c:pt idx="925">
                  <c:v>19</c:v>
                </c:pt>
                <c:pt idx="926">
                  <c:v>18</c:v>
                </c:pt>
                <c:pt idx="927">
                  <c:v>19</c:v>
                </c:pt>
                <c:pt idx="928">
                  <c:v>19</c:v>
                </c:pt>
                <c:pt idx="929">
                  <c:v>19</c:v>
                </c:pt>
                <c:pt idx="930">
                  <c:v>19</c:v>
                </c:pt>
                <c:pt idx="931">
                  <c:v>19</c:v>
                </c:pt>
                <c:pt idx="932">
                  <c:v>19</c:v>
                </c:pt>
                <c:pt idx="933">
                  <c:v>20</c:v>
                </c:pt>
                <c:pt idx="934">
                  <c:v>20</c:v>
                </c:pt>
                <c:pt idx="935">
                  <c:v>20</c:v>
                </c:pt>
                <c:pt idx="936">
                  <c:v>20</c:v>
                </c:pt>
                <c:pt idx="937">
                  <c:v>20</c:v>
                </c:pt>
                <c:pt idx="938">
                  <c:v>21</c:v>
                </c:pt>
                <c:pt idx="939">
                  <c:v>20</c:v>
                </c:pt>
                <c:pt idx="940">
                  <c:v>21</c:v>
                </c:pt>
                <c:pt idx="941">
                  <c:v>21</c:v>
                </c:pt>
                <c:pt idx="942">
                  <c:v>21</c:v>
                </c:pt>
                <c:pt idx="943">
                  <c:v>21</c:v>
                </c:pt>
                <c:pt idx="944">
                  <c:v>22</c:v>
                </c:pt>
                <c:pt idx="945">
                  <c:v>21</c:v>
                </c:pt>
                <c:pt idx="946">
                  <c:v>22</c:v>
                </c:pt>
                <c:pt idx="947">
                  <c:v>22</c:v>
                </c:pt>
                <c:pt idx="948">
                  <c:v>22</c:v>
                </c:pt>
                <c:pt idx="949">
                  <c:v>23</c:v>
                </c:pt>
                <c:pt idx="950">
                  <c:v>22</c:v>
                </c:pt>
                <c:pt idx="951">
                  <c:v>23</c:v>
                </c:pt>
                <c:pt idx="952">
                  <c:v>23</c:v>
                </c:pt>
                <c:pt idx="953">
                  <c:v>23</c:v>
                </c:pt>
                <c:pt idx="954">
                  <c:v>23</c:v>
                </c:pt>
                <c:pt idx="955">
                  <c:v>24</c:v>
                </c:pt>
                <c:pt idx="956">
                  <c:v>24</c:v>
                </c:pt>
                <c:pt idx="957">
                  <c:v>24</c:v>
                </c:pt>
                <c:pt idx="958">
                  <c:v>24</c:v>
                </c:pt>
                <c:pt idx="959">
                  <c:v>24</c:v>
                </c:pt>
                <c:pt idx="960">
                  <c:v>25</c:v>
                </c:pt>
                <c:pt idx="961">
                  <c:v>24</c:v>
                </c:pt>
                <c:pt idx="962">
                  <c:v>25</c:v>
                </c:pt>
                <c:pt idx="963">
                  <c:v>25</c:v>
                </c:pt>
                <c:pt idx="964">
                  <c:v>26</c:v>
                </c:pt>
                <c:pt idx="965">
                  <c:v>25</c:v>
                </c:pt>
                <c:pt idx="966">
                  <c:v>26</c:v>
                </c:pt>
                <c:pt idx="967">
                  <c:v>26</c:v>
                </c:pt>
                <c:pt idx="968">
                  <c:v>26</c:v>
                </c:pt>
                <c:pt idx="969">
                  <c:v>27</c:v>
                </c:pt>
                <c:pt idx="970">
                  <c:v>26</c:v>
                </c:pt>
                <c:pt idx="971">
                  <c:v>27</c:v>
                </c:pt>
                <c:pt idx="972">
                  <c:v>27</c:v>
                </c:pt>
                <c:pt idx="973">
                  <c:v>28</c:v>
                </c:pt>
                <c:pt idx="974">
                  <c:v>27</c:v>
                </c:pt>
                <c:pt idx="975">
                  <c:v>28</c:v>
                </c:pt>
                <c:pt idx="976">
                  <c:v>28</c:v>
                </c:pt>
                <c:pt idx="977">
                  <c:v>28</c:v>
                </c:pt>
                <c:pt idx="978">
                  <c:v>29</c:v>
                </c:pt>
                <c:pt idx="979">
                  <c:v>28</c:v>
                </c:pt>
                <c:pt idx="980">
                  <c:v>29</c:v>
                </c:pt>
                <c:pt idx="981">
                  <c:v>30</c:v>
                </c:pt>
                <c:pt idx="982">
                  <c:v>29</c:v>
                </c:pt>
                <c:pt idx="983">
                  <c:v>30</c:v>
                </c:pt>
                <c:pt idx="984">
                  <c:v>30</c:v>
                </c:pt>
                <c:pt idx="985">
                  <c:v>30</c:v>
                </c:pt>
                <c:pt idx="986">
                  <c:v>30</c:v>
                </c:pt>
                <c:pt idx="987">
                  <c:v>31</c:v>
                </c:pt>
                <c:pt idx="988">
                  <c:v>31</c:v>
                </c:pt>
                <c:pt idx="989">
                  <c:v>31</c:v>
                </c:pt>
                <c:pt idx="990">
                  <c:v>32</c:v>
                </c:pt>
                <c:pt idx="991">
                  <c:v>31</c:v>
                </c:pt>
                <c:pt idx="992">
                  <c:v>32</c:v>
                </c:pt>
                <c:pt idx="993">
                  <c:v>33</c:v>
                </c:pt>
                <c:pt idx="994">
                  <c:v>32</c:v>
                </c:pt>
                <c:pt idx="995">
                  <c:v>33</c:v>
                </c:pt>
                <c:pt idx="996">
                  <c:v>33</c:v>
                </c:pt>
                <c:pt idx="997">
                  <c:v>33</c:v>
                </c:pt>
                <c:pt idx="998">
                  <c:v>34</c:v>
                </c:pt>
                <c:pt idx="999">
                  <c:v>34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3966096"/>
        <c:axId val="383965704"/>
      </c:scatterChart>
      <c:valAx>
        <c:axId val="383966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5312"/>
        <c:crosses val="autoZero"/>
        <c:crossBetween val="midCat"/>
      </c:valAx>
      <c:valAx>
        <c:axId val="38396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6488"/>
        <c:crosses val="autoZero"/>
        <c:crossBetween val="midCat"/>
      </c:valAx>
      <c:valAx>
        <c:axId val="3839657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3966096"/>
        <c:crosses val="max"/>
        <c:crossBetween val="midCat"/>
      </c:valAx>
      <c:valAx>
        <c:axId val="383966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83965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$F$15" horiz="1" inc="0" max="255" page="0" val="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7.png"/><Relationship Id="rId7" Type="http://schemas.openxmlformats.org/officeDocument/2006/relationships/chart" Target="../charts/chart1.xml"/><Relationship Id="rId12" Type="http://schemas.openxmlformats.org/officeDocument/2006/relationships/chart" Target="../charts/chart6.xml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11" Type="http://schemas.openxmlformats.org/officeDocument/2006/relationships/chart" Target="../charts/chart5.xml"/><Relationship Id="rId5" Type="http://schemas.openxmlformats.org/officeDocument/2006/relationships/image" Target="../media/image19.png"/><Relationship Id="rId10" Type="http://schemas.openxmlformats.org/officeDocument/2006/relationships/chart" Target="../charts/chart4.xml"/><Relationship Id="rId4" Type="http://schemas.openxmlformats.org/officeDocument/2006/relationships/image" Target="../media/image18.png"/><Relationship Id="rId9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2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12" Type="http://schemas.openxmlformats.org/officeDocument/2006/relationships/image" Target="../media/image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6" Type="http://schemas.openxmlformats.org/officeDocument/2006/relationships/image" Target="../media/image7.emf"/><Relationship Id="rId11" Type="http://schemas.openxmlformats.org/officeDocument/2006/relationships/image" Target="../media/image4.emf"/><Relationship Id="rId5" Type="http://schemas.openxmlformats.org/officeDocument/2006/relationships/image" Target="../media/image8.emf"/><Relationship Id="rId10" Type="http://schemas.openxmlformats.org/officeDocument/2006/relationships/image" Target="../media/image14.emf"/><Relationship Id="rId4" Type="http://schemas.openxmlformats.org/officeDocument/2006/relationships/image" Target="../media/image9.emf"/><Relationship Id="rId9" Type="http://schemas.openxmlformats.org/officeDocument/2006/relationships/image" Target="../media/image5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7" name="cbReadA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12</xdr:row>
          <xdr:rowOff>0</xdr:rowOff>
        </xdr:from>
        <xdr:to>
          <xdr:col>3</xdr:col>
          <xdr:colOff>0</xdr:colOff>
          <xdr:row>13</xdr:row>
          <xdr:rowOff>238125</xdr:rowOff>
        </xdr:to>
        <xdr:sp macro="" textlink="">
          <xdr:nvSpPr>
            <xdr:cNvPr id="1026" name="cbOnc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12</xdr:row>
          <xdr:rowOff>9525</xdr:rowOff>
        </xdr:from>
        <xdr:to>
          <xdr:col>12</xdr:col>
          <xdr:colOff>600075</xdr:colOff>
          <xdr:row>13</xdr:row>
          <xdr:rowOff>0</xdr:rowOff>
        </xdr:to>
        <xdr:sp macro="" textlink="">
          <xdr:nvSpPr>
            <xdr:cNvPr id="1030" name="sbRes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12</xdr:row>
          <xdr:rowOff>9525</xdr:rowOff>
        </xdr:from>
        <xdr:to>
          <xdr:col>15</xdr:col>
          <xdr:colOff>9525</xdr:colOff>
          <xdr:row>13</xdr:row>
          <xdr:rowOff>0</xdr:rowOff>
        </xdr:to>
        <xdr:sp macro="" textlink="">
          <xdr:nvSpPr>
            <xdr:cNvPr id="1031" name="sbFSR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38100</xdr:rowOff>
        </xdr:from>
        <xdr:to>
          <xdr:col>7</xdr:col>
          <xdr:colOff>590550</xdr:colOff>
          <xdr:row>11</xdr:row>
          <xdr:rowOff>228600</xdr:rowOff>
        </xdr:to>
        <xdr:sp macro="" textlink="">
          <xdr:nvSpPr>
            <xdr:cNvPr id="1032" name="cbOnOff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</xdr:colOff>
          <xdr:row>11</xdr:row>
          <xdr:rowOff>28575</xdr:rowOff>
        </xdr:from>
        <xdr:to>
          <xdr:col>8</xdr:col>
          <xdr:colOff>590550</xdr:colOff>
          <xdr:row>11</xdr:row>
          <xdr:rowOff>228600</xdr:rowOff>
        </xdr:to>
        <xdr:sp macro="" textlink="">
          <xdr:nvSpPr>
            <xdr:cNvPr id="1033" name="cbContOnc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11</xdr:row>
          <xdr:rowOff>28575</xdr:rowOff>
        </xdr:from>
        <xdr:to>
          <xdr:col>9</xdr:col>
          <xdr:colOff>590550</xdr:colOff>
          <xdr:row>11</xdr:row>
          <xdr:rowOff>228600</xdr:rowOff>
        </xdr:to>
        <xdr:sp macro="" textlink="">
          <xdr:nvSpPr>
            <xdr:cNvPr id="1034" name="cbIrAmb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14</xdr:row>
          <xdr:rowOff>19050</xdr:rowOff>
        </xdr:from>
        <xdr:to>
          <xdr:col>2</xdr:col>
          <xdr:colOff>590550</xdr:colOff>
          <xdr:row>15</xdr:row>
          <xdr:rowOff>238125</xdr:rowOff>
        </xdr:to>
        <xdr:sp macro="" textlink="">
          <xdr:nvSpPr>
            <xdr:cNvPr id="1035" name="cbLoop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0</xdr:colOff>
      <xdr:row>24</xdr:row>
      <xdr:rowOff>0</xdr:rowOff>
    </xdr:from>
    <xdr:to>
      <xdr:col>14</xdr:col>
      <xdr:colOff>234924</xdr:colOff>
      <xdr:row>28</xdr:row>
      <xdr:rowOff>28446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28875" y="4000500"/>
          <a:ext cx="6561905" cy="102857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0</xdr:rowOff>
    </xdr:from>
    <xdr:to>
      <xdr:col>8</xdr:col>
      <xdr:colOff>354426</xdr:colOff>
      <xdr:row>30</xdr:row>
      <xdr:rowOff>109461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428875" y="5000625"/>
          <a:ext cx="3038095" cy="6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595313</xdr:colOff>
      <xdr:row>30</xdr:row>
      <xdr:rowOff>107156</xdr:rowOff>
    </xdr:from>
    <xdr:to>
      <xdr:col>8</xdr:col>
      <xdr:colOff>361568</xdr:colOff>
      <xdr:row>32</xdr:row>
      <xdr:rowOff>216618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16969" y="5607844"/>
          <a:ext cx="3057143" cy="609524"/>
        </a:xfrm>
        <a:prstGeom prst="rect">
          <a:avLst/>
        </a:prstGeom>
      </xdr:spPr>
    </xdr:pic>
    <xdr:clientData/>
  </xdr:twoCellAnchor>
  <xdr:twoCellAnchor editAs="oneCell">
    <xdr:from>
      <xdr:col>3</xdr:col>
      <xdr:colOff>595313</xdr:colOff>
      <xdr:row>32</xdr:row>
      <xdr:rowOff>202406</xdr:rowOff>
    </xdr:from>
    <xdr:to>
      <xdr:col>8</xdr:col>
      <xdr:colOff>380615</xdr:colOff>
      <xdr:row>35</xdr:row>
      <xdr:rowOff>71360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16969" y="6203156"/>
          <a:ext cx="3076190" cy="6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28</xdr:row>
      <xdr:rowOff>35719</xdr:rowOff>
    </xdr:from>
    <xdr:to>
      <xdr:col>13</xdr:col>
      <xdr:colOff>599696</xdr:colOff>
      <xdr:row>34</xdr:row>
      <xdr:rowOff>240293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548313" y="5036344"/>
          <a:ext cx="3028571" cy="1704762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571500</xdr:colOff>
      <xdr:row>35</xdr:row>
      <xdr:rowOff>23813</xdr:rowOff>
    </xdr:from>
    <xdr:to>
      <xdr:col>13</xdr:col>
      <xdr:colOff>573501</xdr:colOff>
      <xdr:row>39</xdr:row>
      <xdr:rowOff>157021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12594" y="6774657"/>
          <a:ext cx="3038095" cy="11333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18</xdr:row>
          <xdr:rowOff>19050</xdr:rowOff>
        </xdr:from>
        <xdr:to>
          <xdr:col>6</xdr:col>
          <xdr:colOff>9525</xdr:colOff>
          <xdr:row>19</xdr:row>
          <xdr:rowOff>228600</xdr:rowOff>
        </xdr:to>
        <xdr:sp macro="" textlink="">
          <xdr:nvSpPr>
            <xdr:cNvPr id="1036" name="cbResetHID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12</xdr:row>
          <xdr:rowOff>28575</xdr:rowOff>
        </xdr:from>
        <xdr:to>
          <xdr:col>10</xdr:col>
          <xdr:colOff>0</xdr:colOff>
          <xdr:row>12</xdr:row>
          <xdr:rowOff>228600</xdr:rowOff>
        </xdr:to>
        <xdr:sp macro="" textlink="">
          <xdr:nvSpPr>
            <xdr:cNvPr id="1037" name="cbToggle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0</xdr:colOff>
      <xdr:row>13</xdr:row>
      <xdr:rowOff>0</xdr:rowOff>
    </xdr:from>
    <xdr:to>
      <xdr:col>15</xdr:col>
      <xdr:colOff>0</xdr:colOff>
      <xdr:row>23</xdr:row>
      <xdr:rowOff>242887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13</xdr:row>
      <xdr:rowOff>0</xdr:rowOff>
    </xdr:from>
    <xdr:to>
      <xdr:col>22</xdr:col>
      <xdr:colOff>269875</xdr:colOff>
      <xdr:row>23</xdr:row>
      <xdr:rowOff>203200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9</xdr:row>
          <xdr:rowOff>28575</xdr:rowOff>
        </xdr:from>
        <xdr:to>
          <xdr:col>23</xdr:col>
          <xdr:colOff>28575</xdr:colOff>
          <xdr:row>11</xdr:row>
          <xdr:rowOff>19050</xdr:rowOff>
        </xdr:to>
        <xdr:sp macro="" textlink="">
          <xdr:nvSpPr>
            <xdr:cNvPr id="1039" name="cbCalVO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28</xdr:col>
      <xdr:colOff>31750</xdr:colOff>
      <xdr:row>13</xdr:row>
      <xdr:rowOff>0</xdr:rowOff>
    </xdr:from>
    <xdr:to>
      <xdr:col>34</xdr:col>
      <xdr:colOff>412750</xdr:colOff>
      <xdr:row>23</xdr:row>
      <xdr:rowOff>203200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19050</xdr:colOff>
          <xdr:row>8</xdr:row>
          <xdr:rowOff>28575</xdr:rowOff>
        </xdr:from>
        <xdr:to>
          <xdr:col>42</xdr:col>
          <xdr:colOff>28575</xdr:colOff>
          <xdr:row>10</xdr:row>
          <xdr:rowOff>19050</xdr:rowOff>
        </xdr:to>
        <xdr:sp macro="" textlink="">
          <xdr:nvSpPr>
            <xdr:cNvPr id="1041" name="cbCalWID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39</xdr:col>
      <xdr:colOff>0</xdr:colOff>
      <xdr:row>24</xdr:row>
      <xdr:rowOff>0</xdr:rowOff>
    </xdr:from>
    <xdr:to>
      <xdr:col>46</xdr:col>
      <xdr:colOff>349250</xdr:colOff>
      <xdr:row>34</xdr:row>
      <xdr:rowOff>203200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47</xdr:col>
          <xdr:colOff>19050</xdr:colOff>
          <xdr:row>7</xdr:row>
          <xdr:rowOff>28575</xdr:rowOff>
        </xdr:from>
        <xdr:to>
          <xdr:col>49</xdr:col>
          <xdr:colOff>28575</xdr:colOff>
          <xdr:row>9</xdr:row>
          <xdr:rowOff>19050</xdr:rowOff>
        </xdr:to>
        <xdr:sp macro="" textlink="">
          <xdr:nvSpPr>
            <xdr:cNvPr id="1043" name="cbCalND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39</xdr:col>
      <xdr:colOff>63500</xdr:colOff>
      <xdr:row>12</xdr:row>
      <xdr:rowOff>15875</xdr:rowOff>
    </xdr:from>
    <xdr:to>
      <xdr:col>46</xdr:col>
      <xdr:colOff>412750</xdr:colOff>
      <xdr:row>22</xdr:row>
      <xdr:rowOff>219075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65</xdr:col>
          <xdr:colOff>38100</xdr:colOff>
          <xdr:row>5</xdr:row>
          <xdr:rowOff>38100</xdr:rowOff>
        </xdr:from>
        <xdr:to>
          <xdr:col>66</xdr:col>
          <xdr:colOff>590550</xdr:colOff>
          <xdr:row>7</xdr:row>
          <xdr:rowOff>19050</xdr:rowOff>
        </xdr:to>
        <xdr:sp macro="" textlink="">
          <xdr:nvSpPr>
            <xdr:cNvPr id="1046" name="cbDUTsweep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23</xdr:col>
      <xdr:colOff>0</xdr:colOff>
      <xdr:row>25</xdr:row>
      <xdr:rowOff>0</xdr:rowOff>
    </xdr:from>
    <xdr:to>
      <xdr:col>30</xdr:col>
      <xdr:colOff>158750</xdr:colOff>
      <xdr:row>35</xdr:row>
      <xdr:rowOff>203200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0.71615</cdr:x>
      <cdr:y>0.56424</cdr:y>
    </cdr:from>
    <cdr:to>
      <cdr:x>0.95573</cdr:x>
      <cdr:y>0.79427</cdr:y>
    </cdr:to>
    <cdr:sp macro="" textlink="'ISL29020'!$H$15:$I$15">
      <cdr:nvSpPr>
        <cdr:cNvPr id="2" name="TextBox 1"/>
        <cdr:cNvSpPr txBox="1"/>
      </cdr:nvSpPr>
      <cdr:spPr>
        <a:xfrm xmlns:a="http://schemas.openxmlformats.org/drawingml/2006/main">
          <a:off x="3274219" y="1547812"/>
          <a:ext cx="1095375" cy="63103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0AE50372-E114-4395-BF0C-9FDFE00E95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Average=0
Noise= 17.8%
Pk-Pk= 0</a:t>
          </a:fld>
          <a:endParaRPr lang="en-US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15</xdr:col>
          <xdr:colOff>600075</xdr:colOff>
          <xdr:row>6</xdr:row>
          <xdr:rowOff>228600</xdr:rowOff>
        </xdr:to>
        <xdr:sp macro="" textlink="">
          <xdr:nvSpPr>
            <xdr:cNvPr id="2060" name="sbProxData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0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49" name="cbReadAll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4</xdr:row>
          <xdr:rowOff>0</xdr:rowOff>
        </xdr:from>
        <xdr:to>
          <xdr:col>2</xdr:col>
          <xdr:colOff>600075</xdr:colOff>
          <xdr:row>5</xdr:row>
          <xdr:rowOff>238125</xdr:rowOff>
        </xdr:to>
        <xdr:sp macro="" textlink="">
          <xdr:nvSpPr>
            <xdr:cNvPr id="2050" name="cbOnc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</xdr:row>
          <xdr:rowOff>19050</xdr:rowOff>
        </xdr:from>
        <xdr:to>
          <xdr:col>13</xdr:col>
          <xdr:colOff>600075</xdr:colOff>
          <xdr:row>6</xdr:row>
          <xdr:rowOff>19050</xdr:rowOff>
        </xdr:to>
        <xdr:sp macro="" textlink="">
          <xdr:nvSpPr>
            <xdr:cNvPr id="2051" name="sbSlpTm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4</xdr:row>
          <xdr:rowOff>238125</xdr:rowOff>
        </xdr:from>
        <xdr:to>
          <xdr:col>16</xdr:col>
          <xdr:colOff>9525</xdr:colOff>
          <xdr:row>5</xdr:row>
          <xdr:rowOff>228600</xdr:rowOff>
        </xdr:to>
        <xdr:sp macro="" textlink="">
          <xdr:nvSpPr>
            <xdr:cNvPr id="2052" name="sbIRDR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5</xdr:row>
          <xdr:rowOff>19050</xdr:rowOff>
        </xdr:from>
        <xdr:to>
          <xdr:col>10</xdr:col>
          <xdr:colOff>485775</xdr:colOff>
          <xdr:row>5</xdr:row>
          <xdr:rowOff>238125</xdr:rowOff>
        </xdr:to>
        <xdr:sp macro="" textlink="">
          <xdr:nvSpPr>
            <xdr:cNvPr id="2055" name="cbPrxEn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20</xdr:row>
          <xdr:rowOff>19050</xdr:rowOff>
        </xdr:from>
        <xdr:to>
          <xdr:col>2</xdr:col>
          <xdr:colOff>590550</xdr:colOff>
          <xdr:row>21</xdr:row>
          <xdr:rowOff>238125</xdr:rowOff>
        </xdr:to>
        <xdr:sp macro="" textlink="">
          <xdr:nvSpPr>
            <xdr:cNvPr id="2056" name="cbLoop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23</xdr:row>
          <xdr:rowOff>28575</xdr:rowOff>
        </xdr:from>
        <xdr:to>
          <xdr:col>6</xdr:col>
          <xdr:colOff>0</xdr:colOff>
          <xdr:row>24</xdr:row>
          <xdr:rowOff>238125</xdr:rowOff>
        </xdr:to>
        <xdr:sp macro="" textlink="">
          <xdr:nvSpPr>
            <xdr:cNvPr id="2057" name="cbResetHID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12</xdr:col>
      <xdr:colOff>18483</xdr:colOff>
      <xdr:row>51</xdr:row>
      <xdr:rowOff>237445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00" y="3962400"/>
          <a:ext cx="4533333" cy="5438095"/>
        </a:xfrm>
        <a:prstGeom prst="rect">
          <a:avLst/>
        </a:prstGeom>
      </xdr:spPr>
    </xdr:pic>
    <xdr:clientData/>
  </xdr:twoCellAnchor>
  <xdr:twoCellAnchor editAs="oneCell">
    <xdr:from>
      <xdr:col>12</xdr:col>
      <xdr:colOff>0</xdr:colOff>
      <xdr:row>30</xdr:row>
      <xdr:rowOff>0</xdr:rowOff>
    </xdr:from>
    <xdr:to>
      <xdr:col>19</xdr:col>
      <xdr:colOff>266133</xdr:colOff>
      <xdr:row>53</xdr:row>
      <xdr:rowOff>56432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53250" y="3962400"/>
          <a:ext cx="4533333" cy="5752381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0</xdr:colOff>
      <xdr:row>29</xdr:row>
      <xdr:rowOff>242887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0.71615</cdr:x>
      <cdr:y>0.56424</cdr:y>
    </cdr:from>
    <cdr:to>
      <cdr:x>0.95573</cdr:x>
      <cdr:y>0.79427</cdr:y>
    </cdr:to>
    <cdr:sp macro="" textlink="'ISL29147'!$I$21:$J$21">
      <cdr:nvSpPr>
        <cdr:cNvPr id="2" name="TextBox 1"/>
        <cdr:cNvSpPr txBox="1"/>
      </cdr:nvSpPr>
      <cdr:spPr>
        <a:xfrm xmlns:a="http://schemas.openxmlformats.org/drawingml/2006/main">
          <a:off x="3274219" y="1547812"/>
          <a:ext cx="1095375" cy="63103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0AE50372-E114-4395-BF0C-9FDFE00E9529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Average=0.5%
Noise= 0.44%
Pk-Pk= 2%</a:t>
          </a:fld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285749</xdr:colOff>
      <xdr:row>3</xdr:row>
      <xdr:rowOff>9525</xdr:rowOff>
    </xdr:from>
    <xdr:to>
      <xdr:col>22</xdr:col>
      <xdr:colOff>-1</xdr:colOff>
      <xdr:row>17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1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control" Target="../activeX/activeX13.xml"/><Relationship Id="rId1" Type="http://schemas.openxmlformats.org/officeDocument/2006/relationships/hyperlink" Target="http://www.intersil.com/content/dam/Intersil/documents/isl2/isl29020.pdf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32" Type="http://schemas.openxmlformats.org/officeDocument/2006/relationships/image" Target="../media/image14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31" Type="http://schemas.openxmlformats.org/officeDocument/2006/relationships/control" Target="../activeX/activeX14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Relationship Id="rId30" Type="http://schemas.openxmlformats.org/officeDocument/2006/relationships/image" Target="../media/image1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control" Target="../activeX/activeX19.xml"/><Relationship Id="rId18" Type="http://schemas.openxmlformats.org/officeDocument/2006/relationships/image" Target="../media/image27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6.xml"/><Relationship Id="rId12" Type="http://schemas.openxmlformats.org/officeDocument/2006/relationships/image" Target="../media/image24.emf"/><Relationship Id="rId17" Type="http://schemas.openxmlformats.org/officeDocument/2006/relationships/control" Target="../activeX/activeX2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26.emf"/><Relationship Id="rId1" Type="http://schemas.openxmlformats.org/officeDocument/2006/relationships/hyperlink" Target="http://www.intersil.com/content/dam/Intersil/documents/isl2/isl29147.pdf" TargetMode="External"/><Relationship Id="rId6" Type="http://schemas.openxmlformats.org/officeDocument/2006/relationships/image" Target="../media/image21.emf"/><Relationship Id="rId11" Type="http://schemas.openxmlformats.org/officeDocument/2006/relationships/control" Target="../activeX/activeX18.xml"/><Relationship Id="rId5" Type="http://schemas.openxmlformats.org/officeDocument/2006/relationships/control" Target="../activeX/activeX15.xml"/><Relationship Id="rId15" Type="http://schemas.openxmlformats.org/officeDocument/2006/relationships/control" Target="../activeX/activeX20.xml"/><Relationship Id="rId10" Type="http://schemas.openxmlformats.org/officeDocument/2006/relationships/image" Target="../media/image23.emf"/><Relationship Id="rId19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17.xml"/><Relationship Id="rId14" Type="http://schemas.openxmlformats.org/officeDocument/2006/relationships/image" Target="../media/image25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BW1010"/>
  <sheetViews>
    <sheetView topLeftCell="B1" zoomScale="60" zoomScaleNormal="60" workbookViewId="0">
      <pane xSplit="10455" ySplit="7620" topLeftCell="BL96"/>
      <selection activeCell="N5" sqref="N5"/>
      <selection pane="topRight" activeCell="BO11" sqref="BO11:BT110"/>
      <selection pane="bottomLeft" activeCell="Q30" sqref="Q30"/>
      <selection pane="bottomRight" activeCell="BO110" sqref="BO110:BT110"/>
    </sheetView>
  </sheetViews>
  <sheetFormatPr defaultRowHeight="20.100000000000001" customHeight="1" x14ac:dyDescent="0.25"/>
  <cols>
    <col min="1" max="6" width="9.140625" style="1"/>
    <col min="7" max="7" width="12.85546875" style="1" bestFit="1" customWidth="1"/>
    <col min="8" max="16" width="9.140625" style="1"/>
    <col min="17" max="17" width="10.28515625" style="1" bestFit="1" customWidth="1"/>
    <col min="18" max="22" width="9.140625" style="1"/>
    <col min="24" max="24" width="9.140625" style="1"/>
    <col min="25" max="25" width="9.140625" style="51"/>
    <col min="26" max="26" width="9.140625" style="1"/>
    <col min="27" max="27" width="9.140625" style="51"/>
    <col min="28" max="28" width="9.140625" style="56"/>
    <col min="29" max="29" width="10.5703125" style="61" bestFit="1" customWidth="1"/>
    <col min="30" max="30" width="10.5703125" style="51" customWidth="1"/>
    <col min="31" max="36" width="10.5703125" style="61" customWidth="1"/>
    <col min="37" max="39" width="9.140625" style="61"/>
    <col min="40" max="41" width="9.140625" style="56"/>
    <col min="42" max="50" width="9.140625" style="1"/>
    <col min="51" max="51" width="9.140625" style="57"/>
    <col min="52" max="52" width="9.140625" style="1"/>
    <col min="53" max="53" width="9.140625" style="57"/>
    <col min="54" max="57" width="9.140625" style="1"/>
    <col min="58" max="58" width="9.140625" style="61"/>
    <col min="59" max="60" width="9.140625" style="61" customWidth="1"/>
    <col min="61" max="61" width="9.140625" style="51"/>
    <col min="62" max="63" width="9.140625" style="61"/>
    <col min="64" max="70" width="9.140625" style="1"/>
    <col min="71" max="71" width="9.140625" style="47"/>
    <col min="72" max="73" width="9.140625" style="1"/>
    <col min="74" max="74" width="9.140625" style="44"/>
    <col min="75" max="16384" width="9.140625" style="1"/>
  </cols>
  <sheetData>
    <row r="1" spans="4:75" s="56" customFormat="1" ht="20.100000000000001" customHeight="1" x14ac:dyDescent="0.25">
      <c r="W1"/>
      <c r="Y1" s="51"/>
      <c r="AA1" s="51" t="s">
        <v>45</v>
      </c>
      <c r="AB1" s="56" t="s">
        <v>44</v>
      </c>
      <c r="AC1" s="61"/>
      <c r="AD1" s="51"/>
      <c r="AE1" s="61"/>
      <c r="AF1" s="61"/>
      <c r="AG1" s="61"/>
      <c r="AH1" s="61"/>
      <c r="AI1" s="61"/>
      <c r="AJ1" s="61"/>
      <c r="AK1" s="61"/>
      <c r="AL1" s="61"/>
      <c r="AM1" s="61"/>
      <c r="AQ1" s="51"/>
      <c r="AS1" s="56" t="s">
        <v>45</v>
      </c>
      <c r="AT1" s="56" t="s">
        <v>44</v>
      </c>
      <c r="AY1" s="57"/>
      <c r="BA1" s="57"/>
      <c r="BF1" s="61"/>
      <c r="BG1" s="61"/>
      <c r="BH1" s="61"/>
      <c r="BI1" s="51"/>
      <c r="BJ1" s="61"/>
      <c r="BK1" s="61"/>
      <c r="BS1" s="47"/>
      <c r="BV1" s="44"/>
    </row>
    <row r="2" spans="4:75" s="56" customFormat="1" ht="20.100000000000001" customHeight="1" x14ac:dyDescent="0.25">
      <c r="W2"/>
      <c r="X2" s="56" t="s">
        <v>37</v>
      </c>
      <c r="Y2" s="51">
        <f>(Z2-Y4)/Y3</f>
        <v>0.97066501569608676</v>
      </c>
      <c r="Z2" s="51">
        <f>(Z7*Z8)^0.5</f>
        <v>313.47072663016053</v>
      </c>
      <c r="AA2" s="51">
        <f>Z8/Z2</f>
        <v>2.2374244916167005</v>
      </c>
      <c r="AB2" s="51">
        <f>LOG10(AA2)</f>
        <v>0.34974838770748318</v>
      </c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P2" s="56" t="s">
        <v>37</v>
      </c>
      <c r="AQ2" s="51">
        <f>(AR2-AQ4)/AQ3</f>
        <v>496.25222695801426</v>
      </c>
      <c r="AR2" s="51">
        <f>(AR7*AR8)^0.5</f>
        <v>536.76382435396181</v>
      </c>
      <c r="AS2" s="51">
        <f>AR8/AR2</f>
        <v>1.0304384905532251</v>
      </c>
      <c r="AT2" s="51">
        <f>LOG10(AS2)</f>
        <v>1.3022072766767243E-2</v>
      </c>
      <c r="AY2" s="57"/>
      <c r="BA2" s="57"/>
      <c r="BF2" s="61"/>
      <c r="BG2" s="61"/>
      <c r="BH2" s="61"/>
      <c r="BI2" s="51"/>
      <c r="BJ2" s="61"/>
      <c r="BK2" s="61"/>
      <c r="BS2" s="47"/>
      <c r="BV2" s="44"/>
    </row>
    <row r="3" spans="4:75" s="56" customFormat="1" ht="20.100000000000001" customHeight="1" x14ac:dyDescent="0.25">
      <c r="W3"/>
      <c r="X3" s="56" t="s">
        <v>35</v>
      </c>
      <c r="Y3" s="51">
        <f>SLOPE(Z11:Z71,Y11:Y71)</f>
        <v>467.71975363202313</v>
      </c>
      <c r="Z3" s="44">
        <f>Y3/1000/Z2</f>
        <v>1.4920683620446922E-3</v>
      </c>
      <c r="AA3" s="51" t="s">
        <v>40</v>
      </c>
      <c r="AC3" s="61"/>
      <c r="AD3" s="51"/>
      <c r="AE3" s="61"/>
      <c r="AF3" s="61"/>
      <c r="AG3" s="61"/>
      <c r="AH3" s="61"/>
      <c r="AI3" s="61"/>
      <c r="AJ3" s="61"/>
      <c r="AK3" s="61"/>
      <c r="AL3" s="61"/>
      <c r="AM3" s="61"/>
      <c r="AP3" s="56" t="s">
        <v>35</v>
      </c>
      <c r="AQ3" s="51">
        <f>SLOPE(AR13:AR55,AQ13:AQ55)</f>
        <v>6.4387877777385333E-2</v>
      </c>
      <c r="AR3" s="44">
        <f>AQ3/AR2</f>
        <v>1.1995569532816652E-4</v>
      </c>
      <c r="AS3" s="56" t="s">
        <v>46</v>
      </c>
      <c r="AY3" s="57"/>
      <c r="BA3" s="57"/>
      <c r="BF3" s="61"/>
      <c r="BG3" s="61"/>
      <c r="BH3" s="61"/>
      <c r="BI3" s="51"/>
      <c r="BJ3" s="61"/>
      <c r="BK3" s="61"/>
      <c r="BS3" s="47"/>
      <c r="BV3" s="44"/>
    </row>
    <row r="4" spans="4:75" s="56" customFormat="1" ht="20.100000000000001" customHeight="1" thickBot="1" x14ac:dyDescent="0.3">
      <c r="W4"/>
      <c r="X4" s="56" t="s">
        <v>36</v>
      </c>
      <c r="Y4" s="51">
        <f>INTERCEPT(Z11:Z71,Y11:Y71)</f>
        <v>-140.52847537043704</v>
      </c>
      <c r="AA4" s="51"/>
      <c r="AC4" s="61"/>
      <c r="AD4" s="51"/>
      <c r="AE4" s="61"/>
      <c r="AF4" s="61"/>
      <c r="AG4" s="61"/>
      <c r="AH4" s="61"/>
      <c r="AI4" s="61"/>
      <c r="AJ4" s="61"/>
      <c r="AK4" s="61"/>
      <c r="AL4" s="61"/>
      <c r="AM4" s="61"/>
      <c r="AP4" s="56" t="s">
        <v>36</v>
      </c>
      <c r="AQ4" s="51">
        <f>INTERCEPT(AR13:AR55,AQ13:AQ55)</f>
        <v>504.8111966178339</v>
      </c>
      <c r="AY4" s="57"/>
      <c r="BA4" s="57"/>
      <c r="BF4" s="61"/>
      <c r="BI4" s="51"/>
      <c r="BJ4" s="61"/>
      <c r="BK4" s="61"/>
      <c r="BL4" s="61" t="s">
        <v>41</v>
      </c>
      <c r="BM4" s="61">
        <v>100</v>
      </c>
      <c r="BS4" s="47"/>
      <c r="BV4" s="44"/>
    </row>
    <row r="5" spans="4:75" s="56" customFormat="1" ht="20.100000000000001" customHeight="1" thickBot="1" x14ac:dyDescent="0.3">
      <c r="W5"/>
      <c r="X5" s="56" t="s">
        <v>41</v>
      </c>
      <c r="Y5" s="1">
        <f>(Y8-Y7)/Y6+1</f>
        <v>61.000000000000007</v>
      </c>
      <c r="AA5" s="51"/>
      <c r="AC5" s="61"/>
      <c r="AD5" s="89" t="s">
        <v>69</v>
      </c>
      <c r="AE5" s="90"/>
      <c r="AF5" s="90"/>
      <c r="AG5" s="91"/>
      <c r="AH5" s="61"/>
      <c r="AI5" s="61"/>
      <c r="AJ5" s="61"/>
      <c r="AK5" s="61"/>
      <c r="AL5" s="61"/>
      <c r="AM5" s="61"/>
      <c r="AP5" s="56" t="s">
        <v>41</v>
      </c>
      <c r="AQ5" s="56">
        <f>(AQ8-AQ7)/AQ6+1</f>
        <v>51</v>
      </c>
      <c r="AV5" s="56" t="s">
        <v>41</v>
      </c>
      <c r="AW5" s="56">
        <v>32</v>
      </c>
      <c r="AY5" s="57"/>
      <c r="BA5" s="57"/>
      <c r="BB5" s="56" t="s">
        <v>48</v>
      </c>
      <c r="BC5" s="56" t="s">
        <v>72</v>
      </c>
      <c r="BD5" s="56" t="s">
        <v>73</v>
      </c>
      <c r="BF5" s="61"/>
      <c r="BI5" s="51"/>
      <c r="BJ5" s="61"/>
      <c r="BK5" s="61"/>
      <c r="BL5" s="61" t="s">
        <v>59</v>
      </c>
      <c r="BM5" s="64">
        <v>0.95</v>
      </c>
      <c r="BN5" s="56" t="s">
        <v>41</v>
      </c>
      <c r="BO5" s="56">
        <f>COUNT(BL11:BL1010)</f>
        <v>99</v>
      </c>
      <c r="BS5" s="47"/>
      <c r="BV5" s="44"/>
    </row>
    <row r="6" spans="4:75" s="56" customFormat="1" ht="20.100000000000001" customHeight="1" thickBot="1" x14ac:dyDescent="0.3">
      <c r="W6"/>
      <c r="X6" s="1" t="s">
        <v>34</v>
      </c>
      <c r="Y6" s="51">
        <v>0.02</v>
      </c>
      <c r="Z6" s="1"/>
      <c r="AA6" s="51"/>
      <c r="AC6" s="61"/>
      <c r="AD6" s="73">
        <f t="array" ref="AD6:AG6">LINEST(AC11:AC71,AD11:AF71)</f>
        <v>-5.5080350341168045E-3</v>
      </c>
      <c r="AE6" s="74">
        <v>2.3201287719020167E-2</v>
      </c>
      <c r="AF6" s="74">
        <v>-3.2669490882187749E-2</v>
      </c>
      <c r="AG6" s="75">
        <v>1.6295312619268497E-2</v>
      </c>
      <c r="AH6" s="61"/>
      <c r="AI6" s="61"/>
      <c r="AJ6" s="61"/>
      <c r="AK6" s="61"/>
      <c r="AL6" s="61"/>
      <c r="AM6" s="61"/>
      <c r="AP6" s="56" t="s">
        <v>34</v>
      </c>
      <c r="AQ6" s="58">
        <v>10</v>
      </c>
      <c r="AY6" s="57"/>
      <c r="BA6" s="57" t="s">
        <v>71</v>
      </c>
      <c r="BB6" s="47">
        <f>MAX(BA12:BA42)</f>
        <v>0.65376172259448606</v>
      </c>
      <c r="BC6" s="51">
        <f>10^BB6</f>
        <v>4.505694299926633</v>
      </c>
      <c r="BD6" s="51">
        <f>BC6^0.5</f>
        <v>2.1226620786000376</v>
      </c>
      <c r="BF6" s="61"/>
      <c r="BI6" s="51"/>
      <c r="BJ6" s="61"/>
      <c r="BK6" s="61"/>
      <c r="BL6" s="56" t="s">
        <v>64</v>
      </c>
      <c r="BM6" s="56">
        <v>2</v>
      </c>
      <c r="BS6" s="47"/>
      <c r="BV6" s="44"/>
    </row>
    <row r="7" spans="4:75" s="56" customFormat="1" ht="20.100000000000001" customHeight="1" x14ac:dyDescent="0.25">
      <c r="W7"/>
      <c r="X7" s="56" t="s">
        <v>38</v>
      </c>
      <c r="Y7" s="56">
        <v>0.6</v>
      </c>
      <c r="Z7" s="56">
        <f>Y$3*Y7+Y$4</f>
        <v>140.10337680877683</v>
      </c>
      <c r="AA7" s="51"/>
      <c r="AC7" s="61"/>
      <c r="AD7" s="51"/>
      <c r="AE7" s="61"/>
      <c r="AF7" s="61"/>
      <c r="AG7" s="61"/>
      <c r="AH7" s="61"/>
      <c r="AI7" s="61"/>
      <c r="AJ7" s="61"/>
      <c r="AK7" s="61"/>
      <c r="AL7" s="61"/>
      <c r="AM7" s="61"/>
      <c r="AP7" s="56" t="s">
        <v>38</v>
      </c>
      <c r="AQ7" s="56">
        <v>250</v>
      </c>
      <c r="AR7" s="56">
        <f>AQ$3*AQ7+AQ$4</f>
        <v>520.90816606218027</v>
      </c>
      <c r="AS7" s="56">
        <f>(AQ8/AQ7)^0.5</f>
        <v>1.7320508075688772</v>
      </c>
      <c r="AY7" s="57"/>
      <c r="BA7" s="57"/>
      <c r="BF7" s="61"/>
      <c r="BI7" s="51"/>
      <c r="BJ7" s="61"/>
      <c r="BK7" s="61"/>
      <c r="BL7" s="61" t="s">
        <v>60</v>
      </c>
      <c r="BM7" s="61">
        <f>ROUND(M12*BM5,0)</f>
        <v>62258</v>
      </c>
      <c r="BS7" s="47"/>
      <c r="BV7" s="44"/>
    </row>
    <row r="8" spans="4:75" s="56" customFormat="1" ht="20.100000000000001" customHeight="1" x14ac:dyDescent="0.25">
      <c r="W8"/>
      <c r="X8" s="56" t="s">
        <v>39</v>
      </c>
      <c r="Y8" s="56">
        <v>1.8</v>
      </c>
      <c r="Z8" s="56">
        <f>Y$3*Y8+Y$4</f>
        <v>701.36708116720456</v>
      </c>
      <c r="AA8" s="51"/>
      <c r="AC8" s="61"/>
      <c r="AD8" s="51"/>
      <c r="AE8" s="61"/>
      <c r="AF8" s="61"/>
      <c r="AG8" s="61"/>
      <c r="AH8" s="61"/>
      <c r="AI8" s="61"/>
      <c r="AJ8" s="61"/>
      <c r="AK8" s="61"/>
      <c r="AL8" s="61"/>
      <c r="AM8" s="61"/>
      <c r="AP8" s="56" t="s">
        <v>39</v>
      </c>
      <c r="AQ8" s="56">
        <v>750</v>
      </c>
      <c r="AR8" s="56">
        <f>AQ$3*AQ8+AQ$4</f>
        <v>553.1021049508729</v>
      </c>
      <c r="AY8" s="57"/>
      <c r="BA8" s="57"/>
      <c r="BF8" s="61"/>
      <c r="BI8" s="51"/>
      <c r="BJ8" s="61"/>
      <c r="BK8" s="61"/>
      <c r="BL8" s="61" t="s">
        <v>62</v>
      </c>
      <c r="BM8" s="61">
        <f>O12*BM5</f>
        <v>950</v>
      </c>
      <c r="BS8" s="47"/>
      <c r="BV8" s="44"/>
    </row>
    <row r="9" spans="4:75" ht="20.100000000000001" customHeight="1" thickBot="1" x14ac:dyDescent="0.3">
      <c r="Y9" s="1"/>
      <c r="AZ9" s="1">
        <f>AZ42/AV42</f>
        <v>0.1364013826664546</v>
      </c>
      <c r="BL9" s="56" t="s">
        <v>61</v>
      </c>
      <c r="BM9" s="61">
        <f>(BM7/BM6)^(1/((BM4)))</f>
        <v>1.1090002695174528</v>
      </c>
    </row>
    <row r="10" spans="4:75" ht="20.100000000000001" customHeight="1" thickBot="1" x14ac:dyDescent="0.3">
      <c r="D10" s="78" t="s">
        <v>10</v>
      </c>
      <c r="E10" s="79"/>
      <c r="F10" s="79"/>
      <c r="G10" s="80"/>
      <c r="H10" s="81" t="s">
        <v>11</v>
      </c>
      <c r="I10" s="82"/>
      <c r="J10" s="82"/>
      <c r="K10" s="82"/>
      <c r="L10" s="82"/>
      <c r="M10" s="82"/>
      <c r="N10" s="82"/>
      <c r="O10" s="83"/>
      <c r="Y10" s="51" t="s">
        <v>32</v>
      </c>
      <c r="Z10" s="1" t="s">
        <v>33</v>
      </c>
      <c r="AA10" s="51" t="s">
        <v>8</v>
      </c>
      <c r="AB10" s="56" t="s">
        <v>43</v>
      </c>
      <c r="AC10" s="61" t="s">
        <v>66</v>
      </c>
      <c r="AD10" s="58">
        <v>1</v>
      </c>
      <c r="AE10" s="61">
        <v>2</v>
      </c>
      <c r="AF10" s="61">
        <v>3</v>
      </c>
      <c r="AG10" s="61" t="s">
        <v>67</v>
      </c>
      <c r="AH10" s="61" t="s">
        <v>68</v>
      </c>
      <c r="AQ10" s="1" t="s">
        <v>42</v>
      </c>
      <c r="AR10" s="1" t="s">
        <v>33</v>
      </c>
      <c r="AS10" s="1" t="s">
        <v>8</v>
      </c>
      <c r="AT10" s="1" t="s">
        <v>43</v>
      </c>
      <c r="AV10" s="59" t="s">
        <v>47</v>
      </c>
      <c r="AW10" s="56" t="s">
        <v>33</v>
      </c>
      <c r="AX10" s="56" t="s">
        <v>8</v>
      </c>
      <c r="AY10" s="57" t="s">
        <v>54</v>
      </c>
      <c r="AZ10" s="1" t="s">
        <v>48</v>
      </c>
      <c r="BA10" s="45" t="s">
        <v>51</v>
      </c>
      <c r="BB10" s="1" t="s">
        <v>49</v>
      </c>
      <c r="BC10" s="1" t="s">
        <v>50</v>
      </c>
      <c r="BD10" s="1" t="s">
        <v>52</v>
      </c>
      <c r="BE10" s="1" t="s">
        <v>53</v>
      </c>
      <c r="BL10" s="61" t="s">
        <v>63</v>
      </c>
      <c r="BM10" s="85" t="s">
        <v>55</v>
      </c>
      <c r="BN10" s="85"/>
      <c r="BO10" s="1" t="s">
        <v>33</v>
      </c>
      <c r="BP10" s="1" t="s">
        <v>8</v>
      </c>
      <c r="BQ10" s="1" t="s">
        <v>57</v>
      </c>
      <c r="BR10" s="1" t="s">
        <v>56</v>
      </c>
      <c r="BS10" s="47" t="s">
        <v>32</v>
      </c>
      <c r="BT10" s="1" t="s">
        <v>42</v>
      </c>
      <c r="BU10" s="85" t="s">
        <v>58</v>
      </c>
      <c r="BV10" s="85"/>
      <c r="BW10" s="1" t="s">
        <v>65</v>
      </c>
    </row>
    <row r="11" spans="4:75" ht="20.100000000000001" customHeight="1" x14ac:dyDescent="0.25">
      <c r="D11" s="8" t="s">
        <v>0</v>
      </c>
      <c r="E11" s="9" t="s">
        <v>1</v>
      </c>
      <c r="F11" s="9" t="s">
        <v>2</v>
      </c>
      <c r="G11" s="17" t="s">
        <v>3</v>
      </c>
      <c r="H11" s="8">
        <v>7</v>
      </c>
      <c r="I11" s="9">
        <f>H11-1</f>
        <v>6</v>
      </c>
      <c r="J11" s="9">
        <f t="shared" ref="J11:O11" si="0">I11-1</f>
        <v>5</v>
      </c>
      <c r="K11" s="9">
        <f t="shared" si="0"/>
        <v>4</v>
      </c>
      <c r="L11" s="9">
        <f t="shared" si="0"/>
        <v>3</v>
      </c>
      <c r="M11" s="9">
        <f t="shared" si="0"/>
        <v>2</v>
      </c>
      <c r="N11" s="9">
        <f t="shared" si="0"/>
        <v>1</v>
      </c>
      <c r="O11" s="10">
        <f t="shared" si="0"/>
        <v>0</v>
      </c>
      <c r="X11" s="1">
        <v>0</v>
      </c>
      <c r="Y11" s="51">
        <f>Y7</f>
        <v>0.6</v>
      </c>
      <c r="Z11" s="51">
        <v>102.77046608924866</v>
      </c>
      <c r="AA11" s="51">
        <v>0.19269626442728907</v>
      </c>
      <c r="AB11" s="51">
        <f>Z11/(Y$3*Y11+Y$4)-1</f>
        <v>-0.26646688730766865</v>
      </c>
      <c r="AC11" s="44">
        <f>Y$3/1000/Z11</f>
        <v>4.5511105615288596E-3</v>
      </c>
      <c r="AD11" s="51">
        <f>Y11</f>
        <v>0.6</v>
      </c>
      <c r="AE11" s="72">
        <f>$AD11^AE$10</f>
        <v>0.36</v>
      </c>
      <c r="AF11" s="72">
        <f t="shared" ref="AF11:AF71" si="1">$AD11^AF$10</f>
        <v>0.216</v>
      </c>
      <c r="AG11" s="44">
        <f>AD$6*AF11+AE$6*AE11+AF$6*AD11+AG$6</f>
        <v>3.8563461014338787E-3</v>
      </c>
      <c r="AH11" s="44">
        <f>AG11-AC11</f>
        <v>-6.9476446009498084E-4</v>
      </c>
      <c r="AI11" s="44"/>
      <c r="AJ11" s="44"/>
      <c r="AK11" s="51"/>
      <c r="AL11" s="51"/>
      <c r="AM11" s="51"/>
      <c r="AN11" s="51"/>
      <c r="AO11" s="51"/>
      <c r="AP11" s="39"/>
      <c r="AQ11" s="58">
        <f t="shared" ref="AQ11:AQ42" si="2">AQ$6*X11+AQ$7</f>
        <v>250</v>
      </c>
      <c r="AR11" s="1">
        <v>517.84206008911133</v>
      </c>
      <c r="AS11" s="1">
        <v>1.2880564355259303E-2</v>
      </c>
      <c r="AT11" s="51">
        <f>100*(AR11/(AQ$3*AQ11+AQ$4)-1)</f>
        <v>-0.58860777634708317</v>
      </c>
      <c r="AV11" s="1">
        <f>X11</f>
        <v>0</v>
      </c>
      <c r="AW11" s="1">
        <v>774.6237907409668</v>
      </c>
      <c r="AX11" s="1">
        <v>7.3783977952663104E-3</v>
      </c>
      <c r="AY11" s="57">
        <f>(-20*LOG10(AX11/100))/6.02</f>
        <v>13.727700777878674</v>
      </c>
      <c r="AZ11" s="47">
        <f t="shared" ref="AZ11" si="3">LOG10(AW$11/AW11)</f>
        <v>0</v>
      </c>
      <c r="BA11" s="47"/>
      <c r="BB11" s="1">
        <f>AW11/AA$2</f>
        <v>346.21226041073913</v>
      </c>
      <c r="BC11" s="1">
        <f>AW11*AA$2</f>
        <v>1733.162241192809</v>
      </c>
      <c r="BD11" s="1">
        <f>0.95*(BB11*BC12)^0.5</f>
        <v>663.95650258689716</v>
      </c>
      <c r="BL11" s="65">
        <f>BM4</f>
        <v>100</v>
      </c>
      <c r="BM11" s="66">
        <f>MAX(BL11,ROUND(BM6*BM$9^BL11,0))</f>
        <v>62258</v>
      </c>
      <c r="BN11" s="67">
        <f>O$12/M$12*BM11</f>
        <v>949.9961852445258</v>
      </c>
      <c r="BO11" s="1">
        <v>945.44611358642578</v>
      </c>
      <c r="BP11" s="1">
        <v>4.6433202696232762E-3</v>
      </c>
      <c r="BR11" s="1">
        <v>0</v>
      </c>
      <c r="BS11" s="47">
        <v>1.1100000000000001</v>
      </c>
      <c r="BT11" s="1">
        <v>500</v>
      </c>
      <c r="BU11" s="51">
        <f>BO11-BN11</f>
        <v>-4.5500716581000233</v>
      </c>
      <c r="BV11" s="44">
        <f>BO11/BN11-1</f>
        <v>-4.7895683464548311E-3</v>
      </c>
      <c r="BW11" s="1">
        <f>-20*LOG10(BP11/100)</f>
        <v>86.663427203122183</v>
      </c>
    </row>
    <row r="12" spans="4:75" ht="20.100000000000001" customHeight="1" thickBot="1" x14ac:dyDescent="0.3">
      <c r="D12" s="5">
        <v>0</v>
      </c>
      <c r="E12" s="4">
        <v>0</v>
      </c>
      <c r="F12" s="4" t="str">
        <f>DEC2HEX(E12,2)</f>
        <v>00</v>
      </c>
      <c r="G12" s="22" t="str">
        <f>DEC2BIN(_xlfn.BITAND(E12,240)/16,4) &amp; " " &amp; DEC2BIN(_xlfn.BITAND(E12,15),4)</f>
        <v>0000 0000</v>
      </c>
      <c r="H12" s="6"/>
      <c r="I12" s="7"/>
      <c r="J12" s="7"/>
      <c r="K12" s="7"/>
      <c r="L12" s="18" t="s">
        <v>5</v>
      </c>
      <c r="M12" s="19">
        <f>2^(16-4*_xlfn.BITAND(E12,3*2^2)/2^2)-1</f>
        <v>65535</v>
      </c>
      <c r="N12" s="18" t="s">
        <v>4</v>
      </c>
      <c r="O12" s="20">
        <f>1000*4^(_xlfn.BITAND(E12,3))</f>
        <v>1000</v>
      </c>
      <c r="X12" s="1">
        <f>X11+1</f>
        <v>1</v>
      </c>
      <c r="Y12" s="51">
        <f t="shared" ref="Y12:Y71" si="4">Y11+Y$6</f>
        <v>0.62</v>
      </c>
      <c r="Z12" s="51">
        <v>119.23352003097534</v>
      </c>
      <c r="AA12" s="51">
        <v>9.1868390429707292E-2</v>
      </c>
      <c r="AB12" s="51">
        <f t="shared" ref="AB12:AB66" si="5">Z12/(Y$3*Y12+Y$4)-1</f>
        <v>-0.20222602993454564</v>
      </c>
      <c r="AC12" s="44">
        <f t="shared" ref="AC12:AC66" si="6">Y$3/1000/Z12</f>
        <v>3.9227203349403378E-3</v>
      </c>
      <c r="AD12" s="51">
        <f t="shared" ref="AD12:AD66" si="7">Y12</f>
        <v>0.62</v>
      </c>
      <c r="AE12" s="72">
        <f t="shared" ref="AE12:AE31" si="8">$AD12^AE$10</f>
        <v>0.38440000000000002</v>
      </c>
      <c r="AF12" s="72">
        <f t="shared" si="1"/>
        <v>0.23832800000000001</v>
      </c>
      <c r="AG12" s="44">
        <f t="shared" ref="AG12:AG66" si="9">AD$6*AF12+AE$6*AE12+AF$6*AD12+AG$6</f>
        <v>3.6460842978924563E-3</v>
      </c>
      <c r="AH12" s="44">
        <f t="shared" ref="AH12:AH66" si="10">AG12-AC12</f>
        <v>-2.766360370478815E-4</v>
      </c>
      <c r="AI12" s="44"/>
      <c r="AJ12" s="44"/>
      <c r="AK12" s="51"/>
      <c r="AL12" s="51"/>
      <c r="AM12" s="51"/>
      <c r="AN12" s="51"/>
      <c r="AO12" s="51"/>
      <c r="AP12" s="39"/>
      <c r="AQ12" s="58">
        <f t="shared" si="2"/>
        <v>260</v>
      </c>
      <c r="AR12" s="1">
        <v>518.75860214233398</v>
      </c>
      <c r="AS12" s="1">
        <v>2.4566774802035049E-2</v>
      </c>
      <c r="AT12" s="51">
        <f t="shared" ref="AT12:AT61" si="11">100*(AR12/(AQ$3*AQ12+AQ$4)-1)</f>
        <v>-0.53560190689642129</v>
      </c>
      <c r="AV12" s="56">
        <f t="shared" ref="AV12:AV42" si="12">X12</f>
        <v>1</v>
      </c>
      <c r="AW12" s="1">
        <v>630.58148574829102</v>
      </c>
      <c r="AX12" s="1">
        <v>5.3465022574275892E-3</v>
      </c>
      <c r="AY12" s="57">
        <f t="shared" ref="AY12:AY42" si="13">(-20*LOG10(AX12/100))/6.02</f>
        <v>14.192459287276936</v>
      </c>
      <c r="AZ12" s="47">
        <f>LOG10(AW$11/AW12)</f>
        <v>8.93496157327449E-2</v>
      </c>
      <c r="BA12" s="47">
        <f>AZ12-AZ11</f>
        <v>8.93496157327449E-2</v>
      </c>
      <c r="BB12" s="57">
        <f t="shared" ref="BB12:BB42" si="14">AW12/AA$2</f>
        <v>281.83363868188036</v>
      </c>
      <c r="BC12" s="57">
        <f t="shared" ref="BC12:BC42" si="15">AW12*AA$2</f>
        <v>1410.8784601732737</v>
      </c>
      <c r="BD12" s="57">
        <f>0.95*(BB12*BC13)^0.5</f>
        <v>544.54382564690525</v>
      </c>
      <c r="BE12" s="1">
        <f>1.05*(BB11*BC12)^0.5</f>
        <v>733.84666075393898</v>
      </c>
      <c r="BL12" s="62">
        <f t="shared" ref="BL12:BL75" si="16">IF(AND(BL11&gt;BM$6,BL11&lt;&gt;""),BL11-1,"")</f>
        <v>99</v>
      </c>
      <c r="BM12" s="63">
        <f t="shared" ref="BM12:BM75" si="17">IF(BL12&lt;&gt;"",MAX(BL12,ROUND(BM$6*BM$9^BL12,0)),"")</f>
        <v>56139</v>
      </c>
      <c r="BN12" s="68">
        <f t="shared" ref="BN12:BN75" si="18">IF(BM12&lt;&gt;"",O$12/M$12*BM12,"")</f>
        <v>856.62623025864036</v>
      </c>
      <c r="BO12" s="1">
        <v>865.23849868774414</v>
      </c>
      <c r="BP12" s="1">
        <v>1.2784563527781083E-2</v>
      </c>
      <c r="BQ12" s="61"/>
      <c r="BR12" s="61">
        <v>0</v>
      </c>
      <c r="BS12" s="47">
        <v>1.05</v>
      </c>
      <c r="BT12" s="1">
        <v>500</v>
      </c>
      <c r="BU12" s="51">
        <f t="shared" ref="BU12:BU16" si="19">BO12-BN12</f>
        <v>8.6122684291037785</v>
      </c>
      <c r="BV12" s="44">
        <f t="shared" ref="BV12:BV16" si="20">BO12/BN12-1</f>
        <v>1.0053706184672162E-2</v>
      </c>
      <c r="BW12" s="61">
        <f t="shared" ref="BW12:BW16" si="21">-20*LOG10(BP12/100)</f>
        <v>77.866281888868585</v>
      </c>
    </row>
    <row r="13" spans="4:75" ht="20.100000000000001" customHeight="1" x14ac:dyDescent="0.25">
      <c r="D13" s="5">
        <v>1</v>
      </c>
      <c r="E13" s="4">
        <v>0</v>
      </c>
      <c r="F13" s="4" t="str">
        <f>DEC2HEX(E13,2)</f>
        <v>00</v>
      </c>
      <c r="G13" s="23" t="str">
        <f>DEC2BIN(_xlfn.BITAND(E13,240)/16,4) &amp; " " &amp; DEC2BIN(_xlfn.BITAND(E13,15),4)</f>
        <v>0000 0000</v>
      </c>
      <c r="H13" s="87" t="s">
        <v>24</v>
      </c>
      <c r="I13" s="88"/>
      <c r="X13" s="56">
        <f t="shared" ref="X13:X71" si="22">X12+1</f>
        <v>2</v>
      </c>
      <c r="Y13" s="51">
        <f t="shared" si="4"/>
        <v>0.64</v>
      </c>
      <c r="Z13" s="51">
        <v>134.09819030761719</v>
      </c>
      <c r="AA13" s="51">
        <v>8.2582209245646868E-2</v>
      </c>
      <c r="AB13" s="51">
        <f t="shared" si="5"/>
        <v>-0.15561765273053674</v>
      </c>
      <c r="AC13" s="44">
        <f t="shared" si="6"/>
        <v>3.4878901240880892E-3</v>
      </c>
      <c r="AD13" s="51">
        <f t="shared" si="7"/>
        <v>0.64</v>
      </c>
      <c r="AE13" s="72">
        <f t="shared" si="8"/>
        <v>0.40960000000000002</v>
      </c>
      <c r="AF13" s="72">
        <f t="shared" si="1"/>
        <v>0.26214400000000004</v>
      </c>
      <c r="AG13" s="44">
        <f t="shared" si="9"/>
        <v>3.4461875683954816E-3</v>
      </c>
      <c r="AH13" s="44">
        <f t="shared" si="10"/>
        <v>-4.1702555692607612E-5</v>
      </c>
      <c r="AI13" s="44"/>
      <c r="AJ13" s="44"/>
      <c r="AK13" s="51"/>
      <c r="AL13" s="51"/>
      <c r="AM13" s="51"/>
      <c r="AN13" s="51"/>
      <c r="AO13" s="51"/>
      <c r="AP13" s="39"/>
      <c r="AQ13" s="58">
        <f t="shared" si="2"/>
        <v>270</v>
      </c>
      <c r="AR13" s="1">
        <v>519.7075080871582</v>
      </c>
      <c r="AS13" s="1">
        <v>1.7346289913655395E-2</v>
      </c>
      <c r="AT13" s="51">
        <f t="shared" si="11"/>
        <v>-0.47652909914159824</v>
      </c>
      <c r="AV13" s="56">
        <f t="shared" si="12"/>
        <v>2</v>
      </c>
      <c r="AW13" s="1">
        <v>521.04742050170898</v>
      </c>
      <c r="AX13" s="1">
        <v>6.6743223440299719E-3</v>
      </c>
      <c r="AY13" s="57">
        <f t="shared" si="13"/>
        <v>13.872401403408881</v>
      </c>
      <c r="AZ13" s="47">
        <f t="shared" ref="AZ13:AZ42" si="23">LOG10(AW$11/AW13)</f>
        <v>0.17221358096561445</v>
      </c>
      <c r="BA13" s="47">
        <f t="shared" ref="BA13:BA42" si="24">AZ13-AZ12</f>
        <v>8.2863965232869555E-2</v>
      </c>
      <c r="BB13" s="57">
        <f t="shared" si="14"/>
        <v>232.87821441751299</v>
      </c>
      <c r="BC13" s="57">
        <f t="shared" si="15"/>
        <v>1165.8042599242294</v>
      </c>
      <c r="BD13" s="57">
        <f t="shared" ref="BD13:BD41" si="25">0.95*(BB13*BC14)^0.5</f>
        <v>448.99353872769984</v>
      </c>
      <c r="BE13" s="57">
        <f t="shared" ref="BE13:BE42" si="26">1.05*(BB12*BC13)^0.5</f>
        <v>601.86422834657958</v>
      </c>
      <c r="BL13" s="62">
        <f t="shared" si="16"/>
        <v>98</v>
      </c>
      <c r="BM13" s="63">
        <f t="shared" si="17"/>
        <v>50621</v>
      </c>
      <c r="BN13" s="68">
        <f t="shared" si="18"/>
        <v>772.42694743266952</v>
      </c>
      <c r="BO13" s="1">
        <v>767.25271987915039</v>
      </c>
      <c r="BP13" s="1">
        <v>7.0024160463148209E-3</v>
      </c>
      <c r="BQ13" s="61"/>
      <c r="BR13" s="61">
        <v>0</v>
      </c>
      <c r="BS13" s="47">
        <v>0.96699999999999997</v>
      </c>
      <c r="BT13" s="1">
        <v>500</v>
      </c>
      <c r="BU13" s="51">
        <f t="shared" si="19"/>
        <v>-5.1742275535191311</v>
      </c>
      <c r="BV13" s="44">
        <f t="shared" si="20"/>
        <v>-6.6986626641092339E-3</v>
      </c>
      <c r="BW13" s="61">
        <f t="shared" si="21"/>
        <v>83.095041786727023</v>
      </c>
    </row>
    <row r="14" spans="4:75" ht="20.100000000000001" customHeight="1" thickBot="1" x14ac:dyDescent="0.3">
      <c r="D14" s="11">
        <v>2</v>
      </c>
      <c r="E14" s="12">
        <v>0</v>
      </c>
      <c r="F14" s="12" t="str">
        <f>DEC2HEX(E14,2)</f>
        <v>00</v>
      </c>
      <c r="G14" s="24" t="str">
        <f>DEC2BIN(_xlfn.BITAND(E14,240)/16,4) &amp; " " &amp; DEC2BIN(_xlfn.BITAND(E14,15),4)</f>
        <v>0000 0000</v>
      </c>
      <c r="H14" s="84" t="str">
        <f ca="1">RIGHT(CELL("filename",A9),LEN(CELL("filename",A9))-FIND("]",CELL("filename",A9)))&amp;" Samples: "&amp;L12&amp;M12&amp;" "&amp;N12&amp;O12</f>
        <v>ISL29020 Samples: FSC=65535 FSR=1000</v>
      </c>
      <c r="I14" s="85"/>
      <c r="J14" s="85"/>
      <c r="K14" s="85"/>
      <c r="L14" s="85"/>
      <c r="M14" s="85"/>
      <c r="N14" s="1" t="s">
        <v>13</v>
      </c>
      <c r="O14" s="1">
        <f>IF(F21=N14,HEX2DEC("88"),HEX2DEC("8A"))</f>
        <v>136</v>
      </c>
      <c r="Q14" s="85" t="str">
        <f>"Histogram: Avg="&amp;ROUND(E16,2)&amp;" ± "&amp;ROUND(1.5*F17,2)&amp;"(3σ)"</f>
        <v>Histogram: Avg=0.04 ± 0.01(3σ)</v>
      </c>
      <c r="R14" s="85"/>
      <c r="S14" s="85"/>
      <c r="T14" s="85"/>
      <c r="U14" s="85"/>
      <c r="V14" s="85"/>
      <c r="X14" s="56">
        <f t="shared" si="22"/>
        <v>3</v>
      </c>
      <c r="Y14" s="51">
        <f t="shared" si="4"/>
        <v>0.66</v>
      </c>
      <c r="Z14" s="51">
        <v>148.75400924682617</v>
      </c>
      <c r="AA14" s="51">
        <v>5.9694542023181939E-2</v>
      </c>
      <c r="AB14" s="51">
        <f t="shared" si="5"/>
        <v>-0.11543646100578597</v>
      </c>
      <c r="AC14" s="44">
        <f t="shared" si="6"/>
        <v>3.1442497314875056E-3</v>
      </c>
      <c r="AD14" s="51">
        <f t="shared" si="7"/>
        <v>0.66</v>
      </c>
      <c r="AE14" s="72">
        <f t="shared" si="8"/>
        <v>0.43560000000000004</v>
      </c>
      <c r="AF14" s="72">
        <f t="shared" si="1"/>
        <v>0.28749600000000003</v>
      </c>
      <c r="AG14" s="44">
        <f t="shared" si="9"/>
        <v>3.2563915272613222E-3</v>
      </c>
      <c r="AH14" s="44">
        <f t="shared" si="10"/>
        <v>1.121417957738167E-4</v>
      </c>
      <c r="AI14" s="44"/>
      <c r="AJ14" s="44"/>
      <c r="AK14" s="51"/>
      <c r="AL14" s="51"/>
      <c r="AM14" s="51"/>
      <c r="AN14" s="51"/>
      <c r="AO14" s="51"/>
      <c r="AP14" s="39"/>
      <c r="AQ14" s="58">
        <f t="shared" si="2"/>
        <v>280</v>
      </c>
      <c r="AR14" s="1">
        <v>520.70505142211914</v>
      </c>
      <c r="AS14" s="1">
        <v>1.908790202569921E-2</v>
      </c>
      <c r="AT14" s="51">
        <f t="shared" si="11"/>
        <v>-0.40829924646169635</v>
      </c>
      <c r="AV14" s="56">
        <f t="shared" si="12"/>
        <v>3</v>
      </c>
      <c r="AW14" s="1">
        <v>428.70220947265625</v>
      </c>
      <c r="AX14" s="1">
        <v>6.5388326544636825E-3</v>
      </c>
      <c r="AY14" s="57">
        <f t="shared" si="13"/>
        <v>13.901992615306305</v>
      </c>
      <c r="AZ14" s="47">
        <f t="shared" si="23"/>
        <v>0.25693510937374053</v>
      </c>
      <c r="BA14" s="47">
        <f t="shared" si="24"/>
        <v>8.4721528408126079E-2</v>
      </c>
      <c r="BB14" s="57">
        <f t="shared" si="14"/>
        <v>191.60521889294597</v>
      </c>
      <c r="BC14" s="57">
        <f t="shared" si="15"/>
        <v>959.18882308431421</v>
      </c>
      <c r="BD14" s="57">
        <f t="shared" si="25"/>
        <v>352.78263754569849</v>
      </c>
      <c r="BE14" s="57">
        <f t="shared" si="26"/>
        <v>496.25601648851045</v>
      </c>
      <c r="BL14" s="62">
        <f t="shared" si="16"/>
        <v>97</v>
      </c>
      <c r="BM14" s="63">
        <f t="shared" si="17"/>
        <v>45646</v>
      </c>
      <c r="BN14" s="68">
        <f t="shared" si="18"/>
        <v>696.51331349660484</v>
      </c>
      <c r="BO14" s="1">
        <v>693.28267288208008</v>
      </c>
      <c r="BP14" s="1">
        <v>8.6166871892289377E-3</v>
      </c>
      <c r="BQ14" s="61"/>
      <c r="BR14" s="61">
        <v>0</v>
      </c>
      <c r="BS14" s="47">
        <v>0.90800000000000003</v>
      </c>
      <c r="BT14" s="1">
        <v>500</v>
      </c>
      <c r="BU14" s="51">
        <f t="shared" si="19"/>
        <v>-3.2306406145247593</v>
      </c>
      <c r="BV14" s="44">
        <f t="shared" si="20"/>
        <v>-4.6383041815905024E-3</v>
      </c>
      <c r="BW14" s="61">
        <f t="shared" si="21"/>
        <v>81.293193458386042</v>
      </c>
    </row>
    <row r="15" spans="4:75" ht="19.5" customHeight="1" x14ac:dyDescent="0.25">
      <c r="D15" s="13" t="s">
        <v>6</v>
      </c>
      <c r="E15" s="14" t="s">
        <v>7</v>
      </c>
      <c r="F15" s="14" t="s">
        <v>8</v>
      </c>
      <c r="G15" s="15" t="s">
        <v>9</v>
      </c>
      <c r="H15" s="86" t="str">
        <f>E15&amp;"="&amp;ROUND(E16,1)&amp;CHAR(10)&amp;F15&amp;"= "&amp;ROUND(F16,1)&amp;"%"&amp;CHAR(10)&amp;G15&amp;"= "&amp;ROUND(G16,1)</f>
        <v>Average=0
Noise= 17.8%
Pk-Pk= 0</v>
      </c>
      <c r="I15" s="86"/>
      <c r="J15" s="86"/>
      <c r="K15" s="86"/>
      <c r="L15" s="86"/>
      <c r="M15" s="86"/>
      <c r="N15" s="1" t="s">
        <v>14</v>
      </c>
      <c r="X15" s="56">
        <f t="shared" si="22"/>
        <v>4</v>
      </c>
      <c r="Y15" s="51">
        <f t="shared" si="4"/>
        <v>0.68</v>
      </c>
      <c r="Z15" s="51">
        <v>162.07608413696289</v>
      </c>
      <c r="AA15" s="51">
        <v>4.5371629006837083E-2</v>
      </c>
      <c r="AB15" s="51">
        <f t="shared" si="5"/>
        <v>-8.7003096506138466E-2</v>
      </c>
      <c r="AC15" s="44">
        <f t="shared" si="6"/>
        <v>2.8858036404481187E-3</v>
      </c>
      <c r="AD15" s="51">
        <f t="shared" si="7"/>
        <v>0.68</v>
      </c>
      <c r="AE15" s="72">
        <f t="shared" si="8"/>
        <v>0.46240000000000009</v>
      </c>
      <c r="AF15" s="72">
        <f t="shared" si="1"/>
        <v>0.3144320000000001</v>
      </c>
      <c r="AG15" s="44">
        <f t="shared" si="9"/>
        <v>3.0764317888083374E-3</v>
      </c>
      <c r="AH15" s="44">
        <f t="shared" si="10"/>
        <v>1.9062814836021862E-4</v>
      </c>
      <c r="AI15" s="44"/>
      <c r="AJ15" s="44"/>
      <c r="AK15" s="51"/>
      <c r="AL15" s="51"/>
      <c r="AM15" s="51"/>
      <c r="AN15" s="51"/>
      <c r="AO15" s="51"/>
      <c r="AP15" s="39"/>
      <c r="AQ15" s="58">
        <f t="shared" si="2"/>
        <v>290</v>
      </c>
      <c r="AR15" s="1">
        <v>522.01495552062988</v>
      </c>
      <c r="AS15" s="1">
        <v>2.1260171917972543E-2</v>
      </c>
      <c r="AT15" s="51">
        <f t="shared" si="11"/>
        <v>-0.2805676099308152</v>
      </c>
      <c r="AV15" s="56">
        <f t="shared" si="12"/>
        <v>4</v>
      </c>
      <c r="AW15" s="1">
        <v>321.67067718505859</v>
      </c>
      <c r="AX15" s="1">
        <v>5.6173747635244794E-3</v>
      </c>
      <c r="AY15" s="57">
        <f t="shared" si="13"/>
        <v>14.121151498912193</v>
      </c>
      <c r="AZ15" s="47">
        <f t="shared" si="23"/>
        <v>0.38167935783980445</v>
      </c>
      <c r="BA15" s="47">
        <f t="shared" si="24"/>
        <v>0.12474424846606391</v>
      </c>
      <c r="BB15" s="57">
        <f t="shared" si="14"/>
        <v>143.76828285839863</v>
      </c>
      <c r="BC15" s="57">
        <f t="shared" si="15"/>
        <v>719.7138513687795</v>
      </c>
      <c r="BD15" s="57">
        <f t="shared" si="25"/>
        <v>263.85925874924953</v>
      </c>
      <c r="BE15" s="57">
        <f t="shared" si="26"/>
        <v>389.91765202419305</v>
      </c>
      <c r="BL15" s="62">
        <f t="shared" si="16"/>
        <v>96</v>
      </c>
      <c r="BM15" s="63">
        <f t="shared" si="17"/>
        <v>41159</v>
      </c>
      <c r="BN15" s="68">
        <f t="shared" si="18"/>
        <v>628.04608224612798</v>
      </c>
      <c r="BO15" s="1">
        <v>631.11983299255371</v>
      </c>
      <c r="BP15" s="1">
        <v>0.11019091070472356</v>
      </c>
      <c r="BQ15" s="61"/>
      <c r="BR15" s="61">
        <v>1</v>
      </c>
      <c r="BS15" s="47">
        <v>0.97299999999999998</v>
      </c>
      <c r="BT15" s="1">
        <v>500</v>
      </c>
      <c r="BU15" s="51">
        <f t="shared" si="19"/>
        <v>3.0737507464257305</v>
      </c>
      <c r="BV15" s="44">
        <f t="shared" si="20"/>
        <v>4.8941484284605874E-3</v>
      </c>
      <c r="BW15" s="61">
        <f t="shared" si="21"/>
        <v>59.157084551351453</v>
      </c>
    </row>
    <row r="16" spans="4:75" ht="20.100000000000001" customHeight="1" thickBot="1" x14ac:dyDescent="0.3">
      <c r="D16" s="16">
        <f>O12*F22/M12</f>
        <v>0</v>
      </c>
      <c r="E16" s="25">
        <v>4.3392845196649432E-2</v>
      </c>
      <c r="F16" s="25">
        <v>17.820866789068862</v>
      </c>
      <c r="G16" s="26">
        <v>3.0518045648932457E-2</v>
      </c>
      <c r="I16" s="2"/>
      <c r="S16" s="45"/>
      <c r="T16" s="45"/>
      <c r="X16" s="56">
        <f t="shared" si="22"/>
        <v>5</v>
      </c>
      <c r="Y16" s="51">
        <f t="shared" si="4"/>
        <v>0.70000000000000007</v>
      </c>
      <c r="Z16" s="51">
        <v>174.83644485473633</v>
      </c>
      <c r="AA16" s="51">
        <v>3.849984344843306E-2</v>
      </c>
      <c r="AB16" s="51">
        <f t="shared" si="5"/>
        <v>-6.4422125108096528E-2</v>
      </c>
      <c r="AC16" s="44">
        <f t="shared" si="6"/>
        <v>2.6751845361568079E-3</v>
      </c>
      <c r="AD16" s="51">
        <f t="shared" si="7"/>
        <v>0.70000000000000007</v>
      </c>
      <c r="AE16" s="72">
        <f t="shared" si="8"/>
        <v>0.4900000000000001</v>
      </c>
      <c r="AF16" s="72">
        <f t="shared" si="1"/>
        <v>0.34300000000000008</v>
      </c>
      <c r="AG16" s="44">
        <f t="shared" si="9"/>
        <v>2.9060439673548911E-3</v>
      </c>
      <c r="AH16" s="44">
        <f t="shared" si="10"/>
        <v>2.3085943119808324E-4</v>
      </c>
      <c r="AI16" s="44"/>
      <c r="AJ16" s="44"/>
      <c r="AK16" s="51"/>
      <c r="AL16" s="51"/>
      <c r="AM16" s="51"/>
      <c r="AN16" s="51"/>
      <c r="AO16" s="51"/>
      <c r="AP16" s="39"/>
      <c r="AQ16" s="58">
        <f t="shared" si="2"/>
        <v>300</v>
      </c>
      <c r="AR16" s="1">
        <v>522.93861770629883</v>
      </c>
      <c r="AS16" s="1">
        <v>1.6356058464767051E-2</v>
      </c>
      <c r="AT16" s="51">
        <f t="shared" si="11"/>
        <v>-0.22684215362797078</v>
      </c>
      <c r="AV16" s="56">
        <f t="shared" si="12"/>
        <v>5</v>
      </c>
      <c r="AW16" s="1">
        <v>239.82032775878906</v>
      </c>
      <c r="AX16" s="1">
        <v>1.0028622313558734E-2</v>
      </c>
      <c r="AY16" s="57">
        <f t="shared" si="13"/>
        <v>13.284912705246358</v>
      </c>
      <c r="AZ16" s="47">
        <f t="shared" si="23"/>
        <v>0.50920483899679858</v>
      </c>
      <c r="BA16" s="47">
        <f t="shared" si="24"/>
        <v>0.12752548115699414</v>
      </c>
      <c r="BB16" s="57">
        <f t="shared" si="14"/>
        <v>107.18588656616589</v>
      </c>
      <c r="BC16" s="57">
        <f t="shared" si="15"/>
        <v>536.57987491505912</v>
      </c>
      <c r="BD16" s="57">
        <f t="shared" si="25"/>
        <v>206.74141919903161</v>
      </c>
      <c r="BE16" s="57">
        <f t="shared" si="26"/>
        <v>291.63391756496003</v>
      </c>
      <c r="BL16" s="62">
        <f t="shared" si="16"/>
        <v>95</v>
      </c>
      <c r="BM16" s="63">
        <f t="shared" si="17"/>
        <v>37114</v>
      </c>
      <c r="BN16" s="68">
        <f t="shared" si="18"/>
        <v>566.32333867399097</v>
      </c>
      <c r="BO16" s="1">
        <v>567.02288436889648</v>
      </c>
      <c r="BP16" s="1">
        <v>1.2149015178246568E-2</v>
      </c>
      <c r="BQ16" s="61"/>
      <c r="BR16" s="61">
        <v>1</v>
      </c>
      <c r="BS16" s="47">
        <v>0.91100000000000003</v>
      </c>
      <c r="BT16" s="1">
        <v>500</v>
      </c>
      <c r="BU16" s="51">
        <f t="shared" si="19"/>
        <v>0.69954569490550966</v>
      </c>
      <c r="BV16" s="44">
        <f t="shared" si="20"/>
        <v>1.2352408017359817E-3</v>
      </c>
      <c r="BW16" s="61">
        <f t="shared" si="21"/>
        <v>78.309178507137062</v>
      </c>
    </row>
    <row r="17" spans="3:75" ht="20.100000000000001" customHeight="1" x14ac:dyDescent="0.25">
      <c r="C17" s="1">
        <v>0</v>
      </c>
      <c r="D17">
        <v>4.5777065690089262E-2</v>
      </c>
      <c r="E17" s="1">
        <f>AVERAGE(samples)</f>
        <v>4.3392843518730441E-2</v>
      </c>
      <c r="F17" s="1">
        <f>STDEV(samples)</f>
        <v>7.8568549309751216E-3</v>
      </c>
      <c r="G17" s="46">
        <f>G16/O12*M12</f>
        <v>2.0000001216027887</v>
      </c>
      <c r="Q17" s="1">
        <f>(Q24-Q18)/6</f>
        <v>3.9284274654875608E-3</v>
      </c>
      <c r="X17" s="56">
        <f t="shared" si="22"/>
        <v>6</v>
      </c>
      <c r="Y17" s="51">
        <f t="shared" si="4"/>
        <v>0.72000000000000008</v>
      </c>
      <c r="Z17" s="51">
        <v>187.0016975402832</v>
      </c>
      <c r="AA17" s="51">
        <v>3.2518067248168955E-2</v>
      </c>
      <c r="AB17" s="51">
        <f t="shared" si="5"/>
        <v>-4.7026762424724478E-2</v>
      </c>
      <c r="AC17" s="44">
        <f t="shared" si="6"/>
        <v>2.5011524482619666E-3</v>
      </c>
      <c r="AD17" s="51">
        <f t="shared" si="7"/>
        <v>0.72000000000000008</v>
      </c>
      <c r="AE17" s="72">
        <f t="shared" si="8"/>
        <v>0.51840000000000008</v>
      </c>
      <c r="AF17" s="72">
        <f t="shared" si="1"/>
        <v>0.37324800000000008</v>
      </c>
      <c r="AG17" s="44">
        <f t="shared" si="9"/>
        <v>2.7449636772193427E-3</v>
      </c>
      <c r="AH17" s="44">
        <f t="shared" si="10"/>
        <v>2.4381122895737609E-4</v>
      </c>
      <c r="AI17" s="44"/>
      <c r="AJ17" s="44"/>
      <c r="AK17" s="51"/>
      <c r="AL17" s="51"/>
      <c r="AM17" s="51"/>
      <c r="AN17" s="51"/>
      <c r="AO17" s="51"/>
      <c r="AP17" s="39"/>
      <c r="AQ17" s="58">
        <f t="shared" si="2"/>
        <v>310</v>
      </c>
      <c r="AR17" s="1">
        <v>524.05918502807617</v>
      </c>
      <c r="AS17" s="1">
        <v>1.87955987147869E-2</v>
      </c>
      <c r="AT17" s="51">
        <f t="shared" si="11"/>
        <v>-0.13572646073736205</v>
      </c>
      <c r="AV17" s="56">
        <f t="shared" si="12"/>
        <v>6</v>
      </c>
      <c r="AW17" s="1">
        <v>197.47939300537109</v>
      </c>
      <c r="AX17" s="1">
        <v>5.9341835915222556E-3</v>
      </c>
      <c r="AY17" s="57">
        <f t="shared" si="13"/>
        <v>14.041990105072832</v>
      </c>
      <c r="AZ17" s="47">
        <f t="shared" si="23"/>
        <v>0.59356904753088913</v>
      </c>
      <c r="BA17" s="47">
        <f t="shared" si="24"/>
        <v>8.4364208534090546E-2</v>
      </c>
      <c r="BB17" s="57">
        <f t="shared" si="14"/>
        <v>88.261925148892061</v>
      </c>
      <c r="BC17" s="57">
        <f t="shared" si="15"/>
        <v>441.84523049981703</v>
      </c>
      <c r="BD17" s="57">
        <f t="shared" si="25"/>
        <v>169.15119686489541</v>
      </c>
      <c r="BE17" s="57">
        <f t="shared" si="26"/>
        <v>228.50367385156125</v>
      </c>
      <c r="BL17" s="62">
        <f t="shared" si="16"/>
        <v>94</v>
      </c>
      <c r="BM17" s="63">
        <f t="shared" si="17"/>
        <v>33466</v>
      </c>
      <c r="BN17" s="68">
        <f t="shared" si="18"/>
        <v>510.65842679484246</v>
      </c>
      <c r="BO17" s="1">
        <v>509.75051879882812</v>
      </c>
      <c r="BP17" s="1">
        <v>5.6498810399314052E-3</v>
      </c>
      <c r="BR17" s="1">
        <v>2</v>
      </c>
      <c r="BS17" s="47">
        <v>0.95899999999999996</v>
      </c>
      <c r="BT17" s="1">
        <v>500</v>
      </c>
      <c r="BU17" s="51">
        <f t="shared" ref="BU17" si="27">BO17-BN17</f>
        <v>-0.90790799601433037</v>
      </c>
      <c r="BV17" s="44">
        <f t="shared" ref="BV17" si="28">BO17/BN17-1</f>
        <v>-1.7779164082590837E-3</v>
      </c>
      <c r="BW17" s="61">
        <f t="shared" ref="BW17" si="29">-20*LOG10(BP17/100)</f>
        <v>84.959213925895298</v>
      </c>
    </row>
    <row r="18" spans="3:75" ht="20.100000000000001" customHeight="1" x14ac:dyDescent="0.25">
      <c r="C18" s="1">
        <f>C17+1</f>
        <v>1</v>
      </c>
      <c r="D18">
        <v>4.5777065690089262E-2</v>
      </c>
      <c r="E18" s="86" t="str">
        <f>"duplicates="&amp;H20</f>
        <v>duplicates=27</v>
      </c>
      <c r="F18" s="86"/>
      <c r="G18" s="46">
        <f>-20*LOG10(F16/100)</f>
        <v>14.981423522756662</v>
      </c>
      <c r="Q18" s="47">
        <f>E17-1.5*F17</f>
        <v>3.1607561122267758E-2</v>
      </c>
      <c r="R18" s="1">
        <f t="shared" ref="R18:R24" si="30">histo(samples,Q$19:Q$24,Q18)</f>
        <v>0</v>
      </c>
      <c r="X18" s="56">
        <f t="shared" si="22"/>
        <v>7</v>
      </c>
      <c r="Y18" s="51">
        <f t="shared" si="4"/>
        <v>0.7400000000000001</v>
      </c>
      <c r="Z18" s="51">
        <v>198.75973129272461</v>
      </c>
      <c r="AA18" s="51">
        <v>2.481956854182945E-2</v>
      </c>
      <c r="AB18" s="51">
        <f t="shared" si="5"/>
        <v>-3.3195220932964675E-2</v>
      </c>
      <c r="AC18" s="44">
        <f t="shared" si="6"/>
        <v>2.3531917184129517E-3</v>
      </c>
      <c r="AD18" s="51">
        <f t="shared" si="7"/>
        <v>0.7400000000000001</v>
      </c>
      <c r="AE18" s="72">
        <f t="shared" si="8"/>
        <v>0.5476000000000002</v>
      </c>
      <c r="AF18" s="72">
        <f t="shared" si="1"/>
        <v>0.4052240000000002</v>
      </c>
      <c r="AG18" s="44">
        <f t="shared" si="9"/>
        <v>2.5929265327200579E-3</v>
      </c>
      <c r="AH18" s="44">
        <f t="shared" si="10"/>
        <v>2.3973481430710625E-4</v>
      </c>
      <c r="AI18" s="44"/>
      <c r="AJ18" s="44"/>
      <c r="AK18" s="51"/>
      <c r="AL18" s="51"/>
      <c r="AM18" s="51"/>
      <c r="AN18" s="51"/>
      <c r="AO18" s="51"/>
      <c r="AP18" s="39"/>
      <c r="AQ18" s="58">
        <f t="shared" si="2"/>
        <v>320</v>
      </c>
      <c r="AR18" s="1">
        <v>524.99950790405273</v>
      </c>
      <c r="AS18" s="1">
        <v>1.1537074035771857E-2</v>
      </c>
      <c r="AT18" s="51">
        <f t="shared" si="11"/>
        <v>-7.9139223522772806E-2</v>
      </c>
      <c r="AV18" s="56">
        <f t="shared" si="12"/>
        <v>7</v>
      </c>
      <c r="AW18" s="1">
        <v>160.53922271728516</v>
      </c>
      <c r="AX18" s="1">
        <v>7.490520317760322E-3</v>
      </c>
      <c r="AY18" s="57">
        <f t="shared" si="13"/>
        <v>13.705940244643982</v>
      </c>
      <c r="AZ18" s="47">
        <f t="shared" si="23"/>
        <v>0.68350967526224704</v>
      </c>
      <c r="BA18" s="47">
        <f t="shared" si="24"/>
        <v>8.9940627731357914E-2</v>
      </c>
      <c r="BB18" s="57">
        <f t="shared" si="14"/>
        <v>71.751794672312712</v>
      </c>
      <c r="BC18" s="57">
        <f t="shared" si="15"/>
        <v>359.19438877276201</v>
      </c>
      <c r="BD18" s="57">
        <f t="shared" si="25"/>
        <v>138.66303870029668</v>
      </c>
      <c r="BE18" s="57">
        <f t="shared" si="26"/>
        <v>186.95658600856862</v>
      </c>
      <c r="BL18" s="62">
        <f t="shared" si="16"/>
        <v>93</v>
      </c>
      <c r="BM18" s="63">
        <f t="shared" si="17"/>
        <v>30177</v>
      </c>
      <c r="BN18" s="68">
        <f t="shared" si="18"/>
        <v>460.4715037766079</v>
      </c>
      <c r="BO18" s="1">
        <v>460.75473785400391</v>
      </c>
      <c r="BP18" s="1">
        <v>2.0927599263010164E-2</v>
      </c>
      <c r="BR18" s="1">
        <v>2</v>
      </c>
      <c r="BS18" s="47">
        <v>0.90100000000000002</v>
      </c>
      <c r="BT18" s="1">
        <v>500</v>
      </c>
      <c r="BU18" s="51">
        <f t="shared" ref="BU18:BU81" si="31">BO18-BN18</f>
        <v>0.2832340773960027</v>
      </c>
      <c r="BV18" s="44">
        <f t="shared" ref="BV18:BV81" si="32">BO18/BN18-1</f>
        <v>6.1509577698726225E-4</v>
      </c>
      <c r="BW18" s="61">
        <f t="shared" ref="BW18:BW81" si="33">-20*LOG10(BP18/100)</f>
        <v>73.585611789297033</v>
      </c>
    </row>
    <row r="19" spans="3:75" ht="20.100000000000001" customHeight="1" x14ac:dyDescent="0.25">
      <c r="C19" s="2">
        <f t="shared" ref="C19:C52" si="34">C18+1</f>
        <v>2</v>
      </c>
      <c r="D19">
        <v>4.5777065690089262E-2</v>
      </c>
      <c r="E19" s="2"/>
      <c r="Q19" s="47">
        <f>Q18+Q$17</f>
        <v>3.5535988587755321E-2</v>
      </c>
      <c r="R19" s="29">
        <f t="shared" si="30"/>
        <v>3</v>
      </c>
      <c r="X19" s="56">
        <f t="shared" si="22"/>
        <v>8</v>
      </c>
      <c r="Y19" s="51">
        <f t="shared" si="4"/>
        <v>0.76000000000000012</v>
      </c>
      <c r="Z19" s="51">
        <v>209.09580612182617</v>
      </c>
      <c r="AA19" s="51">
        <v>5.2855317231612499E-2</v>
      </c>
      <c r="AB19" s="51">
        <f t="shared" si="5"/>
        <v>-2.718326522095782E-2</v>
      </c>
      <c r="AC19" s="44">
        <f t="shared" si="6"/>
        <v>2.2368681720929115E-3</v>
      </c>
      <c r="AD19" s="51">
        <f t="shared" si="7"/>
        <v>0.76000000000000012</v>
      </c>
      <c r="AE19" s="72">
        <f t="shared" si="8"/>
        <v>0.57760000000000022</v>
      </c>
      <c r="AF19" s="72">
        <f t="shared" si="1"/>
        <v>0.43897600000000025</v>
      </c>
      <c r="AG19" s="44">
        <f t="shared" si="9"/>
        <v>2.4496681481753976E-3</v>
      </c>
      <c r="AH19" s="44">
        <f t="shared" si="10"/>
        <v>2.1279997608248617E-4</v>
      </c>
      <c r="AI19" s="44"/>
      <c r="AJ19" s="44"/>
      <c r="AK19" s="51"/>
      <c r="AL19" s="51"/>
      <c r="AM19" s="51"/>
      <c r="AN19" s="51"/>
      <c r="AO19" s="51"/>
      <c r="AP19" s="39"/>
      <c r="AQ19" s="58">
        <f t="shared" si="2"/>
        <v>330</v>
      </c>
      <c r="AR19" s="1">
        <v>525.92696571350098</v>
      </c>
      <c r="AS19" s="1">
        <v>1.4155791546754974E-2</v>
      </c>
      <c r="AT19" s="51">
        <f t="shared" si="11"/>
        <v>-2.5136062976194307E-2</v>
      </c>
      <c r="AV19" s="56">
        <f t="shared" si="12"/>
        <v>8</v>
      </c>
      <c r="AW19" s="1">
        <v>132.70676422119141</v>
      </c>
      <c r="AX19" s="1">
        <v>7.5711286927470983E-3</v>
      </c>
      <c r="AY19" s="57">
        <f t="shared" si="13"/>
        <v>13.690496251461431</v>
      </c>
      <c r="AZ19" s="47">
        <f t="shared" si="23"/>
        <v>0.76619777125107913</v>
      </c>
      <c r="BA19" s="47">
        <f t="shared" si="24"/>
        <v>8.2688095988832089E-2</v>
      </c>
      <c r="BB19" s="57">
        <f t="shared" si="14"/>
        <v>59.312287283179423</v>
      </c>
      <c r="BC19" s="57">
        <f t="shared" si="15"/>
        <v>296.92136447169651</v>
      </c>
      <c r="BD19" s="57">
        <f t="shared" si="25"/>
        <v>114.33208002836832</v>
      </c>
      <c r="BE19" s="57">
        <f t="shared" si="26"/>
        <v>153.25914803717001</v>
      </c>
      <c r="BL19" s="62">
        <f t="shared" si="16"/>
        <v>92</v>
      </c>
      <c r="BM19" s="63">
        <f t="shared" si="17"/>
        <v>27211</v>
      </c>
      <c r="BN19" s="68">
        <f t="shared" si="18"/>
        <v>415.21324483100631</v>
      </c>
      <c r="BO19" s="1">
        <v>415.40542221069336</v>
      </c>
      <c r="BP19" s="1">
        <v>6.150548653362206E-3</v>
      </c>
      <c r="BR19" s="1">
        <v>3</v>
      </c>
      <c r="BS19" s="47">
        <v>0.95199999999999996</v>
      </c>
      <c r="BT19" s="1">
        <v>500</v>
      </c>
      <c r="BU19" s="51">
        <f t="shared" si="31"/>
        <v>0.19217737968705251</v>
      </c>
      <c r="BV19" s="44">
        <f t="shared" si="32"/>
        <v>4.6284019616305017E-4</v>
      </c>
      <c r="BW19" s="61">
        <f t="shared" si="33"/>
        <v>84.221722834086023</v>
      </c>
    </row>
    <row r="20" spans="3:75" ht="20.100000000000001" customHeight="1" x14ac:dyDescent="0.25">
      <c r="C20" s="2">
        <f t="shared" si="34"/>
        <v>3</v>
      </c>
      <c r="D20">
        <v>4.5777065690089262E-2</v>
      </c>
      <c r="H20" s="1">
        <f>COUNTIF(H21:O24,"=0")</f>
        <v>27</v>
      </c>
      <c r="Q20" s="47">
        <f>Q19+Q$17</f>
        <v>3.9464416053242884E-2</v>
      </c>
      <c r="R20" s="29">
        <f t="shared" si="30"/>
        <v>0</v>
      </c>
      <c r="X20" s="56">
        <f t="shared" si="22"/>
        <v>9</v>
      </c>
      <c r="Y20" s="51">
        <f t="shared" si="4"/>
        <v>0.78000000000000014</v>
      </c>
      <c r="Z20" s="51">
        <v>219.7981071472168</v>
      </c>
      <c r="AA20" s="51">
        <v>3.3518250965047347E-2</v>
      </c>
      <c r="AB20" s="51">
        <f t="shared" si="5"/>
        <v>-2.0039977479339055E-2</v>
      </c>
      <c r="AC20" s="44">
        <f t="shared" si="6"/>
        <v>2.1279516903152987E-3</v>
      </c>
      <c r="AD20" s="51">
        <f t="shared" si="7"/>
        <v>0.78000000000000014</v>
      </c>
      <c r="AE20" s="72">
        <f t="shared" si="8"/>
        <v>0.60840000000000016</v>
      </c>
      <c r="AF20" s="72">
        <f t="shared" si="1"/>
        <v>0.4745520000000002</v>
      </c>
      <c r="AG20" s="44">
        <f t="shared" si="9"/>
        <v>2.3149241379037226E-3</v>
      </c>
      <c r="AH20" s="44">
        <f t="shared" si="10"/>
        <v>1.8697244758842388E-4</v>
      </c>
      <c r="AI20" s="44"/>
      <c r="AJ20" s="44"/>
      <c r="AK20" s="51"/>
      <c r="AL20" s="51"/>
      <c r="AM20" s="51"/>
      <c r="AN20" s="51"/>
      <c r="AO20" s="51"/>
      <c r="AP20" s="39"/>
      <c r="AQ20" s="58">
        <f t="shared" si="2"/>
        <v>340</v>
      </c>
      <c r="AR20" s="1">
        <v>526.8787841796875</v>
      </c>
      <c r="AS20" s="1">
        <v>1.274765243073914E-2</v>
      </c>
      <c r="AT20" s="51">
        <f t="shared" si="11"/>
        <v>3.3360184487607469E-2</v>
      </c>
      <c r="AV20" s="56">
        <f t="shared" si="12"/>
        <v>9</v>
      </c>
      <c r="AW20" s="1">
        <v>109.14301300048828</v>
      </c>
      <c r="AX20" s="1">
        <v>8.1499267502260966E-3</v>
      </c>
      <c r="AY20" s="57">
        <f t="shared" si="13"/>
        <v>13.584206958761085</v>
      </c>
      <c r="AZ20" s="47">
        <f t="shared" si="23"/>
        <v>0.85109489244460501</v>
      </c>
      <c r="BA20" s="47">
        <f t="shared" si="24"/>
        <v>8.4897121193525882E-2</v>
      </c>
      <c r="BB20" s="57">
        <f t="shared" si="14"/>
        <v>48.780646412619085</v>
      </c>
      <c r="BC20" s="57">
        <f t="shared" si="15"/>
        <v>244.19925037613243</v>
      </c>
      <c r="BD20" s="57">
        <f t="shared" si="25"/>
        <v>89.684021276018257</v>
      </c>
      <c r="BE20" s="57">
        <f t="shared" si="26"/>
        <v>126.36703582082816</v>
      </c>
      <c r="BL20" s="62">
        <f t="shared" si="16"/>
        <v>91</v>
      </c>
      <c r="BM20" s="63">
        <f t="shared" si="17"/>
        <v>24536</v>
      </c>
      <c r="BN20" s="68">
        <f t="shared" si="18"/>
        <v>374.39536125734338</v>
      </c>
      <c r="BO20" s="1">
        <v>374.38629531860352</v>
      </c>
      <c r="BP20" s="1">
        <v>7.3375858699945926E-3</v>
      </c>
      <c r="BR20" s="1">
        <v>3</v>
      </c>
      <c r="BS20" s="47">
        <v>0.89300000000000002</v>
      </c>
      <c r="BT20" s="1">
        <v>500</v>
      </c>
      <c r="BU20" s="51">
        <f t="shared" si="31"/>
        <v>-9.0659387398659419E-3</v>
      </c>
      <c r="BV20" s="44">
        <f t="shared" si="32"/>
        <v>-2.4214879985162696E-5</v>
      </c>
      <c r="BW20" s="61">
        <f t="shared" si="33"/>
        <v>82.688936065423974</v>
      </c>
    </row>
    <row r="21" spans="3:75" ht="20.100000000000001" customHeight="1" x14ac:dyDescent="0.25">
      <c r="C21" s="2">
        <f t="shared" si="34"/>
        <v>4</v>
      </c>
      <c r="D21">
        <v>4.5777065690089262E-2</v>
      </c>
      <c r="E21" s="2" t="s">
        <v>15</v>
      </c>
      <c r="F21" s="1" t="s">
        <v>13</v>
      </c>
      <c r="H21" s="1">
        <f>D18-D17</f>
        <v>0</v>
      </c>
      <c r="I21" s="21">
        <f>D22-D21</f>
        <v>0</v>
      </c>
      <c r="J21" s="21">
        <f>D26-D25</f>
        <v>0</v>
      </c>
      <c r="K21" s="21">
        <f>D30-D29</f>
        <v>0</v>
      </c>
      <c r="L21" s="21">
        <f>D34-D33</f>
        <v>0</v>
      </c>
      <c r="M21" s="21">
        <f>D38-D37</f>
        <v>0</v>
      </c>
      <c r="N21" s="21">
        <f>D42-D41</f>
        <v>0</v>
      </c>
      <c r="O21" s="21">
        <f>D46-D45</f>
        <v>1.525902189669642E-2</v>
      </c>
      <c r="Q21" s="47">
        <f>Q20+Q$17</f>
        <v>4.3392843518730448E-2</v>
      </c>
      <c r="R21" s="29">
        <f t="shared" si="30"/>
        <v>0</v>
      </c>
      <c r="X21" s="56">
        <f t="shared" si="22"/>
        <v>10</v>
      </c>
      <c r="Y21" s="51">
        <f t="shared" si="4"/>
        <v>0.80000000000000016</v>
      </c>
      <c r="Z21" s="51">
        <v>231.13269424438477</v>
      </c>
      <c r="AA21" s="51">
        <v>1.8689626923076054E-2</v>
      </c>
      <c r="AB21" s="51">
        <f t="shared" si="5"/>
        <v>-1.0762516812515832E-2</v>
      </c>
      <c r="AC21" s="44">
        <f t="shared" si="6"/>
        <v>2.0235984145864127E-3</v>
      </c>
      <c r="AD21" s="51">
        <f t="shared" si="7"/>
        <v>0.80000000000000016</v>
      </c>
      <c r="AE21" s="72">
        <f t="shared" si="8"/>
        <v>0.64000000000000024</v>
      </c>
      <c r="AF21" s="72">
        <f t="shared" si="1"/>
        <v>0.51200000000000023</v>
      </c>
      <c r="AG21" s="44">
        <f t="shared" si="9"/>
        <v>2.1884301162234006E-3</v>
      </c>
      <c r="AH21" s="44">
        <f t="shared" si="10"/>
        <v>1.6483170163698792E-4</v>
      </c>
      <c r="AI21" s="44"/>
      <c r="AJ21" s="44"/>
      <c r="AK21" s="51"/>
      <c r="AL21" s="51"/>
      <c r="AM21" s="51"/>
      <c r="AN21" s="51"/>
      <c r="AO21" s="51"/>
      <c r="AP21" s="39"/>
      <c r="AQ21" s="58">
        <f t="shared" si="2"/>
        <v>350</v>
      </c>
      <c r="AR21" s="1">
        <v>527.70180511474609</v>
      </c>
      <c r="AS21" s="1">
        <v>9.5612121827490792E-3</v>
      </c>
      <c r="AT21" s="51">
        <f t="shared" si="11"/>
        <v>6.728990700399784E-2</v>
      </c>
      <c r="AV21" s="56">
        <f t="shared" si="12"/>
        <v>10</v>
      </c>
      <c r="AW21" s="1">
        <v>81.655792236328125</v>
      </c>
      <c r="AX21" s="1">
        <v>8.6612087778950454E-3</v>
      </c>
      <c r="AY21" s="57">
        <f t="shared" si="13"/>
        <v>13.496416919043725</v>
      </c>
      <c r="AZ21" s="47">
        <f t="shared" si="23"/>
        <v>0.97710383443214488</v>
      </c>
      <c r="BA21" s="47">
        <f t="shared" si="24"/>
        <v>0.12600894198753987</v>
      </c>
      <c r="BB21" s="57">
        <f t="shared" si="14"/>
        <v>36.495440423701595</v>
      </c>
      <c r="BC21" s="57">
        <f t="shared" si="15"/>
        <v>182.69866943192537</v>
      </c>
      <c r="BD21" s="57">
        <f t="shared" si="25"/>
        <v>73.873213846061176</v>
      </c>
      <c r="BE21" s="57">
        <f t="shared" si="26"/>
        <v>99.1244445682307</v>
      </c>
      <c r="BL21" s="62">
        <f t="shared" si="16"/>
        <v>90</v>
      </c>
      <c r="BM21" s="63">
        <f t="shared" si="17"/>
        <v>22125</v>
      </c>
      <c r="BN21" s="68">
        <f t="shared" si="18"/>
        <v>337.6058594644083</v>
      </c>
      <c r="BO21" s="1">
        <v>333.0410213470459</v>
      </c>
      <c r="BP21" s="1">
        <v>7.9342335103923703E-2</v>
      </c>
      <c r="BR21" s="1">
        <v>4</v>
      </c>
      <c r="BS21" s="47">
        <v>1</v>
      </c>
      <c r="BT21" s="1">
        <v>500</v>
      </c>
      <c r="BU21" s="51">
        <f t="shared" si="31"/>
        <v>-4.5648381173623989</v>
      </c>
      <c r="BV21" s="44">
        <f t="shared" si="32"/>
        <v>-1.3521205243902545E-2</v>
      </c>
      <c r="BW21" s="61">
        <f t="shared" si="33"/>
        <v>62.009900441284401</v>
      </c>
    </row>
    <row r="22" spans="3:75" ht="20.100000000000001" customHeight="1" x14ac:dyDescent="0.25">
      <c r="C22" s="2">
        <f t="shared" si="34"/>
        <v>5</v>
      </c>
      <c r="D22">
        <v>4.5777065690089262E-2</v>
      </c>
      <c r="E22" s="2" t="s">
        <v>16</v>
      </c>
      <c r="F22" s="1">
        <f>256*E14+E13</f>
        <v>0</v>
      </c>
      <c r="G22" s="46">
        <f>E17/O12*M12</f>
        <v>2.8437499999999996</v>
      </c>
      <c r="H22" s="21">
        <f>D19-D18</f>
        <v>0</v>
      </c>
      <c r="I22" s="21">
        <f>D23-D22</f>
        <v>0</v>
      </c>
      <c r="J22" s="21">
        <f>D27-D26</f>
        <v>0</v>
      </c>
      <c r="K22" s="21">
        <f>D31-D30</f>
        <v>0</v>
      </c>
      <c r="L22" s="21">
        <f>D35-D34</f>
        <v>0</v>
      </c>
      <c r="M22" s="21">
        <f>D39-D38</f>
        <v>0</v>
      </c>
      <c r="N22" s="21">
        <f>D43-D42</f>
        <v>-3.0518043793392839E-2</v>
      </c>
      <c r="O22" s="21">
        <f>D47-D46</f>
        <v>0</v>
      </c>
      <c r="Q22" s="47">
        <f>Q21+Q$17</f>
        <v>4.7321270984218011E-2</v>
      </c>
      <c r="R22" s="29">
        <f t="shared" si="30"/>
        <v>29</v>
      </c>
      <c r="X22" s="56">
        <f t="shared" si="22"/>
        <v>11</v>
      </c>
      <c r="Y22" s="51">
        <f t="shared" si="4"/>
        <v>0.82000000000000017</v>
      </c>
      <c r="Z22" s="51">
        <v>240.72394943237305</v>
      </c>
      <c r="AA22" s="51">
        <v>9.7826316822962767E-3</v>
      </c>
      <c r="AB22" s="51">
        <f t="shared" si="5"/>
        <v>-9.3734857144408545E-3</v>
      </c>
      <c r="AC22" s="44">
        <f t="shared" si="6"/>
        <v>1.9429714190669688E-3</v>
      </c>
      <c r="AD22" s="51">
        <f t="shared" si="7"/>
        <v>0.82000000000000017</v>
      </c>
      <c r="AE22" s="72">
        <f t="shared" si="8"/>
        <v>0.67240000000000033</v>
      </c>
      <c r="AF22" s="72">
        <f t="shared" si="1"/>
        <v>0.55136800000000041</v>
      </c>
      <c r="AG22" s="44">
        <f t="shared" si="9"/>
        <v>2.0699216974527888E-3</v>
      </c>
      <c r="AH22" s="44">
        <f t="shared" si="10"/>
        <v>1.2695027838582006E-4</v>
      </c>
      <c r="AI22" s="44"/>
      <c r="AJ22" s="44"/>
      <c r="AK22" s="51"/>
      <c r="AL22" s="51"/>
      <c r="AM22" s="51"/>
      <c r="AN22" s="51"/>
      <c r="AO22" s="51"/>
      <c r="AP22" s="39"/>
      <c r="AQ22" s="58">
        <f t="shared" si="2"/>
        <v>360</v>
      </c>
      <c r="AR22" s="1">
        <v>528.45377731323242</v>
      </c>
      <c r="AS22" s="1">
        <v>1.1153484035281857E-2</v>
      </c>
      <c r="AT22" s="51">
        <f t="shared" si="11"/>
        <v>8.7680441958548627E-2</v>
      </c>
      <c r="AV22" s="56">
        <f t="shared" si="12"/>
        <v>11</v>
      </c>
      <c r="AW22" s="1">
        <v>74.052509307861328</v>
      </c>
      <c r="AX22" s="1">
        <v>6.2755996214499989E-3</v>
      </c>
      <c r="AY22" s="57">
        <f t="shared" si="13"/>
        <v>13.961278311839065</v>
      </c>
      <c r="AZ22" s="47">
        <f t="shared" si="23"/>
        <v>1.0195510517832396</v>
      </c>
      <c r="BA22" s="47">
        <f t="shared" si="24"/>
        <v>4.244721735109469E-2</v>
      </c>
      <c r="BB22" s="57">
        <f t="shared" si="14"/>
        <v>33.097210469146624</v>
      </c>
      <c r="BC22" s="57">
        <f t="shared" si="15"/>
        <v>165.68689799108262</v>
      </c>
      <c r="BD22" s="57">
        <f t="shared" si="25"/>
        <v>64.085203959262458</v>
      </c>
      <c r="BE22" s="57">
        <f t="shared" si="26"/>
        <v>81.64934161933077</v>
      </c>
      <c r="BL22" s="62">
        <f t="shared" si="16"/>
        <v>89</v>
      </c>
      <c r="BM22" s="63">
        <f t="shared" si="17"/>
        <v>19950</v>
      </c>
      <c r="BN22" s="68">
        <f t="shared" si="18"/>
        <v>304.41748683909361</v>
      </c>
      <c r="BO22" s="1">
        <v>304.05270004272461</v>
      </c>
      <c r="BP22" s="1">
        <v>8.0685867514910352E-3</v>
      </c>
      <c r="BR22" s="1">
        <v>4</v>
      </c>
      <c r="BS22" s="47">
        <v>0.93799999999999994</v>
      </c>
      <c r="BT22" s="1">
        <v>500</v>
      </c>
      <c r="BU22" s="51">
        <f t="shared" si="31"/>
        <v>-0.36478679636900324</v>
      </c>
      <c r="BV22" s="44">
        <f t="shared" si="32"/>
        <v>-1.1983109122828406E-3</v>
      </c>
      <c r="BW22" s="61">
        <f t="shared" si="33"/>
        <v>81.864050544165224</v>
      </c>
    </row>
    <row r="23" spans="3:75" ht="20.100000000000001" customHeight="1" x14ac:dyDescent="0.25">
      <c r="C23" s="2">
        <f t="shared" si="34"/>
        <v>6</v>
      </c>
      <c r="D23">
        <v>4.5777065690089262E-2</v>
      </c>
      <c r="E23" s="2"/>
      <c r="H23" s="21">
        <f>D20-D19</f>
        <v>0</v>
      </c>
      <c r="I23" s="21">
        <f>D24-D23</f>
        <v>0</v>
      </c>
      <c r="J23" s="21">
        <f>D28-D27</f>
        <v>0</v>
      </c>
      <c r="K23" s="21">
        <f>D32-D31</f>
        <v>0</v>
      </c>
      <c r="L23" s="21">
        <f>D36-D35</f>
        <v>0</v>
      </c>
      <c r="M23" s="21">
        <f>D40-D39</f>
        <v>0</v>
      </c>
      <c r="N23" s="21">
        <f>D44-D43</f>
        <v>0</v>
      </c>
      <c r="O23" s="21">
        <f>D80-D47</f>
        <v>-4.5777065690089262E-2</v>
      </c>
      <c r="Q23" s="47">
        <f>Q22+Q$17</f>
        <v>5.1249698449705575E-2</v>
      </c>
      <c r="R23" s="29">
        <f t="shared" si="30"/>
        <v>0</v>
      </c>
      <c r="X23" s="56">
        <f t="shared" si="22"/>
        <v>12</v>
      </c>
      <c r="Y23" s="51">
        <f t="shared" si="4"/>
        <v>0.84000000000000019</v>
      </c>
      <c r="Z23" s="51">
        <v>250.8454475402832</v>
      </c>
      <c r="AA23" s="51">
        <v>1.2176263509838694E-2</v>
      </c>
      <c r="AB23" s="51">
        <f t="shared" si="5"/>
        <v>-5.9862631984698433E-3</v>
      </c>
      <c r="AC23" s="44">
        <f t="shared" si="6"/>
        <v>1.8645734184867442E-3</v>
      </c>
      <c r="AD23" s="51">
        <f t="shared" si="7"/>
        <v>0.84000000000000019</v>
      </c>
      <c r="AE23" s="72">
        <f t="shared" si="8"/>
        <v>0.70560000000000034</v>
      </c>
      <c r="AF23" s="72">
        <f t="shared" si="1"/>
        <v>0.59270400000000045</v>
      </c>
      <c r="AG23" s="44">
        <f t="shared" si="9"/>
        <v>1.9591344959102499E-3</v>
      </c>
      <c r="AH23" s="44">
        <f t="shared" si="10"/>
        <v>9.4561077423505708E-5</v>
      </c>
      <c r="AI23" s="44"/>
      <c r="AJ23" s="44"/>
      <c r="AK23" s="51"/>
      <c r="AL23" s="51"/>
      <c r="AM23" s="51"/>
      <c r="AN23" s="51"/>
      <c r="AO23" s="51"/>
      <c r="AP23" s="39"/>
      <c r="AQ23" s="58">
        <f t="shared" si="2"/>
        <v>370</v>
      </c>
      <c r="AR23" s="1">
        <v>529.24198913574219</v>
      </c>
      <c r="AS23" s="1">
        <v>8.8498201611028702E-3</v>
      </c>
      <c r="AT23" s="51">
        <f t="shared" si="11"/>
        <v>0.11487662977571755</v>
      </c>
      <c r="AV23" s="56">
        <f t="shared" si="12"/>
        <v>12</v>
      </c>
      <c r="AW23" s="1">
        <v>61.450942993164063</v>
      </c>
      <c r="AX23" s="1">
        <v>9.6912851855040193E-3</v>
      </c>
      <c r="AY23" s="57">
        <f t="shared" si="13"/>
        <v>13.334281150350524</v>
      </c>
      <c r="AZ23" s="47">
        <f t="shared" si="23"/>
        <v>1.1005622794611511</v>
      </c>
      <c r="BA23" s="47">
        <f t="shared" si="24"/>
        <v>8.1011227677911579E-2</v>
      </c>
      <c r="BB23" s="57">
        <f t="shared" si="14"/>
        <v>27.465035456352464</v>
      </c>
      <c r="BC23" s="57">
        <f t="shared" si="15"/>
        <v>137.49184488584694</v>
      </c>
      <c r="BD23" s="57">
        <f t="shared" si="25"/>
        <v>57.789466764947548</v>
      </c>
      <c r="BE23" s="57">
        <f t="shared" si="26"/>
        <v>70.83101490234273</v>
      </c>
      <c r="BL23" s="62">
        <f t="shared" si="16"/>
        <v>88</v>
      </c>
      <c r="BM23" s="63">
        <f t="shared" si="17"/>
        <v>17989</v>
      </c>
      <c r="BN23" s="68">
        <f t="shared" si="18"/>
        <v>274.49454489967195</v>
      </c>
      <c r="BO23" s="1">
        <v>274.62280654907227</v>
      </c>
      <c r="BP23" s="1">
        <v>7.7164237455517783E-3</v>
      </c>
      <c r="BR23" s="1">
        <v>4</v>
      </c>
      <c r="BS23" s="47">
        <v>0.88200000000000001</v>
      </c>
      <c r="BT23" s="1">
        <v>500</v>
      </c>
      <c r="BU23" s="51">
        <f t="shared" si="31"/>
        <v>0.12826164940031504</v>
      </c>
      <c r="BV23" s="44">
        <f t="shared" si="32"/>
        <v>4.6726483926007312E-4</v>
      </c>
      <c r="BW23" s="61">
        <f t="shared" si="33"/>
        <v>82.251678623928058</v>
      </c>
    </row>
    <row r="24" spans="3:75" ht="20.100000000000001" customHeight="1" x14ac:dyDescent="0.25">
      <c r="C24" s="2">
        <f t="shared" si="34"/>
        <v>7</v>
      </c>
      <c r="D24">
        <v>4.5777065690089262E-2</v>
      </c>
      <c r="E24" s="77" t="s">
        <v>12</v>
      </c>
      <c r="F24" s="77"/>
      <c r="G24" s="77"/>
      <c r="H24" s="21">
        <f>D21-D20</f>
        <v>0</v>
      </c>
      <c r="I24" s="21">
        <f>D25-D24</f>
        <v>0</v>
      </c>
      <c r="J24" s="21">
        <f>D29-D28</f>
        <v>0</v>
      </c>
      <c r="K24" s="21">
        <f>D33-D32</f>
        <v>0</v>
      </c>
      <c r="L24" s="21">
        <f>D37-D36</f>
        <v>0</v>
      </c>
      <c r="M24" s="21">
        <f>D41-D40</f>
        <v>0</v>
      </c>
      <c r="N24" s="21">
        <f>D45-D44</f>
        <v>1.5259021896696421E-2</v>
      </c>
      <c r="Q24" s="47">
        <f>E17+1.5*F17</f>
        <v>5.5178125915193124E-2</v>
      </c>
      <c r="R24" s="29">
        <f t="shared" si="30"/>
        <v>0</v>
      </c>
      <c r="X24" s="56">
        <f t="shared" si="22"/>
        <v>13</v>
      </c>
      <c r="Y24" s="51">
        <f t="shared" si="4"/>
        <v>0.86000000000000021</v>
      </c>
      <c r="Z24" s="51">
        <v>261.32411193847656</v>
      </c>
      <c r="AA24" s="51">
        <v>1.1377665005756564E-2</v>
      </c>
      <c r="AB24" s="51">
        <f t="shared" si="5"/>
        <v>-1.4764436115368706E-3</v>
      </c>
      <c r="AC24" s="44">
        <f t="shared" si="6"/>
        <v>1.7898071102682564E-3</v>
      </c>
      <c r="AD24" s="51">
        <f t="shared" si="7"/>
        <v>0.86000000000000021</v>
      </c>
      <c r="AE24" s="72">
        <f t="shared" si="8"/>
        <v>0.73960000000000037</v>
      </c>
      <c r="AF24" s="72">
        <f t="shared" si="1"/>
        <v>0.63605600000000051</v>
      </c>
      <c r="AG24" s="44">
        <f t="shared" si="9"/>
        <v>1.8558041259141515E-3</v>
      </c>
      <c r="AH24" s="44">
        <f t="shared" si="10"/>
        <v>6.59970156458951E-5</v>
      </c>
      <c r="AI24" s="44"/>
      <c r="AJ24" s="44"/>
      <c r="AK24" s="51"/>
      <c r="AL24" s="51"/>
      <c r="AM24" s="51"/>
      <c r="AN24" s="51"/>
      <c r="AO24" s="51"/>
      <c r="AP24" s="39"/>
      <c r="AQ24" s="58">
        <f t="shared" si="2"/>
        <v>380</v>
      </c>
      <c r="AR24" s="1">
        <v>529.98683547973633</v>
      </c>
      <c r="AS24" s="1">
        <v>9.9896239093894921E-3</v>
      </c>
      <c r="AT24" s="51">
        <f t="shared" si="11"/>
        <v>0.13381333000153095</v>
      </c>
      <c r="AV24" s="56">
        <f t="shared" si="12"/>
        <v>13</v>
      </c>
      <c r="AW24" s="1">
        <v>60.21734619140625</v>
      </c>
      <c r="AX24" s="1">
        <v>1.3600272421701294E-2</v>
      </c>
      <c r="AY24" s="57">
        <f t="shared" si="13"/>
        <v>12.845356785252187</v>
      </c>
      <c r="AZ24" s="47">
        <f t="shared" si="23"/>
        <v>1.1093692191613744</v>
      </c>
      <c r="BA24" s="47">
        <f t="shared" si="24"/>
        <v>8.8069397002232819E-3</v>
      </c>
      <c r="BB24" s="57">
        <f t="shared" si="14"/>
        <v>26.913688670626321</v>
      </c>
      <c r="BC24" s="57">
        <f t="shared" si="15"/>
        <v>134.73176518881399</v>
      </c>
      <c r="BD24" s="57">
        <f t="shared" si="25"/>
        <v>51.995893862407968</v>
      </c>
      <c r="BE24" s="57">
        <f t="shared" si="26"/>
        <v>63.872568529678873</v>
      </c>
      <c r="BL24" s="62">
        <f t="shared" si="16"/>
        <v>87</v>
      </c>
      <c r="BM24" s="63">
        <f t="shared" si="17"/>
        <v>16221</v>
      </c>
      <c r="BN24" s="68">
        <f t="shared" si="18"/>
        <v>247.51659418631266</v>
      </c>
      <c r="BO24" s="1">
        <v>247.48607349395752</v>
      </c>
      <c r="BP24" s="1">
        <v>6.7209864520858999E-3</v>
      </c>
      <c r="BR24" s="1">
        <v>5</v>
      </c>
      <c r="BS24" s="47">
        <v>0.99</v>
      </c>
      <c r="BT24" s="1">
        <v>500</v>
      </c>
      <c r="BU24" s="51">
        <f t="shared" si="31"/>
        <v>-3.0520692355139545E-2</v>
      </c>
      <c r="BV24" s="44">
        <f t="shared" si="32"/>
        <v>-1.2330766127210957E-4</v>
      </c>
      <c r="BW24" s="61">
        <f t="shared" si="33"/>
        <v>83.451339600659509</v>
      </c>
    </row>
    <row r="25" spans="3:75" ht="20.100000000000001" customHeight="1" thickBot="1" x14ac:dyDescent="0.3">
      <c r="C25" s="2">
        <f t="shared" si="34"/>
        <v>8</v>
      </c>
      <c r="D25">
        <v>4.5777065690089262E-2</v>
      </c>
      <c r="E25" s="2"/>
      <c r="X25" s="56">
        <f t="shared" si="22"/>
        <v>14</v>
      </c>
      <c r="Y25" s="51">
        <f t="shared" si="4"/>
        <v>0.88000000000000023</v>
      </c>
      <c r="Z25" s="51">
        <v>271.70405578613281</v>
      </c>
      <c r="AA25" s="51">
        <v>8.2763781203501613E-3</v>
      </c>
      <c r="AB25" s="51">
        <f t="shared" si="5"/>
        <v>2.357914809099082E-3</v>
      </c>
      <c r="AC25" s="44">
        <f t="shared" si="6"/>
        <v>1.7214308865532014E-3</v>
      </c>
      <c r="AD25" s="51">
        <f t="shared" si="7"/>
        <v>0.88000000000000023</v>
      </c>
      <c r="AE25" s="72">
        <f t="shared" si="8"/>
        <v>0.77440000000000042</v>
      </c>
      <c r="AF25" s="72">
        <f t="shared" si="1"/>
        <v>0.68147200000000052</v>
      </c>
      <c r="AG25" s="44">
        <f t="shared" si="9"/>
        <v>1.7596662017828474E-3</v>
      </c>
      <c r="AH25" s="44">
        <f t="shared" si="10"/>
        <v>3.823531522964595E-5</v>
      </c>
      <c r="AI25" s="44"/>
      <c r="AJ25" s="44"/>
      <c r="AK25" s="51"/>
      <c r="AL25" s="51"/>
      <c r="AM25" s="51"/>
      <c r="AN25" s="51"/>
      <c r="AO25" s="51"/>
      <c r="AP25" s="39"/>
      <c r="AQ25" s="58">
        <f t="shared" si="2"/>
        <v>390</v>
      </c>
      <c r="AR25" s="1">
        <v>530.70260238647461</v>
      </c>
      <c r="AS25" s="1">
        <v>7.5340313453839108E-3</v>
      </c>
      <c r="AT25" s="51">
        <f t="shared" si="11"/>
        <v>0.14721652339158009</v>
      </c>
      <c r="AV25" s="56">
        <f t="shared" si="12"/>
        <v>14</v>
      </c>
      <c r="AW25" s="1">
        <v>49.747272491455078</v>
      </c>
      <c r="AX25" s="1">
        <v>1.1971281713328034E-2</v>
      </c>
      <c r="AY25" s="57">
        <f t="shared" si="13"/>
        <v>13.029433053400155</v>
      </c>
      <c r="AZ25" s="47">
        <f t="shared" si="23"/>
        <v>1.1923215566432119</v>
      </c>
      <c r="BA25" s="47">
        <f t="shared" si="24"/>
        <v>8.2952337481837501E-2</v>
      </c>
      <c r="BB25" s="57">
        <f t="shared" si="14"/>
        <v>22.234168204491713</v>
      </c>
      <c r="BC25" s="57">
        <f t="shared" si="15"/>
        <v>111.30576586351135</v>
      </c>
      <c r="BD25" s="57">
        <f t="shared" si="25"/>
        <v>42.862570393907745</v>
      </c>
      <c r="BE25" s="57">
        <f t="shared" si="26"/>
        <v>57.469145847924594</v>
      </c>
      <c r="BL25" s="62">
        <f t="shared" si="16"/>
        <v>86</v>
      </c>
      <c r="BM25" s="63">
        <f t="shared" si="17"/>
        <v>14627</v>
      </c>
      <c r="BN25" s="68">
        <f t="shared" si="18"/>
        <v>223.19371328297856</v>
      </c>
      <c r="BO25" s="1">
        <v>222.91332674026489</v>
      </c>
      <c r="BP25" s="1">
        <v>1.9798801983794487</v>
      </c>
      <c r="BR25" s="1">
        <v>5</v>
      </c>
      <c r="BS25" s="47">
        <v>0.92600000000000005</v>
      </c>
      <c r="BT25" s="1">
        <v>500</v>
      </c>
      <c r="BU25" s="51">
        <f t="shared" si="31"/>
        <v>-0.28038654271367136</v>
      </c>
      <c r="BV25" s="44">
        <f t="shared" si="32"/>
        <v>-1.2562474927695355E-3</v>
      </c>
      <c r="BW25" s="61">
        <f t="shared" si="33"/>
        <v>34.067221757969655</v>
      </c>
    </row>
    <row r="26" spans="3:75" ht="20.100000000000001" customHeight="1" thickBot="1" x14ac:dyDescent="0.3">
      <c r="C26" s="2">
        <f t="shared" si="34"/>
        <v>9</v>
      </c>
      <c r="D26">
        <v>4.5777065690089262E-2</v>
      </c>
      <c r="E26" s="2"/>
      <c r="P26" s="78" t="s">
        <v>28</v>
      </c>
      <c r="Q26" s="92"/>
      <c r="R26" s="1" t="s">
        <v>29</v>
      </c>
      <c r="S26" s="1" t="s">
        <v>30</v>
      </c>
      <c r="X26" s="56">
        <f t="shared" si="22"/>
        <v>15</v>
      </c>
      <c r="Y26" s="51">
        <f t="shared" si="4"/>
        <v>0.90000000000000024</v>
      </c>
      <c r="Z26" s="51">
        <v>282.25566101074219</v>
      </c>
      <c r="AA26" s="51">
        <v>7.9669810499679097E-3</v>
      </c>
      <c r="AB26" s="51">
        <f t="shared" si="5"/>
        <v>6.5486152107858686E-3</v>
      </c>
      <c r="AC26" s="44">
        <f t="shared" si="6"/>
        <v>1.657078380490737E-3</v>
      </c>
      <c r="AD26" s="51">
        <f t="shared" si="7"/>
        <v>0.90000000000000024</v>
      </c>
      <c r="AE26" s="72">
        <f t="shared" si="8"/>
        <v>0.81000000000000039</v>
      </c>
      <c r="AF26" s="72">
        <f t="shared" si="1"/>
        <v>0.72900000000000054</v>
      </c>
      <c r="AG26" s="44">
        <f t="shared" si="9"/>
        <v>1.6704563378347071E-3</v>
      </c>
      <c r="AH26" s="44">
        <f t="shared" si="10"/>
        <v>1.3377957343970121E-5</v>
      </c>
      <c r="AI26" s="44"/>
      <c r="AJ26" s="44"/>
      <c r="AK26" s="51"/>
      <c r="AL26" s="51"/>
      <c r="AM26" s="51"/>
      <c r="AN26" s="51"/>
      <c r="AO26" s="51"/>
      <c r="AP26" s="39"/>
      <c r="AQ26" s="58">
        <f t="shared" si="2"/>
        <v>400</v>
      </c>
      <c r="AR26" s="1">
        <v>531.42882537841797</v>
      </c>
      <c r="AS26" s="1">
        <v>8.6567160212660046E-3</v>
      </c>
      <c r="AT26" s="51">
        <f t="shared" si="11"/>
        <v>0.1625579257565013</v>
      </c>
      <c r="AV26" s="56">
        <f t="shared" si="12"/>
        <v>15</v>
      </c>
      <c r="AW26" s="1">
        <v>40.920406341552734</v>
      </c>
      <c r="AX26" s="1">
        <v>1.6764800758086496E-2</v>
      </c>
      <c r="AY26" s="57">
        <f t="shared" si="13"/>
        <v>12.543526922238579</v>
      </c>
      <c r="AZ26" s="47">
        <f t="shared" si="23"/>
        <v>1.2771508935585125</v>
      </c>
      <c r="BA26" s="47">
        <f t="shared" si="24"/>
        <v>8.4829336915300591E-2</v>
      </c>
      <c r="BB26" s="57">
        <f t="shared" si="14"/>
        <v>18.289066958404835</v>
      </c>
      <c r="BC26" s="57">
        <f t="shared" si="15"/>
        <v>91.556319355497436</v>
      </c>
      <c r="BD26" s="57">
        <f t="shared" si="25"/>
        <v>33.620862994800859</v>
      </c>
      <c r="BE26" s="57">
        <f t="shared" si="26"/>
        <v>47.374419909055931</v>
      </c>
      <c r="BL26" s="62">
        <f t="shared" si="16"/>
        <v>85</v>
      </c>
      <c r="BM26" s="63">
        <f t="shared" si="17"/>
        <v>13189</v>
      </c>
      <c r="BN26" s="68">
        <f t="shared" si="18"/>
        <v>201.2512397955291</v>
      </c>
      <c r="BO26" s="1">
        <v>200.04482364654541</v>
      </c>
      <c r="BP26" s="1">
        <v>2.5686634113322135</v>
      </c>
      <c r="BR26" s="1">
        <v>6</v>
      </c>
      <c r="BS26" s="47">
        <v>0.98</v>
      </c>
      <c r="BT26" s="1">
        <v>500</v>
      </c>
      <c r="BU26" s="51">
        <f t="shared" si="31"/>
        <v>-1.206416148983692</v>
      </c>
      <c r="BV26" s="44">
        <f t="shared" si="32"/>
        <v>-5.9945774754451842E-3</v>
      </c>
      <c r="BW26" s="61">
        <f t="shared" si="33"/>
        <v>31.805856008702182</v>
      </c>
    </row>
    <row r="27" spans="3:75" ht="20.100000000000001" customHeight="1" thickBot="1" x14ac:dyDescent="0.3">
      <c r="C27" s="2">
        <f t="shared" si="34"/>
        <v>10</v>
      </c>
      <c r="D27">
        <v>4.5777065690089262E-2</v>
      </c>
      <c r="E27" s="2"/>
      <c r="P27" s="54" t="str">
        <f>setFWidx(Q27)</f>
        <v/>
      </c>
      <c r="Q27" s="55">
        <v>31</v>
      </c>
      <c r="R27" s="51" t="e">
        <f>VOS*R28*10^-P27</f>
        <v>#VALUE!</v>
      </c>
      <c r="S27" s="51" t="e">
        <f>S28*R27</f>
        <v>#VALUE!</v>
      </c>
      <c r="X27" s="56">
        <f t="shared" si="22"/>
        <v>16</v>
      </c>
      <c r="Y27" s="51">
        <f t="shared" si="4"/>
        <v>0.92000000000000026</v>
      </c>
      <c r="Z27" s="51">
        <v>292.79868316650391</v>
      </c>
      <c r="AA27" s="51">
        <v>8.6359040740973426E-3</v>
      </c>
      <c r="AB27" s="51">
        <f t="shared" si="5"/>
        <v>1.0439129626533594E-2</v>
      </c>
      <c r="AC27" s="44">
        <f t="shared" si="6"/>
        <v>1.5974107143304603E-3</v>
      </c>
      <c r="AD27" s="51">
        <f t="shared" si="7"/>
        <v>0.92000000000000026</v>
      </c>
      <c r="AE27" s="72">
        <f t="shared" si="8"/>
        <v>0.84640000000000049</v>
      </c>
      <c r="AF27" s="72">
        <f t="shared" si="1"/>
        <v>0.77868800000000071</v>
      </c>
      <c r="AG27" s="44">
        <f t="shared" si="9"/>
        <v>1.5879101483880897E-3</v>
      </c>
      <c r="AH27" s="44">
        <f t="shared" si="10"/>
        <v>-9.500565942370618E-6</v>
      </c>
      <c r="AI27" s="44"/>
      <c r="AJ27" s="44"/>
      <c r="AK27" s="51"/>
      <c r="AL27" s="51"/>
      <c r="AM27" s="51"/>
      <c r="AN27" s="51"/>
      <c r="AO27" s="51"/>
      <c r="AP27" s="39"/>
      <c r="AQ27" s="58">
        <f t="shared" si="2"/>
        <v>410</v>
      </c>
      <c r="AR27" s="1">
        <v>532.01485824584961</v>
      </c>
      <c r="AS27" s="1">
        <v>8.2648013417748814E-3</v>
      </c>
      <c r="AT27" s="51">
        <f t="shared" si="11"/>
        <v>0.15147143242690841</v>
      </c>
      <c r="AV27" s="56">
        <f t="shared" si="12"/>
        <v>16</v>
      </c>
      <c r="AW27" s="1">
        <v>30.607690811157227</v>
      </c>
      <c r="AX27" s="1">
        <v>1.6486073156125013E-2</v>
      </c>
      <c r="AY27" s="57">
        <f t="shared" si="13"/>
        <v>12.567716868199335</v>
      </c>
      <c r="AZ27" s="47">
        <f t="shared" si="23"/>
        <v>1.4032602655794859</v>
      </c>
      <c r="BA27" s="47">
        <f t="shared" si="24"/>
        <v>0.12610937202097339</v>
      </c>
      <c r="BB27" s="57">
        <f t="shared" si="14"/>
        <v>13.679876539226118</v>
      </c>
      <c r="BC27" s="57">
        <f t="shared" si="15"/>
        <v>68.482397052714617</v>
      </c>
      <c r="BD27" s="57">
        <f t="shared" si="25"/>
        <v>25.111495391215644</v>
      </c>
      <c r="BE27" s="57">
        <f t="shared" si="26"/>
        <v>37.159901204779899</v>
      </c>
      <c r="BL27" s="62">
        <f t="shared" si="16"/>
        <v>84</v>
      </c>
      <c r="BM27" s="63">
        <f t="shared" si="17"/>
        <v>11893</v>
      </c>
      <c r="BN27" s="68">
        <f t="shared" si="18"/>
        <v>181.47554741741055</v>
      </c>
      <c r="BO27" s="1">
        <v>180.99441146850586</v>
      </c>
      <c r="BP27" s="1">
        <v>8.4263748051407426E-3</v>
      </c>
      <c r="BR27" s="1">
        <v>6</v>
      </c>
      <c r="BS27" s="47">
        <v>0.91900000000000004</v>
      </c>
      <c r="BT27" s="1">
        <v>500</v>
      </c>
      <c r="BU27" s="51">
        <f t="shared" si="31"/>
        <v>-0.48113594890469358</v>
      </c>
      <c r="BV27" s="44">
        <f t="shared" si="32"/>
        <v>-2.651243959595484E-3</v>
      </c>
      <c r="BW27" s="61">
        <f t="shared" si="33"/>
        <v>81.487184547230598</v>
      </c>
    </row>
    <row r="28" spans="3:75" ht="20.100000000000001" customHeight="1" thickBot="1" x14ac:dyDescent="0.3">
      <c r="C28" s="2">
        <f t="shared" si="34"/>
        <v>11</v>
      </c>
      <c r="D28">
        <v>4.5777065690089262E-2</v>
      </c>
      <c r="E28" s="2"/>
      <c r="P28" s="78" t="s">
        <v>31</v>
      </c>
      <c r="Q28" s="92"/>
      <c r="R28" s="1">
        <v>964</v>
      </c>
      <c r="S28" s="1">
        <v>0.82699999999999996</v>
      </c>
      <c r="X28" s="56">
        <f t="shared" si="22"/>
        <v>17</v>
      </c>
      <c r="Y28" s="51">
        <f t="shared" si="4"/>
        <v>0.94000000000000028</v>
      </c>
      <c r="Z28" s="51">
        <v>303.36986923217773</v>
      </c>
      <c r="AA28" s="51">
        <v>5.5682364815977268E-3</v>
      </c>
      <c r="AB28" s="51">
        <f t="shared" si="5"/>
        <v>1.4180467455772394E-2</v>
      </c>
      <c r="AC28" s="44">
        <f t="shared" si="6"/>
        <v>1.5417475532946341E-3</v>
      </c>
      <c r="AD28" s="51">
        <f t="shared" si="7"/>
        <v>0.94000000000000028</v>
      </c>
      <c r="AE28" s="72">
        <f t="shared" si="8"/>
        <v>0.8836000000000005</v>
      </c>
      <c r="AF28" s="72">
        <f t="shared" si="1"/>
        <v>0.83058400000000077</v>
      </c>
      <c r="AG28" s="44">
        <f t="shared" si="9"/>
        <v>1.5117632477613593E-3</v>
      </c>
      <c r="AH28" s="44">
        <f t="shared" si="10"/>
        <v>-2.9984305533274722E-5</v>
      </c>
      <c r="AI28" s="44"/>
      <c r="AJ28" s="44"/>
      <c r="AK28" s="51"/>
      <c r="AL28" s="51"/>
      <c r="AM28" s="51"/>
      <c r="AN28" s="51"/>
      <c r="AO28" s="51"/>
      <c r="AP28" s="39"/>
      <c r="AQ28" s="58">
        <f t="shared" si="2"/>
        <v>420</v>
      </c>
      <c r="AR28" s="1">
        <v>532.74251174926758</v>
      </c>
      <c r="AS28" s="1">
        <v>9.5863521152054799E-3</v>
      </c>
      <c r="AT28" s="51">
        <f t="shared" si="11"/>
        <v>0.16703950502683362</v>
      </c>
      <c r="AV28" s="56">
        <f t="shared" si="12"/>
        <v>17</v>
      </c>
      <c r="AW28" s="1">
        <v>22.827974319458008</v>
      </c>
      <c r="AX28" s="1">
        <v>1.1627073195537354E-2</v>
      </c>
      <c r="AY28" s="57">
        <f t="shared" si="13"/>
        <v>13.071526888789887</v>
      </c>
      <c r="AZ28" s="47">
        <f t="shared" si="23"/>
        <v>1.5306234558710268</v>
      </c>
      <c r="BA28" s="47">
        <f t="shared" si="24"/>
        <v>0.12736319029154086</v>
      </c>
      <c r="BB28" s="57">
        <f t="shared" si="14"/>
        <v>10.202790934394015</v>
      </c>
      <c r="BC28" s="57">
        <f t="shared" si="15"/>
        <v>51.075868836352427</v>
      </c>
      <c r="BD28" s="57">
        <f t="shared" si="25"/>
        <v>10.216687725343492</v>
      </c>
      <c r="BE28" s="57">
        <f t="shared" si="26"/>
        <v>27.754810695554138</v>
      </c>
      <c r="BL28" s="62">
        <f t="shared" si="16"/>
        <v>83</v>
      </c>
      <c r="BM28" s="63">
        <f t="shared" si="17"/>
        <v>10724</v>
      </c>
      <c r="BN28" s="68">
        <f t="shared" si="18"/>
        <v>163.63775082017241</v>
      </c>
      <c r="BO28" s="1">
        <v>163.98775482177734</v>
      </c>
      <c r="BP28" s="1">
        <v>6.1269680771310264E-3</v>
      </c>
      <c r="BR28" s="1">
        <v>7</v>
      </c>
      <c r="BS28" s="47">
        <v>0.98199999999999998</v>
      </c>
      <c r="BT28" s="1">
        <v>500</v>
      </c>
      <c r="BU28" s="51">
        <f t="shared" si="31"/>
        <v>0.35000400160492973</v>
      </c>
      <c r="BV28" s="44">
        <f t="shared" si="32"/>
        <v>2.1388952112251225E-3</v>
      </c>
      <c r="BW28" s="61">
        <f t="shared" si="33"/>
        <v>84.255087648663533</v>
      </c>
    </row>
    <row r="29" spans="3:75" ht="20.100000000000001" customHeight="1" x14ac:dyDescent="0.25">
      <c r="C29" s="2">
        <f t="shared" si="34"/>
        <v>12</v>
      </c>
      <c r="D29">
        <v>4.5777065690089262E-2</v>
      </c>
      <c r="E29" s="2"/>
      <c r="P29" s="50" t="e">
        <f>setVOS(VOS)</f>
        <v>#VALUE!</v>
      </c>
      <c r="Q29" s="53">
        <v>0.95</v>
      </c>
      <c r="X29" s="56">
        <f t="shared" si="22"/>
        <v>18</v>
      </c>
      <c r="Y29" s="51">
        <f t="shared" si="4"/>
        <v>0.9600000000000003</v>
      </c>
      <c r="Z29" s="51">
        <v>314.0273323059082</v>
      </c>
      <c r="AA29" s="51">
        <v>7.5603164495899825E-3</v>
      </c>
      <c r="AB29" s="51">
        <f t="shared" si="5"/>
        <v>1.7974583333600247E-2</v>
      </c>
      <c r="AC29" s="44">
        <f t="shared" si="6"/>
        <v>1.4894237077949515E-3</v>
      </c>
      <c r="AD29" s="51">
        <f t="shared" si="7"/>
        <v>0.9600000000000003</v>
      </c>
      <c r="AE29" s="72">
        <f t="shared" si="8"/>
        <v>0.92160000000000053</v>
      </c>
      <c r="AF29" s="72">
        <f t="shared" si="1"/>
        <v>0.88473600000000074</v>
      </c>
      <c r="AG29" s="44">
        <f t="shared" si="9"/>
        <v>1.4417512502728734E-3</v>
      </c>
      <c r="AH29" s="44">
        <f t="shared" si="10"/>
        <v>-4.7672457522078071E-5</v>
      </c>
      <c r="AI29" s="44"/>
      <c r="AJ29" s="44"/>
      <c r="AK29" s="51"/>
      <c r="AL29" s="51"/>
      <c r="AM29" s="51"/>
      <c r="AN29" s="51"/>
      <c r="AO29" s="51"/>
      <c r="AP29" s="39"/>
      <c r="AQ29" s="58">
        <f t="shared" si="2"/>
        <v>430</v>
      </c>
      <c r="AR29" s="1">
        <v>533.36573791503906</v>
      </c>
      <c r="AS29" s="1">
        <v>9.4816218505325723E-3</v>
      </c>
      <c r="AT29" s="51">
        <f t="shared" si="11"/>
        <v>0.16295908696402073</v>
      </c>
      <c r="AV29" s="56">
        <f t="shared" si="12"/>
        <v>18</v>
      </c>
      <c r="AW29" s="1">
        <v>5.0664720684289932</v>
      </c>
      <c r="AX29" s="1">
        <v>5.2389673974870238E-2</v>
      </c>
      <c r="AY29" s="57">
        <f t="shared" si="13"/>
        <v>10.899515960773847</v>
      </c>
      <c r="AZ29" s="47">
        <f t="shared" si="23"/>
        <v>2.1843851784655128</v>
      </c>
      <c r="BA29" s="47">
        <f t="shared" si="24"/>
        <v>0.65376172259448606</v>
      </c>
      <c r="BB29" s="57">
        <f t="shared" si="14"/>
        <v>2.264421475411714</v>
      </c>
      <c r="BC29" s="57">
        <f t="shared" si="15"/>
        <v>11.335848691994954</v>
      </c>
      <c r="BD29" s="57">
        <f t="shared" si="25"/>
        <v>4.3501038944761552</v>
      </c>
      <c r="BE29" s="57">
        <f t="shared" si="26"/>
        <v>11.292128538537545</v>
      </c>
      <c r="BL29" s="62">
        <f t="shared" si="16"/>
        <v>82</v>
      </c>
      <c r="BM29" s="63">
        <f t="shared" si="17"/>
        <v>9670</v>
      </c>
      <c r="BN29" s="68">
        <f t="shared" si="18"/>
        <v>147.55474174105439</v>
      </c>
      <c r="BO29" s="1">
        <v>147.89901781082153</v>
      </c>
      <c r="BP29" s="1">
        <v>1.9539490136503885</v>
      </c>
      <c r="BR29" s="1">
        <v>7</v>
      </c>
      <c r="BS29" s="47">
        <v>0.91900000000000004</v>
      </c>
      <c r="BT29" s="1">
        <v>500</v>
      </c>
      <c r="BU29" s="51">
        <f t="shared" si="31"/>
        <v>0.34427606976714742</v>
      </c>
      <c r="BV29" s="44">
        <f t="shared" si="32"/>
        <v>2.3332091243215558E-3</v>
      </c>
      <c r="BW29" s="61">
        <f t="shared" si="33"/>
        <v>34.181735459010085</v>
      </c>
    </row>
    <row r="30" spans="3:75" ht="20.100000000000001" customHeight="1" thickBot="1" x14ac:dyDescent="0.3">
      <c r="C30" s="2">
        <f t="shared" si="34"/>
        <v>13</v>
      </c>
      <c r="D30">
        <v>4.5777065690089262E-2</v>
      </c>
      <c r="E30" s="2"/>
      <c r="P30" s="6" t="e">
        <f>setWID(Q30)</f>
        <v>#VALUE!</v>
      </c>
      <c r="Q30" s="52">
        <v>500</v>
      </c>
      <c r="X30" s="56">
        <f t="shared" si="22"/>
        <v>19</v>
      </c>
      <c r="Y30" s="51">
        <f t="shared" si="4"/>
        <v>0.98000000000000032</v>
      </c>
      <c r="Z30" s="51">
        <v>324.40775299072266</v>
      </c>
      <c r="AA30" s="51">
        <v>9.5484866455918284E-3</v>
      </c>
      <c r="AB30" s="51">
        <f t="shared" si="5"/>
        <v>2.0673717083585563E-2</v>
      </c>
      <c r="AC30" s="44">
        <f t="shared" si="6"/>
        <v>1.4417650297198627E-3</v>
      </c>
      <c r="AD30" s="51">
        <f t="shared" si="7"/>
        <v>0.98000000000000032</v>
      </c>
      <c r="AE30" s="72">
        <f t="shared" si="8"/>
        <v>0.96040000000000059</v>
      </c>
      <c r="AF30" s="72">
        <f t="shared" si="1"/>
        <v>0.94119200000000092</v>
      </c>
      <c r="AG30" s="44">
        <f t="shared" si="9"/>
        <v>1.3776097702410048E-3</v>
      </c>
      <c r="AH30" s="44">
        <f t="shared" si="10"/>
        <v>-6.4155259478857873E-5</v>
      </c>
      <c r="AI30" s="44"/>
      <c r="AJ30" s="44"/>
      <c r="AK30" s="51"/>
      <c r="AL30" s="51"/>
      <c r="AM30" s="51"/>
      <c r="AN30" s="51"/>
      <c r="AO30" s="51"/>
      <c r="AP30" s="39"/>
      <c r="AQ30" s="58">
        <f t="shared" si="2"/>
        <v>440</v>
      </c>
      <c r="AR30" s="1">
        <v>534.03669357299805</v>
      </c>
      <c r="AS30" s="1">
        <v>8.001538618257701E-3</v>
      </c>
      <c r="AT30" s="51">
        <f t="shared" si="11"/>
        <v>0.1678410185889545</v>
      </c>
      <c r="AV30" s="56">
        <f t="shared" si="12"/>
        <v>19</v>
      </c>
      <c r="AW30" s="1">
        <v>4.138532742857933</v>
      </c>
      <c r="AX30" s="1">
        <v>0.15241799697408626</v>
      </c>
      <c r="AY30" s="57">
        <f t="shared" si="13"/>
        <v>9.3586835548952667</v>
      </c>
      <c r="AZ30" s="47">
        <f t="shared" si="23"/>
        <v>2.2722444356255109</v>
      </c>
      <c r="BA30" s="47">
        <f t="shared" si="24"/>
        <v>8.7859257159998094E-2</v>
      </c>
      <c r="BB30" s="57">
        <f t="shared" si="14"/>
        <v>1.8496859931427427</v>
      </c>
      <c r="BC30" s="57">
        <f t="shared" si="15"/>
        <v>9.2596545182279808</v>
      </c>
      <c r="BD30" s="57">
        <f t="shared" si="25"/>
        <v>3.5804786402392215</v>
      </c>
      <c r="BE30" s="57">
        <f t="shared" si="26"/>
        <v>4.8080095675789094</v>
      </c>
      <c r="BL30" s="62">
        <f t="shared" si="16"/>
        <v>81</v>
      </c>
      <c r="BM30" s="63">
        <f t="shared" si="17"/>
        <v>8720</v>
      </c>
      <c r="BN30" s="68">
        <f t="shared" si="18"/>
        <v>133.05867093919278</v>
      </c>
      <c r="BO30" s="1">
        <v>132.9652099609375</v>
      </c>
      <c r="BP30" s="1">
        <v>6.2526228063913159E-3</v>
      </c>
      <c r="BR30" s="1">
        <v>8</v>
      </c>
      <c r="BS30" s="47">
        <v>0.97</v>
      </c>
      <c r="BT30" s="1">
        <v>500</v>
      </c>
      <c r="BU30" s="51">
        <f t="shared" si="31"/>
        <v>-9.346097825527977E-2</v>
      </c>
      <c r="BV30" s="44">
        <f t="shared" si="32"/>
        <v>-7.0240426719725413E-4</v>
      </c>
      <c r="BW30" s="61">
        <f t="shared" si="33"/>
        <v>84.07875539262308</v>
      </c>
    </row>
    <row r="31" spans="3:75" ht="20.100000000000001" customHeight="1" x14ac:dyDescent="0.25">
      <c r="C31" s="2">
        <f t="shared" si="34"/>
        <v>14</v>
      </c>
      <c r="D31">
        <v>4.5777065690089262E-2</v>
      </c>
      <c r="E31" s="2"/>
      <c r="P31" s="1" t="s">
        <v>70</v>
      </c>
      <c r="Q31" s="44">
        <f>AD6*VOS^3+AE6*VOS^2+AF6*VOS^1+AG6*VOS^0</f>
        <v>1.4760069102299454E-3</v>
      </c>
      <c r="X31" s="56">
        <f t="shared" si="22"/>
        <v>20</v>
      </c>
      <c r="Y31" s="51">
        <f t="shared" si="4"/>
        <v>1.0000000000000002</v>
      </c>
      <c r="Z31" s="51">
        <v>331.08407211303711</v>
      </c>
      <c r="AA31" s="51">
        <v>7.6304857812256738E-3</v>
      </c>
      <c r="AB31" s="51">
        <f t="shared" si="5"/>
        <v>1.1897608860889752E-2</v>
      </c>
      <c r="AC31" s="44">
        <f t="shared" si="6"/>
        <v>1.4126917995388691E-3</v>
      </c>
      <c r="AD31" s="51">
        <f t="shared" si="7"/>
        <v>1.0000000000000002</v>
      </c>
      <c r="AE31" s="72">
        <f t="shared" si="8"/>
        <v>1.0000000000000004</v>
      </c>
      <c r="AF31" s="72">
        <f t="shared" si="1"/>
        <v>1.0000000000000007</v>
      </c>
      <c r="AG31" s="44">
        <f t="shared" si="9"/>
        <v>1.3190744219841108E-3</v>
      </c>
      <c r="AH31" s="44">
        <f t="shared" si="10"/>
        <v>-9.361737755475834E-5</v>
      </c>
      <c r="AI31" s="44"/>
      <c r="AJ31" s="44"/>
      <c r="AK31" s="51"/>
      <c r="AL31" s="51"/>
      <c r="AM31" s="51"/>
      <c r="AN31" s="51"/>
      <c r="AO31" s="51"/>
      <c r="AP31" s="39"/>
      <c r="AQ31" s="58">
        <f t="shared" si="2"/>
        <v>450</v>
      </c>
      <c r="AR31" s="1">
        <v>534.64133834838867</v>
      </c>
      <c r="AS31" s="1">
        <v>8.5690352874863776E-3</v>
      </c>
      <c r="AT31" s="51">
        <f t="shared" si="11"/>
        <v>0.16028841987019149</v>
      </c>
      <c r="AV31" s="56">
        <f t="shared" si="12"/>
        <v>20</v>
      </c>
      <c r="AW31" s="1">
        <v>3.4323263019323349</v>
      </c>
      <c r="AX31" s="1">
        <v>0.10759831559860052</v>
      </c>
      <c r="AY31" s="57">
        <f t="shared" si="13"/>
        <v>9.8611113863580844</v>
      </c>
      <c r="AZ31" s="47">
        <f t="shared" si="23"/>
        <v>2.3535022628493167</v>
      </c>
      <c r="BA31" s="47">
        <f t="shared" si="24"/>
        <v>8.1257827223805812E-2</v>
      </c>
      <c r="BB31" s="57">
        <f t="shared" si="14"/>
        <v>1.5340523511710698</v>
      </c>
      <c r="BC31" s="57">
        <f t="shared" si="15"/>
        <v>7.6795709311635845</v>
      </c>
      <c r="BD31" s="57">
        <f t="shared" si="25"/>
        <v>2.9628462811943597</v>
      </c>
      <c r="BE31" s="57">
        <f t="shared" si="26"/>
        <v>3.9573711286854558</v>
      </c>
      <c r="BL31" s="62">
        <f t="shared" si="16"/>
        <v>80</v>
      </c>
      <c r="BM31" s="63">
        <f t="shared" si="17"/>
        <v>7863</v>
      </c>
      <c r="BN31" s="68">
        <f t="shared" si="18"/>
        <v>119.98168917372396</v>
      </c>
      <c r="BO31" s="1">
        <v>119.85294342041016</v>
      </c>
      <c r="BP31" s="1">
        <v>7.0722654179218025E-3</v>
      </c>
      <c r="BR31" s="1">
        <v>8</v>
      </c>
      <c r="BS31" s="47">
        <v>0.91</v>
      </c>
      <c r="BT31" s="1">
        <v>500</v>
      </c>
      <c r="BU31" s="51">
        <f t="shared" si="31"/>
        <v>-0.12874575331380811</v>
      </c>
      <c r="BV31" s="44">
        <f t="shared" si="32"/>
        <v>-1.0730450137886871E-3</v>
      </c>
      <c r="BW31" s="61">
        <f t="shared" si="33"/>
        <v>83.008828977502006</v>
      </c>
    </row>
    <row r="32" spans="3:75" ht="20.100000000000001" customHeight="1" x14ac:dyDescent="0.25">
      <c r="C32" s="2">
        <f t="shared" si="34"/>
        <v>15</v>
      </c>
      <c r="D32">
        <v>4.5777065690089262E-2</v>
      </c>
      <c r="E32" s="2"/>
      <c r="X32" s="56">
        <f t="shared" si="22"/>
        <v>21</v>
      </c>
      <c r="Y32" s="51">
        <f t="shared" si="4"/>
        <v>1.0200000000000002</v>
      </c>
      <c r="Z32" s="51">
        <v>341.70243453979492</v>
      </c>
      <c r="AA32" s="51">
        <v>5.9056611238525302E-3</v>
      </c>
      <c r="AB32" s="51">
        <f t="shared" si="5"/>
        <v>1.5322619228704371E-2</v>
      </c>
      <c r="AC32" s="44">
        <f t="shared" si="6"/>
        <v>1.3687925702430199E-3</v>
      </c>
      <c r="AD32" s="51">
        <f t="shared" si="7"/>
        <v>1.0200000000000002</v>
      </c>
      <c r="AE32" s="72">
        <f t="shared" ref="AE32:AE51" si="35">$AD32^AE$10</f>
        <v>1.0404000000000004</v>
      </c>
      <c r="AF32" s="72">
        <f t="shared" si="1"/>
        <v>1.0612080000000006</v>
      </c>
      <c r="AG32" s="44">
        <f t="shared" si="9"/>
        <v>1.2658808198205487E-3</v>
      </c>
      <c r="AH32" s="44">
        <f t="shared" si="10"/>
        <v>-1.0291175042247114E-4</v>
      </c>
      <c r="AI32" s="44"/>
      <c r="AJ32" s="44"/>
      <c r="AK32" s="51"/>
      <c r="AL32" s="51"/>
      <c r="AM32" s="51"/>
      <c r="AN32" s="51"/>
      <c r="AO32" s="51"/>
      <c r="AP32" s="39"/>
      <c r="AQ32" s="58">
        <f t="shared" si="2"/>
        <v>460</v>
      </c>
      <c r="AR32" s="1">
        <v>535.2860221862793</v>
      </c>
      <c r="AS32" s="1">
        <v>7.8870486623558913E-3</v>
      </c>
      <c r="AT32" s="51">
        <f t="shared" si="11"/>
        <v>0.16024594411785387</v>
      </c>
      <c r="AV32" s="56">
        <f t="shared" si="12"/>
        <v>21</v>
      </c>
      <c r="AW32" s="1">
        <v>2.833886556327343</v>
      </c>
      <c r="AX32" s="1">
        <v>0.24208208156839975</v>
      </c>
      <c r="AY32" s="57">
        <f t="shared" si="13"/>
        <v>8.6911540032483945</v>
      </c>
      <c r="AZ32" s="47">
        <f t="shared" si="23"/>
        <v>2.4367083702227603</v>
      </c>
      <c r="BA32" s="47">
        <f t="shared" si="24"/>
        <v>8.3206107373443583E-2</v>
      </c>
      <c r="BB32" s="57">
        <f t="shared" si="14"/>
        <v>1.2665842208063323</v>
      </c>
      <c r="BC32" s="57">
        <f t="shared" si="15"/>
        <v>6.3406071875901073</v>
      </c>
      <c r="BD32" s="57">
        <f t="shared" si="25"/>
        <v>2.3330102380755657</v>
      </c>
      <c r="BE32" s="57">
        <f t="shared" si="26"/>
        <v>3.2747248371095554</v>
      </c>
      <c r="BL32" s="62">
        <f t="shared" si="16"/>
        <v>79</v>
      </c>
      <c r="BM32" s="63">
        <f t="shared" si="17"/>
        <v>7090</v>
      </c>
      <c r="BN32" s="68">
        <f t="shared" si="18"/>
        <v>108.18646524757763</v>
      </c>
      <c r="BO32" s="1">
        <v>108.12542724609375</v>
      </c>
      <c r="BP32" s="1">
        <v>6.1105791400884873E-3</v>
      </c>
      <c r="BR32" s="1">
        <v>9</v>
      </c>
      <c r="BS32" s="47">
        <v>0.96299999999999997</v>
      </c>
      <c r="BT32" s="1">
        <v>500</v>
      </c>
      <c r="BU32" s="51">
        <f t="shared" si="31"/>
        <v>-6.1038001483879611E-2</v>
      </c>
      <c r="BV32" s="44">
        <f t="shared" si="32"/>
        <v>-5.6419258494300184E-4</v>
      </c>
      <c r="BW32" s="61">
        <f t="shared" si="33"/>
        <v>84.278352536800895</v>
      </c>
    </row>
    <row r="33" spans="3:75" ht="20.100000000000001" customHeight="1" x14ac:dyDescent="0.25">
      <c r="C33" s="2">
        <f t="shared" si="34"/>
        <v>16</v>
      </c>
      <c r="D33">
        <v>4.5777065690089262E-2</v>
      </c>
      <c r="E33" s="2"/>
      <c r="X33" s="56">
        <f t="shared" si="22"/>
        <v>22</v>
      </c>
      <c r="Y33" s="51">
        <f t="shared" si="4"/>
        <v>1.0400000000000003</v>
      </c>
      <c r="Z33" s="51">
        <v>352.65362930297852</v>
      </c>
      <c r="AA33" s="51">
        <v>6.5895016182012369E-3</v>
      </c>
      <c r="AB33" s="51">
        <f t="shared" si="5"/>
        <v>1.9524601215653581E-2</v>
      </c>
      <c r="AC33" s="44">
        <f t="shared" si="6"/>
        <v>1.3262865167628455E-3</v>
      </c>
      <c r="AD33" s="51">
        <f t="shared" si="7"/>
        <v>1.0400000000000003</v>
      </c>
      <c r="AE33" s="72">
        <f t="shared" si="35"/>
        <v>1.0816000000000006</v>
      </c>
      <c r="AF33" s="72">
        <f t="shared" si="1"/>
        <v>1.1248640000000008</v>
      </c>
      <c r="AG33" s="44">
        <f t="shared" si="9"/>
        <v>1.2177645780686863E-3</v>
      </c>
      <c r="AH33" s="44">
        <f t="shared" si="10"/>
        <v>-1.0852193869415917E-4</v>
      </c>
      <c r="AI33" s="44"/>
      <c r="AJ33" s="44"/>
      <c r="AK33" s="51"/>
      <c r="AL33" s="51"/>
      <c r="AM33" s="51"/>
      <c r="AN33" s="51"/>
      <c r="AO33" s="51"/>
      <c r="AP33" s="39"/>
      <c r="AQ33" s="58">
        <f t="shared" si="2"/>
        <v>470</v>
      </c>
      <c r="AR33" s="1">
        <v>535.93595123291016</v>
      </c>
      <c r="AS33" s="1">
        <v>5.5563488355092009E-3</v>
      </c>
      <c r="AT33" s="51">
        <f t="shared" si="11"/>
        <v>0.16118384876802061</v>
      </c>
      <c r="AV33" s="56">
        <f t="shared" si="12"/>
        <v>22</v>
      </c>
      <c r="AW33" s="1">
        <v>2.1281567737460136</v>
      </c>
      <c r="AX33" s="1">
        <v>0.35779115097038877</v>
      </c>
      <c r="AY33" s="57">
        <f t="shared" si="13"/>
        <v>8.1274764278255986</v>
      </c>
      <c r="AZ33" s="47">
        <f t="shared" si="23"/>
        <v>2.5610872134521436</v>
      </c>
      <c r="BA33" s="47">
        <f t="shared" si="24"/>
        <v>0.12437884322938331</v>
      </c>
      <c r="BB33" s="57">
        <f t="shared" si="14"/>
        <v>0.95116361768627411</v>
      </c>
      <c r="BC33" s="57">
        <f t="shared" si="15"/>
        <v>4.7615900875793118</v>
      </c>
      <c r="BD33" s="57">
        <f t="shared" si="25"/>
        <v>1.7487268603046495</v>
      </c>
      <c r="BE33" s="57">
        <f t="shared" si="26"/>
        <v>2.5785902631361517</v>
      </c>
      <c r="BL33" s="62">
        <f t="shared" si="16"/>
        <v>78</v>
      </c>
      <c r="BM33" s="63">
        <f t="shared" si="17"/>
        <v>6393</v>
      </c>
      <c r="BN33" s="68">
        <f t="shared" si="18"/>
        <v>97.550926985580219</v>
      </c>
      <c r="BO33" s="1">
        <v>97.520885467529297</v>
      </c>
      <c r="BP33" s="1">
        <v>3.4654021701754516E-2</v>
      </c>
      <c r="BR33" s="1">
        <v>9</v>
      </c>
      <c r="BS33" s="47">
        <v>0.90400000000000003</v>
      </c>
      <c r="BT33" s="1">
        <v>500</v>
      </c>
      <c r="BU33" s="51">
        <f t="shared" si="31"/>
        <v>-3.0041518050921923E-2</v>
      </c>
      <c r="BV33" s="44">
        <f t="shared" si="32"/>
        <v>-3.0795727912824589E-4</v>
      </c>
      <c r="BW33" s="61">
        <f t="shared" si="33"/>
        <v>69.204927139354183</v>
      </c>
    </row>
    <row r="34" spans="3:75" ht="20.100000000000001" customHeight="1" x14ac:dyDescent="0.25">
      <c r="C34" s="2">
        <f t="shared" si="34"/>
        <v>17</v>
      </c>
      <c r="D34">
        <v>4.5777065690089262E-2</v>
      </c>
      <c r="E34" s="2"/>
      <c r="X34" s="56">
        <f t="shared" si="22"/>
        <v>23</v>
      </c>
      <c r="Y34" s="51">
        <f t="shared" si="4"/>
        <v>1.0600000000000003</v>
      </c>
      <c r="Z34" s="51">
        <v>363.56146240234375</v>
      </c>
      <c r="AA34" s="51">
        <v>5.4520870760270358E-3</v>
      </c>
      <c r="AB34" s="51">
        <f t="shared" si="5"/>
        <v>2.3383235896528909E-2</v>
      </c>
      <c r="AC34" s="44">
        <f t="shared" si="6"/>
        <v>1.2864943125198737E-3</v>
      </c>
      <c r="AD34" s="51">
        <f t="shared" si="7"/>
        <v>1.0600000000000003</v>
      </c>
      <c r="AE34" s="72">
        <f t="shared" si="35"/>
        <v>1.1236000000000006</v>
      </c>
      <c r="AF34" s="72">
        <f t="shared" si="1"/>
        <v>1.191016000000001</v>
      </c>
      <c r="AG34" s="44">
        <f t="shared" si="9"/>
        <v>1.1744613110468843E-3</v>
      </c>
      <c r="AH34" s="44">
        <f t="shared" si="10"/>
        <v>-1.1203300147298936E-4</v>
      </c>
      <c r="AI34" s="44"/>
      <c r="AJ34" s="44"/>
      <c r="AK34" s="51"/>
      <c r="AL34" s="51"/>
      <c r="AM34" s="51"/>
      <c r="AN34" s="51"/>
      <c r="AO34" s="51"/>
      <c r="AP34" s="39"/>
      <c r="AQ34" s="58">
        <f t="shared" si="2"/>
        <v>480</v>
      </c>
      <c r="AR34" s="1">
        <v>536.51197052001953</v>
      </c>
      <c r="AS34" s="1">
        <v>5.8389047784415818E-3</v>
      </c>
      <c r="AT34" s="51">
        <f t="shared" si="11"/>
        <v>0.14832309007406508</v>
      </c>
      <c r="AV34" s="56">
        <f t="shared" si="12"/>
        <v>23</v>
      </c>
      <c r="AW34" s="1">
        <v>1.5921835526823997</v>
      </c>
      <c r="AX34" s="1">
        <v>0.45517096430343373</v>
      </c>
      <c r="AY34" s="57">
        <f t="shared" si="13"/>
        <v>7.7801509956794677</v>
      </c>
      <c r="AZ34" s="47">
        <f t="shared" si="23"/>
        <v>2.6870976978571024</v>
      </c>
      <c r="BA34" s="47">
        <f t="shared" si="24"/>
        <v>0.12601048440495877</v>
      </c>
      <c r="BB34" s="57">
        <f t="shared" si="14"/>
        <v>0.71161442929049745</v>
      </c>
      <c r="BC34" s="57">
        <f t="shared" si="15"/>
        <v>3.5623904759208904</v>
      </c>
      <c r="BD34" s="57">
        <f t="shared" si="25"/>
        <v>0.88845365683899613</v>
      </c>
      <c r="BE34" s="57">
        <f t="shared" si="26"/>
        <v>1.9328033719156654</v>
      </c>
      <c r="BL34" s="62">
        <f t="shared" si="16"/>
        <v>77</v>
      </c>
      <c r="BM34" s="63">
        <f t="shared" si="17"/>
        <v>5765</v>
      </c>
      <c r="BN34" s="68">
        <f t="shared" si="18"/>
        <v>87.968261234454872</v>
      </c>
      <c r="BO34" s="1">
        <v>87.913425445556641</v>
      </c>
      <c r="BP34" s="1">
        <v>8.5242309355113097E-3</v>
      </c>
      <c r="BR34" s="1">
        <v>10</v>
      </c>
      <c r="BS34" s="47">
        <v>1.02</v>
      </c>
      <c r="BT34" s="1">
        <v>500</v>
      </c>
      <c r="BU34" s="51">
        <f t="shared" si="31"/>
        <v>-5.483578889823093E-2</v>
      </c>
      <c r="BV34" s="44">
        <f t="shared" si="32"/>
        <v>-6.2335879019004281E-4</v>
      </c>
      <c r="BW34" s="61">
        <f t="shared" si="33"/>
        <v>81.386895860856242</v>
      </c>
    </row>
    <row r="35" spans="3:75" ht="20.100000000000001" customHeight="1" x14ac:dyDescent="0.25">
      <c r="C35" s="2">
        <f t="shared" si="34"/>
        <v>18</v>
      </c>
      <c r="D35">
        <v>4.5777065690089262E-2</v>
      </c>
      <c r="E35" s="2"/>
      <c r="X35" s="56">
        <f t="shared" si="22"/>
        <v>24</v>
      </c>
      <c r="Y35" s="51">
        <f t="shared" si="4"/>
        <v>1.0800000000000003</v>
      </c>
      <c r="Z35" s="51">
        <v>374.50216674804687</v>
      </c>
      <c r="AA35" s="51">
        <v>6.6013009165092366E-3</v>
      </c>
      <c r="AB35" s="51">
        <f t="shared" si="5"/>
        <v>2.7134031343025722E-2</v>
      </c>
      <c r="AC35" s="44">
        <f t="shared" si="6"/>
        <v>1.2489106743852035E-3</v>
      </c>
      <c r="AD35" s="51">
        <f t="shared" si="7"/>
        <v>1.0800000000000003</v>
      </c>
      <c r="AE35" s="72">
        <f t="shared" si="35"/>
        <v>1.1664000000000005</v>
      </c>
      <c r="AF35" s="72">
        <f t="shared" si="1"/>
        <v>1.2597120000000008</v>
      </c>
      <c r="AG35" s="44">
        <f t="shared" si="9"/>
        <v>1.1357066330735036E-3</v>
      </c>
      <c r="AH35" s="44">
        <f t="shared" si="10"/>
        <v>-1.1320404131169993E-4</v>
      </c>
      <c r="AI35" s="44"/>
      <c r="AJ35" s="44"/>
      <c r="AK35" s="51"/>
      <c r="AL35" s="51"/>
      <c r="AM35" s="51"/>
      <c r="AN35" s="51"/>
      <c r="AO35" s="51"/>
      <c r="AP35" s="39"/>
      <c r="AQ35" s="58">
        <f t="shared" si="2"/>
        <v>490</v>
      </c>
      <c r="AR35" s="1">
        <v>537.12756729125977</v>
      </c>
      <c r="AS35" s="1">
        <v>7.536503576922109E-3</v>
      </c>
      <c r="AT35" s="51">
        <f t="shared" si="11"/>
        <v>0.14287209467380713</v>
      </c>
      <c r="AV35" s="56">
        <f t="shared" si="12"/>
        <v>24</v>
      </c>
      <c r="AW35" s="1">
        <v>0.54932481050491333</v>
      </c>
      <c r="AX35" s="1">
        <v>0.96824409754858054</v>
      </c>
      <c r="AY35" s="57">
        <f t="shared" si="13"/>
        <v>6.6910802053450196</v>
      </c>
      <c r="AZ35" s="47">
        <f t="shared" si="23"/>
        <v>3.1492616166124678</v>
      </c>
      <c r="BA35" s="47">
        <f t="shared" si="24"/>
        <v>0.46216391875536544</v>
      </c>
      <c r="BB35" s="57">
        <f t="shared" si="14"/>
        <v>0.24551658058770356</v>
      </c>
      <c r="BC35" s="57">
        <f t="shared" si="15"/>
        <v>1.229072784876396</v>
      </c>
      <c r="BD35" s="57">
        <f t="shared" si="25"/>
        <v>0.46939075603388408</v>
      </c>
      <c r="BE35" s="57">
        <f t="shared" si="26"/>
        <v>0.98197509440099584</v>
      </c>
      <c r="BL35" s="62">
        <f t="shared" si="16"/>
        <v>76</v>
      </c>
      <c r="BM35" s="63">
        <f t="shared" si="17"/>
        <v>5198</v>
      </c>
      <c r="BN35" s="68">
        <f t="shared" si="18"/>
        <v>79.316395819028003</v>
      </c>
      <c r="BO35" s="1">
        <v>78.998340606689453</v>
      </c>
      <c r="BP35" s="1">
        <v>8.514683980552178E-3</v>
      </c>
      <c r="BR35" s="1">
        <v>10</v>
      </c>
      <c r="BS35" s="47">
        <v>0.94899999999999995</v>
      </c>
      <c r="BT35" s="1">
        <v>500</v>
      </c>
      <c r="BU35" s="51">
        <f t="shared" si="31"/>
        <v>-0.31805521233854961</v>
      </c>
      <c r="BV35" s="44">
        <f t="shared" si="32"/>
        <v>-4.0099554329755538E-3</v>
      </c>
      <c r="BW35" s="61">
        <f t="shared" si="33"/>
        <v>81.396629321729876</v>
      </c>
    </row>
    <row r="36" spans="3:75" ht="20.100000000000001" customHeight="1" x14ac:dyDescent="0.25">
      <c r="C36" s="2">
        <f t="shared" si="34"/>
        <v>19</v>
      </c>
      <c r="D36">
        <v>4.5777065690089262E-2</v>
      </c>
      <c r="E36" s="2"/>
      <c r="X36" s="56">
        <f t="shared" si="22"/>
        <v>25</v>
      </c>
      <c r="Y36" s="51">
        <f t="shared" si="4"/>
        <v>1.1000000000000003</v>
      </c>
      <c r="Z36" s="51">
        <v>384.94600677490234</v>
      </c>
      <c r="AA36" s="51">
        <v>5.3307647555565652E-3</v>
      </c>
      <c r="AB36" s="51">
        <f t="shared" si="5"/>
        <v>2.9368535661349338E-2</v>
      </c>
      <c r="AC36" s="44">
        <f t="shared" si="6"/>
        <v>1.2150269009168417E-3</v>
      </c>
      <c r="AD36" s="51">
        <f t="shared" si="7"/>
        <v>1.1000000000000003</v>
      </c>
      <c r="AE36" s="72">
        <f t="shared" si="35"/>
        <v>1.2100000000000006</v>
      </c>
      <c r="AF36" s="72">
        <f t="shared" si="1"/>
        <v>1.3310000000000011</v>
      </c>
      <c r="AG36" s="44">
        <f t="shared" si="9"/>
        <v>1.1012361584669082E-3</v>
      </c>
      <c r="AH36" s="44">
        <f t="shared" si="10"/>
        <v>-1.1379074244993346E-4</v>
      </c>
      <c r="AI36" s="44"/>
      <c r="AJ36" s="44"/>
      <c r="AK36" s="51"/>
      <c r="AL36" s="51"/>
      <c r="AM36" s="51"/>
      <c r="AN36" s="51"/>
      <c r="AO36" s="51"/>
      <c r="AP36" s="39"/>
      <c r="AQ36" s="58">
        <f t="shared" si="2"/>
        <v>500</v>
      </c>
      <c r="AR36" s="1">
        <v>537.6969108581543</v>
      </c>
      <c r="AS36" s="1">
        <v>1.2994473435169403E-2</v>
      </c>
      <c r="AT36" s="51">
        <f t="shared" si="11"/>
        <v>0.12882099367172994</v>
      </c>
      <c r="AV36" s="56">
        <f t="shared" si="12"/>
        <v>25</v>
      </c>
      <c r="AW36" s="1">
        <v>0.4444190226495266</v>
      </c>
      <c r="AX36" s="1">
        <v>1.1354318786619315</v>
      </c>
      <c r="AY36" s="57">
        <f t="shared" si="13"/>
        <v>6.4612588590757323</v>
      </c>
      <c r="AZ36" s="47">
        <f t="shared" si="23"/>
        <v>3.2412981912332617</v>
      </c>
      <c r="BA36" s="47">
        <f t="shared" si="24"/>
        <v>9.2036574620793843E-2</v>
      </c>
      <c r="BB36" s="57">
        <f t="shared" si="14"/>
        <v>0.19862972999298931</v>
      </c>
      <c r="BC36" s="57">
        <f t="shared" si="15"/>
        <v>0.99435400581640798</v>
      </c>
      <c r="BD36" s="57">
        <f t="shared" si="25"/>
        <v>0.38375465332338143</v>
      </c>
      <c r="BE36" s="57">
        <f t="shared" si="26"/>
        <v>0.51880030930060872</v>
      </c>
      <c r="BL36" s="62">
        <f t="shared" si="16"/>
        <v>75</v>
      </c>
      <c r="BM36" s="63">
        <f t="shared" si="17"/>
        <v>4687</v>
      </c>
      <c r="BN36" s="68">
        <f t="shared" si="18"/>
        <v>71.51903562981613</v>
      </c>
      <c r="BO36" s="1">
        <v>152.30315399169922</v>
      </c>
      <c r="BP36" s="1">
        <v>2.4210928714299799E-2</v>
      </c>
      <c r="BR36" s="1">
        <v>11</v>
      </c>
      <c r="BS36" s="47">
        <v>1.8</v>
      </c>
      <c r="BT36" s="1">
        <v>500</v>
      </c>
      <c r="BU36" s="51">
        <f t="shared" si="31"/>
        <v>80.784118361883088</v>
      </c>
      <c r="BV36" s="44">
        <f t="shared" si="32"/>
        <v>1.1295470870164301</v>
      </c>
      <c r="BW36" s="61">
        <f t="shared" si="33"/>
        <v>72.319771020120541</v>
      </c>
    </row>
    <row r="37" spans="3:75" ht="20.100000000000001" customHeight="1" x14ac:dyDescent="0.25">
      <c r="C37" s="2">
        <f t="shared" si="34"/>
        <v>20</v>
      </c>
      <c r="D37">
        <v>4.5777065690089262E-2</v>
      </c>
      <c r="E37" s="2"/>
      <c r="X37" s="56">
        <f t="shared" si="22"/>
        <v>26</v>
      </c>
      <c r="Y37" s="51">
        <f t="shared" si="4"/>
        <v>1.1200000000000003</v>
      </c>
      <c r="Z37" s="51">
        <v>396.40029525756836</v>
      </c>
      <c r="AA37" s="51">
        <v>5.5581975811803365E-3</v>
      </c>
      <c r="AB37" s="51">
        <f t="shared" si="5"/>
        <v>3.4130039680134949E-2</v>
      </c>
      <c r="AC37" s="44">
        <f t="shared" si="6"/>
        <v>1.1799177730887249E-3</v>
      </c>
      <c r="AD37" s="51">
        <f t="shared" si="7"/>
        <v>1.1200000000000003</v>
      </c>
      <c r="AE37" s="72">
        <f t="shared" si="35"/>
        <v>1.2544000000000006</v>
      </c>
      <c r="AF37" s="72">
        <f t="shared" si="1"/>
        <v>1.4049280000000011</v>
      </c>
      <c r="AG37" s="44">
        <f t="shared" si="9"/>
        <v>1.0707855015454591E-3</v>
      </c>
      <c r="AH37" s="44">
        <f t="shared" si="10"/>
        <v>-1.091322715432658E-4</v>
      </c>
      <c r="AI37" s="44"/>
      <c r="AJ37" s="44"/>
      <c r="AK37" s="51"/>
      <c r="AL37" s="51"/>
      <c r="AM37" s="51"/>
      <c r="AN37" s="51"/>
      <c r="AO37" s="51"/>
      <c r="AP37" s="39"/>
      <c r="AQ37" s="58">
        <f t="shared" si="2"/>
        <v>510</v>
      </c>
      <c r="AR37" s="1">
        <v>538.35929870605469</v>
      </c>
      <c r="AS37" s="1">
        <v>4.8448313857033208E-3</v>
      </c>
      <c r="AT37" s="51">
        <f t="shared" si="11"/>
        <v>0.13210931348954791</v>
      </c>
      <c r="AV37" s="56">
        <f t="shared" si="12"/>
        <v>26</v>
      </c>
      <c r="AW37" s="1">
        <v>0.36717022769153118</v>
      </c>
      <c r="AX37" s="1">
        <v>1.0058326608709898</v>
      </c>
      <c r="AY37" s="57">
        <f t="shared" si="13"/>
        <v>6.6361271305758551</v>
      </c>
      <c r="AZ37" s="47">
        <f t="shared" si="23"/>
        <v>3.32422337236315</v>
      </c>
      <c r="BA37" s="47">
        <f t="shared" si="24"/>
        <v>8.2925181129888337E-2</v>
      </c>
      <c r="BB37" s="57">
        <f t="shared" si="14"/>
        <v>0.16410396376157668</v>
      </c>
      <c r="BC37" s="57">
        <f t="shared" si="15"/>
        <v>0.82151566002951237</v>
      </c>
      <c r="BD37" s="57">
        <f t="shared" si="25"/>
        <v>0.31800626445030372</v>
      </c>
      <c r="BE37" s="57">
        <f t="shared" si="26"/>
        <v>0.42414987998900056</v>
      </c>
      <c r="BL37" s="62">
        <f t="shared" si="16"/>
        <v>74</v>
      </c>
      <c r="BM37" s="63">
        <f t="shared" si="17"/>
        <v>4226</v>
      </c>
      <c r="BN37" s="68">
        <f t="shared" si="18"/>
        <v>64.484626535439077</v>
      </c>
      <c r="BO37" s="1">
        <v>63.976310729980469</v>
      </c>
      <c r="BP37" s="1">
        <v>1.1054855528993398E-2</v>
      </c>
      <c r="BR37" s="1">
        <v>11</v>
      </c>
      <c r="BS37" s="47">
        <v>0.88800000000000001</v>
      </c>
      <c r="BT37" s="1">
        <v>500</v>
      </c>
      <c r="BU37" s="51">
        <f t="shared" si="31"/>
        <v>-0.50831580545860788</v>
      </c>
      <c r="BV37" s="44">
        <f t="shared" si="32"/>
        <v>-7.8827440394533266E-3</v>
      </c>
      <c r="BW37" s="61">
        <f t="shared" si="33"/>
        <v>79.128938573005101</v>
      </c>
    </row>
    <row r="38" spans="3:75" ht="20.100000000000001" customHeight="1" x14ac:dyDescent="0.25">
      <c r="C38" s="2">
        <f t="shared" si="34"/>
        <v>21</v>
      </c>
      <c r="D38">
        <v>4.5777065690089262E-2</v>
      </c>
      <c r="E38" s="2"/>
      <c r="X38" s="56">
        <f t="shared" si="22"/>
        <v>27</v>
      </c>
      <c r="Y38" s="51">
        <f t="shared" si="4"/>
        <v>1.1400000000000003</v>
      </c>
      <c r="Z38" s="51">
        <v>407.36677932739258</v>
      </c>
      <c r="AA38" s="51">
        <v>4.75039672057291E-3</v>
      </c>
      <c r="AB38" s="51">
        <f t="shared" si="5"/>
        <v>3.7422413412062427E-2</v>
      </c>
      <c r="AC38" s="44">
        <f t="shared" si="6"/>
        <v>1.148153893167921E-3</v>
      </c>
      <c r="AD38" s="51">
        <f t="shared" si="7"/>
        <v>1.1400000000000003</v>
      </c>
      <c r="AE38" s="72">
        <f t="shared" si="35"/>
        <v>1.2996000000000008</v>
      </c>
      <c r="AF38" s="72">
        <f t="shared" si="1"/>
        <v>1.4815440000000013</v>
      </c>
      <c r="AG38" s="44">
        <f t="shared" si="9"/>
        <v>1.044090276627524E-3</v>
      </c>
      <c r="AH38" s="44">
        <f t="shared" si="10"/>
        <v>-1.0406361654039702E-4</v>
      </c>
      <c r="AI38" s="44"/>
      <c r="AJ38" s="44"/>
      <c r="AK38" s="51"/>
      <c r="AL38" s="51"/>
      <c r="AM38" s="51"/>
      <c r="AN38" s="51"/>
      <c r="AO38" s="51"/>
      <c r="AP38" s="39"/>
      <c r="AQ38" s="58">
        <f t="shared" si="2"/>
        <v>520</v>
      </c>
      <c r="AR38" s="1">
        <v>538.86999130249023</v>
      </c>
      <c r="AS38" s="1">
        <v>9.1785070454888529E-3</v>
      </c>
      <c r="AT38" s="51">
        <f t="shared" si="11"/>
        <v>0.10720896520350909</v>
      </c>
      <c r="AV38" s="56">
        <f t="shared" si="12"/>
        <v>27</v>
      </c>
      <c r="AW38" s="1">
        <v>0.30518043041229248</v>
      </c>
      <c r="AX38" s="1">
        <v>2.6221044327548699</v>
      </c>
      <c r="AY38" s="57">
        <f t="shared" si="13"/>
        <v>5.2536545358488107</v>
      </c>
      <c r="AZ38" s="47">
        <f t="shared" si="23"/>
        <v>3.4045341499897224</v>
      </c>
      <c r="BA38" s="47">
        <f t="shared" si="24"/>
        <v>8.0310777626572349E-2</v>
      </c>
      <c r="BB38" s="57">
        <f t="shared" si="14"/>
        <v>0.13639809144655318</v>
      </c>
      <c r="BC38" s="57">
        <f t="shared" si="15"/>
        <v>0.68281816936658934</v>
      </c>
      <c r="BD38" s="57">
        <f t="shared" si="25"/>
        <v>0.25107930520116867</v>
      </c>
      <c r="BE38" s="57">
        <f t="shared" si="26"/>
        <v>0.35148060807665155</v>
      </c>
      <c r="BL38" s="62">
        <f t="shared" si="16"/>
        <v>73</v>
      </c>
      <c r="BM38" s="63">
        <f t="shared" si="17"/>
        <v>3811</v>
      </c>
      <c r="BN38" s="68">
        <f t="shared" si="18"/>
        <v>58.152132448310063</v>
      </c>
      <c r="BO38" s="1">
        <v>58.151657104492188</v>
      </c>
      <c r="BP38" s="1">
        <v>1.2244791179802095E-2</v>
      </c>
      <c r="BR38" s="1">
        <v>12</v>
      </c>
      <c r="BS38" s="47">
        <v>0.93700000000000006</v>
      </c>
      <c r="BT38" s="1">
        <v>500</v>
      </c>
      <c r="BU38" s="51">
        <f t="shared" si="31"/>
        <v>-4.7534381787528446E-4</v>
      </c>
      <c r="BV38" s="44">
        <f t="shared" si="32"/>
        <v>-8.1741425096426568E-6</v>
      </c>
      <c r="BW38" s="61">
        <f t="shared" si="33"/>
        <v>78.240972336931449</v>
      </c>
    </row>
    <row r="39" spans="3:75" ht="20.100000000000001" customHeight="1" x14ac:dyDescent="0.25">
      <c r="C39" s="2">
        <f t="shared" si="34"/>
        <v>22</v>
      </c>
      <c r="D39">
        <v>4.5777065690089262E-2</v>
      </c>
      <c r="E39" s="2"/>
      <c r="X39" s="56">
        <f t="shared" si="22"/>
        <v>28</v>
      </c>
      <c r="Y39" s="51">
        <f t="shared" si="4"/>
        <v>1.1600000000000004</v>
      </c>
      <c r="Z39" s="51">
        <v>417.57935333251953</v>
      </c>
      <c r="AA39" s="51">
        <v>5.0811557070806392E-3</v>
      </c>
      <c r="AB39" s="51">
        <f t="shared" si="5"/>
        <v>3.8686297683756532E-2</v>
      </c>
      <c r="AC39" s="44">
        <f t="shared" si="6"/>
        <v>1.1200739449863956E-3</v>
      </c>
      <c r="AD39" s="51">
        <f t="shared" si="7"/>
        <v>1.1600000000000004</v>
      </c>
      <c r="AE39" s="72">
        <f t="shared" si="35"/>
        <v>1.3456000000000008</v>
      </c>
      <c r="AF39" s="72">
        <f t="shared" si="1"/>
        <v>1.5608960000000014</v>
      </c>
      <c r="AG39" s="44">
        <f t="shared" si="9"/>
        <v>1.0208860980314635E-3</v>
      </c>
      <c r="AH39" s="44">
        <f t="shared" si="10"/>
        <v>-9.9187846954932116E-5</v>
      </c>
      <c r="AI39" s="44"/>
      <c r="AJ39" s="44"/>
      <c r="AK39" s="51"/>
      <c r="AL39" s="51"/>
      <c r="AM39" s="51"/>
      <c r="AN39" s="51"/>
      <c r="AO39" s="51"/>
      <c r="AP39" s="39"/>
      <c r="AQ39" s="58">
        <f t="shared" si="2"/>
        <v>530</v>
      </c>
      <c r="AR39" s="1">
        <v>539.44028854370117</v>
      </c>
      <c r="AS39" s="1">
        <v>4.8857621349831289E-3</v>
      </c>
      <c r="AT39" s="51">
        <f t="shared" si="11"/>
        <v>9.3427787852395916E-2</v>
      </c>
      <c r="AV39" s="56">
        <f t="shared" si="12"/>
        <v>28</v>
      </c>
      <c r="AW39" s="1">
        <v>0.22888532280921936</v>
      </c>
      <c r="AX39" s="1">
        <v>14.276292814082778</v>
      </c>
      <c r="AY39" s="57">
        <f t="shared" si="13"/>
        <v>2.8085865548923903</v>
      </c>
      <c r="AZ39" s="47">
        <f t="shared" si="23"/>
        <v>3.5294728865980227</v>
      </c>
      <c r="BA39" s="47">
        <f t="shared" si="24"/>
        <v>0.12493873660830035</v>
      </c>
      <c r="BB39" s="57">
        <f t="shared" si="14"/>
        <v>0.10229856858491489</v>
      </c>
      <c r="BC39" s="57">
        <f t="shared" si="15"/>
        <v>0.51211362702494201</v>
      </c>
      <c r="BD39" s="57">
        <f t="shared" si="25"/>
        <v>0.18935275716572347</v>
      </c>
      <c r="BE39" s="57">
        <f t="shared" si="26"/>
        <v>0.2775087057486601</v>
      </c>
      <c r="BL39" s="62">
        <f t="shared" si="16"/>
        <v>72</v>
      </c>
      <c r="BM39" s="63">
        <f t="shared" si="17"/>
        <v>3436</v>
      </c>
      <c r="BN39" s="68">
        <f t="shared" si="18"/>
        <v>52.429999237048904</v>
      </c>
      <c r="BO39" s="1">
        <v>52.400913238525391</v>
      </c>
      <c r="BP39" s="1">
        <v>1.5199388218731739E-2</v>
      </c>
      <c r="BR39" s="1">
        <v>13</v>
      </c>
      <c r="BS39" s="47">
        <v>0.89100000000000001</v>
      </c>
      <c r="BT39" s="1">
        <v>500</v>
      </c>
      <c r="BU39" s="51">
        <f t="shared" si="31"/>
        <v>-2.9085998523513013E-2</v>
      </c>
      <c r="BV39" s="44">
        <f t="shared" si="32"/>
        <v>-5.5475870583188147E-4</v>
      </c>
      <c r="BW39" s="61">
        <f t="shared" si="33"/>
        <v>76.363477844494014</v>
      </c>
    </row>
    <row r="40" spans="3:75" ht="20.100000000000001" customHeight="1" x14ac:dyDescent="0.25">
      <c r="C40" s="2">
        <f t="shared" si="34"/>
        <v>23</v>
      </c>
      <c r="D40">
        <v>4.5777065690089262E-2</v>
      </c>
      <c r="E40" s="2"/>
      <c r="X40" s="56">
        <f t="shared" si="22"/>
        <v>29</v>
      </c>
      <c r="Y40" s="51">
        <f t="shared" si="4"/>
        <v>1.1800000000000004</v>
      </c>
      <c r="Z40" s="51">
        <v>427.91447448730469</v>
      </c>
      <c r="AA40" s="51">
        <v>5.4041922693458949E-3</v>
      </c>
      <c r="AB40" s="51">
        <f t="shared" si="5"/>
        <v>4.019059520735091E-2</v>
      </c>
      <c r="AC40" s="44">
        <f t="shared" si="6"/>
        <v>1.09302157678216E-3</v>
      </c>
      <c r="AD40" s="51">
        <f t="shared" si="7"/>
        <v>1.1800000000000004</v>
      </c>
      <c r="AE40" s="72">
        <f t="shared" si="35"/>
        <v>1.392400000000001</v>
      </c>
      <c r="AF40" s="72">
        <f t="shared" si="1"/>
        <v>1.6430320000000016</v>
      </c>
      <c r="AG40" s="44">
        <f t="shared" si="9"/>
        <v>1.0009085800756351E-3</v>
      </c>
      <c r="AH40" s="44">
        <f t="shared" si="10"/>
        <v>-9.2112996706524919E-5</v>
      </c>
      <c r="AI40" s="44"/>
      <c r="AJ40" s="44"/>
      <c r="AK40" s="51"/>
      <c r="AL40" s="51"/>
      <c r="AM40" s="51"/>
      <c r="AN40" s="51"/>
      <c r="AO40" s="51"/>
      <c r="AP40" s="39"/>
      <c r="AQ40" s="58">
        <f t="shared" si="2"/>
        <v>540</v>
      </c>
      <c r="AR40" s="1">
        <v>540.05302429199219</v>
      </c>
      <c r="AS40" s="1">
        <v>4.2233949729421124E-3</v>
      </c>
      <c r="AT40" s="51">
        <f t="shared" si="11"/>
        <v>8.7544591124522064E-2</v>
      </c>
      <c r="AV40" s="56">
        <f t="shared" si="12"/>
        <v>29</v>
      </c>
      <c r="AW40" s="1">
        <v>0.17357137799263</v>
      </c>
      <c r="AX40" s="1">
        <v>4.2558839058971687</v>
      </c>
      <c r="AY40" s="57">
        <f t="shared" si="13"/>
        <v>4.554851253989268</v>
      </c>
      <c r="AZ40" s="47">
        <f t="shared" si="23"/>
        <v>3.6496127198181734</v>
      </c>
      <c r="BA40" s="47">
        <f t="shared" si="24"/>
        <v>0.12013983322015065</v>
      </c>
      <c r="BB40" s="57">
        <f t="shared" si="14"/>
        <v>7.7576418173205999E-2</v>
      </c>
      <c r="BC40" s="57">
        <f t="shared" si="15"/>
        <v>0.38835285216437038</v>
      </c>
      <c r="BD40" s="57">
        <f t="shared" si="25"/>
        <v>8.4681130106418701E-2</v>
      </c>
      <c r="BE40" s="57">
        <f t="shared" si="26"/>
        <v>0.20928462634106282</v>
      </c>
      <c r="BL40" s="62">
        <f t="shared" si="16"/>
        <v>71</v>
      </c>
      <c r="BM40" s="63">
        <f t="shared" si="17"/>
        <v>3099</v>
      </c>
      <c r="BN40" s="68">
        <f t="shared" si="18"/>
        <v>47.287708857862206</v>
      </c>
      <c r="BO40" s="1">
        <v>47.287708282470703</v>
      </c>
      <c r="BP40" s="1">
        <v>8.0664100464033807E-3</v>
      </c>
      <c r="BR40" s="1">
        <v>14</v>
      </c>
      <c r="BS40" s="47">
        <v>0.94</v>
      </c>
      <c r="BT40" s="1">
        <v>500</v>
      </c>
      <c r="BU40" s="51">
        <f t="shared" si="31"/>
        <v>-5.7539150333241196E-7</v>
      </c>
      <c r="BV40" s="44">
        <f t="shared" si="32"/>
        <v>-1.2167887142311429E-8</v>
      </c>
      <c r="BW40" s="61">
        <f t="shared" si="33"/>
        <v>81.86639409843022</v>
      </c>
    </row>
    <row r="41" spans="3:75" ht="20.100000000000001" customHeight="1" x14ac:dyDescent="0.25">
      <c r="C41" s="2">
        <f t="shared" si="34"/>
        <v>24</v>
      </c>
      <c r="D41">
        <v>4.5777065690089262E-2</v>
      </c>
      <c r="E41" s="2"/>
      <c r="X41" s="56">
        <f t="shared" si="22"/>
        <v>30</v>
      </c>
      <c r="Y41" s="51">
        <f t="shared" si="4"/>
        <v>1.2000000000000004</v>
      </c>
      <c r="Z41" s="51">
        <v>437.78897094726562</v>
      </c>
      <c r="AA41" s="51">
        <v>5.154995066318808E-3</v>
      </c>
      <c r="AB41" s="51">
        <f t="shared" si="5"/>
        <v>4.0533192336412283E-2</v>
      </c>
      <c r="AC41" s="44">
        <f t="shared" si="6"/>
        <v>1.0683680601180855E-3</v>
      </c>
      <c r="AD41" s="51">
        <f t="shared" si="7"/>
        <v>1.2000000000000004</v>
      </c>
      <c r="AE41" s="72">
        <f t="shared" si="35"/>
        <v>1.4400000000000011</v>
      </c>
      <c r="AF41" s="72">
        <f t="shared" si="1"/>
        <v>1.7280000000000018</v>
      </c>
      <c r="AG41" s="44">
        <f t="shared" si="9"/>
        <v>9.8389333707840296E-4</v>
      </c>
      <c r="AH41" s="44">
        <f t="shared" si="10"/>
        <v>-8.4474723039682561E-5</v>
      </c>
      <c r="AI41" s="44"/>
      <c r="AJ41" s="44"/>
      <c r="AK41" s="51"/>
      <c r="AL41" s="51"/>
      <c r="AM41" s="51"/>
      <c r="AN41" s="51"/>
      <c r="AO41" s="51"/>
      <c r="AP41" s="39"/>
      <c r="AQ41" s="58">
        <f t="shared" si="2"/>
        <v>550</v>
      </c>
      <c r="AR41" s="1">
        <v>540.48933029174805</v>
      </c>
      <c r="AS41" s="1">
        <v>8.8289375075032983E-3</v>
      </c>
      <c r="AT41" s="51">
        <f t="shared" si="11"/>
        <v>4.9016822069991584E-2</v>
      </c>
      <c r="AV41" s="56">
        <f t="shared" si="12"/>
        <v>30</v>
      </c>
      <c r="AW41" s="1">
        <v>4.5777067542076111E-2</v>
      </c>
      <c r="AX41" s="1">
        <v>5.8592781142938568</v>
      </c>
      <c r="AY41" s="57">
        <f t="shared" si="13"/>
        <v>4.0935411543006932</v>
      </c>
      <c r="AZ41" s="47">
        <f t="shared" si="23"/>
        <v>4.2284428626600929</v>
      </c>
      <c r="BA41" s="47">
        <f t="shared" si="24"/>
        <v>0.57883014284191958</v>
      </c>
      <c r="BB41" s="57">
        <f t="shared" si="14"/>
        <v>2.0459715048975296E-2</v>
      </c>
      <c r="BC41" s="57">
        <f t="shared" si="15"/>
        <v>0.102422732073033</v>
      </c>
      <c r="BD41" s="57">
        <f t="shared" si="25"/>
        <v>4.3488214164972297E-2</v>
      </c>
      <c r="BE41" s="57">
        <f t="shared" si="26"/>
        <v>9.3594933275515407E-2</v>
      </c>
      <c r="BL41" s="62">
        <f t="shared" si="16"/>
        <v>70</v>
      </c>
      <c r="BM41" s="63">
        <f t="shared" si="17"/>
        <v>2794</v>
      </c>
      <c r="BN41" s="68">
        <f t="shared" si="18"/>
        <v>42.6337071793698</v>
      </c>
      <c r="BO41" s="1">
        <v>42.587451934814453</v>
      </c>
      <c r="BP41" s="1">
        <v>6.2331016819197702E-3</v>
      </c>
      <c r="BR41" s="1">
        <v>15</v>
      </c>
      <c r="BS41" s="47">
        <v>0.99399999999999999</v>
      </c>
      <c r="BT41" s="1">
        <v>500</v>
      </c>
      <c r="BU41" s="51">
        <f t="shared" si="31"/>
        <v>-4.6255244555347019E-2</v>
      </c>
      <c r="BV41" s="44">
        <f t="shared" si="32"/>
        <v>-1.0849454015514626E-3</v>
      </c>
      <c r="BW41" s="61">
        <f t="shared" si="33"/>
        <v>84.105915766230396</v>
      </c>
    </row>
    <row r="42" spans="3:75" ht="20.100000000000001" customHeight="1" x14ac:dyDescent="0.25">
      <c r="C42" s="2">
        <f t="shared" si="34"/>
        <v>25</v>
      </c>
      <c r="D42">
        <v>4.5777065690089262E-2</v>
      </c>
      <c r="E42" s="2"/>
      <c r="X42" s="56">
        <f t="shared" si="22"/>
        <v>31</v>
      </c>
      <c r="Y42" s="51">
        <f t="shared" si="4"/>
        <v>1.2200000000000004</v>
      </c>
      <c r="Z42" s="51">
        <v>446.83612442016602</v>
      </c>
      <c r="AA42" s="51">
        <v>1.2542874946417589E-2</v>
      </c>
      <c r="AB42" s="51">
        <f t="shared" si="5"/>
        <v>3.8937234061646953E-2</v>
      </c>
      <c r="AC42" s="44">
        <f t="shared" si="6"/>
        <v>1.0467366626611861E-3</v>
      </c>
      <c r="AD42" s="51">
        <f t="shared" si="7"/>
        <v>1.2200000000000004</v>
      </c>
      <c r="AE42" s="72">
        <f t="shared" si="35"/>
        <v>1.4884000000000011</v>
      </c>
      <c r="AF42" s="72">
        <f t="shared" si="1"/>
        <v>1.8158480000000019</v>
      </c>
      <c r="AG42" s="44">
        <f t="shared" si="9"/>
        <v>9.6957598335813133E-4</v>
      </c>
      <c r="AH42" s="44">
        <f t="shared" si="10"/>
        <v>-7.7160679303054725E-5</v>
      </c>
      <c r="AI42" s="44"/>
      <c r="AJ42" s="44"/>
      <c r="AK42" s="51"/>
      <c r="AL42" s="51"/>
      <c r="AM42" s="51"/>
      <c r="AN42" s="51"/>
      <c r="AO42" s="51"/>
      <c r="AP42" s="39"/>
      <c r="AQ42" s="58">
        <f t="shared" si="2"/>
        <v>560</v>
      </c>
      <c r="AR42" s="1">
        <v>541.153564453125</v>
      </c>
      <c r="AS42" s="1">
        <v>3.4533864092401671E-3</v>
      </c>
      <c r="AT42" s="51">
        <f t="shared" si="11"/>
        <v>5.2721933033295088E-2</v>
      </c>
      <c r="AV42" s="56">
        <f t="shared" si="12"/>
        <v>31</v>
      </c>
      <c r="AW42" s="1">
        <v>4.5777067542076111E-2</v>
      </c>
      <c r="AX42" s="1">
        <v>5.8592781142938568</v>
      </c>
      <c r="AY42" s="57">
        <f t="shared" si="13"/>
        <v>4.0935411543006932</v>
      </c>
      <c r="AZ42" s="47">
        <f t="shared" si="23"/>
        <v>4.2284428626600929</v>
      </c>
      <c r="BA42" s="47">
        <f t="shared" si="24"/>
        <v>0</v>
      </c>
      <c r="BB42" s="57">
        <f t="shared" si="14"/>
        <v>2.0459715048975296E-2</v>
      </c>
      <c r="BC42" s="57">
        <f t="shared" si="15"/>
        <v>0.102422732073033</v>
      </c>
      <c r="BD42" s="57"/>
      <c r="BE42" s="57">
        <f t="shared" si="26"/>
        <v>4.8065920919179911E-2</v>
      </c>
      <c r="BL42" s="62">
        <f t="shared" si="16"/>
        <v>69</v>
      </c>
      <c r="BM42" s="63">
        <f t="shared" si="17"/>
        <v>2519</v>
      </c>
      <c r="BN42" s="68">
        <f t="shared" si="18"/>
        <v>38.437476157778285</v>
      </c>
      <c r="BO42" s="1">
        <v>38.086517333984375</v>
      </c>
      <c r="BP42" s="1">
        <v>2.0488362207654576</v>
      </c>
      <c r="BR42" s="1">
        <v>15</v>
      </c>
      <c r="BS42" s="47">
        <v>0.92800000000000005</v>
      </c>
      <c r="BT42" s="1">
        <v>500</v>
      </c>
      <c r="BU42" s="51">
        <f t="shared" si="31"/>
        <v>-0.35095882379390986</v>
      </c>
      <c r="BV42" s="44">
        <f t="shared" si="32"/>
        <v>-9.13064172978717E-3</v>
      </c>
      <c r="BW42" s="61">
        <f t="shared" si="33"/>
        <v>33.769855134178705</v>
      </c>
    </row>
    <row r="43" spans="3:75" ht="20.100000000000001" customHeight="1" x14ac:dyDescent="0.25">
      <c r="C43" s="2">
        <f t="shared" si="34"/>
        <v>26</v>
      </c>
      <c r="D43">
        <v>1.5259021896696421E-2</v>
      </c>
      <c r="E43" s="2"/>
      <c r="X43" s="56">
        <f t="shared" si="22"/>
        <v>32</v>
      </c>
      <c r="Y43" s="51">
        <f t="shared" si="4"/>
        <v>1.2400000000000004</v>
      </c>
      <c r="Z43" s="51">
        <v>457.22897338867187</v>
      </c>
      <c r="AA43" s="51">
        <v>1.2514613291520087E-2</v>
      </c>
      <c r="AB43" s="51">
        <f t="shared" si="5"/>
        <v>4.0471490067103044E-2</v>
      </c>
      <c r="AC43" s="44">
        <f t="shared" si="6"/>
        <v>1.0229442595590579E-3</v>
      </c>
      <c r="AD43" s="51">
        <f t="shared" si="7"/>
        <v>1.2400000000000004</v>
      </c>
      <c r="AE43" s="72">
        <f t="shared" si="35"/>
        <v>1.5376000000000012</v>
      </c>
      <c r="AF43" s="72">
        <f t="shared" si="1"/>
        <v>1.9066240000000021</v>
      </c>
      <c r="AG43" s="44">
        <f t="shared" si="9"/>
        <v>9.5769213323317753E-4</v>
      </c>
      <c r="AH43" s="44">
        <f t="shared" si="10"/>
        <v>-6.525212632588033E-5</v>
      </c>
      <c r="AI43" s="44"/>
      <c r="AJ43" s="44"/>
      <c r="AK43" s="51"/>
      <c r="AL43" s="51"/>
      <c r="AM43" s="51"/>
      <c r="AN43" s="51"/>
      <c r="AO43" s="51"/>
      <c r="AP43" s="39"/>
      <c r="AQ43" s="58">
        <f t="shared" ref="AQ43:AQ61" si="36">AQ$6*X43+AQ$7</f>
        <v>570</v>
      </c>
      <c r="AR43" s="1">
        <v>541.58987045288086</v>
      </c>
      <c r="AS43" s="1">
        <v>5.0477682787353952E-3</v>
      </c>
      <c r="AT43" s="51">
        <f t="shared" si="11"/>
        <v>1.4327191424245989E-2</v>
      </c>
      <c r="AV43" s="56"/>
      <c r="AZ43" s="47"/>
      <c r="BA43" s="47"/>
      <c r="BL43" s="62">
        <f t="shared" si="16"/>
        <v>68</v>
      </c>
      <c r="BM43" s="63">
        <f t="shared" si="17"/>
        <v>2272</v>
      </c>
      <c r="BN43" s="68">
        <f t="shared" si="18"/>
        <v>34.668497749294268</v>
      </c>
      <c r="BO43" s="1">
        <v>34.804874420166016</v>
      </c>
      <c r="BP43" s="1">
        <v>1.0611383933140971E-2</v>
      </c>
      <c r="BR43" s="1">
        <v>15</v>
      </c>
      <c r="BS43" s="47">
        <v>0.879</v>
      </c>
      <c r="BT43" s="1">
        <v>500</v>
      </c>
      <c r="BU43" s="51">
        <f t="shared" si="31"/>
        <v>0.13637667087174776</v>
      </c>
      <c r="BV43" s="44">
        <f t="shared" si="32"/>
        <v>3.9337346503434123E-3</v>
      </c>
      <c r="BW43" s="61">
        <f t="shared" si="33"/>
        <v>79.4845594372769</v>
      </c>
    </row>
    <row r="44" spans="3:75" ht="20.100000000000001" customHeight="1" x14ac:dyDescent="0.25">
      <c r="C44" s="2">
        <f t="shared" si="34"/>
        <v>27</v>
      </c>
      <c r="D44">
        <v>1.5259021896696421E-2</v>
      </c>
      <c r="E44" s="2"/>
      <c r="X44" s="56">
        <f t="shared" si="22"/>
        <v>33</v>
      </c>
      <c r="Y44" s="51">
        <f t="shared" si="4"/>
        <v>1.2600000000000005</v>
      </c>
      <c r="Z44" s="51">
        <v>466.74342727661133</v>
      </c>
      <c r="AA44" s="51">
        <v>4.2847302770622746E-3</v>
      </c>
      <c r="AB44" s="51">
        <f t="shared" si="5"/>
        <v>3.9984573257573208E-2</v>
      </c>
      <c r="AC44" s="44">
        <f t="shared" si="6"/>
        <v>1.0020917838331619E-3</v>
      </c>
      <c r="AD44" s="51">
        <f t="shared" si="7"/>
        <v>1.2600000000000005</v>
      </c>
      <c r="AE44" s="72">
        <f t="shared" si="35"/>
        <v>1.5876000000000012</v>
      </c>
      <c r="AF44" s="72">
        <f t="shared" si="1"/>
        <v>2.0003760000000024</v>
      </c>
      <c r="AG44" s="44">
        <f t="shared" si="9"/>
        <v>9.4797740102191275E-4</v>
      </c>
      <c r="AH44" s="44">
        <f t="shared" si="10"/>
        <v>-5.4114382811249135E-5</v>
      </c>
      <c r="AI44" s="44"/>
      <c r="AJ44" s="44"/>
      <c r="AK44" s="51"/>
      <c r="AL44" s="51"/>
      <c r="AM44" s="51"/>
      <c r="AN44" s="51"/>
      <c r="AO44" s="51"/>
      <c r="AP44" s="39"/>
      <c r="AQ44" s="58">
        <f t="shared" si="36"/>
        <v>580</v>
      </c>
      <c r="AR44" s="1">
        <v>542.16547393798828</v>
      </c>
      <c r="AS44" s="1">
        <v>4.4742512652088395E-3</v>
      </c>
      <c r="AT44" s="51">
        <f t="shared" si="11"/>
        <v>1.7168870999340058E-3</v>
      </c>
      <c r="AV44" s="56"/>
      <c r="AZ44" s="47"/>
      <c r="BA44" s="47"/>
      <c r="BL44" s="62">
        <f t="shared" si="16"/>
        <v>67</v>
      </c>
      <c r="BM44" s="63">
        <f t="shared" si="17"/>
        <v>2049</v>
      </c>
      <c r="BN44" s="68">
        <f t="shared" si="18"/>
        <v>31.265735866330967</v>
      </c>
      <c r="BO44" s="1">
        <v>31.7945556640625</v>
      </c>
      <c r="BP44" s="1">
        <v>2.2793687400560283E-2</v>
      </c>
      <c r="BR44" s="1">
        <v>16</v>
      </c>
      <c r="BS44" s="47">
        <v>1</v>
      </c>
      <c r="BT44" s="1">
        <v>500</v>
      </c>
      <c r="BU44" s="51">
        <f t="shared" si="31"/>
        <v>0.52881979773153276</v>
      </c>
      <c r="BV44" s="44">
        <f t="shared" si="32"/>
        <v>1.6913716663902401E-2</v>
      </c>
      <c r="BW44" s="61">
        <f t="shared" si="33"/>
        <v>72.843708241301727</v>
      </c>
    </row>
    <row r="45" spans="3:75" ht="20.100000000000001" customHeight="1" x14ac:dyDescent="0.25">
      <c r="C45" s="2">
        <f t="shared" si="34"/>
        <v>28</v>
      </c>
      <c r="D45">
        <v>3.0518043793392843E-2</v>
      </c>
      <c r="E45" s="2"/>
      <c r="X45" s="56">
        <f t="shared" si="22"/>
        <v>34</v>
      </c>
      <c r="Y45" s="51">
        <f t="shared" si="4"/>
        <v>1.2800000000000005</v>
      </c>
      <c r="Z45" s="51">
        <v>475.92269515991211</v>
      </c>
      <c r="AA45" s="51">
        <v>6.4551967921443552E-3</v>
      </c>
      <c r="AB45" s="51">
        <f t="shared" si="5"/>
        <v>3.8785936747482319E-2</v>
      </c>
      <c r="AC45" s="44">
        <f t="shared" si="6"/>
        <v>9.8276413036967524E-4</v>
      </c>
      <c r="AD45" s="51">
        <f t="shared" si="7"/>
        <v>1.2800000000000005</v>
      </c>
      <c r="AE45" s="72">
        <f t="shared" si="35"/>
        <v>1.6384000000000012</v>
      </c>
      <c r="AF45" s="72">
        <f t="shared" si="1"/>
        <v>2.0971520000000021</v>
      </c>
      <c r="AG45" s="44">
        <f t="shared" si="9"/>
        <v>9.4016740104269775E-4</v>
      </c>
      <c r="AH45" s="44">
        <f t="shared" si="10"/>
        <v>-4.2596729326977497E-5</v>
      </c>
      <c r="AI45" s="44"/>
      <c r="AJ45" s="44"/>
      <c r="AK45" s="51"/>
      <c r="AL45" s="51"/>
      <c r="AM45" s="51"/>
      <c r="AN45" s="51"/>
      <c r="AO45" s="51"/>
      <c r="AP45" s="39"/>
      <c r="AQ45" s="58">
        <f t="shared" si="36"/>
        <v>590</v>
      </c>
      <c r="AR45" s="1">
        <v>542.73577117919922</v>
      </c>
      <c r="AS45" s="1">
        <v>4.0030896764952518E-3</v>
      </c>
      <c r="AT45" s="51">
        <f t="shared" si="11"/>
        <v>-1.1841068906048857E-2</v>
      </c>
      <c r="AV45" s="56"/>
      <c r="AZ45" s="47"/>
      <c r="BA45" s="47"/>
      <c r="BL45" s="62">
        <f t="shared" si="16"/>
        <v>66</v>
      </c>
      <c r="BM45" s="63">
        <f t="shared" si="17"/>
        <v>1847</v>
      </c>
      <c r="BN45" s="68">
        <f t="shared" si="18"/>
        <v>28.18341344319829</v>
      </c>
      <c r="BO45" s="1">
        <v>28.236343383789062</v>
      </c>
      <c r="BP45" s="1">
        <v>2.6966452355162481E-2</v>
      </c>
      <c r="BR45" s="1">
        <v>16</v>
      </c>
      <c r="BS45" s="47">
        <v>0.92300000000000004</v>
      </c>
      <c r="BT45" s="1">
        <v>500</v>
      </c>
      <c r="BU45" s="51">
        <f t="shared" si="31"/>
        <v>5.2929940590772162E-2</v>
      </c>
      <c r="BV45" s="44">
        <f t="shared" si="32"/>
        <v>1.8780528731003887E-3</v>
      </c>
      <c r="BW45" s="61">
        <f t="shared" si="33"/>
        <v>71.383523691571924</v>
      </c>
    </row>
    <row r="46" spans="3:75" ht="20.100000000000001" customHeight="1" x14ac:dyDescent="0.25">
      <c r="C46" s="2">
        <f t="shared" si="34"/>
        <v>29</v>
      </c>
      <c r="D46">
        <v>4.5777065690089262E-2</v>
      </c>
      <c r="E46" s="2"/>
      <c r="X46" s="56">
        <f t="shared" si="22"/>
        <v>35</v>
      </c>
      <c r="Y46" s="51">
        <f t="shared" si="4"/>
        <v>1.3000000000000005</v>
      </c>
      <c r="Z46" s="51">
        <v>484.43149948120117</v>
      </c>
      <c r="AA46" s="51">
        <v>5.553353389232317E-3</v>
      </c>
      <c r="AB46" s="51">
        <f t="shared" si="5"/>
        <v>3.6201142939594755E-2</v>
      </c>
      <c r="AC46" s="44">
        <f t="shared" si="6"/>
        <v>9.6550235509648859E-4</v>
      </c>
      <c r="AD46" s="51">
        <f t="shared" si="7"/>
        <v>1.3000000000000005</v>
      </c>
      <c r="AE46" s="72">
        <f t="shared" si="35"/>
        <v>1.6900000000000013</v>
      </c>
      <c r="AF46" s="72">
        <f t="shared" si="1"/>
        <v>2.1970000000000023</v>
      </c>
      <c r="AG46" s="44">
        <f t="shared" si="9"/>
        <v>9.3399774761388638E-4</v>
      </c>
      <c r="AH46" s="44">
        <f t="shared" si="10"/>
        <v>-3.1504607482602215E-5</v>
      </c>
      <c r="AI46" s="44"/>
      <c r="AJ46" s="44"/>
      <c r="AK46" s="51"/>
      <c r="AL46" s="51"/>
      <c r="AM46" s="51"/>
      <c r="AN46" s="51"/>
      <c r="AO46" s="51"/>
      <c r="AP46" s="39"/>
      <c r="AQ46" s="58">
        <f t="shared" si="36"/>
        <v>600</v>
      </c>
      <c r="AR46" s="1">
        <v>543.26124572753906</v>
      </c>
      <c r="AS46" s="1">
        <v>5.8222078320391227E-3</v>
      </c>
      <c r="AT46" s="51">
        <f t="shared" si="11"/>
        <v>-3.3614794259184677E-2</v>
      </c>
      <c r="AV46" s="56"/>
      <c r="AZ46" s="47"/>
      <c r="BA46" s="47"/>
      <c r="BL46" s="62">
        <f t="shared" si="16"/>
        <v>65</v>
      </c>
      <c r="BM46" s="63">
        <f t="shared" si="17"/>
        <v>1666</v>
      </c>
      <c r="BN46" s="68">
        <f t="shared" si="18"/>
        <v>25.421530479896237</v>
      </c>
      <c r="BO46" s="1">
        <v>25.335222244262695</v>
      </c>
      <c r="BP46" s="1">
        <v>2.8605044623615641E-2</v>
      </c>
      <c r="BR46" s="1">
        <v>16</v>
      </c>
      <c r="BS46" s="47">
        <v>0.86499999999999999</v>
      </c>
      <c r="BT46" s="1">
        <v>500</v>
      </c>
      <c r="BU46" s="51">
        <f t="shared" si="31"/>
        <v>-8.6308235633541841E-2</v>
      </c>
      <c r="BV46" s="44">
        <f t="shared" si="32"/>
        <v>-3.3950841670132847E-3</v>
      </c>
      <c r="BW46" s="61">
        <f t="shared" si="33"/>
        <v>70.871147408044976</v>
      </c>
    </row>
    <row r="47" spans="3:75" ht="20.100000000000001" customHeight="1" x14ac:dyDescent="0.25">
      <c r="C47" s="2">
        <f t="shared" si="34"/>
        <v>30</v>
      </c>
      <c r="D47">
        <v>4.5777065690089262E-2</v>
      </c>
      <c r="E47" s="2"/>
      <c r="X47" s="56">
        <f t="shared" si="22"/>
        <v>36</v>
      </c>
      <c r="Y47" s="51">
        <f t="shared" si="4"/>
        <v>1.3200000000000005</v>
      </c>
      <c r="Z47" s="51">
        <v>492.4014778137207</v>
      </c>
      <c r="AA47" s="51">
        <v>1.4451751950744459E-2</v>
      </c>
      <c r="AB47" s="51">
        <f t="shared" si="5"/>
        <v>3.2587816692858151E-2</v>
      </c>
      <c r="AC47" s="44">
        <f t="shared" si="6"/>
        <v>9.4987479669783831E-4</v>
      </c>
      <c r="AD47" s="51">
        <f t="shared" si="7"/>
        <v>1.3200000000000005</v>
      </c>
      <c r="AE47" s="72">
        <f t="shared" si="35"/>
        <v>1.7424000000000013</v>
      </c>
      <c r="AF47" s="72">
        <f t="shared" si="1"/>
        <v>2.2999680000000025</v>
      </c>
      <c r="AG47" s="44">
        <f t="shared" si="9"/>
        <v>9.2920405505385328E-4</v>
      </c>
      <c r="AH47" s="44">
        <f t="shared" si="10"/>
        <v>-2.0670741643985025E-5</v>
      </c>
      <c r="AI47" s="44"/>
      <c r="AJ47" s="44"/>
      <c r="AK47" s="51"/>
      <c r="AL47" s="51"/>
      <c r="AM47" s="51"/>
      <c r="AN47" s="51"/>
      <c r="AO47" s="51"/>
      <c r="AP47" s="39"/>
      <c r="AQ47" s="58">
        <f t="shared" si="36"/>
        <v>610</v>
      </c>
      <c r="AR47" s="1">
        <v>543.79768753051758</v>
      </c>
      <c r="AS47" s="1">
        <v>3.3447543811631294E-3</v>
      </c>
      <c r="AT47" s="51">
        <f t="shared" si="11"/>
        <v>-5.3321271019468597E-2</v>
      </c>
      <c r="AW47" s="1">
        <v>284.83348608016968</v>
      </c>
      <c r="AX47" s="1">
        <v>72.300148510109466</v>
      </c>
      <c r="BL47" s="62">
        <f t="shared" si="16"/>
        <v>64</v>
      </c>
      <c r="BM47" s="63">
        <f t="shared" si="17"/>
        <v>1502</v>
      </c>
      <c r="BN47" s="68">
        <f t="shared" si="18"/>
        <v>22.919050888838026</v>
      </c>
      <c r="BO47" s="1">
        <v>22.873750686645508</v>
      </c>
      <c r="BP47" s="1">
        <v>1.1605088879149926E-2</v>
      </c>
      <c r="BR47" s="1">
        <v>17</v>
      </c>
      <c r="BS47" s="47">
        <v>0.97099999999999997</v>
      </c>
      <c r="BT47" s="1">
        <v>500</v>
      </c>
      <c r="BU47" s="51">
        <f t="shared" si="31"/>
        <v>-4.5300202192517958E-2</v>
      </c>
      <c r="BV47" s="44">
        <f t="shared" si="32"/>
        <v>-1.9765304598446942E-3</v>
      </c>
      <c r="BW47" s="61">
        <f t="shared" si="33"/>
        <v>78.707030581840613</v>
      </c>
    </row>
    <row r="48" spans="3:75" ht="20.100000000000001" customHeight="1" x14ac:dyDescent="0.25">
      <c r="C48" s="2">
        <f t="shared" si="34"/>
        <v>31</v>
      </c>
      <c r="D48" s="1">
        <v>4.5777065690089262E-2</v>
      </c>
      <c r="E48" s="2"/>
      <c r="X48" s="56">
        <f t="shared" si="22"/>
        <v>37</v>
      </c>
      <c r="Y48" s="51">
        <f t="shared" si="4"/>
        <v>1.3400000000000005</v>
      </c>
      <c r="Z48" s="51">
        <v>502.65505981445312</v>
      </c>
      <c r="AA48" s="51">
        <v>8.5860758878206055E-3</v>
      </c>
      <c r="AB48" s="51">
        <f t="shared" si="5"/>
        <v>3.3810210902262217E-2</v>
      </c>
      <c r="AC48" s="44">
        <f t="shared" si="6"/>
        <v>9.3049844918436546E-4</v>
      </c>
      <c r="AD48" s="51">
        <f t="shared" si="7"/>
        <v>1.3400000000000005</v>
      </c>
      <c r="AE48" s="72">
        <f t="shared" si="35"/>
        <v>1.7956000000000014</v>
      </c>
      <c r="AF48" s="72">
        <f t="shared" si="1"/>
        <v>2.4061040000000027</v>
      </c>
      <c r="AG48" s="44">
        <f t="shared" si="9"/>
        <v>9.2552193768094537E-4</v>
      </c>
      <c r="AH48" s="44">
        <f t="shared" si="10"/>
        <v>-4.9765115034200924E-6</v>
      </c>
      <c r="AI48" s="44"/>
      <c r="AJ48" s="44"/>
      <c r="AK48" s="51"/>
      <c r="AL48" s="51"/>
      <c r="AM48" s="51"/>
      <c r="AN48" s="51"/>
      <c r="AO48" s="51"/>
      <c r="AP48" s="39"/>
      <c r="AQ48" s="58">
        <f t="shared" si="36"/>
        <v>620</v>
      </c>
      <c r="AR48" s="1">
        <v>544.35177230834961</v>
      </c>
      <c r="AS48" s="1">
        <v>6.9146360399503582E-3</v>
      </c>
      <c r="AT48" s="51">
        <f t="shared" si="11"/>
        <v>-6.9742323574339959E-2</v>
      </c>
      <c r="BL48" s="62">
        <f t="shared" si="16"/>
        <v>63</v>
      </c>
      <c r="BM48" s="63">
        <f t="shared" si="17"/>
        <v>1354</v>
      </c>
      <c r="BN48" s="68">
        <f t="shared" si="18"/>
        <v>20.660715648126953</v>
      </c>
      <c r="BO48" s="1">
        <v>20.620660781860352</v>
      </c>
      <c r="BP48" s="1">
        <v>3.5823228922293247E-2</v>
      </c>
      <c r="BR48" s="1">
        <v>17</v>
      </c>
      <c r="BS48" s="47">
        <v>0.91100000000000003</v>
      </c>
      <c r="BT48" s="1">
        <v>500</v>
      </c>
      <c r="BU48" s="51">
        <f t="shared" si="31"/>
        <v>-4.0054866266601152E-2</v>
      </c>
      <c r="BV48" s="44">
        <f t="shared" si="32"/>
        <v>-1.9386969429702194E-3</v>
      </c>
      <c r="BW48" s="61">
        <f t="shared" si="33"/>
        <v>68.916705432869648</v>
      </c>
    </row>
    <row r="49" spans="3:75" ht="20.100000000000001" customHeight="1" x14ac:dyDescent="0.25">
      <c r="C49" s="60">
        <f t="shared" si="34"/>
        <v>32</v>
      </c>
      <c r="X49" s="56">
        <f t="shared" si="22"/>
        <v>38</v>
      </c>
      <c r="Y49" s="51">
        <f t="shared" si="4"/>
        <v>1.3600000000000005</v>
      </c>
      <c r="Z49" s="51">
        <v>511.96688842773437</v>
      </c>
      <c r="AA49" s="51">
        <v>6.1893097926603736E-3</v>
      </c>
      <c r="AB49" s="51">
        <f t="shared" si="5"/>
        <v>3.3086114916744735E-2</v>
      </c>
      <c r="AC49" s="44">
        <f t="shared" si="6"/>
        <v>9.1357422560744983E-4</v>
      </c>
      <c r="AD49" s="51">
        <f t="shared" si="7"/>
        <v>1.3600000000000005</v>
      </c>
      <c r="AE49" s="72">
        <f t="shared" si="35"/>
        <v>1.8496000000000015</v>
      </c>
      <c r="AF49" s="72">
        <f t="shared" si="1"/>
        <v>2.515456000000003</v>
      </c>
      <c r="AG49" s="44">
        <f t="shared" si="9"/>
        <v>9.226870098135373E-4</v>
      </c>
      <c r="AH49" s="44">
        <f t="shared" si="10"/>
        <v>9.1127842060874679E-6</v>
      </c>
      <c r="AI49" s="44"/>
      <c r="AJ49" s="44"/>
      <c r="AK49" s="51"/>
      <c r="AL49" s="51"/>
      <c r="AM49" s="51"/>
      <c r="AN49" s="51"/>
      <c r="AO49" s="51"/>
      <c r="AP49" s="39"/>
      <c r="AQ49" s="58">
        <f t="shared" si="36"/>
        <v>630</v>
      </c>
      <c r="AR49" s="1">
        <v>544.92350006103516</v>
      </c>
      <c r="AS49" s="1">
        <v>4.9962407088826434E-3</v>
      </c>
      <c r="AT49" s="51">
        <f t="shared" si="11"/>
        <v>-8.2889588390877567E-2</v>
      </c>
      <c r="BL49" s="62">
        <f t="shared" si="16"/>
        <v>62</v>
      </c>
      <c r="BM49" s="63">
        <f t="shared" si="17"/>
        <v>1221</v>
      </c>
      <c r="BN49" s="68">
        <f t="shared" si="18"/>
        <v>18.631265735866329</v>
      </c>
      <c r="BO49" s="1">
        <v>18.660829544067383</v>
      </c>
      <c r="BP49" s="1">
        <v>1.9791610988598149E-2</v>
      </c>
      <c r="BR49" s="1">
        <v>17</v>
      </c>
      <c r="BS49" s="47">
        <v>0.85799999999999998</v>
      </c>
      <c r="BT49" s="1">
        <v>500</v>
      </c>
      <c r="BU49" s="51">
        <f t="shared" si="31"/>
        <v>2.9563808201054087E-2</v>
      </c>
      <c r="BV49" s="44">
        <f t="shared" si="32"/>
        <v>1.5867847423882697E-3</v>
      </c>
      <c r="BW49" s="61">
        <f t="shared" si="33"/>
        <v>74.070377076980535</v>
      </c>
    </row>
    <row r="50" spans="3:75" ht="20.100000000000001" customHeight="1" x14ac:dyDescent="0.25">
      <c r="C50" s="60">
        <f t="shared" si="34"/>
        <v>33</v>
      </c>
      <c r="X50" s="56">
        <f t="shared" si="22"/>
        <v>39</v>
      </c>
      <c r="Y50" s="51">
        <f t="shared" si="4"/>
        <v>1.3800000000000006</v>
      </c>
      <c r="Z50" s="51">
        <v>517.98894119262695</v>
      </c>
      <c r="AA50" s="51">
        <v>7.0621176921854042E-3</v>
      </c>
      <c r="AB50" s="51">
        <f t="shared" si="5"/>
        <v>2.5873470560849654E-2</v>
      </c>
      <c r="AC50" s="44">
        <f t="shared" si="6"/>
        <v>9.0295316451184616E-4</v>
      </c>
      <c r="AD50" s="51">
        <f t="shared" si="7"/>
        <v>1.3800000000000006</v>
      </c>
      <c r="AE50" s="72">
        <f t="shared" si="35"/>
        <v>1.9044000000000016</v>
      </c>
      <c r="AF50" s="72">
        <f t="shared" si="1"/>
        <v>2.6280720000000035</v>
      </c>
      <c r="AG50" s="44">
        <f t="shared" si="9"/>
        <v>9.204348857699933E-4</v>
      </c>
      <c r="AH50" s="44">
        <f t="shared" si="10"/>
        <v>1.7481721258147138E-5</v>
      </c>
      <c r="AI50" s="44"/>
      <c r="AJ50" s="44"/>
      <c r="AK50" s="51"/>
      <c r="AL50" s="51"/>
      <c r="AM50" s="51"/>
      <c r="AN50" s="51"/>
      <c r="AO50" s="51"/>
      <c r="AP50" s="39"/>
      <c r="AQ50" s="58">
        <f t="shared" si="36"/>
        <v>640</v>
      </c>
      <c r="AR50" s="1">
        <v>545.46709442138672</v>
      </c>
      <c r="AS50" s="1">
        <v>6.3110807631877441E-3</v>
      </c>
      <c r="AT50" s="51">
        <f t="shared" si="11"/>
        <v>-0.10115829861242487</v>
      </c>
      <c r="BL50" s="62">
        <f t="shared" si="16"/>
        <v>61</v>
      </c>
      <c r="BM50" s="63">
        <f t="shared" si="17"/>
        <v>1101</v>
      </c>
      <c r="BN50" s="68">
        <f t="shared" si="18"/>
        <v>16.800183108262761</v>
      </c>
      <c r="BO50" s="1">
        <v>17.013809204101563</v>
      </c>
      <c r="BP50" s="1">
        <v>0.21855224878995713</v>
      </c>
      <c r="BR50" s="1">
        <v>17</v>
      </c>
      <c r="BS50" s="47">
        <v>0.81200000000000006</v>
      </c>
      <c r="BT50" s="1">
        <v>500</v>
      </c>
      <c r="BU50" s="51">
        <f t="shared" si="31"/>
        <v>0.21362609583880143</v>
      </c>
      <c r="BV50" s="44">
        <f t="shared" si="32"/>
        <v>1.2715700445772748E-2</v>
      </c>
      <c r="BW50" s="61">
        <f t="shared" si="33"/>
        <v>53.208894409700733</v>
      </c>
    </row>
    <row r="51" spans="3:75" ht="20.100000000000001" customHeight="1" x14ac:dyDescent="0.25">
      <c r="C51" s="60">
        <f t="shared" si="34"/>
        <v>34</v>
      </c>
      <c r="X51" s="56">
        <f t="shared" si="22"/>
        <v>40</v>
      </c>
      <c r="Y51" s="51">
        <f t="shared" si="4"/>
        <v>1.4000000000000006</v>
      </c>
      <c r="Z51" s="51">
        <v>528.4962158203125</v>
      </c>
      <c r="AA51" s="51">
        <v>5.0007835205437374E-3</v>
      </c>
      <c r="AB51" s="51">
        <f t="shared" si="5"/>
        <v>2.764458812781867E-2</v>
      </c>
      <c r="AC51" s="44">
        <f t="shared" si="6"/>
        <v>8.8500114027504555E-4</v>
      </c>
      <c r="AD51" s="51">
        <f t="shared" si="7"/>
        <v>1.4000000000000006</v>
      </c>
      <c r="AE51" s="72">
        <f t="shared" si="35"/>
        <v>1.9600000000000015</v>
      </c>
      <c r="AF51" s="72">
        <f t="shared" si="1"/>
        <v>2.7440000000000033</v>
      </c>
      <c r="AG51" s="44">
        <f t="shared" si="9"/>
        <v>9.1850117986866375E-4</v>
      </c>
      <c r="AH51" s="44">
        <f t="shared" si="10"/>
        <v>3.3500039593618207E-5</v>
      </c>
      <c r="AI51" s="44"/>
      <c r="AJ51" s="44"/>
      <c r="AK51" s="51"/>
      <c r="AL51" s="51"/>
      <c r="AM51" s="51"/>
      <c r="AN51" s="51"/>
      <c r="AO51" s="51"/>
      <c r="AP51" s="39"/>
      <c r="AQ51" s="58">
        <f t="shared" si="36"/>
        <v>650</v>
      </c>
      <c r="AR51" s="1">
        <v>545.9520378112793</v>
      </c>
      <c r="AS51" s="1">
        <v>5.0135264344000063E-3</v>
      </c>
      <c r="AT51" s="51">
        <f t="shared" si="11"/>
        <v>-0.13011287560562579</v>
      </c>
      <c r="BL51" s="62">
        <f t="shared" si="16"/>
        <v>60</v>
      </c>
      <c r="BM51" s="63">
        <f t="shared" si="17"/>
        <v>993</v>
      </c>
      <c r="BN51" s="68">
        <f t="shared" si="18"/>
        <v>15.152208743419546</v>
      </c>
      <c r="BO51" s="1">
        <v>15.164130002260208</v>
      </c>
      <c r="BP51" s="1">
        <v>5.4737604964542323E-2</v>
      </c>
      <c r="BR51" s="1">
        <v>17</v>
      </c>
      <c r="BS51" s="47">
        <v>0.76100000000000001</v>
      </c>
      <c r="BT51" s="1">
        <v>500</v>
      </c>
      <c r="BU51" s="51">
        <f t="shared" si="31"/>
        <v>1.1921258840661864E-2</v>
      </c>
      <c r="BV51" s="44">
        <f t="shared" si="32"/>
        <v>7.8676706759583936E-4</v>
      </c>
      <c r="BW51" s="61">
        <f t="shared" si="33"/>
        <v>65.234284179964277</v>
      </c>
    </row>
    <row r="52" spans="3:75" ht="20.100000000000001" customHeight="1" x14ac:dyDescent="0.25">
      <c r="C52" s="60">
        <f t="shared" si="34"/>
        <v>35</v>
      </c>
      <c r="X52" s="56">
        <f t="shared" si="22"/>
        <v>41</v>
      </c>
      <c r="Y52" s="51">
        <f t="shared" si="4"/>
        <v>1.4200000000000006</v>
      </c>
      <c r="Z52" s="51">
        <v>537.36693954467773</v>
      </c>
      <c r="AA52" s="51">
        <v>1.0253115987864929E-2</v>
      </c>
      <c r="AB52" s="51">
        <f t="shared" si="5"/>
        <v>2.6227051546927838E-2</v>
      </c>
      <c r="AC52" s="44">
        <f t="shared" si="6"/>
        <v>8.7039175507955865E-4</v>
      </c>
      <c r="AD52" s="51">
        <f t="shared" si="7"/>
        <v>1.4200000000000006</v>
      </c>
      <c r="AE52" s="72">
        <f t="shared" ref="AE52:AE67" si="37">$AD52^AE$10</f>
        <v>2.0164000000000017</v>
      </c>
      <c r="AF52" s="72">
        <f t="shared" si="1"/>
        <v>2.8632880000000038</v>
      </c>
      <c r="AG52" s="44">
        <f t="shared" si="9"/>
        <v>9.1662150642791984E-4</v>
      </c>
      <c r="AH52" s="44">
        <f t="shared" si="10"/>
        <v>4.6229751348361194E-5</v>
      </c>
      <c r="AI52" s="44"/>
      <c r="AJ52" s="44"/>
      <c r="AK52" s="51"/>
      <c r="AL52" s="51"/>
      <c r="AM52" s="51"/>
      <c r="AN52" s="51"/>
      <c r="AO52" s="51"/>
      <c r="AP52" s="39"/>
      <c r="AQ52" s="58">
        <f t="shared" si="36"/>
        <v>660</v>
      </c>
      <c r="AR52" s="1">
        <v>546.53050231933594</v>
      </c>
      <c r="AS52" s="1">
        <v>3.9329419615087352E-3</v>
      </c>
      <c r="AT52" s="51">
        <f t="shared" si="11"/>
        <v>-0.14191182526346324</v>
      </c>
      <c r="BL52" s="62">
        <f t="shared" si="16"/>
        <v>59</v>
      </c>
      <c r="BM52" s="63">
        <f t="shared" si="17"/>
        <v>895</v>
      </c>
      <c r="BN52" s="68">
        <f t="shared" si="18"/>
        <v>13.656824597543297</v>
      </c>
      <c r="BO52" s="1">
        <v>13.550488471984863</v>
      </c>
      <c r="BP52" s="1">
        <v>1.9589840083773322E-2</v>
      </c>
      <c r="BR52" s="1">
        <v>17</v>
      </c>
      <c r="BS52" s="47">
        <v>0.71699999999999997</v>
      </c>
      <c r="BT52" s="1">
        <v>500</v>
      </c>
      <c r="BU52" s="51">
        <f t="shared" si="31"/>
        <v>-0.10633612555843364</v>
      </c>
      <c r="BV52" s="44">
        <f t="shared" si="32"/>
        <v>-7.7862994284603193E-3</v>
      </c>
      <c r="BW52" s="61">
        <f t="shared" si="33"/>
        <v>74.159382184667081</v>
      </c>
    </row>
    <row r="53" spans="3:75" ht="20.100000000000001" customHeight="1" x14ac:dyDescent="0.25">
      <c r="C53" s="60"/>
      <c r="X53" s="56">
        <f t="shared" si="22"/>
        <v>42</v>
      </c>
      <c r="Y53" s="51">
        <f t="shared" si="4"/>
        <v>1.4400000000000006</v>
      </c>
      <c r="Z53" s="51">
        <v>545.94107055664062</v>
      </c>
      <c r="AA53" s="51">
        <v>4.5819219859741366E-3</v>
      </c>
      <c r="AB53" s="51">
        <f t="shared" si="5"/>
        <v>2.4302801244039829E-2</v>
      </c>
      <c r="AC53" s="44">
        <f t="shared" si="6"/>
        <v>8.5672205088936952E-4</v>
      </c>
      <c r="AD53" s="51">
        <f t="shared" si="7"/>
        <v>1.4400000000000006</v>
      </c>
      <c r="AE53" s="72">
        <f t="shared" si="37"/>
        <v>2.0736000000000017</v>
      </c>
      <c r="AF53" s="72">
        <f t="shared" si="1"/>
        <v>2.9859840000000037</v>
      </c>
      <c r="AG53" s="44">
        <f t="shared" si="9"/>
        <v>9.1453147976612581E-4</v>
      </c>
      <c r="AH53" s="44">
        <f t="shared" si="10"/>
        <v>5.7809428876756295E-5</v>
      </c>
      <c r="AI53" s="44"/>
      <c r="AJ53" s="44"/>
      <c r="AK53" s="51"/>
      <c r="AL53" s="51"/>
      <c r="AM53" s="51"/>
      <c r="AN53" s="51"/>
      <c r="AO53" s="51"/>
      <c r="AP53" s="39"/>
      <c r="AQ53" s="58">
        <f t="shared" si="36"/>
        <v>670</v>
      </c>
      <c r="AR53" s="1">
        <v>546.97634506225586</v>
      </c>
      <c r="AS53" s="1">
        <v>4.7485423900958312E-3</v>
      </c>
      <c r="AT53" s="51">
        <f t="shared" si="11"/>
        <v>-0.17788625871549835</v>
      </c>
      <c r="BL53" s="62">
        <f t="shared" si="16"/>
        <v>58</v>
      </c>
      <c r="BM53" s="63">
        <f t="shared" si="17"/>
        <v>807</v>
      </c>
      <c r="BN53" s="68">
        <f t="shared" si="18"/>
        <v>12.314030670634011</v>
      </c>
      <c r="BO53" s="1">
        <v>12.302109718322754</v>
      </c>
      <c r="BP53" s="1">
        <v>5.1274093319873641E-2</v>
      </c>
      <c r="BR53" s="1">
        <v>17</v>
      </c>
      <c r="BS53" s="47">
        <v>0.68700000000000006</v>
      </c>
      <c r="BT53" s="1">
        <v>500</v>
      </c>
      <c r="BU53" s="51">
        <f t="shared" si="31"/>
        <v>-1.1920952311257338E-2</v>
      </c>
      <c r="BV53" s="44">
        <f t="shared" si="32"/>
        <v>-9.680788224513126E-4</v>
      </c>
      <c r="BW53" s="61">
        <f t="shared" si="33"/>
        <v>65.802040210477031</v>
      </c>
    </row>
    <row r="54" spans="3:75" ht="20.100000000000001" customHeight="1" x14ac:dyDescent="0.25">
      <c r="C54" s="60"/>
      <c r="X54" s="56">
        <f t="shared" si="22"/>
        <v>43</v>
      </c>
      <c r="Y54" s="51">
        <f t="shared" si="4"/>
        <v>1.4600000000000006</v>
      </c>
      <c r="Z54" s="51">
        <v>554.44135284423828</v>
      </c>
      <c r="AA54" s="51">
        <v>8.4947408243100011E-3</v>
      </c>
      <c r="AB54" s="51">
        <f t="shared" si="5"/>
        <v>2.230876415754679E-2</v>
      </c>
      <c r="AC54" s="44">
        <f t="shared" si="6"/>
        <v>8.4358742585245391E-4</v>
      </c>
      <c r="AD54" s="51">
        <f t="shared" si="7"/>
        <v>1.4600000000000006</v>
      </c>
      <c r="AE54" s="72">
        <f t="shared" si="37"/>
        <v>2.1316000000000019</v>
      </c>
      <c r="AF54" s="72">
        <f t="shared" si="1"/>
        <v>3.112136000000004</v>
      </c>
      <c r="AG54" s="44">
        <f t="shared" si="9"/>
        <v>9.119667142016355E-4</v>
      </c>
      <c r="AH54" s="44">
        <f t="shared" si="10"/>
        <v>6.8379288349181585E-5</v>
      </c>
      <c r="AI54" s="44"/>
      <c r="AJ54" s="44"/>
      <c r="AK54" s="51"/>
      <c r="AL54" s="51"/>
      <c r="AM54" s="51"/>
      <c r="AN54" s="51"/>
      <c r="AO54" s="51"/>
      <c r="AP54" s="39"/>
      <c r="AQ54" s="58">
        <f t="shared" si="36"/>
        <v>680</v>
      </c>
      <c r="AR54" s="1">
        <v>547.53519821166992</v>
      </c>
      <c r="AS54" s="1">
        <v>4.7882533555460337E-3</v>
      </c>
      <c r="AT54" s="51">
        <f t="shared" si="11"/>
        <v>-0.19317627477474231</v>
      </c>
      <c r="BL54" s="62">
        <f t="shared" si="16"/>
        <v>57</v>
      </c>
      <c r="BM54" s="63">
        <f t="shared" si="17"/>
        <v>728</v>
      </c>
      <c r="BN54" s="68">
        <f t="shared" si="18"/>
        <v>11.108567940794995</v>
      </c>
      <c r="BO54" s="1">
        <v>11.115243911743164</v>
      </c>
      <c r="BP54" s="1">
        <v>6.8099411507033858E-2</v>
      </c>
      <c r="BR54" s="1">
        <v>17</v>
      </c>
      <c r="BS54" s="47">
        <v>0.66</v>
      </c>
      <c r="BT54" s="1">
        <v>500</v>
      </c>
      <c r="BU54" s="51">
        <f t="shared" si="31"/>
        <v>6.6759709481694074E-3</v>
      </c>
      <c r="BV54" s="44">
        <f t="shared" si="32"/>
        <v>6.0097493968180871E-4</v>
      </c>
      <c r="BW54" s="61">
        <f t="shared" si="33"/>
        <v>63.337132822053299</v>
      </c>
    </row>
    <row r="55" spans="3:75" ht="20.100000000000001" customHeight="1" x14ac:dyDescent="0.25">
      <c r="C55" s="60"/>
      <c r="X55" s="56">
        <f t="shared" si="22"/>
        <v>44</v>
      </c>
      <c r="Y55" s="51">
        <f t="shared" si="4"/>
        <v>1.4800000000000006</v>
      </c>
      <c r="Z55" s="51">
        <v>562.52529525756836</v>
      </c>
      <c r="AA55" s="51">
        <v>6.0411091349495448E-3</v>
      </c>
      <c r="AB55" s="51">
        <f t="shared" si="5"/>
        <v>1.9627694120432304E-2</v>
      </c>
      <c r="AC55" s="44">
        <f t="shared" si="6"/>
        <v>8.3146439382403986E-4</v>
      </c>
      <c r="AD55" s="51">
        <f t="shared" si="7"/>
        <v>1.4800000000000006</v>
      </c>
      <c r="AE55" s="72">
        <f t="shared" si="37"/>
        <v>2.1904000000000021</v>
      </c>
      <c r="AF55" s="72">
        <f t="shared" si="1"/>
        <v>3.2417920000000047</v>
      </c>
      <c r="AG55" s="44">
        <f t="shared" si="9"/>
        <v>9.0866282405281662E-4</v>
      </c>
      <c r="AH55" s="44">
        <f t="shared" si="10"/>
        <v>7.719843022877676E-5</v>
      </c>
      <c r="AI55" s="44"/>
      <c r="AJ55" s="44"/>
      <c r="AK55" s="51"/>
      <c r="AL55" s="51"/>
      <c r="AM55" s="51"/>
      <c r="AN55" s="51"/>
      <c r="AO55" s="51"/>
      <c r="AP55" s="39"/>
      <c r="AQ55" s="58">
        <f t="shared" si="36"/>
        <v>690</v>
      </c>
      <c r="AR55" s="1">
        <v>548.08928298950195</v>
      </c>
      <c r="AS55" s="1">
        <v>4.9939764531645248E-3</v>
      </c>
      <c r="AT55" s="51">
        <f t="shared" si="11"/>
        <v>-0.20929861968189689</v>
      </c>
      <c r="BL55" s="62">
        <f t="shared" si="16"/>
        <v>56</v>
      </c>
      <c r="BM55" s="63">
        <f t="shared" si="17"/>
        <v>656</v>
      </c>
      <c r="BN55" s="68">
        <f t="shared" si="18"/>
        <v>10.009918364232853</v>
      </c>
      <c r="BO55" s="1">
        <v>9.9379148483276367</v>
      </c>
      <c r="BP55" s="1">
        <v>6.9031966761055732E-2</v>
      </c>
      <c r="BR55" s="1">
        <v>18</v>
      </c>
      <c r="BS55" s="47">
        <v>1.68</v>
      </c>
      <c r="BT55" s="1">
        <v>500</v>
      </c>
      <c r="BU55" s="51">
        <f t="shared" si="31"/>
        <v>-7.200351590521592E-2</v>
      </c>
      <c r="BV55" s="44">
        <f t="shared" si="32"/>
        <v>-7.1932170958053376E-3</v>
      </c>
      <c r="BW55" s="61">
        <f t="shared" si="33"/>
        <v>63.218995062639237</v>
      </c>
    </row>
    <row r="56" spans="3:75" ht="20.100000000000001" customHeight="1" x14ac:dyDescent="0.25">
      <c r="C56" s="60"/>
      <c r="X56" s="56">
        <f t="shared" si="22"/>
        <v>45</v>
      </c>
      <c r="Y56" s="51">
        <f t="shared" si="4"/>
        <v>1.5000000000000007</v>
      </c>
      <c r="Z56" s="51">
        <v>570.52149963378906</v>
      </c>
      <c r="AA56" s="51">
        <v>6.0454898642175155E-3</v>
      </c>
      <c r="AB56" s="51">
        <f t="shared" si="5"/>
        <v>1.6879645412870126E-2</v>
      </c>
      <c r="AC56" s="44">
        <f t="shared" si="6"/>
        <v>8.1981091673538479E-4</v>
      </c>
      <c r="AD56" s="51">
        <f t="shared" si="7"/>
        <v>1.5000000000000007</v>
      </c>
      <c r="AE56" s="72">
        <f t="shared" si="37"/>
        <v>2.2500000000000018</v>
      </c>
      <c r="AF56" s="72">
        <f t="shared" si="1"/>
        <v>3.375000000000004</v>
      </c>
      <c r="AG56" s="44">
        <f t="shared" si="9"/>
        <v>9.0435542363802995E-4</v>
      </c>
      <c r="AH56" s="44">
        <f t="shared" si="10"/>
        <v>8.4544506902645166E-5</v>
      </c>
      <c r="AI56" s="44"/>
      <c r="AJ56" s="44"/>
      <c r="AK56" s="51"/>
      <c r="AL56" s="51"/>
      <c r="AM56" s="51"/>
      <c r="AN56" s="51"/>
      <c r="AO56" s="51"/>
      <c r="AP56" s="39"/>
      <c r="AQ56" s="58">
        <f t="shared" si="36"/>
        <v>700</v>
      </c>
      <c r="AR56" s="1">
        <v>548.60426712036133</v>
      </c>
      <c r="AS56" s="1">
        <v>4.9037602518884017E-3</v>
      </c>
      <c r="AT56" s="51">
        <f t="shared" si="11"/>
        <v>-0.23249393296493892</v>
      </c>
      <c r="BL56" s="62">
        <f t="shared" si="16"/>
        <v>55</v>
      </c>
      <c r="BM56" s="63">
        <f t="shared" si="17"/>
        <v>592</v>
      </c>
      <c r="BN56" s="68">
        <f t="shared" si="18"/>
        <v>9.0333409628442816</v>
      </c>
      <c r="BO56" s="1">
        <v>9.0285727381706238</v>
      </c>
      <c r="BP56" s="1">
        <v>7.8339411390375813E-2</v>
      </c>
      <c r="BR56" s="1">
        <v>18</v>
      </c>
      <c r="BS56" s="47">
        <v>1.5</v>
      </c>
      <c r="BT56" s="1">
        <v>500</v>
      </c>
      <c r="BU56" s="51">
        <f t="shared" si="31"/>
        <v>-4.7682246736577838E-3</v>
      </c>
      <c r="BV56" s="44">
        <f t="shared" si="32"/>
        <v>-5.2784730403410141E-4</v>
      </c>
      <c r="BW56" s="61">
        <f t="shared" si="33"/>
        <v>62.120393917665567</v>
      </c>
    </row>
    <row r="57" spans="3:75" ht="20.100000000000001" customHeight="1" x14ac:dyDescent="0.25">
      <c r="C57" s="60"/>
      <c r="X57" s="56">
        <f t="shared" si="22"/>
        <v>46</v>
      </c>
      <c r="Y57" s="51">
        <f t="shared" si="4"/>
        <v>1.5200000000000007</v>
      </c>
      <c r="Z57" s="51">
        <v>578.66170883178711</v>
      </c>
      <c r="AA57" s="51">
        <v>4.3157611226409837E-3</v>
      </c>
      <c r="AB57" s="51">
        <f t="shared" si="5"/>
        <v>1.4474190651500685E-2</v>
      </c>
      <c r="AC57" s="44">
        <f t="shared" si="6"/>
        <v>8.0827838872605607E-4</v>
      </c>
      <c r="AD57" s="51">
        <f t="shared" si="7"/>
        <v>1.5200000000000007</v>
      </c>
      <c r="AE57" s="72">
        <f t="shared" si="37"/>
        <v>2.3104000000000022</v>
      </c>
      <c r="AF57" s="72">
        <f t="shared" si="1"/>
        <v>3.5118080000000051</v>
      </c>
      <c r="AG57" s="44">
        <f t="shared" si="9"/>
        <v>8.9878012727565015E-4</v>
      </c>
      <c r="AH57" s="44">
        <f t="shared" si="10"/>
        <v>9.0501738549594087E-5</v>
      </c>
      <c r="AI57" s="44"/>
      <c r="AJ57" s="44"/>
      <c r="AK57" s="51"/>
      <c r="AL57" s="51"/>
      <c r="AM57" s="51"/>
      <c r="AN57" s="51"/>
      <c r="AO57" s="51"/>
      <c r="AP57" s="39"/>
      <c r="AQ57" s="58">
        <f t="shared" si="36"/>
        <v>710</v>
      </c>
      <c r="AR57" s="1">
        <v>549.13641738891602</v>
      </c>
      <c r="AS57" s="1">
        <v>4.9905008269136592E-3</v>
      </c>
      <c r="AT57" s="51">
        <f t="shared" si="11"/>
        <v>-0.2525168586799853</v>
      </c>
      <c r="BL57" s="62">
        <f t="shared" si="16"/>
        <v>54</v>
      </c>
      <c r="BM57" s="63">
        <f t="shared" si="17"/>
        <v>534</v>
      </c>
      <c r="BN57" s="68">
        <f t="shared" si="18"/>
        <v>8.1483176928358887</v>
      </c>
      <c r="BO57" s="1">
        <v>8.1635770797729492</v>
      </c>
      <c r="BP57" s="1">
        <v>1.815291933019398</v>
      </c>
      <c r="BR57" s="1">
        <v>18</v>
      </c>
      <c r="BS57" s="47">
        <v>1.37</v>
      </c>
      <c r="BT57" s="1">
        <v>500</v>
      </c>
      <c r="BU57" s="51">
        <f t="shared" si="31"/>
        <v>1.5259386937060526E-2</v>
      </c>
      <c r="BV57" s="44">
        <f t="shared" si="32"/>
        <v>1.8727039755062069E-3</v>
      </c>
      <c r="BW57" s="61">
        <f t="shared" si="33"/>
        <v>34.821070446120267</v>
      </c>
    </row>
    <row r="58" spans="3:75" ht="20.100000000000001" customHeight="1" x14ac:dyDescent="0.25">
      <c r="C58" s="60"/>
      <c r="X58" s="56">
        <f t="shared" si="22"/>
        <v>47</v>
      </c>
      <c r="Y58" s="51">
        <f t="shared" si="4"/>
        <v>1.5400000000000007</v>
      </c>
      <c r="Z58" s="51">
        <v>586.19681167602539</v>
      </c>
      <c r="AA58" s="51">
        <v>6.6319176861318763E-3</v>
      </c>
      <c r="AB58" s="51">
        <f t="shared" si="5"/>
        <v>1.1102640853658752E-2</v>
      </c>
      <c r="AC58" s="44">
        <f t="shared" si="6"/>
        <v>7.9788860040835353E-4</v>
      </c>
      <c r="AD58" s="51">
        <f t="shared" si="7"/>
        <v>1.5400000000000007</v>
      </c>
      <c r="AE58" s="72">
        <f t="shared" si="37"/>
        <v>2.3716000000000022</v>
      </c>
      <c r="AF58" s="72">
        <f t="shared" si="1"/>
        <v>3.6522640000000051</v>
      </c>
      <c r="AG58" s="44">
        <f t="shared" si="9"/>
        <v>8.9167254928401718E-4</v>
      </c>
      <c r="AH58" s="44">
        <f t="shared" si="10"/>
        <v>9.378394887566365E-5</v>
      </c>
      <c r="AI58" s="44"/>
      <c r="AJ58" s="44"/>
      <c r="AK58" s="51"/>
      <c r="AL58" s="51"/>
      <c r="AM58" s="51"/>
      <c r="AN58" s="51"/>
      <c r="AO58" s="51"/>
      <c r="AP58" s="39"/>
      <c r="AQ58" s="58">
        <f t="shared" si="36"/>
        <v>720</v>
      </c>
      <c r="AR58" s="1">
        <v>549.70719146728516</v>
      </c>
      <c r="AS58" s="1">
        <v>5.7198342002540582E-3</v>
      </c>
      <c r="AT58" s="51">
        <f t="shared" si="11"/>
        <v>-0.26548540489413908</v>
      </c>
      <c r="BL58" s="62">
        <f t="shared" si="16"/>
        <v>53</v>
      </c>
      <c r="BM58" s="63">
        <f t="shared" si="17"/>
        <v>481</v>
      </c>
      <c r="BN58" s="68">
        <f t="shared" si="18"/>
        <v>7.3395895323109785</v>
      </c>
      <c r="BO58" s="1">
        <v>7.3352979868650436</v>
      </c>
      <c r="BP58" s="1">
        <v>2.0283698815664759</v>
      </c>
      <c r="BR58" s="1">
        <v>18</v>
      </c>
      <c r="BS58" s="47">
        <v>1.25</v>
      </c>
      <c r="BT58" s="1">
        <v>500</v>
      </c>
      <c r="BU58" s="51">
        <f t="shared" si="31"/>
        <v>-4.2915454459349078E-3</v>
      </c>
      <c r="BV58" s="44">
        <f t="shared" si="32"/>
        <v>-5.8471191434372738E-4</v>
      </c>
      <c r="BW58" s="61">
        <f t="shared" si="33"/>
        <v>33.857056934743142</v>
      </c>
    </row>
    <row r="59" spans="3:75" ht="20.100000000000001" customHeight="1" x14ac:dyDescent="0.25">
      <c r="C59" s="29"/>
      <c r="X59" s="56">
        <f t="shared" si="22"/>
        <v>48</v>
      </c>
      <c r="Y59" s="51">
        <f t="shared" si="4"/>
        <v>1.5600000000000007</v>
      </c>
      <c r="Z59" s="51">
        <v>593.84534072875977</v>
      </c>
      <c r="AA59" s="51">
        <v>7.4251446371916465E-3</v>
      </c>
      <c r="AB59" s="51">
        <f t="shared" si="5"/>
        <v>8.0306998313217637E-3</v>
      </c>
      <c r="AC59" s="44">
        <f t="shared" si="6"/>
        <v>7.8761206252463503E-4</v>
      </c>
      <c r="AD59" s="51">
        <f t="shared" si="7"/>
        <v>1.5600000000000007</v>
      </c>
      <c r="AE59" s="72">
        <f t="shared" si="37"/>
        <v>2.4336000000000024</v>
      </c>
      <c r="AF59" s="72">
        <f t="shared" si="1"/>
        <v>3.7964160000000056</v>
      </c>
      <c r="AG59" s="44">
        <f t="shared" si="9"/>
        <v>8.8276830398151263E-4</v>
      </c>
      <c r="AH59" s="44">
        <f t="shared" si="10"/>
        <v>9.5156241456877599E-5</v>
      </c>
      <c r="AI59" s="44"/>
      <c r="AJ59" s="44"/>
      <c r="AK59" s="51"/>
      <c r="AL59" s="51"/>
      <c r="AM59" s="51"/>
      <c r="AN59" s="51"/>
      <c r="AO59" s="51"/>
      <c r="AP59" s="39"/>
      <c r="AQ59" s="58">
        <f t="shared" si="36"/>
        <v>730</v>
      </c>
      <c r="AR59" s="1">
        <v>550.11256408691406</v>
      </c>
      <c r="AS59" s="1">
        <v>5.3151123567225537E-3</v>
      </c>
      <c r="AT59" s="51">
        <f t="shared" si="11"/>
        <v>-0.30839780017389851</v>
      </c>
      <c r="BL59" s="62">
        <f t="shared" si="16"/>
        <v>52</v>
      </c>
      <c r="BM59" s="63">
        <f t="shared" si="17"/>
        <v>434</v>
      </c>
      <c r="BN59" s="68">
        <f t="shared" si="18"/>
        <v>6.6224155031662466</v>
      </c>
      <c r="BO59" s="1">
        <v>6.6238460540771484</v>
      </c>
      <c r="BP59" s="1">
        <v>6.7142312997389514E-2</v>
      </c>
      <c r="BR59" s="1">
        <v>18</v>
      </c>
      <c r="BS59" s="47">
        <v>1.1599999999999999</v>
      </c>
      <c r="BT59" s="1">
        <v>500</v>
      </c>
      <c r="BU59" s="51">
        <f t="shared" si="31"/>
        <v>1.4305509109018288E-3</v>
      </c>
      <c r="BV59" s="44">
        <f t="shared" si="32"/>
        <v>2.1601648374636184E-4</v>
      </c>
      <c r="BW59" s="61">
        <f t="shared" si="33"/>
        <v>63.460074034861037</v>
      </c>
    </row>
    <row r="60" spans="3:75" ht="20.100000000000001" customHeight="1" x14ac:dyDescent="0.25">
      <c r="C60" s="29"/>
      <c r="X60" s="56">
        <f t="shared" si="22"/>
        <v>49</v>
      </c>
      <c r="Y60" s="51">
        <f t="shared" si="4"/>
        <v>1.5800000000000007</v>
      </c>
      <c r="Z60" s="51">
        <v>601.21164321899414</v>
      </c>
      <c r="AA60" s="51">
        <v>4.9903943939457445E-3</v>
      </c>
      <c r="AB60" s="51">
        <f t="shared" si="5"/>
        <v>4.5832099301676976E-3</v>
      </c>
      <c r="AC60" s="44">
        <f t="shared" si="6"/>
        <v>7.779619022808146E-4</v>
      </c>
      <c r="AD60" s="51">
        <f t="shared" si="7"/>
        <v>1.5800000000000007</v>
      </c>
      <c r="AE60" s="72">
        <f t="shared" si="37"/>
        <v>2.4964000000000022</v>
      </c>
      <c r="AF60" s="72">
        <f t="shared" si="1"/>
        <v>3.9443120000000054</v>
      </c>
      <c r="AG60" s="44">
        <f t="shared" si="9"/>
        <v>8.7180300568647645E-4</v>
      </c>
      <c r="AH60" s="44">
        <f t="shared" si="10"/>
        <v>9.3841103405661853E-5</v>
      </c>
      <c r="AI60" s="44"/>
      <c r="AJ60" s="44"/>
      <c r="AK60" s="51"/>
      <c r="AL60" s="51"/>
      <c r="AM60" s="51"/>
      <c r="AN60" s="51"/>
      <c r="AO60" s="51"/>
      <c r="AP60" s="39"/>
      <c r="AQ60" s="58">
        <f t="shared" si="36"/>
        <v>740</v>
      </c>
      <c r="AR60" s="1">
        <v>550.62802505493164</v>
      </c>
      <c r="AS60" s="1">
        <v>3.9103928689754406E-3</v>
      </c>
      <c r="AT60" s="51">
        <f t="shared" si="11"/>
        <v>-0.33128316883709319</v>
      </c>
      <c r="BL60" s="62">
        <f t="shared" si="16"/>
        <v>51</v>
      </c>
      <c r="BM60" s="63">
        <f t="shared" si="17"/>
        <v>391</v>
      </c>
      <c r="BN60" s="68">
        <f t="shared" si="18"/>
        <v>5.966277561608301</v>
      </c>
      <c r="BO60" s="1">
        <v>5.7841229736804962</v>
      </c>
      <c r="BP60" s="1">
        <v>6.3854005841926686E-2</v>
      </c>
      <c r="BR60" s="1">
        <v>18</v>
      </c>
      <c r="BS60" s="47">
        <v>1.06</v>
      </c>
      <c r="BT60" s="1">
        <v>500</v>
      </c>
      <c r="BU60" s="51">
        <f t="shared" si="31"/>
        <v>-0.18215458792780481</v>
      </c>
      <c r="BV60" s="44">
        <f t="shared" si="32"/>
        <v>-3.0530692889638611E-2</v>
      </c>
      <c r="BW60" s="61">
        <f t="shared" si="33"/>
        <v>63.896237046954774</v>
      </c>
    </row>
    <row r="61" spans="3:75" ht="20.100000000000001" customHeight="1" x14ac:dyDescent="0.25">
      <c r="C61" s="29"/>
      <c r="X61" s="56">
        <f t="shared" si="22"/>
        <v>50</v>
      </c>
      <c r="Y61" s="51">
        <f t="shared" si="4"/>
        <v>1.6000000000000008</v>
      </c>
      <c r="Z61" s="51">
        <v>608.5293083190918</v>
      </c>
      <c r="AA61" s="51">
        <v>9.0946991229356455E-3</v>
      </c>
      <c r="AB61" s="51">
        <f t="shared" si="5"/>
        <v>1.1618147499246056E-3</v>
      </c>
      <c r="AC61" s="44">
        <f t="shared" si="6"/>
        <v>7.6860678234870982E-4</v>
      </c>
      <c r="AD61" s="51">
        <f t="shared" si="7"/>
        <v>1.6000000000000008</v>
      </c>
      <c r="AE61" s="72">
        <f t="shared" si="37"/>
        <v>2.5600000000000023</v>
      </c>
      <c r="AF61" s="72">
        <f t="shared" si="1"/>
        <v>4.0960000000000054</v>
      </c>
      <c r="AG61" s="44">
        <f t="shared" si="9"/>
        <v>8.5851226871729025E-4</v>
      </c>
      <c r="AH61" s="44">
        <f t="shared" si="10"/>
        <v>8.9905486368580434E-5</v>
      </c>
      <c r="AI61" s="44"/>
      <c r="AJ61" s="44"/>
      <c r="AK61" s="51"/>
      <c r="AL61" s="51"/>
      <c r="AM61" s="51"/>
      <c r="AN61" s="51"/>
      <c r="AO61" s="51"/>
      <c r="AP61" s="39"/>
      <c r="AQ61" s="58">
        <f t="shared" si="36"/>
        <v>750</v>
      </c>
      <c r="AR61" s="1">
        <v>551.21548843383789</v>
      </c>
      <c r="AS61" s="1">
        <v>3.813160443820322E-3</v>
      </c>
      <c r="AT61" s="51">
        <f t="shared" si="11"/>
        <v>-0.34109733088116823</v>
      </c>
      <c r="BL61" s="62">
        <f t="shared" si="16"/>
        <v>50</v>
      </c>
      <c r="BM61" s="63">
        <f t="shared" si="17"/>
        <v>353</v>
      </c>
      <c r="BN61" s="68">
        <f t="shared" si="18"/>
        <v>5.3864347295338364</v>
      </c>
      <c r="BO61" s="1">
        <v>5.2743762284517288</v>
      </c>
      <c r="BP61" s="1">
        <v>0.13740730270595689</v>
      </c>
      <c r="BR61" s="1">
        <v>18</v>
      </c>
      <c r="BS61" s="47">
        <v>1</v>
      </c>
      <c r="BT61" s="1">
        <v>500</v>
      </c>
      <c r="BU61" s="51">
        <f t="shared" si="31"/>
        <v>-0.11205850108210758</v>
      </c>
      <c r="BV61" s="44">
        <f t="shared" si="32"/>
        <v>-2.0803835321291597E-2</v>
      </c>
      <c r="BW61" s="61">
        <f t="shared" si="33"/>
        <v>57.239803709340002</v>
      </c>
    </row>
    <row r="62" spans="3:75" ht="20.100000000000001" customHeight="1" x14ac:dyDescent="0.25">
      <c r="C62" s="29"/>
      <c r="X62" s="61">
        <f t="shared" si="22"/>
        <v>51</v>
      </c>
      <c r="Y62" s="51">
        <f t="shared" si="4"/>
        <v>1.6200000000000008</v>
      </c>
      <c r="Z62" s="51">
        <v>614.56904983520508</v>
      </c>
      <c r="AA62" s="51">
        <v>5.8139845115415248E-3</v>
      </c>
      <c r="AB62" s="51">
        <f t="shared" si="5"/>
        <v>-4.2264592769569731E-3</v>
      </c>
      <c r="AC62" s="44">
        <f t="shared" si="6"/>
        <v>7.6105321893030708E-4</v>
      </c>
      <c r="AD62" s="51">
        <f t="shared" si="7"/>
        <v>1.6200000000000008</v>
      </c>
      <c r="AE62" s="72">
        <f t="shared" si="37"/>
        <v>2.6244000000000023</v>
      </c>
      <c r="AF62" s="72">
        <f t="shared" si="1"/>
        <v>4.2515280000000057</v>
      </c>
      <c r="AG62" s="44">
        <f t="shared" si="9"/>
        <v>8.426317073923148E-4</v>
      </c>
      <c r="AH62" s="44">
        <f t="shared" si="10"/>
        <v>8.1578488462007723E-5</v>
      </c>
      <c r="AI62" s="44"/>
      <c r="AJ62" s="44"/>
      <c r="AK62" s="39"/>
      <c r="AL62" s="39"/>
      <c r="AM62" s="39"/>
      <c r="AN62" s="39"/>
      <c r="AO62" s="39"/>
      <c r="AP62" s="39"/>
      <c r="AQ62" s="39"/>
      <c r="BL62" s="62">
        <f t="shared" si="16"/>
        <v>49</v>
      </c>
      <c r="BM62" s="63">
        <f t="shared" si="17"/>
        <v>318</v>
      </c>
      <c r="BN62" s="68">
        <f t="shared" si="18"/>
        <v>4.8523689631494618</v>
      </c>
      <c r="BO62" s="1">
        <v>4.8523688316345215</v>
      </c>
      <c r="BP62" s="1">
        <v>1.5278070705219486</v>
      </c>
      <c r="BR62" s="1">
        <v>18</v>
      </c>
      <c r="BS62" s="47">
        <v>0.94199999999999995</v>
      </c>
      <c r="BT62" s="1">
        <v>500</v>
      </c>
      <c r="BU62" s="51">
        <f t="shared" si="31"/>
        <v>-1.3151494027141553E-7</v>
      </c>
      <c r="BV62" s="44">
        <f t="shared" si="32"/>
        <v>-2.710324409349596E-8</v>
      </c>
      <c r="BW62" s="61">
        <f t="shared" si="33"/>
        <v>36.318629688738312</v>
      </c>
    </row>
    <row r="63" spans="3:75" ht="20.100000000000001" customHeight="1" x14ac:dyDescent="0.25">
      <c r="C63" s="29"/>
      <c r="X63" s="61">
        <f t="shared" si="22"/>
        <v>52</v>
      </c>
      <c r="Y63" s="51">
        <f t="shared" si="4"/>
        <v>1.6400000000000008</v>
      </c>
      <c r="Z63" s="51">
        <v>621.56097412109375</v>
      </c>
      <c r="AA63" s="51">
        <v>6.7788489325431144E-3</v>
      </c>
      <c r="AB63" s="51">
        <f t="shared" si="5"/>
        <v>-7.9340673661726369E-3</v>
      </c>
      <c r="AC63" s="44">
        <f t="shared" si="6"/>
        <v>7.5249214977403172E-4</v>
      </c>
      <c r="AD63" s="51">
        <f t="shared" si="7"/>
        <v>1.6400000000000008</v>
      </c>
      <c r="AE63" s="72">
        <f t="shared" si="37"/>
        <v>2.6896000000000027</v>
      </c>
      <c r="AF63" s="72">
        <f t="shared" si="1"/>
        <v>4.4109440000000069</v>
      </c>
      <c r="AG63" s="44">
        <f t="shared" si="9"/>
        <v>8.2389693602991781E-4</v>
      </c>
      <c r="AH63" s="44">
        <f t="shared" si="10"/>
        <v>7.1404786255886091E-5</v>
      </c>
      <c r="AI63" s="44"/>
      <c r="AJ63" s="44"/>
      <c r="AK63" s="39"/>
      <c r="AL63" s="39"/>
      <c r="AM63" s="39"/>
      <c r="AN63" s="39"/>
      <c r="AO63" s="39"/>
      <c r="AP63" s="39"/>
      <c r="AQ63" s="39"/>
      <c r="BL63" s="62">
        <f t="shared" si="16"/>
        <v>48</v>
      </c>
      <c r="BM63" s="63">
        <f t="shared" si="17"/>
        <v>287</v>
      </c>
      <c r="BN63" s="68">
        <f t="shared" si="18"/>
        <v>4.3793392843518726</v>
      </c>
      <c r="BO63" s="1">
        <v>4.3707561492919922</v>
      </c>
      <c r="BP63" s="1">
        <v>0.17318320748129482</v>
      </c>
      <c r="BR63" s="1">
        <v>18</v>
      </c>
      <c r="BS63" s="47">
        <v>0.88300000000000001</v>
      </c>
      <c r="BT63" s="1">
        <v>500</v>
      </c>
      <c r="BU63" s="51">
        <f t="shared" si="31"/>
        <v>-8.5831350598803979E-3</v>
      </c>
      <c r="BV63" s="44">
        <f t="shared" si="32"/>
        <v>-1.9599155266525337E-3</v>
      </c>
      <c r="BW63" s="61">
        <f t="shared" si="33"/>
        <v>55.229884423252585</v>
      </c>
    </row>
    <row r="64" spans="3:75" ht="20.100000000000001" customHeight="1" x14ac:dyDescent="0.25">
      <c r="C64" s="29"/>
      <c r="X64" s="61">
        <f t="shared" si="22"/>
        <v>53</v>
      </c>
      <c r="Y64" s="51">
        <f t="shared" si="4"/>
        <v>1.6600000000000008</v>
      </c>
      <c r="Z64" s="51">
        <v>627.52585220336914</v>
      </c>
      <c r="AA64" s="51">
        <v>7.9110269068393239E-3</v>
      </c>
      <c r="AB64" s="51">
        <f t="shared" si="5"/>
        <v>-1.3147732935079648E-2</v>
      </c>
      <c r="AC64" s="44">
        <f t="shared" si="6"/>
        <v>7.4533941827219588E-4</v>
      </c>
      <c r="AD64" s="51">
        <f t="shared" si="7"/>
        <v>1.6600000000000008</v>
      </c>
      <c r="AE64" s="72">
        <f t="shared" si="37"/>
        <v>2.7556000000000025</v>
      </c>
      <c r="AF64" s="72">
        <f t="shared" si="1"/>
        <v>4.5742960000000066</v>
      </c>
      <c r="AG64" s="44">
        <f t="shared" si="9"/>
        <v>8.0204356894844619E-4</v>
      </c>
      <c r="AH64" s="44">
        <f t="shared" si="10"/>
        <v>5.6704150676250317E-5</v>
      </c>
      <c r="AI64" s="44"/>
      <c r="AJ64" s="44"/>
      <c r="AK64" s="39"/>
      <c r="AL64" s="39"/>
      <c r="AM64" s="39"/>
      <c r="AN64" s="39"/>
      <c r="AO64" s="39"/>
      <c r="AP64" s="39"/>
      <c r="AQ64" s="39"/>
      <c r="BL64" s="62">
        <f t="shared" si="16"/>
        <v>47</v>
      </c>
      <c r="BM64" s="63">
        <f t="shared" si="17"/>
        <v>259</v>
      </c>
      <c r="BN64" s="68">
        <f t="shared" si="18"/>
        <v>3.952086671244373</v>
      </c>
      <c r="BO64" s="1">
        <v>3.9506561532616615</v>
      </c>
      <c r="BP64" s="1">
        <v>0.11257555130751962</v>
      </c>
      <c r="BR64" s="1">
        <v>19</v>
      </c>
      <c r="BS64" s="47">
        <v>0.94</v>
      </c>
      <c r="BT64" s="1">
        <v>500</v>
      </c>
      <c r="BU64" s="51">
        <f t="shared" si="31"/>
        <v>-1.4305179827114323E-3</v>
      </c>
      <c r="BV64" s="44">
        <f t="shared" si="32"/>
        <v>-3.6196523550957593E-4</v>
      </c>
      <c r="BW64" s="61">
        <f t="shared" si="33"/>
        <v>58.971118350462518</v>
      </c>
    </row>
    <row r="65" spans="3:75" ht="20.100000000000001" customHeight="1" x14ac:dyDescent="0.25">
      <c r="C65" s="29"/>
      <c r="X65" s="61">
        <f t="shared" si="22"/>
        <v>54</v>
      </c>
      <c r="Y65" s="51">
        <f t="shared" si="4"/>
        <v>1.6800000000000008</v>
      </c>
      <c r="Z65" s="51">
        <v>631.87514495849609</v>
      </c>
      <c r="AA65" s="51">
        <v>9.5824170488588434E-3</v>
      </c>
      <c r="AB65" s="51">
        <f t="shared" si="5"/>
        <v>-2.0714077011223742E-2</v>
      </c>
      <c r="AC65" s="44">
        <f t="shared" si="6"/>
        <v>7.4020913366159495E-4</v>
      </c>
      <c r="AD65" s="51">
        <f t="shared" si="7"/>
        <v>1.6800000000000008</v>
      </c>
      <c r="AE65" s="72">
        <f t="shared" si="37"/>
        <v>2.8224000000000027</v>
      </c>
      <c r="AF65" s="72">
        <f t="shared" si="1"/>
        <v>4.7416320000000072</v>
      </c>
      <c r="AG65" s="44">
        <f t="shared" si="9"/>
        <v>7.7680722046626072E-4</v>
      </c>
      <c r="AH65" s="44">
        <f t="shared" si="10"/>
        <v>3.6598086804665768E-5</v>
      </c>
      <c r="AI65" s="44"/>
      <c r="AJ65" s="44"/>
      <c r="AK65" s="39"/>
      <c r="AL65" s="39"/>
      <c r="AM65" s="39"/>
      <c r="AN65" s="39"/>
      <c r="AO65" s="39"/>
      <c r="AP65" s="39"/>
      <c r="AQ65" s="39"/>
      <c r="BL65" s="62">
        <f t="shared" si="16"/>
        <v>46</v>
      </c>
      <c r="BM65" s="63">
        <f t="shared" si="17"/>
        <v>233</v>
      </c>
      <c r="BN65" s="68">
        <f t="shared" si="18"/>
        <v>3.5553521019302661</v>
      </c>
      <c r="BO65" s="1">
        <v>3.5410468727350235</v>
      </c>
      <c r="BP65" s="1">
        <v>0.10430069506987315</v>
      </c>
      <c r="BR65" s="1">
        <v>20</v>
      </c>
      <c r="BS65" s="47">
        <v>0.98799999999999999</v>
      </c>
      <c r="BT65" s="1">
        <v>500</v>
      </c>
      <c r="BU65" s="51">
        <f t="shared" si="31"/>
        <v>-1.4305229195242575E-2</v>
      </c>
      <c r="BV65" s="44">
        <f t="shared" si="32"/>
        <v>-4.0235759455374831E-3</v>
      </c>
      <c r="BW65" s="61">
        <f t="shared" si="33"/>
        <v>59.634255947671761</v>
      </c>
    </row>
    <row r="66" spans="3:75" ht="20.100000000000001" customHeight="1" x14ac:dyDescent="0.25">
      <c r="C66" s="29"/>
      <c r="X66" s="61">
        <f t="shared" si="22"/>
        <v>55</v>
      </c>
      <c r="Y66" s="51">
        <f t="shared" si="4"/>
        <v>1.7000000000000008</v>
      </c>
      <c r="Z66" s="51">
        <v>637.24534606933594</v>
      </c>
      <c r="AA66" s="51">
        <v>3.4257679650074339E-3</v>
      </c>
      <c r="AB66" s="51">
        <f t="shared" si="5"/>
        <v>-2.6504566839614441E-2</v>
      </c>
      <c r="AC66" s="44">
        <f t="shared" si="6"/>
        <v>7.3397123496784632E-4</v>
      </c>
      <c r="AD66" s="51">
        <f t="shared" si="7"/>
        <v>1.7000000000000008</v>
      </c>
      <c r="AE66" s="72">
        <f t="shared" si="37"/>
        <v>2.8900000000000028</v>
      </c>
      <c r="AF66" s="72">
        <f t="shared" si="1"/>
        <v>4.9130000000000074</v>
      </c>
      <c r="AG66" s="44">
        <f t="shared" si="9"/>
        <v>7.4792350490173604E-4</v>
      </c>
      <c r="AH66" s="44">
        <f t="shared" si="10"/>
        <v>1.3952269933889712E-5</v>
      </c>
      <c r="AI66" s="44"/>
      <c r="AJ66" s="44"/>
      <c r="AK66" s="39"/>
      <c r="AL66" s="39"/>
      <c r="AM66" s="39"/>
      <c r="AN66" s="39"/>
      <c r="AO66" s="39"/>
      <c r="AP66" s="39"/>
      <c r="AQ66" s="39"/>
      <c r="BL66" s="62">
        <f t="shared" si="16"/>
        <v>45</v>
      </c>
      <c r="BM66" s="63">
        <f t="shared" si="17"/>
        <v>210</v>
      </c>
      <c r="BN66" s="68">
        <f t="shared" si="18"/>
        <v>3.2043945983062483</v>
      </c>
      <c r="BO66" s="1">
        <v>3.2001029774546623</v>
      </c>
      <c r="BP66" s="1">
        <v>0.21438201578402891</v>
      </c>
      <c r="BR66" s="1">
        <v>20</v>
      </c>
      <c r="BS66" s="47">
        <v>0.92700000000000005</v>
      </c>
      <c r="BT66" s="1">
        <v>500</v>
      </c>
      <c r="BU66" s="51">
        <f t="shared" si="31"/>
        <v>-4.2916208515859644E-3</v>
      </c>
      <c r="BV66" s="44">
        <f t="shared" si="32"/>
        <v>-1.3392922500413684E-3</v>
      </c>
      <c r="BW66" s="61">
        <f t="shared" si="33"/>
        <v>53.376232996502544</v>
      </c>
    </row>
    <row r="67" spans="3:75" ht="20.100000000000001" customHeight="1" x14ac:dyDescent="0.25">
      <c r="C67" s="29"/>
      <c r="X67" s="61">
        <f t="shared" si="22"/>
        <v>56</v>
      </c>
      <c r="Y67" s="51">
        <f t="shared" si="4"/>
        <v>1.7200000000000009</v>
      </c>
      <c r="Z67" s="1">
        <v>642.25130462646484</v>
      </c>
      <c r="AA67" s="51">
        <v>4.7863263107364891E-3</v>
      </c>
      <c r="AB67" s="51">
        <f t="shared" ref="AB67:AB71" si="38">Z67/(Y$3*Y67+Y$4)-1</f>
        <v>-3.2680491846938886E-2</v>
      </c>
      <c r="AC67" s="44">
        <f t="shared" ref="AC67:AC71" si="39">Y$3/1000/Z67</f>
        <v>7.2825037530137868E-4</v>
      </c>
      <c r="AD67" s="51">
        <f t="shared" ref="AD67:AD71" si="40">Y67</f>
        <v>1.7200000000000009</v>
      </c>
      <c r="AE67" s="72">
        <f t="shared" si="37"/>
        <v>2.9584000000000028</v>
      </c>
      <c r="AF67" s="72">
        <f t="shared" si="1"/>
        <v>5.0884480000000076</v>
      </c>
      <c r="AG67" s="44">
        <f t="shared" ref="AG67:AG71" si="41">AD$6*AF67+AE$6*AE67+AF$6*AD67+AG$6</f>
        <v>7.1512803657323987E-4</v>
      </c>
      <c r="AH67" s="44">
        <f t="shared" ref="AH67:AH71" si="42">AG67-AC67</f>
        <v>-1.3122338728138814E-5</v>
      </c>
      <c r="AI67" s="39"/>
      <c r="AJ67" s="39"/>
      <c r="AK67" s="39"/>
      <c r="AL67" s="39"/>
      <c r="AM67" s="39"/>
      <c r="AN67" s="39"/>
      <c r="AO67" s="39"/>
      <c r="AP67" s="39"/>
      <c r="AQ67" s="39"/>
      <c r="BL67" s="62">
        <f t="shared" si="16"/>
        <v>44</v>
      </c>
      <c r="BM67" s="63">
        <f t="shared" si="17"/>
        <v>190</v>
      </c>
      <c r="BN67" s="68">
        <f t="shared" si="18"/>
        <v>2.89921416037232</v>
      </c>
      <c r="BO67" s="1">
        <v>2.8830015510320663</v>
      </c>
      <c r="BP67" s="1">
        <v>0.12810733659475429</v>
      </c>
      <c r="BR67" s="1">
        <v>21</v>
      </c>
      <c r="BS67" s="47">
        <v>0.97899999999999998</v>
      </c>
      <c r="BT67" s="1">
        <v>500</v>
      </c>
      <c r="BU67" s="51">
        <f t="shared" si="31"/>
        <v>-1.6212609340253703E-2</v>
      </c>
      <c r="BV67" s="44">
        <f t="shared" si="32"/>
        <v>-5.5920702795448918E-3</v>
      </c>
      <c r="BW67" s="61">
        <f t="shared" si="33"/>
        <v>57.848519957584124</v>
      </c>
    </row>
    <row r="68" spans="3:75" ht="20.100000000000001" customHeight="1" x14ac:dyDescent="0.25">
      <c r="C68" s="29"/>
      <c r="X68" s="61">
        <f t="shared" si="22"/>
        <v>57</v>
      </c>
      <c r="Y68" s="51">
        <f t="shared" si="4"/>
        <v>1.7400000000000009</v>
      </c>
      <c r="Z68" s="1">
        <v>646.55052947998047</v>
      </c>
      <c r="AA68" s="51">
        <v>3.7979872183467045E-3</v>
      </c>
      <c r="AB68" s="51">
        <f t="shared" si="38"/>
        <v>-3.9734459625521579E-2</v>
      </c>
      <c r="AC68" s="44">
        <f t="shared" si="39"/>
        <v>7.2340788895217415E-4</v>
      </c>
      <c r="AD68" s="51">
        <f t="shared" si="40"/>
        <v>1.7400000000000009</v>
      </c>
      <c r="AE68" s="72">
        <f t="shared" ref="AE68:AE71" si="43">$AD68^AE$10</f>
        <v>3.0276000000000032</v>
      </c>
      <c r="AF68" s="72">
        <f t="shared" si="1"/>
        <v>5.2680240000000085</v>
      </c>
      <c r="AG68" s="44">
        <f t="shared" si="41"/>
        <v>6.7815642979911911E-4</v>
      </c>
      <c r="AH68" s="44">
        <f t="shared" si="42"/>
        <v>-4.5251459153055045E-5</v>
      </c>
      <c r="AI68" s="39"/>
      <c r="AJ68" s="39"/>
      <c r="AK68" s="39"/>
      <c r="AL68" s="39"/>
      <c r="AM68" s="39"/>
      <c r="AN68" s="39"/>
      <c r="AO68" s="39"/>
      <c r="AP68" s="39"/>
      <c r="AQ68" s="39"/>
      <c r="BL68" s="62">
        <f t="shared" si="16"/>
        <v>43</v>
      </c>
      <c r="BM68" s="63">
        <f t="shared" si="17"/>
        <v>171</v>
      </c>
      <c r="BN68" s="68">
        <f t="shared" si="18"/>
        <v>2.6092927443350882</v>
      </c>
      <c r="BO68" s="1">
        <v>2.5935568735003471</v>
      </c>
      <c r="BP68" s="1">
        <v>0.10235212519273781</v>
      </c>
      <c r="BR68" s="1">
        <v>21</v>
      </c>
      <c r="BS68" s="47">
        <v>0.91600000000000004</v>
      </c>
      <c r="BT68" s="1">
        <v>500</v>
      </c>
      <c r="BU68" s="51">
        <f t="shared" si="31"/>
        <v>-1.5735870834741039E-2</v>
      </c>
      <c r="BV68" s="44">
        <f t="shared" si="32"/>
        <v>-6.0307034804371051E-3</v>
      </c>
      <c r="BW68" s="61">
        <f t="shared" si="33"/>
        <v>59.798062708315392</v>
      </c>
    </row>
    <row r="69" spans="3:75" ht="20.100000000000001" customHeight="1" x14ac:dyDescent="0.25">
      <c r="C69" s="29"/>
      <c r="X69" s="61">
        <f t="shared" si="22"/>
        <v>58</v>
      </c>
      <c r="Y69" s="51">
        <f t="shared" si="4"/>
        <v>1.7600000000000009</v>
      </c>
      <c r="Z69" s="1">
        <v>648.84506988525391</v>
      </c>
      <c r="AA69" s="51">
        <v>6.8798663247397907E-3</v>
      </c>
      <c r="AB69" s="51">
        <f t="shared" si="38"/>
        <v>-4.9531693354302631E-2</v>
      </c>
      <c r="AC69" s="44">
        <f t="shared" si="39"/>
        <v>7.2084966865007972E-4</v>
      </c>
      <c r="AD69" s="51">
        <f t="shared" si="40"/>
        <v>1.7600000000000009</v>
      </c>
      <c r="AE69" s="72">
        <f t="shared" si="43"/>
        <v>3.097600000000003</v>
      </c>
      <c r="AF69" s="72">
        <f t="shared" si="1"/>
        <v>5.4517760000000077</v>
      </c>
      <c r="AG69" s="44">
        <f t="shared" si="41"/>
        <v>6.3674429889774842E-4</v>
      </c>
      <c r="AH69" s="44">
        <f t="shared" si="42"/>
        <v>-8.4105369752331301E-5</v>
      </c>
      <c r="AI69" s="39"/>
      <c r="AJ69" s="39"/>
      <c r="AK69" s="39"/>
      <c r="AL69" s="39"/>
      <c r="AM69" s="39"/>
      <c r="AN69" s="39"/>
      <c r="AO69" s="39"/>
      <c r="AP69" s="39"/>
      <c r="AQ69" s="39"/>
      <c r="BL69" s="62">
        <f t="shared" si="16"/>
        <v>42</v>
      </c>
      <c r="BM69" s="63">
        <f t="shared" si="17"/>
        <v>154</v>
      </c>
      <c r="BN69" s="68">
        <f t="shared" si="18"/>
        <v>2.349889372091249</v>
      </c>
      <c r="BO69" s="1">
        <v>2.3498892784118652</v>
      </c>
      <c r="BP69" s="1">
        <v>0.1129882748518912</v>
      </c>
      <c r="BR69" s="1">
        <v>21</v>
      </c>
      <c r="BS69" s="47">
        <v>0.86399999999999999</v>
      </c>
      <c r="BT69" s="1">
        <v>500</v>
      </c>
      <c r="BU69" s="51">
        <f t="shared" si="31"/>
        <v>-9.3679383805778116E-8</v>
      </c>
      <c r="BV69" s="44">
        <f t="shared" si="32"/>
        <v>-3.9865444279030271E-8</v>
      </c>
      <c r="BW69" s="61">
        <f t="shared" si="33"/>
        <v>58.939332445611086</v>
      </c>
    </row>
    <row r="70" spans="3:75" ht="20.100000000000001" customHeight="1" x14ac:dyDescent="0.25">
      <c r="C70" s="29"/>
      <c r="X70" s="61">
        <f t="shared" si="22"/>
        <v>59</v>
      </c>
      <c r="Y70" s="51">
        <f t="shared" si="4"/>
        <v>1.7800000000000009</v>
      </c>
      <c r="Z70" s="1">
        <v>651.7972297668457</v>
      </c>
      <c r="AA70" s="51">
        <v>4.0116544592734482E-3</v>
      </c>
      <c r="AB70" s="51">
        <f t="shared" si="38"/>
        <v>-5.8113755912017062E-2</v>
      </c>
      <c r="AC70" s="44">
        <f t="shared" si="39"/>
        <v>7.1758475223856208E-4</v>
      </c>
      <c r="AD70" s="51">
        <f t="shared" si="40"/>
        <v>1.7800000000000009</v>
      </c>
      <c r="AE70" s="72">
        <f t="shared" si="43"/>
        <v>3.1684000000000032</v>
      </c>
      <c r="AF70" s="72">
        <f t="shared" si="1"/>
        <v>5.6397520000000085</v>
      </c>
      <c r="AG70" s="44">
        <f t="shared" si="41"/>
        <v>5.9062725818748163E-4</v>
      </c>
      <c r="AH70" s="44">
        <f t="shared" si="42"/>
        <v>-1.2695749405108045E-4</v>
      </c>
      <c r="AI70" s="39"/>
      <c r="AJ70" s="39"/>
      <c r="AK70" s="39"/>
      <c r="AL70" s="39"/>
      <c r="AM70" s="39"/>
      <c r="AN70" s="39"/>
      <c r="AO70" s="39"/>
      <c r="AP70" s="39"/>
      <c r="AQ70" s="39"/>
      <c r="BL70" s="62">
        <f t="shared" si="16"/>
        <v>41</v>
      </c>
      <c r="BM70" s="63">
        <f t="shared" si="17"/>
        <v>139</v>
      </c>
      <c r="BN70" s="68">
        <f t="shared" si="18"/>
        <v>2.1210040436408026</v>
      </c>
      <c r="BO70" s="1">
        <v>2.1062219217419624</v>
      </c>
      <c r="BP70" s="1">
        <v>0.12603422985525017</v>
      </c>
      <c r="BR70" s="1">
        <v>22</v>
      </c>
      <c r="BS70" s="47">
        <v>0.96299999999999997</v>
      </c>
      <c r="BT70" s="1">
        <v>500</v>
      </c>
      <c r="BU70" s="51">
        <f t="shared" si="31"/>
        <v>-1.4782121898840206E-2</v>
      </c>
      <c r="BV70" s="44">
        <f t="shared" si="32"/>
        <v>-6.9693982636006568E-3</v>
      </c>
      <c r="BW70" s="61">
        <f t="shared" si="33"/>
        <v>57.990229761402794</v>
      </c>
    </row>
    <row r="71" spans="3:75" ht="20.100000000000001" customHeight="1" x14ac:dyDescent="0.25">
      <c r="C71" s="29"/>
      <c r="X71" s="61">
        <f t="shared" si="22"/>
        <v>60</v>
      </c>
      <c r="Y71" s="51">
        <f t="shared" si="4"/>
        <v>1.8000000000000009</v>
      </c>
      <c r="Z71" s="1">
        <v>654.20293426513672</v>
      </c>
      <c r="AA71" s="51">
        <v>5.5452542223479902E-3</v>
      </c>
      <c r="AB71" s="51">
        <f t="shared" si="38"/>
        <v>-6.7246023043423087E-2</v>
      </c>
      <c r="AC71" s="44">
        <f t="shared" si="39"/>
        <v>7.149459733888394E-4</v>
      </c>
      <c r="AD71" s="51">
        <f t="shared" si="40"/>
        <v>1.8000000000000009</v>
      </c>
      <c r="AE71" s="72">
        <f t="shared" si="43"/>
        <v>3.2400000000000033</v>
      </c>
      <c r="AF71" s="72">
        <f t="shared" si="1"/>
        <v>5.8320000000000087</v>
      </c>
      <c r="AG71" s="44">
        <f t="shared" si="41"/>
        <v>5.395409219866934E-4</v>
      </c>
      <c r="AH71" s="44">
        <f t="shared" si="42"/>
        <v>-1.75405051402146E-4</v>
      </c>
      <c r="AI71" s="39"/>
      <c r="AJ71" s="39"/>
      <c r="AK71" s="39"/>
      <c r="AL71" s="39"/>
      <c r="AM71" s="39"/>
      <c r="AN71" s="39"/>
      <c r="AO71" s="39"/>
      <c r="AP71" s="39"/>
      <c r="AQ71" s="39"/>
      <c r="BL71" s="62">
        <f t="shared" si="16"/>
        <v>40</v>
      </c>
      <c r="BM71" s="63">
        <f t="shared" si="17"/>
        <v>125</v>
      </c>
      <c r="BN71" s="68">
        <f t="shared" si="18"/>
        <v>1.9073777370870526</v>
      </c>
      <c r="BO71" s="1">
        <v>1.9073777198791504</v>
      </c>
      <c r="BP71" s="1">
        <v>1.8036605930114191</v>
      </c>
      <c r="BR71" s="1">
        <v>22</v>
      </c>
      <c r="BS71" s="47">
        <v>0.90400000000000003</v>
      </c>
      <c r="BT71" s="1">
        <v>500</v>
      </c>
      <c r="BU71" s="51">
        <f t="shared" si="31"/>
        <v>-1.7207902214266824E-8</v>
      </c>
      <c r="BV71" s="44">
        <f t="shared" si="32"/>
        <v>-9.0217590065222453E-9</v>
      </c>
      <c r="BW71" s="61">
        <f t="shared" si="33"/>
        <v>34.876903664598387</v>
      </c>
    </row>
    <row r="72" spans="3:75" ht="20.100000000000001" customHeight="1" x14ac:dyDescent="0.25">
      <c r="C72" s="29"/>
      <c r="X72" s="56"/>
      <c r="AB72" s="39"/>
      <c r="AC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BL72" s="62">
        <f t="shared" si="16"/>
        <v>39</v>
      </c>
      <c r="BM72" s="63">
        <f t="shared" si="17"/>
        <v>113</v>
      </c>
      <c r="BN72" s="68">
        <f t="shared" si="18"/>
        <v>1.7242694743266955</v>
      </c>
      <c r="BO72" s="1">
        <v>1.6880293190479279</v>
      </c>
      <c r="BP72" s="1">
        <v>0.43761692151580722</v>
      </c>
      <c r="BR72" s="1">
        <v>23</v>
      </c>
      <c r="BS72" s="47">
        <v>1.01</v>
      </c>
      <c r="BT72" s="1">
        <v>500</v>
      </c>
      <c r="BU72" s="51">
        <f t="shared" si="31"/>
        <v>-3.6240155278767672E-2</v>
      </c>
      <c r="BV72" s="44">
        <f t="shared" si="32"/>
        <v>-2.1017686514991474E-2</v>
      </c>
      <c r="BW72" s="61">
        <f t="shared" si="33"/>
        <v>47.178117866085898</v>
      </c>
    </row>
    <row r="73" spans="3:75" ht="20.100000000000001" customHeight="1" x14ac:dyDescent="0.25">
      <c r="C73" s="29"/>
      <c r="X73" s="56"/>
      <c r="AB73" s="39"/>
      <c r="AC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BL73" s="62">
        <f t="shared" si="16"/>
        <v>38</v>
      </c>
      <c r="BM73" s="63">
        <f t="shared" si="17"/>
        <v>102</v>
      </c>
      <c r="BN73" s="68">
        <f t="shared" si="18"/>
        <v>1.556420233463035</v>
      </c>
      <c r="BO73" s="1">
        <v>1.5421148687601089</v>
      </c>
      <c r="BP73" s="1">
        <v>0.23949814477712364</v>
      </c>
      <c r="BR73" s="1">
        <v>23</v>
      </c>
      <c r="BS73" s="47">
        <v>0.95</v>
      </c>
      <c r="BT73" s="1">
        <v>500</v>
      </c>
      <c r="BU73" s="51">
        <f t="shared" si="31"/>
        <v>-1.4305364702926093E-2</v>
      </c>
      <c r="BV73" s="44">
        <f t="shared" si="32"/>
        <v>-9.1911968216300544E-3</v>
      </c>
      <c r="BW73" s="61">
        <f t="shared" si="33"/>
        <v>52.413956928176546</v>
      </c>
    </row>
    <row r="74" spans="3:75" ht="20.100000000000001" customHeight="1" x14ac:dyDescent="0.25">
      <c r="C74" s="29"/>
      <c r="X74" s="56"/>
      <c r="BL74" s="62">
        <f t="shared" si="16"/>
        <v>37</v>
      </c>
      <c r="BM74" s="63">
        <f t="shared" si="17"/>
        <v>92</v>
      </c>
      <c r="BN74" s="68">
        <f t="shared" si="18"/>
        <v>1.4038300144960707</v>
      </c>
      <c r="BO74" s="1">
        <v>1.4229038320481777</v>
      </c>
      <c r="BP74" s="1">
        <v>1.4926937723188376</v>
      </c>
      <c r="BR74" s="1">
        <v>23</v>
      </c>
      <c r="BS74" s="47">
        <v>0.90100000000000002</v>
      </c>
      <c r="BT74" s="1">
        <v>500</v>
      </c>
      <c r="BU74" s="51">
        <f t="shared" si="31"/>
        <v>1.907381755210702E-2</v>
      </c>
      <c r="BV74" s="44">
        <f t="shared" si="32"/>
        <v>1.3586985144318886E-2</v>
      </c>
      <c r="BW74" s="61">
        <f t="shared" si="33"/>
        <v>36.520585582043729</v>
      </c>
    </row>
    <row r="75" spans="3:75" ht="20.100000000000001" customHeight="1" x14ac:dyDescent="0.25">
      <c r="C75" s="29"/>
      <c r="X75" s="56"/>
      <c r="BL75" s="62">
        <f t="shared" si="16"/>
        <v>36</v>
      </c>
      <c r="BM75" s="63">
        <f t="shared" si="17"/>
        <v>83</v>
      </c>
      <c r="BN75" s="68">
        <f t="shared" si="18"/>
        <v>1.2664988174258029</v>
      </c>
      <c r="BO75" s="1">
        <v>1.2664988040924072</v>
      </c>
      <c r="BP75" s="1">
        <v>2.0884313985902367</v>
      </c>
      <c r="BR75" s="1">
        <v>23</v>
      </c>
      <c r="BS75" s="47">
        <v>0.84199999999999997</v>
      </c>
      <c r="BT75" s="1">
        <v>500</v>
      </c>
      <c r="BU75" s="51">
        <f t="shared" si="31"/>
        <v>-1.3333395720849239E-8</v>
      </c>
      <c r="BV75" s="44">
        <f t="shared" si="32"/>
        <v>-1.0527760108125506E-8</v>
      </c>
      <c r="BW75" s="61">
        <f t="shared" si="33"/>
        <v>33.603595719952622</v>
      </c>
    </row>
    <row r="76" spans="3:75" ht="20.100000000000001" customHeight="1" x14ac:dyDescent="0.25">
      <c r="C76" s="29"/>
      <c r="BL76" s="62">
        <f t="shared" ref="BL76:BL139" si="44">IF(AND(BL75&gt;BM$6,BL75&lt;&gt;""),BL75-1,"")</f>
        <v>35</v>
      </c>
      <c r="BM76" s="63">
        <f t="shared" ref="BM76:BM139" si="45">IF(BL76&lt;&gt;"",MAX(BL76,ROUND(BM$6*BM$9^BL76,0)),"")</f>
        <v>75</v>
      </c>
      <c r="BN76" s="68">
        <f t="shared" ref="BN76:BN139" si="46">IF(BM76&lt;&gt;"",O$12/M$12*BM76,"")</f>
        <v>1.1444266422522316</v>
      </c>
      <c r="BO76" s="1">
        <v>1.1444265842437744</v>
      </c>
      <c r="BP76" s="1">
        <v>1.8497520397627654</v>
      </c>
      <c r="BR76" s="1">
        <v>23</v>
      </c>
      <c r="BS76" s="47">
        <v>0.79200000000000004</v>
      </c>
      <c r="BT76" s="1">
        <v>500</v>
      </c>
      <c r="BU76" s="51">
        <f t="shared" si="31"/>
        <v>-5.8008457148872594E-8</v>
      </c>
      <c r="BV76" s="44">
        <f t="shared" si="32"/>
        <v>-5.0687789854286791E-8</v>
      </c>
      <c r="BW76" s="61">
        <f t="shared" si="33"/>
        <v>34.657729701996381</v>
      </c>
    </row>
    <row r="77" spans="3:75" ht="20.100000000000001" customHeight="1" x14ac:dyDescent="0.25">
      <c r="C77" s="29"/>
      <c r="BL77" s="62">
        <f t="shared" si="44"/>
        <v>34</v>
      </c>
      <c r="BM77" s="63">
        <f t="shared" si="45"/>
        <v>67</v>
      </c>
      <c r="BN77" s="68">
        <f t="shared" si="46"/>
        <v>1.0223544670786602</v>
      </c>
      <c r="BO77" s="1">
        <v>1.0075723007321358</v>
      </c>
      <c r="BP77" s="1">
        <v>0.26346105149784682</v>
      </c>
      <c r="BR77" s="1">
        <v>23</v>
      </c>
      <c r="BS77" s="47">
        <v>0.74</v>
      </c>
      <c r="BT77" s="1">
        <v>500</v>
      </c>
      <c r="BU77" s="51">
        <f t="shared" si="31"/>
        <v>-1.4782166346524406E-2</v>
      </c>
      <c r="BV77" s="44">
        <f t="shared" si="32"/>
        <v>-1.4458944351037006E-2</v>
      </c>
      <c r="BW77" s="61">
        <f t="shared" si="33"/>
        <v>51.585671583967354</v>
      </c>
    </row>
    <row r="78" spans="3:75" ht="20.100000000000001" customHeight="1" x14ac:dyDescent="0.25">
      <c r="C78" s="29"/>
      <c r="BL78" s="62">
        <f t="shared" si="44"/>
        <v>33</v>
      </c>
      <c r="BM78" s="63">
        <f t="shared" si="45"/>
        <v>61</v>
      </c>
      <c r="BN78" s="68">
        <f t="shared" si="46"/>
        <v>0.93080033569848175</v>
      </c>
      <c r="BO78" s="1">
        <v>0.93652245402336121</v>
      </c>
      <c r="BP78" s="1">
        <v>1.5643810358172119</v>
      </c>
      <c r="BR78" s="1">
        <v>23</v>
      </c>
      <c r="BS78" s="47">
        <v>0.71199999999999997</v>
      </c>
      <c r="BT78" s="1">
        <v>500</v>
      </c>
      <c r="BU78" s="51">
        <f t="shared" si="31"/>
        <v>5.7221183248794549E-3</v>
      </c>
      <c r="BV78" s="44">
        <f t="shared" si="32"/>
        <v>6.1475249905078577E-3</v>
      </c>
      <c r="BW78" s="61">
        <f t="shared" si="33"/>
        <v>36.113149148310939</v>
      </c>
    </row>
    <row r="79" spans="3:75" ht="20.100000000000001" customHeight="1" x14ac:dyDescent="0.25">
      <c r="C79" s="29"/>
      <c r="BL79" s="62">
        <f t="shared" si="44"/>
        <v>32</v>
      </c>
      <c r="BM79" s="63">
        <f t="shared" si="45"/>
        <v>55</v>
      </c>
      <c r="BN79" s="68">
        <f t="shared" si="46"/>
        <v>0.83924620431830321</v>
      </c>
      <c r="BO79" s="1">
        <v>0.83972305804491043</v>
      </c>
      <c r="BP79" s="1">
        <v>0.31612334003194181</v>
      </c>
      <c r="BR79" s="1">
        <v>24</v>
      </c>
      <c r="BS79" s="47">
        <v>1.31</v>
      </c>
      <c r="BT79" s="1">
        <v>500</v>
      </c>
      <c r="BU79" s="51">
        <f t="shared" si="31"/>
        <v>4.7685372660721814E-4</v>
      </c>
      <c r="BV79" s="44">
        <f t="shared" si="32"/>
        <v>5.6819289042198129E-4</v>
      </c>
      <c r="BW79" s="61">
        <f t="shared" si="33"/>
        <v>50.002868762558407</v>
      </c>
    </row>
    <row r="80" spans="3:75" ht="20.100000000000001" customHeight="1" x14ac:dyDescent="0.25">
      <c r="C80" s="29"/>
      <c r="D80"/>
      <c r="BL80" s="62">
        <f t="shared" si="44"/>
        <v>31</v>
      </c>
      <c r="BM80" s="63">
        <f t="shared" si="45"/>
        <v>49</v>
      </c>
      <c r="BN80" s="68">
        <f t="shared" si="46"/>
        <v>0.74769207293812467</v>
      </c>
      <c r="BO80" s="1">
        <v>0.7476920485496521</v>
      </c>
      <c r="BP80" s="1">
        <v>2.1223926555540968</v>
      </c>
      <c r="BR80" s="1">
        <v>24</v>
      </c>
      <c r="BS80" s="47">
        <v>1.19</v>
      </c>
      <c r="BT80" s="1">
        <v>500</v>
      </c>
      <c r="BU80" s="51">
        <f t="shared" si="31"/>
        <v>-2.4388472574798925E-8</v>
      </c>
      <c r="BV80" s="44">
        <f t="shared" si="32"/>
        <v>-3.2618337808543174E-8</v>
      </c>
      <c r="BW80" s="61">
        <f t="shared" si="33"/>
        <v>33.463485317599421</v>
      </c>
    </row>
    <row r="81" spans="3:75" ht="20.100000000000001" customHeight="1" x14ac:dyDescent="0.25">
      <c r="C81" s="29"/>
      <c r="BL81" s="62">
        <f t="shared" si="44"/>
        <v>30</v>
      </c>
      <c r="BM81" s="63">
        <f t="shared" si="45"/>
        <v>45</v>
      </c>
      <c r="BN81" s="68">
        <f t="shared" si="46"/>
        <v>0.68665598535133898</v>
      </c>
      <c r="BO81" s="1">
        <v>0.68665599822998047</v>
      </c>
      <c r="BP81" s="1">
        <v>1.5423015864618126</v>
      </c>
      <c r="BR81" s="1">
        <v>24</v>
      </c>
      <c r="BS81" s="47">
        <v>1.1200000000000001</v>
      </c>
      <c r="BT81" s="1">
        <v>500</v>
      </c>
      <c r="BU81" s="51">
        <f t="shared" si="31"/>
        <v>1.2878641486580023E-8</v>
      </c>
      <c r="BV81" s="44">
        <f t="shared" si="32"/>
        <v>1.8755594854980018E-8</v>
      </c>
      <c r="BW81" s="61">
        <f t="shared" si="33"/>
        <v>36.236613893671553</v>
      </c>
    </row>
    <row r="82" spans="3:75" ht="20.100000000000001" customHeight="1" x14ac:dyDescent="0.25">
      <c r="C82" s="29"/>
      <c r="BL82" s="62">
        <f t="shared" si="44"/>
        <v>29</v>
      </c>
      <c r="BM82" s="63">
        <f t="shared" si="45"/>
        <v>40</v>
      </c>
      <c r="BN82" s="68">
        <f t="shared" si="46"/>
        <v>0.61036087586785681</v>
      </c>
      <c r="BO82" s="1">
        <v>0.62561988830566406</v>
      </c>
      <c r="BP82" s="1">
        <v>0.8500088426546959</v>
      </c>
      <c r="BR82" s="1">
        <v>24</v>
      </c>
      <c r="BS82" s="47">
        <v>1.06</v>
      </c>
      <c r="BT82" s="1">
        <v>500</v>
      </c>
      <c r="BU82" s="51">
        <f t="shared" ref="BU82:BU83" si="47">BO82-BN82</f>
        <v>1.5259012437807251E-2</v>
      </c>
      <c r="BV82" s="44">
        <f t="shared" ref="BV82:BV83" si="48">BO82/BN82-1</f>
        <v>2.4999984502792394E-2</v>
      </c>
      <c r="BW82" s="61">
        <f t="shared" ref="BW82:BW83" si="49">-20*LOG10(BP82/100)</f>
        <v>41.411531125804402</v>
      </c>
    </row>
    <row r="83" spans="3:75" ht="20.100000000000001" customHeight="1" x14ac:dyDescent="0.25">
      <c r="C83" s="29"/>
      <c r="BL83" s="62">
        <f t="shared" si="44"/>
        <v>28</v>
      </c>
      <c r="BM83" s="63">
        <f t="shared" si="45"/>
        <v>36</v>
      </c>
      <c r="BN83" s="68">
        <f t="shared" si="46"/>
        <v>0.54932478828107112</v>
      </c>
      <c r="BO83" s="1">
        <v>0.54932481050491333</v>
      </c>
      <c r="BP83" s="1">
        <v>0.48282149633779808</v>
      </c>
      <c r="BR83" s="1">
        <v>24</v>
      </c>
      <c r="BS83" s="47">
        <v>0.96799999999999997</v>
      </c>
      <c r="BT83" s="1">
        <v>500</v>
      </c>
      <c r="BU83" s="51">
        <f t="shared" si="47"/>
        <v>2.2223842210955524E-8</v>
      </c>
      <c r="BV83" s="44">
        <f t="shared" si="48"/>
        <v>4.0456652694587092E-8</v>
      </c>
      <c r="BW83" s="61">
        <f t="shared" si="49"/>
        <v>46.324268046843429</v>
      </c>
    </row>
    <row r="84" spans="3:75" ht="20.100000000000001" customHeight="1" x14ac:dyDescent="0.25">
      <c r="C84" s="29"/>
      <c r="BL84" s="62">
        <f t="shared" si="44"/>
        <v>27</v>
      </c>
      <c r="BM84" s="63">
        <f t="shared" si="45"/>
        <v>33</v>
      </c>
      <c r="BN84" s="68">
        <f t="shared" si="46"/>
        <v>0.50354772259098191</v>
      </c>
      <c r="BO84" s="1">
        <v>0.49830243736505508</v>
      </c>
      <c r="BP84" s="1">
        <v>1.4543908123388718</v>
      </c>
      <c r="BR84" s="1">
        <v>24</v>
      </c>
      <c r="BS84" s="47">
        <v>0.90900000000000003</v>
      </c>
      <c r="BT84" s="1">
        <v>500</v>
      </c>
      <c r="BU84" s="51">
        <f t="shared" ref="BU84:BU147" si="50">BO84-BN84</f>
        <v>-5.2452852259268212E-3</v>
      </c>
      <c r="BV84" s="44">
        <f t="shared" ref="BV84:BV147" si="51">BO84/BN84-1</f>
        <v>-1.0416659614579271E-2</v>
      </c>
      <c r="BW84" s="61">
        <f t="shared" ref="BW84:BW147" si="52">-20*LOG10(BP84/100)</f>
        <v>36.746377552672257</v>
      </c>
    </row>
    <row r="85" spans="3:75" ht="20.100000000000001" customHeight="1" x14ac:dyDescent="0.25">
      <c r="C85" s="29"/>
      <c r="BL85" s="62">
        <f t="shared" si="44"/>
        <v>26</v>
      </c>
      <c r="BM85" s="63">
        <f t="shared" si="45"/>
        <v>29</v>
      </c>
      <c r="BN85" s="68">
        <f t="shared" si="46"/>
        <v>0.44251163500419621</v>
      </c>
      <c r="BO85" s="1">
        <v>0.45777064561843872</v>
      </c>
      <c r="BP85" s="1">
        <v>1.162328293317652</v>
      </c>
      <c r="BR85" s="1">
        <v>25</v>
      </c>
      <c r="BS85" s="47">
        <v>0.97399999999999998</v>
      </c>
      <c r="BT85" s="1">
        <v>500</v>
      </c>
      <c r="BU85" s="51">
        <f t="shared" si="50"/>
        <v>1.5259010614242507E-2</v>
      </c>
      <c r="BV85" s="44">
        <f t="shared" si="51"/>
        <v>3.4482733124288956E-2</v>
      </c>
      <c r="BW85" s="61">
        <f t="shared" si="52"/>
        <v>38.693423810006692</v>
      </c>
    </row>
    <row r="86" spans="3:75" ht="20.100000000000001" customHeight="1" x14ac:dyDescent="0.25">
      <c r="C86" s="29"/>
      <c r="BL86" s="62">
        <f t="shared" si="44"/>
        <v>25</v>
      </c>
      <c r="BM86" s="63">
        <f t="shared" si="45"/>
        <v>27</v>
      </c>
      <c r="BN86" s="68">
        <f t="shared" si="46"/>
        <v>0.41199359121080337</v>
      </c>
      <c r="BO86" s="1">
        <v>0.4119935929775238</v>
      </c>
      <c r="BP86" s="1">
        <v>1.9265294329330289</v>
      </c>
      <c r="BR86" s="1">
        <v>25</v>
      </c>
      <c r="BS86" s="47">
        <v>0.92500000000000004</v>
      </c>
      <c r="BT86" s="1">
        <v>500</v>
      </c>
      <c r="BU86" s="51">
        <f t="shared" si="50"/>
        <v>1.7667204366134115E-9</v>
      </c>
      <c r="BV86" s="44">
        <f t="shared" si="51"/>
        <v>4.2882231099383716E-9</v>
      </c>
      <c r="BW86" s="61">
        <f t="shared" si="52"/>
        <v>34.304487031615444</v>
      </c>
    </row>
    <row r="87" spans="3:75" ht="20.100000000000001" customHeight="1" x14ac:dyDescent="0.25">
      <c r="C87" s="29"/>
      <c r="BL87" s="62">
        <f t="shared" si="44"/>
        <v>24</v>
      </c>
      <c r="BM87" s="63">
        <f t="shared" si="45"/>
        <v>24</v>
      </c>
      <c r="BN87" s="68">
        <f t="shared" si="46"/>
        <v>0.3662165255207141</v>
      </c>
      <c r="BO87" s="1">
        <v>0.35811018198728561</v>
      </c>
      <c r="BP87" s="1">
        <v>2.1262894617115777</v>
      </c>
      <c r="BR87" s="1">
        <v>26</v>
      </c>
      <c r="BS87" s="47">
        <v>0.94599999999999995</v>
      </c>
      <c r="BT87" s="1">
        <v>500</v>
      </c>
      <c r="BU87" s="51">
        <f t="shared" si="50"/>
        <v>-8.1063435334284839E-3</v>
      </c>
      <c r="BV87" s="44">
        <f t="shared" si="51"/>
        <v>-2.2135384310968176E-2</v>
      </c>
      <c r="BW87" s="61">
        <f t="shared" si="52"/>
        <v>33.447552265052025</v>
      </c>
    </row>
    <row r="88" spans="3:75" ht="20.100000000000001" customHeight="1" x14ac:dyDescent="0.25">
      <c r="C88" s="29"/>
      <c r="BL88" s="62">
        <f t="shared" si="44"/>
        <v>23</v>
      </c>
      <c r="BM88" s="63">
        <f t="shared" si="45"/>
        <v>23</v>
      </c>
      <c r="BN88" s="68">
        <f t="shared" si="46"/>
        <v>0.35095750362401767</v>
      </c>
      <c r="BO88" s="1">
        <v>0.35095751285552979</v>
      </c>
      <c r="BP88" s="1">
        <v>0.75535032979224015</v>
      </c>
      <c r="BR88" s="1">
        <v>26</v>
      </c>
      <c r="BS88" s="47">
        <v>0.93700000000000006</v>
      </c>
      <c r="BT88" s="1">
        <v>500</v>
      </c>
      <c r="BU88" s="51">
        <f t="shared" si="50"/>
        <v>9.2315121102970465E-9</v>
      </c>
      <c r="BV88" s="44">
        <f t="shared" si="51"/>
        <v>2.6303788924764149E-8</v>
      </c>
      <c r="BW88" s="61">
        <f t="shared" si="52"/>
        <v>42.437031536751213</v>
      </c>
    </row>
    <row r="89" spans="3:75" ht="20.100000000000001" customHeight="1" x14ac:dyDescent="0.25">
      <c r="C89" s="29"/>
      <c r="BL89" s="62">
        <f t="shared" si="44"/>
        <v>22</v>
      </c>
      <c r="BM89" s="63">
        <f t="shared" si="45"/>
        <v>22</v>
      </c>
      <c r="BN89" s="68">
        <f t="shared" si="46"/>
        <v>0.33569848172732125</v>
      </c>
      <c r="BO89" s="1">
        <v>0.35095751285552979</v>
      </c>
      <c r="BP89" s="1">
        <v>0.75535032979224015</v>
      </c>
      <c r="BR89" s="1">
        <v>26</v>
      </c>
      <c r="BS89" s="47">
        <v>0.93700000000000006</v>
      </c>
      <c r="BT89" s="1">
        <v>500</v>
      </c>
      <c r="BU89" s="51">
        <f t="shared" si="50"/>
        <v>1.5259031128208533E-2</v>
      </c>
      <c r="BV89" s="44">
        <f t="shared" si="51"/>
        <v>4.545457295396127E-2</v>
      </c>
      <c r="BW89" s="61">
        <f t="shared" si="52"/>
        <v>42.437031536751213</v>
      </c>
    </row>
    <row r="90" spans="3:75" ht="20.100000000000001" customHeight="1" x14ac:dyDescent="0.25">
      <c r="C90" s="29"/>
      <c r="BL90" s="62">
        <f t="shared" si="44"/>
        <v>21</v>
      </c>
      <c r="BM90" s="63">
        <f t="shared" si="45"/>
        <v>21</v>
      </c>
      <c r="BN90" s="68">
        <f t="shared" si="46"/>
        <v>0.32043945983062483</v>
      </c>
      <c r="BO90" s="1">
        <v>0.33236057311296463</v>
      </c>
      <c r="BP90" s="1">
        <v>1.8979067675682832</v>
      </c>
      <c r="BR90" s="1">
        <v>26</v>
      </c>
      <c r="BS90" s="47">
        <v>0.89700000000000002</v>
      </c>
      <c r="BT90" s="1">
        <v>500</v>
      </c>
      <c r="BU90" s="51">
        <f t="shared" si="50"/>
        <v>1.1921113282339801E-2</v>
      </c>
      <c r="BV90" s="44">
        <f t="shared" si="51"/>
        <v>3.7202388521816232E-2</v>
      </c>
      <c r="BW90" s="61">
        <f t="shared" si="52"/>
        <v>34.434502511779712</v>
      </c>
    </row>
    <row r="91" spans="3:75" ht="20.100000000000001" customHeight="1" x14ac:dyDescent="0.25">
      <c r="C91" s="29"/>
      <c r="BL91" s="62">
        <f t="shared" si="44"/>
        <v>20</v>
      </c>
      <c r="BM91" s="63">
        <f t="shared" si="45"/>
        <v>20</v>
      </c>
      <c r="BN91" s="68">
        <f t="shared" si="46"/>
        <v>0.30518043793392841</v>
      </c>
      <c r="BO91" s="1">
        <v>0.28992140293121338</v>
      </c>
      <c r="BP91" s="1">
        <v>13.122666818831508</v>
      </c>
      <c r="BR91" s="1">
        <v>27</v>
      </c>
      <c r="BS91" s="47">
        <v>0.93700000000000006</v>
      </c>
      <c r="BT91" s="1">
        <v>500</v>
      </c>
      <c r="BU91" s="51">
        <f t="shared" si="50"/>
        <v>-1.5259035002715027E-2</v>
      </c>
      <c r="BV91" s="44">
        <f t="shared" si="51"/>
        <v>-5.0000042945146483E-2</v>
      </c>
      <c r="BW91" s="61">
        <f t="shared" si="52"/>
        <v>17.639557953154895</v>
      </c>
    </row>
    <row r="92" spans="3:75" ht="20.100000000000001" customHeight="1" x14ac:dyDescent="0.25">
      <c r="C92" s="29"/>
      <c r="BL92" s="62">
        <f t="shared" si="44"/>
        <v>19</v>
      </c>
      <c r="BM92" s="63">
        <f t="shared" si="45"/>
        <v>19</v>
      </c>
      <c r="BN92" s="68">
        <f t="shared" si="46"/>
        <v>0.28992141603723198</v>
      </c>
      <c r="BO92" s="1">
        <v>0.28992140293121338</v>
      </c>
      <c r="BP92" s="1">
        <v>13.122666818831508</v>
      </c>
      <c r="BR92" s="1">
        <v>27</v>
      </c>
      <c r="BS92" s="47">
        <v>0.92600000000000005</v>
      </c>
      <c r="BT92" s="1">
        <v>500</v>
      </c>
      <c r="BU92" s="51">
        <f t="shared" si="50"/>
        <v>-1.3106018603714631E-8</v>
      </c>
      <c r="BV92" s="44">
        <f t="shared" si="51"/>
        <v>-4.5205417298355144E-8</v>
      </c>
      <c r="BW92" s="61">
        <f t="shared" si="52"/>
        <v>17.639557953154895</v>
      </c>
    </row>
    <row r="93" spans="3:75" ht="20.100000000000001" customHeight="1" x14ac:dyDescent="0.25">
      <c r="C93" s="29"/>
      <c r="BL93" s="62">
        <f t="shared" si="44"/>
        <v>18</v>
      </c>
      <c r="BM93" s="63">
        <f t="shared" si="45"/>
        <v>18</v>
      </c>
      <c r="BN93" s="68">
        <f t="shared" si="46"/>
        <v>0.27466239414053556</v>
      </c>
      <c r="BO93" s="1">
        <v>0.28753718454390764</v>
      </c>
      <c r="BP93" s="1">
        <v>1.9267880916968387</v>
      </c>
      <c r="BR93" s="1">
        <v>27</v>
      </c>
      <c r="BS93" s="47">
        <v>0.91800000000000004</v>
      </c>
      <c r="BT93" s="1">
        <v>500</v>
      </c>
      <c r="BU93" s="51">
        <f t="shared" si="50"/>
        <v>1.2874790403372083E-2</v>
      </c>
      <c r="BV93" s="44">
        <f t="shared" si="51"/>
        <v>4.687496606027719E-2</v>
      </c>
      <c r="BW93" s="61">
        <f t="shared" si="52"/>
        <v>34.303320929177538</v>
      </c>
    </row>
    <row r="94" spans="3:75" ht="20.100000000000001" customHeight="1" x14ac:dyDescent="0.25">
      <c r="C94" s="29"/>
      <c r="BL94" s="62">
        <f t="shared" si="44"/>
        <v>17</v>
      </c>
      <c r="BM94" s="63">
        <f t="shared" si="45"/>
        <v>17</v>
      </c>
      <c r="BN94" s="68">
        <f t="shared" si="46"/>
        <v>0.25940337224383914</v>
      </c>
      <c r="BO94" s="1">
        <v>0.25940337777137756</v>
      </c>
      <c r="BP94" s="1">
        <v>2.0393964427951286</v>
      </c>
      <c r="BR94" s="1">
        <v>27</v>
      </c>
      <c r="BS94" s="47">
        <v>0.875</v>
      </c>
      <c r="BT94" s="1">
        <v>500</v>
      </c>
      <c r="BU94" s="51">
        <f t="shared" si="50"/>
        <v>5.5275384269748429E-9</v>
      </c>
      <c r="BV94" s="44">
        <f t="shared" si="51"/>
        <v>2.1308660613783559E-8</v>
      </c>
      <c r="BW94" s="61">
        <f t="shared" si="52"/>
        <v>33.809966850963022</v>
      </c>
    </row>
    <row r="95" spans="3:75" ht="20.100000000000001" customHeight="1" x14ac:dyDescent="0.25">
      <c r="C95" s="29"/>
      <c r="BL95" s="62">
        <f t="shared" si="44"/>
        <v>16</v>
      </c>
      <c r="BM95" s="63">
        <f t="shared" si="45"/>
        <v>16</v>
      </c>
      <c r="BN95" s="68">
        <f t="shared" si="46"/>
        <v>0.24414435034714274</v>
      </c>
      <c r="BO95" s="1">
        <v>0.19836728274822235</v>
      </c>
      <c r="BP95" s="1">
        <v>13.713684567800447</v>
      </c>
      <c r="BR95" s="1">
        <v>28</v>
      </c>
      <c r="BS95" s="47">
        <v>0.875</v>
      </c>
      <c r="BT95" s="1">
        <v>500</v>
      </c>
      <c r="BU95" s="51">
        <f t="shared" si="50"/>
        <v>-4.577706759892039E-2</v>
      </c>
      <c r="BV95" s="44">
        <f t="shared" si="51"/>
        <v>-0.187500007818453</v>
      </c>
      <c r="BW95" s="61">
        <f t="shared" si="52"/>
        <v>17.256916881632137</v>
      </c>
    </row>
    <row r="96" spans="3:75" ht="20.100000000000001" customHeight="1" x14ac:dyDescent="0.25">
      <c r="C96" s="29"/>
      <c r="BL96" s="62">
        <f t="shared" si="44"/>
        <v>15</v>
      </c>
      <c r="BM96" s="63">
        <f t="shared" si="45"/>
        <v>15</v>
      </c>
      <c r="BN96" s="68">
        <f t="shared" si="46"/>
        <v>0.22888532845044632</v>
      </c>
      <c r="BO96" s="1">
        <v>0.22888532280921936</v>
      </c>
      <c r="BP96" s="1">
        <v>2.3295210243599964</v>
      </c>
      <c r="BR96" s="1">
        <v>28</v>
      </c>
      <c r="BS96" s="47">
        <v>0.95299999999999996</v>
      </c>
      <c r="BT96" s="1">
        <v>500</v>
      </c>
      <c r="BU96" s="51">
        <f t="shared" si="50"/>
        <v>-5.6412269577865715E-9</v>
      </c>
      <c r="BV96" s="44">
        <f t="shared" si="51"/>
        <v>-2.4646520602189526E-8</v>
      </c>
      <c r="BW96" s="61">
        <f t="shared" si="52"/>
        <v>32.654667312193901</v>
      </c>
    </row>
    <row r="97" spans="3:75" ht="20.100000000000001" customHeight="1" x14ac:dyDescent="0.25">
      <c r="C97" s="29"/>
      <c r="BL97" s="62">
        <f t="shared" si="44"/>
        <v>14</v>
      </c>
      <c r="BM97" s="63">
        <f t="shared" si="45"/>
        <v>14</v>
      </c>
      <c r="BN97" s="68">
        <f t="shared" si="46"/>
        <v>0.2136263065537499</v>
      </c>
      <c r="BO97" s="1">
        <v>0.21457999851554632</v>
      </c>
      <c r="BP97" s="1">
        <v>1.7211915925454453</v>
      </c>
      <c r="BR97" s="1">
        <v>28</v>
      </c>
      <c r="BS97" s="47">
        <v>0.90700000000000003</v>
      </c>
      <c r="BT97" s="1">
        <v>500</v>
      </c>
      <c r="BU97" s="51">
        <f t="shared" si="50"/>
        <v>9.5369196179642679E-4</v>
      </c>
      <c r="BV97" s="44">
        <f t="shared" si="51"/>
        <v>4.4643001940234406E-3</v>
      </c>
      <c r="BW97" s="61">
        <f t="shared" si="52"/>
        <v>35.283415679398729</v>
      </c>
    </row>
    <row r="98" spans="3:75" ht="20.100000000000001" customHeight="1" x14ac:dyDescent="0.25">
      <c r="C98" s="29"/>
      <c r="BL98" s="62">
        <f t="shared" si="44"/>
        <v>13</v>
      </c>
      <c r="BM98" s="63">
        <f t="shared" si="45"/>
        <v>13</v>
      </c>
      <c r="BN98" s="68">
        <f t="shared" si="46"/>
        <v>0.19836728465705347</v>
      </c>
      <c r="BO98" s="1">
        <v>0.20838101953268051</v>
      </c>
      <c r="BP98" s="1">
        <v>3.4778910684617288</v>
      </c>
      <c r="BR98" s="1">
        <v>28</v>
      </c>
      <c r="BS98" s="47">
        <v>0.89900000000000002</v>
      </c>
      <c r="BT98" s="1">
        <v>500</v>
      </c>
      <c r="BU98" s="51">
        <f t="shared" si="50"/>
        <v>1.0013734875627039E-2</v>
      </c>
      <c r="BV98" s="44">
        <f t="shared" si="51"/>
        <v>5.0480778082632183E-2</v>
      </c>
      <c r="BW98" s="61">
        <f t="shared" si="52"/>
        <v>29.17368049443407</v>
      </c>
    </row>
    <row r="99" spans="3:75" ht="20.100000000000001" customHeight="1" x14ac:dyDescent="0.25">
      <c r="C99" s="29"/>
      <c r="BL99" s="62">
        <f t="shared" si="44"/>
        <v>12</v>
      </c>
      <c r="BM99" s="63">
        <f t="shared" si="45"/>
        <v>12</v>
      </c>
      <c r="BN99" s="68">
        <f t="shared" si="46"/>
        <v>0.18310826276035705</v>
      </c>
      <c r="BO99" s="1">
        <v>0.35095751285552979</v>
      </c>
      <c r="BP99" s="1">
        <v>0.75535032979967798</v>
      </c>
      <c r="BR99" s="1">
        <v>29</v>
      </c>
      <c r="BS99" s="47">
        <v>1.8</v>
      </c>
      <c r="BT99" s="1">
        <v>500</v>
      </c>
      <c r="BU99" s="51">
        <f t="shared" si="50"/>
        <v>0.16784925009517274</v>
      </c>
      <c r="BV99" s="44">
        <f t="shared" si="51"/>
        <v>0.91666671708226222</v>
      </c>
      <c r="BW99" s="61">
        <f t="shared" si="52"/>
        <v>42.437031536665685</v>
      </c>
    </row>
    <row r="100" spans="3:75" ht="20.100000000000001" customHeight="1" x14ac:dyDescent="0.25">
      <c r="C100" s="29"/>
      <c r="BL100" s="62">
        <f t="shared" si="44"/>
        <v>11</v>
      </c>
      <c r="BM100" s="63">
        <f t="shared" si="45"/>
        <v>11</v>
      </c>
      <c r="BN100" s="68">
        <f t="shared" si="46"/>
        <v>0.16784924086366063</v>
      </c>
      <c r="BO100" s="1">
        <v>0.16784924268722534</v>
      </c>
      <c r="BP100" s="1">
        <v>18.355248556140424</v>
      </c>
      <c r="BR100" s="1">
        <v>29</v>
      </c>
      <c r="BS100" s="47">
        <v>0.93600000000000005</v>
      </c>
      <c r="BT100" s="1">
        <v>500</v>
      </c>
      <c r="BU100" s="51">
        <f t="shared" si="50"/>
        <v>1.8235647158970636E-9</v>
      </c>
      <c r="BV100" s="44">
        <f t="shared" si="51"/>
        <v>1.0864301236424012E-8</v>
      </c>
      <c r="BW100" s="61">
        <f t="shared" si="52"/>
        <v>14.724794603118873</v>
      </c>
    </row>
    <row r="101" spans="3:75" ht="20.100000000000001" customHeight="1" x14ac:dyDescent="0.25">
      <c r="C101" s="29"/>
      <c r="BL101" s="62">
        <f t="shared" si="44"/>
        <v>10</v>
      </c>
      <c r="BM101" s="63">
        <f t="shared" si="45"/>
        <v>10</v>
      </c>
      <c r="BN101" s="68">
        <f t="shared" si="46"/>
        <v>0.1525902189669642</v>
      </c>
      <c r="BO101" s="1">
        <v>0.15259021520614624</v>
      </c>
      <c r="BP101" s="1">
        <v>1.7342467944087008</v>
      </c>
      <c r="BR101" s="1">
        <v>29</v>
      </c>
      <c r="BS101" s="47">
        <v>0.86599999999999999</v>
      </c>
      <c r="BT101" s="1">
        <v>500</v>
      </c>
      <c r="BU101" s="51">
        <f t="shared" si="50"/>
        <v>-3.7608179626058558E-9</v>
      </c>
      <c r="BV101" s="44">
        <f t="shared" si="51"/>
        <v>-2.4646520491167223E-8</v>
      </c>
      <c r="BW101" s="61">
        <f t="shared" si="52"/>
        <v>35.217781991599878</v>
      </c>
    </row>
    <row r="102" spans="3:75" ht="20.100000000000001" customHeight="1" x14ac:dyDescent="0.25">
      <c r="C102" s="29"/>
      <c r="BL102" s="62">
        <f t="shared" si="44"/>
        <v>9</v>
      </c>
      <c r="BM102" s="63">
        <f t="shared" si="45"/>
        <v>9</v>
      </c>
      <c r="BN102" s="68">
        <f t="shared" si="46"/>
        <v>0.13733119707026778</v>
      </c>
      <c r="BO102" s="1">
        <v>0.13160906732082367</v>
      </c>
      <c r="BP102" s="1">
        <v>5.6129126136147036</v>
      </c>
      <c r="BR102" s="1">
        <v>29</v>
      </c>
      <c r="BS102" s="47">
        <v>0.80100000000000005</v>
      </c>
      <c r="BT102" s="1">
        <v>500</v>
      </c>
      <c r="BU102" s="51">
        <f t="shared" si="50"/>
        <v>-5.7221297494441103E-3</v>
      </c>
      <c r="BV102" s="44">
        <f t="shared" si="51"/>
        <v>-4.1666641458868892E-2</v>
      </c>
      <c r="BW102" s="61">
        <f t="shared" si="52"/>
        <v>25.016234383542969</v>
      </c>
    </row>
    <row r="103" spans="3:75" ht="20.100000000000001" customHeight="1" x14ac:dyDescent="0.25">
      <c r="C103" s="29"/>
      <c r="BL103" s="62">
        <f t="shared" si="44"/>
        <v>8</v>
      </c>
      <c r="BM103" s="63">
        <f t="shared" si="45"/>
        <v>8</v>
      </c>
      <c r="BN103" s="68">
        <f t="shared" si="46"/>
        <v>0.12207217517357137</v>
      </c>
      <c r="BO103" s="1">
        <v>0.12207217514514923</v>
      </c>
      <c r="BP103" s="1">
        <v>2.1661214291768163</v>
      </c>
      <c r="BR103" s="1">
        <v>29</v>
      </c>
      <c r="BS103" s="47">
        <v>0.75</v>
      </c>
      <c r="BT103" s="1">
        <v>500</v>
      </c>
      <c r="BU103" s="51">
        <f t="shared" si="50"/>
        <v>-2.842213964182605E-11</v>
      </c>
      <c r="BV103" s="44">
        <f t="shared" si="51"/>
        <v>-2.3283064365386963E-10</v>
      </c>
      <c r="BW103" s="61">
        <f t="shared" si="52"/>
        <v>33.286344023989976</v>
      </c>
    </row>
    <row r="104" spans="3:75" ht="20.100000000000001" customHeight="1" x14ac:dyDescent="0.25">
      <c r="C104" s="29"/>
      <c r="BL104" s="62">
        <f t="shared" si="44"/>
        <v>7</v>
      </c>
      <c r="BM104" s="63">
        <f t="shared" si="45"/>
        <v>7</v>
      </c>
      <c r="BN104" s="68">
        <f t="shared" si="46"/>
        <v>0.10681315327687495</v>
      </c>
      <c r="BO104" s="1">
        <v>9.3938356963917613E-2</v>
      </c>
      <c r="BP104" s="1">
        <v>5.8977403119314165</v>
      </c>
      <c r="BR104" s="1">
        <v>29</v>
      </c>
      <c r="BS104" s="47">
        <v>0.69</v>
      </c>
      <c r="BT104" s="1">
        <v>500</v>
      </c>
      <c r="BU104" s="51">
        <f t="shared" si="50"/>
        <v>-1.2874796312957335E-2</v>
      </c>
      <c r="BV104" s="44">
        <f t="shared" si="51"/>
        <v>-0.12053568233852274</v>
      </c>
      <c r="BW104" s="61">
        <f t="shared" si="52"/>
        <v>24.58628708254146</v>
      </c>
    </row>
    <row r="105" spans="3:75" ht="20.100000000000001" customHeight="1" x14ac:dyDescent="0.25">
      <c r="C105" s="29"/>
      <c r="BL105" s="62">
        <f t="shared" si="44"/>
        <v>6</v>
      </c>
      <c r="BM105" s="63">
        <f t="shared" si="45"/>
        <v>6</v>
      </c>
      <c r="BN105" s="68">
        <f t="shared" si="46"/>
        <v>9.1554131380178524E-2</v>
      </c>
      <c r="BO105" s="1">
        <v>6.1036087572574615E-2</v>
      </c>
      <c r="BP105" s="1">
        <v>12.750393636681666</v>
      </c>
      <c r="BR105" s="1">
        <v>29</v>
      </c>
      <c r="BS105" s="47">
        <v>0.6</v>
      </c>
      <c r="BT105" s="1">
        <v>500</v>
      </c>
      <c r="BU105" s="51">
        <f t="shared" si="50"/>
        <v>-3.0518043807603909E-2</v>
      </c>
      <c r="BV105" s="44">
        <f t="shared" si="51"/>
        <v>-0.33333333348855376</v>
      </c>
      <c r="BW105" s="61">
        <f t="shared" si="52"/>
        <v>17.889528145228283</v>
      </c>
    </row>
    <row r="106" spans="3:75" ht="20.100000000000001" customHeight="1" x14ac:dyDescent="0.25">
      <c r="C106" s="29"/>
      <c r="BL106" s="62">
        <f t="shared" si="44"/>
        <v>5</v>
      </c>
      <c r="BM106" s="63">
        <f t="shared" si="45"/>
        <v>5</v>
      </c>
      <c r="BN106" s="68">
        <f t="shared" si="46"/>
        <v>7.6295109483482101E-2</v>
      </c>
      <c r="BO106" s="1">
        <v>7.629510760307312E-2</v>
      </c>
      <c r="BP106" s="1">
        <v>7.0475382830744078</v>
      </c>
      <c r="BR106" s="1">
        <v>30</v>
      </c>
      <c r="BS106" s="47">
        <v>1.37</v>
      </c>
      <c r="BT106" s="1">
        <v>500</v>
      </c>
      <c r="BU106" s="51">
        <f t="shared" si="50"/>
        <v>-1.8804089813029279E-9</v>
      </c>
      <c r="BV106" s="44">
        <f t="shared" si="51"/>
        <v>-2.4646520491167223E-8</v>
      </c>
      <c r="BW106" s="61">
        <f t="shared" si="52"/>
        <v>23.039251126203304</v>
      </c>
    </row>
    <row r="107" spans="3:75" ht="20.100000000000001" customHeight="1" x14ac:dyDescent="0.25">
      <c r="C107" s="29"/>
      <c r="BL107" s="62">
        <f t="shared" si="44"/>
        <v>4</v>
      </c>
      <c r="BM107" s="63">
        <f t="shared" si="45"/>
        <v>4</v>
      </c>
      <c r="BN107" s="68">
        <f t="shared" si="46"/>
        <v>6.1036087586785685E-2</v>
      </c>
      <c r="BO107" s="1">
        <v>6.1036087572574615E-2</v>
      </c>
      <c r="BP107" s="1">
        <v>4.3154491218478865</v>
      </c>
      <c r="BR107" s="1">
        <v>30</v>
      </c>
      <c r="BS107" s="47">
        <v>1.1200000000000001</v>
      </c>
      <c r="BT107" s="1">
        <v>500</v>
      </c>
      <c r="BU107" s="51">
        <f t="shared" si="50"/>
        <v>-1.4211069820913025E-11</v>
      </c>
      <c r="BV107" s="44">
        <f t="shared" si="51"/>
        <v>-2.3283064365386963E-10</v>
      </c>
      <c r="BW107" s="61">
        <f t="shared" si="52"/>
        <v>27.299479985116307</v>
      </c>
    </row>
    <row r="108" spans="3:75" ht="20.100000000000001" customHeight="1" x14ac:dyDescent="0.25">
      <c r="C108" s="29"/>
      <c r="BL108" s="62">
        <f t="shared" si="44"/>
        <v>3</v>
      </c>
      <c r="BM108" s="63">
        <f t="shared" si="45"/>
        <v>3</v>
      </c>
      <c r="BN108" s="68">
        <f t="shared" si="46"/>
        <v>4.5777065690089262E-2</v>
      </c>
      <c r="BO108" s="1">
        <v>4.5777067542076111E-2</v>
      </c>
      <c r="BP108" s="1">
        <v>5.7391022110735523</v>
      </c>
      <c r="BR108" s="1">
        <v>30</v>
      </c>
      <c r="BS108" s="47">
        <v>0.88600000000000001</v>
      </c>
      <c r="BT108" s="1">
        <v>500</v>
      </c>
      <c r="BU108" s="51">
        <f t="shared" si="50"/>
        <v>1.8519868485999957E-9</v>
      </c>
      <c r="BV108" s="44">
        <f t="shared" si="51"/>
        <v>4.0456652694587092E-8</v>
      </c>
      <c r="BW108" s="61">
        <f t="shared" si="52"/>
        <v>24.823120811525552</v>
      </c>
    </row>
    <row r="109" spans="3:75" ht="20.100000000000001" customHeight="1" x14ac:dyDescent="0.25">
      <c r="C109" s="29"/>
      <c r="BL109" s="62">
        <f t="shared" si="44"/>
        <v>2</v>
      </c>
      <c r="BM109" s="63">
        <f t="shared" si="45"/>
        <v>2</v>
      </c>
      <c r="BN109" s="68">
        <f t="shared" si="46"/>
        <v>3.0518043793392843E-2</v>
      </c>
      <c r="BO109" s="1">
        <v>1.5259021893143654E-2</v>
      </c>
      <c r="BP109" s="1">
        <v>16.869484974743717</v>
      </c>
      <c r="BR109" s="1">
        <v>31</v>
      </c>
      <c r="BS109" s="47">
        <v>0.6</v>
      </c>
      <c r="BT109" s="1">
        <v>500</v>
      </c>
      <c r="BU109" s="51">
        <f t="shared" si="50"/>
        <v>-1.5259021900249189E-2</v>
      </c>
      <c r="BV109" s="44">
        <f t="shared" si="51"/>
        <v>-0.50000000011641532</v>
      </c>
      <c r="BW109" s="61">
        <f t="shared" si="52"/>
        <v>15.457963524318469</v>
      </c>
    </row>
    <row r="110" spans="3:75" ht="20.100000000000001" customHeight="1" x14ac:dyDescent="0.25">
      <c r="C110" s="29"/>
      <c r="BL110" s="62" t="str">
        <f t="shared" si="44"/>
        <v/>
      </c>
      <c r="BM110" s="63" t="str">
        <f t="shared" si="45"/>
        <v/>
      </c>
      <c r="BN110" s="68" t="str">
        <f t="shared" si="46"/>
        <v/>
      </c>
      <c r="BU110" s="51" t="e">
        <f t="shared" si="50"/>
        <v>#VALUE!</v>
      </c>
      <c r="BV110" s="44" t="e">
        <f t="shared" si="51"/>
        <v>#VALUE!</v>
      </c>
      <c r="BW110" s="61" t="e">
        <f t="shared" si="52"/>
        <v>#NUM!</v>
      </c>
    </row>
    <row r="111" spans="3:75" ht="20.100000000000001" customHeight="1" x14ac:dyDescent="0.25">
      <c r="C111" s="29"/>
      <c r="BL111" s="62" t="str">
        <f t="shared" si="44"/>
        <v/>
      </c>
      <c r="BM111" s="63" t="str">
        <f t="shared" si="45"/>
        <v/>
      </c>
      <c r="BN111" s="68" t="str">
        <f t="shared" si="46"/>
        <v/>
      </c>
      <c r="BU111" s="51" t="e">
        <f t="shared" si="50"/>
        <v>#VALUE!</v>
      </c>
      <c r="BV111" s="44" t="e">
        <f t="shared" si="51"/>
        <v>#VALUE!</v>
      </c>
      <c r="BW111" s="61" t="e">
        <f t="shared" si="52"/>
        <v>#NUM!</v>
      </c>
    </row>
    <row r="112" spans="3:75" ht="20.100000000000001" customHeight="1" x14ac:dyDescent="0.25">
      <c r="C112" s="29"/>
      <c r="BL112" s="62" t="str">
        <f t="shared" si="44"/>
        <v/>
      </c>
      <c r="BM112" s="63" t="str">
        <f t="shared" si="45"/>
        <v/>
      </c>
      <c r="BN112" s="68" t="str">
        <f t="shared" si="46"/>
        <v/>
      </c>
      <c r="BU112" s="51" t="e">
        <f t="shared" si="50"/>
        <v>#VALUE!</v>
      </c>
      <c r="BV112" s="44" t="e">
        <f t="shared" si="51"/>
        <v>#VALUE!</v>
      </c>
      <c r="BW112" s="61" t="e">
        <f t="shared" si="52"/>
        <v>#NUM!</v>
      </c>
    </row>
    <row r="113" spans="3:75" ht="20.100000000000001" customHeight="1" x14ac:dyDescent="0.25">
      <c r="C113" s="29"/>
      <c r="BL113" s="62" t="str">
        <f t="shared" si="44"/>
        <v/>
      </c>
      <c r="BM113" s="63" t="str">
        <f t="shared" si="45"/>
        <v/>
      </c>
      <c r="BN113" s="68" t="str">
        <f t="shared" si="46"/>
        <v/>
      </c>
      <c r="BU113" s="51" t="e">
        <f t="shared" si="50"/>
        <v>#VALUE!</v>
      </c>
      <c r="BV113" s="44" t="e">
        <f t="shared" si="51"/>
        <v>#VALUE!</v>
      </c>
      <c r="BW113" s="61" t="e">
        <f t="shared" si="52"/>
        <v>#NUM!</v>
      </c>
    </row>
    <row r="114" spans="3:75" ht="20.100000000000001" customHeight="1" x14ac:dyDescent="0.25">
      <c r="C114" s="29"/>
      <c r="BL114" s="62" t="str">
        <f t="shared" si="44"/>
        <v/>
      </c>
      <c r="BM114" s="63" t="str">
        <f t="shared" si="45"/>
        <v/>
      </c>
      <c r="BN114" s="68" t="str">
        <f t="shared" si="46"/>
        <v/>
      </c>
      <c r="BU114" s="51" t="e">
        <f t="shared" si="50"/>
        <v>#VALUE!</v>
      </c>
      <c r="BV114" s="44" t="e">
        <f t="shared" si="51"/>
        <v>#VALUE!</v>
      </c>
      <c r="BW114" s="61" t="e">
        <f t="shared" si="52"/>
        <v>#NUM!</v>
      </c>
    </row>
    <row r="115" spans="3:75" ht="20.100000000000001" customHeight="1" x14ac:dyDescent="0.25">
      <c r="C115" s="29"/>
      <c r="BL115" s="62" t="str">
        <f t="shared" si="44"/>
        <v/>
      </c>
      <c r="BM115" s="63" t="str">
        <f t="shared" si="45"/>
        <v/>
      </c>
      <c r="BN115" s="68" t="str">
        <f t="shared" si="46"/>
        <v/>
      </c>
      <c r="BU115" s="51" t="e">
        <f t="shared" si="50"/>
        <v>#VALUE!</v>
      </c>
      <c r="BV115" s="44" t="e">
        <f t="shared" si="51"/>
        <v>#VALUE!</v>
      </c>
      <c r="BW115" s="61" t="e">
        <f t="shared" si="52"/>
        <v>#NUM!</v>
      </c>
    </row>
    <row r="116" spans="3:75" ht="20.100000000000001" customHeight="1" x14ac:dyDescent="0.25">
      <c r="C116" s="29"/>
      <c r="BL116" s="62" t="str">
        <f t="shared" si="44"/>
        <v/>
      </c>
      <c r="BM116" s="63" t="str">
        <f t="shared" si="45"/>
        <v/>
      </c>
      <c r="BN116" s="68" t="str">
        <f t="shared" si="46"/>
        <v/>
      </c>
      <c r="BU116" s="51" t="e">
        <f t="shared" si="50"/>
        <v>#VALUE!</v>
      </c>
      <c r="BV116" s="44" t="e">
        <f t="shared" si="51"/>
        <v>#VALUE!</v>
      </c>
      <c r="BW116" s="61" t="e">
        <f t="shared" si="52"/>
        <v>#NUM!</v>
      </c>
    </row>
    <row r="117" spans="3:75" ht="20.100000000000001" customHeight="1" x14ac:dyDescent="0.25">
      <c r="C117" s="29"/>
      <c r="BL117" s="62" t="str">
        <f t="shared" si="44"/>
        <v/>
      </c>
      <c r="BM117" s="63" t="str">
        <f t="shared" si="45"/>
        <v/>
      </c>
      <c r="BN117" s="68" t="str">
        <f t="shared" si="46"/>
        <v/>
      </c>
      <c r="BU117" s="51" t="e">
        <f t="shared" si="50"/>
        <v>#VALUE!</v>
      </c>
      <c r="BV117" s="44" t="e">
        <f t="shared" si="51"/>
        <v>#VALUE!</v>
      </c>
      <c r="BW117" s="61" t="e">
        <f t="shared" si="52"/>
        <v>#NUM!</v>
      </c>
    </row>
    <row r="118" spans="3:75" ht="20.100000000000001" customHeight="1" x14ac:dyDescent="0.25">
      <c r="C118" s="29"/>
      <c r="BL118" s="62" t="str">
        <f t="shared" si="44"/>
        <v/>
      </c>
      <c r="BM118" s="63" t="str">
        <f t="shared" si="45"/>
        <v/>
      </c>
      <c r="BN118" s="68" t="str">
        <f t="shared" si="46"/>
        <v/>
      </c>
      <c r="BU118" s="51" t="e">
        <f t="shared" si="50"/>
        <v>#VALUE!</v>
      </c>
      <c r="BV118" s="44" t="e">
        <f t="shared" si="51"/>
        <v>#VALUE!</v>
      </c>
      <c r="BW118" s="61" t="e">
        <f t="shared" si="52"/>
        <v>#NUM!</v>
      </c>
    </row>
    <row r="119" spans="3:75" ht="20.100000000000001" customHeight="1" x14ac:dyDescent="0.25">
      <c r="BL119" s="62" t="str">
        <f t="shared" si="44"/>
        <v/>
      </c>
      <c r="BM119" s="63" t="str">
        <f t="shared" si="45"/>
        <v/>
      </c>
      <c r="BN119" s="68" t="str">
        <f t="shared" si="46"/>
        <v/>
      </c>
      <c r="BU119" s="51" t="e">
        <f t="shared" si="50"/>
        <v>#VALUE!</v>
      </c>
      <c r="BV119" s="44" t="e">
        <f t="shared" si="51"/>
        <v>#VALUE!</v>
      </c>
      <c r="BW119" s="61" t="e">
        <f t="shared" si="52"/>
        <v>#NUM!</v>
      </c>
    </row>
    <row r="120" spans="3:75" ht="20.100000000000001" customHeight="1" x14ac:dyDescent="0.25">
      <c r="BL120" s="62" t="str">
        <f t="shared" si="44"/>
        <v/>
      </c>
      <c r="BM120" s="63" t="str">
        <f t="shared" si="45"/>
        <v/>
      </c>
      <c r="BN120" s="68" t="str">
        <f t="shared" si="46"/>
        <v/>
      </c>
      <c r="BU120" s="51" t="e">
        <f t="shared" si="50"/>
        <v>#VALUE!</v>
      </c>
      <c r="BV120" s="44" t="e">
        <f t="shared" si="51"/>
        <v>#VALUE!</v>
      </c>
      <c r="BW120" s="61" t="e">
        <f t="shared" si="52"/>
        <v>#NUM!</v>
      </c>
    </row>
    <row r="121" spans="3:75" ht="20.100000000000001" customHeight="1" x14ac:dyDescent="0.25">
      <c r="BL121" s="62" t="str">
        <f t="shared" si="44"/>
        <v/>
      </c>
      <c r="BM121" s="63" t="str">
        <f t="shared" si="45"/>
        <v/>
      </c>
      <c r="BN121" s="68" t="str">
        <f t="shared" si="46"/>
        <v/>
      </c>
      <c r="BU121" s="51" t="e">
        <f t="shared" si="50"/>
        <v>#VALUE!</v>
      </c>
      <c r="BV121" s="44" t="e">
        <f t="shared" si="51"/>
        <v>#VALUE!</v>
      </c>
      <c r="BW121" s="61" t="e">
        <f t="shared" si="52"/>
        <v>#NUM!</v>
      </c>
    </row>
    <row r="122" spans="3:75" ht="20.100000000000001" customHeight="1" x14ac:dyDescent="0.25">
      <c r="BL122" s="62" t="str">
        <f t="shared" si="44"/>
        <v/>
      </c>
      <c r="BM122" s="63" t="str">
        <f t="shared" si="45"/>
        <v/>
      </c>
      <c r="BN122" s="68" t="str">
        <f t="shared" si="46"/>
        <v/>
      </c>
      <c r="BU122" s="51" t="e">
        <f t="shared" si="50"/>
        <v>#VALUE!</v>
      </c>
      <c r="BV122" s="44" t="e">
        <f t="shared" si="51"/>
        <v>#VALUE!</v>
      </c>
      <c r="BW122" s="61" t="e">
        <f t="shared" si="52"/>
        <v>#NUM!</v>
      </c>
    </row>
    <row r="123" spans="3:75" ht="20.100000000000001" customHeight="1" x14ac:dyDescent="0.25">
      <c r="BL123" s="62" t="str">
        <f t="shared" si="44"/>
        <v/>
      </c>
      <c r="BM123" s="63" t="str">
        <f t="shared" si="45"/>
        <v/>
      </c>
      <c r="BN123" s="68" t="str">
        <f t="shared" si="46"/>
        <v/>
      </c>
      <c r="BU123" s="51" t="e">
        <f t="shared" si="50"/>
        <v>#VALUE!</v>
      </c>
      <c r="BV123" s="44" t="e">
        <f t="shared" si="51"/>
        <v>#VALUE!</v>
      </c>
      <c r="BW123" s="61" t="e">
        <f t="shared" si="52"/>
        <v>#NUM!</v>
      </c>
    </row>
    <row r="124" spans="3:75" ht="20.100000000000001" customHeight="1" x14ac:dyDescent="0.25">
      <c r="BL124" s="62" t="str">
        <f t="shared" si="44"/>
        <v/>
      </c>
      <c r="BM124" s="63" t="str">
        <f t="shared" si="45"/>
        <v/>
      </c>
      <c r="BN124" s="68" t="str">
        <f t="shared" si="46"/>
        <v/>
      </c>
      <c r="BU124" s="51" t="e">
        <f t="shared" si="50"/>
        <v>#VALUE!</v>
      </c>
      <c r="BV124" s="44" t="e">
        <f t="shared" si="51"/>
        <v>#VALUE!</v>
      </c>
      <c r="BW124" s="61" t="e">
        <f t="shared" si="52"/>
        <v>#NUM!</v>
      </c>
    </row>
    <row r="125" spans="3:75" ht="20.100000000000001" customHeight="1" x14ac:dyDescent="0.25">
      <c r="BL125" s="62" t="str">
        <f t="shared" si="44"/>
        <v/>
      </c>
      <c r="BM125" s="63" t="str">
        <f t="shared" si="45"/>
        <v/>
      </c>
      <c r="BN125" s="68" t="str">
        <f t="shared" si="46"/>
        <v/>
      </c>
      <c r="BU125" s="51" t="e">
        <f t="shared" si="50"/>
        <v>#VALUE!</v>
      </c>
      <c r="BV125" s="44" t="e">
        <f t="shared" si="51"/>
        <v>#VALUE!</v>
      </c>
      <c r="BW125" s="61" t="e">
        <f t="shared" si="52"/>
        <v>#NUM!</v>
      </c>
    </row>
    <row r="126" spans="3:75" ht="20.100000000000001" customHeight="1" x14ac:dyDescent="0.25">
      <c r="BL126" s="62" t="str">
        <f t="shared" si="44"/>
        <v/>
      </c>
      <c r="BM126" s="63" t="str">
        <f t="shared" si="45"/>
        <v/>
      </c>
      <c r="BN126" s="68" t="str">
        <f t="shared" si="46"/>
        <v/>
      </c>
      <c r="BU126" s="51" t="e">
        <f t="shared" si="50"/>
        <v>#VALUE!</v>
      </c>
      <c r="BV126" s="44" t="e">
        <f t="shared" si="51"/>
        <v>#VALUE!</v>
      </c>
      <c r="BW126" s="61" t="e">
        <f t="shared" si="52"/>
        <v>#NUM!</v>
      </c>
    </row>
    <row r="127" spans="3:75" ht="20.100000000000001" customHeight="1" x14ac:dyDescent="0.25">
      <c r="BL127" s="62" t="str">
        <f t="shared" si="44"/>
        <v/>
      </c>
      <c r="BM127" s="63" t="str">
        <f t="shared" si="45"/>
        <v/>
      </c>
      <c r="BN127" s="68" t="str">
        <f t="shared" si="46"/>
        <v/>
      </c>
      <c r="BU127" s="51" t="e">
        <f t="shared" si="50"/>
        <v>#VALUE!</v>
      </c>
      <c r="BV127" s="44" t="e">
        <f t="shared" si="51"/>
        <v>#VALUE!</v>
      </c>
      <c r="BW127" s="61" t="e">
        <f t="shared" si="52"/>
        <v>#NUM!</v>
      </c>
    </row>
    <row r="128" spans="3:75" ht="20.100000000000001" customHeight="1" x14ac:dyDescent="0.25">
      <c r="BL128" s="62" t="str">
        <f t="shared" si="44"/>
        <v/>
      </c>
      <c r="BM128" s="63" t="str">
        <f t="shared" si="45"/>
        <v/>
      </c>
      <c r="BN128" s="68" t="str">
        <f t="shared" si="46"/>
        <v/>
      </c>
      <c r="BU128" s="51" t="e">
        <f t="shared" si="50"/>
        <v>#VALUE!</v>
      </c>
      <c r="BV128" s="44" t="e">
        <f t="shared" si="51"/>
        <v>#VALUE!</v>
      </c>
      <c r="BW128" s="61" t="e">
        <f t="shared" si="52"/>
        <v>#NUM!</v>
      </c>
    </row>
    <row r="129" spans="64:75" ht="20.100000000000001" customHeight="1" x14ac:dyDescent="0.25">
      <c r="BL129" s="62" t="str">
        <f t="shared" si="44"/>
        <v/>
      </c>
      <c r="BM129" s="63" t="str">
        <f t="shared" si="45"/>
        <v/>
      </c>
      <c r="BN129" s="68" t="str">
        <f t="shared" si="46"/>
        <v/>
      </c>
      <c r="BU129" s="51" t="e">
        <f t="shared" si="50"/>
        <v>#VALUE!</v>
      </c>
      <c r="BV129" s="44" t="e">
        <f t="shared" si="51"/>
        <v>#VALUE!</v>
      </c>
      <c r="BW129" s="61" t="e">
        <f t="shared" si="52"/>
        <v>#NUM!</v>
      </c>
    </row>
    <row r="130" spans="64:75" ht="20.100000000000001" customHeight="1" x14ac:dyDescent="0.25">
      <c r="BL130" s="62" t="str">
        <f t="shared" si="44"/>
        <v/>
      </c>
      <c r="BM130" s="63" t="str">
        <f t="shared" si="45"/>
        <v/>
      </c>
      <c r="BN130" s="68" t="str">
        <f t="shared" si="46"/>
        <v/>
      </c>
      <c r="BU130" s="51" t="e">
        <f t="shared" si="50"/>
        <v>#VALUE!</v>
      </c>
      <c r="BV130" s="44" t="e">
        <f t="shared" si="51"/>
        <v>#VALUE!</v>
      </c>
      <c r="BW130" s="61" t="e">
        <f t="shared" si="52"/>
        <v>#NUM!</v>
      </c>
    </row>
    <row r="131" spans="64:75" ht="20.100000000000001" customHeight="1" x14ac:dyDescent="0.25">
      <c r="BL131" s="62" t="str">
        <f t="shared" si="44"/>
        <v/>
      </c>
      <c r="BM131" s="63" t="str">
        <f t="shared" si="45"/>
        <v/>
      </c>
      <c r="BN131" s="68" t="str">
        <f t="shared" si="46"/>
        <v/>
      </c>
      <c r="BU131" s="51" t="e">
        <f t="shared" si="50"/>
        <v>#VALUE!</v>
      </c>
      <c r="BV131" s="44" t="e">
        <f t="shared" si="51"/>
        <v>#VALUE!</v>
      </c>
      <c r="BW131" s="61" t="e">
        <f t="shared" si="52"/>
        <v>#NUM!</v>
      </c>
    </row>
    <row r="132" spans="64:75" ht="20.100000000000001" customHeight="1" x14ac:dyDescent="0.25">
      <c r="BL132" s="62" t="str">
        <f t="shared" si="44"/>
        <v/>
      </c>
      <c r="BM132" s="63" t="str">
        <f t="shared" si="45"/>
        <v/>
      </c>
      <c r="BN132" s="68" t="str">
        <f t="shared" si="46"/>
        <v/>
      </c>
      <c r="BU132" s="51" t="e">
        <f t="shared" si="50"/>
        <v>#VALUE!</v>
      </c>
      <c r="BV132" s="44" t="e">
        <f t="shared" si="51"/>
        <v>#VALUE!</v>
      </c>
      <c r="BW132" s="61" t="e">
        <f t="shared" si="52"/>
        <v>#NUM!</v>
      </c>
    </row>
    <row r="133" spans="64:75" ht="20.100000000000001" customHeight="1" x14ac:dyDescent="0.25">
      <c r="BL133" s="62" t="str">
        <f t="shared" si="44"/>
        <v/>
      </c>
      <c r="BM133" s="63" t="str">
        <f t="shared" si="45"/>
        <v/>
      </c>
      <c r="BN133" s="68" t="str">
        <f t="shared" si="46"/>
        <v/>
      </c>
      <c r="BU133" s="51" t="e">
        <f t="shared" si="50"/>
        <v>#VALUE!</v>
      </c>
      <c r="BV133" s="44" t="e">
        <f t="shared" si="51"/>
        <v>#VALUE!</v>
      </c>
      <c r="BW133" s="61" t="e">
        <f t="shared" si="52"/>
        <v>#NUM!</v>
      </c>
    </row>
    <row r="134" spans="64:75" ht="20.100000000000001" customHeight="1" x14ac:dyDescent="0.25">
      <c r="BL134" s="62" t="str">
        <f t="shared" si="44"/>
        <v/>
      </c>
      <c r="BM134" s="63" t="str">
        <f t="shared" si="45"/>
        <v/>
      </c>
      <c r="BN134" s="68" t="str">
        <f t="shared" si="46"/>
        <v/>
      </c>
      <c r="BU134" s="51" t="e">
        <f t="shared" si="50"/>
        <v>#VALUE!</v>
      </c>
      <c r="BV134" s="44" t="e">
        <f t="shared" si="51"/>
        <v>#VALUE!</v>
      </c>
      <c r="BW134" s="61" t="e">
        <f t="shared" si="52"/>
        <v>#NUM!</v>
      </c>
    </row>
    <row r="135" spans="64:75" ht="20.100000000000001" customHeight="1" x14ac:dyDescent="0.25">
      <c r="BL135" s="62" t="str">
        <f t="shared" si="44"/>
        <v/>
      </c>
      <c r="BM135" s="63" t="str">
        <f t="shared" si="45"/>
        <v/>
      </c>
      <c r="BN135" s="68" t="str">
        <f t="shared" si="46"/>
        <v/>
      </c>
      <c r="BU135" s="51" t="e">
        <f t="shared" si="50"/>
        <v>#VALUE!</v>
      </c>
      <c r="BV135" s="44" t="e">
        <f t="shared" si="51"/>
        <v>#VALUE!</v>
      </c>
      <c r="BW135" s="61" t="e">
        <f t="shared" si="52"/>
        <v>#NUM!</v>
      </c>
    </row>
    <row r="136" spans="64:75" ht="20.100000000000001" customHeight="1" x14ac:dyDescent="0.25">
      <c r="BL136" s="62" t="str">
        <f t="shared" si="44"/>
        <v/>
      </c>
      <c r="BM136" s="63" t="str">
        <f t="shared" si="45"/>
        <v/>
      </c>
      <c r="BN136" s="68" t="str">
        <f t="shared" si="46"/>
        <v/>
      </c>
      <c r="BU136" s="51" t="e">
        <f t="shared" si="50"/>
        <v>#VALUE!</v>
      </c>
      <c r="BV136" s="44" t="e">
        <f t="shared" si="51"/>
        <v>#VALUE!</v>
      </c>
      <c r="BW136" s="61" t="e">
        <f t="shared" si="52"/>
        <v>#NUM!</v>
      </c>
    </row>
    <row r="137" spans="64:75" ht="20.100000000000001" customHeight="1" x14ac:dyDescent="0.25">
      <c r="BL137" s="62" t="str">
        <f t="shared" si="44"/>
        <v/>
      </c>
      <c r="BM137" s="63" t="str">
        <f t="shared" si="45"/>
        <v/>
      </c>
      <c r="BN137" s="68" t="str">
        <f t="shared" si="46"/>
        <v/>
      </c>
      <c r="BU137" s="51" t="e">
        <f t="shared" si="50"/>
        <v>#VALUE!</v>
      </c>
      <c r="BV137" s="44" t="e">
        <f t="shared" si="51"/>
        <v>#VALUE!</v>
      </c>
      <c r="BW137" s="61" t="e">
        <f t="shared" si="52"/>
        <v>#NUM!</v>
      </c>
    </row>
    <row r="138" spans="64:75" ht="20.100000000000001" customHeight="1" x14ac:dyDescent="0.25">
      <c r="BL138" s="62" t="str">
        <f t="shared" si="44"/>
        <v/>
      </c>
      <c r="BM138" s="63" t="str">
        <f t="shared" si="45"/>
        <v/>
      </c>
      <c r="BN138" s="68" t="str">
        <f t="shared" si="46"/>
        <v/>
      </c>
      <c r="BU138" s="51" t="e">
        <f t="shared" si="50"/>
        <v>#VALUE!</v>
      </c>
      <c r="BV138" s="44" t="e">
        <f t="shared" si="51"/>
        <v>#VALUE!</v>
      </c>
      <c r="BW138" s="61" t="e">
        <f t="shared" si="52"/>
        <v>#NUM!</v>
      </c>
    </row>
    <row r="139" spans="64:75" ht="20.100000000000001" customHeight="1" x14ac:dyDescent="0.25">
      <c r="BL139" s="62" t="str">
        <f t="shared" si="44"/>
        <v/>
      </c>
      <c r="BM139" s="63" t="str">
        <f t="shared" si="45"/>
        <v/>
      </c>
      <c r="BN139" s="68" t="str">
        <f t="shared" si="46"/>
        <v/>
      </c>
      <c r="BU139" s="51" t="e">
        <f t="shared" si="50"/>
        <v>#VALUE!</v>
      </c>
      <c r="BV139" s="44" t="e">
        <f t="shared" si="51"/>
        <v>#VALUE!</v>
      </c>
      <c r="BW139" s="61" t="e">
        <f t="shared" si="52"/>
        <v>#NUM!</v>
      </c>
    </row>
    <row r="140" spans="64:75" ht="20.100000000000001" customHeight="1" x14ac:dyDescent="0.25">
      <c r="BL140" s="62" t="str">
        <f t="shared" ref="BL140:BL203" si="53">IF(AND(BL139&gt;BM$6,BL139&lt;&gt;""),BL139-1,"")</f>
        <v/>
      </c>
      <c r="BM140" s="63" t="str">
        <f t="shared" ref="BM140:BM203" si="54">IF(BL140&lt;&gt;"",MAX(BL140,ROUND(BM$6*BM$9^BL140,0)),"")</f>
        <v/>
      </c>
      <c r="BN140" s="68" t="str">
        <f t="shared" ref="BN140:BN203" si="55">IF(BM140&lt;&gt;"",O$12/M$12*BM140,"")</f>
        <v/>
      </c>
      <c r="BU140" s="51" t="e">
        <f t="shared" si="50"/>
        <v>#VALUE!</v>
      </c>
      <c r="BV140" s="44" t="e">
        <f t="shared" si="51"/>
        <v>#VALUE!</v>
      </c>
      <c r="BW140" s="61" t="e">
        <f t="shared" si="52"/>
        <v>#NUM!</v>
      </c>
    </row>
    <row r="141" spans="64:75" ht="20.100000000000001" customHeight="1" x14ac:dyDescent="0.25">
      <c r="BL141" s="62" t="str">
        <f t="shared" si="53"/>
        <v/>
      </c>
      <c r="BM141" s="63" t="str">
        <f t="shared" si="54"/>
        <v/>
      </c>
      <c r="BN141" s="68" t="str">
        <f t="shared" si="55"/>
        <v/>
      </c>
      <c r="BU141" s="51" t="e">
        <f t="shared" si="50"/>
        <v>#VALUE!</v>
      </c>
      <c r="BV141" s="44" t="e">
        <f t="shared" si="51"/>
        <v>#VALUE!</v>
      </c>
      <c r="BW141" s="61" t="e">
        <f t="shared" si="52"/>
        <v>#NUM!</v>
      </c>
    </row>
    <row r="142" spans="64:75" ht="20.100000000000001" customHeight="1" x14ac:dyDescent="0.25">
      <c r="BL142" s="62" t="str">
        <f t="shared" si="53"/>
        <v/>
      </c>
      <c r="BM142" s="63" t="str">
        <f t="shared" si="54"/>
        <v/>
      </c>
      <c r="BN142" s="68" t="str">
        <f t="shared" si="55"/>
        <v/>
      </c>
      <c r="BU142" s="51" t="e">
        <f t="shared" si="50"/>
        <v>#VALUE!</v>
      </c>
      <c r="BV142" s="44" t="e">
        <f t="shared" si="51"/>
        <v>#VALUE!</v>
      </c>
      <c r="BW142" s="61" t="e">
        <f t="shared" si="52"/>
        <v>#NUM!</v>
      </c>
    </row>
    <row r="143" spans="64:75" ht="20.100000000000001" customHeight="1" x14ac:dyDescent="0.25">
      <c r="BL143" s="62" t="str">
        <f t="shared" si="53"/>
        <v/>
      </c>
      <c r="BM143" s="63" t="str">
        <f t="shared" si="54"/>
        <v/>
      </c>
      <c r="BN143" s="68" t="str">
        <f t="shared" si="55"/>
        <v/>
      </c>
      <c r="BU143" s="51" t="e">
        <f t="shared" si="50"/>
        <v>#VALUE!</v>
      </c>
      <c r="BV143" s="44" t="e">
        <f t="shared" si="51"/>
        <v>#VALUE!</v>
      </c>
      <c r="BW143" s="61" t="e">
        <f t="shared" si="52"/>
        <v>#NUM!</v>
      </c>
    </row>
    <row r="144" spans="64:75" ht="20.100000000000001" customHeight="1" x14ac:dyDescent="0.25">
      <c r="BL144" s="62" t="str">
        <f t="shared" si="53"/>
        <v/>
      </c>
      <c r="BM144" s="63" t="str">
        <f t="shared" si="54"/>
        <v/>
      </c>
      <c r="BN144" s="68" t="str">
        <f t="shared" si="55"/>
        <v/>
      </c>
      <c r="BU144" s="51" t="e">
        <f t="shared" si="50"/>
        <v>#VALUE!</v>
      </c>
      <c r="BV144" s="44" t="e">
        <f t="shared" si="51"/>
        <v>#VALUE!</v>
      </c>
      <c r="BW144" s="61" t="e">
        <f t="shared" si="52"/>
        <v>#NUM!</v>
      </c>
    </row>
    <row r="145" spans="64:75" ht="20.100000000000001" customHeight="1" x14ac:dyDescent="0.25">
      <c r="BL145" s="62" t="str">
        <f t="shared" si="53"/>
        <v/>
      </c>
      <c r="BM145" s="63" t="str">
        <f t="shared" si="54"/>
        <v/>
      </c>
      <c r="BN145" s="68" t="str">
        <f t="shared" si="55"/>
        <v/>
      </c>
      <c r="BU145" s="51" t="e">
        <f t="shared" si="50"/>
        <v>#VALUE!</v>
      </c>
      <c r="BV145" s="44" t="e">
        <f t="shared" si="51"/>
        <v>#VALUE!</v>
      </c>
      <c r="BW145" s="61" t="e">
        <f t="shared" si="52"/>
        <v>#NUM!</v>
      </c>
    </row>
    <row r="146" spans="64:75" ht="20.100000000000001" customHeight="1" x14ac:dyDescent="0.25">
      <c r="BL146" s="62" t="str">
        <f t="shared" si="53"/>
        <v/>
      </c>
      <c r="BM146" s="63" t="str">
        <f t="shared" si="54"/>
        <v/>
      </c>
      <c r="BN146" s="68" t="str">
        <f t="shared" si="55"/>
        <v/>
      </c>
      <c r="BU146" s="51" t="e">
        <f t="shared" si="50"/>
        <v>#VALUE!</v>
      </c>
      <c r="BV146" s="44" t="e">
        <f t="shared" si="51"/>
        <v>#VALUE!</v>
      </c>
      <c r="BW146" s="61" t="e">
        <f t="shared" si="52"/>
        <v>#NUM!</v>
      </c>
    </row>
    <row r="147" spans="64:75" ht="20.100000000000001" customHeight="1" x14ac:dyDescent="0.25">
      <c r="BL147" s="62" t="str">
        <f t="shared" si="53"/>
        <v/>
      </c>
      <c r="BM147" s="63" t="str">
        <f t="shared" si="54"/>
        <v/>
      </c>
      <c r="BN147" s="68" t="str">
        <f t="shared" si="55"/>
        <v/>
      </c>
      <c r="BU147" s="51" t="e">
        <f t="shared" si="50"/>
        <v>#VALUE!</v>
      </c>
      <c r="BV147" s="44" t="e">
        <f t="shared" si="51"/>
        <v>#VALUE!</v>
      </c>
      <c r="BW147" s="61" t="e">
        <f t="shared" si="52"/>
        <v>#NUM!</v>
      </c>
    </row>
    <row r="148" spans="64:75" ht="20.100000000000001" customHeight="1" x14ac:dyDescent="0.25">
      <c r="BL148" s="62" t="str">
        <f t="shared" si="53"/>
        <v/>
      </c>
      <c r="BM148" s="63" t="str">
        <f t="shared" si="54"/>
        <v/>
      </c>
      <c r="BN148" s="68" t="str">
        <f t="shared" si="55"/>
        <v/>
      </c>
      <c r="BU148" s="51" t="e">
        <f t="shared" ref="BU148:BU211" si="56">BO148-BN148</f>
        <v>#VALUE!</v>
      </c>
      <c r="BV148" s="44" t="e">
        <f t="shared" ref="BV148:BV211" si="57">BO148/BN148-1</f>
        <v>#VALUE!</v>
      </c>
      <c r="BW148" s="61" t="e">
        <f t="shared" ref="BW148:BW211" si="58">-20*LOG10(BP148/100)</f>
        <v>#NUM!</v>
      </c>
    </row>
    <row r="149" spans="64:75" ht="20.100000000000001" customHeight="1" x14ac:dyDescent="0.25">
      <c r="BL149" s="62" t="str">
        <f t="shared" si="53"/>
        <v/>
      </c>
      <c r="BM149" s="63" t="str">
        <f t="shared" si="54"/>
        <v/>
      </c>
      <c r="BN149" s="68" t="str">
        <f t="shared" si="55"/>
        <v/>
      </c>
      <c r="BU149" s="51" t="e">
        <f t="shared" si="56"/>
        <v>#VALUE!</v>
      </c>
      <c r="BV149" s="44" t="e">
        <f t="shared" si="57"/>
        <v>#VALUE!</v>
      </c>
      <c r="BW149" s="61" t="e">
        <f t="shared" si="58"/>
        <v>#NUM!</v>
      </c>
    </row>
    <row r="150" spans="64:75" ht="20.100000000000001" customHeight="1" x14ac:dyDescent="0.25">
      <c r="BL150" s="62" t="str">
        <f t="shared" si="53"/>
        <v/>
      </c>
      <c r="BM150" s="63" t="str">
        <f t="shared" si="54"/>
        <v/>
      </c>
      <c r="BN150" s="68" t="str">
        <f t="shared" si="55"/>
        <v/>
      </c>
      <c r="BU150" s="51" t="e">
        <f t="shared" si="56"/>
        <v>#VALUE!</v>
      </c>
      <c r="BV150" s="44" t="e">
        <f t="shared" si="57"/>
        <v>#VALUE!</v>
      </c>
      <c r="BW150" s="61" t="e">
        <f t="shared" si="58"/>
        <v>#NUM!</v>
      </c>
    </row>
    <row r="151" spans="64:75" ht="20.100000000000001" customHeight="1" x14ac:dyDescent="0.25">
      <c r="BL151" s="62" t="str">
        <f t="shared" si="53"/>
        <v/>
      </c>
      <c r="BM151" s="63" t="str">
        <f t="shared" si="54"/>
        <v/>
      </c>
      <c r="BN151" s="68" t="str">
        <f t="shared" si="55"/>
        <v/>
      </c>
      <c r="BU151" s="51" t="e">
        <f t="shared" si="56"/>
        <v>#VALUE!</v>
      </c>
      <c r="BV151" s="44" t="e">
        <f t="shared" si="57"/>
        <v>#VALUE!</v>
      </c>
      <c r="BW151" s="61" t="e">
        <f t="shared" si="58"/>
        <v>#NUM!</v>
      </c>
    </row>
    <row r="152" spans="64:75" ht="20.100000000000001" customHeight="1" x14ac:dyDescent="0.25">
      <c r="BL152" s="62" t="str">
        <f t="shared" si="53"/>
        <v/>
      </c>
      <c r="BM152" s="63" t="str">
        <f t="shared" si="54"/>
        <v/>
      </c>
      <c r="BN152" s="68" t="str">
        <f t="shared" si="55"/>
        <v/>
      </c>
      <c r="BU152" s="51" t="e">
        <f t="shared" si="56"/>
        <v>#VALUE!</v>
      </c>
      <c r="BV152" s="44" t="e">
        <f t="shared" si="57"/>
        <v>#VALUE!</v>
      </c>
      <c r="BW152" s="61" t="e">
        <f t="shared" si="58"/>
        <v>#NUM!</v>
      </c>
    </row>
    <row r="153" spans="64:75" ht="20.100000000000001" customHeight="1" x14ac:dyDescent="0.25">
      <c r="BL153" s="62" t="str">
        <f t="shared" si="53"/>
        <v/>
      </c>
      <c r="BM153" s="63" t="str">
        <f t="shared" si="54"/>
        <v/>
      </c>
      <c r="BN153" s="68" t="str">
        <f t="shared" si="55"/>
        <v/>
      </c>
      <c r="BU153" s="51" t="e">
        <f t="shared" si="56"/>
        <v>#VALUE!</v>
      </c>
      <c r="BV153" s="44" t="e">
        <f t="shared" si="57"/>
        <v>#VALUE!</v>
      </c>
      <c r="BW153" s="61" t="e">
        <f t="shared" si="58"/>
        <v>#NUM!</v>
      </c>
    </row>
    <row r="154" spans="64:75" ht="20.100000000000001" customHeight="1" x14ac:dyDescent="0.25">
      <c r="BL154" s="62" t="str">
        <f t="shared" si="53"/>
        <v/>
      </c>
      <c r="BM154" s="63" t="str">
        <f t="shared" si="54"/>
        <v/>
      </c>
      <c r="BN154" s="68" t="str">
        <f t="shared" si="55"/>
        <v/>
      </c>
      <c r="BU154" s="51" t="e">
        <f t="shared" si="56"/>
        <v>#VALUE!</v>
      </c>
      <c r="BV154" s="44" t="e">
        <f t="shared" si="57"/>
        <v>#VALUE!</v>
      </c>
      <c r="BW154" s="61" t="e">
        <f t="shared" si="58"/>
        <v>#NUM!</v>
      </c>
    </row>
    <row r="155" spans="64:75" ht="20.100000000000001" customHeight="1" x14ac:dyDescent="0.25">
      <c r="BL155" s="62" t="str">
        <f t="shared" si="53"/>
        <v/>
      </c>
      <c r="BM155" s="63" t="str">
        <f t="shared" si="54"/>
        <v/>
      </c>
      <c r="BN155" s="68" t="str">
        <f t="shared" si="55"/>
        <v/>
      </c>
      <c r="BU155" s="51" t="e">
        <f t="shared" si="56"/>
        <v>#VALUE!</v>
      </c>
      <c r="BV155" s="44" t="e">
        <f t="shared" si="57"/>
        <v>#VALUE!</v>
      </c>
      <c r="BW155" s="61" t="e">
        <f t="shared" si="58"/>
        <v>#NUM!</v>
      </c>
    </row>
    <row r="156" spans="64:75" ht="20.100000000000001" customHeight="1" x14ac:dyDescent="0.25">
      <c r="BL156" s="62" t="str">
        <f t="shared" si="53"/>
        <v/>
      </c>
      <c r="BM156" s="63" t="str">
        <f t="shared" si="54"/>
        <v/>
      </c>
      <c r="BN156" s="68" t="str">
        <f t="shared" si="55"/>
        <v/>
      </c>
      <c r="BU156" s="51" t="e">
        <f t="shared" si="56"/>
        <v>#VALUE!</v>
      </c>
      <c r="BV156" s="44" t="e">
        <f t="shared" si="57"/>
        <v>#VALUE!</v>
      </c>
      <c r="BW156" s="61" t="e">
        <f t="shared" si="58"/>
        <v>#NUM!</v>
      </c>
    </row>
    <row r="157" spans="64:75" ht="20.100000000000001" customHeight="1" x14ac:dyDescent="0.25">
      <c r="BL157" s="62" t="str">
        <f t="shared" si="53"/>
        <v/>
      </c>
      <c r="BM157" s="63" t="str">
        <f t="shared" si="54"/>
        <v/>
      </c>
      <c r="BN157" s="68" t="str">
        <f t="shared" si="55"/>
        <v/>
      </c>
      <c r="BU157" s="51" t="e">
        <f t="shared" si="56"/>
        <v>#VALUE!</v>
      </c>
      <c r="BV157" s="44" t="e">
        <f t="shared" si="57"/>
        <v>#VALUE!</v>
      </c>
      <c r="BW157" s="61" t="e">
        <f t="shared" si="58"/>
        <v>#NUM!</v>
      </c>
    </row>
    <row r="158" spans="64:75" ht="20.100000000000001" customHeight="1" x14ac:dyDescent="0.25">
      <c r="BL158" s="62" t="str">
        <f t="shared" si="53"/>
        <v/>
      </c>
      <c r="BM158" s="63" t="str">
        <f t="shared" si="54"/>
        <v/>
      </c>
      <c r="BN158" s="68" t="str">
        <f t="shared" si="55"/>
        <v/>
      </c>
      <c r="BU158" s="51" t="e">
        <f t="shared" si="56"/>
        <v>#VALUE!</v>
      </c>
      <c r="BV158" s="44" t="e">
        <f t="shared" si="57"/>
        <v>#VALUE!</v>
      </c>
      <c r="BW158" s="61" t="e">
        <f t="shared" si="58"/>
        <v>#NUM!</v>
      </c>
    </row>
    <row r="159" spans="64:75" ht="20.100000000000001" customHeight="1" x14ac:dyDescent="0.25">
      <c r="BL159" s="62" t="str">
        <f t="shared" si="53"/>
        <v/>
      </c>
      <c r="BM159" s="63" t="str">
        <f t="shared" si="54"/>
        <v/>
      </c>
      <c r="BN159" s="68" t="str">
        <f t="shared" si="55"/>
        <v/>
      </c>
      <c r="BU159" s="51" t="e">
        <f t="shared" si="56"/>
        <v>#VALUE!</v>
      </c>
      <c r="BV159" s="44" t="e">
        <f t="shared" si="57"/>
        <v>#VALUE!</v>
      </c>
      <c r="BW159" s="61" t="e">
        <f t="shared" si="58"/>
        <v>#NUM!</v>
      </c>
    </row>
    <row r="160" spans="64:75" ht="20.100000000000001" customHeight="1" x14ac:dyDescent="0.25">
      <c r="BL160" s="62" t="str">
        <f t="shared" si="53"/>
        <v/>
      </c>
      <c r="BM160" s="63" t="str">
        <f t="shared" si="54"/>
        <v/>
      </c>
      <c r="BN160" s="68" t="str">
        <f t="shared" si="55"/>
        <v/>
      </c>
      <c r="BU160" s="51" t="e">
        <f t="shared" si="56"/>
        <v>#VALUE!</v>
      </c>
      <c r="BV160" s="44" t="e">
        <f t="shared" si="57"/>
        <v>#VALUE!</v>
      </c>
      <c r="BW160" s="61" t="e">
        <f t="shared" si="58"/>
        <v>#NUM!</v>
      </c>
    </row>
    <row r="161" spans="64:75" ht="20.100000000000001" customHeight="1" x14ac:dyDescent="0.25">
      <c r="BL161" s="62" t="str">
        <f t="shared" si="53"/>
        <v/>
      </c>
      <c r="BM161" s="63" t="str">
        <f t="shared" si="54"/>
        <v/>
      </c>
      <c r="BN161" s="68" t="str">
        <f t="shared" si="55"/>
        <v/>
      </c>
      <c r="BU161" s="51" t="e">
        <f t="shared" si="56"/>
        <v>#VALUE!</v>
      </c>
      <c r="BV161" s="44" t="e">
        <f t="shared" si="57"/>
        <v>#VALUE!</v>
      </c>
      <c r="BW161" s="61" t="e">
        <f t="shared" si="58"/>
        <v>#NUM!</v>
      </c>
    </row>
    <row r="162" spans="64:75" ht="20.100000000000001" customHeight="1" x14ac:dyDescent="0.25">
      <c r="BL162" s="62" t="str">
        <f t="shared" si="53"/>
        <v/>
      </c>
      <c r="BM162" s="63" t="str">
        <f t="shared" si="54"/>
        <v/>
      </c>
      <c r="BN162" s="68" t="str">
        <f t="shared" si="55"/>
        <v/>
      </c>
      <c r="BU162" s="51" t="e">
        <f t="shared" si="56"/>
        <v>#VALUE!</v>
      </c>
      <c r="BV162" s="44" t="e">
        <f t="shared" si="57"/>
        <v>#VALUE!</v>
      </c>
      <c r="BW162" s="61" t="e">
        <f t="shared" si="58"/>
        <v>#NUM!</v>
      </c>
    </row>
    <row r="163" spans="64:75" ht="20.100000000000001" customHeight="1" x14ac:dyDescent="0.25">
      <c r="BL163" s="62" t="str">
        <f t="shared" si="53"/>
        <v/>
      </c>
      <c r="BM163" s="63" t="str">
        <f t="shared" si="54"/>
        <v/>
      </c>
      <c r="BN163" s="68" t="str">
        <f t="shared" si="55"/>
        <v/>
      </c>
      <c r="BU163" s="51" t="e">
        <f t="shared" si="56"/>
        <v>#VALUE!</v>
      </c>
      <c r="BV163" s="44" t="e">
        <f t="shared" si="57"/>
        <v>#VALUE!</v>
      </c>
      <c r="BW163" s="61" t="e">
        <f t="shared" si="58"/>
        <v>#NUM!</v>
      </c>
    </row>
    <row r="164" spans="64:75" ht="20.100000000000001" customHeight="1" x14ac:dyDescent="0.25">
      <c r="BL164" s="62" t="str">
        <f t="shared" si="53"/>
        <v/>
      </c>
      <c r="BM164" s="63" t="str">
        <f t="shared" si="54"/>
        <v/>
      </c>
      <c r="BN164" s="68" t="str">
        <f t="shared" si="55"/>
        <v/>
      </c>
      <c r="BU164" s="51" t="e">
        <f t="shared" si="56"/>
        <v>#VALUE!</v>
      </c>
      <c r="BV164" s="44" t="e">
        <f t="shared" si="57"/>
        <v>#VALUE!</v>
      </c>
      <c r="BW164" s="61" t="e">
        <f t="shared" si="58"/>
        <v>#NUM!</v>
      </c>
    </row>
    <row r="165" spans="64:75" ht="20.100000000000001" customHeight="1" x14ac:dyDescent="0.25">
      <c r="BL165" s="62" t="str">
        <f t="shared" si="53"/>
        <v/>
      </c>
      <c r="BM165" s="63" t="str">
        <f t="shared" si="54"/>
        <v/>
      </c>
      <c r="BN165" s="68" t="str">
        <f t="shared" si="55"/>
        <v/>
      </c>
      <c r="BU165" s="51" t="e">
        <f t="shared" si="56"/>
        <v>#VALUE!</v>
      </c>
      <c r="BV165" s="44" t="e">
        <f t="shared" si="57"/>
        <v>#VALUE!</v>
      </c>
      <c r="BW165" s="61" t="e">
        <f t="shared" si="58"/>
        <v>#NUM!</v>
      </c>
    </row>
    <row r="166" spans="64:75" ht="20.100000000000001" customHeight="1" x14ac:dyDescent="0.25">
      <c r="BL166" s="62" t="str">
        <f t="shared" si="53"/>
        <v/>
      </c>
      <c r="BM166" s="63" t="str">
        <f t="shared" si="54"/>
        <v/>
      </c>
      <c r="BN166" s="68" t="str">
        <f t="shared" si="55"/>
        <v/>
      </c>
      <c r="BU166" s="51" t="e">
        <f t="shared" si="56"/>
        <v>#VALUE!</v>
      </c>
      <c r="BV166" s="44" t="e">
        <f t="shared" si="57"/>
        <v>#VALUE!</v>
      </c>
      <c r="BW166" s="61" t="e">
        <f t="shared" si="58"/>
        <v>#NUM!</v>
      </c>
    </row>
    <row r="167" spans="64:75" ht="20.100000000000001" customHeight="1" x14ac:dyDescent="0.25">
      <c r="BL167" s="62" t="str">
        <f t="shared" si="53"/>
        <v/>
      </c>
      <c r="BM167" s="63" t="str">
        <f t="shared" si="54"/>
        <v/>
      </c>
      <c r="BN167" s="68" t="str">
        <f t="shared" si="55"/>
        <v/>
      </c>
      <c r="BU167" s="51" t="e">
        <f t="shared" si="56"/>
        <v>#VALUE!</v>
      </c>
      <c r="BV167" s="44" t="e">
        <f t="shared" si="57"/>
        <v>#VALUE!</v>
      </c>
      <c r="BW167" s="61" t="e">
        <f t="shared" si="58"/>
        <v>#NUM!</v>
      </c>
    </row>
    <row r="168" spans="64:75" ht="20.100000000000001" customHeight="1" x14ac:dyDescent="0.25">
      <c r="BL168" s="62" t="str">
        <f t="shared" si="53"/>
        <v/>
      </c>
      <c r="BM168" s="63" t="str">
        <f t="shared" si="54"/>
        <v/>
      </c>
      <c r="BN168" s="68" t="str">
        <f t="shared" si="55"/>
        <v/>
      </c>
      <c r="BU168" s="51" t="e">
        <f t="shared" si="56"/>
        <v>#VALUE!</v>
      </c>
      <c r="BV168" s="44" t="e">
        <f t="shared" si="57"/>
        <v>#VALUE!</v>
      </c>
      <c r="BW168" s="61" t="e">
        <f t="shared" si="58"/>
        <v>#NUM!</v>
      </c>
    </row>
    <row r="169" spans="64:75" ht="20.100000000000001" customHeight="1" x14ac:dyDescent="0.25">
      <c r="BL169" s="62" t="str">
        <f t="shared" si="53"/>
        <v/>
      </c>
      <c r="BM169" s="63" t="str">
        <f t="shared" si="54"/>
        <v/>
      </c>
      <c r="BN169" s="68" t="str">
        <f t="shared" si="55"/>
        <v/>
      </c>
      <c r="BU169" s="51" t="e">
        <f t="shared" si="56"/>
        <v>#VALUE!</v>
      </c>
      <c r="BV169" s="44" t="e">
        <f t="shared" si="57"/>
        <v>#VALUE!</v>
      </c>
      <c r="BW169" s="61" t="e">
        <f t="shared" si="58"/>
        <v>#NUM!</v>
      </c>
    </row>
    <row r="170" spans="64:75" ht="20.100000000000001" customHeight="1" x14ac:dyDescent="0.25">
      <c r="BL170" s="62" t="str">
        <f t="shared" si="53"/>
        <v/>
      </c>
      <c r="BM170" s="63" t="str">
        <f t="shared" si="54"/>
        <v/>
      </c>
      <c r="BN170" s="68" t="str">
        <f t="shared" si="55"/>
        <v/>
      </c>
      <c r="BU170" s="51" t="e">
        <f t="shared" si="56"/>
        <v>#VALUE!</v>
      </c>
      <c r="BV170" s="44" t="e">
        <f t="shared" si="57"/>
        <v>#VALUE!</v>
      </c>
      <c r="BW170" s="61" t="e">
        <f t="shared" si="58"/>
        <v>#NUM!</v>
      </c>
    </row>
    <row r="171" spans="64:75" ht="20.100000000000001" customHeight="1" x14ac:dyDescent="0.25">
      <c r="BL171" s="62" t="str">
        <f t="shared" si="53"/>
        <v/>
      </c>
      <c r="BM171" s="63" t="str">
        <f t="shared" si="54"/>
        <v/>
      </c>
      <c r="BN171" s="68" t="str">
        <f t="shared" si="55"/>
        <v/>
      </c>
      <c r="BU171" s="51" t="e">
        <f t="shared" si="56"/>
        <v>#VALUE!</v>
      </c>
      <c r="BV171" s="44" t="e">
        <f t="shared" si="57"/>
        <v>#VALUE!</v>
      </c>
      <c r="BW171" s="61" t="e">
        <f t="shared" si="58"/>
        <v>#NUM!</v>
      </c>
    </row>
    <row r="172" spans="64:75" ht="20.100000000000001" customHeight="1" x14ac:dyDescent="0.25">
      <c r="BL172" s="62" t="str">
        <f t="shared" si="53"/>
        <v/>
      </c>
      <c r="BM172" s="63" t="str">
        <f t="shared" si="54"/>
        <v/>
      </c>
      <c r="BN172" s="68" t="str">
        <f t="shared" si="55"/>
        <v/>
      </c>
      <c r="BU172" s="51" t="e">
        <f t="shared" si="56"/>
        <v>#VALUE!</v>
      </c>
      <c r="BV172" s="44" t="e">
        <f t="shared" si="57"/>
        <v>#VALUE!</v>
      </c>
      <c r="BW172" s="61" t="e">
        <f t="shared" si="58"/>
        <v>#NUM!</v>
      </c>
    </row>
    <row r="173" spans="64:75" ht="20.100000000000001" customHeight="1" x14ac:dyDescent="0.25">
      <c r="BL173" s="62" t="str">
        <f t="shared" si="53"/>
        <v/>
      </c>
      <c r="BM173" s="63" t="str">
        <f t="shared" si="54"/>
        <v/>
      </c>
      <c r="BN173" s="68" t="str">
        <f t="shared" si="55"/>
        <v/>
      </c>
      <c r="BU173" s="51" t="e">
        <f t="shared" si="56"/>
        <v>#VALUE!</v>
      </c>
      <c r="BV173" s="44" t="e">
        <f t="shared" si="57"/>
        <v>#VALUE!</v>
      </c>
      <c r="BW173" s="61" t="e">
        <f t="shared" si="58"/>
        <v>#NUM!</v>
      </c>
    </row>
    <row r="174" spans="64:75" ht="20.100000000000001" customHeight="1" x14ac:dyDescent="0.25">
      <c r="BL174" s="62" t="str">
        <f t="shared" si="53"/>
        <v/>
      </c>
      <c r="BM174" s="63" t="str">
        <f t="shared" si="54"/>
        <v/>
      </c>
      <c r="BN174" s="68" t="str">
        <f t="shared" si="55"/>
        <v/>
      </c>
      <c r="BU174" s="51" t="e">
        <f t="shared" si="56"/>
        <v>#VALUE!</v>
      </c>
      <c r="BV174" s="44" t="e">
        <f t="shared" si="57"/>
        <v>#VALUE!</v>
      </c>
      <c r="BW174" s="61" t="e">
        <f t="shared" si="58"/>
        <v>#NUM!</v>
      </c>
    </row>
    <row r="175" spans="64:75" ht="20.100000000000001" customHeight="1" x14ac:dyDescent="0.25">
      <c r="BL175" s="62" t="str">
        <f t="shared" si="53"/>
        <v/>
      </c>
      <c r="BM175" s="63" t="str">
        <f t="shared" si="54"/>
        <v/>
      </c>
      <c r="BN175" s="68" t="str">
        <f t="shared" si="55"/>
        <v/>
      </c>
      <c r="BU175" s="51" t="e">
        <f t="shared" si="56"/>
        <v>#VALUE!</v>
      </c>
      <c r="BV175" s="44" t="e">
        <f t="shared" si="57"/>
        <v>#VALUE!</v>
      </c>
      <c r="BW175" s="61" t="e">
        <f t="shared" si="58"/>
        <v>#NUM!</v>
      </c>
    </row>
    <row r="176" spans="64:75" ht="20.100000000000001" customHeight="1" x14ac:dyDescent="0.25">
      <c r="BL176" s="62" t="str">
        <f t="shared" si="53"/>
        <v/>
      </c>
      <c r="BM176" s="63" t="str">
        <f t="shared" si="54"/>
        <v/>
      </c>
      <c r="BN176" s="68" t="str">
        <f t="shared" si="55"/>
        <v/>
      </c>
      <c r="BU176" s="51" t="e">
        <f t="shared" si="56"/>
        <v>#VALUE!</v>
      </c>
      <c r="BV176" s="44" t="e">
        <f t="shared" si="57"/>
        <v>#VALUE!</v>
      </c>
      <c r="BW176" s="61" t="e">
        <f t="shared" si="58"/>
        <v>#NUM!</v>
      </c>
    </row>
    <row r="177" spans="64:75" ht="20.100000000000001" customHeight="1" x14ac:dyDescent="0.25">
      <c r="BL177" s="62" t="str">
        <f t="shared" si="53"/>
        <v/>
      </c>
      <c r="BM177" s="63" t="str">
        <f t="shared" si="54"/>
        <v/>
      </c>
      <c r="BN177" s="68" t="str">
        <f t="shared" si="55"/>
        <v/>
      </c>
      <c r="BU177" s="51" t="e">
        <f t="shared" si="56"/>
        <v>#VALUE!</v>
      </c>
      <c r="BV177" s="44" t="e">
        <f t="shared" si="57"/>
        <v>#VALUE!</v>
      </c>
      <c r="BW177" s="61" t="e">
        <f t="shared" si="58"/>
        <v>#NUM!</v>
      </c>
    </row>
    <row r="178" spans="64:75" ht="20.100000000000001" customHeight="1" x14ac:dyDescent="0.25">
      <c r="BL178" s="62" t="str">
        <f t="shared" si="53"/>
        <v/>
      </c>
      <c r="BM178" s="63" t="str">
        <f t="shared" si="54"/>
        <v/>
      </c>
      <c r="BN178" s="68" t="str">
        <f t="shared" si="55"/>
        <v/>
      </c>
      <c r="BU178" s="51" t="e">
        <f t="shared" si="56"/>
        <v>#VALUE!</v>
      </c>
      <c r="BV178" s="44" t="e">
        <f t="shared" si="57"/>
        <v>#VALUE!</v>
      </c>
      <c r="BW178" s="61" t="e">
        <f t="shared" si="58"/>
        <v>#NUM!</v>
      </c>
    </row>
    <row r="179" spans="64:75" ht="20.100000000000001" customHeight="1" x14ac:dyDescent="0.25">
      <c r="BL179" s="62" t="str">
        <f t="shared" si="53"/>
        <v/>
      </c>
      <c r="BM179" s="63" t="str">
        <f t="shared" si="54"/>
        <v/>
      </c>
      <c r="BN179" s="68" t="str">
        <f t="shared" si="55"/>
        <v/>
      </c>
      <c r="BU179" s="51" t="e">
        <f t="shared" si="56"/>
        <v>#VALUE!</v>
      </c>
      <c r="BV179" s="44" t="e">
        <f t="shared" si="57"/>
        <v>#VALUE!</v>
      </c>
      <c r="BW179" s="61" t="e">
        <f t="shared" si="58"/>
        <v>#NUM!</v>
      </c>
    </row>
    <row r="180" spans="64:75" ht="20.100000000000001" customHeight="1" x14ac:dyDescent="0.25">
      <c r="BL180" s="62" t="str">
        <f t="shared" si="53"/>
        <v/>
      </c>
      <c r="BM180" s="63" t="str">
        <f t="shared" si="54"/>
        <v/>
      </c>
      <c r="BN180" s="68" t="str">
        <f t="shared" si="55"/>
        <v/>
      </c>
      <c r="BU180" s="51" t="e">
        <f t="shared" si="56"/>
        <v>#VALUE!</v>
      </c>
      <c r="BV180" s="44" t="e">
        <f t="shared" si="57"/>
        <v>#VALUE!</v>
      </c>
      <c r="BW180" s="61" t="e">
        <f t="shared" si="58"/>
        <v>#NUM!</v>
      </c>
    </row>
    <row r="181" spans="64:75" ht="20.100000000000001" customHeight="1" x14ac:dyDescent="0.25">
      <c r="BL181" s="62" t="str">
        <f t="shared" si="53"/>
        <v/>
      </c>
      <c r="BM181" s="63" t="str">
        <f t="shared" si="54"/>
        <v/>
      </c>
      <c r="BN181" s="68" t="str">
        <f t="shared" si="55"/>
        <v/>
      </c>
      <c r="BU181" s="51" t="e">
        <f t="shared" si="56"/>
        <v>#VALUE!</v>
      </c>
      <c r="BV181" s="44" t="e">
        <f t="shared" si="57"/>
        <v>#VALUE!</v>
      </c>
      <c r="BW181" s="61" t="e">
        <f t="shared" si="58"/>
        <v>#NUM!</v>
      </c>
    </row>
    <row r="182" spans="64:75" ht="20.100000000000001" customHeight="1" x14ac:dyDescent="0.25">
      <c r="BL182" s="62" t="str">
        <f t="shared" si="53"/>
        <v/>
      </c>
      <c r="BM182" s="63" t="str">
        <f t="shared" si="54"/>
        <v/>
      </c>
      <c r="BN182" s="68" t="str">
        <f t="shared" si="55"/>
        <v/>
      </c>
      <c r="BU182" s="51" t="e">
        <f t="shared" si="56"/>
        <v>#VALUE!</v>
      </c>
      <c r="BV182" s="44" t="e">
        <f t="shared" si="57"/>
        <v>#VALUE!</v>
      </c>
      <c r="BW182" s="61" t="e">
        <f t="shared" si="58"/>
        <v>#NUM!</v>
      </c>
    </row>
    <row r="183" spans="64:75" ht="20.100000000000001" customHeight="1" x14ac:dyDescent="0.25">
      <c r="BL183" s="62" t="str">
        <f t="shared" si="53"/>
        <v/>
      </c>
      <c r="BM183" s="63" t="str">
        <f t="shared" si="54"/>
        <v/>
      </c>
      <c r="BN183" s="68" t="str">
        <f t="shared" si="55"/>
        <v/>
      </c>
      <c r="BU183" s="51" t="e">
        <f t="shared" si="56"/>
        <v>#VALUE!</v>
      </c>
      <c r="BV183" s="44" t="e">
        <f t="shared" si="57"/>
        <v>#VALUE!</v>
      </c>
      <c r="BW183" s="61" t="e">
        <f t="shared" si="58"/>
        <v>#NUM!</v>
      </c>
    </row>
    <row r="184" spans="64:75" ht="20.100000000000001" customHeight="1" x14ac:dyDescent="0.25">
      <c r="BL184" s="62" t="str">
        <f t="shared" si="53"/>
        <v/>
      </c>
      <c r="BM184" s="63" t="str">
        <f t="shared" si="54"/>
        <v/>
      </c>
      <c r="BN184" s="68" t="str">
        <f t="shared" si="55"/>
        <v/>
      </c>
      <c r="BU184" s="51" t="e">
        <f t="shared" si="56"/>
        <v>#VALUE!</v>
      </c>
      <c r="BV184" s="44" t="e">
        <f t="shared" si="57"/>
        <v>#VALUE!</v>
      </c>
      <c r="BW184" s="61" t="e">
        <f t="shared" si="58"/>
        <v>#NUM!</v>
      </c>
    </row>
    <row r="185" spans="64:75" ht="20.100000000000001" customHeight="1" x14ac:dyDescent="0.25">
      <c r="BL185" s="62" t="str">
        <f t="shared" si="53"/>
        <v/>
      </c>
      <c r="BM185" s="63" t="str">
        <f t="shared" si="54"/>
        <v/>
      </c>
      <c r="BN185" s="68" t="str">
        <f t="shared" si="55"/>
        <v/>
      </c>
      <c r="BU185" s="51" t="e">
        <f t="shared" si="56"/>
        <v>#VALUE!</v>
      </c>
      <c r="BV185" s="44" t="e">
        <f t="shared" si="57"/>
        <v>#VALUE!</v>
      </c>
      <c r="BW185" s="61" t="e">
        <f t="shared" si="58"/>
        <v>#NUM!</v>
      </c>
    </row>
    <row r="186" spans="64:75" ht="20.100000000000001" customHeight="1" x14ac:dyDescent="0.25">
      <c r="BL186" s="62" t="str">
        <f t="shared" si="53"/>
        <v/>
      </c>
      <c r="BM186" s="63" t="str">
        <f t="shared" si="54"/>
        <v/>
      </c>
      <c r="BN186" s="68" t="str">
        <f t="shared" si="55"/>
        <v/>
      </c>
      <c r="BU186" s="51" t="e">
        <f t="shared" si="56"/>
        <v>#VALUE!</v>
      </c>
      <c r="BV186" s="44" t="e">
        <f t="shared" si="57"/>
        <v>#VALUE!</v>
      </c>
      <c r="BW186" s="61" t="e">
        <f t="shared" si="58"/>
        <v>#NUM!</v>
      </c>
    </row>
    <row r="187" spans="64:75" ht="20.100000000000001" customHeight="1" x14ac:dyDescent="0.25">
      <c r="BL187" s="62" t="str">
        <f t="shared" si="53"/>
        <v/>
      </c>
      <c r="BM187" s="63" t="str">
        <f t="shared" si="54"/>
        <v/>
      </c>
      <c r="BN187" s="68" t="str">
        <f t="shared" si="55"/>
        <v/>
      </c>
      <c r="BU187" s="51" t="e">
        <f t="shared" si="56"/>
        <v>#VALUE!</v>
      </c>
      <c r="BV187" s="44" t="e">
        <f t="shared" si="57"/>
        <v>#VALUE!</v>
      </c>
      <c r="BW187" s="61" t="e">
        <f t="shared" si="58"/>
        <v>#NUM!</v>
      </c>
    </row>
    <row r="188" spans="64:75" ht="20.100000000000001" customHeight="1" x14ac:dyDescent="0.25">
      <c r="BL188" s="62" t="str">
        <f t="shared" si="53"/>
        <v/>
      </c>
      <c r="BM188" s="63" t="str">
        <f t="shared" si="54"/>
        <v/>
      </c>
      <c r="BN188" s="68" t="str">
        <f t="shared" si="55"/>
        <v/>
      </c>
      <c r="BU188" s="51" t="e">
        <f t="shared" si="56"/>
        <v>#VALUE!</v>
      </c>
      <c r="BV188" s="44" t="e">
        <f t="shared" si="57"/>
        <v>#VALUE!</v>
      </c>
      <c r="BW188" s="61" t="e">
        <f t="shared" si="58"/>
        <v>#NUM!</v>
      </c>
    </row>
    <row r="189" spans="64:75" ht="20.100000000000001" customHeight="1" x14ac:dyDescent="0.25">
      <c r="BL189" s="62" t="str">
        <f t="shared" si="53"/>
        <v/>
      </c>
      <c r="BM189" s="63" t="str">
        <f t="shared" si="54"/>
        <v/>
      </c>
      <c r="BN189" s="68" t="str">
        <f t="shared" si="55"/>
        <v/>
      </c>
      <c r="BU189" s="51" t="e">
        <f t="shared" si="56"/>
        <v>#VALUE!</v>
      </c>
      <c r="BV189" s="44" t="e">
        <f t="shared" si="57"/>
        <v>#VALUE!</v>
      </c>
      <c r="BW189" s="61" t="e">
        <f t="shared" si="58"/>
        <v>#NUM!</v>
      </c>
    </row>
    <row r="190" spans="64:75" ht="20.100000000000001" customHeight="1" x14ac:dyDescent="0.25">
      <c r="BL190" s="62" t="str">
        <f t="shared" si="53"/>
        <v/>
      </c>
      <c r="BM190" s="63" t="str">
        <f t="shared" si="54"/>
        <v/>
      </c>
      <c r="BN190" s="68" t="str">
        <f t="shared" si="55"/>
        <v/>
      </c>
      <c r="BU190" s="51" t="e">
        <f t="shared" si="56"/>
        <v>#VALUE!</v>
      </c>
      <c r="BV190" s="44" t="e">
        <f t="shared" si="57"/>
        <v>#VALUE!</v>
      </c>
      <c r="BW190" s="61" t="e">
        <f t="shared" si="58"/>
        <v>#NUM!</v>
      </c>
    </row>
    <row r="191" spans="64:75" ht="20.100000000000001" customHeight="1" x14ac:dyDescent="0.25">
      <c r="BL191" s="62" t="str">
        <f t="shared" si="53"/>
        <v/>
      </c>
      <c r="BM191" s="63" t="str">
        <f t="shared" si="54"/>
        <v/>
      </c>
      <c r="BN191" s="68" t="str">
        <f t="shared" si="55"/>
        <v/>
      </c>
      <c r="BU191" s="51" t="e">
        <f t="shared" si="56"/>
        <v>#VALUE!</v>
      </c>
      <c r="BV191" s="44" t="e">
        <f t="shared" si="57"/>
        <v>#VALUE!</v>
      </c>
      <c r="BW191" s="61" t="e">
        <f t="shared" si="58"/>
        <v>#NUM!</v>
      </c>
    </row>
    <row r="192" spans="64:75" ht="20.100000000000001" customHeight="1" x14ac:dyDescent="0.25">
      <c r="BL192" s="62" t="str">
        <f t="shared" si="53"/>
        <v/>
      </c>
      <c r="BM192" s="63" t="str">
        <f t="shared" si="54"/>
        <v/>
      </c>
      <c r="BN192" s="68" t="str">
        <f t="shared" si="55"/>
        <v/>
      </c>
      <c r="BU192" s="51" t="e">
        <f t="shared" si="56"/>
        <v>#VALUE!</v>
      </c>
      <c r="BV192" s="44" t="e">
        <f t="shared" si="57"/>
        <v>#VALUE!</v>
      </c>
      <c r="BW192" s="61" t="e">
        <f t="shared" si="58"/>
        <v>#NUM!</v>
      </c>
    </row>
    <row r="193" spans="64:75" ht="20.100000000000001" customHeight="1" x14ac:dyDescent="0.25">
      <c r="BL193" s="62" t="str">
        <f t="shared" si="53"/>
        <v/>
      </c>
      <c r="BM193" s="63" t="str">
        <f t="shared" si="54"/>
        <v/>
      </c>
      <c r="BN193" s="68" t="str">
        <f t="shared" si="55"/>
        <v/>
      </c>
      <c r="BU193" s="51" t="e">
        <f t="shared" si="56"/>
        <v>#VALUE!</v>
      </c>
      <c r="BV193" s="44" t="e">
        <f t="shared" si="57"/>
        <v>#VALUE!</v>
      </c>
      <c r="BW193" s="61" t="e">
        <f t="shared" si="58"/>
        <v>#NUM!</v>
      </c>
    </row>
    <row r="194" spans="64:75" ht="20.100000000000001" customHeight="1" x14ac:dyDescent="0.25">
      <c r="BL194" s="62" t="str">
        <f t="shared" si="53"/>
        <v/>
      </c>
      <c r="BM194" s="63" t="str">
        <f t="shared" si="54"/>
        <v/>
      </c>
      <c r="BN194" s="68" t="str">
        <f t="shared" si="55"/>
        <v/>
      </c>
      <c r="BU194" s="51" t="e">
        <f t="shared" si="56"/>
        <v>#VALUE!</v>
      </c>
      <c r="BV194" s="44" t="e">
        <f t="shared" si="57"/>
        <v>#VALUE!</v>
      </c>
      <c r="BW194" s="61" t="e">
        <f t="shared" si="58"/>
        <v>#NUM!</v>
      </c>
    </row>
    <row r="195" spans="64:75" ht="20.100000000000001" customHeight="1" x14ac:dyDescent="0.25">
      <c r="BL195" s="62" t="str">
        <f t="shared" si="53"/>
        <v/>
      </c>
      <c r="BM195" s="63" t="str">
        <f t="shared" si="54"/>
        <v/>
      </c>
      <c r="BN195" s="68" t="str">
        <f t="shared" si="55"/>
        <v/>
      </c>
      <c r="BU195" s="51" t="e">
        <f t="shared" si="56"/>
        <v>#VALUE!</v>
      </c>
      <c r="BV195" s="44" t="e">
        <f t="shared" si="57"/>
        <v>#VALUE!</v>
      </c>
      <c r="BW195" s="61" t="e">
        <f t="shared" si="58"/>
        <v>#NUM!</v>
      </c>
    </row>
    <row r="196" spans="64:75" ht="20.100000000000001" customHeight="1" x14ac:dyDescent="0.25">
      <c r="BL196" s="62" t="str">
        <f t="shared" si="53"/>
        <v/>
      </c>
      <c r="BM196" s="63" t="str">
        <f t="shared" si="54"/>
        <v/>
      </c>
      <c r="BN196" s="68" t="str">
        <f t="shared" si="55"/>
        <v/>
      </c>
      <c r="BU196" s="51" t="e">
        <f t="shared" si="56"/>
        <v>#VALUE!</v>
      </c>
      <c r="BV196" s="44" t="e">
        <f t="shared" si="57"/>
        <v>#VALUE!</v>
      </c>
      <c r="BW196" s="61" t="e">
        <f t="shared" si="58"/>
        <v>#NUM!</v>
      </c>
    </row>
    <row r="197" spans="64:75" ht="20.100000000000001" customHeight="1" x14ac:dyDescent="0.25">
      <c r="BL197" s="62" t="str">
        <f t="shared" si="53"/>
        <v/>
      </c>
      <c r="BM197" s="63" t="str">
        <f t="shared" si="54"/>
        <v/>
      </c>
      <c r="BN197" s="68" t="str">
        <f t="shared" si="55"/>
        <v/>
      </c>
      <c r="BU197" s="51" t="e">
        <f t="shared" si="56"/>
        <v>#VALUE!</v>
      </c>
      <c r="BV197" s="44" t="e">
        <f t="shared" si="57"/>
        <v>#VALUE!</v>
      </c>
      <c r="BW197" s="61" t="e">
        <f t="shared" si="58"/>
        <v>#NUM!</v>
      </c>
    </row>
    <row r="198" spans="64:75" ht="20.100000000000001" customHeight="1" x14ac:dyDescent="0.25">
      <c r="BL198" s="62" t="str">
        <f t="shared" si="53"/>
        <v/>
      </c>
      <c r="BM198" s="63" t="str">
        <f t="shared" si="54"/>
        <v/>
      </c>
      <c r="BN198" s="68" t="str">
        <f t="shared" si="55"/>
        <v/>
      </c>
      <c r="BU198" s="51" t="e">
        <f t="shared" si="56"/>
        <v>#VALUE!</v>
      </c>
      <c r="BV198" s="44" t="e">
        <f t="shared" si="57"/>
        <v>#VALUE!</v>
      </c>
      <c r="BW198" s="61" t="e">
        <f t="shared" si="58"/>
        <v>#NUM!</v>
      </c>
    </row>
    <row r="199" spans="64:75" ht="20.100000000000001" customHeight="1" x14ac:dyDescent="0.25">
      <c r="BL199" s="62" t="str">
        <f t="shared" si="53"/>
        <v/>
      </c>
      <c r="BM199" s="63" t="str">
        <f t="shared" si="54"/>
        <v/>
      </c>
      <c r="BN199" s="68" t="str">
        <f t="shared" si="55"/>
        <v/>
      </c>
      <c r="BU199" s="51" t="e">
        <f t="shared" si="56"/>
        <v>#VALUE!</v>
      </c>
      <c r="BV199" s="44" t="e">
        <f t="shared" si="57"/>
        <v>#VALUE!</v>
      </c>
      <c r="BW199" s="61" t="e">
        <f t="shared" si="58"/>
        <v>#NUM!</v>
      </c>
    </row>
    <row r="200" spans="64:75" ht="20.100000000000001" customHeight="1" x14ac:dyDescent="0.25">
      <c r="BL200" s="62" t="str">
        <f t="shared" si="53"/>
        <v/>
      </c>
      <c r="BM200" s="63" t="str">
        <f t="shared" si="54"/>
        <v/>
      </c>
      <c r="BN200" s="68" t="str">
        <f t="shared" si="55"/>
        <v/>
      </c>
      <c r="BU200" s="51" t="e">
        <f t="shared" si="56"/>
        <v>#VALUE!</v>
      </c>
      <c r="BV200" s="44" t="e">
        <f t="shared" si="57"/>
        <v>#VALUE!</v>
      </c>
      <c r="BW200" s="61" t="e">
        <f t="shared" si="58"/>
        <v>#NUM!</v>
      </c>
    </row>
    <row r="201" spans="64:75" ht="20.100000000000001" customHeight="1" x14ac:dyDescent="0.25">
      <c r="BL201" s="62" t="str">
        <f t="shared" si="53"/>
        <v/>
      </c>
      <c r="BM201" s="63" t="str">
        <f t="shared" si="54"/>
        <v/>
      </c>
      <c r="BN201" s="68" t="str">
        <f t="shared" si="55"/>
        <v/>
      </c>
      <c r="BU201" s="51" t="e">
        <f t="shared" si="56"/>
        <v>#VALUE!</v>
      </c>
      <c r="BV201" s="44" t="e">
        <f t="shared" si="57"/>
        <v>#VALUE!</v>
      </c>
      <c r="BW201" s="61" t="e">
        <f t="shared" si="58"/>
        <v>#NUM!</v>
      </c>
    </row>
    <row r="202" spans="64:75" ht="20.100000000000001" customHeight="1" x14ac:dyDescent="0.25">
      <c r="BL202" s="62" t="str">
        <f t="shared" si="53"/>
        <v/>
      </c>
      <c r="BM202" s="63" t="str">
        <f t="shared" si="54"/>
        <v/>
      </c>
      <c r="BN202" s="68" t="str">
        <f t="shared" si="55"/>
        <v/>
      </c>
      <c r="BU202" s="51" t="e">
        <f t="shared" si="56"/>
        <v>#VALUE!</v>
      </c>
      <c r="BV202" s="44" t="e">
        <f t="shared" si="57"/>
        <v>#VALUE!</v>
      </c>
      <c r="BW202" s="61" t="e">
        <f t="shared" si="58"/>
        <v>#NUM!</v>
      </c>
    </row>
    <row r="203" spans="64:75" ht="20.100000000000001" customHeight="1" x14ac:dyDescent="0.25">
      <c r="BL203" s="62" t="str">
        <f t="shared" si="53"/>
        <v/>
      </c>
      <c r="BM203" s="63" t="str">
        <f t="shared" si="54"/>
        <v/>
      </c>
      <c r="BN203" s="68" t="str">
        <f t="shared" si="55"/>
        <v/>
      </c>
      <c r="BU203" s="51" t="e">
        <f t="shared" si="56"/>
        <v>#VALUE!</v>
      </c>
      <c r="BV203" s="44" t="e">
        <f t="shared" si="57"/>
        <v>#VALUE!</v>
      </c>
      <c r="BW203" s="61" t="e">
        <f t="shared" si="58"/>
        <v>#NUM!</v>
      </c>
    </row>
    <row r="204" spans="64:75" ht="20.100000000000001" customHeight="1" x14ac:dyDescent="0.25">
      <c r="BL204" s="62" t="str">
        <f t="shared" ref="BL204:BL267" si="59">IF(AND(BL203&gt;BM$6,BL203&lt;&gt;""),BL203-1,"")</f>
        <v/>
      </c>
      <c r="BM204" s="63" t="str">
        <f t="shared" ref="BM204:BM267" si="60">IF(BL204&lt;&gt;"",MAX(BL204,ROUND(BM$6*BM$9^BL204,0)),"")</f>
        <v/>
      </c>
      <c r="BN204" s="68" t="str">
        <f t="shared" ref="BN204:BN267" si="61">IF(BM204&lt;&gt;"",O$12/M$12*BM204,"")</f>
        <v/>
      </c>
      <c r="BU204" s="51" t="e">
        <f t="shared" si="56"/>
        <v>#VALUE!</v>
      </c>
      <c r="BV204" s="44" t="e">
        <f t="shared" si="57"/>
        <v>#VALUE!</v>
      </c>
      <c r="BW204" s="61" t="e">
        <f t="shared" si="58"/>
        <v>#NUM!</v>
      </c>
    </row>
    <row r="205" spans="64:75" ht="20.100000000000001" customHeight="1" x14ac:dyDescent="0.25">
      <c r="BL205" s="62" t="str">
        <f t="shared" si="59"/>
        <v/>
      </c>
      <c r="BM205" s="63" t="str">
        <f t="shared" si="60"/>
        <v/>
      </c>
      <c r="BN205" s="68" t="str">
        <f t="shared" si="61"/>
        <v/>
      </c>
      <c r="BU205" s="51" t="e">
        <f t="shared" si="56"/>
        <v>#VALUE!</v>
      </c>
      <c r="BV205" s="44" t="e">
        <f t="shared" si="57"/>
        <v>#VALUE!</v>
      </c>
      <c r="BW205" s="61" t="e">
        <f t="shared" si="58"/>
        <v>#NUM!</v>
      </c>
    </row>
    <row r="206" spans="64:75" ht="20.100000000000001" customHeight="1" x14ac:dyDescent="0.25">
      <c r="BL206" s="62" t="str">
        <f t="shared" si="59"/>
        <v/>
      </c>
      <c r="BM206" s="63" t="str">
        <f t="shared" si="60"/>
        <v/>
      </c>
      <c r="BN206" s="68" t="str">
        <f t="shared" si="61"/>
        <v/>
      </c>
      <c r="BU206" s="51" t="e">
        <f t="shared" si="56"/>
        <v>#VALUE!</v>
      </c>
      <c r="BV206" s="44" t="e">
        <f t="shared" si="57"/>
        <v>#VALUE!</v>
      </c>
      <c r="BW206" s="61" t="e">
        <f t="shared" si="58"/>
        <v>#NUM!</v>
      </c>
    </row>
    <row r="207" spans="64:75" ht="20.100000000000001" customHeight="1" x14ac:dyDescent="0.25">
      <c r="BL207" s="62" t="str">
        <f t="shared" si="59"/>
        <v/>
      </c>
      <c r="BM207" s="63" t="str">
        <f t="shared" si="60"/>
        <v/>
      </c>
      <c r="BN207" s="68" t="str">
        <f t="shared" si="61"/>
        <v/>
      </c>
      <c r="BU207" s="51" t="e">
        <f t="shared" si="56"/>
        <v>#VALUE!</v>
      </c>
      <c r="BV207" s="44" t="e">
        <f t="shared" si="57"/>
        <v>#VALUE!</v>
      </c>
      <c r="BW207" s="61" t="e">
        <f t="shared" si="58"/>
        <v>#NUM!</v>
      </c>
    </row>
    <row r="208" spans="64:75" ht="20.100000000000001" customHeight="1" x14ac:dyDescent="0.25">
      <c r="BL208" s="62" t="str">
        <f t="shared" si="59"/>
        <v/>
      </c>
      <c r="BM208" s="63" t="str">
        <f t="shared" si="60"/>
        <v/>
      </c>
      <c r="BN208" s="68" t="str">
        <f t="shared" si="61"/>
        <v/>
      </c>
      <c r="BU208" s="51" t="e">
        <f t="shared" si="56"/>
        <v>#VALUE!</v>
      </c>
      <c r="BV208" s="44" t="e">
        <f t="shared" si="57"/>
        <v>#VALUE!</v>
      </c>
      <c r="BW208" s="61" t="e">
        <f t="shared" si="58"/>
        <v>#NUM!</v>
      </c>
    </row>
    <row r="209" spans="64:75" ht="20.100000000000001" customHeight="1" x14ac:dyDescent="0.25">
      <c r="BL209" s="62" t="str">
        <f t="shared" si="59"/>
        <v/>
      </c>
      <c r="BM209" s="63" t="str">
        <f t="shared" si="60"/>
        <v/>
      </c>
      <c r="BN209" s="68" t="str">
        <f t="shared" si="61"/>
        <v/>
      </c>
      <c r="BU209" s="51" t="e">
        <f t="shared" si="56"/>
        <v>#VALUE!</v>
      </c>
      <c r="BV209" s="44" t="e">
        <f t="shared" si="57"/>
        <v>#VALUE!</v>
      </c>
      <c r="BW209" s="61" t="e">
        <f t="shared" si="58"/>
        <v>#NUM!</v>
      </c>
    </row>
    <row r="210" spans="64:75" ht="20.100000000000001" customHeight="1" x14ac:dyDescent="0.25">
      <c r="BL210" s="62" t="str">
        <f t="shared" si="59"/>
        <v/>
      </c>
      <c r="BM210" s="63" t="str">
        <f t="shared" si="60"/>
        <v/>
      </c>
      <c r="BN210" s="68" t="str">
        <f t="shared" si="61"/>
        <v/>
      </c>
      <c r="BU210" s="51" t="e">
        <f t="shared" si="56"/>
        <v>#VALUE!</v>
      </c>
      <c r="BV210" s="44" t="e">
        <f t="shared" si="57"/>
        <v>#VALUE!</v>
      </c>
      <c r="BW210" s="61" t="e">
        <f t="shared" si="58"/>
        <v>#NUM!</v>
      </c>
    </row>
    <row r="211" spans="64:75" ht="20.100000000000001" customHeight="1" x14ac:dyDescent="0.25">
      <c r="BL211" s="62" t="str">
        <f t="shared" si="59"/>
        <v/>
      </c>
      <c r="BM211" s="63" t="str">
        <f t="shared" si="60"/>
        <v/>
      </c>
      <c r="BN211" s="68" t="str">
        <f t="shared" si="61"/>
        <v/>
      </c>
      <c r="BU211" s="51" t="e">
        <f t="shared" si="56"/>
        <v>#VALUE!</v>
      </c>
      <c r="BV211" s="44" t="e">
        <f t="shared" si="57"/>
        <v>#VALUE!</v>
      </c>
      <c r="BW211" s="61" t="e">
        <f t="shared" si="58"/>
        <v>#NUM!</v>
      </c>
    </row>
    <row r="212" spans="64:75" ht="20.100000000000001" customHeight="1" x14ac:dyDescent="0.25">
      <c r="BL212" s="62" t="str">
        <f t="shared" si="59"/>
        <v/>
      </c>
      <c r="BM212" s="63" t="str">
        <f t="shared" si="60"/>
        <v/>
      </c>
      <c r="BN212" s="68" t="str">
        <f t="shared" si="61"/>
        <v/>
      </c>
      <c r="BU212" s="51" t="e">
        <f t="shared" ref="BU212:BU275" si="62">BO212-BN212</f>
        <v>#VALUE!</v>
      </c>
      <c r="BV212" s="44" t="e">
        <f t="shared" ref="BV212:BV275" si="63">BO212/BN212-1</f>
        <v>#VALUE!</v>
      </c>
      <c r="BW212" s="61" t="e">
        <f t="shared" ref="BW212:BW275" si="64">-20*LOG10(BP212/100)</f>
        <v>#NUM!</v>
      </c>
    </row>
    <row r="213" spans="64:75" ht="20.100000000000001" customHeight="1" x14ac:dyDescent="0.25">
      <c r="BL213" s="62" t="str">
        <f t="shared" si="59"/>
        <v/>
      </c>
      <c r="BM213" s="63" t="str">
        <f t="shared" si="60"/>
        <v/>
      </c>
      <c r="BN213" s="68" t="str">
        <f t="shared" si="61"/>
        <v/>
      </c>
      <c r="BU213" s="51" t="e">
        <f t="shared" si="62"/>
        <v>#VALUE!</v>
      </c>
      <c r="BV213" s="44" t="e">
        <f t="shared" si="63"/>
        <v>#VALUE!</v>
      </c>
      <c r="BW213" s="61" t="e">
        <f t="shared" si="64"/>
        <v>#NUM!</v>
      </c>
    </row>
    <row r="214" spans="64:75" ht="20.100000000000001" customHeight="1" x14ac:dyDescent="0.25">
      <c r="BL214" s="62" t="str">
        <f t="shared" si="59"/>
        <v/>
      </c>
      <c r="BM214" s="63" t="str">
        <f t="shared" si="60"/>
        <v/>
      </c>
      <c r="BN214" s="68" t="str">
        <f t="shared" si="61"/>
        <v/>
      </c>
      <c r="BU214" s="51" t="e">
        <f t="shared" si="62"/>
        <v>#VALUE!</v>
      </c>
      <c r="BV214" s="44" t="e">
        <f t="shared" si="63"/>
        <v>#VALUE!</v>
      </c>
      <c r="BW214" s="61" t="e">
        <f t="shared" si="64"/>
        <v>#NUM!</v>
      </c>
    </row>
    <row r="215" spans="64:75" ht="20.100000000000001" customHeight="1" x14ac:dyDescent="0.25">
      <c r="BL215" s="62" t="str">
        <f t="shared" si="59"/>
        <v/>
      </c>
      <c r="BM215" s="63" t="str">
        <f t="shared" si="60"/>
        <v/>
      </c>
      <c r="BN215" s="68" t="str">
        <f t="shared" si="61"/>
        <v/>
      </c>
      <c r="BU215" s="51" t="e">
        <f t="shared" si="62"/>
        <v>#VALUE!</v>
      </c>
      <c r="BV215" s="44" t="e">
        <f t="shared" si="63"/>
        <v>#VALUE!</v>
      </c>
      <c r="BW215" s="61" t="e">
        <f t="shared" si="64"/>
        <v>#NUM!</v>
      </c>
    </row>
    <row r="216" spans="64:75" ht="20.100000000000001" customHeight="1" x14ac:dyDescent="0.25">
      <c r="BL216" s="62" t="str">
        <f t="shared" si="59"/>
        <v/>
      </c>
      <c r="BM216" s="63" t="str">
        <f t="shared" si="60"/>
        <v/>
      </c>
      <c r="BN216" s="68" t="str">
        <f t="shared" si="61"/>
        <v/>
      </c>
      <c r="BU216" s="51" t="e">
        <f t="shared" si="62"/>
        <v>#VALUE!</v>
      </c>
      <c r="BV216" s="44" t="e">
        <f t="shared" si="63"/>
        <v>#VALUE!</v>
      </c>
      <c r="BW216" s="61" t="e">
        <f t="shared" si="64"/>
        <v>#NUM!</v>
      </c>
    </row>
    <row r="217" spans="64:75" ht="20.100000000000001" customHeight="1" x14ac:dyDescent="0.25">
      <c r="BL217" s="62" t="str">
        <f t="shared" si="59"/>
        <v/>
      </c>
      <c r="BM217" s="63" t="str">
        <f t="shared" si="60"/>
        <v/>
      </c>
      <c r="BN217" s="68" t="str">
        <f t="shared" si="61"/>
        <v/>
      </c>
      <c r="BU217" s="51" t="e">
        <f t="shared" si="62"/>
        <v>#VALUE!</v>
      </c>
      <c r="BV217" s="44" t="e">
        <f t="shared" si="63"/>
        <v>#VALUE!</v>
      </c>
      <c r="BW217" s="61" t="e">
        <f t="shared" si="64"/>
        <v>#NUM!</v>
      </c>
    </row>
    <row r="218" spans="64:75" ht="20.100000000000001" customHeight="1" x14ac:dyDescent="0.25">
      <c r="BL218" s="62" t="str">
        <f t="shared" si="59"/>
        <v/>
      </c>
      <c r="BM218" s="63" t="str">
        <f t="shared" si="60"/>
        <v/>
      </c>
      <c r="BN218" s="68" t="str">
        <f t="shared" si="61"/>
        <v/>
      </c>
      <c r="BU218" s="51" t="e">
        <f t="shared" si="62"/>
        <v>#VALUE!</v>
      </c>
      <c r="BV218" s="44" t="e">
        <f t="shared" si="63"/>
        <v>#VALUE!</v>
      </c>
      <c r="BW218" s="61" t="e">
        <f t="shared" si="64"/>
        <v>#NUM!</v>
      </c>
    </row>
    <row r="219" spans="64:75" ht="20.100000000000001" customHeight="1" x14ac:dyDescent="0.25">
      <c r="BL219" s="62" t="str">
        <f t="shared" si="59"/>
        <v/>
      </c>
      <c r="BM219" s="63" t="str">
        <f t="shared" si="60"/>
        <v/>
      </c>
      <c r="BN219" s="68" t="str">
        <f t="shared" si="61"/>
        <v/>
      </c>
      <c r="BU219" s="51" t="e">
        <f t="shared" si="62"/>
        <v>#VALUE!</v>
      </c>
      <c r="BV219" s="44" t="e">
        <f t="shared" si="63"/>
        <v>#VALUE!</v>
      </c>
      <c r="BW219" s="61" t="e">
        <f t="shared" si="64"/>
        <v>#NUM!</v>
      </c>
    </row>
    <row r="220" spans="64:75" ht="20.100000000000001" customHeight="1" x14ac:dyDescent="0.25">
      <c r="BL220" s="62" t="str">
        <f t="shared" si="59"/>
        <v/>
      </c>
      <c r="BM220" s="63" t="str">
        <f t="shared" si="60"/>
        <v/>
      </c>
      <c r="BN220" s="68" t="str">
        <f t="shared" si="61"/>
        <v/>
      </c>
      <c r="BU220" s="51" t="e">
        <f t="shared" si="62"/>
        <v>#VALUE!</v>
      </c>
      <c r="BV220" s="44" t="e">
        <f t="shared" si="63"/>
        <v>#VALUE!</v>
      </c>
      <c r="BW220" s="61" t="e">
        <f t="shared" si="64"/>
        <v>#NUM!</v>
      </c>
    </row>
    <row r="221" spans="64:75" ht="20.100000000000001" customHeight="1" x14ac:dyDescent="0.25">
      <c r="BL221" s="62" t="str">
        <f t="shared" si="59"/>
        <v/>
      </c>
      <c r="BM221" s="63" t="str">
        <f t="shared" si="60"/>
        <v/>
      </c>
      <c r="BN221" s="68" t="str">
        <f t="shared" si="61"/>
        <v/>
      </c>
      <c r="BU221" s="51" t="e">
        <f t="shared" si="62"/>
        <v>#VALUE!</v>
      </c>
      <c r="BV221" s="44" t="e">
        <f t="shared" si="63"/>
        <v>#VALUE!</v>
      </c>
      <c r="BW221" s="61" t="e">
        <f t="shared" si="64"/>
        <v>#NUM!</v>
      </c>
    </row>
    <row r="222" spans="64:75" ht="20.100000000000001" customHeight="1" x14ac:dyDescent="0.25">
      <c r="BL222" s="62" t="str">
        <f t="shared" si="59"/>
        <v/>
      </c>
      <c r="BM222" s="63" t="str">
        <f t="shared" si="60"/>
        <v/>
      </c>
      <c r="BN222" s="68" t="str">
        <f t="shared" si="61"/>
        <v/>
      </c>
      <c r="BU222" s="51" t="e">
        <f t="shared" si="62"/>
        <v>#VALUE!</v>
      </c>
      <c r="BV222" s="44" t="e">
        <f t="shared" si="63"/>
        <v>#VALUE!</v>
      </c>
      <c r="BW222" s="61" t="e">
        <f t="shared" si="64"/>
        <v>#NUM!</v>
      </c>
    </row>
    <row r="223" spans="64:75" ht="20.100000000000001" customHeight="1" x14ac:dyDescent="0.25">
      <c r="BL223" s="62" t="str">
        <f t="shared" si="59"/>
        <v/>
      </c>
      <c r="BM223" s="63" t="str">
        <f t="shared" si="60"/>
        <v/>
      </c>
      <c r="BN223" s="68" t="str">
        <f t="shared" si="61"/>
        <v/>
      </c>
      <c r="BU223" s="51" t="e">
        <f t="shared" si="62"/>
        <v>#VALUE!</v>
      </c>
      <c r="BV223" s="44" t="e">
        <f t="shared" si="63"/>
        <v>#VALUE!</v>
      </c>
      <c r="BW223" s="61" t="e">
        <f t="shared" si="64"/>
        <v>#NUM!</v>
      </c>
    </row>
    <row r="224" spans="64:75" ht="20.100000000000001" customHeight="1" x14ac:dyDescent="0.25">
      <c r="BL224" s="62" t="str">
        <f t="shared" si="59"/>
        <v/>
      </c>
      <c r="BM224" s="63" t="str">
        <f t="shared" si="60"/>
        <v/>
      </c>
      <c r="BN224" s="68" t="str">
        <f t="shared" si="61"/>
        <v/>
      </c>
      <c r="BU224" s="51" t="e">
        <f t="shared" si="62"/>
        <v>#VALUE!</v>
      </c>
      <c r="BV224" s="44" t="e">
        <f t="shared" si="63"/>
        <v>#VALUE!</v>
      </c>
      <c r="BW224" s="61" t="e">
        <f t="shared" si="64"/>
        <v>#NUM!</v>
      </c>
    </row>
    <row r="225" spans="64:75" ht="20.100000000000001" customHeight="1" x14ac:dyDescent="0.25">
      <c r="BL225" s="62" t="str">
        <f t="shared" si="59"/>
        <v/>
      </c>
      <c r="BM225" s="63" t="str">
        <f t="shared" si="60"/>
        <v/>
      </c>
      <c r="BN225" s="68" t="str">
        <f t="shared" si="61"/>
        <v/>
      </c>
      <c r="BU225" s="51" t="e">
        <f t="shared" si="62"/>
        <v>#VALUE!</v>
      </c>
      <c r="BV225" s="44" t="e">
        <f t="shared" si="63"/>
        <v>#VALUE!</v>
      </c>
      <c r="BW225" s="61" t="e">
        <f t="shared" si="64"/>
        <v>#NUM!</v>
      </c>
    </row>
    <row r="226" spans="64:75" ht="20.100000000000001" customHeight="1" x14ac:dyDescent="0.25">
      <c r="BL226" s="62" t="str">
        <f t="shared" si="59"/>
        <v/>
      </c>
      <c r="BM226" s="63" t="str">
        <f t="shared" si="60"/>
        <v/>
      </c>
      <c r="BN226" s="68" t="str">
        <f t="shared" si="61"/>
        <v/>
      </c>
      <c r="BU226" s="51" t="e">
        <f t="shared" si="62"/>
        <v>#VALUE!</v>
      </c>
      <c r="BV226" s="44" t="e">
        <f t="shared" si="63"/>
        <v>#VALUE!</v>
      </c>
      <c r="BW226" s="61" t="e">
        <f t="shared" si="64"/>
        <v>#NUM!</v>
      </c>
    </row>
    <row r="227" spans="64:75" ht="20.100000000000001" customHeight="1" x14ac:dyDescent="0.25">
      <c r="BL227" s="62" t="str">
        <f t="shared" si="59"/>
        <v/>
      </c>
      <c r="BM227" s="63" t="str">
        <f t="shared" si="60"/>
        <v/>
      </c>
      <c r="BN227" s="68" t="str">
        <f t="shared" si="61"/>
        <v/>
      </c>
      <c r="BU227" s="51" t="e">
        <f t="shared" si="62"/>
        <v>#VALUE!</v>
      </c>
      <c r="BV227" s="44" t="e">
        <f t="shared" si="63"/>
        <v>#VALUE!</v>
      </c>
      <c r="BW227" s="61" t="e">
        <f t="shared" si="64"/>
        <v>#NUM!</v>
      </c>
    </row>
    <row r="228" spans="64:75" ht="20.100000000000001" customHeight="1" x14ac:dyDescent="0.25">
      <c r="BL228" s="62" t="str">
        <f t="shared" si="59"/>
        <v/>
      </c>
      <c r="BM228" s="63" t="str">
        <f t="shared" si="60"/>
        <v/>
      </c>
      <c r="BN228" s="68" t="str">
        <f t="shared" si="61"/>
        <v/>
      </c>
      <c r="BU228" s="51" t="e">
        <f t="shared" si="62"/>
        <v>#VALUE!</v>
      </c>
      <c r="BV228" s="44" t="e">
        <f t="shared" si="63"/>
        <v>#VALUE!</v>
      </c>
      <c r="BW228" s="61" t="e">
        <f t="shared" si="64"/>
        <v>#NUM!</v>
      </c>
    </row>
    <row r="229" spans="64:75" ht="20.100000000000001" customHeight="1" x14ac:dyDescent="0.25">
      <c r="BL229" s="62" t="str">
        <f t="shared" si="59"/>
        <v/>
      </c>
      <c r="BM229" s="63" t="str">
        <f t="shared" si="60"/>
        <v/>
      </c>
      <c r="BN229" s="68" t="str">
        <f t="shared" si="61"/>
        <v/>
      </c>
      <c r="BU229" s="51" t="e">
        <f t="shared" si="62"/>
        <v>#VALUE!</v>
      </c>
      <c r="BV229" s="44" t="e">
        <f t="shared" si="63"/>
        <v>#VALUE!</v>
      </c>
      <c r="BW229" s="61" t="e">
        <f t="shared" si="64"/>
        <v>#NUM!</v>
      </c>
    </row>
    <row r="230" spans="64:75" ht="20.100000000000001" customHeight="1" x14ac:dyDescent="0.25">
      <c r="BL230" s="62" t="str">
        <f t="shared" si="59"/>
        <v/>
      </c>
      <c r="BM230" s="63" t="str">
        <f t="shared" si="60"/>
        <v/>
      </c>
      <c r="BN230" s="68" t="str">
        <f t="shared" si="61"/>
        <v/>
      </c>
      <c r="BU230" s="51" t="e">
        <f t="shared" si="62"/>
        <v>#VALUE!</v>
      </c>
      <c r="BV230" s="44" t="e">
        <f t="shared" si="63"/>
        <v>#VALUE!</v>
      </c>
      <c r="BW230" s="61" t="e">
        <f t="shared" si="64"/>
        <v>#NUM!</v>
      </c>
    </row>
    <row r="231" spans="64:75" ht="20.100000000000001" customHeight="1" x14ac:dyDescent="0.25">
      <c r="BL231" s="62" t="str">
        <f t="shared" si="59"/>
        <v/>
      </c>
      <c r="BM231" s="63" t="str">
        <f t="shared" si="60"/>
        <v/>
      </c>
      <c r="BN231" s="68" t="str">
        <f t="shared" si="61"/>
        <v/>
      </c>
      <c r="BU231" s="51" t="e">
        <f t="shared" si="62"/>
        <v>#VALUE!</v>
      </c>
      <c r="BV231" s="44" t="e">
        <f t="shared" si="63"/>
        <v>#VALUE!</v>
      </c>
      <c r="BW231" s="61" t="e">
        <f t="shared" si="64"/>
        <v>#NUM!</v>
      </c>
    </row>
    <row r="232" spans="64:75" ht="20.100000000000001" customHeight="1" x14ac:dyDescent="0.25">
      <c r="BL232" s="62" t="str">
        <f t="shared" si="59"/>
        <v/>
      </c>
      <c r="BM232" s="63" t="str">
        <f t="shared" si="60"/>
        <v/>
      </c>
      <c r="BN232" s="68" t="str">
        <f t="shared" si="61"/>
        <v/>
      </c>
      <c r="BU232" s="51" t="e">
        <f t="shared" si="62"/>
        <v>#VALUE!</v>
      </c>
      <c r="BV232" s="44" t="e">
        <f t="shared" si="63"/>
        <v>#VALUE!</v>
      </c>
      <c r="BW232" s="61" t="e">
        <f t="shared" si="64"/>
        <v>#NUM!</v>
      </c>
    </row>
    <row r="233" spans="64:75" ht="20.100000000000001" customHeight="1" x14ac:dyDescent="0.25">
      <c r="BL233" s="62" t="str">
        <f t="shared" si="59"/>
        <v/>
      </c>
      <c r="BM233" s="63" t="str">
        <f t="shared" si="60"/>
        <v/>
      </c>
      <c r="BN233" s="68" t="str">
        <f t="shared" si="61"/>
        <v/>
      </c>
      <c r="BU233" s="51" t="e">
        <f t="shared" si="62"/>
        <v>#VALUE!</v>
      </c>
      <c r="BV233" s="44" t="e">
        <f t="shared" si="63"/>
        <v>#VALUE!</v>
      </c>
      <c r="BW233" s="61" t="e">
        <f t="shared" si="64"/>
        <v>#NUM!</v>
      </c>
    </row>
    <row r="234" spans="64:75" ht="20.100000000000001" customHeight="1" x14ac:dyDescent="0.25">
      <c r="BL234" s="62" t="str">
        <f t="shared" si="59"/>
        <v/>
      </c>
      <c r="BM234" s="63" t="str">
        <f t="shared" si="60"/>
        <v/>
      </c>
      <c r="BN234" s="68" t="str">
        <f t="shared" si="61"/>
        <v/>
      </c>
      <c r="BU234" s="51" t="e">
        <f t="shared" si="62"/>
        <v>#VALUE!</v>
      </c>
      <c r="BV234" s="44" t="e">
        <f t="shared" si="63"/>
        <v>#VALUE!</v>
      </c>
      <c r="BW234" s="61" t="e">
        <f t="shared" si="64"/>
        <v>#NUM!</v>
      </c>
    </row>
    <row r="235" spans="64:75" ht="20.100000000000001" customHeight="1" x14ac:dyDescent="0.25">
      <c r="BL235" s="62" t="str">
        <f t="shared" si="59"/>
        <v/>
      </c>
      <c r="BM235" s="63" t="str">
        <f t="shared" si="60"/>
        <v/>
      </c>
      <c r="BN235" s="68" t="str">
        <f t="shared" si="61"/>
        <v/>
      </c>
      <c r="BU235" s="51" t="e">
        <f t="shared" si="62"/>
        <v>#VALUE!</v>
      </c>
      <c r="BV235" s="44" t="e">
        <f t="shared" si="63"/>
        <v>#VALUE!</v>
      </c>
      <c r="BW235" s="61" t="e">
        <f t="shared" si="64"/>
        <v>#NUM!</v>
      </c>
    </row>
    <row r="236" spans="64:75" ht="20.100000000000001" customHeight="1" x14ac:dyDescent="0.25">
      <c r="BL236" s="62" t="str">
        <f t="shared" si="59"/>
        <v/>
      </c>
      <c r="BM236" s="63" t="str">
        <f t="shared" si="60"/>
        <v/>
      </c>
      <c r="BN236" s="68" t="str">
        <f t="shared" si="61"/>
        <v/>
      </c>
      <c r="BU236" s="51" t="e">
        <f t="shared" si="62"/>
        <v>#VALUE!</v>
      </c>
      <c r="BV236" s="44" t="e">
        <f t="shared" si="63"/>
        <v>#VALUE!</v>
      </c>
      <c r="BW236" s="61" t="e">
        <f t="shared" si="64"/>
        <v>#NUM!</v>
      </c>
    </row>
    <row r="237" spans="64:75" ht="20.100000000000001" customHeight="1" x14ac:dyDescent="0.25">
      <c r="BL237" s="62" t="str">
        <f t="shared" si="59"/>
        <v/>
      </c>
      <c r="BM237" s="63" t="str">
        <f t="shared" si="60"/>
        <v/>
      </c>
      <c r="BN237" s="68" t="str">
        <f t="shared" si="61"/>
        <v/>
      </c>
      <c r="BU237" s="51" t="e">
        <f t="shared" si="62"/>
        <v>#VALUE!</v>
      </c>
      <c r="BV237" s="44" t="e">
        <f t="shared" si="63"/>
        <v>#VALUE!</v>
      </c>
      <c r="BW237" s="61" t="e">
        <f t="shared" si="64"/>
        <v>#NUM!</v>
      </c>
    </row>
    <row r="238" spans="64:75" ht="20.100000000000001" customHeight="1" x14ac:dyDescent="0.25">
      <c r="BL238" s="62" t="str">
        <f t="shared" si="59"/>
        <v/>
      </c>
      <c r="BM238" s="63" t="str">
        <f t="shared" si="60"/>
        <v/>
      </c>
      <c r="BN238" s="68" t="str">
        <f t="shared" si="61"/>
        <v/>
      </c>
      <c r="BU238" s="51" t="e">
        <f t="shared" si="62"/>
        <v>#VALUE!</v>
      </c>
      <c r="BV238" s="44" t="e">
        <f t="shared" si="63"/>
        <v>#VALUE!</v>
      </c>
      <c r="BW238" s="61" t="e">
        <f t="shared" si="64"/>
        <v>#NUM!</v>
      </c>
    </row>
    <row r="239" spans="64:75" ht="20.100000000000001" customHeight="1" x14ac:dyDescent="0.25">
      <c r="BL239" s="62" t="str">
        <f t="shared" si="59"/>
        <v/>
      </c>
      <c r="BM239" s="63" t="str">
        <f t="shared" si="60"/>
        <v/>
      </c>
      <c r="BN239" s="68" t="str">
        <f t="shared" si="61"/>
        <v/>
      </c>
      <c r="BU239" s="51" t="e">
        <f t="shared" si="62"/>
        <v>#VALUE!</v>
      </c>
      <c r="BV239" s="44" t="e">
        <f t="shared" si="63"/>
        <v>#VALUE!</v>
      </c>
      <c r="BW239" s="61" t="e">
        <f t="shared" si="64"/>
        <v>#NUM!</v>
      </c>
    </row>
    <row r="240" spans="64:75" ht="20.100000000000001" customHeight="1" x14ac:dyDescent="0.25">
      <c r="BL240" s="62" t="str">
        <f t="shared" si="59"/>
        <v/>
      </c>
      <c r="BM240" s="63" t="str">
        <f t="shared" si="60"/>
        <v/>
      </c>
      <c r="BN240" s="68" t="str">
        <f t="shared" si="61"/>
        <v/>
      </c>
      <c r="BU240" s="51" t="e">
        <f t="shared" si="62"/>
        <v>#VALUE!</v>
      </c>
      <c r="BV240" s="44" t="e">
        <f t="shared" si="63"/>
        <v>#VALUE!</v>
      </c>
      <c r="BW240" s="61" t="e">
        <f t="shared" si="64"/>
        <v>#NUM!</v>
      </c>
    </row>
    <row r="241" spans="64:75" ht="20.100000000000001" customHeight="1" x14ac:dyDescent="0.25">
      <c r="BL241" s="62" t="str">
        <f t="shared" si="59"/>
        <v/>
      </c>
      <c r="BM241" s="63" t="str">
        <f t="shared" si="60"/>
        <v/>
      </c>
      <c r="BN241" s="68" t="str">
        <f t="shared" si="61"/>
        <v/>
      </c>
      <c r="BU241" s="51" t="e">
        <f t="shared" si="62"/>
        <v>#VALUE!</v>
      </c>
      <c r="BV241" s="44" t="e">
        <f t="shared" si="63"/>
        <v>#VALUE!</v>
      </c>
      <c r="BW241" s="61" t="e">
        <f t="shared" si="64"/>
        <v>#NUM!</v>
      </c>
    </row>
    <row r="242" spans="64:75" ht="20.100000000000001" customHeight="1" x14ac:dyDescent="0.25">
      <c r="BL242" s="62" t="str">
        <f t="shared" si="59"/>
        <v/>
      </c>
      <c r="BM242" s="63" t="str">
        <f t="shared" si="60"/>
        <v/>
      </c>
      <c r="BN242" s="68" t="str">
        <f t="shared" si="61"/>
        <v/>
      </c>
      <c r="BU242" s="51" t="e">
        <f t="shared" si="62"/>
        <v>#VALUE!</v>
      </c>
      <c r="BV242" s="44" t="e">
        <f t="shared" si="63"/>
        <v>#VALUE!</v>
      </c>
      <c r="BW242" s="61" t="e">
        <f t="shared" si="64"/>
        <v>#NUM!</v>
      </c>
    </row>
    <row r="243" spans="64:75" ht="20.100000000000001" customHeight="1" x14ac:dyDescent="0.25">
      <c r="BL243" s="62" t="str">
        <f t="shared" si="59"/>
        <v/>
      </c>
      <c r="BM243" s="63" t="str">
        <f t="shared" si="60"/>
        <v/>
      </c>
      <c r="BN243" s="68" t="str">
        <f t="shared" si="61"/>
        <v/>
      </c>
      <c r="BU243" s="51" t="e">
        <f t="shared" si="62"/>
        <v>#VALUE!</v>
      </c>
      <c r="BV243" s="44" t="e">
        <f t="shared" si="63"/>
        <v>#VALUE!</v>
      </c>
      <c r="BW243" s="61" t="e">
        <f t="shared" si="64"/>
        <v>#NUM!</v>
      </c>
    </row>
    <row r="244" spans="64:75" ht="20.100000000000001" customHeight="1" x14ac:dyDescent="0.25">
      <c r="BL244" s="62" t="str">
        <f t="shared" si="59"/>
        <v/>
      </c>
      <c r="BM244" s="63" t="str">
        <f t="shared" si="60"/>
        <v/>
      </c>
      <c r="BN244" s="68" t="str">
        <f t="shared" si="61"/>
        <v/>
      </c>
      <c r="BU244" s="51" t="e">
        <f t="shared" si="62"/>
        <v>#VALUE!</v>
      </c>
      <c r="BV244" s="44" t="e">
        <f t="shared" si="63"/>
        <v>#VALUE!</v>
      </c>
      <c r="BW244" s="61" t="e">
        <f t="shared" si="64"/>
        <v>#NUM!</v>
      </c>
    </row>
    <row r="245" spans="64:75" ht="20.100000000000001" customHeight="1" x14ac:dyDescent="0.25">
      <c r="BL245" s="62" t="str">
        <f t="shared" si="59"/>
        <v/>
      </c>
      <c r="BM245" s="63" t="str">
        <f t="shared" si="60"/>
        <v/>
      </c>
      <c r="BN245" s="68" t="str">
        <f t="shared" si="61"/>
        <v/>
      </c>
      <c r="BU245" s="51" t="e">
        <f t="shared" si="62"/>
        <v>#VALUE!</v>
      </c>
      <c r="BV245" s="44" t="e">
        <f t="shared" si="63"/>
        <v>#VALUE!</v>
      </c>
      <c r="BW245" s="61" t="e">
        <f t="shared" si="64"/>
        <v>#NUM!</v>
      </c>
    </row>
    <row r="246" spans="64:75" ht="20.100000000000001" customHeight="1" x14ac:dyDescent="0.25">
      <c r="BL246" s="62" t="str">
        <f t="shared" si="59"/>
        <v/>
      </c>
      <c r="BM246" s="63" t="str">
        <f t="shared" si="60"/>
        <v/>
      </c>
      <c r="BN246" s="68" t="str">
        <f t="shared" si="61"/>
        <v/>
      </c>
      <c r="BU246" s="51" t="e">
        <f t="shared" si="62"/>
        <v>#VALUE!</v>
      </c>
      <c r="BV246" s="44" t="e">
        <f t="shared" si="63"/>
        <v>#VALUE!</v>
      </c>
      <c r="BW246" s="61" t="e">
        <f t="shared" si="64"/>
        <v>#NUM!</v>
      </c>
    </row>
    <row r="247" spans="64:75" ht="20.100000000000001" customHeight="1" x14ac:dyDescent="0.25">
      <c r="BL247" s="62" t="str">
        <f t="shared" si="59"/>
        <v/>
      </c>
      <c r="BM247" s="63" t="str">
        <f t="shared" si="60"/>
        <v/>
      </c>
      <c r="BN247" s="68" t="str">
        <f t="shared" si="61"/>
        <v/>
      </c>
      <c r="BU247" s="51" t="e">
        <f t="shared" si="62"/>
        <v>#VALUE!</v>
      </c>
      <c r="BV247" s="44" t="e">
        <f t="shared" si="63"/>
        <v>#VALUE!</v>
      </c>
      <c r="BW247" s="61" t="e">
        <f t="shared" si="64"/>
        <v>#NUM!</v>
      </c>
    </row>
    <row r="248" spans="64:75" ht="20.100000000000001" customHeight="1" x14ac:dyDescent="0.25">
      <c r="BL248" s="62" t="str">
        <f t="shared" si="59"/>
        <v/>
      </c>
      <c r="BM248" s="63" t="str">
        <f t="shared" si="60"/>
        <v/>
      </c>
      <c r="BN248" s="68" t="str">
        <f t="shared" si="61"/>
        <v/>
      </c>
      <c r="BU248" s="51" t="e">
        <f t="shared" si="62"/>
        <v>#VALUE!</v>
      </c>
      <c r="BV248" s="44" t="e">
        <f t="shared" si="63"/>
        <v>#VALUE!</v>
      </c>
      <c r="BW248" s="61" t="e">
        <f t="shared" si="64"/>
        <v>#NUM!</v>
      </c>
    </row>
    <row r="249" spans="64:75" ht="20.100000000000001" customHeight="1" x14ac:dyDescent="0.25">
      <c r="BL249" s="62" t="str">
        <f t="shared" si="59"/>
        <v/>
      </c>
      <c r="BM249" s="63" t="str">
        <f t="shared" si="60"/>
        <v/>
      </c>
      <c r="BN249" s="68" t="str">
        <f t="shared" si="61"/>
        <v/>
      </c>
      <c r="BU249" s="51" t="e">
        <f t="shared" si="62"/>
        <v>#VALUE!</v>
      </c>
      <c r="BV249" s="44" t="e">
        <f t="shared" si="63"/>
        <v>#VALUE!</v>
      </c>
      <c r="BW249" s="61" t="e">
        <f t="shared" si="64"/>
        <v>#NUM!</v>
      </c>
    </row>
    <row r="250" spans="64:75" ht="20.100000000000001" customHeight="1" x14ac:dyDescent="0.25">
      <c r="BL250" s="62" t="str">
        <f t="shared" si="59"/>
        <v/>
      </c>
      <c r="BM250" s="63" t="str">
        <f t="shared" si="60"/>
        <v/>
      </c>
      <c r="BN250" s="68" t="str">
        <f t="shared" si="61"/>
        <v/>
      </c>
      <c r="BU250" s="51" t="e">
        <f t="shared" si="62"/>
        <v>#VALUE!</v>
      </c>
      <c r="BV250" s="44" t="e">
        <f t="shared" si="63"/>
        <v>#VALUE!</v>
      </c>
      <c r="BW250" s="61" t="e">
        <f t="shared" si="64"/>
        <v>#NUM!</v>
      </c>
    </row>
    <row r="251" spans="64:75" ht="20.100000000000001" customHeight="1" x14ac:dyDescent="0.25">
      <c r="BL251" s="62" t="str">
        <f t="shared" si="59"/>
        <v/>
      </c>
      <c r="BM251" s="63" t="str">
        <f t="shared" si="60"/>
        <v/>
      </c>
      <c r="BN251" s="68" t="str">
        <f t="shared" si="61"/>
        <v/>
      </c>
      <c r="BU251" s="51" t="e">
        <f t="shared" si="62"/>
        <v>#VALUE!</v>
      </c>
      <c r="BV251" s="44" t="e">
        <f t="shared" si="63"/>
        <v>#VALUE!</v>
      </c>
      <c r="BW251" s="61" t="e">
        <f t="shared" si="64"/>
        <v>#NUM!</v>
      </c>
    </row>
    <row r="252" spans="64:75" ht="20.100000000000001" customHeight="1" x14ac:dyDescent="0.25">
      <c r="BL252" s="62" t="str">
        <f t="shared" si="59"/>
        <v/>
      </c>
      <c r="BM252" s="63" t="str">
        <f t="shared" si="60"/>
        <v/>
      </c>
      <c r="BN252" s="68" t="str">
        <f t="shared" si="61"/>
        <v/>
      </c>
      <c r="BU252" s="51" t="e">
        <f t="shared" si="62"/>
        <v>#VALUE!</v>
      </c>
      <c r="BV252" s="44" t="e">
        <f t="shared" si="63"/>
        <v>#VALUE!</v>
      </c>
      <c r="BW252" s="61" t="e">
        <f t="shared" si="64"/>
        <v>#NUM!</v>
      </c>
    </row>
    <row r="253" spans="64:75" ht="20.100000000000001" customHeight="1" x14ac:dyDescent="0.25">
      <c r="BL253" s="62" t="str">
        <f t="shared" si="59"/>
        <v/>
      </c>
      <c r="BM253" s="63" t="str">
        <f t="shared" si="60"/>
        <v/>
      </c>
      <c r="BN253" s="68" t="str">
        <f t="shared" si="61"/>
        <v/>
      </c>
      <c r="BU253" s="51" t="e">
        <f t="shared" si="62"/>
        <v>#VALUE!</v>
      </c>
      <c r="BV253" s="44" t="e">
        <f t="shared" si="63"/>
        <v>#VALUE!</v>
      </c>
      <c r="BW253" s="61" t="e">
        <f t="shared" si="64"/>
        <v>#NUM!</v>
      </c>
    </row>
    <row r="254" spans="64:75" ht="20.100000000000001" customHeight="1" x14ac:dyDescent="0.25">
      <c r="BL254" s="62" t="str">
        <f t="shared" si="59"/>
        <v/>
      </c>
      <c r="BM254" s="63" t="str">
        <f t="shared" si="60"/>
        <v/>
      </c>
      <c r="BN254" s="68" t="str">
        <f t="shared" si="61"/>
        <v/>
      </c>
      <c r="BU254" s="51" t="e">
        <f t="shared" si="62"/>
        <v>#VALUE!</v>
      </c>
      <c r="BV254" s="44" t="e">
        <f t="shared" si="63"/>
        <v>#VALUE!</v>
      </c>
      <c r="BW254" s="61" t="e">
        <f t="shared" si="64"/>
        <v>#NUM!</v>
      </c>
    </row>
    <row r="255" spans="64:75" ht="20.100000000000001" customHeight="1" x14ac:dyDescent="0.25">
      <c r="BL255" s="62" t="str">
        <f t="shared" si="59"/>
        <v/>
      </c>
      <c r="BM255" s="63" t="str">
        <f t="shared" si="60"/>
        <v/>
      </c>
      <c r="BN255" s="68" t="str">
        <f t="shared" si="61"/>
        <v/>
      </c>
      <c r="BU255" s="51" t="e">
        <f t="shared" si="62"/>
        <v>#VALUE!</v>
      </c>
      <c r="BV255" s="44" t="e">
        <f t="shared" si="63"/>
        <v>#VALUE!</v>
      </c>
      <c r="BW255" s="61" t="e">
        <f t="shared" si="64"/>
        <v>#NUM!</v>
      </c>
    </row>
    <row r="256" spans="64:75" ht="20.100000000000001" customHeight="1" x14ac:dyDescent="0.25">
      <c r="BL256" s="62" t="str">
        <f t="shared" si="59"/>
        <v/>
      </c>
      <c r="BM256" s="63" t="str">
        <f t="shared" si="60"/>
        <v/>
      </c>
      <c r="BN256" s="68" t="str">
        <f t="shared" si="61"/>
        <v/>
      </c>
      <c r="BU256" s="51" t="e">
        <f t="shared" si="62"/>
        <v>#VALUE!</v>
      </c>
      <c r="BV256" s="44" t="e">
        <f t="shared" si="63"/>
        <v>#VALUE!</v>
      </c>
      <c r="BW256" s="61" t="e">
        <f t="shared" si="64"/>
        <v>#NUM!</v>
      </c>
    </row>
    <row r="257" spans="64:75" ht="20.100000000000001" customHeight="1" x14ac:dyDescent="0.25">
      <c r="BL257" s="62" t="str">
        <f t="shared" si="59"/>
        <v/>
      </c>
      <c r="BM257" s="63" t="str">
        <f t="shared" si="60"/>
        <v/>
      </c>
      <c r="BN257" s="68" t="str">
        <f t="shared" si="61"/>
        <v/>
      </c>
      <c r="BU257" s="51" t="e">
        <f t="shared" si="62"/>
        <v>#VALUE!</v>
      </c>
      <c r="BV257" s="44" t="e">
        <f t="shared" si="63"/>
        <v>#VALUE!</v>
      </c>
      <c r="BW257" s="61" t="e">
        <f t="shared" si="64"/>
        <v>#NUM!</v>
      </c>
    </row>
    <row r="258" spans="64:75" ht="20.100000000000001" customHeight="1" x14ac:dyDescent="0.25">
      <c r="BL258" s="62" t="str">
        <f t="shared" si="59"/>
        <v/>
      </c>
      <c r="BM258" s="63" t="str">
        <f t="shared" si="60"/>
        <v/>
      </c>
      <c r="BN258" s="68" t="str">
        <f t="shared" si="61"/>
        <v/>
      </c>
      <c r="BU258" s="51" t="e">
        <f t="shared" si="62"/>
        <v>#VALUE!</v>
      </c>
      <c r="BV258" s="44" t="e">
        <f t="shared" si="63"/>
        <v>#VALUE!</v>
      </c>
      <c r="BW258" s="61" t="e">
        <f t="shared" si="64"/>
        <v>#NUM!</v>
      </c>
    </row>
    <row r="259" spans="64:75" ht="20.100000000000001" customHeight="1" x14ac:dyDescent="0.25">
      <c r="BL259" s="62" t="str">
        <f t="shared" si="59"/>
        <v/>
      </c>
      <c r="BM259" s="63" t="str">
        <f t="shared" si="60"/>
        <v/>
      </c>
      <c r="BN259" s="68" t="str">
        <f t="shared" si="61"/>
        <v/>
      </c>
      <c r="BU259" s="51" t="e">
        <f t="shared" si="62"/>
        <v>#VALUE!</v>
      </c>
      <c r="BV259" s="44" t="e">
        <f t="shared" si="63"/>
        <v>#VALUE!</v>
      </c>
      <c r="BW259" s="61" t="e">
        <f t="shared" si="64"/>
        <v>#NUM!</v>
      </c>
    </row>
    <row r="260" spans="64:75" ht="20.100000000000001" customHeight="1" x14ac:dyDescent="0.25">
      <c r="BL260" s="62" t="str">
        <f t="shared" si="59"/>
        <v/>
      </c>
      <c r="BM260" s="63" t="str">
        <f t="shared" si="60"/>
        <v/>
      </c>
      <c r="BN260" s="68" t="str">
        <f t="shared" si="61"/>
        <v/>
      </c>
      <c r="BU260" s="51" t="e">
        <f t="shared" si="62"/>
        <v>#VALUE!</v>
      </c>
      <c r="BV260" s="44" t="e">
        <f t="shared" si="63"/>
        <v>#VALUE!</v>
      </c>
      <c r="BW260" s="61" t="e">
        <f t="shared" si="64"/>
        <v>#NUM!</v>
      </c>
    </row>
    <row r="261" spans="64:75" ht="20.100000000000001" customHeight="1" x14ac:dyDescent="0.25">
      <c r="BL261" s="62" t="str">
        <f t="shared" si="59"/>
        <v/>
      </c>
      <c r="BM261" s="63" t="str">
        <f t="shared" si="60"/>
        <v/>
      </c>
      <c r="BN261" s="68" t="str">
        <f t="shared" si="61"/>
        <v/>
      </c>
      <c r="BU261" s="51" t="e">
        <f t="shared" si="62"/>
        <v>#VALUE!</v>
      </c>
      <c r="BV261" s="44" t="e">
        <f t="shared" si="63"/>
        <v>#VALUE!</v>
      </c>
      <c r="BW261" s="61" t="e">
        <f t="shared" si="64"/>
        <v>#NUM!</v>
      </c>
    </row>
    <row r="262" spans="64:75" ht="20.100000000000001" customHeight="1" x14ac:dyDescent="0.25">
      <c r="BL262" s="62" t="str">
        <f t="shared" si="59"/>
        <v/>
      </c>
      <c r="BM262" s="63" t="str">
        <f t="shared" si="60"/>
        <v/>
      </c>
      <c r="BN262" s="68" t="str">
        <f t="shared" si="61"/>
        <v/>
      </c>
      <c r="BU262" s="51" t="e">
        <f t="shared" si="62"/>
        <v>#VALUE!</v>
      </c>
      <c r="BV262" s="44" t="e">
        <f t="shared" si="63"/>
        <v>#VALUE!</v>
      </c>
      <c r="BW262" s="61" t="e">
        <f t="shared" si="64"/>
        <v>#NUM!</v>
      </c>
    </row>
    <row r="263" spans="64:75" ht="20.100000000000001" customHeight="1" x14ac:dyDescent="0.25">
      <c r="BL263" s="62" t="str">
        <f t="shared" si="59"/>
        <v/>
      </c>
      <c r="BM263" s="63" t="str">
        <f t="shared" si="60"/>
        <v/>
      </c>
      <c r="BN263" s="68" t="str">
        <f t="shared" si="61"/>
        <v/>
      </c>
      <c r="BU263" s="51" t="e">
        <f t="shared" si="62"/>
        <v>#VALUE!</v>
      </c>
      <c r="BV263" s="44" t="e">
        <f t="shared" si="63"/>
        <v>#VALUE!</v>
      </c>
      <c r="BW263" s="61" t="e">
        <f t="shared" si="64"/>
        <v>#NUM!</v>
      </c>
    </row>
    <row r="264" spans="64:75" ht="20.100000000000001" customHeight="1" x14ac:dyDescent="0.25">
      <c r="BL264" s="62" t="str">
        <f t="shared" si="59"/>
        <v/>
      </c>
      <c r="BM264" s="63" t="str">
        <f t="shared" si="60"/>
        <v/>
      </c>
      <c r="BN264" s="68" t="str">
        <f t="shared" si="61"/>
        <v/>
      </c>
      <c r="BU264" s="51" t="e">
        <f t="shared" si="62"/>
        <v>#VALUE!</v>
      </c>
      <c r="BV264" s="44" t="e">
        <f t="shared" si="63"/>
        <v>#VALUE!</v>
      </c>
      <c r="BW264" s="61" t="e">
        <f t="shared" si="64"/>
        <v>#NUM!</v>
      </c>
    </row>
    <row r="265" spans="64:75" ht="20.100000000000001" customHeight="1" x14ac:dyDescent="0.25">
      <c r="BL265" s="62" t="str">
        <f t="shared" si="59"/>
        <v/>
      </c>
      <c r="BM265" s="63" t="str">
        <f t="shared" si="60"/>
        <v/>
      </c>
      <c r="BN265" s="68" t="str">
        <f t="shared" si="61"/>
        <v/>
      </c>
      <c r="BU265" s="51" t="e">
        <f t="shared" si="62"/>
        <v>#VALUE!</v>
      </c>
      <c r="BV265" s="44" t="e">
        <f t="shared" si="63"/>
        <v>#VALUE!</v>
      </c>
      <c r="BW265" s="61" t="e">
        <f t="shared" si="64"/>
        <v>#NUM!</v>
      </c>
    </row>
    <row r="266" spans="64:75" ht="20.100000000000001" customHeight="1" x14ac:dyDescent="0.25">
      <c r="BL266" s="62" t="str">
        <f t="shared" si="59"/>
        <v/>
      </c>
      <c r="BM266" s="63" t="str">
        <f t="shared" si="60"/>
        <v/>
      </c>
      <c r="BN266" s="68" t="str">
        <f t="shared" si="61"/>
        <v/>
      </c>
      <c r="BU266" s="51" t="e">
        <f t="shared" si="62"/>
        <v>#VALUE!</v>
      </c>
      <c r="BV266" s="44" t="e">
        <f t="shared" si="63"/>
        <v>#VALUE!</v>
      </c>
      <c r="BW266" s="61" t="e">
        <f t="shared" si="64"/>
        <v>#NUM!</v>
      </c>
    </row>
    <row r="267" spans="64:75" ht="20.100000000000001" customHeight="1" x14ac:dyDescent="0.25">
      <c r="BL267" s="62" t="str">
        <f t="shared" si="59"/>
        <v/>
      </c>
      <c r="BM267" s="63" t="str">
        <f t="shared" si="60"/>
        <v/>
      </c>
      <c r="BN267" s="68" t="str">
        <f t="shared" si="61"/>
        <v/>
      </c>
      <c r="BU267" s="51" t="e">
        <f t="shared" si="62"/>
        <v>#VALUE!</v>
      </c>
      <c r="BV267" s="44" t="e">
        <f t="shared" si="63"/>
        <v>#VALUE!</v>
      </c>
      <c r="BW267" s="61" t="e">
        <f t="shared" si="64"/>
        <v>#NUM!</v>
      </c>
    </row>
    <row r="268" spans="64:75" ht="20.100000000000001" customHeight="1" x14ac:dyDescent="0.25">
      <c r="BL268" s="62" t="str">
        <f t="shared" ref="BL268:BL331" si="65">IF(AND(BL267&gt;BM$6,BL267&lt;&gt;""),BL267-1,"")</f>
        <v/>
      </c>
      <c r="BM268" s="63" t="str">
        <f t="shared" ref="BM268:BM331" si="66">IF(BL268&lt;&gt;"",MAX(BL268,ROUND(BM$6*BM$9^BL268,0)),"")</f>
        <v/>
      </c>
      <c r="BN268" s="68" t="str">
        <f t="shared" ref="BN268:BN331" si="67">IF(BM268&lt;&gt;"",O$12/M$12*BM268,"")</f>
        <v/>
      </c>
      <c r="BU268" s="51" t="e">
        <f t="shared" si="62"/>
        <v>#VALUE!</v>
      </c>
      <c r="BV268" s="44" t="e">
        <f t="shared" si="63"/>
        <v>#VALUE!</v>
      </c>
      <c r="BW268" s="61" t="e">
        <f t="shared" si="64"/>
        <v>#NUM!</v>
      </c>
    </row>
    <row r="269" spans="64:75" ht="20.100000000000001" customHeight="1" x14ac:dyDescent="0.25">
      <c r="BL269" s="62" t="str">
        <f t="shared" si="65"/>
        <v/>
      </c>
      <c r="BM269" s="63" t="str">
        <f t="shared" si="66"/>
        <v/>
      </c>
      <c r="BN269" s="68" t="str">
        <f t="shared" si="67"/>
        <v/>
      </c>
      <c r="BU269" s="51" t="e">
        <f t="shared" si="62"/>
        <v>#VALUE!</v>
      </c>
      <c r="BV269" s="44" t="e">
        <f t="shared" si="63"/>
        <v>#VALUE!</v>
      </c>
      <c r="BW269" s="61" t="e">
        <f t="shared" si="64"/>
        <v>#NUM!</v>
      </c>
    </row>
    <row r="270" spans="64:75" ht="20.100000000000001" customHeight="1" x14ac:dyDescent="0.25">
      <c r="BL270" s="62" t="str">
        <f t="shared" si="65"/>
        <v/>
      </c>
      <c r="BM270" s="63" t="str">
        <f t="shared" si="66"/>
        <v/>
      </c>
      <c r="BN270" s="68" t="str">
        <f t="shared" si="67"/>
        <v/>
      </c>
      <c r="BU270" s="51" t="e">
        <f t="shared" si="62"/>
        <v>#VALUE!</v>
      </c>
      <c r="BV270" s="44" t="e">
        <f t="shared" si="63"/>
        <v>#VALUE!</v>
      </c>
      <c r="BW270" s="61" t="e">
        <f t="shared" si="64"/>
        <v>#NUM!</v>
      </c>
    </row>
    <row r="271" spans="64:75" ht="20.100000000000001" customHeight="1" x14ac:dyDescent="0.25">
      <c r="BL271" s="62" t="str">
        <f t="shared" si="65"/>
        <v/>
      </c>
      <c r="BM271" s="63" t="str">
        <f t="shared" si="66"/>
        <v/>
      </c>
      <c r="BN271" s="68" t="str">
        <f t="shared" si="67"/>
        <v/>
      </c>
      <c r="BU271" s="51" t="e">
        <f t="shared" si="62"/>
        <v>#VALUE!</v>
      </c>
      <c r="BV271" s="44" t="e">
        <f t="shared" si="63"/>
        <v>#VALUE!</v>
      </c>
      <c r="BW271" s="61" t="e">
        <f t="shared" si="64"/>
        <v>#NUM!</v>
      </c>
    </row>
    <row r="272" spans="64:75" ht="20.100000000000001" customHeight="1" x14ac:dyDescent="0.25">
      <c r="BL272" s="62" t="str">
        <f t="shared" si="65"/>
        <v/>
      </c>
      <c r="BM272" s="63" t="str">
        <f t="shared" si="66"/>
        <v/>
      </c>
      <c r="BN272" s="68" t="str">
        <f t="shared" si="67"/>
        <v/>
      </c>
      <c r="BU272" s="51" t="e">
        <f t="shared" si="62"/>
        <v>#VALUE!</v>
      </c>
      <c r="BV272" s="44" t="e">
        <f t="shared" si="63"/>
        <v>#VALUE!</v>
      </c>
      <c r="BW272" s="61" t="e">
        <f t="shared" si="64"/>
        <v>#NUM!</v>
      </c>
    </row>
    <row r="273" spans="64:75" ht="20.100000000000001" customHeight="1" x14ac:dyDescent="0.25">
      <c r="BL273" s="62" t="str">
        <f t="shared" si="65"/>
        <v/>
      </c>
      <c r="BM273" s="63" t="str">
        <f t="shared" si="66"/>
        <v/>
      </c>
      <c r="BN273" s="68" t="str">
        <f t="shared" si="67"/>
        <v/>
      </c>
      <c r="BU273" s="51" t="e">
        <f t="shared" si="62"/>
        <v>#VALUE!</v>
      </c>
      <c r="BV273" s="44" t="e">
        <f t="shared" si="63"/>
        <v>#VALUE!</v>
      </c>
      <c r="BW273" s="61" t="e">
        <f t="shared" si="64"/>
        <v>#NUM!</v>
      </c>
    </row>
    <row r="274" spans="64:75" ht="20.100000000000001" customHeight="1" x14ac:dyDescent="0.25">
      <c r="BL274" s="62" t="str">
        <f t="shared" si="65"/>
        <v/>
      </c>
      <c r="BM274" s="63" t="str">
        <f t="shared" si="66"/>
        <v/>
      </c>
      <c r="BN274" s="68" t="str">
        <f t="shared" si="67"/>
        <v/>
      </c>
      <c r="BU274" s="51" t="e">
        <f t="shared" si="62"/>
        <v>#VALUE!</v>
      </c>
      <c r="BV274" s="44" t="e">
        <f t="shared" si="63"/>
        <v>#VALUE!</v>
      </c>
      <c r="BW274" s="61" t="e">
        <f t="shared" si="64"/>
        <v>#NUM!</v>
      </c>
    </row>
    <row r="275" spans="64:75" ht="20.100000000000001" customHeight="1" x14ac:dyDescent="0.25">
      <c r="BL275" s="62" t="str">
        <f t="shared" si="65"/>
        <v/>
      </c>
      <c r="BM275" s="63" t="str">
        <f t="shared" si="66"/>
        <v/>
      </c>
      <c r="BN275" s="68" t="str">
        <f t="shared" si="67"/>
        <v/>
      </c>
      <c r="BU275" s="51" t="e">
        <f t="shared" si="62"/>
        <v>#VALUE!</v>
      </c>
      <c r="BV275" s="44" t="e">
        <f t="shared" si="63"/>
        <v>#VALUE!</v>
      </c>
      <c r="BW275" s="61" t="e">
        <f t="shared" si="64"/>
        <v>#NUM!</v>
      </c>
    </row>
    <row r="276" spans="64:75" ht="20.100000000000001" customHeight="1" x14ac:dyDescent="0.25">
      <c r="BL276" s="62" t="str">
        <f t="shared" si="65"/>
        <v/>
      </c>
      <c r="BM276" s="63" t="str">
        <f t="shared" si="66"/>
        <v/>
      </c>
      <c r="BN276" s="68" t="str">
        <f t="shared" si="67"/>
        <v/>
      </c>
      <c r="BU276" s="51" t="e">
        <f t="shared" ref="BU276:BU339" si="68">BO276-BN276</f>
        <v>#VALUE!</v>
      </c>
      <c r="BV276" s="44" t="e">
        <f t="shared" ref="BV276:BV339" si="69">BO276/BN276-1</f>
        <v>#VALUE!</v>
      </c>
      <c r="BW276" s="61" t="e">
        <f t="shared" ref="BW276:BW339" si="70">-20*LOG10(BP276/100)</f>
        <v>#NUM!</v>
      </c>
    </row>
    <row r="277" spans="64:75" ht="20.100000000000001" customHeight="1" x14ac:dyDescent="0.25">
      <c r="BL277" s="62" t="str">
        <f t="shared" si="65"/>
        <v/>
      </c>
      <c r="BM277" s="63" t="str">
        <f t="shared" si="66"/>
        <v/>
      </c>
      <c r="BN277" s="68" t="str">
        <f t="shared" si="67"/>
        <v/>
      </c>
      <c r="BU277" s="51" t="e">
        <f t="shared" si="68"/>
        <v>#VALUE!</v>
      </c>
      <c r="BV277" s="44" t="e">
        <f t="shared" si="69"/>
        <v>#VALUE!</v>
      </c>
      <c r="BW277" s="61" t="e">
        <f t="shared" si="70"/>
        <v>#NUM!</v>
      </c>
    </row>
    <row r="278" spans="64:75" ht="20.100000000000001" customHeight="1" x14ac:dyDescent="0.25">
      <c r="BL278" s="62" t="str">
        <f t="shared" si="65"/>
        <v/>
      </c>
      <c r="BM278" s="63" t="str">
        <f t="shared" si="66"/>
        <v/>
      </c>
      <c r="BN278" s="68" t="str">
        <f t="shared" si="67"/>
        <v/>
      </c>
      <c r="BU278" s="51" t="e">
        <f t="shared" si="68"/>
        <v>#VALUE!</v>
      </c>
      <c r="BV278" s="44" t="e">
        <f t="shared" si="69"/>
        <v>#VALUE!</v>
      </c>
      <c r="BW278" s="61" t="e">
        <f t="shared" si="70"/>
        <v>#NUM!</v>
      </c>
    </row>
    <row r="279" spans="64:75" ht="20.100000000000001" customHeight="1" x14ac:dyDescent="0.25">
      <c r="BL279" s="62" t="str">
        <f t="shared" si="65"/>
        <v/>
      </c>
      <c r="BM279" s="63" t="str">
        <f t="shared" si="66"/>
        <v/>
      </c>
      <c r="BN279" s="68" t="str">
        <f t="shared" si="67"/>
        <v/>
      </c>
      <c r="BU279" s="51" t="e">
        <f t="shared" si="68"/>
        <v>#VALUE!</v>
      </c>
      <c r="BV279" s="44" t="e">
        <f t="shared" si="69"/>
        <v>#VALUE!</v>
      </c>
      <c r="BW279" s="61" t="e">
        <f t="shared" si="70"/>
        <v>#NUM!</v>
      </c>
    </row>
    <row r="280" spans="64:75" ht="20.100000000000001" customHeight="1" x14ac:dyDescent="0.25">
      <c r="BL280" s="62" t="str">
        <f t="shared" si="65"/>
        <v/>
      </c>
      <c r="BM280" s="63" t="str">
        <f t="shared" si="66"/>
        <v/>
      </c>
      <c r="BN280" s="68" t="str">
        <f t="shared" si="67"/>
        <v/>
      </c>
      <c r="BU280" s="51" t="e">
        <f t="shared" si="68"/>
        <v>#VALUE!</v>
      </c>
      <c r="BV280" s="44" t="e">
        <f t="shared" si="69"/>
        <v>#VALUE!</v>
      </c>
      <c r="BW280" s="61" t="e">
        <f t="shared" si="70"/>
        <v>#NUM!</v>
      </c>
    </row>
    <row r="281" spans="64:75" ht="20.100000000000001" customHeight="1" x14ac:dyDescent="0.25">
      <c r="BL281" s="62" t="str">
        <f t="shared" si="65"/>
        <v/>
      </c>
      <c r="BM281" s="63" t="str">
        <f t="shared" si="66"/>
        <v/>
      </c>
      <c r="BN281" s="68" t="str">
        <f t="shared" si="67"/>
        <v/>
      </c>
      <c r="BU281" s="51" t="e">
        <f t="shared" si="68"/>
        <v>#VALUE!</v>
      </c>
      <c r="BV281" s="44" t="e">
        <f t="shared" si="69"/>
        <v>#VALUE!</v>
      </c>
      <c r="BW281" s="61" t="e">
        <f t="shared" si="70"/>
        <v>#NUM!</v>
      </c>
    </row>
    <row r="282" spans="64:75" ht="20.100000000000001" customHeight="1" x14ac:dyDescent="0.25">
      <c r="BL282" s="62" t="str">
        <f t="shared" si="65"/>
        <v/>
      </c>
      <c r="BM282" s="63" t="str">
        <f t="shared" si="66"/>
        <v/>
      </c>
      <c r="BN282" s="68" t="str">
        <f t="shared" si="67"/>
        <v/>
      </c>
      <c r="BU282" s="51" t="e">
        <f t="shared" si="68"/>
        <v>#VALUE!</v>
      </c>
      <c r="BV282" s="44" t="e">
        <f t="shared" si="69"/>
        <v>#VALUE!</v>
      </c>
      <c r="BW282" s="61" t="e">
        <f t="shared" si="70"/>
        <v>#NUM!</v>
      </c>
    </row>
    <row r="283" spans="64:75" ht="20.100000000000001" customHeight="1" x14ac:dyDescent="0.25">
      <c r="BL283" s="62" t="str">
        <f t="shared" si="65"/>
        <v/>
      </c>
      <c r="BM283" s="63" t="str">
        <f t="shared" si="66"/>
        <v/>
      </c>
      <c r="BN283" s="68" t="str">
        <f t="shared" si="67"/>
        <v/>
      </c>
      <c r="BU283" s="51" t="e">
        <f t="shared" si="68"/>
        <v>#VALUE!</v>
      </c>
      <c r="BV283" s="44" t="e">
        <f t="shared" si="69"/>
        <v>#VALUE!</v>
      </c>
      <c r="BW283" s="61" t="e">
        <f t="shared" si="70"/>
        <v>#NUM!</v>
      </c>
    </row>
    <row r="284" spans="64:75" ht="20.100000000000001" customHeight="1" x14ac:dyDescent="0.25">
      <c r="BL284" s="62" t="str">
        <f t="shared" si="65"/>
        <v/>
      </c>
      <c r="BM284" s="63" t="str">
        <f t="shared" si="66"/>
        <v/>
      </c>
      <c r="BN284" s="68" t="str">
        <f t="shared" si="67"/>
        <v/>
      </c>
      <c r="BU284" s="51" t="e">
        <f t="shared" si="68"/>
        <v>#VALUE!</v>
      </c>
      <c r="BV284" s="44" t="e">
        <f t="shared" si="69"/>
        <v>#VALUE!</v>
      </c>
      <c r="BW284" s="61" t="e">
        <f t="shared" si="70"/>
        <v>#NUM!</v>
      </c>
    </row>
    <row r="285" spans="64:75" ht="20.100000000000001" customHeight="1" x14ac:dyDescent="0.25">
      <c r="BL285" s="62" t="str">
        <f t="shared" si="65"/>
        <v/>
      </c>
      <c r="BM285" s="63" t="str">
        <f t="shared" si="66"/>
        <v/>
      </c>
      <c r="BN285" s="68" t="str">
        <f t="shared" si="67"/>
        <v/>
      </c>
      <c r="BU285" s="51" t="e">
        <f t="shared" si="68"/>
        <v>#VALUE!</v>
      </c>
      <c r="BV285" s="44" t="e">
        <f t="shared" si="69"/>
        <v>#VALUE!</v>
      </c>
      <c r="BW285" s="61" t="e">
        <f t="shared" si="70"/>
        <v>#NUM!</v>
      </c>
    </row>
    <row r="286" spans="64:75" ht="20.100000000000001" customHeight="1" x14ac:dyDescent="0.25">
      <c r="BL286" s="62" t="str">
        <f t="shared" si="65"/>
        <v/>
      </c>
      <c r="BM286" s="63" t="str">
        <f t="shared" si="66"/>
        <v/>
      </c>
      <c r="BN286" s="68" t="str">
        <f t="shared" si="67"/>
        <v/>
      </c>
      <c r="BU286" s="51" t="e">
        <f t="shared" si="68"/>
        <v>#VALUE!</v>
      </c>
      <c r="BV286" s="44" t="e">
        <f t="shared" si="69"/>
        <v>#VALUE!</v>
      </c>
      <c r="BW286" s="61" t="e">
        <f t="shared" si="70"/>
        <v>#NUM!</v>
      </c>
    </row>
    <row r="287" spans="64:75" ht="20.100000000000001" customHeight="1" x14ac:dyDescent="0.25">
      <c r="BL287" s="62" t="str">
        <f t="shared" si="65"/>
        <v/>
      </c>
      <c r="BM287" s="63" t="str">
        <f t="shared" si="66"/>
        <v/>
      </c>
      <c r="BN287" s="68" t="str">
        <f t="shared" si="67"/>
        <v/>
      </c>
      <c r="BU287" s="51" t="e">
        <f t="shared" si="68"/>
        <v>#VALUE!</v>
      </c>
      <c r="BV287" s="44" t="e">
        <f t="shared" si="69"/>
        <v>#VALUE!</v>
      </c>
      <c r="BW287" s="61" t="e">
        <f t="shared" si="70"/>
        <v>#NUM!</v>
      </c>
    </row>
    <row r="288" spans="64:75" ht="20.100000000000001" customHeight="1" x14ac:dyDescent="0.25">
      <c r="BL288" s="62" t="str">
        <f t="shared" si="65"/>
        <v/>
      </c>
      <c r="BM288" s="63" t="str">
        <f t="shared" si="66"/>
        <v/>
      </c>
      <c r="BN288" s="68" t="str">
        <f t="shared" si="67"/>
        <v/>
      </c>
      <c r="BU288" s="51" t="e">
        <f t="shared" si="68"/>
        <v>#VALUE!</v>
      </c>
      <c r="BV288" s="44" t="e">
        <f t="shared" si="69"/>
        <v>#VALUE!</v>
      </c>
      <c r="BW288" s="61" t="e">
        <f t="shared" si="70"/>
        <v>#NUM!</v>
      </c>
    </row>
    <row r="289" spans="64:75" ht="20.100000000000001" customHeight="1" x14ac:dyDescent="0.25">
      <c r="BL289" s="62" t="str">
        <f t="shared" si="65"/>
        <v/>
      </c>
      <c r="BM289" s="63" t="str">
        <f t="shared" si="66"/>
        <v/>
      </c>
      <c r="BN289" s="68" t="str">
        <f t="shared" si="67"/>
        <v/>
      </c>
      <c r="BU289" s="51" t="e">
        <f t="shared" si="68"/>
        <v>#VALUE!</v>
      </c>
      <c r="BV289" s="44" t="e">
        <f t="shared" si="69"/>
        <v>#VALUE!</v>
      </c>
      <c r="BW289" s="61" t="e">
        <f t="shared" si="70"/>
        <v>#NUM!</v>
      </c>
    </row>
    <row r="290" spans="64:75" ht="20.100000000000001" customHeight="1" x14ac:dyDescent="0.25">
      <c r="BL290" s="62" t="str">
        <f t="shared" si="65"/>
        <v/>
      </c>
      <c r="BM290" s="63" t="str">
        <f t="shared" si="66"/>
        <v/>
      </c>
      <c r="BN290" s="68" t="str">
        <f t="shared" si="67"/>
        <v/>
      </c>
      <c r="BU290" s="51" t="e">
        <f t="shared" si="68"/>
        <v>#VALUE!</v>
      </c>
      <c r="BV290" s="44" t="e">
        <f t="shared" si="69"/>
        <v>#VALUE!</v>
      </c>
      <c r="BW290" s="61" t="e">
        <f t="shared" si="70"/>
        <v>#NUM!</v>
      </c>
    </row>
    <row r="291" spans="64:75" ht="20.100000000000001" customHeight="1" x14ac:dyDescent="0.25">
      <c r="BL291" s="62" t="str">
        <f t="shared" si="65"/>
        <v/>
      </c>
      <c r="BM291" s="63" t="str">
        <f t="shared" si="66"/>
        <v/>
      </c>
      <c r="BN291" s="68" t="str">
        <f t="shared" si="67"/>
        <v/>
      </c>
      <c r="BU291" s="51" t="e">
        <f t="shared" si="68"/>
        <v>#VALUE!</v>
      </c>
      <c r="BV291" s="44" t="e">
        <f t="shared" si="69"/>
        <v>#VALUE!</v>
      </c>
      <c r="BW291" s="61" t="e">
        <f t="shared" si="70"/>
        <v>#NUM!</v>
      </c>
    </row>
    <row r="292" spans="64:75" ht="20.100000000000001" customHeight="1" x14ac:dyDescent="0.25">
      <c r="BL292" s="62" t="str">
        <f t="shared" si="65"/>
        <v/>
      </c>
      <c r="BM292" s="63" t="str">
        <f t="shared" si="66"/>
        <v/>
      </c>
      <c r="BN292" s="68" t="str">
        <f t="shared" si="67"/>
        <v/>
      </c>
      <c r="BU292" s="51" t="e">
        <f t="shared" si="68"/>
        <v>#VALUE!</v>
      </c>
      <c r="BV292" s="44" t="e">
        <f t="shared" si="69"/>
        <v>#VALUE!</v>
      </c>
      <c r="BW292" s="61" t="e">
        <f t="shared" si="70"/>
        <v>#NUM!</v>
      </c>
    </row>
    <row r="293" spans="64:75" ht="20.100000000000001" customHeight="1" x14ac:dyDescent="0.25">
      <c r="BL293" s="62" t="str">
        <f t="shared" si="65"/>
        <v/>
      </c>
      <c r="BM293" s="63" t="str">
        <f t="shared" si="66"/>
        <v/>
      </c>
      <c r="BN293" s="68" t="str">
        <f t="shared" si="67"/>
        <v/>
      </c>
      <c r="BU293" s="51" t="e">
        <f t="shared" si="68"/>
        <v>#VALUE!</v>
      </c>
      <c r="BV293" s="44" t="e">
        <f t="shared" si="69"/>
        <v>#VALUE!</v>
      </c>
      <c r="BW293" s="61" t="e">
        <f t="shared" si="70"/>
        <v>#NUM!</v>
      </c>
    </row>
    <row r="294" spans="64:75" ht="20.100000000000001" customHeight="1" x14ac:dyDescent="0.25">
      <c r="BL294" s="62" t="str">
        <f t="shared" si="65"/>
        <v/>
      </c>
      <c r="BM294" s="63" t="str">
        <f t="shared" si="66"/>
        <v/>
      </c>
      <c r="BN294" s="68" t="str">
        <f t="shared" si="67"/>
        <v/>
      </c>
      <c r="BU294" s="51" t="e">
        <f t="shared" si="68"/>
        <v>#VALUE!</v>
      </c>
      <c r="BV294" s="44" t="e">
        <f t="shared" si="69"/>
        <v>#VALUE!</v>
      </c>
      <c r="BW294" s="61" t="e">
        <f t="shared" si="70"/>
        <v>#NUM!</v>
      </c>
    </row>
    <row r="295" spans="64:75" ht="20.100000000000001" customHeight="1" x14ac:dyDescent="0.25">
      <c r="BL295" s="62" t="str">
        <f t="shared" si="65"/>
        <v/>
      </c>
      <c r="BM295" s="63" t="str">
        <f t="shared" si="66"/>
        <v/>
      </c>
      <c r="BN295" s="68" t="str">
        <f t="shared" si="67"/>
        <v/>
      </c>
      <c r="BU295" s="51" t="e">
        <f t="shared" si="68"/>
        <v>#VALUE!</v>
      </c>
      <c r="BV295" s="44" t="e">
        <f t="shared" si="69"/>
        <v>#VALUE!</v>
      </c>
      <c r="BW295" s="61" t="e">
        <f t="shared" si="70"/>
        <v>#NUM!</v>
      </c>
    </row>
    <row r="296" spans="64:75" ht="20.100000000000001" customHeight="1" x14ac:dyDescent="0.25">
      <c r="BL296" s="62" t="str">
        <f t="shared" si="65"/>
        <v/>
      </c>
      <c r="BM296" s="63" t="str">
        <f t="shared" si="66"/>
        <v/>
      </c>
      <c r="BN296" s="68" t="str">
        <f t="shared" si="67"/>
        <v/>
      </c>
      <c r="BU296" s="51" t="e">
        <f t="shared" si="68"/>
        <v>#VALUE!</v>
      </c>
      <c r="BV296" s="44" t="e">
        <f t="shared" si="69"/>
        <v>#VALUE!</v>
      </c>
      <c r="BW296" s="61" t="e">
        <f t="shared" si="70"/>
        <v>#NUM!</v>
      </c>
    </row>
    <row r="297" spans="64:75" ht="20.100000000000001" customHeight="1" x14ac:dyDescent="0.25">
      <c r="BL297" s="62" t="str">
        <f t="shared" si="65"/>
        <v/>
      </c>
      <c r="BM297" s="63" t="str">
        <f t="shared" si="66"/>
        <v/>
      </c>
      <c r="BN297" s="68" t="str">
        <f t="shared" si="67"/>
        <v/>
      </c>
      <c r="BU297" s="51" t="e">
        <f t="shared" si="68"/>
        <v>#VALUE!</v>
      </c>
      <c r="BV297" s="44" t="e">
        <f t="shared" si="69"/>
        <v>#VALUE!</v>
      </c>
      <c r="BW297" s="61" t="e">
        <f t="shared" si="70"/>
        <v>#NUM!</v>
      </c>
    </row>
    <row r="298" spans="64:75" ht="20.100000000000001" customHeight="1" x14ac:dyDescent="0.25">
      <c r="BL298" s="62" t="str">
        <f t="shared" si="65"/>
        <v/>
      </c>
      <c r="BM298" s="63" t="str">
        <f t="shared" si="66"/>
        <v/>
      </c>
      <c r="BN298" s="68" t="str">
        <f t="shared" si="67"/>
        <v/>
      </c>
      <c r="BU298" s="51" t="e">
        <f t="shared" si="68"/>
        <v>#VALUE!</v>
      </c>
      <c r="BV298" s="44" t="e">
        <f t="shared" si="69"/>
        <v>#VALUE!</v>
      </c>
      <c r="BW298" s="61" t="e">
        <f t="shared" si="70"/>
        <v>#NUM!</v>
      </c>
    </row>
    <row r="299" spans="64:75" ht="20.100000000000001" customHeight="1" x14ac:dyDescent="0.25">
      <c r="BL299" s="62" t="str">
        <f t="shared" si="65"/>
        <v/>
      </c>
      <c r="BM299" s="63" t="str">
        <f t="shared" si="66"/>
        <v/>
      </c>
      <c r="BN299" s="68" t="str">
        <f t="shared" si="67"/>
        <v/>
      </c>
      <c r="BU299" s="51" t="e">
        <f t="shared" si="68"/>
        <v>#VALUE!</v>
      </c>
      <c r="BV299" s="44" t="e">
        <f t="shared" si="69"/>
        <v>#VALUE!</v>
      </c>
      <c r="BW299" s="61" t="e">
        <f t="shared" si="70"/>
        <v>#NUM!</v>
      </c>
    </row>
    <row r="300" spans="64:75" ht="20.100000000000001" customHeight="1" x14ac:dyDescent="0.25">
      <c r="BL300" s="62" t="str">
        <f t="shared" si="65"/>
        <v/>
      </c>
      <c r="BM300" s="63" t="str">
        <f t="shared" si="66"/>
        <v/>
      </c>
      <c r="BN300" s="68" t="str">
        <f t="shared" si="67"/>
        <v/>
      </c>
      <c r="BU300" s="51" t="e">
        <f t="shared" si="68"/>
        <v>#VALUE!</v>
      </c>
      <c r="BV300" s="44" t="e">
        <f t="shared" si="69"/>
        <v>#VALUE!</v>
      </c>
      <c r="BW300" s="61" t="e">
        <f t="shared" si="70"/>
        <v>#NUM!</v>
      </c>
    </row>
    <row r="301" spans="64:75" ht="20.100000000000001" customHeight="1" x14ac:dyDescent="0.25">
      <c r="BL301" s="62" t="str">
        <f t="shared" si="65"/>
        <v/>
      </c>
      <c r="BM301" s="63" t="str">
        <f t="shared" si="66"/>
        <v/>
      </c>
      <c r="BN301" s="68" t="str">
        <f t="shared" si="67"/>
        <v/>
      </c>
      <c r="BU301" s="51" t="e">
        <f t="shared" si="68"/>
        <v>#VALUE!</v>
      </c>
      <c r="BV301" s="44" t="e">
        <f t="shared" si="69"/>
        <v>#VALUE!</v>
      </c>
      <c r="BW301" s="61" t="e">
        <f t="shared" si="70"/>
        <v>#NUM!</v>
      </c>
    </row>
    <row r="302" spans="64:75" ht="20.100000000000001" customHeight="1" x14ac:dyDescent="0.25">
      <c r="BL302" s="62" t="str">
        <f t="shared" si="65"/>
        <v/>
      </c>
      <c r="BM302" s="63" t="str">
        <f t="shared" si="66"/>
        <v/>
      </c>
      <c r="BN302" s="68" t="str">
        <f t="shared" si="67"/>
        <v/>
      </c>
      <c r="BU302" s="51" t="e">
        <f t="shared" si="68"/>
        <v>#VALUE!</v>
      </c>
      <c r="BV302" s="44" t="e">
        <f t="shared" si="69"/>
        <v>#VALUE!</v>
      </c>
      <c r="BW302" s="61" t="e">
        <f t="shared" si="70"/>
        <v>#NUM!</v>
      </c>
    </row>
    <row r="303" spans="64:75" ht="20.100000000000001" customHeight="1" x14ac:dyDescent="0.25">
      <c r="BL303" s="62" t="str">
        <f t="shared" si="65"/>
        <v/>
      </c>
      <c r="BM303" s="63" t="str">
        <f t="shared" si="66"/>
        <v/>
      </c>
      <c r="BN303" s="68" t="str">
        <f t="shared" si="67"/>
        <v/>
      </c>
      <c r="BU303" s="51" t="e">
        <f t="shared" si="68"/>
        <v>#VALUE!</v>
      </c>
      <c r="BV303" s="44" t="e">
        <f t="shared" si="69"/>
        <v>#VALUE!</v>
      </c>
      <c r="BW303" s="61" t="e">
        <f t="shared" si="70"/>
        <v>#NUM!</v>
      </c>
    </row>
    <row r="304" spans="64:75" ht="20.100000000000001" customHeight="1" x14ac:dyDescent="0.25">
      <c r="BL304" s="62" t="str">
        <f t="shared" si="65"/>
        <v/>
      </c>
      <c r="BM304" s="63" t="str">
        <f t="shared" si="66"/>
        <v/>
      </c>
      <c r="BN304" s="68" t="str">
        <f t="shared" si="67"/>
        <v/>
      </c>
      <c r="BU304" s="51" t="e">
        <f t="shared" si="68"/>
        <v>#VALUE!</v>
      </c>
      <c r="BV304" s="44" t="e">
        <f t="shared" si="69"/>
        <v>#VALUE!</v>
      </c>
      <c r="BW304" s="61" t="e">
        <f t="shared" si="70"/>
        <v>#NUM!</v>
      </c>
    </row>
    <row r="305" spans="64:75" ht="20.100000000000001" customHeight="1" x14ac:dyDescent="0.25">
      <c r="BL305" s="62" t="str">
        <f t="shared" si="65"/>
        <v/>
      </c>
      <c r="BM305" s="63" t="str">
        <f t="shared" si="66"/>
        <v/>
      </c>
      <c r="BN305" s="68" t="str">
        <f t="shared" si="67"/>
        <v/>
      </c>
      <c r="BU305" s="51" t="e">
        <f t="shared" si="68"/>
        <v>#VALUE!</v>
      </c>
      <c r="BV305" s="44" t="e">
        <f t="shared" si="69"/>
        <v>#VALUE!</v>
      </c>
      <c r="BW305" s="61" t="e">
        <f t="shared" si="70"/>
        <v>#NUM!</v>
      </c>
    </row>
    <row r="306" spans="64:75" ht="20.100000000000001" customHeight="1" x14ac:dyDescent="0.25">
      <c r="BL306" s="62" t="str">
        <f t="shared" si="65"/>
        <v/>
      </c>
      <c r="BM306" s="63" t="str">
        <f t="shared" si="66"/>
        <v/>
      </c>
      <c r="BN306" s="68" t="str">
        <f t="shared" si="67"/>
        <v/>
      </c>
      <c r="BU306" s="51" t="e">
        <f t="shared" si="68"/>
        <v>#VALUE!</v>
      </c>
      <c r="BV306" s="44" t="e">
        <f t="shared" si="69"/>
        <v>#VALUE!</v>
      </c>
      <c r="BW306" s="61" t="e">
        <f t="shared" si="70"/>
        <v>#NUM!</v>
      </c>
    </row>
    <row r="307" spans="64:75" ht="20.100000000000001" customHeight="1" x14ac:dyDescent="0.25">
      <c r="BL307" s="62" t="str">
        <f t="shared" si="65"/>
        <v/>
      </c>
      <c r="BM307" s="63" t="str">
        <f t="shared" si="66"/>
        <v/>
      </c>
      <c r="BN307" s="68" t="str">
        <f t="shared" si="67"/>
        <v/>
      </c>
      <c r="BU307" s="51" t="e">
        <f t="shared" si="68"/>
        <v>#VALUE!</v>
      </c>
      <c r="BV307" s="44" t="e">
        <f t="shared" si="69"/>
        <v>#VALUE!</v>
      </c>
      <c r="BW307" s="61" t="e">
        <f t="shared" si="70"/>
        <v>#NUM!</v>
      </c>
    </row>
    <row r="308" spans="64:75" ht="20.100000000000001" customHeight="1" x14ac:dyDescent="0.25">
      <c r="BL308" s="62" t="str">
        <f t="shared" si="65"/>
        <v/>
      </c>
      <c r="BM308" s="63" t="str">
        <f t="shared" si="66"/>
        <v/>
      </c>
      <c r="BN308" s="68" t="str">
        <f t="shared" si="67"/>
        <v/>
      </c>
      <c r="BU308" s="51" t="e">
        <f t="shared" si="68"/>
        <v>#VALUE!</v>
      </c>
      <c r="BV308" s="44" t="e">
        <f t="shared" si="69"/>
        <v>#VALUE!</v>
      </c>
      <c r="BW308" s="61" t="e">
        <f t="shared" si="70"/>
        <v>#NUM!</v>
      </c>
    </row>
    <row r="309" spans="64:75" ht="20.100000000000001" customHeight="1" x14ac:dyDescent="0.25">
      <c r="BL309" s="62" t="str">
        <f t="shared" si="65"/>
        <v/>
      </c>
      <c r="BM309" s="63" t="str">
        <f t="shared" si="66"/>
        <v/>
      </c>
      <c r="BN309" s="68" t="str">
        <f t="shared" si="67"/>
        <v/>
      </c>
      <c r="BU309" s="51" t="e">
        <f t="shared" si="68"/>
        <v>#VALUE!</v>
      </c>
      <c r="BV309" s="44" t="e">
        <f t="shared" si="69"/>
        <v>#VALUE!</v>
      </c>
      <c r="BW309" s="61" t="e">
        <f t="shared" si="70"/>
        <v>#NUM!</v>
      </c>
    </row>
    <row r="310" spans="64:75" ht="20.100000000000001" customHeight="1" x14ac:dyDescent="0.25">
      <c r="BL310" s="62" t="str">
        <f t="shared" si="65"/>
        <v/>
      </c>
      <c r="BM310" s="63" t="str">
        <f t="shared" si="66"/>
        <v/>
      </c>
      <c r="BN310" s="68" t="str">
        <f t="shared" si="67"/>
        <v/>
      </c>
      <c r="BU310" s="51" t="e">
        <f t="shared" si="68"/>
        <v>#VALUE!</v>
      </c>
      <c r="BV310" s="44" t="e">
        <f t="shared" si="69"/>
        <v>#VALUE!</v>
      </c>
      <c r="BW310" s="61" t="e">
        <f t="shared" si="70"/>
        <v>#NUM!</v>
      </c>
    </row>
    <row r="311" spans="64:75" ht="20.100000000000001" customHeight="1" x14ac:dyDescent="0.25">
      <c r="BL311" s="62" t="str">
        <f t="shared" si="65"/>
        <v/>
      </c>
      <c r="BM311" s="63" t="str">
        <f t="shared" si="66"/>
        <v/>
      </c>
      <c r="BN311" s="68" t="str">
        <f t="shared" si="67"/>
        <v/>
      </c>
      <c r="BU311" s="51" t="e">
        <f t="shared" si="68"/>
        <v>#VALUE!</v>
      </c>
      <c r="BV311" s="44" t="e">
        <f t="shared" si="69"/>
        <v>#VALUE!</v>
      </c>
      <c r="BW311" s="61" t="e">
        <f t="shared" si="70"/>
        <v>#NUM!</v>
      </c>
    </row>
    <row r="312" spans="64:75" ht="20.100000000000001" customHeight="1" x14ac:dyDescent="0.25">
      <c r="BL312" s="62" t="str">
        <f t="shared" si="65"/>
        <v/>
      </c>
      <c r="BM312" s="63" t="str">
        <f t="shared" si="66"/>
        <v/>
      </c>
      <c r="BN312" s="68" t="str">
        <f t="shared" si="67"/>
        <v/>
      </c>
      <c r="BU312" s="51" t="e">
        <f t="shared" si="68"/>
        <v>#VALUE!</v>
      </c>
      <c r="BV312" s="44" t="e">
        <f t="shared" si="69"/>
        <v>#VALUE!</v>
      </c>
      <c r="BW312" s="61" t="e">
        <f t="shared" si="70"/>
        <v>#NUM!</v>
      </c>
    </row>
    <row r="313" spans="64:75" ht="20.100000000000001" customHeight="1" x14ac:dyDescent="0.25">
      <c r="BL313" s="62" t="str">
        <f t="shared" si="65"/>
        <v/>
      </c>
      <c r="BM313" s="63" t="str">
        <f t="shared" si="66"/>
        <v/>
      </c>
      <c r="BN313" s="68" t="str">
        <f t="shared" si="67"/>
        <v/>
      </c>
      <c r="BU313" s="51" t="e">
        <f t="shared" si="68"/>
        <v>#VALUE!</v>
      </c>
      <c r="BV313" s="44" t="e">
        <f t="shared" si="69"/>
        <v>#VALUE!</v>
      </c>
      <c r="BW313" s="61" t="e">
        <f t="shared" si="70"/>
        <v>#NUM!</v>
      </c>
    </row>
    <row r="314" spans="64:75" ht="20.100000000000001" customHeight="1" x14ac:dyDescent="0.25">
      <c r="BL314" s="62" t="str">
        <f t="shared" si="65"/>
        <v/>
      </c>
      <c r="BM314" s="63" t="str">
        <f t="shared" si="66"/>
        <v/>
      </c>
      <c r="BN314" s="68" t="str">
        <f t="shared" si="67"/>
        <v/>
      </c>
      <c r="BU314" s="51" t="e">
        <f t="shared" si="68"/>
        <v>#VALUE!</v>
      </c>
      <c r="BV314" s="44" t="e">
        <f t="shared" si="69"/>
        <v>#VALUE!</v>
      </c>
      <c r="BW314" s="61" t="e">
        <f t="shared" si="70"/>
        <v>#NUM!</v>
      </c>
    </row>
    <row r="315" spans="64:75" ht="20.100000000000001" customHeight="1" x14ac:dyDescent="0.25">
      <c r="BL315" s="62" t="str">
        <f t="shared" si="65"/>
        <v/>
      </c>
      <c r="BM315" s="63" t="str">
        <f t="shared" si="66"/>
        <v/>
      </c>
      <c r="BN315" s="68" t="str">
        <f t="shared" si="67"/>
        <v/>
      </c>
      <c r="BU315" s="51" t="e">
        <f t="shared" si="68"/>
        <v>#VALUE!</v>
      </c>
      <c r="BV315" s="44" t="e">
        <f t="shared" si="69"/>
        <v>#VALUE!</v>
      </c>
      <c r="BW315" s="61" t="e">
        <f t="shared" si="70"/>
        <v>#NUM!</v>
      </c>
    </row>
    <row r="316" spans="64:75" ht="20.100000000000001" customHeight="1" x14ac:dyDescent="0.25">
      <c r="BL316" s="62" t="str">
        <f t="shared" si="65"/>
        <v/>
      </c>
      <c r="BM316" s="63" t="str">
        <f t="shared" si="66"/>
        <v/>
      </c>
      <c r="BN316" s="68" t="str">
        <f t="shared" si="67"/>
        <v/>
      </c>
      <c r="BU316" s="51" t="e">
        <f t="shared" si="68"/>
        <v>#VALUE!</v>
      </c>
      <c r="BV316" s="44" t="e">
        <f t="shared" si="69"/>
        <v>#VALUE!</v>
      </c>
      <c r="BW316" s="61" t="e">
        <f t="shared" si="70"/>
        <v>#NUM!</v>
      </c>
    </row>
    <row r="317" spans="64:75" ht="20.100000000000001" customHeight="1" x14ac:dyDescent="0.25">
      <c r="BL317" s="62" t="str">
        <f t="shared" si="65"/>
        <v/>
      </c>
      <c r="BM317" s="63" t="str">
        <f t="shared" si="66"/>
        <v/>
      </c>
      <c r="BN317" s="68" t="str">
        <f t="shared" si="67"/>
        <v/>
      </c>
      <c r="BU317" s="51" t="e">
        <f t="shared" si="68"/>
        <v>#VALUE!</v>
      </c>
      <c r="BV317" s="44" t="e">
        <f t="shared" si="69"/>
        <v>#VALUE!</v>
      </c>
      <c r="BW317" s="61" t="e">
        <f t="shared" si="70"/>
        <v>#NUM!</v>
      </c>
    </row>
    <row r="318" spans="64:75" ht="20.100000000000001" customHeight="1" x14ac:dyDescent="0.25">
      <c r="BL318" s="62" t="str">
        <f t="shared" si="65"/>
        <v/>
      </c>
      <c r="BM318" s="63" t="str">
        <f t="shared" si="66"/>
        <v/>
      </c>
      <c r="BN318" s="68" t="str">
        <f t="shared" si="67"/>
        <v/>
      </c>
      <c r="BU318" s="51" t="e">
        <f t="shared" si="68"/>
        <v>#VALUE!</v>
      </c>
      <c r="BV318" s="44" t="e">
        <f t="shared" si="69"/>
        <v>#VALUE!</v>
      </c>
      <c r="BW318" s="61" t="e">
        <f t="shared" si="70"/>
        <v>#NUM!</v>
      </c>
    </row>
    <row r="319" spans="64:75" ht="20.100000000000001" customHeight="1" x14ac:dyDescent="0.25">
      <c r="BL319" s="62" t="str">
        <f t="shared" si="65"/>
        <v/>
      </c>
      <c r="BM319" s="63" t="str">
        <f t="shared" si="66"/>
        <v/>
      </c>
      <c r="BN319" s="68" t="str">
        <f t="shared" si="67"/>
        <v/>
      </c>
      <c r="BU319" s="51" t="e">
        <f t="shared" si="68"/>
        <v>#VALUE!</v>
      </c>
      <c r="BV319" s="44" t="e">
        <f t="shared" si="69"/>
        <v>#VALUE!</v>
      </c>
      <c r="BW319" s="61" t="e">
        <f t="shared" si="70"/>
        <v>#NUM!</v>
      </c>
    </row>
    <row r="320" spans="64:75" ht="20.100000000000001" customHeight="1" x14ac:dyDescent="0.25">
      <c r="BL320" s="62" t="str">
        <f t="shared" si="65"/>
        <v/>
      </c>
      <c r="BM320" s="63" t="str">
        <f t="shared" si="66"/>
        <v/>
      </c>
      <c r="BN320" s="68" t="str">
        <f t="shared" si="67"/>
        <v/>
      </c>
      <c r="BU320" s="51" t="e">
        <f t="shared" si="68"/>
        <v>#VALUE!</v>
      </c>
      <c r="BV320" s="44" t="e">
        <f t="shared" si="69"/>
        <v>#VALUE!</v>
      </c>
      <c r="BW320" s="61" t="e">
        <f t="shared" si="70"/>
        <v>#NUM!</v>
      </c>
    </row>
    <row r="321" spans="64:75" ht="20.100000000000001" customHeight="1" x14ac:dyDescent="0.25">
      <c r="BL321" s="62" t="str">
        <f t="shared" si="65"/>
        <v/>
      </c>
      <c r="BM321" s="63" t="str">
        <f t="shared" si="66"/>
        <v/>
      </c>
      <c r="BN321" s="68" t="str">
        <f t="shared" si="67"/>
        <v/>
      </c>
      <c r="BU321" s="51" t="e">
        <f t="shared" si="68"/>
        <v>#VALUE!</v>
      </c>
      <c r="BV321" s="44" t="e">
        <f t="shared" si="69"/>
        <v>#VALUE!</v>
      </c>
      <c r="BW321" s="61" t="e">
        <f t="shared" si="70"/>
        <v>#NUM!</v>
      </c>
    </row>
    <row r="322" spans="64:75" ht="20.100000000000001" customHeight="1" x14ac:dyDescent="0.25">
      <c r="BL322" s="62" t="str">
        <f t="shared" si="65"/>
        <v/>
      </c>
      <c r="BM322" s="63" t="str">
        <f t="shared" si="66"/>
        <v/>
      </c>
      <c r="BN322" s="68" t="str">
        <f t="shared" si="67"/>
        <v/>
      </c>
      <c r="BU322" s="51" t="e">
        <f t="shared" si="68"/>
        <v>#VALUE!</v>
      </c>
      <c r="BV322" s="44" t="e">
        <f t="shared" si="69"/>
        <v>#VALUE!</v>
      </c>
      <c r="BW322" s="61" t="e">
        <f t="shared" si="70"/>
        <v>#NUM!</v>
      </c>
    </row>
    <row r="323" spans="64:75" ht="20.100000000000001" customHeight="1" x14ac:dyDescent="0.25">
      <c r="BL323" s="62" t="str">
        <f t="shared" si="65"/>
        <v/>
      </c>
      <c r="BM323" s="63" t="str">
        <f t="shared" si="66"/>
        <v/>
      </c>
      <c r="BN323" s="68" t="str">
        <f t="shared" si="67"/>
        <v/>
      </c>
      <c r="BU323" s="51" t="e">
        <f t="shared" si="68"/>
        <v>#VALUE!</v>
      </c>
      <c r="BV323" s="44" t="e">
        <f t="shared" si="69"/>
        <v>#VALUE!</v>
      </c>
      <c r="BW323" s="61" t="e">
        <f t="shared" si="70"/>
        <v>#NUM!</v>
      </c>
    </row>
    <row r="324" spans="64:75" ht="20.100000000000001" customHeight="1" x14ac:dyDescent="0.25">
      <c r="BL324" s="62" t="str">
        <f t="shared" si="65"/>
        <v/>
      </c>
      <c r="BM324" s="63" t="str">
        <f t="shared" si="66"/>
        <v/>
      </c>
      <c r="BN324" s="68" t="str">
        <f t="shared" si="67"/>
        <v/>
      </c>
      <c r="BU324" s="51" t="e">
        <f t="shared" si="68"/>
        <v>#VALUE!</v>
      </c>
      <c r="BV324" s="44" t="e">
        <f t="shared" si="69"/>
        <v>#VALUE!</v>
      </c>
      <c r="BW324" s="61" t="e">
        <f t="shared" si="70"/>
        <v>#NUM!</v>
      </c>
    </row>
    <row r="325" spans="64:75" ht="20.100000000000001" customHeight="1" x14ac:dyDescent="0.25">
      <c r="BL325" s="62" t="str">
        <f t="shared" si="65"/>
        <v/>
      </c>
      <c r="BM325" s="63" t="str">
        <f t="shared" si="66"/>
        <v/>
      </c>
      <c r="BN325" s="68" t="str">
        <f t="shared" si="67"/>
        <v/>
      </c>
      <c r="BU325" s="51" t="e">
        <f t="shared" si="68"/>
        <v>#VALUE!</v>
      </c>
      <c r="BV325" s="44" t="e">
        <f t="shared" si="69"/>
        <v>#VALUE!</v>
      </c>
      <c r="BW325" s="61" t="e">
        <f t="shared" si="70"/>
        <v>#NUM!</v>
      </c>
    </row>
    <row r="326" spans="64:75" ht="20.100000000000001" customHeight="1" x14ac:dyDescent="0.25">
      <c r="BL326" s="62" t="str">
        <f t="shared" si="65"/>
        <v/>
      </c>
      <c r="BM326" s="63" t="str">
        <f t="shared" si="66"/>
        <v/>
      </c>
      <c r="BN326" s="68" t="str">
        <f t="shared" si="67"/>
        <v/>
      </c>
      <c r="BU326" s="51" t="e">
        <f t="shared" si="68"/>
        <v>#VALUE!</v>
      </c>
      <c r="BV326" s="44" t="e">
        <f t="shared" si="69"/>
        <v>#VALUE!</v>
      </c>
      <c r="BW326" s="61" t="e">
        <f t="shared" si="70"/>
        <v>#NUM!</v>
      </c>
    </row>
    <row r="327" spans="64:75" ht="20.100000000000001" customHeight="1" x14ac:dyDescent="0.25">
      <c r="BL327" s="62" t="str">
        <f t="shared" si="65"/>
        <v/>
      </c>
      <c r="BM327" s="63" t="str">
        <f t="shared" si="66"/>
        <v/>
      </c>
      <c r="BN327" s="68" t="str">
        <f t="shared" si="67"/>
        <v/>
      </c>
      <c r="BU327" s="51" t="e">
        <f t="shared" si="68"/>
        <v>#VALUE!</v>
      </c>
      <c r="BV327" s="44" t="e">
        <f t="shared" si="69"/>
        <v>#VALUE!</v>
      </c>
      <c r="BW327" s="61" t="e">
        <f t="shared" si="70"/>
        <v>#NUM!</v>
      </c>
    </row>
    <row r="328" spans="64:75" ht="20.100000000000001" customHeight="1" x14ac:dyDescent="0.25">
      <c r="BL328" s="62" t="str">
        <f t="shared" si="65"/>
        <v/>
      </c>
      <c r="BM328" s="63" t="str">
        <f t="shared" si="66"/>
        <v/>
      </c>
      <c r="BN328" s="68" t="str">
        <f t="shared" si="67"/>
        <v/>
      </c>
      <c r="BU328" s="51" t="e">
        <f t="shared" si="68"/>
        <v>#VALUE!</v>
      </c>
      <c r="BV328" s="44" t="e">
        <f t="shared" si="69"/>
        <v>#VALUE!</v>
      </c>
      <c r="BW328" s="61" t="e">
        <f t="shared" si="70"/>
        <v>#NUM!</v>
      </c>
    </row>
    <row r="329" spans="64:75" ht="20.100000000000001" customHeight="1" x14ac:dyDescent="0.25">
      <c r="BL329" s="62" t="str">
        <f t="shared" si="65"/>
        <v/>
      </c>
      <c r="BM329" s="63" t="str">
        <f t="shared" si="66"/>
        <v/>
      </c>
      <c r="BN329" s="68" t="str">
        <f t="shared" si="67"/>
        <v/>
      </c>
      <c r="BU329" s="51" t="e">
        <f t="shared" si="68"/>
        <v>#VALUE!</v>
      </c>
      <c r="BV329" s="44" t="e">
        <f t="shared" si="69"/>
        <v>#VALUE!</v>
      </c>
      <c r="BW329" s="61" t="e">
        <f t="shared" si="70"/>
        <v>#NUM!</v>
      </c>
    </row>
    <row r="330" spans="64:75" ht="20.100000000000001" customHeight="1" x14ac:dyDescent="0.25">
      <c r="BL330" s="62" t="str">
        <f t="shared" si="65"/>
        <v/>
      </c>
      <c r="BM330" s="63" t="str">
        <f t="shared" si="66"/>
        <v/>
      </c>
      <c r="BN330" s="68" t="str">
        <f t="shared" si="67"/>
        <v/>
      </c>
      <c r="BU330" s="51" t="e">
        <f t="shared" si="68"/>
        <v>#VALUE!</v>
      </c>
      <c r="BV330" s="44" t="e">
        <f t="shared" si="69"/>
        <v>#VALUE!</v>
      </c>
      <c r="BW330" s="61" t="e">
        <f t="shared" si="70"/>
        <v>#NUM!</v>
      </c>
    </row>
    <row r="331" spans="64:75" ht="20.100000000000001" customHeight="1" x14ac:dyDescent="0.25">
      <c r="BL331" s="62" t="str">
        <f t="shared" si="65"/>
        <v/>
      </c>
      <c r="BM331" s="63" t="str">
        <f t="shared" si="66"/>
        <v/>
      </c>
      <c r="BN331" s="68" t="str">
        <f t="shared" si="67"/>
        <v/>
      </c>
      <c r="BU331" s="51" t="e">
        <f t="shared" si="68"/>
        <v>#VALUE!</v>
      </c>
      <c r="BV331" s="44" t="e">
        <f t="shared" si="69"/>
        <v>#VALUE!</v>
      </c>
      <c r="BW331" s="61" t="e">
        <f t="shared" si="70"/>
        <v>#NUM!</v>
      </c>
    </row>
    <row r="332" spans="64:75" ht="20.100000000000001" customHeight="1" x14ac:dyDescent="0.25">
      <c r="BL332" s="62" t="str">
        <f t="shared" ref="BL332:BL395" si="71">IF(AND(BL331&gt;BM$6,BL331&lt;&gt;""),BL331-1,"")</f>
        <v/>
      </c>
      <c r="BM332" s="63" t="str">
        <f t="shared" ref="BM332:BM395" si="72">IF(BL332&lt;&gt;"",MAX(BL332,ROUND(BM$6*BM$9^BL332,0)),"")</f>
        <v/>
      </c>
      <c r="BN332" s="68" t="str">
        <f t="shared" ref="BN332:BN395" si="73">IF(BM332&lt;&gt;"",O$12/M$12*BM332,"")</f>
        <v/>
      </c>
      <c r="BU332" s="51" t="e">
        <f t="shared" si="68"/>
        <v>#VALUE!</v>
      </c>
      <c r="BV332" s="44" t="e">
        <f t="shared" si="69"/>
        <v>#VALUE!</v>
      </c>
      <c r="BW332" s="61" t="e">
        <f t="shared" si="70"/>
        <v>#NUM!</v>
      </c>
    </row>
    <row r="333" spans="64:75" ht="20.100000000000001" customHeight="1" x14ac:dyDescent="0.25">
      <c r="BL333" s="62" t="str">
        <f t="shared" si="71"/>
        <v/>
      </c>
      <c r="BM333" s="63" t="str">
        <f t="shared" si="72"/>
        <v/>
      </c>
      <c r="BN333" s="68" t="str">
        <f t="shared" si="73"/>
        <v/>
      </c>
      <c r="BU333" s="51" t="e">
        <f t="shared" si="68"/>
        <v>#VALUE!</v>
      </c>
      <c r="BV333" s="44" t="e">
        <f t="shared" si="69"/>
        <v>#VALUE!</v>
      </c>
      <c r="BW333" s="61" t="e">
        <f t="shared" si="70"/>
        <v>#NUM!</v>
      </c>
    </row>
    <row r="334" spans="64:75" ht="20.100000000000001" customHeight="1" x14ac:dyDescent="0.25">
      <c r="BL334" s="62" t="str">
        <f t="shared" si="71"/>
        <v/>
      </c>
      <c r="BM334" s="63" t="str">
        <f t="shared" si="72"/>
        <v/>
      </c>
      <c r="BN334" s="68" t="str">
        <f t="shared" si="73"/>
        <v/>
      </c>
      <c r="BU334" s="51" t="e">
        <f t="shared" si="68"/>
        <v>#VALUE!</v>
      </c>
      <c r="BV334" s="44" t="e">
        <f t="shared" si="69"/>
        <v>#VALUE!</v>
      </c>
      <c r="BW334" s="61" t="e">
        <f t="shared" si="70"/>
        <v>#NUM!</v>
      </c>
    </row>
    <row r="335" spans="64:75" ht="20.100000000000001" customHeight="1" x14ac:dyDescent="0.25">
      <c r="BL335" s="62" t="str">
        <f t="shared" si="71"/>
        <v/>
      </c>
      <c r="BM335" s="63" t="str">
        <f t="shared" si="72"/>
        <v/>
      </c>
      <c r="BN335" s="68" t="str">
        <f t="shared" si="73"/>
        <v/>
      </c>
      <c r="BU335" s="51" t="e">
        <f t="shared" si="68"/>
        <v>#VALUE!</v>
      </c>
      <c r="BV335" s="44" t="e">
        <f t="shared" si="69"/>
        <v>#VALUE!</v>
      </c>
      <c r="BW335" s="61" t="e">
        <f t="shared" si="70"/>
        <v>#NUM!</v>
      </c>
    </row>
    <row r="336" spans="64:75" ht="20.100000000000001" customHeight="1" x14ac:dyDescent="0.25">
      <c r="BL336" s="62" t="str">
        <f t="shared" si="71"/>
        <v/>
      </c>
      <c r="BM336" s="63" t="str">
        <f t="shared" si="72"/>
        <v/>
      </c>
      <c r="BN336" s="68" t="str">
        <f t="shared" si="73"/>
        <v/>
      </c>
      <c r="BU336" s="51" t="e">
        <f t="shared" si="68"/>
        <v>#VALUE!</v>
      </c>
      <c r="BV336" s="44" t="e">
        <f t="shared" si="69"/>
        <v>#VALUE!</v>
      </c>
      <c r="BW336" s="61" t="e">
        <f t="shared" si="70"/>
        <v>#NUM!</v>
      </c>
    </row>
    <row r="337" spans="64:75" ht="20.100000000000001" customHeight="1" x14ac:dyDescent="0.25">
      <c r="BL337" s="62" t="str">
        <f t="shared" si="71"/>
        <v/>
      </c>
      <c r="BM337" s="63" t="str">
        <f t="shared" si="72"/>
        <v/>
      </c>
      <c r="BN337" s="68" t="str">
        <f t="shared" si="73"/>
        <v/>
      </c>
      <c r="BU337" s="51" t="e">
        <f t="shared" si="68"/>
        <v>#VALUE!</v>
      </c>
      <c r="BV337" s="44" t="e">
        <f t="shared" si="69"/>
        <v>#VALUE!</v>
      </c>
      <c r="BW337" s="61" t="e">
        <f t="shared" si="70"/>
        <v>#NUM!</v>
      </c>
    </row>
    <row r="338" spans="64:75" ht="20.100000000000001" customHeight="1" x14ac:dyDescent="0.25">
      <c r="BL338" s="62" t="str">
        <f t="shared" si="71"/>
        <v/>
      </c>
      <c r="BM338" s="63" t="str">
        <f t="shared" si="72"/>
        <v/>
      </c>
      <c r="BN338" s="68" t="str">
        <f t="shared" si="73"/>
        <v/>
      </c>
      <c r="BU338" s="51" t="e">
        <f t="shared" si="68"/>
        <v>#VALUE!</v>
      </c>
      <c r="BV338" s="44" t="e">
        <f t="shared" si="69"/>
        <v>#VALUE!</v>
      </c>
      <c r="BW338" s="61" t="e">
        <f t="shared" si="70"/>
        <v>#NUM!</v>
      </c>
    </row>
    <row r="339" spans="64:75" ht="20.100000000000001" customHeight="1" x14ac:dyDescent="0.25">
      <c r="BL339" s="62" t="str">
        <f t="shared" si="71"/>
        <v/>
      </c>
      <c r="BM339" s="63" t="str">
        <f t="shared" si="72"/>
        <v/>
      </c>
      <c r="BN339" s="68" t="str">
        <f t="shared" si="73"/>
        <v/>
      </c>
      <c r="BU339" s="51" t="e">
        <f t="shared" si="68"/>
        <v>#VALUE!</v>
      </c>
      <c r="BV339" s="44" t="e">
        <f t="shared" si="69"/>
        <v>#VALUE!</v>
      </c>
      <c r="BW339" s="61" t="e">
        <f t="shared" si="70"/>
        <v>#NUM!</v>
      </c>
    </row>
    <row r="340" spans="64:75" ht="20.100000000000001" customHeight="1" x14ac:dyDescent="0.25">
      <c r="BL340" s="62" t="str">
        <f t="shared" si="71"/>
        <v/>
      </c>
      <c r="BM340" s="63" t="str">
        <f t="shared" si="72"/>
        <v/>
      </c>
      <c r="BN340" s="68" t="str">
        <f t="shared" si="73"/>
        <v/>
      </c>
      <c r="BU340" s="51" t="e">
        <f t="shared" ref="BU340:BU403" si="74">BO340-BN340</f>
        <v>#VALUE!</v>
      </c>
      <c r="BV340" s="44" t="e">
        <f t="shared" ref="BV340:BV403" si="75">BO340/BN340-1</f>
        <v>#VALUE!</v>
      </c>
      <c r="BW340" s="61" t="e">
        <f t="shared" ref="BW340:BW403" si="76">-20*LOG10(BP340/100)</f>
        <v>#NUM!</v>
      </c>
    </row>
    <row r="341" spans="64:75" ht="20.100000000000001" customHeight="1" x14ac:dyDescent="0.25">
      <c r="BL341" s="62" t="str">
        <f t="shared" si="71"/>
        <v/>
      </c>
      <c r="BM341" s="63" t="str">
        <f t="shared" si="72"/>
        <v/>
      </c>
      <c r="BN341" s="68" t="str">
        <f t="shared" si="73"/>
        <v/>
      </c>
      <c r="BU341" s="51" t="e">
        <f t="shared" si="74"/>
        <v>#VALUE!</v>
      </c>
      <c r="BV341" s="44" t="e">
        <f t="shared" si="75"/>
        <v>#VALUE!</v>
      </c>
      <c r="BW341" s="61" t="e">
        <f t="shared" si="76"/>
        <v>#NUM!</v>
      </c>
    </row>
    <row r="342" spans="64:75" ht="20.100000000000001" customHeight="1" x14ac:dyDescent="0.25">
      <c r="BL342" s="62" t="str">
        <f t="shared" si="71"/>
        <v/>
      </c>
      <c r="BM342" s="63" t="str">
        <f t="shared" si="72"/>
        <v/>
      </c>
      <c r="BN342" s="68" t="str">
        <f t="shared" si="73"/>
        <v/>
      </c>
      <c r="BU342" s="51" t="e">
        <f t="shared" si="74"/>
        <v>#VALUE!</v>
      </c>
      <c r="BV342" s="44" t="e">
        <f t="shared" si="75"/>
        <v>#VALUE!</v>
      </c>
      <c r="BW342" s="61" t="e">
        <f t="shared" si="76"/>
        <v>#NUM!</v>
      </c>
    </row>
    <row r="343" spans="64:75" ht="20.100000000000001" customHeight="1" x14ac:dyDescent="0.25">
      <c r="BL343" s="62" t="str">
        <f t="shared" si="71"/>
        <v/>
      </c>
      <c r="BM343" s="63" t="str">
        <f t="shared" si="72"/>
        <v/>
      </c>
      <c r="BN343" s="68" t="str">
        <f t="shared" si="73"/>
        <v/>
      </c>
      <c r="BU343" s="51" t="e">
        <f t="shared" si="74"/>
        <v>#VALUE!</v>
      </c>
      <c r="BV343" s="44" t="e">
        <f t="shared" si="75"/>
        <v>#VALUE!</v>
      </c>
      <c r="BW343" s="61" t="e">
        <f t="shared" si="76"/>
        <v>#NUM!</v>
      </c>
    </row>
    <row r="344" spans="64:75" ht="20.100000000000001" customHeight="1" x14ac:dyDescent="0.25">
      <c r="BL344" s="62" t="str">
        <f t="shared" si="71"/>
        <v/>
      </c>
      <c r="BM344" s="63" t="str">
        <f t="shared" si="72"/>
        <v/>
      </c>
      <c r="BN344" s="68" t="str">
        <f t="shared" si="73"/>
        <v/>
      </c>
      <c r="BU344" s="51" t="e">
        <f t="shared" si="74"/>
        <v>#VALUE!</v>
      </c>
      <c r="BV344" s="44" t="e">
        <f t="shared" si="75"/>
        <v>#VALUE!</v>
      </c>
      <c r="BW344" s="61" t="e">
        <f t="shared" si="76"/>
        <v>#NUM!</v>
      </c>
    </row>
    <row r="345" spans="64:75" ht="20.100000000000001" customHeight="1" x14ac:dyDescent="0.25">
      <c r="BL345" s="62" t="str">
        <f t="shared" si="71"/>
        <v/>
      </c>
      <c r="BM345" s="63" t="str">
        <f t="shared" si="72"/>
        <v/>
      </c>
      <c r="BN345" s="68" t="str">
        <f t="shared" si="73"/>
        <v/>
      </c>
      <c r="BU345" s="51" t="e">
        <f t="shared" si="74"/>
        <v>#VALUE!</v>
      </c>
      <c r="BV345" s="44" t="e">
        <f t="shared" si="75"/>
        <v>#VALUE!</v>
      </c>
      <c r="BW345" s="61" t="e">
        <f t="shared" si="76"/>
        <v>#NUM!</v>
      </c>
    </row>
    <row r="346" spans="64:75" ht="20.100000000000001" customHeight="1" x14ac:dyDescent="0.25">
      <c r="BL346" s="62" t="str">
        <f t="shared" si="71"/>
        <v/>
      </c>
      <c r="BM346" s="63" t="str">
        <f t="shared" si="72"/>
        <v/>
      </c>
      <c r="BN346" s="68" t="str">
        <f t="shared" si="73"/>
        <v/>
      </c>
      <c r="BU346" s="51" t="e">
        <f t="shared" si="74"/>
        <v>#VALUE!</v>
      </c>
      <c r="BV346" s="44" t="e">
        <f t="shared" si="75"/>
        <v>#VALUE!</v>
      </c>
      <c r="BW346" s="61" t="e">
        <f t="shared" si="76"/>
        <v>#NUM!</v>
      </c>
    </row>
    <row r="347" spans="64:75" ht="20.100000000000001" customHeight="1" x14ac:dyDescent="0.25">
      <c r="BL347" s="62" t="str">
        <f t="shared" si="71"/>
        <v/>
      </c>
      <c r="BM347" s="63" t="str">
        <f t="shared" si="72"/>
        <v/>
      </c>
      <c r="BN347" s="68" t="str">
        <f t="shared" si="73"/>
        <v/>
      </c>
      <c r="BU347" s="51" t="e">
        <f t="shared" si="74"/>
        <v>#VALUE!</v>
      </c>
      <c r="BV347" s="44" t="e">
        <f t="shared" si="75"/>
        <v>#VALUE!</v>
      </c>
      <c r="BW347" s="61" t="e">
        <f t="shared" si="76"/>
        <v>#NUM!</v>
      </c>
    </row>
    <row r="348" spans="64:75" ht="20.100000000000001" customHeight="1" x14ac:dyDescent="0.25">
      <c r="BL348" s="62" t="str">
        <f t="shared" si="71"/>
        <v/>
      </c>
      <c r="BM348" s="63" t="str">
        <f t="shared" si="72"/>
        <v/>
      </c>
      <c r="BN348" s="68" t="str">
        <f t="shared" si="73"/>
        <v/>
      </c>
      <c r="BU348" s="51" t="e">
        <f t="shared" si="74"/>
        <v>#VALUE!</v>
      </c>
      <c r="BV348" s="44" t="e">
        <f t="shared" si="75"/>
        <v>#VALUE!</v>
      </c>
      <c r="BW348" s="61" t="e">
        <f t="shared" si="76"/>
        <v>#NUM!</v>
      </c>
    </row>
    <row r="349" spans="64:75" ht="20.100000000000001" customHeight="1" x14ac:dyDescent="0.25">
      <c r="BL349" s="62" t="str">
        <f t="shared" si="71"/>
        <v/>
      </c>
      <c r="BM349" s="63" t="str">
        <f t="shared" si="72"/>
        <v/>
      </c>
      <c r="BN349" s="68" t="str">
        <f t="shared" si="73"/>
        <v/>
      </c>
      <c r="BU349" s="51" t="e">
        <f t="shared" si="74"/>
        <v>#VALUE!</v>
      </c>
      <c r="BV349" s="44" t="e">
        <f t="shared" si="75"/>
        <v>#VALUE!</v>
      </c>
      <c r="BW349" s="61" t="e">
        <f t="shared" si="76"/>
        <v>#NUM!</v>
      </c>
    </row>
    <row r="350" spans="64:75" ht="20.100000000000001" customHeight="1" x14ac:dyDescent="0.25">
      <c r="BL350" s="62" t="str">
        <f t="shared" si="71"/>
        <v/>
      </c>
      <c r="BM350" s="63" t="str">
        <f t="shared" si="72"/>
        <v/>
      </c>
      <c r="BN350" s="68" t="str">
        <f t="shared" si="73"/>
        <v/>
      </c>
      <c r="BU350" s="51" t="e">
        <f t="shared" si="74"/>
        <v>#VALUE!</v>
      </c>
      <c r="BV350" s="44" t="e">
        <f t="shared" si="75"/>
        <v>#VALUE!</v>
      </c>
      <c r="BW350" s="61" t="e">
        <f t="shared" si="76"/>
        <v>#NUM!</v>
      </c>
    </row>
    <row r="351" spans="64:75" ht="20.100000000000001" customHeight="1" x14ac:dyDescent="0.25">
      <c r="BL351" s="62" t="str">
        <f t="shared" si="71"/>
        <v/>
      </c>
      <c r="BM351" s="63" t="str">
        <f t="shared" si="72"/>
        <v/>
      </c>
      <c r="BN351" s="68" t="str">
        <f t="shared" si="73"/>
        <v/>
      </c>
      <c r="BU351" s="51" t="e">
        <f t="shared" si="74"/>
        <v>#VALUE!</v>
      </c>
      <c r="BV351" s="44" t="e">
        <f t="shared" si="75"/>
        <v>#VALUE!</v>
      </c>
      <c r="BW351" s="61" t="e">
        <f t="shared" si="76"/>
        <v>#NUM!</v>
      </c>
    </row>
    <row r="352" spans="64:75" ht="20.100000000000001" customHeight="1" x14ac:dyDescent="0.25">
      <c r="BL352" s="62" t="str">
        <f t="shared" si="71"/>
        <v/>
      </c>
      <c r="BM352" s="63" t="str">
        <f t="shared" si="72"/>
        <v/>
      </c>
      <c r="BN352" s="68" t="str">
        <f t="shared" si="73"/>
        <v/>
      </c>
      <c r="BU352" s="51" t="e">
        <f t="shared" si="74"/>
        <v>#VALUE!</v>
      </c>
      <c r="BV352" s="44" t="e">
        <f t="shared" si="75"/>
        <v>#VALUE!</v>
      </c>
      <c r="BW352" s="61" t="e">
        <f t="shared" si="76"/>
        <v>#NUM!</v>
      </c>
    </row>
    <row r="353" spans="64:75" ht="20.100000000000001" customHeight="1" x14ac:dyDescent="0.25">
      <c r="BL353" s="62" t="str">
        <f t="shared" si="71"/>
        <v/>
      </c>
      <c r="BM353" s="63" t="str">
        <f t="shared" si="72"/>
        <v/>
      </c>
      <c r="BN353" s="68" t="str">
        <f t="shared" si="73"/>
        <v/>
      </c>
      <c r="BU353" s="51" t="e">
        <f t="shared" si="74"/>
        <v>#VALUE!</v>
      </c>
      <c r="BV353" s="44" t="e">
        <f t="shared" si="75"/>
        <v>#VALUE!</v>
      </c>
      <c r="BW353" s="61" t="e">
        <f t="shared" si="76"/>
        <v>#NUM!</v>
      </c>
    </row>
    <row r="354" spans="64:75" ht="20.100000000000001" customHeight="1" x14ac:dyDescent="0.25">
      <c r="BL354" s="62" t="str">
        <f t="shared" si="71"/>
        <v/>
      </c>
      <c r="BM354" s="63" t="str">
        <f t="shared" si="72"/>
        <v/>
      </c>
      <c r="BN354" s="68" t="str">
        <f t="shared" si="73"/>
        <v/>
      </c>
      <c r="BU354" s="51" t="e">
        <f t="shared" si="74"/>
        <v>#VALUE!</v>
      </c>
      <c r="BV354" s="44" t="e">
        <f t="shared" si="75"/>
        <v>#VALUE!</v>
      </c>
      <c r="BW354" s="61" t="e">
        <f t="shared" si="76"/>
        <v>#NUM!</v>
      </c>
    </row>
    <row r="355" spans="64:75" ht="20.100000000000001" customHeight="1" x14ac:dyDescent="0.25">
      <c r="BL355" s="62" t="str">
        <f t="shared" si="71"/>
        <v/>
      </c>
      <c r="BM355" s="63" t="str">
        <f t="shared" si="72"/>
        <v/>
      </c>
      <c r="BN355" s="68" t="str">
        <f t="shared" si="73"/>
        <v/>
      </c>
      <c r="BU355" s="51" t="e">
        <f t="shared" si="74"/>
        <v>#VALUE!</v>
      </c>
      <c r="BV355" s="44" t="e">
        <f t="shared" si="75"/>
        <v>#VALUE!</v>
      </c>
      <c r="BW355" s="61" t="e">
        <f t="shared" si="76"/>
        <v>#NUM!</v>
      </c>
    </row>
    <row r="356" spans="64:75" ht="20.100000000000001" customHeight="1" x14ac:dyDescent="0.25">
      <c r="BL356" s="62" t="str">
        <f t="shared" si="71"/>
        <v/>
      </c>
      <c r="BM356" s="63" t="str">
        <f t="shared" si="72"/>
        <v/>
      </c>
      <c r="BN356" s="68" t="str">
        <f t="shared" si="73"/>
        <v/>
      </c>
      <c r="BU356" s="51" t="e">
        <f t="shared" si="74"/>
        <v>#VALUE!</v>
      </c>
      <c r="BV356" s="44" t="e">
        <f t="shared" si="75"/>
        <v>#VALUE!</v>
      </c>
      <c r="BW356" s="61" t="e">
        <f t="shared" si="76"/>
        <v>#NUM!</v>
      </c>
    </row>
    <row r="357" spans="64:75" ht="20.100000000000001" customHeight="1" x14ac:dyDescent="0.25">
      <c r="BL357" s="62" t="str">
        <f t="shared" si="71"/>
        <v/>
      </c>
      <c r="BM357" s="63" t="str">
        <f t="shared" si="72"/>
        <v/>
      </c>
      <c r="BN357" s="68" t="str">
        <f t="shared" si="73"/>
        <v/>
      </c>
      <c r="BU357" s="51" t="e">
        <f t="shared" si="74"/>
        <v>#VALUE!</v>
      </c>
      <c r="BV357" s="44" t="e">
        <f t="shared" si="75"/>
        <v>#VALUE!</v>
      </c>
      <c r="BW357" s="61" t="e">
        <f t="shared" si="76"/>
        <v>#NUM!</v>
      </c>
    </row>
    <row r="358" spans="64:75" ht="20.100000000000001" customHeight="1" x14ac:dyDescent="0.25">
      <c r="BL358" s="62" t="str">
        <f t="shared" si="71"/>
        <v/>
      </c>
      <c r="BM358" s="63" t="str">
        <f t="shared" si="72"/>
        <v/>
      </c>
      <c r="BN358" s="68" t="str">
        <f t="shared" si="73"/>
        <v/>
      </c>
      <c r="BU358" s="51" t="e">
        <f t="shared" si="74"/>
        <v>#VALUE!</v>
      </c>
      <c r="BV358" s="44" t="e">
        <f t="shared" si="75"/>
        <v>#VALUE!</v>
      </c>
      <c r="BW358" s="61" t="e">
        <f t="shared" si="76"/>
        <v>#NUM!</v>
      </c>
    </row>
    <row r="359" spans="64:75" ht="20.100000000000001" customHeight="1" x14ac:dyDescent="0.25">
      <c r="BL359" s="62" t="str">
        <f t="shared" si="71"/>
        <v/>
      </c>
      <c r="BM359" s="63" t="str">
        <f t="shared" si="72"/>
        <v/>
      </c>
      <c r="BN359" s="68" t="str">
        <f t="shared" si="73"/>
        <v/>
      </c>
      <c r="BU359" s="51" t="e">
        <f t="shared" si="74"/>
        <v>#VALUE!</v>
      </c>
      <c r="BV359" s="44" t="e">
        <f t="shared" si="75"/>
        <v>#VALUE!</v>
      </c>
      <c r="BW359" s="61" t="e">
        <f t="shared" si="76"/>
        <v>#NUM!</v>
      </c>
    </row>
    <row r="360" spans="64:75" ht="20.100000000000001" customHeight="1" x14ac:dyDescent="0.25">
      <c r="BL360" s="62" t="str">
        <f t="shared" si="71"/>
        <v/>
      </c>
      <c r="BM360" s="63" t="str">
        <f t="shared" si="72"/>
        <v/>
      </c>
      <c r="BN360" s="68" t="str">
        <f t="shared" si="73"/>
        <v/>
      </c>
      <c r="BU360" s="51" t="e">
        <f t="shared" si="74"/>
        <v>#VALUE!</v>
      </c>
      <c r="BV360" s="44" t="e">
        <f t="shared" si="75"/>
        <v>#VALUE!</v>
      </c>
      <c r="BW360" s="61" t="e">
        <f t="shared" si="76"/>
        <v>#NUM!</v>
      </c>
    </row>
    <row r="361" spans="64:75" ht="20.100000000000001" customHeight="1" x14ac:dyDescent="0.25">
      <c r="BL361" s="62" t="str">
        <f t="shared" si="71"/>
        <v/>
      </c>
      <c r="BM361" s="63" t="str">
        <f t="shared" si="72"/>
        <v/>
      </c>
      <c r="BN361" s="68" t="str">
        <f t="shared" si="73"/>
        <v/>
      </c>
      <c r="BU361" s="51" t="e">
        <f t="shared" si="74"/>
        <v>#VALUE!</v>
      </c>
      <c r="BV361" s="44" t="e">
        <f t="shared" si="75"/>
        <v>#VALUE!</v>
      </c>
      <c r="BW361" s="61" t="e">
        <f t="shared" si="76"/>
        <v>#NUM!</v>
      </c>
    </row>
    <row r="362" spans="64:75" ht="20.100000000000001" customHeight="1" x14ac:dyDescent="0.25">
      <c r="BL362" s="62" t="str">
        <f t="shared" si="71"/>
        <v/>
      </c>
      <c r="BM362" s="63" t="str">
        <f t="shared" si="72"/>
        <v/>
      </c>
      <c r="BN362" s="68" t="str">
        <f t="shared" si="73"/>
        <v/>
      </c>
      <c r="BU362" s="51" t="e">
        <f t="shared" si="74"/>
        <v>#VALUE!</v>
      </c>
      <c r="BV362" s="44" t="e">
        <f t="shared" si="75"/>
        <v>#VALUE!</v>
      </c>
      <c r="BW362" s="61" t="e">
        <f t="shared" si="76"/>
        <v>#NUM!</v>
      </c>
    </row>
    <row r="363" spans="64:75" ht="20.100000000000001" customHeight="1" x14ac:dyDescent="0.25">
      <c r="BL363" s="62" t="str">
        <f t="shared" si="71"/>
        <v/>
      </c>
      <c r="BM363" s="63" t="str">
        <f t="shared" si="72"/>
        <v/>
      </c>
      <c r="BN363" s="68" t="str">
        <f t="shared" si="73"/>
        <v/>
      </c>
      <c r="BU363" s="51" t="e">
        <f t="shared" si="74"/>
        <v>#VALUE!</v>
      </c>
      <c r="BV363" s="44" t="e">
        <f t="shared" si="75"/>
        <v>#VALUE!</v>
      </c>
      <c r="BW363" s="61" t="e">
        <f t="shared" si="76"/>
        <v>#NUM!</v>
      </c>
    </row>
    <row r="364" spans="64:75" ht="20.100000000000001" customHeight="1" x14ac:dyDescent="0.25">
      <c r="BL364" s="62" t="str">
        <f t="shared" si="71"/>
        <v/>
      </c>
      <c r="BM364" s="63" t="str">
        <f t="shared" si="72"/>
        <v/>
      </c>
      <c r="BN364" s="68" t="str">
        <f t="shared" si="73"/>
        <v/>
      </c>
      <c r="BU364" s="51" t="e">
        <f t="shared" si="74"/>
        <v>#VALUE!</v>
      </c>
      <c r="BV364" s="44" t="e">
        <f t="shared" si="75"/>
        <v>#VALUE!</v>
      </c>
      <c r="BW364" s="61" t="e">
        <f t="shared" si="76"/>
        <v>#NUM!</v>
      </c>
    </row>
    <row r="365" spans="64:75" ht="20.100000000000001" customHeight="1" x14ac:dyDescent="0.25">
      <c r="BL365" s="62" t="str">
        <f t="shared" si="71"/>
        <v/>
      </c>
      <c r="BM365" s="63" t="str">
        <f t="shared" si="72"/>
        <v/>
      </c>
      <c r="BN365" s="68" t="str">
        <f t="shared" si="73"/>
        <v/>
      </c>
      <c r="BU365" s="51" t="e">
        <f t="shared" si="74"/>
        <v>#VALUE!</v>
      </c>
      <c r="BV365" s="44" t="e">
        <f t="shared" si="75"/>
        <v>#VALUE!</v>
      </c>
      <c r="BW365" s="61" t="e">
        <f t="shared" si="76"/>
        <v>#NUM!</v>
      </c>
    </row>
    <row r="366" spans="64:75" ht="20.100000000000001" customHeight="1" x14ac:dyDescent="0.25">
      <c r="BL366" s="62" t="str">
        <f t="shared" si="71"/>
        <v/>
      </c>
      <c r="BM366" s="63" t="str">
        <f t="shared" si="72"/>
        <v/>
      </c>
      <c r="BN366" s="68" t="str">
        <f t="shared" si="73"/>
        <v/>
      </c>
      <c r="BU366" s="51" t="e">
        <f t="shared" si="74"/>
        <v>#VALUE!</v>
      </c>
      <c r="BV366" s="44" t="e">
        <f t="shared" si="75"/>
        <v>#VALUE!</v>
      </c>
      <c r="BW366" s="61" t="e">
        <f t="shared" si="76"/>
        <v>#NUM!</v>
      </c>
    </row>
    <row r="367" spans="64:75" ht="20.100000000000001" customHeight="1" x14ac:dyDescent="0.25">
      <c r="BL367" s="62" t="str">
        <f t="shared" si="71"/>
        <v/>
      </c>
      <c r="BM367" s="63" t="str">
        <f t="shared" si="72"/>
        <v/>
      </c>
      <c r="BN367" s="68" t="str">
        <f t="shared" si="73"/>
        <v/>
      </c>
      <c r="BU367" s="51" t="e">
        <f t="shared" si="74"/>
        <v>#VALUE!</v>
      </c>
      <c r="BV367" s="44" t="e">
        <f t="shared" si="75"/>
        <v>#VALUE!</v>
      </c>
      <c r="BW367" s="61" t="e">
        <f t="shared" si="76"/>
        <v>#NUM!</v>
      </c>
    </row>
    <row r="368" spans="64:75" ht="20.100000000000001" customHeight="1" x14ac:dyDescent="0.25">
      <c r="BL368" s="62" t="str">
        <f t="shared" si="71"/>
        <v/>
      </c>
      <c r="BM368" s="63" t="str">
        <f t="shared" si="72"/>
        <v/>
      </c>
      <c r="BN368" s="68" t="str">
        <f t="shared" si="73"/>
        <v/>
      </c>
      <c r="BU368" s="51" t="e">
        <f t="shared" si="74"/>
        <v>#VALUE!</v>
      </c>
      <c r="BV368" s="44" t="e">
        <f t="shared" si="75"/>
        <v>#VALUE!</v>
      </c>
      <c r="BW368" s="61" t="e">
        <f t="shared" si="76"/>
        <v>#NUM!</v>
      </c>
    </row>
    <row r="369" spans="64:75" ht="20.100000000000001" customHeight="1" x14ac:dyDescent="0.25">
      <c r="BL369" s="62" t="str">
        <f t="shared" si="71"/>
        <v/>
      </c>
      <c r="BM369" s="63" t="str">
        <f t="shared" si="72"/>
        <v/>
      </c>
      <c r="BN369" s="68" t="str">
        <f t="shared" si="73"/>
        <v/>
      </c>
      <c r="BU369" s="51" t="e">
        <f t="shared" si="74"/>
        <v>#VALUE!</v>
      </c>
      <c r="BV369" s="44" t="e">
        <f t="shared" si="75"/>
        <v>#VALUE!</v>
      </c>
      <c r="BW369" s="61" t="e">
        <f t="shared" si="76"/>
        <v>#NUM!</v>
      </c>
    </row>
    <row r="370" spans="64:75" ht="20.100000000000001" customHeight="1" x14ac:dyDescent="0.25">
      <c r="BL370" s="62" t="str">
        <f t="shared" si="71"/>
        <v/>
      </c>
      <c r="BM370" s="63" t="str">
        <f t="shared" si="72"/>
        <v/>
      </c>
      <c r="BN370" s="68" t="str">
        <f t="shared" si="73"/>
        <v/>
      </c>
      <c r="BU370" s="51" t="e">
        <f t="shared" si="74"/>
        <v>#VALUE!</v>
      </c>
      <c r="BV370" s="44" t="e">
        <f t="shared" si="75"/>
        <v>#VALUE!</v>
      </c>
      <c r="BW370" s="61" t="e">
        <f t="shared" si="76"/>
        <v>#NUM!</v>
      </c>
    </row>
    <row r="371" spans="64:75" ht="20.100000000000001" customHeight="1" x14ac:dyDescent="0.25">
      <c r="BL371" s="62" t="str">
        <f t="shared" si="71"/>
        <v/>
      </c>
      <c r="BM371" s="63" t="str">
        <f t="shared" si="72"/>
        <v/>
      </c>
      <c r="BN371" s="68" t="str">
        <f t="shared" si="73"/>
        <v/>
      </c>
      <c r="BU371" s="51" t="e">
        <f t="shared" si="74"/>
        <v>#VALUE!</v>
      </c>
      <c r="BV371" s="44" t="e">
        <f t="shared" si="75"/>
        <v>#VALUE!</v>
      </c>
      <c r="BW371" s="61" t="e">
        <f t="shared" si="76"/>
        <v>#NUM!</v>
      </c>
    </row>
    <row r="372" spans="64:75" ht="20.100000000000001" customHeight="1" x14ac:dyDescent="0.25">
      <c r="BL372" s="62" t="str">
        <f t="shared" si="71"/>
        <v/>
      </c>
      <c r="BM372" s="63" t="str">
        <f t="shared" si="72"/>
        <v/>
      </c>
      <c r="BN372" s="68" t="str">
        <f t="shared" si="73"/>
        <v/>
      </c>
      <c r="BU372" s="51" t="e">
        <f t="shared" si="74"/>
        <v>#VALUE!</v>
      </c>
      <c r="BV372" s="44" t="e">
        <f t="shared" si="75"/>
        <v>#VALUE!</v>
      </c>
      <c r="BW372" s="61" t="e">
        <f t="shared" si="76"/>
        <v>#NUM!</v>
      </c>
    </row>
    <row r="373" spans="64:75" ht="20.100000000000001" customHeight="1" x14ac:dyDescent="0.25">
      <c r="BL373" s="62" t="str">
        <f t="shared" si="71"/>
        <v/>
      </c>
      <c r="BM373" s="63" t="str">
        <f t="shared" si="72"/>
        <v/>
      </c>
      <c r="BN373" s="68" t="str">
        <f t="shared" si="73"/>
        <v/>
      </c>
      <c r="BU373" s="51" t="e">
        <f t="shared" si="74"/>
        <v>#VALUE!</v>
      </c>
      <c r="BV373" s="44" t="e">
        <f t="shared" si="75"/>
        <v>#VALUE!</v>
      </c>
      <c r="BW373" s="61" t="e">
        <f t="shared" si="76"/>
        <v>#NUM!</v>
      </c>
    </row>
    <row r="374" spans="64:75" ht="20.100000000000001" customHeight="1" x14ac:dyDescent="0.25">
      <c r="BL374" s="62" t="str">
        <f t="shared" si="71"/>
        <v/>
      </c>
      <c r="BM374" s="63" t="str">
        <f t="shared" si="72"/>
        <v/>
      </c>
      <c r="BN374" s="68" t="str">
        <f t="shared" si="73"/>
        <v/>
      </c>
      <c r="BU374" s="51" t="e">
        <f t="shared" si="74"/>
        <v>#VALUE!</v>
      </c>
      <c r="BV374" s="44" t="e">
        <f t="shared" si="75"/>
        <v>#VALUE!</v>
      </c>
      <c r="BW374" s="61" t="e">
        <f t="shared" si="76"/>
        <v>#NUM!</v>
      </c>
    </row>
    <row r="375" spans="64:75" ht="20.100000000000001" customHeight="1" x14ac:dyDescent="0.25">
      <c r="BL375" s="62" t="str">
        <f t="shared" si="71"/>
        <v/>
      </c>
      <c r="BM375" s="63" t="str">
        <f t="shared" si="72"/>
        <v/>
      </c>
      <c r="BN375" s="68" t="str">
        <f t="shared" si="73"/>
        <v/>
      </c>
      <c r="BU375" s="51" t="e">
        <f t="shared" si="74"/>
        <v>#VALUE!</v>
      </c>
      <c r="BV375" s="44" t="e">
        <f t="shared" si="75"/>
        <v>#VALUE!</v>
      </c>
      <c r="BW375" s="61" t="e">
        <f t="shared" si="76"/>
        <v>#NUM!</v>
      </c>
    </row>
    <row r="376" spans="64:75" ht="20.100000000000001" customHeight="1" x14ac:dyDescent="0.25">
      <c r="BL376" s="62" t="str">
        <f t="shared" si="71"/>
        <v/>
      </c>
      <c r="BM376" s="63" t="str">
        <f t="shared" si="72"/>
        <v/>
      </c>
      <c r="BN376" s="68" t="str">
        <f t="shared" si="73"/>
        <v/>
      </c>
      <c r="BU376" s="51" t="e">
        <f t="shared" si="74"/>
        <v>#VALUE!</v>
      </c>
      <c r="BV376" s="44" t="e">
        <f t="shared" si="75"/>
        <v>#VALUE!</v>
      </c>
      <c r="BW376" s="61" t="e">
        <f t="shared" si="76"/>
        <v>#NUM!</v>
      </c>
    </row>
    <row r="377" spans="64:75" ht="20.100000000000001" customHeight="1" x14ac:dyDescent="0.25">
      <c r="BL377" s="62" t="str">
        <f t="shared" si="71"/>
        <v/>
      </c>
      <c r="BM377" s="63" t="str">
        <f t="shared" si="72"/>
        <v/>
      </c>
      <c r="BN377" s="68" t="str">
        <f t="shared" si="73"/>
        <v/>
      </c>
      <c r="BU377" s="51" t="e">
        <f t="shared" si="74"/>
        <v>#VALUE!</v>
      </c>
      <c r="BV377" s="44" t="e">
        <f t="shared" si="75"/>
        <v>#VALUE!</v>
      </c>
      <c r="BW377" s="61" t="e">
        <f t="shared" si="76"/>
        <v>#NUM!</v>
      </c>
    </row>
    <row r="378" spans="64:75" ht="20.100000000000001" customHeight="1" x14ac:dyDescent="0.25">
      <c r="BL378" s="62" t="str">
        <f t="shared" si="71"/>
        <v/>
      </c>
      <c r="BM378" s="63" t="str">
        <f t="shared" si="72"/>
        <v/>
      </c>
      <c r="BN378" s="68" t="str">
        <f t="shared" si="73"/>
        <v/>
      </c>
      <c r="BU378" s="51" t="e">
        <f t="shared" si="74"/>
        <v>#VALUE!</v>
      </c>
      <c r="BV378" s="44" t="e">
        <f t="shared" si="75"/>
        <v>#VALUE!</v>
      </c>
      <c r="BW378" s="61" t="e">
        <f t="shared" si="76"/>
        <v>#NUM!</v>
      </c>
    </row>
    <row r="379" spans="64:75" ht="20.100000000000001" customHeight="1" x14ac:dyDescent="0.25">
      <c r="BL379" s="62" t="str">
        <f t="shared" si="71"/>
        <v/>
      </c>
      <c r="BM379" s="63" t="str">
        <f t="shared" si="72"/>
        <v/>
      </c>
      <c r="BN379" s="68" t="str">
        <f t="shared" si="73"/>
        <v/>
      </c>
      <c r="BU379" s="51" t="e">
        <f t="shared" si="74"/>
        <v>#VALUE!</v>
      </c>
      <c r="BV379" s="44" t="e">
        <f t="shared" si="75"/>
        <v>#VALUE!</v>
      </c>
      <c r="BW379" s="61" t="e">
        <f t="shared" si="76"/>
        <v>#NUM!</v>
      </c>
    </row>
    <row r="380" spans="64:75" ht="20.100000000000001" customHeight="1" x14ac:dyDescent="0.25">
      <c r="BL380" s="62" t="str">
        <f t="shared" si="71"/>
        <v/>
      </c>
      <c r="BM380" s="63" t="str">
        <f t="shared" si="72"/>
        <v/>
      </c>
      <c r="BN380" s="68" t="str">
        <f t="shared" si="73"/>
        <v/>
      </c>
      <c r="BU380" s="51" t="e">
        <f t="shared" si="74"/>
        <v>#VALUE!</v>
      </c>
      <c r="BV380" s="44" t="e">
        <f t="shared" si="75"/>
        <v>#VALUE!</v>
      </c>
      <c r="BW380" s="61" t="e">
        <f t="shared" si="76"/>
        <v>#NUM!</v>
      </c>
    </row>
    <row r="381" spans="64:75" ht="20.100000000000001" customHeight="1" x14ac:dyDescent="0.25">
      <c r="BL381" s="62" t="str">
        <f t="shared" si="71"/>
        <v/>
      </c>
      <c r="BM381" s="63" t="str">
        <f t="shared" si="72"/>
        <v/>
      </c>
      <c r="BN381" s="68" t="str">
        <f t="shared" si="73"/>
        <v/>
      </c>
      <c r="BU381" s="51" t="e">
        <f t="shared" si="74"/>
        <v>#VALUE!</v>
      </c>
      <c r="BV381" s="44" t="e">
        <f t="shared" si="75"/>
        <v>#VALUE!</v>
      </c>
      <c r="BW381" s="61" t="e">
        <f t="shared" si="76"/>
        <v>#NUM!</v>
      </c>
    </row>
    <row r="382" spans="64:75" ht="20.100000000000001" customHeight="1" x14ac:dyDescent="0.25">
      <c r="BL382" s="62" t="str">
        <f t="shared" si="71"/>
        <v/>
      </c>
      <c r="BM382" s="63" t="str">
        <f t="shared" si="72"/>
        <v/>
      </c>
      <c r="BN382" s="68" t="str">
        <f t="shared" si="73"/>
        <v/>
      </c>
      <c r="BU382" s="51" t="e">
        <f t="shared" si="74"/>
        <v>#VALUE!</v>
      </c>
      <c r="BV382" s="44" t="e">
        <f t="shared" si="75"/>
        <v>#VALUE!</v>
      </c>
      <c r="BW382" s="61" t="e">
        <f t="shared" si="76"/>
        <v>#NUM!</v>
      </c>
    </row>
    <row r="383" spans="64:75" ht="20.100000000000001" customHeight="1" x14ac:dyDescent="0.25">
      <c r="BL383" s="62" t="str">
        <f t="shared" si="71"/>
        <v/>
      </c>
      <c r="BM383" s="63" t="str">
        <f t="shared" si="72"/>
        <v/>
      </c>
      <c r="BN383" s="68" t="str">
        <f t="shared" si="73"/>
        <v/>
      </c>
      <c r="BU383" s="51" t="e">
        <f t="shared" si="74"/>
        <v>#VALUE!</v>
      </c>
      <c r="BV383" s="44" t="e">
        <f t="shared" si="75"/>
        <v>#VALUE!</v>
      </c>
      <c r="BW383" s="61" t="e">
        <f t="shared" si="76"/>
        <v>#NUM!</v>
      </c>
    </row>
    <row r="384" spans="64:75" ht="20.100000000000001" customHeight="1" x14ac:dyDescent="0.25">
      <c r="BL384" s="62" t="str">
        <f t="shared" si="71"/>
        <v/>
      </c>
      <c r="BM384" s="63" t="str">
        <f t="shared" si="72"/>
        <v/>
      </c>
      <c r="BN384" s="68" t="str">
        <f t="shared" si="73"/>
        <v/>
      </c>
      <c r="BU384" s="51" t="e">
        <f t="shared" si="74"/>
        <v>#VALUE!</v>
      </c>
      <c r="BV384" s="44" t="e">
        <f t="shared" si="75"/>
        <v>#VALUE!</v>
      </c>
      <c r="BW384" s="61" t="e">
        <f t="shared" si="76"/>
        <v>#NUM!</v>
      </c>
    </row>
    <row r="385" spans="64:75" ht="20.100000000000001" customHeight="1" x14ac:dyDescent="0.25">
      <c r="BL385" s="62" t="str">
        <f t="shared" si="71"/>
        <v/>
      </c>
      <c r="BM385" s="63" t="str">
        <f t="shared" si="72"/>
        <v/>
      </c>
      <c r="BN385" s="68" t="str">
        <f t="shared" si="73"/>
        <v/>
      </c>
      <c r="BU385" s="51" t="e">
        <f t="shared" si="74"/>
        <v>#VALUE!</v>
      </c>
      <c r="BV385" s="44" t="e">
        <f t="shared" si="75"/>
        <v>#VALUE!</v>
      </c>
      <c r="BW385" s="61" t="e">
        <f t="shared" si="76"/>
        <v>#NUM!</v>
      </c>
    </row>
    <row r="386" spans="64:75" ht="20.100000000000001" customHeight="1" x14ac:dyDescent="0.25">
      <c r="BL386" s="62" t="str">
        <f t="shared" si="71"/>
        <v/>
      </c>
      <c r="BM386" s="63" t="str">
        <f t="shared" si="72"/>
        <v/>
      </c>
      <c r="BN386" s="68" t="str">
        <f t="shared" si="73"/>
        <v/>
      </c>
      <c r="BU386" s="51" t="e">
        <f t="shared" si="74"/>
        <v>#VALUE!</v>
      </c>
      <c r="BV386" s="44" t="e">
        <f t="shared" si="75"/>
        <v>#VALUE!</v>
      </c>
      <c r="BW386" s="61" t="e">
        <f t="shared" si="76"/>
        <v>#NUM!</v>
      </c>
    </row>
    <row r="387" spans="64:75" ht="20.100000000000001" customHeight="1" x14ac:dyDescent="0.25">
      <c r="BL387" s="62" t="str">
        <f t="shared" si="71"/>
        <v/>
      </c>
      <c r="BM387" s="63" t="str">
        <f t="shared" si="72"/>
        <v/>
      </c>
      <c r="BN387" s="68" t="str">
        <f t="shared" si="73"/>
        <v/>
      </c>
      <c r="BU387" s="51" t="e">
        <f t="shared" si="74"/>
        <v>#VALUE!</v>
      </c>
      <c r="BV387" s="44" t="e">
        <f t="shared" si="75"/>
        <v>#VALUE!</v>
      </c>
      <c r="BW387" s="61" t="e">
        <f t="shared" si="76"/>
        <v>#NUM!</v>
      </c>
    </row>
    <row r="388" spans="64:75" ht="20.100000000000001" customHeight="1" x14ac:dyDescent="0.25">
      <c r="BL388" s="62" t="str">
        <f t="shared" si="71"/>
        <v/>
      </c>
      <c r="BM388" s="63" t="str">
        <f t="shared" si="72"/>
        <v/>
      </c>
      <c r="BN388" s="68" t="str">
        <f t="shared" si="73"/>
        <v/>
      </c>
      <c r="BU388" s="51" t="e">
        <f t="shared" si="74"/>
        <v>#VALUE!</v>
      </c>
      <c r="BV388" s="44" t="e">
        <f t="shared" si="75"/>
        <v>#VALUE!</v>
      </c>
      <c r="BW388" s="61" t="e">
        <f t="shared" si="76"/>
        <v>#NUM!</v>
      </c>
    </row>
    <row r="389" spans="64:75" ht="20.100000000000001" customHeight="1" x14ac:dyDescent="0.25">
      <c r="BL389" s="62" t="str">
        <f t="shared" si="71"/>
        <v/>
      </c>
      <c r="BM389" s="63" t="str">
        <f t="shared" si="72"/>
        <v/>
      </c>
      <c r="BN389" s="68" t="str">
        <f t="shared" si="73"/>
        <v/>
      </c>
      <c r="BU389" s="51" t="e">
        <f t="shared" si="74"/>
        <v>#VALUE!</v>
      </c>
      <c r="BV389" s="44" t="e">
        <f t="shared" si="75"/>
        <v>#VALUE!</v>
      </c>
      <c r="BW389" s="61" t="e">
        <f t="shared" si="76"/>
        <v>#NUM!</v>
      </c>
    </row>
    <row r="390" spans="64:75" ht="20.100000000000001" customHeight="1" x14ac:dyDescent="0.25">
      <c r="BL390" s="62" t="str">
        <f t="shared" si="71"/>
        <v/>
      </c>
      <c r="BM390" s="63" t="str">
        <f t="shared" si="72"/>
        <v/>
      </c>
      <c r="BN390" s="68" t="str">
        <f t="shared" si="73"/>
        <v/>
      </c>
      <c r="BU390" s="51" t="e">
        <f t="shared" si="74"/>
        <v>#VALUE!</v>
      </c>
      <c r="BV390" s="44" t="e">
        <f t="shared" si="75"/>
        <v>#VALUE!</v>
      </c>
      <c r="BW390" s="61" t="e">
        <f t="shared" si="76"/>
        <v>#NUM!</v>
      </c>
    </row>
    <row r="391" spans="64:75" ht="20.100000000000001" customHeight="1" x14ac:dyDescent="0.25">
      <c r="BL391" s="62" t="str">
        <f t="shared" si="71"/>
        <v/>
      </c>
      <c r="BM391" s="63" t="str">
        <f t="shared" si="72"/>
        <v/>
      </c>
      <c r="BN391" s="68" t="str">
        <f t="shared" si="73"/>
        <v/>
      </c>
      <c r="BU391" s="51" t="e">
        <f t="shared" si="74"/>
        <v>#VALUE!</v>
      </c>
      <c r="BV391" s="44" t="e">
        <f t="shared" si="75"/>
        <v>#VALUE!</v>
      </c>
      <c r="BW391" s="61" t="e">
        <f t="shared" si="76"/>
        <v>#NUM!</v>
      </c>
    </row>
    <row r="392" spans="64:75" ht="20.100000000000001" customHeight="1" x14ac:dyDescent="0.25">
      <c r="BL392" s="62" t="str">
        <f t="shared" si="71"/>
        <v/>
      </c>
      <c r="BM392" s="63" t="str">
        <f t="shared" si="72"/>
        <v/>
      </c>
      <c r="BN392" s="68" t="str">
        <f t="shared" si="73"/>
        <v/>
      </c>
      <c r="BU392" s="51" t="e">
        <f t="shared" si="74"/>
        <v>#VALUE!</v>
      </c>
      <c r="BV392" s="44" t="e">
        <f t="shared" si="75"/>
        <v>#VALUE!</v>
      </c>
      <c r="BW392" s="61" t="e">
        <f t="shared" si="76"/>
        <v>#NUM!</v>
      </c>
    </row>
    <row r="393" spans="64:75" ht="20.100000000000001" customHeight="1" x14ac:dyDescent="0.25">
      <c r="BL393" s="62" t="str">
        <f t="shared" si="71"/>
        <v/>
      </c>
      <c r="BM393" s="63" t="str">
        <f t="shared" si="72"/>
        <v/>
      </c>
      <c r="BN393" s="68" t="str">
        <f t="shared" si="73"/>
        <v/>
      </c>
      <c r="BU393" s="51" t="e">
        <f t="shared" si="74"/>
        <v>#VALUE!</v>
      </c>
      <c r="BV393" s="44" t="e">
        <f t="shared" si="75"/>
        <v>#VALUE!</v>
      </c>
      <c r="BW393" s="61" t="e">
        <f t="shared" si="76"/>
        <v>#NUM!</v>
      </c>
    </row>
    <row r="394" spans="64:75" ht="20.100000000000001" customHeight="1" x14ac:dyDescent="0.25">
      <c r="BL394" s="62" t="str">
        <f t="shared" si="71"/>
        <v/>
      </c>
      <c r="BM394" s="63" t="str">
        <f t="shared" si="72"/>
        <v/>
      </c>
      <c r="BN394" s="68" t="str">
        <f t="shared" si="73"/>
        <v/>
      </c>
      <c r="BU394" s="51" t="e">
        <f t="shared" si="74"/>
        <v>#VALUE!</v>
      </c>
      <c r="BV394" s="44" t="e">
        <f t="shared" si="75"/>
        <v>#VALUE!</v>
      </c>
      <c r="BW394" s="61" t="e">
        <f t="shared" si="76"/>
        <v>#NUM!</v>
      </c>
    </row>
    <row r="395" spans="64:75" ht="20.100000000000001" customHeight="1" x14ac:dyDescent="0.25">
      <c r="BL395" s="62" t="str">
        <f t="shared" si="71"/>
        <v/>
      </c>
      <c r="BM395" s="63" t="str">
        <f t="shared" si="72"/>
        <v/>
      </c>
      <c r="BN395" s="68" t="str">
        <f t="shared" si="73"/>
        <v/>
      </c>
      <c r="BU395" s="51" t="e">
        <f t="shared" si="74"/>
        <v>#VALUE!</v>
      </c>
      <c r="BV395" s="44" t="e">
        <f t="shared" si="75"/>
        <v>#VALUE!</v>
      </c>
      <c r="BW395" s="61" t="e">
        <f t="shared" si="76"/>
        <v>#NUM!</v>
      </c>
    </row>
    <row r="396" spans="64:75" ht="20.100000000000001" customHeight="1" x14ac:dyDescent="0.25">
      <c r="BL396" s="62" t="str">
        <f t="shared" ref="BL396:BL459" si="77">IF(AND(BL395&gt;BM$6,BL395&lt;&gt;""),BL395-1,"")</f>
        <v/>
      </c>
      <c r="BM396" s="63" t="str">
        <f t="shared" ref="BM396:BM459" si="78">IF(BL396&lt;&gt;"",MAX(BL396,ROUND(BM$6*BM$9^BL396,0)),"")</f>
        <v/>
      </c>
      <c r="BN396" s="68" t="str">
        <f t="shared" ref="BN396:BN459" si="79">IF(BM396&lt;&gt;"",O$12/M$12*BM396,"")</f>
        <v/>
      </c>
      <c r="BU396" s="51" t="e">
        <f t="shared" si="74"/>
        <v>#VALUE!</v>
      </c>
      <c r="BV396" s="44" t="e">
        <f t="shared" si="75"/>
        <v>#VALUE!</v>
      </c>
      <c r="BW396" s="61" t="e">
        <f t="shared" si="76"/>
        <v>#NUM!</v>
      </c>
    </row>
    <row r="397" spans="64:75" ht="20.100000000000001" customHeight="1" x14ac:dyDescent="0.25">
      <c r="BL397" s="62" t="str">
        <f t="shared" si="77"/>
        <v/>
      </c>
      <c r="BM397" s="63" t="str">
        <f t="shared" si="78"/>
        <v/>
      </c>
      <c r="BN397" s="68" t="str">
        <f t="shared" si="79"/>
        <v/>
      </c>
      <c r="BU397" s="51" t="e">
        <f t="shared" si="74"/>
        <v>#VALUE!</v>
      </c>
      <c r="BV397" s="44" t="e">
        <f t="shared" si="75"/>
        <v>#VALUE!</v>
      </c>
      <c r="BW397" s="61" t="e">
        <f t="shared" si="76"/>
        <v>#NUM!</v>
      </c>
    </row>
    <row r="398" spans="64:75" ht="20.100000000000001" customHeight="1" x14ac:dyDescent="0.25">
      <c r="BL398" s="62" t="str">
        <f t="shared" si="77"/>
        <v/>
      </c>
      <c r="BM398" s="63" t="str">
        <f t="shared" si="78"/>
        <v/>
      </c>
      <c r="BN398" s="68" t="str">
        <f t="shared" si="79"/>
        <v/>
      </c>
      <c r="BU398" s="51" t="e">
        <f t="shared" si="74"/>
        <v>#VALUE!</v>
      </c>
      <c r="BV398" s="44" t="e">
        <f t="shared" si="75"/>
        <v>#VALUE!</v>
      </c>
      <c r="BW398" s="61" t="e">
        <f t="shared" si="76"/>
        <v>#NUM!</v>
      </c>
    </row>
    <row r="399" spans="64:75" ht="20.100000000000001" customHeight="1" x14ac:dyDescent="0.25">
      <c r="BL399" s="62" t="str">
        <f t="shared" si="77"/>
        <v/>
      </c>
      <c r="BM399" s="63" t="str">
        <f t="shared" si="78"/>
        <v/>
      </c>
      <c r="BN399" s="68" t="str">
        <f t="shared" si="79"/>
        <v/>
      </c>
      <c r="BU399" s="51" t="e">
        <f t="shared" si="74"/>
        <v>#VALUE!</v>
      </c>
      <c r="BV399" s="44" t="e">
        <f t="shared" si="75"/>
        <v>#VALUE!</v>
      </c>
      <c r="BW399" s="61" t="e">
        <f t="shared" si="76"/>
        <v>#NUM!</v>
      </c>
    </row>
    <row r="400" spans="64:75" ht="20.100000000000001" customHeight="1" x14ac:dyDescent="0.25">
      <c r="BL400" s="62" t="str">
        <f t="shared" si="77"/>
        <v/>
      </c>
      <c r="BM400" s="63" t="str">
        <f t="shared" si="78"/>
        <v/>
      </c>
      <c r="BN400" s="68" t="str">
        <f t="shared" si="79"/>
        <v/>
      </c>
      <c r="BU400" s="51" t="e">
        <f t="shared" si="74"/>
        <v>#VALUE!</v>
      </c>
      <c r="BV400" s="44" t="e">
        <f t="shared" si="75"/>
        <v>#VALUE!</v>
      </c>
      <c r="BW400" s="61" t="e">
        <f t="shared" si="76"/>
        <v>#NUM!</v>
      </c>
    </row>
    <row r="401" spans="64:75" ht="20.100000000000001" customHeight="1" x14ac:dyDescent="0.25">
      <c r="BL401" s="62" t="str">
        <f t="shared" si="77"/>
        <v/>
      </c>
      <c r="BM401" s="63" t="str">
        <f t="shared" si="78"/>
        <v/>
      </c>
      <c r="BN401" s="68" t="str">
        <f t="shared" si="79"/>
        <v/>
      </c>
      <c r="BU401" s="51" t="e">
        <f t="shared" si="74"/>
        <v>#VALUE!</v>
      </c>
      <c r="BV401" s="44" t="e">
        <f t="shared" si="75"/>
        <v>#VALUE!</v>
      </c>
      <c r="BW401" s="61" t="e">
        <f t="shared" si="76"/>
        <v>#NUM!</v>
      </c>
    </row>
    <row r="402" spans="64:75" ht="20.100000000000001" customHeight="1" x14ac:dyDescent="0.25">
      <c r="BL402" s="62" t="str">
        <f t="shared" si="77"/>
        <v/>
      </c>
      <c r="BM402" s="63" t="str">
        <f t="shared" si="78"/>
        <v/>
      </c>
      <c r="BN402" s="68" t="str">
        <f t="shared" si="79"/>
        <v/>
      </c>
      <c r="BU402" s="51" t="e">
        <f t="shared" si="74"/>
        <v>#VALUE!</v>
      </c>
      <c r="BV402" s="44" t="e">
        <f t="shared" si="75"/>
        <v>#VALUE!</v>
      </c>
      <c r="BW402" s="61" t="e">
        <f t="shared" si="76"/>
        <v>#NUM!</v>
      </c>
    </row>
    <row r="403" spans="64:75" ht="20.100000000000001" customHeight="1" x14ac:dyDescent="0.25">
      <c r="BL403" s="62" t="str">
        <f t="shared" si="77"/>
        <v/>
      </c>
      <c r="BM403" s="63" t="str">
        <f t="shared" si="78"/>
        <v/>
      </c>
      <c r="BN403" s="68" t="str">
        <f t="shared" si="79"/>
        <v/>
      </c>
      <c r="BU403" s="51" t="e">
        <f t="shared" si="74"/>
        <v>#VALUE!</v>
      </c>
      <c r="BV403" s="44" t="e">
        <f t="shared" si="75"/>
        <v>#VALUE!</v>
      </c>
      <c r="BW403" s="61" t="e">
        <f t="shared" si="76"/>
        <v>#NUM!</v>
      </c>
    </row>
    <row r="404" spans="64:75" ht="20.100000000000001" customHeight="1" x14ac:dyDescent="0.25">
      <c r="BL404" s="62" t="str">
        <f t="shared" si="77"/>
        <v/>
      </c>
      <c r="BM404" s="63" t="str">
        <f t="shared" si="78"/>
        <v/>
      </c>
      <c r="BN404" s="68" t="str">
        <f t="shared" si="79"/>
        <v/>
      </c>
      <c r="BU404" s="51" t="e">
        <f t="shared" ref="BU404:BU467" si="80">BO404-BN404</f>
        <v>#VALUE!</v>
      </c>
      <c r="BV404" s="44" t="e">
        <f t="shared" ref="BV404:BV467" si="81">BO404/BN404-1</f>
        <v>#VALUE!</v>
      </c>
      <c r="BW404" s="61" t="e">
        <f t="shared" ref="BW404:BW467" si="82">-20*LOG10(BP404/100)</f>
        <v>#NUM!</v>
      </c>
    </row>
    <row r="405" spans="64:75" ht="20.100000000000001" customHeight="1" x14ac:dyDescent="0.25">
      <c r="BL405" s="62" t="str">
        <f t="shared" si="77"/>
        <v/>
      </c>
      <c r="BM405" s="63" t="str">
        <f t="shared" si="78"/>
        <v/>
      </c>
      <c r="BN405" s="68" t="str">
        <f t="shared" si="79"/>
        <v/>
      </c>
      <c r="BU405" s="51" t="e">
        <f t="shared" si="80"/>
        <v>#VALUE!</v>
      </c>
      <c r="BV405" s="44" t="e">
        <f t="shared" si="81"/>
        <v>#VALUE!</v>
      </c>
      <c r="BW405" s="61" t="e">
        <f t="shared" si="82"/>
        <v>#NUM!</v>
      </c>
    </row>
    <row r="406" spans="64:75" ht="20.100000000000001" customHeight="1" x14ac:dyDescent="0.25">
      <c r="BL406" s="62" t="str">
        <f t="shared" si="77"/>
        <v/>
      </c>
      <c r="BM406" s="63" t="str">
        <f t="shared" si="78"/>
        <v/>
      </c>
      <c r="BN406" s="68" t="str">
        <f t="shared" si="79"/>
        <v/>
      </c>
      <c r="BU406" s="51" t="e">
        <f t="shared" si="80"/>
        <v>#VALUE!</v>
      </c>
      <c r="BV406" s="44" t="e">
        <f t="shared" si="81"/>
        <v>#VALUE!</v>
      </c>
      <c r="BW406" s="61" t="e">
        <f t="shared" si="82"/>
        <v>#NUM!</v>
      </c>
    </row>
    <row r="407" spans="64:75" ht="20.100000000000001" customHeight="1" x14ac:dyDescent="0.25">
      <c r="BL407" s="62" t="str">
        <f t="shared" si="77"/>
        <v/>
      </c>
      <c r="BM407" s="63" t="str">
        <f t="shared" si="78"/>
        <v/>
      </c>
      <c r="BN407" s="68" t="str">
        <f t="shared" si="79"/>
        <v/>
      </c>
      <c r="BU407" s="51" t="e">
        <f t="shared" si="80"/>
        <v>#VALUE!</v>
      </c>
      <c r="BV407" s="44" t="e">
        <f t="shared" si="81"/>
        <v>#VALUE!</v>
      </c>
      <c r="BW407" s="61" t="e">
        <f t="shared" si="82"/>
        <v>#NUM!</v>
      </c>
    </row>
    <row r="408" spans="64:75" ht="20.100000000000001" customHeight="1" x14ac:dyDescent="0.25">
      <c r="BL408" s="62" t="str">
        <f t="shared" si="77"/>
        <v/>
      </c>
      <c r="BM408" s="63" t="str">
        <f t="shared" si="78"/>
        <v/>
      </c>
      <c r="BN408" s="68" t="str">
        <f t="shared" si="79"/>
        <v/>
      </c>
      <c r="BU408" s="51" t="e">
        <f t="shared" si="80"/>
        <v>#VALUE!</v>
      </c>
      <c r="BV408" s="44" t="e">
        <f t="shared" si="81"/>
        <v>#VALUE!</v>
      </c>
      <c r="BW408" s="61" t="e">
        <f t="shared" si="82"/>
        <v>#NUM!</v>
      </c>
    </row>
    <row r="409" spans="64:75" ht="20.100000000000001" customHeight="1" x14ac:dyDescent="0.25">
      <c r="BL409" s="62" t="str">
        <f t="shared" si="77"/>
        <v/>
      </c>
      <c r="BM409" s="63" t="str">
        <f t="shared" si="78"/>
        <v/>
      </c>
      <c r="BN409" s="68" t="str">
        <f t="shared" si="79"/>
        <v/>
      </c>
      <c r="BU409" s="51" t="e">
        <f t="shared" si="80"/>
        <v>#VALUE!</v>
      </c>
      <c r="BV409" s="44" t="e">
        <f t="shared" si="81"/>
        <v>#VALUE!</v>
      </c>
      <c r="BW409" s="61" t="e">
        <f t="shared" si="82"/>
        <v>#NUM!</v>
      </c>
    </row>
    <row r="410" spans="64:75" ht="20.100000000000001" customHeight="1" x14ac:dyDescent="0.25">
      <c r="BL410" s="62" t="str">
        <f t="shared" si="77"/>
        <v/>
      </c>
      <c r="BM410" s="63" t="str">
        <f t="shared" si="78"/>
        <v/>
      </c>
      <c r="BN410" s="68" t="str">
        <f t="shared" si="79"/>
        <v/>
      </c>
      <c r="BU410" s="51" t="e">
        <f t="shared" si="80"/>
        <v>#VALUE!</v>
      </c>
      <c r="BV410" s="44" t="e">
        <f t="shared" si="81"/>
        <v>#VALUE!</v>
      </c>
      <c r="BW410" s="61" t="e">
        <f t="shared" si="82"/>
        <v>#NUM!</v>
      </c>
    </row>
    <row r="411" spans="64:75" ht="20.100000000000001" customHeight="1" x14ac:dyDescent="0.25">
      <c r="BL411" s="62" t="str">
        <f t="shared" si="77"/>
        <v/>
      </c>
      <c r="BM411" s="63" t="str">
        <f t="shared" si="78"/>
        <v/>
      </c>
      <c r="BN411" s="68" t="str">
        <f t="shared" si="79"/>
        <v/>
      </c>
      <c r="BU411" s="51" t="e">
        <f t="shared" si="80"/>
        <v>#VALUE!</v>
      </c>
      <c r="BV411" s="44" t="e">
        <f t="shared" si="81"/>
        <v>#VALUE!</v>
      </c>
      <c r="BW411" s="61" t="e">
        <f t="shared" si="82"/>
        <v>#NUM!</v>
      </c>
    </row>
    <row r="412" spans="64:75" ht="20.100000000000001" customHeight="1" x14ac:dyDescent="0.25">
      <c r="BL412" s="62" t="str">
        <f t="shared" si="77"/>
        <v/>
      </c>
      <c r="BM412" s="63" t="str">
        <f t="shared" si="78"/>
        <v/>
      </c>
      <c r="BN412" s="68" t="str">
        <f t="shared" si="79"/>
        <v/>
      </c>
      <c r="BU412" s="51" t="e">
        <f t="shared" si="80"/>
        <v>#VALUE!</v>
      </c>
      <c r="BV412" s="44" t="e">
        <f t="shared" si="81"/>
        <v>#VALUE!</v>
      </c>
      <c r="BW412" s="61" t="e">
        <f t="shared" si="82"/>
        <v>#NUM!</v>
      </c>
    </row>
    <row r="413" spans="64:75" ht="20.100000000000001" customHeight="1" x14ac:dyDescent="0.25">
      <c r="BL413" s="62" t="str">
        <f t="shared" si="77"/>
        <v/>
      </c>
      <c r="BM413" s="63" t="str">
        <f t="shared" si="78"/>
        <v/>
      </c>
      <c r="BN413" s="68" t="str">
        <f t="shared" si="79"/>
        <v/>
      </c>
      <c r="BU413" s="51" t="e">
        <f t="shared" si="80"/>
        <v>#VALUE!</v>
      </c>
      <c r="BV413" s="44" t="e">
        <f t="shared" si="81"/>
        <v>#VALUE!</v>
      </c>
      <c r="BW413" s="61" t="e">
        <f t="shared" si="82"/>
        <v>#NUM!</v>
      </c>
    </row>
    <row r="414" spans="64:75" ht="20.100000000000001" customHeight="1" x14ac:dyDescent="0.25">
      <c r="BL414" s="62" t="str">
        <f t="shared" si="77"/>
        <v/>
      </c>
      <c r="BM414" s="63" t="str">
        <f t="shared" si="78"/>
        <v/>
      </c>
      <c r="BN414" s="68" t="str">
        <f t="shared" si="79"/>
        <v/>
      </c>
      <c r="BU414" s="51" t="e">
        <f t="shared" si="80"/>
        <v>#VALUE!</v>
      </c>
      <c r="BV414" s="44" t="e">
        <f t="shared" si="81"/>
        <v>#VALUE!</v>
      </c>
      <c r="BW414" s="61" t="e">
        <f t="shared" si="82"/>
        <v>#NUM!</v>
      </c>
    </row>
    <row r="415" spans="64:75" ht="20.100000000000001" customHeight="1" x14ac:dyDescent="0.25">
      <c r="BL415" s="62" t="str">
        <f t="shared" si="77"/>
        <v/>
      </c>
      <c r="BM415" s="63" t="str">
        <f t="shared" si="78"/>
        <v/>
      </c>
      <c r="BN415" s="68" t="str">
        <f t="shared" si="79"/>
        <v/>
      </c>
      <c r="BU415" s="51" t="e">
        <f t="shared" si="80"/>
        <v>#VALUE!</v>
      </c>
      <c r="BV415" s="44" t="e">
        <f t="shared" si="81"/>
        <v>#VALUE!</v>
      </c>
      <c r="BW415" s="61" t="e">
        <f t="shared" si="82"/>
        <v>#NUM!</v>
      </c>
    </row>
    <row r="416" spans="64:75" ht="20.100000000000001" customHeight="1" x14ac:dyDescent="0.25">
      <c r="BL416" s="62" t="str">
        <f t="shared" si="77"/>
        <v/>
      </c>
      <c r="BM416" s="63" t="str">
        <f t="shared" si="78"/>
        <v/>
      </c>
      <c r="BN416" s="68" t="str">
        <f t="shared" si="79"/>
        <v/>
      </c>
      <c r="BU416" s="51" t="e">
        <f t="shared" si="80"/>
        <v>#VALUE!</v>
      </c>
      <c r="BV416" s="44" t="e">
        <f t="shared" si="81"/>
        <v>#VALUE!</v>
      </c>
      <c r="BW416" s="61" t="e">
        <f t="shared" si="82"/>
        <v>#NUM!</v>
      </c>
    </row>
    <row r="417" spans="64:75" ht="20.100000000000001" customHeight="1" x14ac:dyDescent="0.25">
      <c r="BL417" s="62" t="str">
        <f t="shared" si="77"/>
        <v/>
      </c>
      <c r="BM417" s="63" t="str">
        <f t="shared" si="78"/>
        <v/>
      </c>
      <c r="BN417" s="68" t="str">
        <f t="shared" si="79"/>
        <v/>
      </c>
      <c r="BU417" s="51" t="e">
        <f t="shared" si="80"/>
        <v>#VALUE!</v>
      </c>
      <c r="BV417" s="44" t="e">
        <f t="shared" si="81"/>
        <v>#VALUE!</v>
      </c>
      <c r="BW417" s="61" t="e">
        <f t="shared" si="82"/>
        <v>#NUM!</v>
      </c>
    </row>
    <row r="418" spans="64:75" ht="20.100000000000001" customHeight="1" x14ac:dyDescent="0.25">
      <c r="BL418" s="62" t="str">
        <f t="shared" si="77"/>
        <v/>
      </c>
      <c r="BM418" s="63" t="str">
        <f t="shared" si="78"/>
        <v/>
      </c>
      <c r="BN418" s="68" t="str">
        <f t="shared" si="79"/>
        <v/>
      </c>
      <c r="BU418" s="51" t="e">
        <f t="shared" si="80"/>
        <v>#VALUE!</v>
      </c>
      <c r="BV418" s="44" t="e">
        <f t="shared" si="81"/>
        <v>#VALUE!</v>
      </c>
      <c r="BW418" s="61" t="e">
        <f t="shared" si="82"/>
        <v>#NUM!</v>
      </c>
    </row>
    <row r="419" spans="64:75" ht="20.100000000000001" customHeight="1" x14ac:dyDescent="0.25">
      <c r="BL419" s="62" t="str">
        <f t="shared" si="77"/>
        <v/>
      </c>
      <c r="BM419" s="63" t="str">
        <f t="shared" si="78"/>
        <v/>
      </c>
      <c r="BN419" s="68" t="str">
        <f t="shared" si="79"/>
        <v/>
      </c>
      <c r="BU419" s="51" t="e">
        <f t="shared" si="80"/>
        <v>#VALUE!</v>
      </c>
      <c r="BV419" s="44" t="e">
        <f t="shared" si="81"/>
        <v>#VALUE!</v>
      </c>
      <c r="BW419" s="61" t="e">
        <f t="shared" si="82"/>
        <v>#NUM!</v>
      </c>
    </row>
    <row r="420" spans="64:75" ht="20.100000000000001" customHeight="1" x14ac:dyDescent="0.25">
      <c r="BL420" s="62" t="str">
        <f t="shared" si="77"/>
        <v/>
      </c>
      <c r="BM420" s="63" t="str">
        <f t="shared" si="78"/>
        <v/>
      </c>
      <c r="BN420" s="68" t="str">
        <f t="shared" si="79"/>
        <v/>
      </c>
      <c r="BU420" s="51" t="e">
        <f t="shared" si="80"/>
        <v>#VALUE!</v>
      </c>
      <c r="BV420" s="44" t="e">
        <f t="shared" si="81"/>
        <v>#VALUE!</v>
      </c>
      <c r="BW420" s="61" t="e">
        <f t="shared" si="82"/>
        <v>#NUM!</v>
      </c>
    </row>
    <row r="421" spans="64:75" ht="20.100000000000001" customHeight="1" x14ac:dyDescent="0.25">
      <c r="BL421" s="62" t="str">
        <f t="shared" si="77"/>
        <v/>
      </c>
      <c r="BM421" s="63" t="str">
        <f t="shared" si="78"/>
        <v/>
      </c>
      <c r="BN421" s="68" t="str">
        <f t="shared" si="79"/>
        <v/>
      </c>
      <c r="BU421" s="51" t="e">
        <f t="shared" si="80"/>
        <v>#VALUE!</v>
      </c>
      <c r="BV421" s="44" t="e">
        <f t="shared" si="81"/>
        <v>#VALUE!</v>
      </c>
      <c r="BW421" s="61" t="e">
        <f t="shared" si="82"/>
        <v>#NUM!</v>
      </c>
    </row>
    <row r="422" spans="64:75" ht="20.100000000000001" customHeight="1" x14ac:dyDescent="0.25">
      <c r="BL422" s="62" t="str">
        <f t="shared" si="77"/>
        <v/>
      </c>
      <c r="BM422" s="63" t="str">
        <f t="shared" si="78"/>
        <v/>
      </c>
      <c r="BN422" s="68" t="str">
        <f t="shared" si="79"/>
        <v/>
      </c>
      <c r="BU422" s="51" t="e">
        <f t="shared" si="80"/>
        <v>#VALUE!</v>
      </c>
      <c r="BV422" s="44" t="e">
        <f t="shared" si="81"/>
        <v>#VALUE!</v>
      </c>
      <c r="BW422" s="61" t="e">
        <f t="shared" si="82"/>
        <v>#NUM!</v>
      </c>
    </row>
    <row r="423" spans="64:75" ht="20.100000000000001" customHeight="1" x14ac:dyDescent="0.25">
      <c r="BL423" s="62" t="str">
        <f t="shared" si="77"/>
        <v/>
      </c>
      <c r="BM423" s="63" t="str">
        <f t="shared" si="78"/>
        <v/>
      </c>
      <c r="BN423" s="68" t="str">
        <f t="shared" si="79"/>
        <v/>
      </c>
      <c r="BU423" s="51" t="e">
        <f t="shared" si="80"/>
        <v>#VALUE!</v>
      </c>
      <c r="BV423" s="44" t="e">
        <f t="shared" si="81"/>
        <v>#VALUE!</v>
      </c>
      <c r="BW423" s="61" t="e">
        <f t="shared" si="82"/>
        <v>#NUM!</v>
      </c>
    </row>
    <row r="424" spans="64:75" ht="20.100000000000001" customHeight="1" x14ac:dyDescent="0.25">
      <c r="BL424" s="62" t="str">
        <f t="shared" si="77"/>
        <v/>
      </c>
      <c r="BM424" s="63" t="str">
        <f t="shared" si="78"/>
        <v/>
      </c>
      <c r="BN424" s="68" t="str">
        <f t="shared" si="79"/>
        <v/>
      </c>
      <c r="BU424" s="51" t="e">
        <f t="shared" si="80"/>
        <v>#VALUE!</v>
      </c>
      <c r="BV424" s="44" t="e">
        <f t="shared" si="81"/>
        <v>#VALUE!</v>
      </c>
      <c r="BW424" s="61" t="e">
        <f t="shared" si="82"/>
        <v>#NUM!</v>
      </c>
    </row>
    <row r="425" spans="64:75" ht="20.100000000000001" customHeight="1" x14ac:dyDescent="0.25">
      <c r="BL425" s="62" t="str">
        <f t="shared" si="77"/>
        <v/>
      </c>
      <c r="BM425" s="63" t="str">
        <f t="shared" si="78"/>
        <v/>
      </c>
      <c r="BN425" s="68" t="str">
        <f t="shared" si="79"/>
        <v/>
      </c>
      <c r="BU425" s="51" t="e">
        <f t="shared" si="80"/>
        <v>#VALUE!</v>
      </c>
      <c r="BV425" s="44" t="e">
        <f t="shared" si="81"/>
        <v>#VALUE!</v>
      </c>
      <c r="BW425" s="61" t="e">
        <f t="shared" si="82"/>
        <v>#NUM!</v>
      </c>
    </row>
    <row r="426" spans="64:75" ht="20.100000000000001" customHeight="1" x14ac:dyDescent="0.25">
      <c r="BL426" s="62" t="str">
        <f t="shared" si="77"/>
        <v/>
      </c>
      <c r="BM426" s="63" t="str">
        <f t="shared" si="78"/>
        <v/>
      </c>
      <c r="BN426" s="68" t="str">
        <f t="shared" si="79"/>
        <v/>
      </c>
      <c r="BU426" s="51" t="e">
        <f t="shared" si="80"/>
        <v>#VALUE!</v>
      </c>
      <c r="BV426" s="44" t="e">
        <f t="shared" si="81"/>
        <v>#VALUE!</v>
      </c>
      <c r="BW426" s="61" t="e">
        <f t="shared" si="82"/>
        <v>#NUM!</v>
      </c>
    </row>
    <row r="427" spans="64:75" ht="20.100000000000001" customHeight="1" x14ac:dyDescent="0.25">
      <c r="BL427" s="62" t="str">
        <f t="shared" si="77"/>
        <v/>
      </c>
      <c r="BM427" s="63" t="str">
        <f t="shared" si="78"/>
        <v/>
      </c>
      <c r="BN427" s="68" t="str">
        <f t="shared" si="79"/>
        <v/>
      </c>
      <c r="BU427" s="51" t="e">
        <f t="shared" si="80"/>
        <v>#VALUE!</v>
      </c>
      <c r="BV427" s="44" t="e">
        <f t="shared" si="81"/>
        <v>#VALUE!</v>
      </c>
      <c r="BW427" s="61" t="e">
        <f t="shared" si="82"/>
        <v>#NUM!</v>
      </c>
    </row>
    <row r="428" spans="64:75" ht="20.100000000000001" customHeight="1" x14ac:dyDescent="0.25">
      <c r="BL428" s="62" t="str">
        <f t="shared" si="77"/>
        <v/>
      </c>
      <c r="BM428" s="63" t="str">
        <f t="shared" si="78"/>
        <v/>
      </c>
      <c r="BN428" s="68" t="str">
        <f t="shared" si="79"/>
        <v/>
      </c>
      <c r="BU428" s="51" t="e">
        <f t="shared" si="80"/>
        <v>#VALUE!</v>
      </c>
      <c r="BV428" s="44" t="e">
        <f t="shared" si="81"/>
        <v>#VALUE!</v>
      </c>
      <c r="BW428" s="61" t="e">
        <f t="shared" si="82"/>
        <v>#NUM!</v>
      </c>
    </row>
    <row r="429" spans="64:75" ht="20.100000000000001" customHeight="1" x14ac:dyDescent="0.25">
      <c r="BL429" s="62" t="str">
        <f t="shared" si="77"/>
        <v/>
      </c>
      <c r="BM429" s="63" t="str">
        <f t="shared" si="78"/>
        <v/>
      </c>
      <c r="BN429" s="68" t="str">
        <f t="shared" si="79"/>
        <v/>
      </c>
      <c r="BU429" s="51" t="e">
        <f t="shared" si="80"/>
        <v>#VALUE!</v>
      </c>
      <c r="BV429" s="44" t="e">
        <f t="shared" si="81"/>
        <v>#VALUE!</v>
      </c>
      <c r="BW429" s="61" t="e">
        <f t="shared" si="82"/>
        <v>#NUM!</v>
      </c>
    </row>
    <row r="430" spans="64:75" ht="20.100000000000001" customHeight="1" x14ac:dyDescent="0.25">
      <c r="BL430" s="62" t="str">
        <f t="shared" si="77"/>
        <v/>
      </c>
      <c r="BM430" s="63" t="str">
        <f t="shared" si="78"/>
        <v/>
      </c>
      <c r="BN430" s="68" t="str">
        <f t="shared" si="79"/>
        <v/>
      </c>
      <c r="BU430" s="51" t="e">
        <f t="shared" si="80"/>
        <v>#VALUE!</v>
      </c>
      <c r="BV430" s="44" t="e">
        <f t="shared" si="81"/>
        <v>#VALUE!</v>
      </c>
      <c r="BW430" s="61" t="e">
        <f t="shared" si="82"/>
        <v>#NUM!</v>
      </c>
    </row>
    <row r="431" spans="64:75" ht="20.100000000000001" customHeight="1" x14ac:dyDescent="0.25">
      <c r="BL431" s="62" t="str">
        <f t="shared" si="77"/>
        <v/>
      </c>
      <c r="BM431" s="63" t="str">
        <f t="shared" si="78"/>
        <v/>
      </c>
      <c r="BN431" s="68" t="str">
        <f t="shared" si="79"/>
        <v/>
      </c>
      <c r="BU431" s="51" t="e">
        <f t="shared" si="80"/>
        <v>#VALUE!</v>
      </c>
      <c r="BV431" s="44" t="e">
        <f t="shared" si="81"/>
        <v>#VALUE!</v>
      </c>
      <c r="BW431" s="61" t="e">
        <f t="shared" si="82"/>
        <v>#NUM!</v>
      </c>
    </row>
    <row r="432" spans="64:75" ht="20.100000000000001" customHeight="1" x14ac:dyDescent="0.25">
      <c r="BL432" s="62" t="str">
        <f t="shared" si="77"/>
        <v/>
      </c>
      <c r="BM432" s="63" t="str">
        <f t="shared" si="78"/>
        <v/>
      </c>
      <c r="BN432" s="68" t="str">
        <f t="shared" si="79"/>
        <v/>
      </c>
      <c r="BU432" s="51" t="e">
        <f t="shared" si="80"/>
        <v>#VALUE!</v>
      </c>
      <c r="BV432" s="44" t="e">
        <f t="shared" si="81"/>
        <v>#VALUE!</v>
      </c>
      <c r="BW432" s="61" t="e">
        <f t="shared" si="82"/>
        <v>#NUM!</v>
      </c>
    </row>
    <row r="433" spans="64:75" ht="20.100000000000001" customHeight="1" x14ac:dyDescent="0.25">
      <c r="BL433" s="62" t="str">
        <f t="shared" si="77"/>
        <v/>
      </c>
      <c r="BM433" s="63" t="str">
        <f t="shared" si="78"/>
        <v/>
      </c>
      <c r="BN433" s="68" t="str">
        <f t="shared" si="79"/>
        <v/>
      </c>
      <c r="BU433" s="51" t="e">
        <f t="shared" si="80"/>
        <v>#VALUE!</v>
      </c>
      <c r="BV433" s="44" t="e">
        <f t="shared" si="81"/>
        <v>#VALUE!</v>
      </c>
      <c r="BW433" s="61" t="e">
        <f t="shared" si="82"/>
        <v>#NUM!</v>
      </c>
    </row>
    <row r="434" spans="64:75" ht="20.100000000000001" customHeight="1" x14ac:dyDescent="0.25">
      <c r="BL434" s="62" t="str">
        <f t="shared" si="77"/>
        <v/>
      </c>
      <c r="BM434" s="63" t="str">
        <f t="shared" si="78"/>
        <v/>
      </c>
      <c r="BN434" s="68" t="str">
        <f t="shared" si="79"/>
        <v/>
      </c>
      <c r="BU434" s="51" t="e">
        <f t="shared" si="80"/>
        <v>#VALUE!</v>
      </c>
      <c r="BV434" s="44" t="e">
        <f t="shared" si="81"/>
        <v>#VALUE!</v>
      </c>
      <c r="BW434" s="61" t="e">
        <f t="shared" si="82"/>
        <v>#NUM!</v>
      </c>
    </row>
    <row r="435" spans="64:75" ht="20.100000000000001" customHeight="1" x14ac:dyDescent="0.25">
      <c r="BL435" s="62" t="str">
        <f t="shared" si="77"/>
        <v/>
      </c>
      <c r="BM435" s="63" t="str">
        <f t="shared" si="78"/>
        <v/>
      </c>
      <c r="BN435" s="68" t="str">
        <f t="shared" si="79"/>
        <v/>
      </c>
      <c r="BU435" s="51" t="e">
        <f t="shared" si="80"/>
        <v>#VALUE!</v>
      </c>
      <c r="BV435" s="44" t="e">
        <f t="shared" si="81"/>
        <v>#VALUE!</v>
      </c>
      <c r="BW435" s="61" t="e">
        <f t="shared" si="82"/>
        <v>#NUM!</v>
      </c>
    </row>
    <row r="436" spans="64:75" ht="20.100000000000001" customHeight="1" x14ac:dyDescent="0.25">
      <c r="BL436" s="62" t="str">
        <f t="shared" si="77"/>
        <v/>
      </c>
      <c r="BM436" s="63" t="str">
        <f t="shared" si="78"/>
        <v/>
      </c>
      <c r="BN436" s="68" t="str">
        <f t="shared" si="79"/>
        <v/>
      </c>
      <c r="BU436" s="51" t="e">
        <f t="shared" si="80"/>
        <v>#VALUE!</v>
      </c>
      <c r="BV436" s="44" t="e">
        <f t="shared" si="81"/>
        <v>#VALUE!</v>
      </c>
      <c r="BW436" s="61" t="e">
        <f t="shared" si="82"/>
        <v>#NUM!</v>
      </c>
    </row>
    <row r="437" spans="64:75" ht="20.100000000000001" customHeight="1" x14ac:dyDescent="0.25">
      <c r="BL437" s="62" t="str">
        <f t="shared" si="77"/>
        <v/>
      </c>
      <c r="BM437" s="63" t="str">
        <f t="shared" si="78"/>
        <v/>
      </c>
      <c r="BN437" s="68" t="str">
        <f t="shared" si="79"/>
        <v/>
      </c>
      <c r="BU437" s="51" t="e">
        <f t="shared" si="80"/>
        <v>#VALUE!</v>
      </c>
      <c r="BV437" s="44" t="e">
        <f t="shared" si="81"/>
        <v>#VALUE!</v>
      </c>
      <c r="BW437" s="61" t="e">
        <f t="shared" si="82"/>
        <v>#NUM!</v>
      </c>
    </row>
    <row r="438" spans="64:75" ht="20.100000000000001" customHeight="1" x14ac:dyDescent="0.25">
      <c r="BL438" s="62" t="str">
        <f t="shared" si="77"/>
        <v/>
      </c>
      <c r="BM438" s="63" t="str">
        <f t="shared" si="78"/>
        <v/>
      </c>
      <c r="BN438" s="68" t="str">
        <f t="shared" si="79"/>
        <v/>
      </c>
      <c r="BU438" s="51" t="e">
        <f t="shared" si="80"/>
        <v>#VALUE!</v>
      </c>
      <c r="BV438" s="44" t="e">
        <f t="shared" si="81"/>
        <v>#VALUE!</v>
      </c>
      <c r="BW438" s="61" t="e">
        <f t="shared" si="82"/>
        <v>#NUM!</v>
      </c>
    </row>
    <row r="439" spans="64:75" ht="20.100000000000001" customHeight="1" x14ac:dyDescent="0.25">
      <c r="BL439" s="62" t="str">
        <f t="shared" si="77"/>
        <v/>
      </c>
      <c r="BM439" s="63" t="str">
        <f t="shared" si="78"/>
        <v/>
      </c>
      <c r="BN439" s="68" t="str">
        <f t="shared" si="79"/>
        <v/>
      </c>
      <c r="BU439" s="51" t="e">
        <f t="shared" si="80"/>
        <v>#VALUE!</v>
      </c>
      <c r="BV439" s="44" t="e">
        <f t="shared" si="81"/>
        <v>#VALUE!</v>
      </c>
      <c r="BW439" s="61" t="e">
        <f t="shared" si="82"/>
        <v>#NUM!</v>
      </c>
    </row>
    <row r="440" spans="64:75" ht="20.100000000000001" customHeight="1" x14ac:dyDescent="0.25">
      <c r="BL440" s="62" t="str">
        <f t="shared" si="77"/>
        <v/>
      </c>
      <c r="BM440" s="63" t="str">
        <f t="shared" si="78"/>
        <v/>
      </c>
      <c r="BN440" s="68" t="str">
        <f t="shared" si="79"/>
        <v/>
      </c>
      <c r="BU440" s="51" t="e">
        <f t="shared" si="80"/>
        <v>#VALUE!</v>
      </c>
      <c r="BV440" s="44" t="e">
        <f t="shared" si="81"/>
        <v>#VALUE!</v>
      </c>
      <c r="BW440" s="61" t="e">
        <f t="shared" si="82"/>
        <v>#NUM!</v>
      </c>
    </row>
    <row r="441" spans="64:75" ht="20.100000000000001" customHeight="1" x14ac:dyDescent="0.25">
      <c r="BL441" s="62" t="str">
        <f t="shared" si="77"/>
        <v/>
      </c>
      <c r="BM441" s="63" t="str">
        <f t="shared" si="78"/>
        <v/>
      </c>
      <c r="BN441" s="68" t="str">
        <f t="shared" si="79"/>
        <v/>
      </c>
      <c r="BU441" s="51" t="e">
        <f t="shared" si="80"/>
        <v>#VALUE!</v>
      </c>
      <c r="BV441" s="44" t="e">
        <f t="shared" si="81"/>
        <v>#VALUE!</v>
      </c>
      <c r="BW441" s="61" t="e">
        <f t="shared" si="82"/>
        <v>#NUM!</v>
      </c>
    </row>
    <row r="442" spans="64:75" ht="20.100000000000001" customHeight="1" x14ac:dyDescent="0.25">
      <c r="BL442" s="62" t="str">
        <f t="shared" si="77"/>
        <v/>
      </c>
      <c r="BM442" s="63" t="str">
        <f t="shared" si="78"/>
        <v/>
      </c>
      <c r="BN442" s="68" t="str">
        <f t="shared" si="79"/>
        <v/>
      </c>
      <c r="BU442" s="51" t="e">
        <f t="shared" si="80"/>
        <v>#VALUE!</v>
      </c>
      <c r="BV442" s="44" t="e">
        <f t="shared" si="81"/>
        <v>#VALUE!</v>
      </c>
      <c r="BW442" s="61" t="e">
        <f t="shared" si="82"/>
        <v>#NUM!</v>
      </c>
    </row>
    <row r="443" spans="64:75" ht="20.100000000000001" customHeight="1" x14ac:dyDescent="0.25">
      <c r="BL443" s="62" t="str">
        <f t="shared" si="77"/>
        <v/>
      </c>
      <c r="BM443" s="63" t="str">
        <f t="shared" si="78"/>
        <v/>
      </c>
      <c r="BN443" s="68" t="str">
        <f t="shared" si="79"/>
        <v/>
      </c>
      <c r="BU443" s="51" t="e">
        <f t="shared" si="80"/>
        <v>#VALUE!</v>
      </c>
      <c r="BV443" s="44" t="e">
        <f t="shared" si="81"/>
        <v>#VALUE!</v>
      </c>
      <c r="BW443" s="61" t="e">
        <f t="shared" si="82"/>
        <v>#NUM!</v>
      </c>
    </row>
    <row r="444" spans="64:75" ht="20.100000000000001" customHeight="1" x14ac:dyDescent="0.25">
      <c r="BL444" s="62" t="str">
        <f t="shared" si="77"/>
        <v/>
      </c>
      <c r="BM444" s="63" t="str">
        <f t="shared" si="78"/>
        <v/>
      </c>
      <c r="BN444" s="68" t="str">
        <f t="shared" si="79"/>
        <v/>
      </c>
      <c r="BU444" s="51" t="e">
        <f t="shared" si="80"/>
        <v>#VALUE!</v>
      </c>
      <c r="BV444" s="44" t="e">
        <f t="shared" si="81"/>
        <v>#VALUE!</v>
      </c>
      <c r="BW444" s="61" t="e">
        <f t="shared" si="82"/>
        <v>#NUM!</v>
      </c>
    </row>
    <row r="445" spans="64:75" ht="20.100000000000001" customHeight="1" x14ac:dyDescent="0.25">
      <c r="BL445" s="62" t="str">
        <f t="shared" si="77"/>
        <v/>
      </c>
      <c r="BM445" s="63" t="str">
        <f t="shared" si="78"/>
        <v/>
      </c>
      <c r="BN445" s="68" t="str">
        <f t="shared" si="79"/>
        <v/>
      </c>
      <c r="BU445" s="51" t="e">
        <f t="shared" si="80"/>
        <v>#VALUE!</v>
      </c>
      <c r="BV445" s="44" t="e">
        <f t="shared" si="81"/>
        <v>#VALUE!</v>
      </c>
      <c r="BW445" s="61" t="e">
        <f t="shared" si="82"/>
        <v>#NUM!</v>
      </c>
    </row>
    <row r="446" spans="64:75" ht="20.100000000000001" customHeight="1" x14ac:dyDescent="0.25">
      <c r="BL446" s="62" t="str">
        <f t="shared" si="77"/>
        <v/>
      </c>
      <c r="BM446" s="63" t="str">
        <f t="shared" si="78"/>
        <v/>
      </c>
      <c r="BN446" s="68" t="str">
        <f t="shared" si="79"/>
        <v/>
      </c>
      <c r="BU446" s="51" t="e">
        <f t="shared" si="80"/>
        <v>#VALUE!</v>
      </c>
      <c r="BV446" s="44" t="e">
        <f t="shared" si="81"/>
        <v>#VALUE!</v>
      </c>
      <c r="BW446" s="61" t="e">
        <f t="shared" si="82"/>
        <v>#NUM!</v>
      </c>
    </row>
    <row r="447" spans="64:75" ht="20.100000000000001" customHeight="1" x14ac:dyDescent="0.25">
      <c r="BL447" s="62" t="str">
        <f t="shared" si="77"/>
        <v/>
      </c>
      <c r="BM447" s="63" t="str">
        <f t="shared" si="78"/>
        <v/>
      </c>
      <c r="BN447" s="68" t="str">
        <f t="shared" si="79"/>
        <v/>
      </c>
      <c r="BU447" s="51" t="e">
        <f t="shared" si="80"/>
        <v>#VALUE!</v>
      </c>
      <c r="BV447" s="44" t="e">
        <f t="shared" si="81"/>
        <v>#VALUE!</v>
      </c>
      <c r="BW447" s="61" t="e">
        <f t="shared" si="82"/>
        <v>#NUM!</v>
      </c>
    </row>
    <row r="448" spans="64:75" ht="20.100000000000001" customHeight="1" x14ac:dyDescent="0.25">
      <c r="BL448" s="62" t="str">
        <f t="shared" si="77"/>
        <v/>
      </c>
      <c r="BM448" s="63" t="str">
        <f t="shared" si="78"/>
        <v/>
      </c>
      <c r="BN448" s="68" t="str">
        <f t="shared" si="79"/>
        <v/>
      </c>
      <c r="BU448" s="51" t="e">
        <f t="shared" si="80"/>
        <v>#VALUE!</v>
      </c>
      <c r="BV448" s="44" t="e">
        <f t="shared" si="81"/>
        <v>#VALUE!</v>
      </c>
      <c r="BW448" s="61" t="e">
        <f t="shared" si="82"/>
        <v>#NUM!</v>
      </c>
    </row>
    <row r="449" spans="64:75" ht="20.100000000000001" customHeight="1" x14ac:dyDescent="0.25">
      <c r="BL449" s="62" t="str">
        <f t="shared" si="77"/>
        <v/>
      </c>
      <c r="BM449" s="63" t="str">
        <f t="shared" si="78"/>
        <v/>
      </c>
      <c r="BN449" s="68" t="str">
        <f t="shared" si="79"/>
        <v/>
      </c>
      <c r="BU449" s="51" t="e">
        <f t="shared" si="80"/>
        <v>#VALUE!</v>
      </c>
      <c r="BV449" s="44" t="e">
        <f t="shared" si="81"/>
        <v>#VALUE!</v>
      </c>
      <c r="BW449" s="61" t="e">
        <f t="shared" si="82"/>
        <v>#NUM!</v>
      </c>
    </row>
    <row r="450" spans="64:75" ht="20.100000000000001" customHeight="1" x14ac:dyDescent="0.25">
      <c r="BL450" s="62" t="str">
        <f t="shared" si="77"/>
        <v/>
      </c>
      <c r="BM450" s="63" t="str">
        <f t="shared" si="78"/>
        <v/>
      </c>
      <c r="BN450" s="68" t="str">
        <f t="shared" si="79"/>
        <v/>
      </c>
      <c r="BU450" s="51" t="e">
        <f t="shared" si="80"/>
        <v>#VALUE!</v>
      </c>
      <c r="BV450" s="44" t="e">
        <f t="shared" si="81"/>
        <v>#VALUE!</v>
      </c>
      <c r="BW450" s="61" t="e">
        <f t="shared" si="82"/>
        <v>#NUM!</v>
      </c>
    </row>
    <row r="451" spans="64:75" ht="20.100000000000001" customHeight="1" x14ac:dyDescent="0.25">
      <c r="BL451" s="62" t="str">
        <f t="shared" si="77"/>
        <v/>
      </c>
      <c r="BM451" s="63" t="str">
        <f t="shared" si="78"/>
        <v/>
      </c>
      <c r="BN451" s="68" t="str">
        <f t="shared" si="79"/>
        <v/>
      </c>
      <c r="BU451" s="51" t="e">
        <f t="shared" si="80"/>
        <v>#VALUE!</v>
      </c>
      <c r="BV451" s="44" t="e">
        <f t="shared" si="81"/>
        <v>#VALUE!</v>
      </c>
      <c r="BW451" s="61" t="e">
        <f t="shared" si="82"/>
        <v>#NUM!</v>
      </c>
    </row>
    <row r="452" spans="64:75" ht="20.100000000000001" customHeight="1" x14ac:dyDescent="0.25">
      <c r="BL452" s="62" t="str">
        <f t="shared" si="77"/>
        <v/>
      </c>
      <c r="BM452" s="63" t="str">
        <f t="shared" si="78"/>
        <v/>
      </c>
      <c r="BN452" s="68" t="str">
        <f t="shared" si="79"/>
        <v/>
      </c>
      <c r="BU452" s="51" t="e">
        <f t="shared" si="80"/>
        <v>#VALUE!</v>
      </c>
      <c r="BV452" s="44" t="e">
        <f t="shared" si="81"/>
        <v>#VALUE!</v>
      </c>
      <c r="BW452" s="61" t="e">
        <f t="shared" si="82"/>
        <v>#NUM!</v>
      </c>
    </row>
    <row r="453" spans="64:75" ht="20.100000000000001" customHeight="1" x14ac:dyDescent="0.25">
      <c r="BL453" s="62" t="str">
        <f t="shared" si="77"/>
        <v/>
      </c>
      <c r="BM453" s="63" t="str">
        <f t="shared" si="78"/>
        <v/>
      </c>
      <c r="BN453" s="68" t="str">
        <f t="shared" si="79"/>
        <v/>
      </c>
      <c r="BU453" s="51" t="e">
        <f t="shared" si="80"/>
        <v>#VALUE!</v>
      </c>
      <c r="BV453" s="44" t="e">
        <f t="shared" si="81"/>
        <v>#VALUE!</v>
      </c>
      <c r="BW453" s="61" t="e">
        <f t="shared" si="82"/>
        <v>#NUM!</v>
      </c>
    </row>
    <row r="454" spans="64:75" ht="20.100000000000001" customHeight="1" x14ac:dyDescent="0.25">
      <c r="BL454" s="62" t="str">
        <f t="shared" si="77"/>
        <v/>
      </c>
      <c r="BM454" s="63" t="str">
        <f t="shared" si="78"/>
        <v/>
      </c>
      <c r="BN454" s="68" t="str">
        <f t="shared" si="79"/>
        <v/>
      </c>
      <c r="BU454" s="51" t="e">
        <f t="shared" si="80"/>
        <v>#VALUE!</v>
      </c>
      <c r="BV454" s="44" t="e">
        <f t="shared" si="81"/>
        <v>#VALUE!</v>
      </c>
      <c r="BW454" s="61" t="e">
        <f t="shared" si="82"/>
        <v>#NUM!</v>
      </c>
    </row>
    <row r="455" spans="64:75" ht="20.100000000000001" customHeight="1" x14ac:dyDescent="0.25">
      <c r="BL455" s="62" t="str">
        <f t="shared" si="77"/>
        <v/>
      </c>
      <c r="BM455" s="63" t="str">
        <f t="shared" si="78"/>
        <v/>
      </c>
      <c r="BN455" s="68" t="str">
        <f t="shared" si="79"/>
        <v/>
      </c>
      <c r="BU455" s="51" t="e">
        <f t="shared" si="80"/>
        <v>#VALUE!</v>
      </c>
      <c r="BV455" s="44" t="e">
        <f t="shared" si="81"/>
        <v>#VALUE!</v>
      </c>
      <c r="BW455" s="61" t="e">
        <f t="shared" si="82"/>
        <v>#NUM!</v>
      </c>
    </row>
    <row r="456" spans="64:75" ht="20.100000000000001" customHeight="1" x14ac:dyDescent="0.25">
      <c r="BL456" s="62" t="str">
        <f t="shared" si="77"/>
        <v/>
      </c>
      <c r="BM456" s="63" t="str">
        <f t="shared" si="78"/>
        <v/>
      </c>
      <c r="BN456" s="68" t="str">
        <f t="shared" si="79"/>
        <v/>
      </c>
      <c r="BU456" s="51" t="e">
        <f t="shared" si="80"/>
        <v>#VALUE!</v>
      </c>
      <c r="BV456" s="44" t="e">
        <f t="shared" si="81"/>
        <v>#VALUE!</v>
      </c>
      <c r="BW456" s="61" t="e">
        <f t="shared" si="82"/>
        <v>#NUM!</v>
      </c>
    </row>
    <row r="457" spans="64:75" ht="20.100000000000001" customHeight="1" x14ac:dyDescent="0.25">
      <c r="BL457" s="62" t="str">
        <f t="shared" si="77"/>
        <v/>
      </c>
      <c r="BM457" s="63" t="str">
        <f t="shared" si="78"/>
        <v/>
      </c>
      <c r="BN457" s="68" t="str">
        <f t="shared" si="79"/>
        <v/>
      </c>
      <c r="BU457" s="51" t="e">
        <f t="shared" si="80"/>
        <v>#VALUE!</v>
      </c>
      <c r="BV457" s="44" t="e">
        <f t="shared" si="81"/>
        <v>#VALUE!</v>
      </c>
      <c r="BW457" s="61" t="e">
        <f t="shared" si="82"/>
        <v>#NUM!</v>
      </c>
    </row>
    <row r="458" spans="64:75" ht="20.100000000000001" customHeight="1" x14ac:dyDescent="0.25">
      <c r="BL458" s="62" t="str">
        <f t="shared" si="77"/>
        <v/>
      </c>
      <c r="BM458" s="63" t="str">
        <f t="shared" si="78"/>
        <v/>
      </c>
      <c r="BN458" s="68" t="str">
        <f t="shared" si="79"/>
        <v/>
      </c>
      <c r="BU458" s="51" t="e">
        <f t="shared" si="80"/>
        <v>#VALUE!</v>
      </c>
      <c r="BV458" s="44" t="e">
        <f t="shared" si="81"/>
        <v>#VALUE!</v>
      </c>
      <c r="BW458" s="61" t="e">
        <f t="shared" si="82"/>
        <v>#NUM!</v>
      </c>
    </row>
    <row r="459" spans="64:75" ht="20.100000000000001" customHeight="1" x14ac:dyDescent="0.25">
      <c r="BL459" s="62" t="str">
        <f t="shared" si="77"/>
        <v/>
      </c>
      <c r="BM459" s="63" t="str">
        <f t="shared" si="78"/>
        <v/>
      </c>
      <c r="BN459" s="68" t="str">
        <f t="shared" si="79"/>
        <v/>
      </c>
      <c r="BU459" s="51" t="e">
        <f t="shared" si="80"/>
        <v>#VALUE!</v>
      </c>
      <c r="BV459" s="44" t="e">
        <f t="shared" si="81"/>
        <v>#VALUE!</v>
      </c>
      <c r="BW459" s="61" t="e">
        <f t="shared" si="82"/>
        <v>#NUM!</v>
      </c>
    </row>
    <row r="460" spans="64:75" ht="20.100000000000001" customHeight="1" x14ac:dyDescent="0.25">
      <c r="BL460" s="62" t="str">
        <f t="shared" ref="BL460:BL523" si="83">IF(AND(BL459&gt;BM$6,BL459&lt;&gt;""),BL459-1,"")</f>
        <v/>
      </c>
      <c r="BM460" s="63" t="str">
        <f t="shared" ref="BM460:BM523" si="84">IF(BL460&lt;&gt;"",MAX(BL460,ROUND(BM$6*BM$9^BL460,0)),"")</f>
        <v/>
      </c>
      <c r="BN460" s="68" t="str">
        <f t="shared" ref="BN460:BN523" si="85">IF(BM460&lt;&gt;"",O$12/M$12*BM460,"")</f>
        <v/>
      </c>
      <c r="BU460" s="51" t="e">
        <f t="shared" si="80"/>
        <v>#VALUE!</v>
      </c>
      <c r="BV460" s="44" t="e">
        <f t="shared" si="81"/>
        <v>#VALUE!</v>
      </c>
      <c r="BW460" s="61" t="e">
        <f t="shared" si="82"/>
        <v>#NUM!</v>
      </c>
    </row>
    <row r="461" spans="64:75" ht="20.100000000000001" customHeight="1" x14ac:dyDescent="0.25">
      <c r="BL461" s="62" t="str">
        <f t="shared" si="83"/>
        <v/>
      </c>
      <c r="BM461" s="63" t="str">
        <f t="shared" si="84"/>
        <v/>
      </c>
      <c r="BN461" s="68" t="str">
        <f t="shared" si="85"/>
        <v/>
      </c>
      <c r="BU461" s="51" t="e">
        <f t="shared" si="80"/>
        <v>#VALUE!</v>
      </c>
      <c r="BV461" s="44" t="e">
        <f t="shared" si="81"/>
        <v>#VALUE!</v>
      </c>
      <c r="BW461" s="61" t="e">
        <f t="shared" si="82"/>
        <v>#NUM!</v>
      </c>
    </row>
    <row r="462" spans="64:75" ht="20.100000000000001" customHeight="1" x14ac:dyDescent="0.25">
      <c r="BL462" s="62" t="str">
        <f t="shared" si="83"/>
        <v/>
      </c>
      <c r="BM462" s="63" t="str">
        <f t="shared" si="84"/>
        <v/>
      </c>
      <c r="BN462" s="68" t="str">
        <f t="shared" si="85"/>
        <v/>
      </c>
      <c r="BU462" s="51" t="e">
        <f t="shared" si="80"/>
        <v>#VALUE!</v>
      </c>
      <c r="BV462" s="44" t="e">
        <f t="shared" si="81"/>
        <v>#VALUE!</v>
      </c>
      <c r="BW462" s="61" t="e">
        <f t="shared" si="82"/>
        <v>#NUM!</v>
      </c>
    </row>
    <row r="463" spans="64:75" ht="20.100000000000001" customHeight="1" x14ac:dyDescent="0.25">
      <c r="BL463" s="62" t="str">
        <f t="shared" si="83"/>
        <v/>
      </c>
      <c r="BM463" s="63" t="str">
        <f t="shared" si="84"/>
        <v/>
      </c>
      <c r="BN463" s="68" t="str">
        <f t="shared" si="85"/>
        <v/>
      </c>
      <c r="BU463" s="51" t="e">
        <f t="shared" si="80"/>
        <v>#VALUE!</v>
      </c>
      <c r="BV463" s="44" t="e">
        <f t="shared" si="81"/>
        <v>#VALUE!</v>
      </c>
      <c r="BW463" s="61" t="e">
        <f t="shared" si="82"/>
        <v>#NUM!</v>
      </c>
    </row>
    <row r="464" spans="64:75" ht="20.100000000000001" customHeight="1" x14ac:dyDescent="0.25">
      <c r="BL464" s="62" t="str">
        <f t="shared" si="83"/>
        <v/>
      </c>
      <c r="BM464" s="63" t="str">
        <f t="shared" si="84"/>
        <v/>
      </c>
      <c r="BN464" s="68" t="str">
        <f t="shared" si="85"/>
        <v/>
      </c>
      <c r="BU464" s="51" t="e">
        <f t="shared" si="80"/>
        <v>#VALUE!</v>
      </c>
      <c r="BV464" s="44" t="e">
        <f t="shared" si="81"/>
        <v>#VALUE!</v>
      </c>
      <c r="BW464" s="61" t="e">
        <f t="shared" si="82"/>
        <v>#NUM!</v>
      </c>
    </row>
    <row r="465" spans="64:75" ht="20.100000000000001" customHeight="1" x14ac:dyDescent="0.25">
      <c r="BL465" s="62" t="str">
        <f t="shared" si="83"/>
        <v/>
      </c>
      <c r="BM465" s="63" t="str">
        <f t="shared" si="84"/>
        <v/>
      </c>
      <c r="BN465" s="68" t="str">
        <f t="shared" si="85"/>
        <v/>
      </c>
      <c r="BU465" s="51" t="e">
        <f t="shared" si="80"/>
        <v>#VALUE!</v>
      </c>
      <c r="BV465" s="44" t="e">
        <f t="shared" si="81"/>
        <v>#VALUE!</v>
      </c>
      <c r="BW465" s="61" t="e">
        <f t="shared" si="82"/>
        <v>#NUM!</v>
      </c>
    </row>
    <row r="466" spans="64:75" ht="20.100000000000001" customHeight="1" x14ac:dyDescent="0.25">
      <c r="BL466" s="62" t="str">
        <f t="shared" si="83"/>
        <v/>
      </c>
      <c r="BM466" s="63" t="str">
        <f t="shared" si="84"/>
        <v/>
      </c>
      <c r="BN466" s="68" t="str">
        <f t="shared" si="85"/>
        <v/>
      </c>
      <c r="BU466" s="51" t="e">
        <f t="shared" si="80"/>
        <v>#VALUE!</v>
      </c>
      <c r="BV466" s="44" t="e">
        <f t="shared" si="81"/>
        <v>#VALUE!</v>
      </c>
      <c r="BW466" s="61" t="e">
        <f t="shared" si="82"/>
        <v>#NUM!</v>
      </c>
    </row>
    <row r="467" spans="64:75" ht="20.100000000000001" customHeight="1" x14ac:dyDescent="0.25">
      <c r="BL467" s="62" t="str">
        <f t="shared" si="83"/>
        <v/>
      </c>
      <c r="BM467" s="63" t="str">
        <f t="shared" si="84"/>
        <v/>
      </c>
      <c r="BN467" s="68" t="str">
        <f t="shared" si="85"/>
        <v/>
      </c>
      <c r="BU467" s="51" t="e">
        <f t="shared" si="80"/>
        <v>#VALUE!</v>
      </c>
      <c r="BV467" s="44" t="e">
        <f t="shared" si="81"/>
        <v>#VALUE!</v>
      </c>
      <c r="BW467" s="61" t="e">
        <f t="shared" si="82"/>
        <v>#NUM!</v>
      </c>
    </row>
    <row r="468" spans="64:75" ht="20.100000000000001" customHeight="1" x14ac:dyDescent="0.25">
      <c r="BL468" s="62" t="str">
        <f t="shared" si="83"/>
        <v/>
      </c>
      <c r="BM468" s="63" t="str">
        <f t="shared" si="84"/>
        <v/>
      </c>
      <c r="BN468" s="68" t="str">
        <f t="shared" si="85"/>
        <v/>
      </c>
      <c r="BU468" s="51" t="e">
        <f t="shared" ref="BU468:BU531" si="86">BO468-BN468</f>
        <v>#VALUE!</v>
      </c>
      <c r="BV468" s="44" t="e">
        <f t="shared" ref="BV468:BV531" si="87">BO468/BN468-1</f>
        <v>#VALUE!</v>
      </c>
      <c r="BW468" s="61" t="e">
        <f t="shared" ref="BW468:BW531" si="88">-20*LOG10(BP468/100)</f>
        <v>#NUM!</v>
      </c>
    </row>
    <row r="469" spans="64:75" ht="20.100000000000001" customHeight="1" x14ac:dyDescent="0.25">
      <c r="BL469" s="62" t="str">
        <f t="shared" si="83"/>
        <v/>
      </c>
      <c r="BM469" s="63" t="str">
        <f t="shared" si="84"/>
        <v/>
      </c>
      <c r="BN469" s="68" t="str">
        <f t="shared" si="85"/>
        <v/>
      </c>
      <c r="BU469" s="51" t="e">
        <f t="shared" si="86"/>
        <v>#VALUE!</v>
      </c>
      <c r="BV469" s="44" t="e">
        <f t="shared" si="87"/>
        <v>#VALUE!</v>
      </c>
      <c r="BW469" s="61" t="e">
        <f t="shared" si="88"/>
        <v>#NUM!</v>
      </c>
    </row>
    <row r="470" spans="64:75" ht="20.100000000000001" customHeight="1" x14ac:dyDescent="0.25">
      <c r="BL470" s="62" t="str">
        <f t="shared" si="83"/>
        <v/>
      </c>
      <c r="BM470" s="63" t="str">
        <f t="shared" si="84"/>
        <v/>
      </c>
      <c r="BN470" s="68" t="str">
        <f t="shared" si="85"/>
        <v/>
      </c>
      <c r="BU470" s="51" t="e">
        <f t="shared" si="86"/>
        <v>#VALUE!</v>
      </c>
      <c r="BV470" s="44" t="e">
        <f t="shared" si="87"/>
        <v>#VALUE!</v>
      </c>
      <c r="BW470" s="61" t="e">
        <f t="shared" si="88"/>
        <v>#NUM!</v>
      </c>
    </row>
    <row r="471" spans="64:75" ht="20.100000000000001" customHeight="1" x14ac:dyDescent="0.25">
      <c r="BL471" s="62" t="str">
        <f t="shared" si="83"/>
        <v/>
      </c>
      <c r="BM471" s="63" t="str">
        <f t="shared" si="84"/>
        <v/>
      </c>
      <c r="BN471" s="68" t="str">
        <f t="shared" si="85"/>
        <v/>
      </c>
      <c r="BU471" s="51" t="e">
        <f t="shared" si="86"/>
        <v>#VALUE!</v>
      </c>
      <c r="BV471" s="44" t="e">
        <f t="shared" si="87"/>
        <v>#VALUE!</v>
      </c>
      <c r="BW471" s="61" t="e">
        <f t="shared" si="88"/>
        <v>#NUM!</v>
      </c>
    </row>
    <row r="472" spans="64:75" ht="20.100000000000001" customHeight="1" x14ac:dyDescent="0.25">
      <c r="BL472" s="62" t="str">
        <f t="shared" si="83"/>
        <v/>
      </c>
      <c r="BM472" s="63" t="str">
        <f t="shared" si="84"/>
        <v/>
      </c>
      <c r="BN472" s="68" t="str">
        <f t="shared" si="85"/>
        <v/>
      </c>
      <c r="BU472" s="51" t="e">
        <f t="shared" si="86"/>
        <v>#VALUE!</v>
      </c>
      <c r="BV472" s="44" t="e">
        <f t="shared" si="87"/>
        <v>#VALUE!</v>
      </c>
      <c r="BW472" s="61" t="e">
        <f t="shared" si="88"/>
        <v>#NUM!</v>
      </c>
    </row>
    <row r="473" spans="64:75" ht="20.100000000000001" customHeight="1" x14ac:dyDescent="0.25">
      <c r="BL473" s="62" t="str">
        <f t="shared" si="83"/>
        <v/>
      </c>
      <c r="BM473" s="63" t="str">
        <f t="shared" si="84"/>
        <v/>
      </c>
      <c r="BN473" s="68" t="str">
        <f t="shared" si="85"/>
        <v/>
      </c>
      <c r="BU473" s="51" t="e">
        <f t="shared" si="86"/>
        <v>#VALUE!</v>
      </c>
      <c r="BV473" s="44" t="e">
        <f t="shared" si="87"/>
        <v>#VALUE!</v>
      </c>
      <c r="BW473" s="61" t="e">
        <f t="shared" si="88"/>
        <v>#NUM!</v>
      </c>
    </row>
    <row r="474" spans="64:75" ht="20.100000000000001" customHeight="1" x14ac:dyDescent="0.25">
      <c r="BL474" s="62" t="str">
        <f t="shared" si="83"/>
        <v/>
      </c>
      <c r="BM474" s="63" t="str">
        <f t="shared" si="84"/>
        <v/>
      </c>
      <c r="BN474" s="68" t="str">
        <f t="shared" si="85"/>
        <v/>
      </c>
      <c r="BU474" s="51" t="e">
        <f t="shared" si="86"/>
        <v>#VALUE!</v>
      </c>
      <c r="BV474" s="44" t="e">
        <f t="shared" si="87"/>
        <v>#VALUE!</v>
      </c>
      <c r="BW474" s="61" t="e">
        <f t="shared" si="88"/>
        <v>#NUM!</v>
      </c>
    </row>
    <row r="475" spans="64:75" ht="20.100000000000001" customHeight="1" x14ac:dyDescent="0.25">
      <c r="BL475" s="62" t="str">
        <f t="shared" si="83"/>
        <v/>
      </c>
      <c r="BM475" s="63" t="str">
        <f t="shared" si="84"/>
        <v/>
      </c>
      <c r="BN475" s="68" t="str">
        <f t="shared" si="85"/>
        <v/>
      </c>
      <c r="BU475" s="51" t="e">
        <f t="shared" si="86"/>
        <v>#VALUE!</v>
      </c>
      <c r="BV475" s="44" t="e">
        <f t="shared" si="87"/>
        <v>#VALUE!</v>
      </c>
      <c r="BW475" s="61" t="e">
        <f t="shared" si="88"/>
        <v>#NUM!</v>
      </c>
    </row>
    <row r="476" spans="64:75" ht="20.100000000000001" customHeight="1" x14ac:dyDescent="0.25">
      <c r="BL476" s="62" t="str">
        <f t="shared" si="83"/>
        <v/>
      </c>
      <c r="BM476" s="63" t="str">
        <f t="shared" si="84"/>
        <v/>
      </c>
      <c r="BN476" s="68" t="str">
        <f t="shared" si="85"/>
        <v/>
      </c>
      <c r="BU476" s="51" t="e">
        <f t="shared" si="86"/>
        <v>#VALUE!</v>
      </c>
      <c r="BV476" s="44" t="e">
        <f t="shared" si="87"/>
        <v>#VALUE!</v>
      </c>
      <c r="BW476" s="61" t="e">
        <f t="shared" si="88"/>
        <v>#NUM!</v>
      </c>
    </row>
    <row r="477" spans="64:75" ht="20.100000000000001" customHeight="1" x14ac:dyDescent="0.25">
      <c r="BL477" s="62" t="str">
        <f t="shared" si="83"/>
        <v/>
      </c>
      <c r="BM477" s="63" t="str">
        <f t="shared" si="84"/>
        <v/>
      </c>
      <c r="BN477" s="68" t="str">
        <f t="shared" si="85"/>
        <v/>
      </c>
      <c r="BU477" s="51" t="e">
        <f t="shared" si="86"/>
        <v>#VALUE!</v>
      </c>
      <c r="BV477" s="44" t="e">
        <f t="shared" si="87"/>
        <v>#VALUE!</v>
      </c>
      <c r="BW477" s="61" t="e">
        <f t="shared" si="88"/>
        <v>#NUM!</v>
      </c>
    </row>
    <row r="478" spans="64:75" ht="20.100000000000001" customHeight="1" x14ac:dyDescent="0.25">
      <c r="BL478" s="62" t="str">
        <f t="shared" si="83"/>
        <v/>
      </c>
      <c r="BM478" s="63" t="str">
        <f t="shared" si="84"/>
        <v/>
      </c>
      <c r="BN478" s="68" t="str">
        <f t="shared" si="85"/>
        <v/>
      </c>
      <c r="BU478" s="51" t="e">
        <f t="shared" si="86"/>
        <v>#VALUE!</v>
      </c>
      <c r="BV478" s="44" t="e">
        <f t="shared" si="87"/>
        <v>#VALUE!</v>
      </c>
      <c r="BW478" s="61" t="e">
        <f t="shared" si="88"/>
        <v>#NUM!</v>
      </c>
    </row>
    <row r="479" spans="64:75" ht="20.100000000000001" customHeight="1" x14ac:dyDescent="0.25">
      <c r="BL479" s="62" t="str">
        <f t="shared" si="83"/>
        <v/>
      </c>
      <c r="BM479" s="63" t="str">
        <f t="shared" si="84"/>
        <v/>
      </c>
      <c r="BN479" s="68" t="str">
        <f t="shared" si="85"/>
        <v/>
      </c>
      <c r="BU479" s="51" t="e">
        <f t="shared" si="86"/>
        <v>#VALUE!</v>
      </c>
      <c r="BV479" s="44" t="e">
        <f t="shared" si="87"/>
        <v>#VALUE!</v>
      </c>
      <c r="BW479" s="61" t="e">
        <f t="shared" si="88"/>
        <v>#NUM!</v>
      </c>
    </row>
    <row r="480" spans="64:75" ht="20.100000000000001" customHeight="1" x14ac:dyDescent="0.25">
      <c r="BL480" s="62" t="str">
        <f t="shared" si="83"/>
        <v/>
      </c>
      <c r="BM480" s="63" t="str">
        <f t="shared" si="84"/>
        <v/>
      </c>
      <c r="BN480" s="68" t="str">
        <f t="shared" si="85"/>
        <v/>
      </c>
      <c r="BU480" s="51" t="e">
        <f t="shared" si="86"/>
        <v>#VALUE!</v>
      </c>
      <c r="BV480" s="44" t="e">
        <f t="shared" si="87"/>
        <v>#VALUE!</v>
      </c>
      <c r="BW480" s="61" t="e">
        <f t="shared" si="88"/>
        <v>#NUM!</v>
      </c>
    </row>
    <row r="481" spans="64:75" ht="20.100000000000001" customHeight="1" x14ac:dyDescent="0.25">
      <c r="BL481" s="62" t="str">
        <f t="shared" si="83"/>
        <v/>
      </c>
      <c r="BM481" s="63" t="str">
        <f t="shared" si="84"/>
        <v/>
      </c>
      <c r="BN481" s="68" t="str">
        <f t="shared" si="85"/>
        <v/>
      </c>
      <c r="BU481" s="51" t="e">
        <f t="shared" si="86"/>
        <v>#VALUE!</v>
      </c>
      <c r="BV481" s="44" t="e">
        <f t="shared" si="87"/>
        <v>#VALUE!</v>
      </c>
      <c r="BW481" s="61" t="e">
        <f t="shared" si="88"/>
        <v>#NUM!</v>
      </c>
    </row>
    <row r="482" spans="64:75" ht="20.100000000000001" customHeight="1" x14ac:dyDescent="0.25">
      <c r="BL482" s="62" t="str">
        <f t="shared" si="83"/>
        <v/>
      </c>
      <c r="BM482" s="63" t="str">
        <f t="shared" si="84"/>
        <v/>
      </c>
      <c r="BN482" s="68" t="str">
        <f t="shared" si="85"/>
        <v/>
      </c>
      <c r="BU482" s="51" t="e">
        <f t="shared" si="86"/>
        <v>#VALUE!</v>
      </c>
      <c r="BV482" s="44" t="e">
        <f t="shared" si="87"/>
        <v>#VALUE!</v>
      </c>
      <c r="BW482" s="61" t="e">
        <f t="shared" si="88"/>
        <v>#NUM!</v>
      </c>
    </row>
    <row r="483" spans="64:75" ht="20.100000000000001" customHeight="1" x14ac:dyDescent="0.25">
      <c r="BL483" s="62" t="str">
        <f t="shared" si="83"/>
        <v/>
      </c>
      <c r="BM483" s="63" t="str">
        <f t="shared" si="84"/>
        <v/>
      </c>
      <c r="BN483" s="68" t="str">
        <f t="shared" si="85"/>
        <v/>
      </c>
      <c r="BU483" s="51" t="e">
        <f t="shared" si="86"/>
        <v>#VALUE!</v>
      </c>
      <c r="BV483" s="44" t="e">
        <f t="shared" si="87"/>
        <v>#VALUE!</v>
      </c>
      <c r="BW483" s="61" t="e">
        <f t="shared" si="88"/>
        <v>#NUM!</v>
      </c>
    </row>
    <row r="484" spans="64:75" ht="20.100000000000001" customHeight="1" x14ac:dyDescent="0.25">
      <c r="BL484" s="62" t="str">
        <f t="shared" si="83"/>
        <v/>
      </c>
      <c r="BM484" s="63" t="str">
        <f t="shared" si="84"/>
        <v/>
      </c>
      <c r="BN484" s="68" t="str">
        <f t="shared" si="85"/>
        <v/>
      </c>
      <c r="BU484" s="51" t="e">
        <f t="shared" si="86"/>
        <v>#VALUE!</v>
      </c>
      <c r="BV484" s="44" t="e">
        <f t="shared" si="87"/>
        <v>#VALUE!</v>
      </c>
      <c r="BW484" s="61" t="e">
        <f t="shared" si="88"/>
        <v>#NUM!</v>
      </c>
    </row>
    <row r="485" spans="64:75" ht="20.100000000000001" customHeight="1" x14ac:dyDescent="0.25">
      <c r="BL485" s="62" t="str">
        <f t="shared" si="83"/>
        <v/>
      </c>
      <c r="BM485" s="63" t="str">
        <f t="shared" si="84"/>
        <v/>
      </c>
      <c r="BN485" s="68" t="str">
        <f t="shared" si="85"/>
        <v/>
      </c>
      <c r="BU485" s="51" t="e">
        <f t="shared" si="86"/>
        <v>#VALUE!</v>
      </c>
      <c r="BV485" s="44" t="e">
        <f t="shared" si="87"/>
        <v>#VALUE!</v>
      </c>
      <c r="BW485" s="61" t="e">
        <f t="shared" si="88"/>
        <v>#NUM!</v>
      </c>
    </row>
    <row r="486" spans="64:75" ht="20.100000000000001" customHeight="1" x14ac:dyDescent="0.25">
      <c r="BL486" s="62" t="str">
        <f t="shared" si="83"/>
        <v/>
      </c>
      <c r="BM486" s="63" t="str">
        <f t="shared" si="84"/>
        <v/>
      </c>
      <c r="BN486" s="68" t="str">
        <f t="shared" si="85"/>
        <v/>
      </c>
      <c r="BU486" s="51" t="e">
        <f t="shared" si="86"/>
        <v>#VALUE!</v>
      </c>
      <c r="BV486" s="44" t="e">
        <f t="shared" si="87"/>
        <v>#VALUE!</v>
      </c>
      <c r="BW486" s="61" t="e">
        <f t="shared" si="88"/>
        <v>#NUM!</v>
      </c>
    </row>
    <row r="487" spans="64:75" ht="20.100000000000001" customHeight="1" x14ac:dyDescent="0.25">
      <c r="BL487" s="62" t="str">
        <f t="shared" si="83"/>
        <v/>
      </c>
      <c r="BM487" s="63" t="str">
        <f t="shared" si="84"/>
        <v/>
      </c>
      <c r="BN487" s="68" t="str">
        <f t="shared" si="85"/>
        <v/>
      </c>
      <c r="BU487" s="51" t="e">
        <f t="shared" si="86"/>
        <v>#VALUE!</v>
      </c>
      <c r="BV487" s="44" t="e">
        <f t="shared" si="87"/>
        <v>#VALUE!</v>
      </c>
      <c r="BW487" s="61" t="e">
        <f t="shared" si="88"/>
        <v>#NUM!</v>
      </c>
    </row>
    <row r="488" spans="64:75" ht="20.100000000000001" customHeight="1" x14ac:dyDescent="0.25">
      <c r="BL488" s="62" t="str">
        <f t="shared" si="83"/>
        <v/>
      </c>
      <c r="BM488" s="63" t="str">
        <f t="shared" si="84"/>
        <v/>
      </c>
      <c r="BN488" s="68" t="str">
        <f t="shared" si="85"/>
        <v/>
      </c>
      <c r="BU488" s="51" t="e">
        <f t="shared" si="86"/>
        <v>#VALUE!</v>
      </c>
      <c r="BV488" s="44" t="e">
        <f t="shared" si="87"/>
        <v>#VALUE!</v>
      </c>
      <c r="BW488" s="61" t="e">
        <f t="shared" si="88"/>
        <v>#NUM!</v>
      </c>
    </row>
    <row r="489" spans="64:75" ht="20.100000000000001" customHeight="1" x14ac:dyDescent="0.25">
      <c r="BL489" s="62" t="str">
        <f t="shared" si="83"/>
        <v/>
      </c>
      <c r="BM489" s="63" t="str">
        <f t="shared" si="84"/>
        <v/>
      </c>
      <c r="BN489" s="68" t="str">
        <f t="shared" si="85"/>
        <v/>
      </c>
      <c r="BU489" s="51" t="e">
        <f t="shared" si="86"/>
        <v>#VALUE!</v>
      </c>
      <c r="BV489" s="44" t="e">
        <f t="shared" si="87"/>
        <v>#VALUE!</v>
      </c>
      <c r="BW489" s="61" t="e">
        <f t="shared" si="88"/>
        <v>#NUM!</v>
      </c>
    </row>
    <row r="490" spans="64:75" ht="20.100000000000001" customHeight="1" x14ac:dyDescent="0.25">
      <c r="BL490" s="62" t="str">
        <f t="shared" si="83"/>
        <v/>
      </c>
      <c r="BM490" s="63" t="str">
        <f t="shared" si="84"/>
        <v/>
      </c>
      <c r="BN490" s="68" t="str">
        <f t="shared" si="85"/>
        <v/>
      </c>
      <c r="BU490" s="51" t="e">
        <f t="shared" si="86"/>
        <v>#VALUE!</v>
      </c>
      <c r="BV490" s="44" t="e">
        <f t="shared" si="87"/>
        <v>#VALUE!</v>
      </c>
      <c r="BW490" s="61" t="e">
        <f t="shared" si="88"/>
        <v>#NUM!</v>
      </c>
    </row>
    <row r="491" spans="64:75" ht="20.100000000000001" customHeight="1" x14ac:dyDescent="0.25">
      <c r="BL491" s="62" t="str">
        <f t="shared" si="83"/>
        <v/>
      </c>
      <c r="BM491" s="63" t="str">
        <f t="shared" si="84"/>
        <v/>
      </c>
      <c r="BN491" s="68" t="str">
        <f t="shared" si="85"/>
        <v/>
      </c>
      <c r="BU491" s="51" t="e">
        <f t="shared" si="86"/>
        <v>#VALUE!</v>
      </c>
      <c r="BV491" s="44" t="e">
        <f t="shared" si="87"/>
        <v>#VALUE!</v>
      </c>
      <c r="BW491" s="61" t="e">
        <f t="shared" si="88"/>
        <v>#NUM!</v>
      </c>
    </row>
    <row r="492" spans="64:75" ht="20.100000000000001" customHeight="1" x14ac:dyDescent="0.25">
      <c r="BL492" s="62" t="str">
        <f t="shared" si="83"/>
        <v/>
      </c>
      <c r="BM492" s="63" t="str">
        <f t="shared" si="84"/>
        <v/>
      </c>
      <c r="BN492" s="68" t="str">
        <f t="shared" si="85"/>
        <v/>
      </c>
      <c r="BU492" s="51" t="e">
        <f t="shared" si="86"/>
        <v>#VALUE!</v>
      </c>
      <c r="BV492" s="44" t="e">
        <f t="shared" si="87"/>
        <v>#VALUE!</v>
      </c>
      <c r="BW492" s="61" t="e">
        <f t="shared" si="88"/>
        <v>#NUM!</v>
      </c>
    </row>
    <row r="493" spans="64:75" ht="20.100000000000001" customHeight="1" x14ac:dyDescent="0.25">
      <c r="BL493" s="62" t="str">
        <f t="shared" si="83"/>
        <v/>
      </c>
      <c r="BM493" s="63" t="str">
        <f t="shared" si="84"/>
        <v/>
      </c>
      <c r="BN493" s="68" t="str">
        <f t="shared" si="85"/>
        <v/>
      </c>
      <c r="BU493" s="51" t="e">
        <f t="shared" si="86"/>
        <v>#VALUE!</v>
      </c>
      <c r="BV493" s="44" t="e">
        <f t="shared" si="87"/>
        <v>#VALUE!</v>
      </c>
      <c r="BW493" s="61" t="e">
        <f t="shared" si="88"/>
        <v>#NUM!</v>
      </c>
    </row>
    <row r="494" spans="64:75" ht="20.100000000000001" customHeight="1" x14ac:dyDescent="0.25">
      <c r="BL494" s="62" t="str">
        <f t="shared" si="83"/>
        <v/>
      </c>
      <c r="BM494" s="63" t="str">
        <f t="shared" si="84"/>
        <v/>
      </c>
      <c r="BN494" s="68" t="str">
        <f t="shared" si="85"/>
        <v/>
      </c>
      <c r="BU494" s="51" t="e">
        <f t="shared" si="86"/>
        <v>#VALUE!</v>
      </c>
      <c r="BV494" s="44" t="e">
        <f t="shared" si="87"/>
        <v>#VALUE!</v>
      </c>
      <c r="BW494" s="61" t="e">
        <f t="shared" si="88"/>
        <v>#NUM!</v>
      </c>
    </row>
    <row r="495" spans="64:75" ht="20.100000000000001" customHeight="1" x14ac:dyDescent="0.25">
      <c r="BL495" s="62" t="str">
        <f t="shared" si="83"/>
        <v/>
      </c>
      <c r="BM495" s="63" t="str">
        <f t="shared" si="84"/>
        <v/>
      </c>
      <c r="BN495" s="68" t="str">
        <f t="shared" si="85"/>
        <v/>
      </c>
      <c r="BU495" s="51" t="e">
        <f t="shared" si="86"/>
        <v>#VALUE!</v>
      </c>
      <c r="BV495" s="44" t="e">
        <f t="shared" si="87"/>
        <v>#VALUE!</v>
      </c>
      <c r="BW495" s="61" t="e">
        <f t="shared" si="88"/>
        <v>#NUM!</v>
      </c>
    </row>
    <row r="496" spans="64:75" ht="20.100000000000001" customHeight="1" x14ac:dyDescent="0.25">
      <c r="BL496" s="62" t="str">
        <f t="shared" si="83"/>
        <v/>
      </c>
      <c r="BM496" s="63" t="str">
        <f t="shared" si="84"/>
        <v/>
      </c>
      <c r="BN496" s="68" t="str">
        <f t="shared" si="85"/>
        <v/>
      </c>
      <c r="BU496" s="51" t="e">
        <f t="shared" si="86"/>
        <v>#VALUE!</v>
      </c>
      <c r="BV496" s="44" t="e">
        <f t="shared" si="87"/>
        <v>#VALUE!</v>
      </c>
      <c r="BW496" s="61" t="e">
        <f t="shared" si="88"/>
        <v>#NUM!</v>
      </c>
    </row>
    <row r="497" spans="64:75" ht="20.100000000000001" customHeight="1" x14ac:dyDescent="0.25">
      <c r="BL497" s="62" t="str">
        <f t="shared" si="83"/>
        <v/>
      </c>
      <c r="BM497" s="63" t="str">
        <f t="shared" si="84"/>
        <v/>
      </c>
      <c r="BN497" s="68" t="str">
        <f t="shared" si="85"/>
        <v/>
      </c>
      <c r="BU497" s="51" t="e">
        <f t="shared" si="86"/>
        <v>#VALUE!</v>
      </c>
      <c r="BV497" s="44" t="e">
        <f t="shared" si="87"/>
        <v>#VALUE!</v>
      </c>
      <c r="BW497" s="61" t="e">
        <f t="shared" si="88"/>
        <v>#NUM!</v>
      </c>
    </row>
    <row r="498" spans="64:75" ht="20.100000000000001" customHeight="1" x14ac:dyDescent="0.25">
      <c r="BL498" s="62" t="str">
        <f t="shared" si="83"/>
        <v/>
      </c>
      <c r="BM498" s="63" t="str">
        <f t="shared" si="84"/>
        <v/>
      </c>
      <c r="BN498" s="68" t="str">
        <f t="shared" si="85"/>
        <v/>
      </c>
      <c r="BU498" s="51" t="e">
        <f t="shared" si="86"/>
        <v>#VALUE!</v>
      </c>
      <c r="BV498" s="44" t="e">
        <f t="shared" si="87"/>
        <v>#VALUE!</v>
      </c>
      <c r="BW498" s="61" t="e">
        <f t="shared" si="88"/>
        <v>#NUM!</v>
      </c>
    </row>
    <row r="499" spans="64:75" ht="20.100000000000001" customHeight="1" x14ac:dyDescent="0.25">
      <c r="BL499" s="62" t="str">
        <f t="shared" si="83"/>
        <v/>
      </c>
      <c r="BM499" s="63" t="str">
        <f t="shared" si="84"/>
        <v/>
      </c>
      <c r="BN499" s="68" t="str">
        <f t="shared" si="85"/>
        <v/>
      </c>
      <c r="BU499" s="51" t="e">
        <f t="shared" si="86"/>
        <v>#VALUE!</v>
      </c>
      <c r="BV499" s="44" t="e">
        <f t="shared" si="87"/>
        <v>#VALUE!</v>
      </c>
      <c r="BW499" s="61" t="e">
        <f t="shared" si="88"/>
        <v>#NUM!</v>
      </c>
    </row>
    <row r="500" spans="64:75" ht="20.100000000000001" customHeight="1" x14ac:dyDescent="0.25">
      <c r="BL500" s="62" t="str">
        <f t="shared" si="83"/>
        <v/>
      </c>
      <c r="BM500" s="63" t="str">
        <f t="shared" si="84"/>
        <v/>
      </c>
      <c r="BN500" s="68" t="str">
        <f t="shared" si="85"/>
        <v/>
      </c>
      <c r="BU500" s="51" t="e">
        <f t="shared" si="86"/>
        <v>#VALUE!</v>
      </c>
      <c r="BV500" s="44" t="e">
        <f t="shared" si="87"/>
        <v>#VALUE!</v>
      </c>
      <c r="BW500" s="61" t="e">
        <f t="shared" si="88"/>
        <v>#NUM!</v>
      </c>
    </row>
    <row r="501" spans="64:75" ht="20.100000000000001" customHeight="1" x14ac:dyDescent="0.25">
      <c r="BL501" s="62" t="str">
        <f t="shared" si="83"/>
        <v/>
      </c>
      <c r="BM501" s="63" t="str">
        <f t="shared" si="84"/>
        <v/>
      </c>
      <c r="BN501" s="68" t="str">
        <f t="shared" si="85"/>
        <v/>
      </c>
      <c r="BU501" s="51" t="e">
        <f t="shared" si="86"/>
        <v>#VALUE!</v>
      </c>
      <c r="BV501" s="44" t="e">
        <f t="shared" si="87"/>
        <v>#VALUE!</v>
      </c>
      <c r="BW501" s="61" t="e">
        <f t="shared" si="88"/>
        <v>#NUM!</v>
      </c>
    </row>
    <row r="502" spans="64:75" ht="20.100000000000001" customHeight="1" x14ac:dyDescent="0.25">
      <c r="BL502" s="62" t="str">
        <f t="shared" si="83"/>
        <v/>
      </c>
      <c r="BM502" s="63" t="str">
        <f t="shared" si="84"/>
        <v/>
      </c>
      <c r="BN502" s="68" t="str">
        <f t="shared" si="85"/>
        <v/>
      </c>
      <c r="BU502" s="51" t="e">
        <f t="shared" si="86"/>
        <v>#VALUE!</v>
      </c>
      <c r="BV502" s="44" t="e">
        <f t="shared" si="87"/>
        <v>#VALUE!</v>
      </c>
      <c r="BW502" s="61" t="e">
        <f t="shared" si="88"/>
        <v>#NUM!</v>
      </c>
    </row>
    <row r="503" spans="64:75" ht="20.100000000000001" customHeight="1" x14ac:dyDescent="0.25">
      <c r="BL503" s="62" t="str">
        <f t="shared" si="83"/>
        <v/>
      </c>
      <c r="BM503" s="63" t="str">
        <f t="shared" si="84"/>
        <v/>
      </c>
      <c r="BN503" s="68" t="str">
        <f t="shared" si="85"/>
        <v/>
      </c>
      <c r="BU503" s="51" t="e">
        <f t="shared" si="86"/>
        <v>#VALUE!</v>
      </c>
      <c r="BV503" s="44" t="e">
        <f t="shared" si="87"/>
        <v>#VALUE!</v>
      </c>
      <c r="BW503" s="61" t="e">
        <f t="shared" si="88"/>
        <v>#NUM!</v>
      </c>
    </row>
    <row r="504" spans="64:75" ht="20.100000000000001" customHeight="1" x14ac:dyDescent="0.25">
      <c r="BL504" s="62" t="str">
        <f t="shared" si="83"/>
        <v/>
      </c>
      <c r="BM504" s="63" t="str">
        <f t="shared" si="84"/>
        <v/>
      </c>
      <c r="BN504" s="68" t="str">
        <f t="shared" si="85"/>
        <v/>
      </c>
      <c r="BU504" s="51" t="e">
        <f t="shared" si="86"/>
        <v>#VALUE!</v>
      </c>
      <c r="BV504" s="44" t="e">
        <f t="shared" si="87"/>
        <v>#VALUE!</v>
      </c>
      <c r="BW504" s="61" t="e">
        <f t="shared" si="88"/>
        <v>#NUM!</v>
      </c>
    </row>
    <row r="505" spans="64:75" ht="20.100000000000001" customHeight="1" x14ac:dyDescent="0.25">
      <c r="BL505" s="62" t="str">
        <f t="shared" si="83"/>
        <v/>
      </c>
      <c r="BM505" s="63" t="str">
        <f t="shared" si="84"/>
        <v/>
      </c>
      <c r="BN505" s="68" t="str">
        <f t="shared" si="85"/>
        <v/>
      </c>
      <c r="BU505" s="51" t="e">
        <f t="shared" si="86"/>
        <v>#VALUE!</v>
      </c>
      <c r="BV505" s="44" t="e">
        <f t="shared" si="87"/>
        <v>#VALUE!</v>
      </c>
      <c r="BW505" s="61" t="e">
        <f t="shared" si="88"/>
        <v>#NUM!</v>
      </c>
    </row>
    <row r="506" spans="64:75" ht="20.100000000000001" customHeight="1" x14ac:dyDescent="0.25">
      <c r="BL506" s="62" t="str">
        <f t="shared" si="83"/>
        <v/>
      </c>
      <c r="BM506" s="63" t="str">
        <f t="shared" si="84"/>
        <v/>
      </c>
      <c r="BN506" s="68" t="str">
        <f t="shared" si="85"/>
        <v/>
      </c>
      <c r="BU506" s="51" t="e">
        <f t="shared" si="86"/>
        <v>#VALUE!</v>
      </c>
      <c r="BV506" s="44" t="e">
        <f t="shared" si="87"/>
        <v>#VALUE!</v>
      </c>
      <c r="BW506" s="61" t="e">
        <f t="shared" si="88"/>
        <v>#NUM!</v>
      </c>
    </row>
    <row r="507" spans="64:75" ht="20.100000000000001" customHeight="1" x14ac:dyDescent="0.25">
      <c r="BL507" s="62" t="str">
        <f t="shared" si="83"/>
        <v/>
      </c>
      <c r="BM507" s="63" t="str">
        <f t="shared" si="84"/>
        <v/>
      </c>
      <c r="BN507" s="68" t="str">
        <f t="shared" si="85"/>
        <v/>
      </c>
      <c r="BU507" s="51" t="e">
        <f t="shared" si="86"/>
        <v>#VALUE!</v>
      </c>
      <c r="BV507" s="44" t="e">
        <f t="shared" si="87"/>
        <v>#VALUE!</v>
      </c>
      <c r="BW507" s="61" t="e">
        <f t="shared" si="88"/>
        <v>#NUM!</v>
      </c>
    </row>
    <row r="508" spans="64:75" ht="20.100000000000001" customHeight="1" x14ac:dyDescent="0.25">
      <c r="BL508" s="62" t="str">
        <f t="shared" si="83"/>
        <v/>
      </c>
      <c r="BM508" s="63" t="str">
        <f t="shared" si="84"/>
        <v/>
      </c>
      <c r="BN508" s="68" t="str">
        <f t="shared" si="85"/>
        <v/>
      </c>
      <c r="BU508" s="51" t="e">
        <f t="shared" si="86"/>
        <v>#VALUE!</v>
      </c>
      <c r="BV508" s="44" t="e">
        <f t="shared" si="87"/>
        <v>#VALUE!</v>
      </c>
      <c r="BW508" s="61" t="e">
        <f t="shared" si="88"/>
        <v>#NUM!</v>
      </c>
    </row>
    <row r="509" spans="64:75" ht="20.100000000000001" customHeight="1" x14ac:dyDescent="0.25">
      <c r="BL509" s="62" t="str">
        <f t="shared" si="83"/>
        <v/>
      </c>
      <c r="BM509" s="63" t="str">
        <f t="shared" si="84"/>
        <v/>
      </c>
      <c r="BN509" s="68" t="str">
        <f t="shared" si="85"/>
        <v/>
      </c>
      <c r="BU509" s="51" t="e">
        <f t="shared" si="86"/>
        <v>#VALUE!</v>
      </c>
      <c r="BV509" s="44" t="e">
        <f t="shared" si="87"/>
        <v>#VALUE!</v>
      </c>
      <c r="BW509" s="61" t="e">
        <f t="shared" si="88"/>
        <v>#NUM!</v>
      </c>
    </row>
    <row r="510" spans="64:75" ht="20.100000000000001" customHeight="1" x14ac:dyDescent="0.25">
      <c r="BL510" s="62" t="str">
        <f t="shared" si="83"/>
        <v/>
      </c>
      <c r="BM510" s="63" t="str">
        <f t="shared" si="84"/>
        <v/>
      </c>
      <c r="BN510" s="68" t="str">
        <f t="shared" si="85"/>
        <v/>
      </c>
      <c r="BU510" s="51" t="e">
        <f t="shared" si="86"/>
        <v>#VALUE!</v>
      </c>
      <c r="BV510" s="44" t="e">
        <f t="shared" si="87"/>
        <v>#VALUE!</v>
      </c>
      <c r="BW510" s="61" t="e">
        <f t="shared" si="88"/>
        <v>#NUM!</v>
      </c>
    </row>
    <row r="511" spans="64:75" ht="20.100000000000001" customHeight="1" x14ac:dyDescent="0.25">
      <c r="BL511" s="62" t="str">
        <f t="shared" si="83"/>
        <v/>
      </c>
      <c r="BM511" s="63" t="str">
        <f t="shared" si="84"/>
        <v/>
      </c>
      <c r="BN511" s="68" t="str">
        <f t="shared" si="85"/>
        <v/>
      </c>
      <c r="BU511" s="51" t="e">
        <f t="shared" si="86"/>
        <v>#VALUE!</v>
      </c>
      <c r="BV511" s="44" t="e">
        <f t="shared" si="87"/>
        <v>#VALUE!</v>
      </c>
      <c r="BW511" s="61" t="e">
        <f t="shared" si="88"/>
        <v>#NUM!</v>
      </c>
    </row>
    <row r="512" spans="64:75" ht="20.100000000000001" customHeight="1" x14ac:dyDescent="0.25">
      <c r="BL512" s="62" t="str">
        <f t="shared" si="83"/>
        <v/>
      </c>
      <c r="BM512" s="63" t="str">
        <f t="shared" si="84"/>
        <v/>
      </c>
      <c r="BN512" s="68" t="str">
        <f t="shared" si="85"/>
        <v/>
      </c>
      <c r="BU512" s="51" t="e">
        <f t="shared" si="86"/>
        <v>#VALUE!</v>
      </c>
      <c r="BV512" s="44" t="e">
        <f t="shared" si="87"/>
        <v>#VALUE!</v>
      </c>
      <c r="BW512" s="61" t="e">
        <f t="shared" si="88"/>
        <v>#NUM!</v>
      </c>
    </row>
    <row r="513" spans="64:75" ht="20.100000000000001" customHeight="1" x14ac:dyDescent="0.25">
      <c r="BL513" s="62" t="str">
        <f t="shared" si="83"/>
        <v/>
      </c>
      <c r="BM513" s="63" t="str">
        <f t="shared" si="84"/>
        <v/>
      </c>
      <c r="BN513" s="68" t="str">
        <f t="shared" si="85"/>
        <v/>
      </c>
      <c r="BU513" s="51" t="e">
        <f t="shared" si="86"/>
        <v>#VALUE!</v>
      </c>
      <c r="BV513" s="44" t="e">
        <f t="shared" si="87"/>
        <v>#VALUE!</v>
      </c>
      <c r="BW513" s="61" t="e">
        <f t="shared" si="88"/>
        <v>#NUM!</v>
      </c>
    </row>
    <row r="514" spans="64:75" ht="20.100000000000001" customHeight="1" x14ac:dyDescent="0.25">
      <c r="BL514" s="62" t="str">
        <f t="shared" si="83"/>
        <v/>
      </c>
      <c r="BM514" s="63" t="str">
        <f t="shared" si="84"/>
        <v/>
      </c>
      <c r="BN514" s="68" t="str">
        <f t="shared" si="85"/>
        <v/>
      </c>
      <c r="BU514" s="51" t="e">
        <f t="shared" si="86"/>
        <v>#VALUE!</v>
      </c>
      <c r="BV514" s="44" t="e">
        <f t="shared" si="87"/>
        <v>#VALUE!</v>
      </c>
      <c r="BW514" s="61" t="e">
        <f t="shared" si="88"/>
        <v>#NUM!</v>
      </c>
    </row>
    <row r="515" spans="64:75" ht="20.100000000000001" customHeight="1" x14ac:dyDescent="0.25">
      <c r="BL515" s="62" t="str">
        <f t="shared" si="83"/>
        <v/>
      </c>
      <c r="BM515" s="63" t="str">
        <f t="shared" si="84"/>
        <v/>
      </c>
      <c r="BN515" s="68" t="str">
        <f t="shared" si="85"/>
        <v/>
      </c>
      <c r="BU515" s="51" t="e">
        <f t="shared" si="86"/>
        <v>#VALUE!</v>
      </c>
      <c r="BV515" s="44" t="e">
        <f t="shared" si="87"/>
        <v>#VALUE!</v>
      </c>
      <c r="BW515" s="61" t="e">
        <f t="shared" si="88"/>
        <v>#NUM!</v>
      </c>
    </row>
    <row r="516" spans="64:75" ht="20.100000000000001" customHeight="1" x14ac:dyDescent="0.25">
      <c r="BL516" s="62" t="str">
        <f t="shared" si="83"/>
        <v/>
      </c>
      <c r="BM516" s="63" t="str">
        <f t="shared" si="84"/>
        <v/>
      </c>
      <c r="BN516" s="68" t="str">
        <f t="shared" si="85"/>
        <v/>
      </c>
      <c r="BU516" s="51" t="e">
        <f t="shared" si="86"/>
        <v>#VALUE!</v>
      </c>
      <c r="BV516" s="44" t="e">
        <f t="shared" si="87"/>
        <v>#VALUE!</v>
      </c>
      <c r="BW516" s="61" t="e">
        <f t="shared" si="88"/>
        <v>#NUM!</v>
      </c>
    </row>
    <row r="517" spans="64:75" ht="20.100000000000001" customHeight="1" x14ac:dyDescent="0.25">
      <c r="BL517" s="62" t="str">
        <f t="shared" si="83"/>
        <v/>
      </c>
      <c r="BM517" s="63" t="str">
        <f t="shared" si="84"/>
        <v/>
      </c>
      <c r="BN517" s="68" t="str">
        <f t="shared" si="85"/>
        <v/>
      </c>
      <c r="BU517" s="51" t="e">
        <f t="shared" si="86"/>
        <v>#VALUE!</v>
      </c>
      <c r="BV517" s="44" t="e">
        <f t="shared" si="87"/>
        <v>#VALUE!</v>
      </c>
      <c r="BW517" s="61" t="e">
        <f t="shared" si="88"/>
        <v>#NUM!</v>
      </c>
    </row>
    <row r="518" spans="64:75" ht="20.100000000000001" customHeight="1" x14ac:dyDescent="0.25">
      <c r="BL518" s="62" t="str">
        <f t="shared" si="83"/>
        <v/>
      </c>
      <c r="BM518" s="63" t="str">
        <f t="shared" si="84"/>
        <v/>
      </c>
      <c r="BN518" s="68" t="str">
        <f t="shared" si="85"/>
        <v/>
      </c>
      <c r="BU518" s="51" t="e">
        <f t="shared" si="86"/>
        <v>#VALUE!</v>
      </c>
      <c r="BV518" s="44" t="e">
        <f t="shared" si="87"/>
        <v>#VALUE!</v>
      </c>
      <c r="BW518" s="61" t="e">
        <f t="shared" si="88"/>
        <v>#NUM!</v>
      </c>
    </row>
    <row r="519" spans="64:75" ht="20.100000000000001" customHeight="1" x14ac:dyDescent="0.25">
      <c r="BL519" s="62" t="str">
        <f t="shared" si="83"/>
        <v/>
      </c>
      <c r="BM519" s="63" t="str">
        <f t="shared" si="84"/>
        <v/>
      </c>
      <c r="BN519" s="68" t="str">
        <f t="shared" si="85"/>
        <v/>
      </c>
      <c r="BU519" s="51" t="e">
        <f t="shared" si="86"/>
        <v>#VALUE!</v>
      </c>
      <c r="BV519" s="44" t="e">
        <f t="shared" si="87"/>
        <v>#VALUE!</v>
      </c>
      <c r="BW519" s="61" t="e">
        <f t="shared" si="88"/>
        <v>#NUM!</v>
      </c>
    </row>
    <row r="520" spans="64:75" ht="20.100000000000001" customHeight="1" x14ac:dyDescent="0.25">
      <c r="BL520" s="62" t="str">
        <f t="shared" si="83"/>
        <v/>
      </c>
      <c r="BM520" s="63" t="str">
        <f t="shared" si="84"/>
        <v/>
      </c>
      <c r="BN520" s="68" t="str">
        <f t="shared" si="85"/>
        <v/>
      </c>
      <c r="BU520" s="51" t="e">
        <f t="shared" si="86"/>
        <v>#VALUE!</v>
      </c>
      <c r="BV520" s="44" t="e">
        <f t="shared" si="87"/>
        <v>#VALUE!</v>
      </c>
      <c r="BW520" s="61" t="e">
        <f t="shared" si="88"/>
        <v>#NUM!</v>
      </c>
    </row>
    <row r="521" spans="64:75" ht="20.100000000000001" customHeight="1" x14ac:dyDescent="0.25">
      <c r="BL521" s="62" t="str">
        <f t="shared" si="83"/>
        <v/>
      </c>
      <c r="BM521" s="63" t="str">
        <f t="shared" si="84"/>
        <v/>
      </c>
      <c r="BN521" s="68" t="str">
        <f t="shared" si="85"/>
        <v/>
      </c>
      <c r="BU521" s="51" t="e">
        <f t="shared" si="86"/>
        <v>#VALUE!</v>
      </c>
      <c r="BV521" s="44" t="e">
        <f t="shared" si="87"/>
        <v>#VALUE!</v>
      </c>
      <c r="BW521" s="61" t="e">
        <f t="shared" si="88"/>
        <v>#NUM!</v>
      </c>
    </row>
    <row r="522" spans="64:75" ht="20.100000000000001" customHeight="1" x14ac:dyDescent="0.25">
      <c r="BL522" s="62" t="str">
        <f t="shared" si="83"/>
        <v/>
      </c>
      <c r="BM522" s="63" t="str">
        <f t="shared" si="84"/>
        <v/>
      </c>
      <c r="BN522" s="68" t="str">
        <f t="shared" si="85"/>
        <v/>
      </c>
      <c r="BU522" s="51" t="e">
        <f t="shared" si="86"/>
        <v>#VALUE!</v>
      </c>
      <c r="BV522" s="44" t="e">
        <f t="shared" si="87"/>
        <v>#VALUE!</v>
      </c>
      <c r="BW522" s="61" t="e">
        <f t="shared" si="88"/>
        <v>#NUM!</v>
      </c>
    </row>
    <row r="523" spans="64:75" ht="20.100000000000001" customHeight="1" x14ac:dyDescent="0.25">
      <c r="BL523" s="62" t="str">
        <f t="shared" si="83"/>
        <v/>
      </c>
      <c r="BM523" s="63" t="str">
        <f t="shared" si="84"/>
        <v/>
      </c>
      <c r="BN523" s="68" t="str">
        <f t="shared" si="85"/>
        <v/>
      </c>
      <c r="BU523" s="51" t="e">
        <f t="shared" si="86"/>
        <v>#VALUE!</v>
      </c>
      <c r="BV523" s="44" t="e">
        <f t="shared" si="87"/>
        <v>#VALUE!</v>
      </c>
      <c r="BW523" s="61" t="e">
        <f t="shared" si="88"/>
        <v>#NUM!</v>
      </c>
    </row>
    <row r="524" spans="64:75" ht="20.100000000000001" customHeight="1" x14ac:dyDescent="0.25">
      <c r="BL524" s="62" t="str">
        <f t="shared" ref="BL524:BL587" si="89">IF(AND(BL523&gt;BM$6,BL523&lt;&gt;""),BL523-1,"")</f>
        <v/>
      </c>
      <c r="BM524" s="63" t="str">
        <f t="shared" ref="BM524:BM587" si="90">IF(BL524&lt;&gt;"",MAX(BL524,ROUND(BM$6*BM$9^BL524,0)),"")</f>
        <v/>
      </c>
      <c r="BN524" s="68" t="str">
        <f t="shared" ref="BN524:BN587" si="91">IF(BM524&lt;&gt;"",O$12/M$12*BM524,"")</f>
        <v/>
      </c>
      <c r="BU524" s="51" t="e">
        <f t="shared" si="86"/>
        <v>#VALUE!</v>
      </c>
      <c r="BV524" s="44" t="e">
        <f t="shared" si="87"/>
        <v>#VALUE!</v>
      </c>
      <c r="BW524" s="61" t="e">
        <f t="shared" si="88"/>
        <v>#NUM!</v>
      </c>
    </row>
    <row r="525" spans="64:75" ht="20.100000000000001" customHeight="1" x14ac:dyDescent="0.25">
      <c r="BL525" s="62" t="str">
        <f t="shared" si="89"/>
        <v/>
      </c>
      <c r="BM525" s="63" t="str">
        <f t="shared" si="90"/>
        <v/>
      </c>
      <c r="BN525" s="68" t="str">
        <f t="shared" si="91"/>
        <v/>
      </c>
      <c r="BU525" s="51" t="e">
        <f t="shared" si="86"/>
        <v>#VALUE!</v>
      </c>
      <c r="BV525" s="44" t="e">
        <f t="shared" si="87"/>
        <v>#VALUE!</v>
      </c>
      <c r="BW525" s="61" t="e">
        <f t="shared" si="88"/>
        <v>#NUM!</v>
      </c>
    </row>
    <row r="526" spans="64:75" ht="20.100000000000001" customHeight="1" x14ac:dyDescent="0.25">
      <c r="BL526" s="62" t="str">
        <f t="shared" si="89"/>
        <v/>
      </c>
      <c r="BM526" s="63" t="str">
        <f t="shared" si="90"/>
        <v/>
      </c>
      <c r="BN526" s="68" t="str">
        <f t="shared" si="91"/>
        <v/>
      </c>
      <c r="BU526" s="51" t="e">
        <f t="shared" si="86"/>
        <v>#VALUE!</v>
      </c>
      <c r="BV526" s="44" t="e">
        <f t="shared" si="87"/>
        <v>#VALUE!</v>
      </c>
      <c r="BW526" s="61" t="e">
        <f t="shared" si="88"/>
        <v>#NUM!</v>
      </c>
    </row>
    <row r="527" spans="64:75" ht="20.100000000000001" customHeight="1" x14ac:dyDescent="0.25">
      <c r="BL527" s="62" t="str">
        <f t="shared" si="89"/>
        <v/>
      </c>
      <c r="BM527" s="63" t="str">
        <f t="shared" si="90"/>
        <v/>
      </c>
      <c r="BN527" s="68" t="str">
        <f t="shared" si="91"/>
        <v/>
      </c>
      <c r="BU527" s="51" t="e">
        <f t="shared" si="86"/>
        <v>#VALUE!</v>
      </c>
      <c r="BV527" s="44" t="e">
        <f t="shared" si="87"/>
        <v>#VALUE!</v>
      </c>
      <c r="BW527" s="61" t="e">
        <f t="shared" si="88"/>
        <v>#NUM!</v>
      </c>
    </row>
    <row r="528" spans="64:75" ht="20.100000000000001" customHeight="1" x14ac:dyDescent="0.25">
      <c r="BL528" s="62" t="str">
        <f t="shared" si="89"/>
        <v/>
      </c>
      <c r="BM528" s="63" t="str">
        <f t="shared" si="90"/>
        <v/>
      </c>
      <c r="BN528" s="68" t="str">
        <f t="shared" si="91"/>
        <v/>
      </c>
      <c r="BU528" s="51" t="e">
        <f t="shared" si="86"/>
        <v>#VALUE!</v>
      </c>
      <c r="BV528" s="44" t="e">
        <f t="shared" si="87"/>
        <v>#VALUE!</v>
      </c>
      <c r="BW528" s="61" t="e">
        <f t="shared" si="88"/>
        <v>#NUM!</v>
      </c>
    </row>
    <row r="529" spans="64:75" ht="20.100000000000001" customHeight="1" x14ac:dyDescent="0.25">
      <c r="BL529" s="62" t="str">
        <f t="shared" si="89"/>
        <v/>
      </c>
      <c r="BM529" s="63" t="str">
        <f t="shared" si="90"/>
        <v/>
      </c>
      <c r="BN529" s="68" t="str">
        <f t="shared" si="91"/>
        <v/>
      </c>
      <c r="BU529" s="51" t="e">
        <f t="shared" si="86"/>
        <v>#VALUE!</v>
      </c>
      <c r="BV529" s="44" t="e">
        <f t="shared" si="87"/>
        <v>#VALUE!</v>
      </c>
      <c r="BW529" s="61" t="e">
        <f t="shared" si="88"/>
        <v>#NUM!</v>
      </c>
    </row>
    <row r="530" spans="64:75" ht="20.100000000000001" customHeight="1" x14ac:dyDescent="0.25">
      <c r="BL530" s="62" t="str">
        <f t="shared" si="89"/>
        <v/>
      </c>
      <c r="BM530" s="63" t="str">
        <f t="shared" si="90"/>
        <v/>
      </c>
      <c r="BN530" s="68" t="str">
        <f t="shared" si="91"/>
        <v/>
      </c>
      <c r="BU530" s="51" t="e">
        <f t="shared" si="86"/>
        <v>#VALUE!</v>
      </c>
      <c r="BV530" s="44" t="e">
        <f t="shared" si="87"/>
        <v>#VALUE!</v>
      </c>
      <c r="BW530" s="61" t="e">
        <f t="shared" si="88"/>
        <v>#NUM!</v>
      </c>
    </row>
    <row r="531" spans="64:75" ht="20.100000000000001" customHeight="1" x14ac:dyDescent="0.25">
      <c r="BL531" s="62" t="str">
        <f t="shared" si="89"/>
        <v/>
      </c>
      <c r="BM531" s="63" t="str">
        <f t="shared" si="90"/>
        <v/>
      </c>
      <c r="BN531" s="68" t="str">
        <f t="shared" si="91"/>
        <v/>
      </c>
      <c r="BU531" s="51" t="e">
        <f t="shared" si="86"/>
        <v>#VALUE!</v>
      </c>
      <c r="BV531" s="44" t="e">
        <f t="shared" si="87"/>
        <v>#VALUE!</v>
      </c>
      <c r="BW531" s="61" t="e">
        <f t="shared" si="88"/>
        <v>#NUM!</v>
      </c>
    </row>
    <row r="532" spans="64:75" ht="20.100000000000001" customHeight="1" x14ac:dyDescent="0.25">
      <c r="BL532" s="62" t="str">
        <f t="shared" si="89"/>
        <v/>
      </c>
      <c r="BM532" s="63" t="str">
        <f t="shared" si="90"/>
        <v/>
      </c>
      <c r="BN532" s="68" t="str">
        <f t="shared" si="91"/>
        <v/>
      </c>
      <c r="BU532" s="51" t="e">
        <f t="shared" ref="BU532:BU595" si="92">BO532-BN532</f>
        <v>#VALUE!</v>
      </c>
      <c r="BV532" s="44" t="e">
        <f t="shared" ref="BV532:BV595" si="93">BO532/BN532-1</f>
        <v>#VALUE!</v>
      </c>
      <c r="BW532" s="61" t="e">
        <f t="shared" ref="BW532:BW595" si="94">-20*LOG10(BP532/100)</f>
        <v>#NUM!</v>
      </c>
    </row>
    <row r="533" spans="64:75" ht="20.100000000000001" customHeight="1" x14ac:dyDescent="0.25">
      <c r="BL533" s="62" t="str">
        <f t="shared" si="89"/>
        <v/>
      </c>
      <c r="BM533" s="63" t="str">
        <f t="shared" si="90"/>
        <v/>
      </c>
      <c r="BN533" s="68" t="str">
        <f t="shared" si="91"/>
        <v/>
      </c>
      <c r="BU533" s="51" t="e">
        <f t="shared" si="92"/>
        <v>#VALUE!</v>
      </c>
      <c r="BV533" s="44" t="e">
        <f t="shared" si="93"/>
        <v>#VALUE!</v>
      </c>
      <c r="BW533" s="61" t="e">
        <f t="shared" si="94"/>
        <v>#NUM!</v>
      </c>
    </row>
    <row r="534" spans="64:75" ht="20.100000000000001" customHeight="1" x14ac:dyDescent="0.25">
      <c r="BL534" s="62" t="str">
        <f t="shared" si="89"/>
        <v/>
      </c>
      <c r="BM534" s="63" t="str">
        <f t="shared" si="90"/>
        <v/>
      </c>
      <c r="BN534" s="68" t="str">
        <f t="shared" si="91"/>
        <v/>
      </c>
      <c r="BU534" s="51" t="e">
        <f t="shared" si="92"/>
        <v>#VALUE!</v>
      </c>
      <c r="BV534" s="44" t="e">
        <f t="shared" si="93"/>
        <v>#VALUE!</v>
      </c>
      <c r="BW534" s="61" t="e">
        <f t="shared" si="94"/>
        <v>#NUM!</v>
      </c>
    </row>
    <row r="535" spans="64:75" ht="20.100000000000001" customHeight="1" x14ac:dyDescent="0.25">
      <c r="BL535" s="62" t="str">
        <f t="shared" si="89"/>
        <v/>
      </c>
      <c r="BM535" s="63" t="str">
        <f t="shared" si="90"/>
        <v/>
      </c>
      <c r="BN535" s="68" t="str">
        <f t="shared" si="91"/>
        <v/>
      </c>
      <c r="BU535" s="51" t="e">
        <f t="shared" si="92"/>
        <v>#VALUE!</v>
      </c>
      <c r="BV535" s="44" t="e">
        <f t="shared" si="93"/>
        <v>#VALUE!</v>
      </c>
      <c r="BW535" s="61" t="e">
        <f t="shared" si="94"/>
        <v>#NUM!</v>
      </c>
    </row>
    <row r="536" spans="64:75" ht="20.100000000000001" customHeight="1" x14ac:dyDescent="0.25">
      <c r="BL536" s="62" t="str">
        <f t="shared" si="89"/>
        <v/>
      </c>
      <c r="BM536" s="63" t="str">
        <f t="shared" si="90"/>
        <v/>
      </c>
      <c r="BN536" s="68" t="str">
        <f t="shared" si="91"/>
        <v/>
      </c>
      <c r="BU536" s="51" t="e">
        <f t="shared" si="92"/>
        <v>#VALUE!</v>
      </c>
      <c r="BV536" s="44" t="e">
        <f t="shared" si="93"/>
        <v>#VALUE!</v>
      </c>
      <c r="BW536" s="61" t="e">
        <f t="shared" si="94"/>
        <v>#NUM!</v>
      </c>
    </row>
    <row r="537" spans="64:75" ht="20.100000000000001" customHeight="1" x14ac:dyDescent="0.25">
      <c r="BL537" s="62" t="str">
        <f t="shared" si="89"/>
        <v/>
      </c>
      <c r="BM537" s="63" t="str">
        <f t="shared" si="90"/>
        <v/>
      </c>
      <c r="BN537" s="68" t="str">
        <f t="shared" si="91"/>
        <v/>
      </c>
      <c r="BU537" s="51" t="e">
        <f t="shared" si="92"/>
        <v>#VALUE!</v>
      </c>
      <c r="BV537" s="44" t="e">
        <f t="shared" si="93"/>
        <v>#VALUE!</v>
      </c>
      <c r="BW537" s="61" t="e">
        <f t="shared" si="94"/>
        <v>#NUM!</v>
      </c>
    </row>
    <row r="538" spans="64:75" ht="20.100000000000001" customHeight="1" x14ac:dyDescent="0.25">
      <c r="BL538" s="62" t="str">
        <f t="shared" si="89"/>
        <v/>
      </c>
      <c r="BM538" s="63" t="str">
        <f t="shared" si="90"/>
        <v/>
      </c>
      <c r="BN538" s="68" t="str">
        <f t="shared" si="91"/>
        <v/>
      </c>
      <c r="BU538" s="51" t="e">
        <f t="shared" si="92"/>
        <v>#VALUE!</v>
      </c>
      <c r="BV538" s="44" t="e">
        <f t="shared" si="93"/>
        <v>#VALUE!</v>
      </c>
      <c r="BW538" s="61" t="e">
        <f t="shared" si="94"/>
        <v>#NUM!</v>
      </c>
    </row>
    <row r="539" spans="64:75" ht="20.100000000000001" customHeight="1" x14ac:dyDescent="0.25">
      <c r="BL539" s="62" t="str">
        <f t="shared" si="89"/>
        <v/>
      </c>
      <c r="BM539" s="63" t="str">
        <f t="shared" si="90"/>
        <v/>
      </c>
      <c r="BN539" s="68" t="str">
        <f t="shared" si="91"/>
        <v/>
      </c>
      <c r="BU539" s="51" t="e">
        <f t="shared" si="92"/>
        <v>#VALUE!</v>
      </c>
      <c r="BV539" s="44" t="e">
        <f t="shared" si="93"/>
        <v>#VALUE!</v>
      </c>
      <c r="BW539" s="61" t="e">
        <f t="shared" si="94"/>
        <v>#NUM!</v>
      </c>
    </row>
    <row r="540" spans="64:75" ht="20.100000000000001" customHeight="1" x14ac:dyDescent="0.25">
      <c r="BL540" s="62" t="str">
        <f t="shared" si="89"/>
        <v/>
      </c>
      <c r="BM540" s="63" t="str">
        <f t="shared" si="90"/>
        <v/>
      </c>
      <c r="BN540" s="68" t="str">
        <f t="shared" si="91"/>
        <v/>
      </c>
      <c r="BU540" s="51" t="e">
        <f t="shared" si="92"/>
        <v>#VALUE!</v>
      </c>
      <c r="BV540" s="44" t="e">
        <f t="shared" si="93"/>
        <v>#VALUE!</v>
      </c>
      <c r="BW540" s="61" t="e">
        <f t="shared" si="94"/>
        <v>#NUM!</v>
      </c>
    </row>
    <row r="541" spans="64:75" ht="20.100000000000001" customHeight="1" x14ac:dyDescent="0.25">
      <c r="BL541" s="62" t="str">
        <f t="shared" si="89"/>
        <v/>
      </c>
      <c r="BM541" s="63" t="str">
        <f t="shared" si="90"/>
        <v/>
      </c>
      <c r="BN541" s="68" t="str">
        <f t="shared" si="91"/>
        <v/>
      </c>
      <c r="BU541" s="51" t="e">
        <f t="shared" si="92"/>
        <v>#VALUE!</v>
      </c>
      <c r="BV541" s="44" t="e">
        <f t="shared" si="93"/>
        <v>#VALUE!</v>
      </c>
      <c r="BW541" s="61" t="e">
        <f t="shared" si="94"/>
        <v>#NUM!</v>
      </c>
    </row>
    <row r="542" spans="64:75" ht="20.100000000000001" customHeight="1" x14ac:dyDescent="0.25">
      <c r="BL542" s="62" t="str">
        <f t="shared" si="89"/>
        <v/>
      </c>
      <c r="BM542" s="63" t="str">
        <f t="shared" si="90"/>
        <v/>
      </c>
      <c r="BN542" s="68" t="str">
        <f t="shared" si="91"/>
        <v/>
      </c>
      <c r="BU542" s="51" t="e">
        <f t="shared" si="92"/>
        <v>#VALUE!</v>
      </c>
      <c r="BV542" s="44" t="e">
        <f t="shared" si="93"/>
        <v>#VALUE!</v>
      </c>
      <c r="BW542" s="61" t="e">
        <f t="shared" si="94"/>
        <v>#NUM!</v>
      </c>
    </row>
    <row r="543" spans="64:75" ht="20.100000000000001" customHeight="1" x14ac:dyDescent="0.25">
      <c r="BL543" s="62" t="str">
        <f t="shared" si="89"/>
        <v/>
      </c>
      <c r="BM543" s="63" t="str">
        <f t="shared" si="90"/>
        <v/>
      </c>
      <c r="BN543" s="68" t="str">
        <f t="shared" si="91"/>
        <v/>
      </c>
      <c r="BU543" s="51" t="e">
        <f t="shared" si="92"/>
        <v>#VALUE!</v>
      </c>
      <c r="BV543" s="44" t="e">
        <f t="shared" si="93"/>
        <v>#VALUE!</v>
      </c>
      <c r="BW543" s="61" t="e">
        <f t="shared" si="94"/>
        <v>#NUM!</v>
      </c>
    </row>
    <row r="544" spans="64:75" ht="20.100000000000001" customHeight="1" x14ac:dyDescent="0.25">
      <c r="BL544" s="62" t="str">
        <f t="shared" si="89"/>
        <v/>
      </c>
      <c r="BM544" s="63" t="str">
        <f t="shared" si="90"/>
        <v/>
      </c>
      <c r="BN544" s="68" t="str">
        <f t="shared" si="91"/>
        <v/>
      </c>
      <c r="BU544" s="51" t="e">
        <f t="shared" si="92"/>
        <v>#VALUE!</v>
      </c>
      <c r="BV544" s="44" t="e">
        <f t="shared" si="93"/>
        <v>#VALUE!</v>
      </c>
      <c r="BW544" s="61" t="e">
        <f t="shared" si="94"/>
        <v>#NUM!</v>
      </c>
    </row>
    <row r="545" spans="64:75" ht="20.100000000000001" customHeight="1" x14ac:dyDescent="0.25">
      <c r="BL545" s="62" t="str">
        <f t="shared" si="89"/>
        <v/>
      </c>
      <c r="BM545" s="63" t="str">
        <f t="shared" si="90"/>
        <v/>
      </c>
      <c r="BN545" s="68" t="str">
        <f t="shared" si="91"/>
        <v/>
      </c>
      <c r="BU545" s="51" t="e">
        <f t="shared" si="92"/>
        <v>#VALUE!</v>
      </c>
      <c r="BV545" s="44" t="e">
        <f t="shared" si="93"/>
        <v>#VALUE!</v>
      </c>
      <c r="BW545" s="61" t="e">
        <f t="shared" si="94"/>
        <v>#NUM!</v>
      </c>
    </row>
    <row r="546" spans="64:75" ht="20.100000000000001" customHeight="1" x14ac:dyDescent="0.25">
      <c r="BL546" s="62" t="str">
        <f t="shared" si="89"/>
        <v/>
      </c>
      <c r="BM546" s="63" t="str">
        <f t="shared" si="90"/>
        <v/>
      </c>
      <c r="BN546" s="68" t="str">
        <f t="shared" si="91"/>
        <v/>
      </c>
      <c r="BU546" s="51" t="e">
        <f t="shared" si="92"/>
        <v>#VALUE!</v>
      </c>
      <c r="BV546" s="44" t="e">
        <f t="shared" si="93"/>
        <v>#VALUE!</v>
      </c>
      <c r="BW546" s="61" t="e">
        <f t="shared" si="94"/>
        <v>#NUM!</v>
      </c>
    </row>
    <row r="547" spans="64:75" ht="20.100000000000001" customHeight="1" x14ac:dyDescent="0.25">
      <c r="BL547" s="62" t="str">
        <f t="shared" si="89"/>
        <v/>
      </c>
      <c r="BM547" s="63" t="str">
        <f t="shared" si="90"/>
        <v/>
      </c>
      <c r="BN547" s="68" t="str">
        <f t="shared" si="91"/>
        <v/>
      </c>
      <c r="BU547" s="51" t="e">
        <f t="shared" si="92"/>
        <v>#VALUE!</v>
      </c>
      <c r="BV547" s="44" t="e">
        <f t="shared" si="93"/>
        <v>#VALUE!</v>
      </c>
      <c r="BW547" s="61" t="e">
        <f t="shared" si="94"/>
        <v>#NUM!</v>
      </c>
    </row>
    <row r="548" spans="64:75" ht="20.100000000000001" customHeight="1" x14ac:dyDescent="0.25">
      <c r="BL548" s="62" t="str">
        <f t="shared" si="89"/>
        <v/>
      </c>
      <c r="BM548" s="63" t="str">
        <f t="shared" si="90"/>
        <v/>
      </c>
      <c r="BN548" s="68" t="str">
        <f t="shared" si="91"/>
        <v/>
      </c>
      <c r="BU548" s="51" t="e">
        <f t="shared" si="92"/>
        <v>#VALUE!</v>
      </c>
      <c r="BV548" s="44" t="e">
        <f t="shared" si="93"/>
        <v>#VALUE!</v>
      </c>
      <c r="BW548" s="61" t="e">
        <f t="shared" si="94"/>
        <v>#NUM!</v>
      </c>
    </row>
    <row r="549" spans="64:75" ht="20.100000000000001" customHeight="1" x14ac:dyDescent="0.25">
      <c r="BL549" s="62" t="str">
        <f t="shared" si="89"/>
        <v/>
      </c>
      <c r="BM549" s="63" t="str">
        <f t="shared" si="90"/>
        <v/>
      </c>
      <c r="BN549" s="68" t="str">
        <f t="shared" si="91"/>
        <v/>
      </c>
      <c r="BU549" s="51" t="e">
        <f t="shared" si="92"/>
        <v>#VALUE!</v>
      </c>
      <c r="BV549" s="44" t="e">
        <f t="shared" si="93"/>
        <v>#VALUE!</v>
      </c>
      <c r="BW549" s="61" t="e">
        <f t="shared" si="94"/>
        <v>#NUM!</v>
      </c>
    </row>
    <row r="550" spans="64:75" ht="20.100000000000001" customHeight="1" x14ac:dyDescent="0.25">
      <c r="BL550" s="62" t="str">
        <f t="shared" si="89"/>
        <v/>
      </c>
      <c r="BM550" s="63" t="str">
        <f t="shared" si="90"/>
        <v/>
      </c>
      <c r="BN550" s="68" t="str">
        <f t="shared" si="91"/>
        <v/>
      </c>
      <c r="BU550" s="51" t="e">
        <f t="shared" si="92"/>
        <v>#VALUE!</v>
      </c>
      <c r="BV550" s="44" t="e">
        <f t="shared" si="93"/>
        <v>#VALUE!</v>
      </c>
      <c r="BW550" s="61" t="e">
        <f t="shared" si="94"/>
        <v>#NUM!</v>
      </c>
    </row>
    <row r="551" spans="64:75" ht="20.100000000000001" customHeight="1" x14ac:dyDescent="0.25">
      <c r="BL551" s="62" t="str">
        <f t="shared" si="89"/>
        <v/>
      </c>
      <c r="BM551" s="63" t="str">
        <f t="shared" si="90"/>
        <v/>
      </c>
      <c r="BN551" s="68" t="str">
        <f t="shared" si="91"/>
        <v/>
      </c>
      <c r="BU551" s="51" t="e">
        <f t="shared" si="92"/>
        <v>#VALUE!</v>
      </c>
      <c r="BV551" s="44" t="e">
        <f t="shared" si="93"/>
        <v>#VALUE!</v>
      </c>
      <c r="BW551" s="61" t="e">
        <f t="shared" si="94"/>
        <v>#NUM!</v>
      </c>
    </row>
    <row r="552" spans="64:75" ht="20.100000000000001" customHeight="1" x14ac:dyDescent="0.25">
      <c r="BL552" s="62" t="str">
        <f t="shared" si="89"/>
        <v/>
      </c>
      <c r="BM552" s="63" t="str">
        <f t="shared" si="90"/>
        <v/>
      </c>
      <c r="BN552" s="68" t="str">
        <f t="shared" si="91"/>
        <v/>
      </c>
      <c r="BU552" s="51" t="e">
        <f t="shared" si="92"/>
        <v>#VALUE!</v>
      </c>
      <c r="BV552" s="44" t="e">
        <f t="shared" si="93"/>
        <v>#VALUE!</v>
      </c>
      <c r="BW552" s="61" t="e">
        <f t="shared" si="94"/>
        <v>#NUM!</v>
      </c>
    </row>
    <row r="553" spans="64:75" ht="20.100000000000001" customHeight="1" x14ac:dyDescent="0.25">
      <c r="BL553" s="62" t="str">
        <f t="shared" si="89"/>
        <v/>
      </c>
      <c r="BM553" s="63" t="str">
        <f t="shared" si="90"/>
        <v/>
      </c>
      <c r="BN553" s="68" t="str">
        <f t="shared" si="91"/>
        <v/>
      </c>
      <c r="BU553" s="51" t="e">
        <f t="shared" si="92"/>
        <v>#VALUE!</v>
      </c>
      <c r="BV553" s="44" t="e">
        <f t="shared" si="93"/>
        <v>#VALUE!</v>
      </c>
      <c r="BW553" s="61" t="e">
        <f t="shared" si="94"/>
        <v>#NUM!</v>
      </c>
    </row>
    <row r="554" spans="64:75" ht="20.100000000000001" customHeight="1" x14ac:dyDescent="0.25">
      <c r="BL554" s="62" t="str">
        <f t="shared" si="89"/>
        <v/>
      </c>
      <c r="BM554" s="63" t="str">
        <f t="shared" si="90"/>
        <v/>
      </c>
      <c r="BN554" s="68" t="str">
        <f t="shared" si="91"/>
        <v/>
      </c>
      <c r="BU554" s="51" t="e">
        <f t="shared" si="92"/>
        <v>#VALUE!</v>
      </c>
      <c r="BV554" s="44" t="e">
        <f t="shared" si="93"/>
        <v>#VALUE!</v>
      </c>
      <c r="BW554" s="61" t="e">
        <f t="shared" si="94"/>
        <v>#NUM!</v>
      </c>
    </row>
    <row r="555" spans="64:75" ht="20.100000000000001" customHeight="1" x14ac:dyDescent="0.25">
      <c r="BL555" s="62" t="str">
        <f t="shared" si="89"/>
        <v/>
      </c>
      <c r="BM555" s="63" t="str">
        <f t="shared" si="90"/>
        <v/>
      </c>
      <c r="BN555" s="68" t="str">
        <f t="shared" si="91"/>
        <v/>
      </c>
      <c r="BU555" s="51" t="e">
        <f t="shared" si="92"/>
        <v>#VALUE!</v>
      </c>
      <c r="BV555" s="44" t="e">
        <f t="shared" si="93"/>
        <v>#VALUE!</v>
      </c>
      <c r="BW555" s="61" t="e">
        <f t="shared" si="94"/>
        <v>#NUM!</v>
      </c>
    </row>
    <row r="556" spans="64:75" ht="20.100000000000001" customHeight="1" x14ac:dyDescent="0.25">
      <c r="BL556" s="62" t="str">
        <f t="shared" si="89"/>
        <v/>
      </c>
      <c r="BM556" s="63" t="str">
        <f t="shared" si="90"/>
        <v/>
      </c>
      <c r="BN556" s="68" t="str">
        <f t="shared" si="91"/>
        <v/>
      </c>
      <c r="BU556" s="51" t="e">
        <f t="shared" si="92"/>
        <v>#VALUE!</v>
      </c>
      <c r="BV556" s="44" t="e">
        <f t="shared" si="93"/>
        <v>#VALUE!</v>
      </c>
      <c r="BW556" s="61" t="e">
        <f t="shared" si="94"/>
        <v>#NUM!</v>
      </c>
    </row>
    <row r="557" spans="64:75" ht="20.100000000000001" customHeight="1" x14ac:dyDescent="0.25">
      <c r="BL557" s="62" t="str">
        <f t="shared" si="89"/>
        <v/>
      </c>
      <c r="BM557" s="63" t="str">
        <f t="shared" si="90"/>
        <v/>
      </c>
      <c r="BN557" s="68" t="str">
        <f t="shared" si="91"/>
        <v/>
      </c>
      <c r="BU557" s="51" t="e">
        <f t="shared" si="92"/>
        <v>#VALUE!</v>
      </c>
      <c r="BV557" s="44" t="e">
        <f t="shared" si="93"/>
        <v>#VALUE!</v>
      </c>
      <c r="BW557" s="61" t="e">
        <f t="shared" si="94"/>
        <v>#NUM!</v>
      </c>
    </row>
    <row r="558" spans="64:75" ht="20.100000000000001" customHeight="1" x14ac:dyDescent="0.25">
      <c r="BL558" s="62" t="str">
        <f t="shared" si="89"/>
        <v/>
      </c>
      <c r="BM558" s="63" t="str">
        <f t="shared" si="90"/>
        <v/>
      </c>
      <c r="BN558" s="68" t="str">
        <f t="shared" si="91"/>
        <v/>
      </c>
      <c r="BU558" s="51" t="e">
        <f t="shared" si="92"/>
        <v>#VALUE!</v>
      </c>
      <c r="BV558" s="44" t="e">
        <f t="shared" si="93"/>
        <v>#VALUE!</v>
      </c>
      <c r="BW558" s="61" t="e">
        <f t="shared" si="94"/>
        <v>#NUM!</v>
      </c>
    </row>
    <row r="559" spans="64:75" ht="20.100000000000001" customHeight="1" x14ac:dyDescent="0.25">
      <c r="BL559" s="62" t="str">
        <f t="shared" si="89"/>
        <v/>
      </c>
      <c r="BM559" s="63" t="str">
        <f t="shared" si="90"/>
        <v/>
      </c>
      <c r="BN559" s="68" t="str">
        <f t="shared" si="91"/>
        <v/>
      </c>
      <c r="BU559" s="51" t="e">
        <f t="shared" si="92"/>
        <v>#VALUE!</v>
      </c>
      <c r="BV559" s="44" t="e">
        <f t="shared" si="93"/>
        <v>#VALUE!</v>
      </c>
      <c r="BW559" s="61" t="e">
        <f t="shared" si="94"/>
        <v>#NUM!</v>
      </c>
    </row>
    <row r="560" spans="64:75" ht="20.100000000000001" customHeight="1" x14ac:dyDescent="0.25">
      <c r="BL560" s="62" t="str">
        <f t="shared" si="89"/>
        <v/>
      </c>
      <c r="BM560" s="63" t="str">
        <f t="shared" si="90"/>
        <v/>
      </c>
      <c r="BN560" s="68" t="str">
        <f t="shared" si="91"/>
        <v/>
      </c>
      <c r="BU560" s="51" t="e">
        <f t="shared" si="92"/>
        <v>#VALUE!</v>
      </c>
      <c r="BV560" s="44" t="e">
        <f t="shared" si="93"/>
        <v>#VALUE!</v>
      </c>
      <c r="BW560" s="61" t="e">
        <f t="shared" si="94"/>
        <v>#NUM!</v>
      </c>
    </row>
    <row r="561" spans="64:75" ht="20.100000000000001" customHeight="1" x14ac:dyDescent="0.25">
      <c r="BL561" s="62" t="str">
        <f t="shared" si="89"/>
        <v/>
      </c>
      <c r="BM561" s="63" t="str">
        <f t="shared" si="90"/>
        <v/>
      </c>
      <c r="BN561" s="68" t="str">
        <f t="shared" si="91"/>
        <v/>
      </c>
      <c r="BU561" s="51" t="e">
        <f t="shared" si="92"/>
        <v>#VALUE!</v>
      </c>
      <c r="BV561" s="44" t="e">
        <f t="shared" si="93"/>
        <v>#VALUE!</v>
      </c>
      <c r="BW561" s="61" t="e">
        <f t="shared" si="94"/>
        <v>#NUM!</v>
      </c>
    </row>
    <row r="562" spans="64:75" ht="20.100000000000001" customHeight="1" x14ac:dyDescent="0.25">
      <c r="BL562" s="62" t="str">
        <f t="shared" si="89"/>
        <v/>
      </c>
      <c r="BM562" s="63" t="str">
        <f t="shared" si="90"/>
        <v/>
      </c>
      <c r="BN562" s="68" t="str">
        <f t="shared" si="91"/>
        <v/>
      </c>
      <c r="BU562" s="51" t="e">
        <f t="shared" si="92"/>
        <v>#VALUE!</v>
      </c>
      <c r="BV562" s="44" t="e">
        <f t="shared" si="93"/>
        <v>#VALUE!</v>
      </c>
      <c r="BW562" s="61" t="e">
        <f t="shared" si="94"/>
        <v>#NUM!</v>
      </c>
    </row>
    <row r="563" spans="64:75" ht="20.100000000000001" customHeight="1" x14ac:dyDescent="0.25">
      <c r="BL563" s="62" t="str">
        <f t="shared" si="89"/>
        <v/>
      </c>
      <c r="BM563" s="63" t="str">
        <f t="shared" si="90"/>
        <v/>
      </c>
      <c r="BN563" s="68" t="str">
        <f t="shared" si="91"/>
        <v/>
      </c>
      <c r="BU563" s="51" t="e">
        <f t="shared" si="92"/>
        <v>#VALUE!</v>
      </c>
      <c r="BV563" s="44" t="e">
        <f t="shared" si="93"/>
        <v>#VALUE!</v>
      </c>
      <c r="BW563" s="61" t="e">
        <f t="shared" si="94"/>
        <v>#NUM!</v>
      </c>
    </row>
    <row r="564" spans="64:75" ht="20.100000000000001" customHeight="1" x14ac:dyDescent="0.25">
      <c r="BL564" s="62" t="str">
        <f t="shared" si="89"/>
        <v/>
      </c>
      <c r="BM564" s="63" t="str">
        <f t="shared" si="90"/>
        <v/>
      </c>
      <c r="BN564" s="68" t="str">
        <f t="shared" si="91"/>
        <v/>
      </c>
      <c r="BU564" s="51" t="e">
        <f t="shared" si="92"/>
        <v>#VALUE!</v>
      </c>
      <c r="BV564" s="44" t="e">
        <f t="shared" si="93"/>
        <v>#VALUE!</v>
      </c>
      <c r="BW564" s="61" t="e">
        <f t="shared" si="94"/>
        <v>#NUM!</v>
      </c>
    </row>
    <row r="565" spans="64:75" ht="20.100000000000001" customHeight="1" x14ac:dyDescent="0.25">
      <c r="BL565" s="62" t="str">
        <f t="shared" si="89"/>
        <v/>
      </c>
      <c r="BM565" s="63" t="str">
        <f t="shared" si="90"/>
        <v/>
      </c>
      <c r="BN565" s="68" t="str">
        <f t="shared" si="91"/>
        <v/>
      </c>
      <c r="BU565" s="51" t="e">
        <f t="shared" si="92"/>
        <v>#VALUE!</v>
      </c>
      <c r="BV565" s="44" t="e">
        <f t="shared" si="93"/>
        <v>#VALUE!</v>
      </c>
      <c r="BW565" s="61" t="e">
        <f t="shared" si="94"/>
        <v>#NUM!</v>
      </c>
    </row>
    <row r="566" spans="64:75" ht="20.100000000000001" customHeight="1" x14ac:dyDescent="0.25">
      <c r="BL566" s="62" t="str">
        <f t="shared" si="89"/>
        <v/>
      </c>
      <c r="BM566" s="63" t="str">
        <f t="shared" si="90"/>
        <v/>
      </c>
      <c r="BN566" s="68" t="str">
        <f t="shared" si="91"/>
        <v/>
      </c>
      <c r="BU566" s="51" t="e">
        <f t="shared" si="92"/>
        <v>#VALUE!</v>
      </c>
      <c r="BV566" s="44" t="e">
        <f t="shared" si="93"/>
        <v>#VALUE!</v>
      </c>
      <c r="BW566" s="61" t="e">
        <f t="shared" si="94"/>
        <v>#NUM!</v>
      </c>
    </row>
    <row r="567" spans="64:75" ht="20.100000000000001" customHeight="1" x14ac:dyDescent="0.25">
      <c r="BL567" s="62" t="str">
        <f t="shared" si="89"/>
        <v/>
      </c>
      <c r="BM567" s="63" t="str">
        <f t="shared" si="90"/>
        <v/>
      </c>
      <c r="BN567" s="68" t="str">
        <f t="shared" si="91"/>
        <v/>
      </c>
      <c r="BU567" s="51" t="e">
        <f t="shared" si="92"/>
        <v>#VALUE!</v>
      </c>
      <c r="BV567" s="44" t="e">
        <f t="shared" si="93"/>
        <v>#VALUE!</v>
      </c>
      <c r="BW567" s="61" t="e">
        <f t="shared" si="94"/>
        <v>#NUM!</v>
      </c>
    </row>
    <row r="568" spans="64:75" ht="20.100000000000001" customHeight="1" x14ac:dyDescent="0.25">
      <c r="BL568" s="62" t="str">
        <f t="shared" si="89"/>
        <v/>
      </c>
      <c r="BM568" s="63" t="str">
        <f t="shared" si="90"/>
        <v/>
      </c>
      <c r="BN568" s="68" t="str">
        <f t="shared" si="91"/>
        <v/>
      </c>
      <c r="BU568" s="51" t="e">
        <f t="shared" si="92"/>
        <v>#VALUE!</v>
      </c>
      <c r="BV568" s="44" t="e">
        <f t="shared" si="93"/>
        <v>#VALUE!</v>
      </c>
      <c r="BW568" s="61" t="e">
        <f t="shared" si="94"/>
        <v>#NUM!</v>
      </c>
    </row>
    <row r="569" spans="64:75" ht="20.100000000000001" customHeight="1" x14ac:dyDescent="0.25">
      <c r="BL569" s="62" t="str">
        <f t="shared" si="89"/>
        <v/>
      </c>
      <c r="BM569" s="63" t="str">
        <f t="shared" si="90"/>
        <v/>
      </c>
      <c r="BN569" s="68" t="str">
        <f t="shared" si="91"/>
        <v/>
      </c>
      <c r="BU569" s="51" t="e">
        <f t="shared" si="92"/>
        <v>#VALUE!</v>
      </c>
      <c r="BV569" s="44" t="e">
        <f t="shared" si="93"/>
        <v>#VALUE!</v>
      </c>
      <c r="BW569" s="61" t="e">
        <f t="shared" si="94"/>
        <v>#NUM!</v>
      </c>
    </row>
    <row r="570" spans="64:75" ht="20.100000000000001" customHeight="1" x14ac:dyDescent="0.25">
      <c r="BL570" s="62" t="str">
        <f t="shared" si="89"/>
        <v/>
      </c>
      <c r="BM570" s="63" t="str">
        <f t="shared" si="90"/>
        <v/>
      </c>
      <c r="BN570" s="68" t="str">
        <f t="shared" si="91"/>
        <v/>
      </c>
      <c r="BU570" s="51" t="e">
        <f t="shared" si="92"/>
        <v>#VALUE!</v>
      </c>
      <c r="BV570" s="44" t="e">
        <f t="shared" si="93"/>
        <v>#VALUE!</v>
      </c>
      <c r="BW570" s="61" t="e">
        <f t="shared" si="94"/>
        <v>#NUM!</v>
      </c>
    </row>
    <row r="571" spans="64:75" ht="20.100000000000001" customHeight="1" x14ac:dyDescent="0.25">
      <c r="BL571" s="62" t="str">
        <f t="shared" si="89"/>
        <v/>
      </c>
      <c r="BM571" s="63" t="str">
        <f t="shared" si="90"/>
        <v/>
      </c>
      <c r="BN571" s="68" t="str">
        <f t="shared" si="91"/>
        <v/>
      </c>
      <c r="BU571" s="51" t="e">
        <f t="shared" si="92"/>
        <v>#VALUE!</v>
      </c>
      <c r="BV571" s="44" t="e">
        <f t="shared" si="93"/>
        <v>#VALUE!</v>
      </c>
      <c r="BW571" s="61" t="e">
        <f t="shared" si="94"/>
        <v>#NUM!</v>
      </c>
    </row>
    <row r="572" spans="64:75" ht="20.100000000000001" customHeight="1" x14ac:dyDescent="0.25">
      <c r="BL572" s="62" t="str">
        <f t="shared" si="89"/>
        <v/>
      </c>
      <c r="BM572" s="63" t="str">
        <f t="shared" si="90"/>
        <v/>
      </c>
      <c r="BN572" s="68" t="str">
        <f t="shared" si="91"/>
        <v/>
      </c>
      <c r="BU572" s="51" t="e">
        <f t="shared" si="92"/>
        <v>#VALUE!</v>
      </c>
      <c r="BV572" s="44" t="e">
        <f t="shared" si="93"/>
        <v>#VALUE!</v>
      </c>
      <c r="BW572" s="61" t="e">
        <f t="shared" si="94"/>
        <v>#NUM!</v>
      </c>
    </row>
    <row r="573" spans="64:75" ht="20.100000000000001" customHeight="1" x14ac:dyDescent="0.25">
      <c r="BL573" s="62" t="str">
        <f t="shared" si="89"/>
        <v/>
      </c>
      <c r="BM573" s="63" t="str">
        <f t="shared" si="90"/>
        <v/>
      </c>
      <c r="BN573" s="68" t="str">
        <f t="shared" si="91"/>
        <v/>
      </c>
      <c r="BU573" s="51" t="e">
        <f t="shared" si="92"/>
        <v>#VALUE!</v>
      </c>
      <c r="BV573" s="44" t="e">
        <f t="shared" si="93"/>
        <v>#VALUE!</v>
      </c>
      <c r="BW573" s="61" t="e">
        <f t="shared" si="94"/>
        <v>#NUM!</v>
      </c>
    </row>
    <row r="574" spans="64:75" ht="20.100000000000001" customHeight="1" x14ac:dyDescent="0.25">
      <c r="BL574" s="62" t="str">
        <f t="shared" si="89"/>
        <v/>
      </c>
      <c r="BM574" s="63" t="str">
        <f t="shared" si="90"/>
        <v/>
      </c>
      <c r="BN574" s="68" t="str">
        <f t="shared" si="91"/>
        <v/>
      </c>
      <c r="BU574" s="51" t="e">
        <f t="shared" si="92"/>
        <v>#VALUE!</v>
      </c>
      <c r="BV574" s="44" t="e">
        <f t="shared" si="93"/>
        <v>#VALUE!</v>
      </c>
      <c r="BW574" s="61" t="e">
        <f t="shared" si="94"/>
        <v>#NUM!</v>
      </c>
    </row>
    <row r="575" spans="64:75" ht="20.100000000000001" customHeight="1" x14ac:dyDescent="0.25">
      <c r="BL575" s="62" t="str">
        <f t="shared" si="89"/>
        <v/>
      </c>
      <c r="BM575" s="63" t="str">
        <f t="shared" si="90"/>
        <v/>
      </c>
      <c r="BN575" s="68" t="str">
        <f t="shared" si="91"/>
        <v/>
      </c>
      <c r="BU575" s="51" t="e">
        <f t="shared" si="92"/>
        <v>#VALUE!</v>
      </c>
      <c r="BV575" s="44" t="e">
        <f t="shared" si="93"/>
        <v>#VALUE!</v>
      </c>
      <c r="BW575" s="61" t="e">
        <f t="shared" si="94"/>
        <v>#NUM!</v>
      </c>
    </row>
    <row r="576" spans="64:75" ht="20.100000000000001" customHeight="1" x14ac:dyDescent="0.25">
      <c r="BL576" s="62" t="str">
        <f t="shared" si="89"/>
        <v/>
      </c>
      <c r="BM576" s="63" t="str">
        <f t="shared" si="90"/>
        <v/>
      </c>
      <c r="BN576" s="68" t="str">
        <f t="shared" si="91"/>
        <v/>
      </c>
      <c r="BU576" s="51" t="e">
        <f t="shared" si="92"/>
        <v>#VALUE!</v>
      </c>
      <c r="BV576" s="44" t="e">
        <f t="shared" si="93"/>
        <v>#VALUE!</v>
      </c>
      <c r="BW576" s="61" t="e">
        <f t="shared" si="94"/>
        <v>#NUM!</v>
      </c>
    </row>
    <row r="577" spans="64:75" ht="20.100000000000001" customHeight="1" x14ac:dyDescent="0.25">
      <c r="BL577" s="62" t="str">
        <f t="shared" si="89"/>
        <v/>
      </c>
      <c r="BM577" s="63" t="str">
        <f t="shared" si="90"/>
        <v/>
      </c>
      <c r="BN577" s="68" t="str">
        <f t="shared" si="91"/>
        <v/>
      </c>
      <c r="BU577" s="51" t="e">
        <f t="shared" si="92"/>
        <v>#VALUE!</v>
      </c>
      <c r="BV577" s="44" t="e">
        <f t="shared" si="93"/>
        <v>#VALUE!</v>
      </c>
      <c r="BW577" s="61" t="e">
        <f t="shared" si="94"/>
        <v>#NUM!</v>
      </c>
    </row>
    <row r="578" spans="64:75" ht="20.100000000000001" customHeight="1" x14ac:dyDescent="0.25">
      <c r="BL578" s="62" t="str">
        <f t="shared" si="89"/>
        <v/>
      </c>
      <c r="BM578" s="63" t="str">
        <f t="shared" si="90"/>
        <v/>
      </c>
      <c r="BN578" s="68" t="str">
        <f t="shared" si="91"/>
        <v/>
      </c>
      <c r="BU578" s="51" t="e">
        <f t="shared" si="92"/>
        <v>#VALUE!</v>
      </c>
      <c r="BV578" s="44" t="e">
        <f t="shared" si="93"/>
        <v>#VALUE!</v>
      </c>
      <c r="BW578" s="61" t="e">
        <f t="shared" si="94"/>
        <v>#NUM!</v>
      </c>
    </row>
    <row r="579" spans="64:75" ht="20.100000000000001" customHeight="1" x14ac:dyDescent="0.25">
      <c r="BL579" s="62" t="str">
        <f t="shared" si="89"/>
        <v/>
      </c>
      <c r="BM579" s="63" t="str">
        <f t="shared" si="90"/>
        <v/>
      </c>
      <c r="BN579" s="68" t="str">
        <f t="shared" si="91"/>
        <v/>
      </c>
      <c r="BU579" s="51" t="e">
        <f t="shared" si="92"/>
        <v>#VALUE!</v>
      </c>
      <c r="BV579" s="44" t="e">
        <f t="shared" si="93"/>
        <v>#VALUE!</v>
      </c>
      <c r="BW579" s="61" t="e">
        <f t="shared" si="94"/>
        <v>#NUM!</v>
      </c>
    </row>
    <row r="580" spans="64:75" ht="20.100000000000001" customHeight="1" x14ac:dyDescent="0.25">
      <c r="BL580" s="62" t="str">
        <f t="shared" si="89"/>
        <v/>
      </c>
      <c r="BM580" s="63" t="str">
        <f t="shared" si="90"/>
        <v/>
      </c>
      <c r="BN580" s="68" t="str">
        <f t="shared" si="91"/>
        <v/>
      </c>
      <c r="BU580" s="51" t="e">
        <f t="shared" si="92"/>
        <v>#VALUE!</v>
      </c>
      <c r="BV580" s="44" t="e">
        <f t="shared" si="93"/>
        <v>#VALUE!</v>
      </c>
      <c r="BW580" s="61" t="e">
        <f t="shared" si="94"/>
        <v>#NUM!</v>
      </c>
    </row>
    <row r="581" spans="64:75" ht="20.100000000000001" customHeight="1" x14ac:dyDescent="0.25">
      <c r="BL581" s="62" t="str">
        <f t="shared" si="89"/>
        <v/>
      </c>
      <c r="BM581" s="63" t="str">
        <f t="shared" si="90"/>
        <v/>
      </c>
      <c r="BN581" s="68" t="str">
        <f t="shared" si="91"/>
        <v/>
      </c>
      <c r="BU581" s="51" t="e">
        <f t="shared" si="92"/>
        <v>#VALUE!</v>
      </c>
      <c r="BV581" s="44" t="e">
        <f t="shared" si="93"/>
        <v>#VALUE!</v>
      </c>
      <c r="BW581" s="61" t="e">
        <f t="shared" si="94"/>
        <v>#NUM!</v>
      </c>
    </row>
    <row r="582" spans="64:75" ht="20.100000000000001" customHeight="1" x14ac:dyDescent="0.25">
      <c r="BL582" s="62" t="str">
        <f t="shared" si="89"/>
        <v/>
      </c>
      <c r="BM582" s="63" t="str">
        <f t="shared" si="90"/>
        <v/>
      </c>
      <c r="BN582" s="68" t="str">
        <f t="shared" si="91"/>
        <v/>
      </c>
      <c r="BU582" s="51" t="e">
        <f t="shared" si="92"/>
        <v>#VALUE!</v>
      </c>
      <c r="BV582" s="44" t="e">
        <f t="shared" si="93"/>
        <v>#VALUE!</v>
      </c>
      <c r="BW582" s="61" t="e">
        <f t="shared" si="94"/>
        <v>#NUM!</v>
      </c>
    </row>
    <row r="583" spans="64:75" ht="20.100000000000001" customHeight="1" x14ac:dyDescent="0.25">
      <c r="BL583" s="62" t="str">
        <f t="shared" si="89"/>
        <v/>
      </c>
      <c r="BM583" s="63" t="str">
        <f t="shared" si="90"/>
        <v/>
      </c>
      <c r="BN583" s="68" t="str">
        <f t="shared" si="91"/>
        <v/>
      </c>
      <c r="BU583" s="51" t="e">
        <f t="shared" si="92"/>
        <v>#VALUE!</v>
      </c>
      <c r="BV583" s="44" t="e">
        <f t="shared" si="93"/>
        <v>#VALUE!</v>
      </c>
      <c r="BW583" s="61" t="e">
        <f t="shared" si="94"/>
        <v>#NUM!</v>
      </c>
    </row>
    <row r="584" spans="64:75" ht="20.100000000000001" customHeight="1" x14ac:dyDescent="0.25">
      <c r="BL584" s="62" t="str">
        <f t="shared" si="89"/>
        <v/>
      </c>
      <c r="BM584" s="63" t="str">
        <f t="shared" si="90"/>
        <v/>
      </c>
      <c r="BN584" s="68" t="str">
        <f t="shared" si="91"/>
        <v/>
      </c>
      <c r="BU584" s="51" t="e">
        <f t="shared" si="92"/>
        <v>#VALUE!</v>
      </c>
      <c r="BV584" s="44" t="e">
        <f t="shared" si="93"/>
        <v>#VALUE!</v>
      </c>
      <c r="BW584" s="61" t="e">
        <f t="shared" si="94"/>
        <v>#NUM!</v>
      </c>
    </row>
    <row r="585" spans="64:75" ht="20.100000000000001" customHeight="1" x14ac:dyDescent="0.25">
      <c r="BL585" s="62" t="str">
        <f t="shared" si="89"/>
        <v/>
      </c>
      <c r="BM585" s="63" t="str">
        <f t="shared" si="90"/>
        <v/>
      </c>
      <c r="BN585" s="68" t="str">
        <f t="shared" si="91"/>
        <v/>
      </c>
      <c r="BU585" s="51" t="e">
        <f t="shared" si="92"/>
        <v>#VALUE!</v>
      </c>
      <c r="BV585" s="44" t="e">
        <f t="shared" si="93"/>
        <v>#VALUE!</v>
      </c>
      <c r="BW585" s="61" t="e">
        <f t="shared" si="94"/>
        <v>#NUM!</v>
      </c>
    </row>
    <row r="586" spans="64:75" ht="20.100000000000001" customHeight="1" x14ac:dyDescent="0.25">
      <c r="BL586" s="62" t="str">
        <f t="shared" si="89"/>
        <v/>
      </c>
      <c r="BM586" s="63" t="str">
        <f t="shared" si="90"/>
        <v/>
      </c>
      <c r="BN586" s="68" t="str">
        <f t="shared" si="91"/>
        <v/>
      </c>
      <c r="BU586" s="51" t="e">
        <f t="shared" si="92"/>
        <v>#VALUE!</v>
      </c>
      <c r="BV586" s="44" t="e">
        <f t="shared" si="93"/>
        <v>#VALUE!</v>
      </c>
      <c r="BW586" s="61" t="e">
        <f t="shared" si="94"/>
        <v>#NUM!</v>
      </c>
    </row>
    <row r="587" spans="64:75" ht="20.100000000000001" customHeight="1" x14ac:dyDescent="0.25">
      <c r="BL587" s="62" t="str">
        <f t="shared" si="89"/>
        <v/>
      </c>
      <c r="BM587" s="63" t="str">
        <f t="shared" si="90"/>
        <v/>
      </c>
      <c r="BN587" s="68" t="str">
        <f t="shared" si="91"/>
        <v/>
      </c>
      <c r="BU587" s="51" t="e">
        <f t="shared" si="92"/>
        <v>#VALUE!</v>
      </c>
      <c r="BV587" s="44" t="e">
        <f t="shared" si="93"/>
        <v>#VALUE!</v>
      </c>
      <c r="BW587" s="61" t="e">
        <f t="shared" si="94"/>
        <v>#NUM!</v>
      </c>
    </row>
    <row r="588" spans="64:75" ht="20.100000000000001" customHeight="1" x14ac:dyDescent="0.25">
      <c r="BL588" s="62" t="str">
        <f t="shared" ref="BL588:BL651" si="95">IF(AND(BL587&gt;BM$6,BL587&lt;&gt;""),BL587-1,"")</f>
        <v/>
      </c>
      <c r="BM588" s="63" t="str">
        <f t="shared" ref="BM588:BM651" si="96">IF(BL588&lt;&gt;"",MAX(BL588,ROUND(BM$6*BM$9^BL588,0)),"")</f>
        <v/>
      </c>
      <c r="BN588" s="68" t="str">
        <f t="shared" ref="BN588:BN651" si="97">IF(BM588&lt;&gt;"",O$12/M$12*BM588,"")</f>
        <v/>
      </c>
      <c r="BU588" s="51" t="e">
        <f t="shared" si="92"/>
        <v>#VALUE!</v>
      </c>
      <c r="BV588" s="44" t="e">
        <f t="shared" si="93"/>
        <v>#VALUE!</v>
      </c>
      <c r="BW588" s="61" t="e">
        <f t="shared" si="94"/>
        <v>#NUM!</v>
      </c>
    </row>
    <row r="589" spans="64:75" ht="20.100000000000001" customHeight="1" x14ac:dyDescent="0.25">
      <c r="BL589" s="62" t="str">
        <f t="shared" si="95"/>
        <v/>
      </c>
      <c r="BM589" s="63" t="str">
        <f t="shared" si="96"/>
        <v/>
      </c>
      <c r="BN589" s="68" t="str">
        <f t="shared" si="97"/>
        <v/>
      </c>
      <c r="BU589" s="51" t="e">
        <f t="shared" si="92"/>
        <v>#VALUE!</v>
      </c>
      <c r="BV589" s="44" t="e">
        <f t="shared" si="93"/>
        <v>#VALUE!</v>
      </c>
      <c r="BW589" s="61" t="e">
        <f t="shared" si="94"/>
        <v>#NUM!</v>
      </c>
    </row>
    <row r="590" spans="64:75" ht="20.100000000000001" customHeight="1" x14ac:dyDescent="0.25">
      <c r="BL590" s="62" t="str">
        <f t="shared" si="95"/>
        <v/>
      </c>
      <c r="BM590" s="63" t="str">
        <f t="shared" si="96"/>
        <v/>
      </c>
      <c r="BN590" s="68" t="str">
        <f t="shared" si="97"/>
        <v/>
      </c>
      <c r="BU590" s="51" t="e">
        <f t="shared" si="92"/>
        <v>#VALUE!</v>
      </c>
      <c r="BV590" s="44" t="e">
        <f t="shared" si="93"/>
        <v>#VALUE!</v>
      </c>
      <c r="BW590" s="61" t="e">
        <f t="shared" si="94"/>
        <v>#NUM!</v>
      </c>
    </row>
    <row r="591" spans="64:75" ht="20.100000000000001" customHeight="1" x14ac:dyDescent="0.25">
      <c r="BL591" s="62" t="str">
        <f t="shared" si="95"/>
        <v/>
      </c>
      <c r="BM591" s="63" t="str">
        <f t="shared" si="96"/>
        <v/>
      </c>
      <c r="BN591" s="68" t="str">
        <f t="shared" si="97"/>
        <v/>
      </c>
      <c r="BU591" s="51" t="e">
        <f t="shared" si="92"/>
        <v>#VALUE!</v>
      </c>
      <c r="BV591" s="44" t="e">
        <f t="shared" si="93"/>
        <v>#VALUE!</v>
      </c>
      <c r="BW591" s="61" t="e">
        <f t="shared" si="94"/>
        <v>#NUM!</v>
      </c>
    </row>
    <row r="592" spans="64:75" ht="20.100000000000001" customHeight="1" x14ac:dyDescent="0.25">
      <c r="BL592" s="62" t="str">
        <f t="shared" si="95"/>
        <v/>
      </c>
      <c r="BM592" s="63" t="str">
        <f t="shared" si="96"/>
        <v/>
      </c>
      <c r="BN592" s="68" t="str">
        <f t="shared" si="97"/>
        <v/>
      </c>
      <c r="BU592" s="51" t="e">
        <f t="shared" si="92"/>
        <v>#VALUE!</v>
      </c>
      <c r="BV592" s="44" t="e">
        <f t="shared" si="93"/>
        <v>#VALUE!</v>
      </c>
      <c r="BW592" s="61" t="e">
        <f t="shared" si="94"/>
        <v>#NUM!</v>
      </c>
    </row>
    <row r="593" spans="64:75" ht="20.100000000000001" customHeight="1" x14ac:dyDescent="0.25">
      <c r="BL593" s="62" t="str">
        <f t="shared" si="95"/>
        <v/>
      </c>
      <c r="BM593" s="63" t="str">
        <f t="shared" si="96"/>
        <v/>
      </c>
      <c r="BN593" s="68" t="str">
        <f t="shared" si="97"/>
        <v/>
      </c>
      <c r="BU593" s="51" t="e">
        <f t="shared" si="92"/>
        <v>#VALUE!</v>
      </c>
      <c r="BV593" s="44" t="e">
        <f t="shared" si="93"/>
        <v>#VALUE!</v>
      </c>
      <c r="BW593" s="61" t="e">
        <f t="shared" si="94"/>
        <v>#NUM!</v>
      </c>
    </row>
    <row r="594" spans="64:75" ht="20.100000000000001" customHeight="1" x14ac:dyDescent="0.25">
      <c r="BL594" s="62" t="str">
        <f t="shared" si="95"/>
        <v/>
      </c>
      <c r="BM594" s="63" t="str">
        <f t="shared" si="96"/>
        <v/>
      </c>
      <c r="BN594" s="68" t="str">
        <f t="shared" si="97"/>
        <v/>
      </c>
      <c r="BU594" s="51" t="e">
        <f t="shared" si="92"/>
        <v>#VALUE!</v>
      </c>
      <c r="BV594" s="44" t="e">
        <f t="shared" si="93"/>
        <v>#VALUE!</v>
      </c>
      <c r="BW594" s="61" t="e">
        <f t="shared" si="94"/>
        <v>#NUM!</v>
      </c>
    </row>
    <row r="595" spans="64:75" ht="20.100000000000001" customHeight="1" x14ac:dyDescent="0.25">
      <c r="BL595" s="62" t="str">
        <f t="shared" si="95"/>
        <v/>
      </c>
      <c r="BM595" s="63" t="str">
        <f t="shared" si="96"/>
        <v/>
      </c>
      <c r="BN595" s="68" t="str">
        <f t="shared" si="97"/>
        <v/>
      </c>
      <c r="BU595" s="51" t="e">
        <f t="shared" si="92"/>
        <v>#VALUE!</v>
      </c>
      <c r="BV595" s="44" t="e">
        <f t="shared" si="93"/>
        <v>#VALUE!</v>
      </c>
      <c r="BW595" s="61" t="e">
        <f t="shared" si="94"/>
        <v>#NUM!</v>
      </c>
    </row>
    <row r="596" spans="64:75" ht="20.100000000000001" customHeight="1" x14ac:dyDescent="0.25">
      <c r="BL596" s="62" t="str">
        <f t="shared" si="95"/>
        <v/>
      </c>
      <c r="BM596" s="63" t="str">
        <f t="shared" si="96"/>
        <v/>
      </c>
      <c r="BN596" s="68" t="str">
        <f t="shared" si="97"/>
        <v/>
      </c>
      <c r="BU596" s="51" t="e">
        <f t="shared" ref="BU596:BU659" si="98">BO596-BN596</f>
        <v>#VALUE!</v>
      </c>
      <c r="BV596" s="44" t="e">
        <f t="shared" ref="BV596:BV659" si="99">BO596/BN596-1</f>
        <v>#VALUE!</v>
      </c>
      <c r="BW596" s="61" t="e">
        <f t="shared" ref="BW596:BW659" si="100">-20*LOG10(BP596/100)</f>
        <v>#NUM!</v>
      </c>
    </row>
    <row r="597" spans="64:75" ht="20.100000000000001" customHeight="1" x14ac:dyDescent="0.25">
      <c r="BL597" s="62" t="str">
        <f t="shared" si="95"/>
        <v/>
      </c>
      <c r="BM597" s="63" t="str">
        <f t="shared" si="96"/>
        <v/>
      </c>
      <c r="BN597" s="68" t="str">
        <f t="shared" si="97"/>
        <v/>
      </c>
      <c r="BU597" s="51" t="e">
        <f t="shared" si="98"/>
        <v>#VALUE!</v>
      </c>
      <c r="BV597" s="44" t="e">
        <f t="shared" si="99"/>
        <v>#VALUE!</v>
      </c>
      <c r="BW597" s="61" t="e">
        <f t="shared" si="100"/>
        <v>#NUM!</v>
      </c>
    </row>
    <row r="598" spans="64:75" ht="20.100000000000001" customHeight="1" x14ac:dyDescent="0.25">
      <c r="BL598" s="62" t="str">
        <f t="shared" si="95"/>
        <v/>
      </c>
      <c r="BM598" s="63" t="str">
        <f t="shared" si="96"/>
        <v/>
      </c>
      <c r="BN598" s="68" t="str">
        <f t="shared" si="97"/>
        <v/>
      </c>
      <c r="BU598" s="51" t="e">
        <f t="shared" si="98"/>
        <v>#VALUE!</v>
      </c>
      <c r="BV598" s="44" t="e">
        <f t="shared" si="99"/>
        <v>#VALUE!</v>
      </c>
      <c r="BW598" s="61" t="e">
        <f t="shared" si="100"/>
        <v>#NUM!</v>
      </c>
    </row>
    <row r="599" spans="64:75" ht="20.100000000000001" customHeight="1" x14ac:dyDescent="0.25">
      <c r="BL599" s="62" t="str">
        <f t="shared" si="95"/>
        <v/>
      </c>
      <c r="BM599" s="63" t="str">
        <f t="shared" si="96"/>
        <v/>
      </c>
      <c r="BN599" s="68" t="str">
        <f t="shared" si="97"/>
        <v/>
      </c>
      <c r="BU599" s="51" t="e">
        <f t="shared" si="98"/>
        <v>#VALUE!</v>
      </c>
      <c r="BV599" s="44" t="e">
        <f t="shared" si="99"/>
        <v>#VALUE!</v>
      </c>
      <c r="BW599" s="61" t="e">
        <f t="shared" si="100"/>
        <v>#NUM!</v>
      </c>
    </row>
    <row r="600" spans="64:75" ht="20.100000000000001" customHeight="1" x14ac:dyDescent="0.25">
      <c r="BL600" s="62" t="str">
        <f t="shared" si="95"/>
        <v/>
      </c>
      <c r="BM600" s="63" t="str">
        <f t="shared" si="96"/>
        <v/>
      </c>
      <c r="BN600" s="68" t="str">
        <f t="shared" si="97"/>
        <v/>
      </c>
      <c r="BU600" s="51" t="e">
        <f t="shared" si="98"/>
        <v>#VALUE!</v>
      </c>
      <c r="BV600" s="44" t="e">
        <f t="shared" si="99"/>
        <v>#VALUE!</v>
      </c>
      <c r="BW600" s="61" t="e">
        <f t="shared" si="100"/>
        <v>#NUM!</v>
      </c>
    </row>
    <row r="601" spans="64:75" ht="20.100000000000001" customHeight="1" x14ac:dyDescent="0.25">
      <c r="BL601" s="62" t="str">
        <f t="shared" si="95"/>
        <v/>
      </c>
      <c r="BM601" s="63" t="str">
        <f t="shared" si="96"/>
        <v/>
      </c>
      <c r="BN601" s="68" t="str">
        <f t="shared" si="97"/>
        <v/>
      </c>
      <c r="BU601" s="51" t="e">
        <f t="shared" si="98"/>
        <v>#VALUE!</v>
      </c>
      <c r="BV601" s="44" t="e">
        <f t="shared" si="99"/>
        <v>#VALUE!</v>
      </c>
      <c r="BW601" s="61" t="e">
        <f t="shared" si="100"/>
        <v>#NUM!</v>
      </c>
    </row>
    <row r="602" spans="64:75" ht="20.100000000000001" customHeight="1" x14ac:dyDescent="0.25">
      <c r="BL602" s="62" t="str">
        <f t="shared" si="95"/>
        <v/>
      </c>
      <c r="BM602" s="63" t="str">
        <f t="shared" si="96"/>
        <v/>
      </c>
      <c r="BN602" s="68" t="str">
        <f t="shared" si="97"/>
        <v/>
      </c>
      <c r="BU602" s="51" t="e">
        <f t="shared" si="98"/>
        <v>#VALUE!</v>
      </c>
      <c r="BV602" s="44" t="e">
        <f t="shared" si="99"/>
        <v>#VALUE!</v>
      </c>
      <c r="BW602" s="61" t="e">
        <f t="shared" si="100"/>
        <v>#NUM!</v>
      </c>
    </row>
    <row r="603" spans="64:75" ht="20.100000000000001" customHeight="1" x14ac:dyDescent="0.25">
      <c r="BL603" s="62" t="str">
        <f t="shared" si="95"/>
        <v/>
      </c>
      <c r="BM603" s="63" t="str">
        <f t="shared" si="96"/>
        <v/>
      </c>
      <c r="BN603" s="68" t="str">
        <f t="shared" si="97"/>
        <v/>
      </c>
      <c r="BU603" s="51" t="e">
        <f t="shared" si="98"/>
        <v>#VALUE!</v>
      </c>
      <c r="BV603" s="44" t="e">
        <f t="shared" si="99"/>
        <v>#VALUE!</v>
      </c>
      <c r="BW603" s="61" t="e">
        <f t="shared" si="100"/>
        <v>#NUM!</v>
      </c>
    </row>
    <row r="604" spans="64:75" ht="20.100000000000001" customHeight="1" x14ac:dyDescent="0.25">
      <c r="BL604" s="62" t="str">
        <f t="shared" si="95"/>
        <v/>
      </c>
      <c r="BM604" s="63" t="str">
        <f t="shared" si="96"/>
        <v/>
      </c>
      <c r="BN604" s="68" t="str">
        <f t="shared" si="97"/>
        <v/>
      </c>
      <c r="BU604" s="51" t="e">
        <f t="shared" si="98"/>
        <v>#VALUE!</v>
      </c>
      <c r="BV604" s="44" t="e">
        <f t="shared" si="99"/>
        <v>#VALUE!</v>
      </c>
      <c r="BW604" s="61" t="e">
        <f t="shared" si="100"/>
        <v>#NUM!</v>
      </c>
    </row>
    <row r="605" spans="64:75" ht="20.100000000000001" customHeight="1" x14ac:dyDescent="0.25">
      <c r="BL605" s="62" t="str">
        <f t="shared" si="95"/>
        <v/>
      </c>
      <c r="BM605" s="63" t="str">
        <f t="shared" si="96"/>
        <v/>
      </c>
      <c r="BN605" s="68" t="str">
        <f t="shared" si="97"/>
        <v/>
      </c>
      <c r="BU605" s="51" t="e">
        <f t="shared" si="98"/>
        <v>#VALUE!</v>
      </c>
      <c r="BV605" s="44" t="e">
        <f t="shared" si="99"/>
        <v>#VALUE!</v>
      </c>
      <c r="BW605" s="61" t="e">
        <f t="shared" si="100"/>
        <v>#NUM!</v>
      </c>
    </row>
    <row r="606" spans="64:75" ht="20.100000000000001" customHeight="1" x14ac:dyDescent="0.25">
      <c r="BL606" s="62" t="str">
        <f t="shared" si="95"/>
        <v/>
      </c>
      <c r="BM606" s="63" t="str">
        <f t="shared" si="96"/>
        <v/>
      </c>
      <c r="BN606" s="68" t="str">
        <f t="shared" si="97"/>
        <v/>
      </c>
      <c r="BU606" s="51" t="e">
        <f t="shared" si="98"/>
        <v>#VALUE!</v>
      </c>
      <c r="BV606" s="44" t="e">
        <f t="shared" si="99"/>
        <v>#VALUE!</v>
      </c>
      <c r="BW606" s="61" t="e">
        <f t="shared" si="100"/>
        <v>#NUM!</v>
      </c>
    </row>
    <row r="607" spans="64:75" ht="20.100000000000001" customHeight="1" x14ac:dyDescent="0.25">
      <c r="BL607" s="62" t="str">
        <f t="shared" si="95"/>
        <v/>
      </c>
      <c r="BM607" s="63" t="str">
        <f t="shared" si="96"/>
        <v/>
      </c>
      <c r="BN607" s="68" t="str">
        <f t="shared" si="97"/>
        <v/>
      </c>
      <c r="BU607" s="51" t="e">
        <f t="shared" si="98"/>
        <v>#VALUE!</v>
      </c>
      <c r="BV607" s="44" t="e">
        <f t="shared" si="99"/>
        <v>#VALUE!</v>
      </c>
      <c r="BW607" s="61" t="e">
        <f t="shared" si="100"/>
        <v>#NUM!</v>
      </c>
    </row>
    <row r="608" spans="64:75" ht="20.100000000000001" customHeight="1" x14ac:dyDescent="0.25">
      <c r="BL608" s="62" t="str">
        <f t="shared" si="95"/>
        <v/>
      </c>
      <c r="BM608" s="63" t="str">
        <f t="shared" si="96"/>
        <v/>
      </c>
      <c r="BN608" s="68" t="str">
        <f t="shared" si="97"/>
        <v/>
      </c>
      <c r="BU608" s="51" t="e">
        <f t="shared" si="98"/>
        <v>#VALUE!</v>
      </c>
      <c r="BV608" s="44" t="e">
        <f t="shared" si="99"/>
        <v>#VALUE!</v>
      </c>
      <c r="BW608" s="61" t="e">
        <f t="shared" si="100"/>
        <v>#NUM!</v>
      </c>
    </row>
    <row r="609" spans="64:75" ht="20.100000000000001" customHeight="1" x14ac:dyDescent="0.25">
      <c r="BL609" s="62" t="str">
        <f t="shared" si="95"/>
        <v/>
      </c>
      <c r="BM609" s="63" t="str">
        <f t="shared" si="96"/>
        <v/>
      </c>
      <c r="BN609" s="68" t="str">
        <f t="shared" si="97"/>
        <v/>
      </c>
      <c r="BU609" s="51" t="e">
        <f t="shared" si="98"/>
        <v>#VALUE!</v>
      </c>
      <c r="BV609" s="44" t="e">
        <f t="shared" si="99"/>
        <v>#VALUE!</v>
      </c>
      <c r="BW609" s="61" t="e">
        <f t="shared" si="100"/>
        <v>#NUM!</v>
      </c>
    </row>
    <row r="610" spans="64:75" ht="20.100000000000001" customHeight="1" x14ac:dyDescent="0.25">
      <c r="BL610" s="62" t="str">
        <f t="shared" si="95"/>
        <v/>
      </c>
      <c r="BM610" s="63" t="str">
        <f t="shared" si="96"/>
        <v/>
      </c>
      <c r="BN610" s="68" t="str">
        <f t="shared" si="97"/>
        <v/>
      </c>
      <c r="BU610" s="51" t="e">
        <f t="shared" si="98"/>
        <v>#VALUE!</v>
      </c>
      <c r="BV610" s="44" t="e">
        <f t="shared" si="99"/>
        <v>#VALUE!</v>
      </c>
      <c r="BW610" s="61" t="e">
        <f t="shared" si="100"/>
        <v>#NUM!</v>
      </c>
    </row>
    <row r="611" spans="64:75" ht="20.100000000000001" customHeight="1" x14ac:dyDescent="0.25">
      <c r="BL611" s="62" t="str">
        <f t="shared" si="95"/>
        <v/>
      </c>
      <c r="BM611" s="63" t="str">
        <f t="shared" si="96"/>
        <v/>
      </c>
      <c r="BN611" s="68" t="str">
        <f t="shared" si="97"/>
        <v/>
      </c>
      <c r="BU611" s="51" t="e">
        <f t="shared" si="98"/>
        <v>#VALUE!</v>
      </c>
      <c r="BV611" s="44" t="e">
        <f t="shared" si="99"/>
        <v>#VALUE!</v>
      </c>
      <c r="BW611" s="61" t="e">
        <f t="shared" si="100"/>
        <v>#NUM!</v>
      </c>
    </row>
    <row r="612" spans="64:75" ht="20.100000000000001" customHeight="1" x14ac:dyDescent="0.25">
      <c r="BL612" s="62" t="str">
        <f t="shared" si="95"/>
        <v/>
      </c>
      <c r="BM612" s="63" t="str">
        <f t="shared" si="96"/>
        <v/>
      </c>
      <c r="BN612" s="68" t="str">
        <f t="shared" si="97"/>
        <v/>
      </c>
      <c r="BU612" s="51" t="e">
        <f t="shared" si="98"/>
        <v>#VALUE!</v>
      </c>
      <c r="BV612" s="44" t="e">
        <f t="shared" si="99"/>
        <v>#VALUE!</v>
      </c>
      <c r="BW612" s="61" t="e">
        <f t="shared" si="100"/>
        <v>#NUM!</v>
      </c>
    </row>
    <row r="613" spans="64:75" ht="20.100000000000001" customHeight="1" x14ac:dyDescent="0.25">
      <c r="BL613" s="62" t="str">
        <f t="shared" si="95"/>
        <v/>
      </c>
      <c r="BM613" s="63" t="str">
        <f t="shared" si="96"/>
        <v/>
      </c>
      <c r="BN613" s="68" t="str">
        <f t="shared" si="97"/>
        <v/>
      </c>
      <c r="BU613" s="51" t="e">
        <f t="shared" si="98"/>
        <v>#VALUE!</v>
      </c>
      <c r="BV613" s="44" t="e">
        <f t="shared" si="99"/>
        <v>#VALUE!</v>
      </c>
      <c r="BW613" s="61" t="e">
        <f t="shared" si="100"/>
        <v>#NUM!</v>
      </c>
    </row>
    <row r="614" spans="64:75" ht="20.100000000000001" customHeight="1" x14ac:dyDescent="0.25">
      <c r="BL614" s="62" t="str">
        <f t="shared" si="95"/>
        <v/>
      </c>
      <c r="BM614" s="63" t="str">
        <f t="shared" si="96"/>
        <v/>
      </c>
      <c r="BN614" s="68" t="str">
        <f t="shared" si="97"/>
        <v/>
      </c>
      <c r="BU614" s="51" t="e">
        <f t="shared" si="98"/>
        <v>#VALUE!</v>
      </c>
      <c r="BV614" s="44" t="e">
        <f t="shared" si="99"/>
        <v>#VALUE!</v>
      </c>
      <c r="BW614" s="61" t="e">
        <f t="shared" si="100"/>
        <v>#NUM!</v>
      </c>
    </row>
    <row r="615" spans="64:75" ht="20.100000000000001" customHeight="1" x14ac:dyDescent="0.25">
      <c r="BL615" s="62" t="str">
        <f t="shared" si="95"/>
        <v/>
      </c>
      <c r="BM615" s="63" t="str">
        <f t="shared" si="96"/>
        <v/>
      </c>
      <c r="BN615" s="68" t="str">
        <f t="shared" si="97"/>
        <v/>
      </c>
      <c r="BU615" s="51" t="e">
        <f t="shared" si="98"/>
        <v>#VALUE!</v>
      </c>
      <c r="BV615" s="44" t="e">
        <f t="shared" si="99"/>
        <v>#VALUE!</v>
      </c>
      <c r="BW615" s="61" t="e">
        <f t="shared" si="100"/>
        <v>#NUM!</v>
      </c>
    </row>
    <row r="616" spans="64:75" ht="20.100000000000001" customHeight="1" x14ac:dyDescent="0.25">
      <c r="BL616" s="62" t="str">
        <f t="shared" si="95"/>
        <v/>
      </c>
      <c r="BM616" s="63" t="str">
        <f t="shared" si="96"/>
        <v/>
      </c>
      <c r="BN616" s="68" t="str">
        <f t="shared" si="97"/>
        <v/>
      </c>
      <c r="BU616" s="51" t="e">
        <f t="shared" si="98"/>
        <v>#VALUE!</v>
      </c>
      <c r="BV616" s="44" t="e">
        <f t="shared" si="99"/>
        <v>#VALUE!</v>
      </c>
      <c r="BW616" s="61" t="e">
        <f t="shared" si="100"/>
        <v>#NUM!</v>
      </c>
    </row>
    <row r="617" spans="64:75" ht="20.100000000000001" customHeight="1" x14ac:dyDescent="0.25">
      <c r="BL617" s="62" t="str">
        <f t="shared" si="95"/>
        <v/>
      </c>
      <c r="BM617" s="63" t="str">
        <f t="shared" si="96"/>
        <v/>
      </c>
      <c r="BN617" s="68" t="str">
        <f t="shared" si="97"/>
        <v/>
      </c>
      <c r="BU617" s="51" t="e">
        <f t="shared" si="98"/>
        <v>#VALUE!</v>
      </c>
      <c r="BV617" s="44" t="e">
        <f t="shared" si="99"/>
        <v>#VALUE!</v>
      </c>
      <c r="BW617" s="61" t="e">
        <f t="shared" si="100"/>
        <v>#NUM!</v>
      </c>
    </row>
    <row r="618" spans="64:75" ht="20.100000000000001" customHeight="1" x14ac:dyDescent="0.25">
      <c r="BL618" s="62" t="str">
        <f t="shared" si="95"/>
        <v/>
      </c>
      <c r="BM618" s="63" t="str">
        <f t="shared" si="96"/>
        <v/>
      </c>
      <c r="BN618" s="68" t="str">
        <f t="shared" si="97"/>
        <v/>
      </c>
      <c r="BU618" s="51" t="e">
        <f t="shared" si="98"/>
        <v>#VALUE!</v>
      </c>
      <c r="BV618" s="44" t="e">
        <f t="shared" si="99"/>
        <v>#VALUE!</v>
      </c>
      <c r="BW618" s="61" t="e">
        <f t="shared" si="100"/>
        <v>#NUM!</v>
      </c>
    </row>
    <row r="619" spans="64:75" ht="20.100000000000001" customHeight="1" x14ac:dyDescent="0.25">
      <c r="BL619" s="62" t="str">
        <f t="shared" si="95"/>
        <v/>
      </c>
      <c r="BM619" s="63" t="str">
        <f t="shared" si="96"/>
        <v/>
      </c>
      <c r="BN619" s="68" t="str">
        <f t="shared" si="97"/>
        <v/>
      </c>
      <c r="BU619" s="51" t="e">
        <f t="shared" si="98"/>
        <v>#VALUE!</v>
      </c>
      <c r="BV619" s="44" t="e">
        <f t="shared" si="99"/>
        <v>#VALUE!</v>
      </c>
      <c r="BW619" s="61" t="e">
        <f t="shared" si="100"/>
        <v>#NUM!</v>
      </c>
    </row>
    <row r="620" spans="64:75" ht="20.100000000000001" customHeight="1" x14ac:dyDescent="0.25">
      <c r="BL620" s="62" t="str">
        <f t="shared" si="95"/>
        <v/>
      </c>
      <c r="BM620" s="63" t="str">
        <f t="shared" si="96"/>
        <v/>
      </c>
      <c r="BN620" s="68" t="str">
        <f t="shared" si="97"/>
        <v/>
      </c>
      <c r="BU620" s="51" t="e">
        <f t="shared" si="98"/>
        <v>#VALUE!</v>
      </c>
      <c r="BV620" s="44" t="e">
        <f t="shared" si="99"/>
        <v>#VALUE!</v>
      </c>
      <c r="BW620" s="61" t="e">
        <f t="shared" si="100"/>
        <v>#NUM!</v>
      </c>
    </row>
    <row r="621" spans="64:75" ht="20.100000000000001" customHeight="1" x14ac:dyDescent="0.25">
      <c r="BL621" s="62" t="str">
        <f t="shared" si="95"/>
        <v/>
      </c>
      <c r="BM621" s="63" t="str">
        <f t="shared" si="96"/>
        <v/>
      </c>
      <c r="BN621" s="68" t="str">
        <f t="shared" si="97"/>
        <v/>
      </c>
      <c r="BU621" s="51" t="e">
        <f t="shared" si="98"/>
        <v>#VALUE!</v>
      </c>
      <c r="BV621" s="44" t="e">
        <f t="shared" si="99"/>
        <v>#VALUE!</v>
      </c>
      <c r="BW621" s="61" t="e">
        <f t="shared" si="100"/>
        <v>#NUM!</v>
      </c>
    </row>
    <row r="622" spans="64:75" ht="20.100000000000001" customHeight="1" x14ac:dyDescent="0.25">
      <c r="BL622" s="62" t="str">
        <f t="shared" si="95"/>
        <v/>
      </c>
      <c r="BM622" s="63" t="str">
        <f t="shared" si="96"/>
        <v/>
      </c>
      <c r="BN622" s="68" t="str">
        <f t="shared" si="97"/>
        <v/>
      </c>
      <c r="BU622" s="51" t="e">
        <f t="shared" si="98"/>
        <v>#VALUE!</v>
      </c>
      <c r="BV622" s="44" t="e">
        <f t="shared" si="99"/>
        <v>#VALUE!</v>
      </c>
      <c r="BW622" s="61" t="e">
        <f t="shared" si="100"/>
        <v>#NUM!</v>
      </c>
    </row>
    <row r="623" spans="64:75" ht="20.100000000000001" customHeight="1" x14ac:dyDescent="0.25">
      <c r="BL623" s="62" t="str">
        <f t="shared" si="95"/>
        <v/>
      </c>
      <c r="BM623" s="63" t="str">
        <f t="shared" si="96"/>
        <v/>
      </c>
      <c r="BN623" s="68" t="str">
        <f t="shared" si="97"/>
        <v/>
      </c>
      <c r="BU623" s="51" t="e">
        <f t="shared" si="98"/>
        <v>#VALUE!</v>
      </c>
      <c r="BV623" s="44" t="e">
        <f t="shared" si="99"/>
        <v>#VALUE!</v>
      </c>
      <c r="BW623" s="61" t="e">
        <f t="shared" si="100"/>
        <v>#NUM!</v>
      </c>
    </row>
    <row r="624" spans="64:75" ht="20.100000000000001" customHeight="1" x14ac:dyDescent="0.25">
      <c r="BL624" s="62" t="str">
        <f t="shared" si="95"/>
        <v/>
      </c>
      <c r="BM624" s="63" t="str">
        <f t="shared" si="96"/>
        <v/>
      </c>
      <c r="BN624" s="68" t="str">
        <f t="shared" si="97"/>
        <v/>
      </c>
      <c r="BU624" s="51" t="e">
        <f t="shared" si="98"/>
        <v>#VALUE!</v>
      </c>
      <c r="BV624" s="44" t="e">
        <f t="shared" si="99"/>
        <v>#VALUE!</v>
      </c>
      <c r="BW624" s="61" t="e">
        <f t="shared" si="100"/>
        <v>#NUM!</v>
      </c>
    </row>
    <row r="625" spans="64:75" ht="20.100000000000001" customHeight="1" x14ac:dyDescent="0.25">
      <c r="BL625" s="62" t="str">
        <f t="shared" si="95"/>
        <v/>
      </c>
      <c r="BM625" s="63" t="str">
        <f t="shared" si="96"/>
        <v/>
      </c>
      <c r="BN625" s="68" t="str">
        <f t="shared" si="97"/>
        <v/>
      </c>
      <c r="BU625" s="51" t="e">
        <f t="shared" si="98"/>
        <v>#VALUE!</v>
      </c>
      <c r="BV625" s="44" t="e">
        <f t="shared" si="99"/>
        <v>#VALUE!</v>
      </c>
      <c r="BW625" s="61" t="e">
        <f t="shared" si="100"/>
        <v>#NUM!</v>
      </c>
    </row>
    <row r="626" spans="64:75" ht="20.100000000000001" customHeight="1" x14ac:dyDescent="0.25">
      <c r="BL626" s="62" t="str">
        <f t="shared" si="95"/>
        <v/>
      </c>
      <c r="BM626" s="63" t="str">
        <f t="shared" si="96"/>
        <v/>
      </c>
      <c r="BN626" s="68" t="str">
        <f t="shared" si="97"/>
        <v/>
      </c>
      <c r="BU626" s="51" t="e">
        <f t="shared" si="98"/>
        <v>#VALUE!</v>
      </c>
      <c r="BV626" s="44" t="e">
        <f t="shared" si="99"/>
        <v>#VALUE!</v>
      </c>
      <c r="BW626" s="61" t="e">
        <f t="shared" si="100"/>
        <v>#NUM!</v>
      </c>
    </row>
    <row r="627" spans="64:75" ht="20.100000000000001" customHeight="1" x14ac:dyDescent="0.25">
      <c r="BL627" s="62" t="str">
        <f t="shared" si="95"/>
        <v/>
      </c>
      <c r="BM627" s="63" t="str">
        <f t="shared" si="96"/>
        <v/>
      </c>
      <c r="BN627" s="68" t="str">
        <f t="shared" si="97"/>
        <v/>
      </c>
      <c r="BU627" s="51" t="e">
        <f t="shared" si="98"/>
        <v>#VALUE!</v>
      </c>
      <c r="BV627" s="44" t="e">
        <f t="shared" si="99"/>
        <v>#VALUE!</v>
      </c>
      <c r="BW627" s="61" t="e">
        <f t="shared" si="100"/>
        <v>#NUM!</v>
      </c>
    </row>
    <row r="628" spans="64:75" ht="20.100000000000001" customHeight="1" x14ac:dyDescent="0.25">
      <c r="BL628" s="62" t="str">
        <f t="shared" si="95"/>
        <v/>
      </c>
      <c r="BM628" s="63" t="str">
        <f t="shared" si="96"/>
        <v/>
      </c>
      <c r="BN628" s="68" t="str">
        <f t="shared" si="97"/>
        <v/>
      </c>
      <c r="BU628" s="51" t="e">
        <f t="shared" si="98"/>
        <v>#VALUE!</v>
      </c>
      <c r="BV628" s="44" t="e">
        <f t="shared" si="99"/>
        <v>#VALUE!</v>
      </c>
      <c r="BW628" s="61" t="e">
        <f t="shared" si="100"/>
        <v>#NUM!</v>
      </c>
    </row>
    <row r="629" spans="64:75" ht="20.100000000000001" customHeight="1" x14ac:dyDescent="0.25">
      <c r="BL629" s="62" t="str">
        <f t="shared" si="95"/>
        <v/>
      </c>
      <c r="BM629" s="63" t="str">
        <f t="shared" si="96"/>
        <v/>
      </c>
      <c r="BN629" s="68" t="str">
        <f t="shared" si="97"/>
        <v/>
      </c>
      <c r="BU629" s="51" t="e">
        <f t="shared" si="98"/>
        <v>#VALUE!</v>
      </c>
      <c r="BV629" s="44" t="e">
        <f t="shared" si="99"/>
        <v>#VALUE!</v>
      </c>
      <c r="BW629" s="61" t="e">
        <f t="shared" si="100"/>
        <v>#NUM!</v>
      </c>
    </row>
    <row r="630" spans="64:75" ht="20.100000000000001" customHeight="1" x14ac:dyDescent="0.25">
      <c r="BL630" s="62" t="str">
        <f t="shared" si="95"/>
        <v/>
      </c>
      <c r="BM630" s="63" t="str">
        <f t="shared" si="96"/>
        <v/>
      </c>
      <c r="BN630" s="68" t="str">
        <f t="shared" si="97"/>
        <v/>
      </c>
      <c r="BU630" s="51" t="e">
        <f t="shared" si="98"/>
        <v>#VALUE!</v>
      </c>
      <c r="BV630" s="44" t="e">
        <f t="shared" si="99"/>
        <v>#VALUE!</v>
      </c>
      <c r="BW630" s="61" t="e">
        <f t="shared" si="100"/>
        <v>#NUM!</v>
      </c>
    </row>
    <row r="631" spans="64:75" ht="20.100000000000001" customHeight="1" x14ac:dyDescent="0.25">
      <c r="BL631" s="62" t="str">
        <f t="shared" si="95"/>
        <v/>
      </c>
      <c r="BM631" s="63" t="str">
        <f t="shared" si="96"/>
        <v/>
      </c>
      <c r="BN631" s="68" t="str">
        <f t="shared" si="97"/>
        <v/>
      </c>
      <c r="BU631" s="51" t="e">
        <f t="shared" si="98"/>
        <v>#VALUE!</v>
      </c>
      <c r="BV631" s="44" t="e">
        <f t="shared" si="99"/>
        <v>#VALUE!</v>
      </c>
      <c r="BW631" s="61" t="e">
        <f t="shared" si="100"/>
        <v>#NUM!</v>
      </c>
    </row>
    <row r="632" spans="64:75" ht="20.100000000000001" customHeight="1" x14ac:dyDescent="0.25">
      <c r="BL632" s="62" t="str">
        <f t="shared" si="95"/>
        <v/>
      </c>
      <c r="BM632" s="63" t="str">
        <f t="shared" si="96"/>
        <v/>
      </c>
      <c r="BN632" s="68" t="str">
        <f t="shared" si="97"/>
        <v/>
      </c>
      <c r="BU632" s="51" t="e">
        <f t="shared" si="98"/>
        <v>#VALUE!</v>
      </c>
      <c r="BV632" s="44" t="e">
        <f t="shared" si="99"/>
        <v>#VALUE!</v>
      </c>
      <c r="BW632" s="61" t="e">
        <f t="shared" si="100"/>
        <v>#NUM!</v>
      </c>
    </row>
    <row r="633" spans="64:75" ht="20.100000000000001" customHeight="1" x14ac:dyDescent="0.25">
      <c r="BL633" s="62" t="str">
        <f t="shared" si="95"/>
        <v/>
      </c>
      <c r="BM633" s="63" t="str">
        <f t="shared" si="96"/>
        <v/>
      </c>
      <c r="BN633" s="68" t="str">
        <f t="shared" si="97"/>
        <v/>
      </c>
      <c r="BU633" s="51" t="e">
        <f t="shared" si="98"/>
        <v>#VALUE!</v>
      </c>
      <c r="BV633" s="44" t="e">
        <f t="shared" si="99"/>
        <v>#VALUE!</v>
      </c>
      <c r="BW633" s="61" t="e">
        <f t="shared" si="100"/>
        <v>#NUM!</v>
      </c>
    </row>
    <row r="634" spans="64:75" ht="20.100000000000001" customHeight="1" x14ac:dyDescent="0.25">
      <c r="BL634" s="62" t="str">
        <f t="shared" si="95"/>
        <v/>
      </c>
      <c r="BM634" s="63" t="str">
        <f t="shared" si="96"/>
        <v/>
      </c>
      <c r="BN634" s="68" t="str">
        <f t="shared" si="97"/>
        <v/>
      </c>
      <c r="BU634" s="51" t="e">
        <f t="shared" si="98"/>
        <v>#VALUE!</v>
      </c>
      <c r="BV634" s="44" t="e">
        <f t="shared" si="99"/>
        <v>#VALUE!</v>
      </c>
      <c r="BW634" s="61" t="e">
        <f t="shared" si="100"/>
        <v>#NUM!</v>
      </c>
    </row>
    <row r="635" spans="64:75" ht="20.100000000000001" customHeight="1" x14ac:dyDescent="0.25">
      <c r="BL635" s="62" t="str">
        <f t="shared" si="95"/>
        <v/>
      </c>
      <c r="BM635" s="63" t="str">
        <f t="shared" si="96"/>
        <v/>
      </c>
      <c r="BN635" s="68" t="str">
        <f t="shared" si="97"/>
        <v/>
      </c>
      <c r="BU635" s="51" t="e">
        <f t="shared" si="98"/>
        <v>#VALUE!</v>
      </c>
      <c r="BV635" s="44" t="e">
        <f t="shared" si="99"/>
        <v>#VALUE!</v>
      </c>
      <c r="BW635" s="61" t="e">
        <f t="shared" si="100"/>
        <v>#NUM!</v>
      </c>
    </row>
    <row r="636" spans="64:75" ht="20.100000000000001" customHeight="1" x14ac:dyDescent="0.25">
      <c r="BL636" s="62" t="str">
        <f t="shared" si="95"/>
        <v/>
      </c>
      <c r="BM636" s="63" t="str">
        <f t="shared" si="96"/>
        <v/>
      </c>
      <c r="BN636" s="68" t="str">
        <f t="shared" si="97"/>
        <v/>
      </c>
      <c r="BU636" s="51" t="e">
        <f t="shared" si="98"/>
        <v>#VALUE!</v>
      </c>
      <c r="BV636" s="44" t="e">
        <f t="shared" si="99"/>
        <v>#VALUE!</v>
      </c>
      <c r="BW636" s="61" t="e">
        <f t="shared" si="100"/>
        <v>#NUM!</v>
      </c>
    </row>
    <row r="637" spans="64:75" ht="20.100000000000001" customHeight="1" x14ac:dyDescent="0.25">
      <c r="BL637" s="62" t="str">
        <f t="shared" si="95"/>
        <v/>
      </c>
      <c r="BM637" s="63" t="str">
        <f t="shared" si="96"/>
        <v/>
      </c>
      <c r="BN637" s="68" t="str">
        <f t="shared" si="97"/>
        <v/>
      </c>
      <c r="BU637" s="51" t="e">
        <f t="shared" si="98"/>
        <v>#VALUE!</v>
      </c>
      <c r="BV637" s="44" t="e">
        <f t="shared" si="99"/>
        <v>#VALUE!</v>
      </c>
      <c r="BW637" s="61" t="e">
        <f t="shared" si="100"/>
        <v>#NUM!</v>
      </c>
    </row>
    <row r="638" spans="64:75" ht="20.100000000000001" customHeight="1" x14ac:dyDescent="0.25">
      <c r="BL638" s="62" t="str">
        <f t="shared" si="95"/>
        <v/>
      </c>
      <c r="BM638" s="63" t="str">
        <f t="shared" si="96"/>
        <v/>
      </c>
      <c r="BN638" s="68" t="str">
        <f t="shared" si="97"/>
        <v/>
      </c>
      <c r="BU638" s="51" t="e">
        <f t="shared" si="98"/>
        <v>#VALUE!</v>
      </c>
      <c r="BV638" s="44" t="e">
        <f t="shared" si="99"/>
        <v>#VALUE!</v>
      </c>
      <c r="BW638" s="61" t="e">
        <f t="shared" si="100"/>
        <v>#NUM!</v>
      </c>
    </row>
    <row r="639" spans="64:75" ht="20.100000000000001" customHeight="1" x14ac:dyDescent="0.25">
      <c r="BL639" s="62" t="str">
        <f t="shared" si="95"/>
        <v/>
      </c>
      <c r="BM639" s="63" t="str">
        <f t="shared" si="96"/>
        <v/>
      </c>
      <c r="BN639" s="68" t="str">
        <f t="shared" si="97"/>
        <v/>
      </c>
      <c r="BU639" s="51" t="e">
        <f t="shared" si="98"/>
        <v>#VALUE!</v>
      </c>
      <c r="BV639" s="44" t="e">
        <f t="shared" si="99"/>
        <v>#VALUE!</v>
      </c>
      <c r="BW639" s="61" t="e">
        <f t="shared" si="100"/>
        <v>#NUM!</v>
      </c>
    </row>
    <row r="640" spans="64:75" ht="20.100000000000001" customHeight="1" x14ac:dyDescent="0.25">
      <c r="BL640" s="62" t="str">
        <f t="shared" si="95"/>
        <v/>
      </c>
      <c r="BM640" s="63" t="str">
        <f t="shared" si="96"/>
        <v/>
      </c>
      <c r="BN640" s="68" t="str">
        <f t="shared" si="97"/>
        <v/>
      </c>
      <c r="BU640" s="51" t="e">
        <f t="shared" si="98"/>
        <v>#VALUE!</v>
      </c>
      <c r="BV640" s="44" t="e">
        <f t="shared" si="99"/>
        <v>#VALUE!</v>
      </c>
      <c r="BW640" s="61" t="e">
        <f t="shared" si="100"/>
        <v>#NUM!</v>
      </c>
    </row>
    <row r="641" spans="64:75" ht="20.100000000000001" customHeight="1" x14ac:dyDescent="0.25">
      <c r="BL641" s="62" t="str">
        <f t="shared" si="95"/>
        <v/>
      </c>
      <c r="BM641" s="63" t="str">
        <f t="shared" si="96"/>
        <v/>
      </c>
      <c r="BN641" s="68" t="str">
        <f t="shared" si="97"/>
        <v/>
      </c>
      <c r="BU641" s="51" t="e">
        <f t="shared" si="98"/>
        <v>#VALUE!</v>
      </c>
      <c r="BV641" s="44" t="e">
        <f t="shared" si="99"/>
        <v>#VALUE!</v>
      </c>
      <c r="BW641" s="61" t="e">
        <f t="shared" si="100"/>
        <v>#NUM!</v>
      </c>
    </row>
    <row r="642" spans="64:75" ht="20.100000000000001" customHeight="1" x14ac:dyDescent="0.25">
      <c r="BL642" s="62" t="str">
        <f t="shared" si="95"/>
        <v/>
      </c>
      <c r="BM642" s="63" t="str">
        <f t="shared" si="96"/>
        <v/>
      </c>
      <c r="BN642" s="68" t="str">
        <f t="shared" si="97"/>
        <v/>
      </c>
      <c r="BU642" s="51" t="e">
        <f t="shared" si="98"/>
        <v>#VALUE!</v>
      </c>
      <c r="BV642" s="44" t="e">
        <f t="shared" si="99"/>
        <v>#VALUE!</v>
      </c>
      <c r="BW642" s="61" t="e">
        <f t="shared" si="100"/>
        <v>#NUM!</v>
      </c>
    </row>
    <row r="643" spans="64:75" ht="20.100000000000001" customHeight="1" x14ac:dyDescent="0.25">
      <c r="BL643" s="62" t="str">
        <f t="shared" si="95"/>
        <v/>
      </c>
      <c r="BM643" s="63" t="str">
        <f t="shared" si="96"/>
        <v/>
      </c>
      <c r="BN643" s="68" t="str">
        <f t="shared" si="97"/>
        <v/>
      </c>
      <c r="BU643" s="51" t="e">
        <f t="shared" si="98"/>
        <v>#VALUE!</v>
      </c>
      <c r="BV643" s="44" t="e">
        <f t="shared" si="99"/>
        <v>#VALUE!</v>
      </c>
      <c r="BW643" s="61" t="e">
        <f t="shared" si="100"/>
        <v>#NUM!</v>
      </c>
    </row>
    <row r="644" spans="64:75" ht="20.100000000000001" customHeight="1" x14ac:dyDescent="0.25">
      <c r="BL644" s="62" t="str">
        <f t="shared" si="95"/>
        <v/>
      </c>
      <c r="BM644" s="63" t="str">
        <f t="shared" si="96"/>
        <v/>
      </c>
      <c r="BN644" s="68" t="str">
        <f t="shared" si="97"/>
        <v/>
      </c>
      <c r="BU644" s="51" t="e">
        <f t="shared" si="98"/>
        <v>#VALUE!</v>
      </c>
      <c r="BV644" s="44" t="e">
        <f t="shared" si="99"/>
        <v>#VALUE!</v>
      </c>
      <c r="BW644" s="61" t="e">
        <f t="shared" si="100"/>
        <v>#NUM!</v>
      </c>
    </row>
    <row r="645" spans="64:75" ht="20.100000000000001" customHeight="1" x14ac:dyDescent="0.25">
      <c r="BL645" s="62" t="str">
        <f t="shared" si="95"/>
        <v/>
      </c>
      <c r="BM645" s="63" t="str">
        <f t="shared" si="96"/>
        <v/>
      </c>
      <c r="BN645" s="68" t="str">
        <f t="shared" si="97"/>
        <v/>
      </c>
      <c r="BU645" s="51" t="e">
        <f t="shared" si="98"/>
        <v>#VALUE!</v>
      </c>
      <c r="BV645" s="44" t="e">
        <f t="shared" si="99"/>
        <v>#VALUE!</v>
      </c>
      <c r="BW645" s="61" t="e">
        <f t="shared" si="100"/>
        <v>#NUM!</v>
      </c>
    </row>
    <row r="646" spans="64:75" ht="20.100000000000001" customHeight="1" x14ac:dyDescent="0.25">
      <c r="BL646" s="62" t="str">
        <f t="shared" si="95"/>
        <v/>
      </c>
      <c r="BM646" s="63" t="str">
        <f t="shared" si="96"/>
        <v/>
      </c>
      <c r="BN646" s="68" t="str">
        <f t="shared" si="97"/>
        <v/>
      </c>
      <c r="BU646" s="51" t="e">
        <f t="shared" si="98"/>
        <v>#VALUE!</v>
      </c>
      <c r="BV646" s="44" t="e">
        <f t="shared" si="99"/>
        <v>#VALUE!</v>
      </c>
      <c r="BW646" s="61" t="e">
        <f t="shared" si="100"/>
        <v>#NUM!</v>
      </c>
    </row>
    <row r="647" spans="64:75" ht="20.100000000000001" customHeight="1" x14ac:dyDescent="0.25">
      <c r="BL647" s="62" t="str">
        <f t="shared" si="95"/>
        <v/>
      </c>
      <c r="BM647" s="63" t="str">
        <f t="shared" si="96"/>
        <v/>
      </c>
      <c r="BN647" s="68" t="str">
        <f t="shared" si="97"/>
        <v/>
      </c>
      <c r="BU647" s="51" t="e">
        <f t="shared" si="98"/>
        <v>#VALUE!</v>
      </c>
      <c r="BV647" s="44" t="e">
        <f t="shared" si="99"/>
        <v>#VALUE!</v>
      </c>
      <c r="BW647" s="61" t="e">
        <f t="shared" si="100"/>
        <v>#NUM!</v>
      </c>
    </row>
    <row r="648" spans="64:75" ht="20.100000000000001" customHeight="1" x14ac:dyDescent="0.25">
      <c r="BL648" s="62" t="str">
        <f t="shared" si="95"/>
        <v/>
      </c>
      <c r="BM648" s="63" t="str">
        <f t="shared" si="96"/>
        <v/>
      </c>
      <c r="BN648" s="68" t="str">
        <f t="shared" si="97"/>
        <v/>
      </c>
      <c r="BU648" s="51" t="e">
        <f t="shared" si="98"/>
        <v>#VALUE!</v>
      </c>
      <c r="BV648" s="44" t="e">
        <f t="shared" si="99"/>
        <v>#VALUE!</v>
      </c>
      <c r="BW648" s="61" t="e">
        <f t="shared" si="100"/>
        <v>#NUM!</v>
      </c>
    </row>
    <row r="649" spans="64:75" ht="20.100000000000001" customHeight="1" x14ac:dyDescent="0.25">
      <c r="BL649" s="62" t="str">
        <f t="shared" si="95"/>
        <v/>
      </c>
      <c r="BM649" s="63" t="str">
        <f t="shared" si="96"/>
        <v/>
      </c>
      <c r="BN649" s="68" t="str">
        <f t="shared" si="97"/>
        <v/>
      </c>
      <c r="BU649" s="51" t="e">
        <f t="shared" si="98"/>
        <v>#VALUE!</v>
      </c>
      <c r="BV649" s="44" t="e">
        <f t="shared" si="99"/>
        <v>#VALUE!</v>
      </c>
      <c r="BW649" s="61" t="e">
        <f t="shared" si="100"/>
        <v>#NUM!</v>
      </c>
    </row>
    <row r="650" spans="64:75" ht="20.100000000000001" customHeight="1" x14ac:dyDescent="0.25">
      <c r="BL650" s="62" t="str">
        <f t="shared" si="95"/>
        <v/>
      </c>
      <c r="BM650" s="63" t="str">
        <f t="shared" si="96"/>
        <v/>
      </c>
      <c r="BN650" s="68" t="str">
        <f t="shared" si="97"/>
        <v/>
      </c>
      <c r="BU650" s="51" t="e">
        <f t="shared" si="98"/>
        <v>#VALUE!</v>
      </c>
      <c r="BV650" s="44" t="e">
        <f t="shared" si="99"/>
        <v>#VALUE!</v>
      </c>
      <c r="BW650" s="61" t="e">
        <f t="shared" si="100"/>
        <v>#NUM!</v>
      </c>
    </row>
    <row r="651" spans="64:75" ht="20.100000000000001" customHeight="1" x14ac:dyDescent="0.25">
      <c r="BL651" s="62" t="str">
        <f t="shared" si="95"/>
        <v/>
      </c>
      <c r="BM651" s="63" t="str">
        <f t="shared" si="96"/>
        <v/>
      </c>
      <c r="BN651" s="68" t="str">
        <f t="shared" si="97"/>
        <v/>
      </c>
      <c r="BU651" s="51" t="e">
        <f t="shared" si="98"/>
        <v>#VALUE!</v>
      </c>
      <c r="BV651" s="44" t="e">
        <f t="shared" si="99"/>
        <v>#VALUE!</v>
      </c>
      <c r="BW651" s="61" t="e">
        <f t="shared" si="100"/>
        <v>#NUM!</v>
      </c>
    </row>
    <row r="652" spans="64:75" ht="20.100000000000001" customHeight="1" x14ac:dyDescent="0.25">
      <c r="BL652" s="62" t="str">
        <f t="shared" ref="BL652:BL715" si="101">IF(AND(BL651&gt;BM$6,BL651&lt;&gt;""),BL651-1,"")</f>
        <v/>
      </c>
      <c r="BM652" s="63" t="str">
        <f t="shared" ref="BM652:BM715" si="102">IF(BL652&lt;&gt;"",MAX(BL652,ROUND(BM$6*BM$9^BL652,0)),"")</f>
        <v/>
      </c>
      <c r="BN652" s="68" t="str">
        <f t="shared" ref="BN652:BN715" si="103">IF(BM652&lt;&gt;"",O$12/M$12*BM652,"")</f>
        <v/>
      </c>
      <c r="BU652" s="51" t="e">
        <f t="shared" si="98"/>
        <v>#VALUE!</v>
      </c>
      <c r="BV652" s="44" t="e">
        <f t="shared" si="99"/>
        <v>#VALUE!</v>
      </c>
      <c r="BW652" s="61" t="e">
        <f t="shared" si="100"/>
        <v>#NUM!</v>
      </c>
    </row>
    <row r="653" spans="64:75" ht="20.100000000000001" customHeight="1" x14ac:dyDescent="0.25">
      <c r="BL653" s="62" t="str">
        <f t="shared" si="101"/>
        <v/>
      </c>
      <c r="BM653" s="63" t="str">
        <f t="shared" si="102"/>
        <v/>
      </c>
      <c r="BN653" s="68" t="str">
        <f t="shared" si="103"/>
        <v/>
      </c>
      <c r="BU653" s="51" t="e">
        <f t="shared" si="98"/>
        <v>#VALUE!</v>
      </c>
      <c r="BV653" s="44" t="e">
        <f t="shared" si="99"/>
        <v>#VALUE!</v>
      </c>
      <c r="BW653" s="61" t="e">
        <f t="shared" si="100"/>
        <v>#NUM!</v>
      </c>
    </row>
    <row r="654" spans="64:75" ht="20.100000000000001" customHeight="1" x14ac:dyDescent="0.25">
      <c r="BL654" s="62" t="str">
        <f t="shared" si="101"/>
        <v/>
      </c>
      <c r="BM654" s="63" t="str">
        <f t="shared" si="102"/>
        <v/>
      </c>
      <c r="BN654" s="68" t="str">
        <f t="shared" si="103"/>
        <v/>
      </c>
      <c r="BU654" s="51" t="e">
        <f t="shared" si="98"/>
        <v>#VALUE!</v>
      </c>
      <c r="BV654" s="44" t="e">
        <f t="shared" si="99"/>
        <v>#VALUE!</v>
      </c>
      <c r="BW654" s="61" t="e">
        <f t="shared" si="100"/>
        <v>#NUM!</v>
      </c>
    </row>
    <row r="655" spans="64:75" ht="20.100000000000001" customHeight="1" x14ac:dyDescent="0.25">
      <c r="BL655" s="62" t="str">
        <f t="shared" si="101"/>
        <v/>
      </c>
      <c r="BM655" s="63" t="str">
        <f t="shared" si="102"/>
        <v/>
      </c>
      <c r="BN655" s="68" t="str">
        <f t="shared" si="103"/>
        <v/>
      </c>
      <c r="BU655" s="51" t="e">
        <f t="shared" si="98"/>
        <v>#VALUE!</v>
      </c>
      <c r="BV655" s="44" t="e">
        <f t="shared" si="99"/>
        <v>#VALUE!</v>
      </c>
      <c r="BW655" s="61" t="e">
        <f t="shared" si="100"/>
        <v>#NUM!</v>
      </c>
    </row>
    <row r="656" spans="64:75" ht="20.100000000000001" customHeight="1" x14ac:dyDescent="0.25">
      <c r="BL656" s="62" t="str">
        <f t="shared" si="101"/>
        <v/>
      </c>
      <c r="BM656" s="63" t="str">
        <f t="shared" si="102"/>
        <v/>
      </c>
      <c r="BN656" s="68" t="str">
        <f t="shared" si="103"/>
        <v/>
      </c>
      <c r="BU656" s="51" t="e">
        <f t="shared" si="98"/>
        <v>#VALUE!</v>
      </c>
      <c r="BV656" s="44" t="e">
        <f t="shared" si="99"/>
        <v>#VALUE!</v>
      </c>
      <c r="BW656" s="61" t="e">
        <f t="shared" si="100"/>
        <v>#NUM!</v>
      </c>
    </row>
    <row r="657" spans="64:75" ht="20.100000000000001" customHeight="1" x14ac:dyDescent="0.25">
      <c r="BL657" s="62" t="str">
        <f t="shared" si="101"/>
        <v/>
      </c>
      <c r="BM657" s="63" t="str">
        <f t="shared" si="102"/>
        <v/>
      </c>
      <c r="BN657" s="68" t="str">
        <f t="shared" si="103"/>
        <v/>
      </c>
      <c r="BU657" s="51" t="e">
        <f t="shared" si="98"/>
        <v>#VALUE!</v>
      </c>
      <c r="BV657" s="44" t="e">
        <f t="shared" si="99"/>
        <v>#VALUE!</v>
      </c>
      <c r="BW657" s="61" t="e">
        <f t="shared" si="100"/>
        <v>#NUM!</v>
      </c>
    </row>
    <row r="658" spans="64:75" ht="20.100000000000001" customHeight="1" x14ac:dyDescent="0.25">
      <c r="BL658" s="62" t="str">
        <f t="shared" si="101"/>
        <v/>
      </c>
      <c r="BM658" s="63" t="str">
        <f t="shared" si="102"/>
        <v/>
      </c>
      <c r="BN658" s="68" t="str">
        <f t="shared" si="103"/>
        <v/>
      </c>
      <c r="BU658" s="51" t="e">
        <f t="shared" si="98"/>
        <v>#VALUE!</v>
      </c>
      <c r="BV658" s="44" t="e">
        <f t="shared" si="99"/>
        <v>#VALUE!</v>
      </c>
      <c r="BW658" s="61" t="e">
        <f t="shared" si="100"/>
        <v>#NUM!</v>
      </c>
    </row>
    <row r="659" spans="64:75" ht="20.100000000000001" customHeight="1" x14ac:dyDescent="0.25">
      <c r="BL659" s="62" t="str">
        <f t="shared" si="101"/>
        <v/>
      </c>
      <c r="BM659" s="63" t="str">
        <f t="shared" si="102"/>
        <v/>
      </c>
      <c r="BN659" s="68" t="str">
        <f t="shared" si="103"/>
        <v/>
      </c>
      <c r="BU659" s="51" t="e">
        <f t="shared" si="98"/>
        <v>#VALUE!</v>
      </c>
      <c r="BV659" s="44" t="e">
        <f t="shared" si="99"/>
        <v>#VALUE!</v>
      </c>
      <c r="BW659" s="61" t="e">
        <f t="shared" si="100"/>
        <v>#NUM!</v>
      </c>
    </row>
    <row r="660" spans="64:75" ht="20.100000000000001" customHeight="1" x14ac:dyDescent="0.25">
      <c r="BL660" s="62" t="str">
        <f t="shared" si="101"/>
        <v/>
      </c>
      <c r="BM660" s="63" t="str">
        <f t="shared" si="102"/>
        <v/>
      </c>
      <c r="BN660" s="68" t="str">
        <f t="shared" si="103"/>
        <v/>
      </c>
      <c r="BU660" s="51" t="e">
        <f t="shared" ref="BU660:BU723" si="104">BO660-BN660</f>
        <v>#VALUE!</v>
      </c>
      <c r="BV660" s="44" t="e">
        <f t="shared" ref="BV660:BV723" si="105">BO660/BN660-1</f>
        <v>#VALUE!</v>
      </c>
      <c r="BW660" s="61" t="e">
        <f t="shared" ref="BW660:BW723" si="106">-20*LOG10(BP660/100)</f>
        <v>#NUM!</v>
      </c>
    </row>
    <row r="661" spans="64:75" ht="20.100000000000001" customHeight="1" x14ac:dyDescent="0.25">
      <c r="BL661" s="62" t="str">
        <f t="shared" si="101"/>
        <v/>
      </c>
      <c r="BM661" s="63" t="str">
        <f t="shared" si="102"/>
        <v/>
      </c>
      <c r="BN661" s="68" t="str">
        <f t="shared" si="103"/>
        <v/>
      </c>
      <c r="BU661" s="51" t="e">
        <f t="shared" si="104"/>
        <v>#VALUE!</v>
      </c>
      <c r="BV661" s="44" t="e">
        <f t="shared" si="105"/>
        <v>#VALUE!</v>
      </c>
      <c r="BW661" s="61" t="e">
        <f t="shared" si="106"/>
        <v>#NUM!</v>
      </c>
    </row>
    <row r="662" spans="64:75" ht="20.100000000000001" customHeight="1" x14ac:dyDescent="0.25">
      <c r="BL662" s="62" t="str">
        <f t="shared" si="101"/>
        <v/>
      </c>
      <c r="BM662" s="63" t="str">
        <f t="shared" si="102"/>
        <v/>
      </c>
      <c r="BN662" s="68" t="str">
        <f t="shared" si="103"/>
        <v/>
      </c>
      <c r="BU662" s="51" t="e">
        <f t="shared" si="104"/>
        <v>#VALUE!</v>
      </c>
      <c r="BV662" s="44" t="e">
        <f t="shared" si="105"/>
        <v>#VALUE!</v>
      </c>
      <c r="BW662" s="61" t="e">
        <f t="shared" si="106"/>
        <v>#NUM!</v>
      </c>
    </row>
    <row r="663" spans="64:75" ht="20.100000000000001" customHeight="1" x14ac:dyDescent="0.25">
      <c r="BL663" s="62" t="str">
        <f t="shared" si="101"/>
        <v/>
      </c>
      <c r="BM663" s="63" t="str">
        <f t="shared" si="102"/>
        <v/>
      </c>
      <c r="BN663" s="68" t="str">
        <f t="shared" si="103"/>
        <v/>
      </c>
      <c r="BU663" s="51" t="e">
        <f t="shared" si="104"/>
        <v>#VALUE!</v>
      </c>
      <c r="BV663" s="44" t="e">
        <f t="shared" si="105"/>
        <v>#VALUE!</v>
      </c>
      <c r="BW663" s="61" t="e">
        <f t="shared" si="106"/>
        <v>#NUM!</v>
      </c>
    </row>
    <row r="664" spans="64:75" ht="20.100000000000001" customHeight="1" x14ac:dyDescent="0.25">
      <c r="BL664" s="62" t="str">
        <f t="shared" si="101"/>
        <v/>
      </c>
      <c r="BM664" s="63" t="str">
        <f t="shared" si="102"/>
        <v/>
      </c>
      <c r="BN664" s="68" t="str">
        <f t="shared" si="103"/>
        <v/>
      </c>
      <c r="BU664" s="51" t="e">
        <f t="shared" si="104"/>
        <v>#VALUE!</v>
      </c>
      <c r="BV664" s="44" t="e">
        <f t="shared" si="105"/>
        <v>#VALUE!</v>
      </c>
      <c r="BW664" s="61" t="e">
        <f t="shared" si="106"/>
        <v>#NUM!</v>
      </c>
    </row>
    <row r="665" spans="64:75" ht="20.100000000000001" customHeight="1" x14ac:dyDescent="0.25">
      <c r="BL665" s="62" t="str">
        <f t="shared" si="101"/>
        <v/>
      </c>
      <c r="BM665" s="63" t="str">
        <f t="shared" si="102"/>
        <v/>
      </c>
      <c r="BN665" s="68" t="str">
        <f t="shared" si="103"/>
        <v/>
      </c>
      <c r="BU665" s="51" t="e">
        <f t="shared" si="104"/>
        <v>#VALUE!</v>
      </c>
      <c r="BV665" s="44" t="e">
        <f t="shared" si="105"/>
        <v>#VALUE!</v>
      </c>
      <c r="BW665" s="61" t="e">
        <f t="shared" si="106"/>
        <v>#NUM!</v>
      </c>
    </row>
    <row r="666" spans="64:75" ht="20.100000000000001" customHeight="1" x14ac:dyDescent="0.25">
      <c r="BL666" s="62" t="str">
        <f t="shared" si="101"/>
        <v/>
      </c>
      <c r="BM666" s="63" t="str">
        <f t="shared" si="102"/>
        <v/>
      </c>
      <c r="BN666" s="68" t="str">
        <f t="shared" si="103"/>
        <v/>
      </c>
      <c r="BU666" s="51" t="e">
        <f t="shared" si="104"/>
        <v>#VALUE!</v>
      </c>
      <c r="BV666" s="44" t="e">
        <f t="shared" si="105"/>
        <v>#VALUE!</v>
      </c>
      <c r="BW666" s="61" t="e">
        <f t="shared" si="106"/>
        <v>#NUM!</v>
      </c>
    </row>
    <row r="667" spans="64:75" ht="20.100000000000001" customHeight="1" x14ac:dyDescent="0.25">
      <c r="BL667" s="62" t="str">
        <f t="shared" si="101"/>
        <v/>
      </c>
      <c r="BM667" s="63" t="str">
        <f t="shared" si="102"/>
        <v/>
      </c>
      <c r="BN667" s="68" t="str">
        <f t="shared" si="103"/>
        <v/>
      </c>
      <c r="BU667" s="51" t="e">
        <f t="shared" si="104"/>
        <v>#VALUE!</v>
      </c>
      <c r="BV667" s="44" t="e">
        <f t="shared" si="105"/>
        <v>#VALUE!</v>
      </c>
      <c r="BW667" s="61" t="e">
        <f t="shared" si="106"/>
        <v>#NUM!</v>
      </c>
    </row>
    <row r="668" spans="64:75" ht="20.100000000000001" customHeight="1" x14ac:dyDescent="0.25">
      <c r="BL668" s="62" t="str">
        <f t="shared" si="101"/>
        <v/>
      </c>
      <c r="BM668" s="63" t="str">
        <f t="shared" si="102"/>
        <v/>
      </c>
      <c r="BN668" s="68" t="str">
        <f t="shared" si="103"/>
        <v/>
      </c>
      <c r="BU668" s="51" t="e">
        <f t="shared" si="104"/>
        <v>#VALUE!</v>
      </c>
      <c r="BV668" s="44" t="e">
        <f t="shared" si="105"/>
        <v>#VALUE!</v>
      </c>
      <c r="BW668" s="61" t="e">
        <f t="shared" si="106"/>
        <v>#NUM!</v>
      </c>
    </row>
    <row r="669" spans="64:75" ht="20.100000000000001" customHeight="1" x14ac:dyDescent="0.25">
      <c r="BL669" s="62" t="str">
        <f t="shared" si="101"/>
        <v/>
      </c>
      <c r="BM669" s="63" t="str">
        <f t="shared" si="102"/>
        <v/>
      </c>
      <c r="BN669" s="68" t="str">
        <f t="shared" si="103"/>
        <v/>
      </c>
      <c r="BU669" s="51" t="e">
        <f t="shared" si="104"/>
        <v>#VALUE!</v>
      </c>
      <c r="BV669" s="44" t="e">
        <f t="shared" si="105"/>
        <v>#VALUE!</v>
      </c>
      <c r="BW669" s="61" t="e">
        <f t="shared" si="106"/>
        <v>#NUM!</v>
      </c>
    </row>
    <row r="670" spans="64:75" ht="20.100000000000001" customHeight="1" x14ac:dyDescent="0.25">
      <c r="BL670" s="62" t="str">
        <f t="shared" si="101"/>
        <v/>
      </c>
      <c r="BM670" s="63" t="str">
        <f t="shared" si="102"/>
        <v/>
      </c>
      <c r="BN670" s="68" t="str">
        <f t="shared" si="103"/>
        <v/>
      </c>
      <c r="BU670" s="51" t="e">
        <f t="shared" si="104"/>
        <v>#VALUE!</v>
      </c>
      <c r="BV670" s="44" t="e">
        <f t="shared" si="105"/>
        <v>#VALUE!</v>
      </c>
      <c r="BW670" s="61" t="e">
        <f t="shared" si="106"/>
        <v>#NUM!</v>
      </c>
    </row>
    <row r="671" spans="64:75" ht="20.100000000000001" customHeight="1" x14ac:dyDescent="0.25">
      <c r="BL671" s="62" t="str">
        <f t="shared" si="101"/>
        <v/>
      </c>
      <c r="BM671" s="63" t="str">
        <f t="shared" si="102"/>
        <v/>
      </c>
      <c r="BN671" s="68" t="str">
        <f t="shared" si="103"/>
        <v/>
      </c>
      <c r="BU671" s="51" t="e">
        <f t="shared" si="104"/>
        <v>#VALUE!</v>
      </c>
      <c r="BV671" s="44" t="e">
        <f t="shared" si="105"/>
        <v>#VALUE!</v>
      </c>
      <c r="BW671" s="61" t="e">
        <f t="shared" si="106"/>
        <v>#NUM!</v>
      </c>
    </row>
    <row r="672" spans="64:75" ht="20.100000000000001" customHeight="1" x14ac:dyDescent="0.25">
      <c r="BL672" s="62" t="str">
        <f t="shared" si="101"/>
        <v/>
      </c>
      <c r="BM672" s="63" t="str">
        <f t="shared" si="102"/>
        <v/>
      </c>
      <c r="BN672" s="68" t="str">
        <f t="shared" si="103"/>
        <v/>
      </c>
      <c r="BU672" s="51" t="e">
        <f t="shared" si="104"/>
        <v>#VALUE!</v>
      </c>
      <c r="BV672" s="44" t="e">
        <f t="shared" si="105"/>
        <v>#VALUE!</v>
      </c>
      <c r="BW672" s="61" t="e">
        <f t="shared" si="106"/>
        <v>#NUM!</v>
      </c>
    </row>
    <row r="673" spans="64:75" ht="20.100000000000001" customHeight="1" x14ac:dyDescent="0.25">
      <c r="BL673" s="62" t="str">
        <f t="shared" si="101"/>
        <v/>
      </c>
      <c r="BM673" s="63" t="str">
        <f t="shared" si="102"/>
        <v/>
      </c>
      <c r="BN673" s="68" t="str">
        <f t="shared" si="103"/>
        <v/>
      </c>
      <c r="BU673" s="51" t="e">
        <f t="shared" si="104"/>
        <v>#VALUE!</v>
      </c>
      <c r="BV673" s="44" t="e">
        <f t="shared" si="105"/>
        <v>#VALUE!</v>
      </c>
      <c r="BW673" s="61" t="e">
        <f t="shared" si="106"/>
        <v>#NUM!</v>
      </c>
    </row>
    <row r="674" spans="64:75" ht="20.100000000000001" customHeight="1" x14ac:dyDescent="0.25">
      <c r="BL674" s="62" t="str">
        <f t="shared" si="101"/>
        <v/>
      </c>
      <c r="BM674" s="63" t="str">
        <f t="shared" si="102"/>
        <v/>
      </c>
      <c r="BN674" s="68" t="str">
        <f t="shared" si="103"/>
        <v/>
      </c>
      <c r="BU674" s="51" t="e">
        <f t="shared" si="104"/>
        <v>#VALUE!</v>
      </c>
      <c r="BV674" s="44" t="e">
        <f t="shared" si="105"/>
        <v>#VALUE!</v>
      </c>
      <c r="BW674" s="61" t="e">
        <f t="shared" si="106"/>
        <v>#NUM!</v>
      </c>
    </row>
    <row r="675" spans="64:75" ht="20.100000000000001" customHeight="1" x14ac:dyDescent="0.25">
      <c r="BL675" s="62" t="str">
        <f t="shared" si="101"/>
        <v/>
      </c>
      <c r="BM675" s="63" t="str">
        <f t="shared" si="102"/>
        <v/>
      </c>
      <c r="BN675" s="68" t="str">
        <f t="shared" si="103"/>
        <v/>
      </c>
      <c r="BU675" s="51" t="e">
        <f t="shared" si="104"/>
        <v>#VALUE!</v>
      </c>
      <c r="BV675" s="44" t="e">
        <f t="shared" si="105"/>
        <v>#VALUE!</v>
      </c>
      <c r="BW675" s="61" t="e">
        <f t="shared" si="106"/>
        <v>#NUM!</v>
      </c>
    </row>
    <row r="676" spans="64:75" ht="20.100000000000001" customHeight="1" x14ac:dyDescent="0.25">
      <c r="BL676" s="62" t="str">
        <f t="shared" si="101"/>
        <v/>
      </c>
      <c r="BM676" s="63" t="str">
        <f t="shared" si="102"/>
        <v/>
      </c>
      <c r="BN676" s="68" t="str">
        <f t="shared" si="103"/>
        <v/>
      </c>
      <c r="BU676" s="51" t="e">
        <f t="shared" si="104"/>
        <v>#VALUE!</v>
      </c>
      <c r="BV676" s="44" t="e">
        <f t="shared" si="105"/>
        <v>#VALUE!</v>
      </c>
      <c r="BW676" s="61" t="e">
        <f t="shared" si="106"/>
        <v>#NUM!</v>
      </c>
    </row>
    <row r="677" spans="64:75" ht="20.100000000000001" customHeight="1" x14ac:dyDescent="0.25">
      <c r="BL677" s="62" t="str">
        <f t="shared" si="101"/>
        <v/>
      </c>
      <c r="BM677" s="63" t="str">
        <f t="shared" si="102"/>
        <v/>
      </c>
      <c r="BN677" s="68" t="str">
        <f t="shared" si="103"/>
        <v/>
      </c>
      <c r="BU677" s="51" t="e">
        <f t="shared" si="104"/>
        <v>#VALUE!</v>
      </c>
      <c r="BV677" s="44" t="e">
        <f t="shared" si="105"/>
        <v>#VALUE!</v>
      </c>
      <c r="BW677" s="61" t="e">
        <f t="shared" si="106"/>
        <v>#NUM!</v>
      </c>
    </row>
    <row r="678" spans="64:75" ht="20.100000000000001" customHeight="1" x14ac:dyDescent="0.25">
      <c r="BL678" s="62" t="str">
        <f t="shared" si="101"/>
        <v/>
      </c>
      <c r="BM678" s="63" t="str">
        <f t="shared" si="102"/>
        <v/>
      </c>
      <c r="BN678" s="68" t="str">
        <f t="shared" si="103"/>
        <v/>
      </c>
      <c r="BU678" s="51" t="e">
        <f t="shared" si="104"/>
        <v>#VALUE!</v>
      </c>
      <c r="BV678" s="44" t="e">
        <f t="shared" si="105"/>
        <v>#VALUE!</v>
      </c>
      <c r="BW678" s="61" t="e">
        <f t="shared" si="106"/>
        <v>#NUM!</v>
      </c>
    </row>
    <row r="679" spans="64:75" ht="20.100000000000001" customHeight="1" x14ac:dyDescent="0.25">
      <c r="BL679" s="62" t="str">
        <f t="shared" si="101"/>
        <v/>
      </c>
      <c r="BM679" s="63" t="str">
        <f t="shared" si="102"/>
        <v/>
      </c>
      <c r="BN679" s="68" t="str">
        <f t="shared" si="103"/>
        <v/>
      </c>
      <c r="BU679" s="51" t="e">
        <f t="shared" si="104"/>
        <v>#VALUE!</v>
      </c>
      <c r="BV679" s="44" t="e">
        <f t="shared" si="105"/>
        <v>#VALUE!</v>
      </c>
      <c r="BW679" s="61" t="e">
        <f t="shared" si="106"/>
        <v>#NUM!</v>
      </c>
    </row>
    <row r="680" spans="64:75" ht="20.100000000000001" customHeight="1" x14ac:dyDescent="0.25">
      <c r="BL680" s="62" t="str">
        <f t="shared" si="101"/>
        <v/>
      </c>
      <c r="BM680" s="63" t="str">
        <f t="shared" si="102"/>
        <v/>
      </c>
      <c r="BN680" s="68" t="str">
        <f t="shared" si="103"/>
        <v/>
      </c>
      <c r="BU680" s="51" t="e">
        <f t="shared" si="104"/>
        <v>#VALUE!</v>
      </c>
      <c r="BV680" s="44" t="e">
        <f t="shared" si="105"/>
        <v>#VALUE!</v>
      </c>
      <c r="BW680" s="61" t="e">
        <f t="shared" si="106"/>
        <v>#NUM!</v>
      </c>
    </row>
    <row r="681" spans="64:75" ht="20.100000000000001" customHeight="1" x14ac:dyDescent="0.25">
      <c r="BL681" s="62" t="str">
        <f t="shared" si="101"/>
        <v/>
      </c>
      <c r="BM681" s="63" t="str">
        <f t="shared" si="102"/>
        <v/>
      </c>
      <c r="BN681" s="68" t="str">
        <f t="shared" si="103"/>
        <v/>
      </c>
      <c r="BU681" s="51" t="e">
        <f t="shared" si="104"/>
        <v>#VALUE!</v>
      </c>
      <c r="BV681" s="44" t="e">
        <f t="shared" si="105"/>
        <v>#VALUE!</v>
      </c>
      <c r="BW681" s="61" t="e">
        <f t="shared" si="106"/>
        <v>#NUM!</v>
      </c>
    </row>
    <row r="682" spans="64:75" ht="20.100000000000001" customHeight="1" x14ac:dyDescent="0.25">
      <c r="BL682" s="62" t="str">
        <f t="shared" si="101"/>
        <v/>
      </c>
      <c r="BM682" s="63" t="str">
        <f t="shared" si="102"/>
        <v/>
      </c>
      <c r="BN682" s="68" t="str">
        <f t="shared" si="103"/>
        <v/>
      </c>
      <c r="BU682" s="51" t="e">
        <f t="shared" si="104"/>
        <v>#VALUE!</v>
      </c>
      <c r="BV682" s="44" t="e">
        <f t="shared" si="105"/>
        <v>#VALUE!</v>
      </c>
      <c r="BW682" s="61" t="e">
        <f t="shared" si="106"/>
        <v>#NUM!</v>
      </c>
    </row>
    <row r="683" spans="64:75" ht="20.100000000000001" customHeight="1" x14ac:dyDescent="0.25">
      <c r="BL683" s="62" t="str">
        <f t="shared" si="101"/>
        <v/>
      </c>
      <c r="BM683" s="63" t="str">
        <f t="shared" si="102"/>
        <v/>
      </c>
      <c r="BN683" s="68" t="str">
        <f t="shared" si="103"/>
        <v/>
      </c>
      <c r="BU683" s="51" t="e">
        <f t="shared" si="104"/>
        <v>#VALUE!</v>
      </c>
      <c r="BV683" s="44" t="e">
        <f t="shared" si="105"/>
        <v>#VALUE!</v>
      </c>
      <c r="BW683" s="61" t="e">
        <f t="shared" si="106"/>
        <v>#NUM!</v>
      </c>
    </row>
    <row r="684" spans="64:75" ht="20.100000000000001" customHeight="1" x14ac:dyDescent="0.25">
      <c r="BL684" s="62" t="str">
        <f t="shared" si="101"/>
        <v/>
      </c>
      <c r="BM684" s="63" t="str">
        <f t="shared" si="102"/>
        <v/>
      </c>
      <c r="BN684" s="68" t="str">
        <f t="shared" si="103"/>
        <v/>
      </c>
      <c r="BU684" s="51" t="e">
        <f t="shared" si="104"/>
        <v>#VALUE!</v>
      </c>
      <c r="BV684" s="44" t="e">
        <f t="shared" si="105"/>
        <v>#VALUE!</v>
      </c>
      <c r="BW684" s="61" t="e">
        <f t="shared" si="106"/>
        <v>#NUM!</v>
      </c>
    </row>
    <row r="685" spans="64:75" ht="20.100000000000001" customHeight="1" x14ac:dyDescent="0.25">
      <c r="BL685" s="62" t="str">
        <f t="shared" si="101"/>
        <v/>
      </c>
      <c r="BM685" s="63" t="str">
        <f t="shared" si="102"/>
        <v/>
      </c>
      <c r="BN685" s="68" t="str">
        <f t="shared" si="103"/>
        <v/>
      </c>
      <c r="BU685" s="51" t="e">
        <f t="shared" si="104"/>
        <v>#VALUE!</v>
      </c>
      <c r="BV685" s="44" t="e">
        <f t="shared" si="105"/>
        <v>#VALUE!</v>
      </c>
      <c r="BW685" s="61" t="e">
        <f t="shared" si="106"/>
        <v>#NUM!</v>
      </c>
    </row>
    <row r="686" spans="64:75" ht="20.100000000000001" customHeight="1" x14ac:dyDescent="0.25">
      <c r="BL686" s="62" t="str">
        <f t="shared" si="101"/>
        <v/>
      </c>
      <c r="BM686" s="63" t="str">
        <f t="shared" si="102"/>
        <v/>
      </c>
      <c r="BN686" s="68" t="str">
        <f t="shared" si="103"/>
        <v/>
      </c>
      <c r="BU686" s="51" t="e">
        <f t="shared" si="104"/>
        <v>#VALUE!</v>
      </c>
      <c r="BV686" s="44" t="e">
        <f t="shared" si="105"/>
        <v>#VALUE!</v>
      </c>
      <c r="BW686" s="61" t="e">
        <f t="shared" si="106"/>
        <v>#NUM!</v>
      </c>
    </row>
    <row r="687" spans="64:75" ht="20.100000000000001" customHeight="1" x14ac:dyDescent="0.25">
      <c r="BL687" s="62" t="str">
        <f t="shared" si="101"/>
        <v/>
      </c>
      <c r="BM687" s="63" t="str">
        <f t="shared" si="102"/>
        <v/>
      </c>
      <c r="BN687" s="68" t="str">
        <f t="shared" si="103"/>
        <v/>
      </c>
      <c r="BU687" s="51" t="e">
        <f t="shared" si="104"/>
        <v>#VALUE!</v>
      </c>
      <c r="BV687" s="44" t="e">
        <f t="shared" si="105"/>
        <v>#VALUE!</v>
      </c>
      <c r="BW687" s="61" t="e">
        <f t="shared" si="106"/>
        <v>#NUM!</v>
      </c>
    </row>
    <row r="688" spans="64:75" ht="20.100000000000001" customHeight="1" x14ac:dyDescent="0.25">
      <c r="BL688" s="62" t="str">
        <f t="shared" si="101"/>
        <v/>
      </c>
      <c r="BM688" s="63" t="str">
        <f t="shared" si="102"/>
        <v/>
      </c>
      <c r="BN688" s="68" t="str">
        <f t="shared" si="103"/>
        <v/>
      </c>
      <c r="BU688" s="51" t="e">
        <f t="shared" si="104"/>
        <v>#VALUE!</v>
      </c>
      <c r="BV688" s="44" t="e">
        <f t="shared" si="105"/>
        <v>#VALUE!</v>
      </c>
      <c r="BW688" s="61" t="e">
        <f t="shared" si="106"/>
        <v>#NUM!</v>
      </c>
    </row>
    <row r="689" spans="64:75" ht="20.100000000000001" customHeight="1" x14ac:dyDescent="0.25">
      <c r="BL689" s="62" t="str">
        <f t="shared" si="101"/>
        <v/>
      </c>
      <c r="BM689" s="63" t="str">
        <f t="shared" si="102"/>
        <v/>
      </c>
      <c r="BN689" s="68" t="str">
        <f t="shared" si="103"/>
        <v/>
      </c>
      <c r="BU689" s="51" t="e">
        <f t="shared" si="104"/>
        <v>#VALUE!</v>
      </c>
      <c r="BV689" s="44" t="e">
        <f t="shared" si="105"/>
        <v>#VALUE!</v>
      </c>
      <c r="BW689" s="61" t="e">
        <f t="shared" si="106"/>
        <v>#NUM!</v>
      </c>
    </row>
    <row r="690" spans="64:75" ht="20.100000000000001" customHeight="1" x14ac:dyDescent="0.25">
      <c r="BL690" s="62" t="str">
        <f t="shared" si="101"/>
        <v/>
      </c>
      <c r="BM690" s="63" t="str">
        <f t="shared" si="102"/>
        <v/>
      </c>
      <c r="BN690" s="68" t="str">
        <f t="shared" si="103"/>
        <v/>
      </c>
      <c r="BU690" s="51" t="e">
        <f t="shared" si="104"/>
        <v>#VALUE!</v>
      </c>
      <c r="BV690" s="44" t="e">
        <f t="shared" si="105"/>
        <v>#VALUE!</v>
      </c>
      <c r="BW690" s="61" t="e">
        <f t="shared" si="106"/>
        <v>#NUM!</v>
      </c>
    </row>
    <row r="691" spans="64:75" ht="20.100000000000001" customHeight="1" x14ac:dyDescent="0.25">
      <c r="BL691" s="62" t="str">
        <f t="shared" si="101"/>
        <v/>
      </c>
      <c r="BM691" s="63" t="str">
        <f t="shared" si="102"/>
        <v/>
      </c>
      <c r="BN691" s="68" t="str">
        <f t="shared" si="103"/>
        <v/>
      </c>
      <c r="BU691" s="51" t="e">
        <f t="shared" si="104"/>
        <v>#VALUE!</v>
      </c>
      <c r="BV691" s="44" t="e">
        <f t="shared" si="105"/>
        <v>#VALUE!</v>
      </c>
      <c r="BW691" s="61" t="e">
        <f t="shared" si="106"/>
        <v>#NUM!</v>
      </c>
    </row>
    <row r="692" spans="64:75" ht="20.100000000000001" customHeight="1" x14ac:dyDescent="0.25">
      <c r="BL692" s="62" t="str">
        <f t="shared" si="101"/>
        <v/>
      </c>
      <c r="BM692" s="63" t="str">
        <f t="shared" si="102"/>
        <v/>
      </c>
      <c r="BN692" s="68" t="str">
        <f t="shared" si="103"/>
        <v/>
      </c>
      <c r="BU692" s="51" t="e">
        <f t="shared" si="104"/>
        <v>#VALUE!</v>
      </c>
      <c r="BV692" s="44" t="e">
        <f t="shared" si="105"/>
        <v>#VALUE!</v>
      </c>
      <c r="BW692" s="61" t="e">
        <f t="shared" si="106"/>
        <v>#NUM!</v>
      </c>
    </row>
    <row r="693" spans="64:75" ht="20.100000000000001" customHeight="1" x14ac:dyDescent="0.25">
      <c r="BL693" s="62" t="str">
        <f t="shared" si="101"/>
        <v/>
      </c>
      <c r="BM693" s="63" t="str">
        <f t="shared" si="102"/>
        <v/>
      </c>
      <c r="BN693" s="68" t="str">
        <f t="shared" si="103"/>
        <v/>
      </c>
      <c r="BU693" s="51" t="e">
        <f t="shared" si="104"/>
        <v>#VALUE!</v>
      </c>
      <c r="BV693" s="44" t="e">
        <f t="shared" si="105"/>
        <v>#VALUE!</v>
      </c>
      <c r="BW693" s="61" t="e">
        <f t="shared" si="106"/>
        <v>#NUM!</v>
      </c>
    </row>
    <row r="694" spans="64:75" ht="20.100000000000001" customHeight="1" x14ac:dyDescent="0.25">
      <c r="BL694" s="62" t="str">
        <f t="shared" si="101"/>
        <v/>
      </c>
      <c r="BM694" s="63" t="str">
        <f t="shared" si="102"/>
        <v/>
      </c>
      <c r="BN694" s="68" t="str">
        <f t="shared" si="103"/>
        <v/>
      </c>
      <c r="BU694" s="51" t="e">
        <f t="shared" si="104"/>
        <v>#VALUE!</v>
      </c>
      <c r="BV694" s="44" t="e">
        <f t="shared" si="105"/>
        <v>#VALUE!</v>
      </c>
      <c r="BW694" s="61" t="e">
        <f t="shared" si="106"/>
        <v>#NUM!</v>
      </c>
    </row>
    <row r="695" spans="64:75" ht="20.100000000000001" customHeight="1" x14ac:dyDescent="0.25">
      <c r="BL695" s="62" t="str">
        <f t="shared" si="101"/>
        <v/>
      </c>
      <c r="BM695" s="63" t="str">
        <f t="shared" si="102"/>
        <v/>
      </c>
      <c r="BN695" s="68" t="str">
        <f t="shared" si="103"/>
        <v/>
      </c>
      <c r="BU695" s="51" t="e">
        <f t="shared" si="104"/>
        <v>#VALUE!</v>
      </c>
      <c r="BV695" s="44" t="e">
        <f t="shared" si="105"/>
        <v>#VALUE!</v>
      </c>
      <c r="BW695" s="61" t="e">
        <f t="shared" si="106"/>
        <v>#NUM!</v>
      </c>
    </row>
    <row r="696" spans="64:75" ht="20.100000000000001" customHeight="1" x14ac:dyDescent="0.25">
      <c r="BL696" s="62" t="str">
        <f t="shared" si="101"/>
        <v/>
      </c>
      <c r="BM696" s="63" t="str">
        <f t="shared" si="102"/>
        <v/>
      </c>
      <c r="BN696" s="68" t="str">
        <f t="shared" si="103"/>
        <v/>
      </c>
      <c r="BU696" s="51" t="e">
        <f t="shared" si="104"/>
        <v>#VALUE!</v>
      </c>
      <c r="BV696" s="44" t="e">
        <f t="shared" si="105"/>
        <v>#VALUE!</v>
      </c>
      <c r="BW696" s="61" t="e">
        <f t="shared" si="106"/>
        <v>#NUM!</v>
      </c>
    </row>
    <row r="697" spans="64:75" ht="20.100000000000001" customHeight="1" x14ac:dyDescent="0.25">
      <c r="BL697" s="62" t="str">
        <f t="shared" si="101"/>
        <v/>
      </c>
      <c r="BM697" s="63" t="str">
        <f t="shared" si="102"/>
        <v/>
      </c>
      <c r="BN697" s="68" t="str">
        <f t="shared" si="103"/>
        <v/>
      </c>
      <c r="BU697" s="51" t="e">
        <f t="shared" si="104"/>
        <v>#VALUE!</v>
      </c>
      <c r="BV697" s="44" t="e">
        <f t="shared" si="105"/>
        <v>#VALUE!</v>
      </c>
      <c r="BW697" s="61" t="e">
        <f t="shared" si="106"/>
        <v>#NUM!</v>
      </c>
    </row>
    <row r="698" spans="64:75" ht="20.100000000000001" customHeight="1" x14ac:dyDescent="0.25">
      <c r="BL698" s="62" t="str">
        <f t="shared" si="101"/>
        <v/>
      </c>
      <c r="BM698" s="63" t="str">
        <f t="shared" si="102"/>
        <v/>
      </c>
      <c r="BN698" s="68" t="str">
        <f t="shared" si="103"/>
        <v/>
      </c>
      <c r="BU698" s="51" t="e">
        <f t="shared" si="104"/>
        <v>#VALUE!</v>
      </c>
      <c r="BV698" s="44" t="e">
        <f t="shared" si="105"/>
        <v>#VALUE!</v>
      </c>
      <c r="BW698" s="61" t="e">
        <f t="shared" si="106"/>
        <v>#NUM!</v>
      </c>
    </row>
    <row r="699" spans="64:75" ht="20.100000000000001" customHeight="1" x14ac:dyDescent="0.25">
      <c r="BL699" s="62" t="str">
        <f t="shared" si="101"/>
        <v/>
      </c>
      <c r="BM699" s="63" t="str">
        <f t="shared" si="102"/>
        <v/>
      </c>
      <c r="BN699" s="68" t="str">
        <f t="shared" si="103"/>
        <v/>
      </c>
      <c r="BU699" s="51" t="e">
        <f t="shared" si="104"/>
        <v>#VALUE!</v>
      </c>
      <c r="BV699" s="44" t="e">
        <f t="shared" si="105"/>
        <v>#VALUE!</v>
      </c>
      <c r="BW699" s="61" t="e">
        <f t="shared" si="106"/>
        <v>#NUM!</v>
      </c>
    </row>
    <row r="700" spans="64:75" ht="20.100000000000001" customHeight="1" x14ac:dyDescent="0.25">
      <c r="BL700" s="62" t="str">
        <f t="shared" si="101"/>
        <v/>
      </c>
      <c r="BM700" s="63" t="str">
        <f t="shared" si="102"/>
        <v/>
      </c>
      <c r="BN700" s="68" t="str">
        <f t="shared" si="103"/>
        <v/>
      </c>
      <c r="BU700" s="51" t="e">
        <f t="shared" si="104"/>
        <v>#VALUE!</v>
      </c>
      <c r="BV700" s="44" t="e">
        <f t="shared" si="105"/>
        <v>#VALUE!</v>
      </c>
      <c r="BW700" s="61" t="e">
        <f t="shared" si="106"/>
        <v>#NUM!</v>
      </c>
    </row>
    <row r="701" spans="64:75" ht="20.100000000000001" customHeight="1" x14ac:dyDescent="0.25">
      <c r="BL701" s="62" t="str">
        <f t="shared" si="101"/>
        <v/>
      </c>
      <c r="BM701" s="63" t="str">
        <f t="shared" si="102"/>
        <v/>
      </c>
      <c r="BN701" s="68" t="str">
        <f t="shared" si="103"/>
        <v/>
      </c>
      <c r="BU701" s="51" t="e">
        <f t="shared" si="104"/>
        <v>#VALUE!</v>
      </c>
      <c r="BV701" s="44" t="e">
        <f t="shared" si="105"/>
        <v>#VALUE!</v>
      </c>
      <c r="BW701" s="61" t="e">
        <f t="shared" si="106"/>
        <v>#NUM!</v>
      </c>
    </row>
    <row r="702" spans="64:75" ht="20.100000000000001" customHeight="1" x14ac:dyDescent="0.25">
      <c r="BL702" s="62" t="str">
        <f t="shared" si="101"/>
        <v/>
      </c>
      <c r="BM702" s="63" t="str">
        <f t="shared" si="102"/>
        <v/>
      </c>
      <c r="BN702" s="68" t="str">
        <f t="shared" si="103"/>
        <v/>
      </c>
      <c r="BU702" s="51" t="e">
        <f t="shared" si="104"/>
        <v>#VALUE!</v>
      </c>
      <c r="BV702" s="44" t="e">
        <f t="shared" si="105"/>
        <v>#VALUE!</v>
      </c>
      <c r="BW702" s="61" t="e">
        <f t="shared" si="106"/>
        <v>#NUM!</v>
      </c>
    </row>
    <row r="703" spans="64:75" ht="20.100000000000001" customHeight="1" x14ac:dyDescent="0.25">
      <c r="BL703" s="62" t="str">
        <f t="shared" si="101"/>
        <v/>
      </c>
      <c r="BM703" s="63" t="str">
        <f t="shared" si="102"/>
        <v/>
      </c>
      <c r="BN703" s="68" t="str">
        <f t="shared" si="103"/>
        <v/>
      </c>
      <c r="BU703" s="51" t="e">
        <f t="shared" si="104"/>
        <v>#VALUE!</v>
      </c>
      <c r="BV703" s="44" t="e">
        <f t="shared" si="105"/>
        <v>#VALUE!</v>
      </c>
      <c r="BW703" s="61" t="e">
        <f t="shared" si="106"/>
        <v>#NUM!</v>
      </c>
    </row>
    <row r="704" spans="64:75" ht="20.100000000000001" customHeight="1" x14ac:dyDescent="0.25">
      <c r="BL704" s="62" t="str">
        <f t="shared" si="101"/>
        <v/>
      </c>
      <c r="BM704" s="63" t="str">
        <f t="shared" si="102"/>
        <v/>
      </c>
      <c r="BN704" s="68" t="str">
        <f t="shared" si="103"/>
        <v/>
      </c>
      <c r="BU704" s="51" t="e">
        <f t="shared" si="104"/>
        <v>#VALUE!</v>
      </c>
      <c r="BV704" s="44" t="e">
        <f t="shared" si="105"/>
        <v>#VALUE!</v>
      </c>
      <c r="BW704" s="61" t="e">
        <f t="shared" si="106"/>
        <v>#NUM!</v>
      </c>
    </row>
    <row r="705" spans="64:75" ht="20.100000000000001" customHeight="1" x14ac:dyDescent="0.25">
      <c r="BL705" s="62" t="str">
        <f t="shared" si="101"/>
        <v/>
      </c>
      <c r="BM705" s="63" t="str">
        <f t="shared" si="102"/>
        <v/>
      </c>
      <c r="BN705" s="68" t="str">
        <f t="shared" si="103"/>
        <v/>
      </c>
      <c r="BU705" s="51" t="e">
        <f t="shared" si="104"/>
        <v>#VALUE!</v>
      </c>
      <c r="BV705" s="44" t="e">
        <f t="shared" si="105"/>
        <v>#VALUE!</v>
      </c>
      <c r="BW705" s="61" t="e">
        <f t="shared" si="106"/>
        <v>#NUM!</v>
      </c>
    </row>
    <row r="706" spans="64:75" ht="20.100000000000001" customHeight="1" x14ac:dyDescent="0.25">
      <c r="BL706" s="62" t="str">
        <f t="shared" si="101"/>
        <v/>
      </c>
      <c r="BM706" s="63" t="str">
        <f t="shared" si="102"/>
        <v/>
      </c>
      <c r="BN706" s="68" t="str">
        <f t="shared" si="103"/>
        <v/>
      </c>
      <c r="BU706" s="51" t="e">
        <f t="shared" si="104"/>
        <v>#VALUE!</v>
      </c>
      <c r="BV706" s="44" t="e">
        <f t="shared" si="105"/>
        <v>#VALUE!</v>
      </c>
      <c r="BW706" s="61" t="e">
        <f t="shared" si="106"/>
        <v>#NUM!</v>
      </c>
    </row>
    <row r="707" spans="64:75" ht="20.100000000000001" customHeight="1" x14ac:dyDescent="0.25">
      <c r="BL707" s="62" t="str">
        <f t="shared" si="101"/>
        <v/>
      </c>
      <c r="BM707" s="63" t="str">
        <f t="shared" si="102"/>
        <v/>
      </c>
      <c r="BN707" s="68" t="str">
        <f t="shared" si="103"/>
        <v/>
      </c>
      <c r="BU707" s="51" t="e">
        <f t="shared" si="104"/>
        <v>#VALUE!</v>
      </c>
      <c r="BV707" s="44" t="e">
        <f t="shared" si="105"/>
        <v>#VALUE!</v>
      </c>
      <c r="BW707" s="61" t="e">
        <f t="shared" si="106"/>
        <v>#NUM!</v>
      </c>
    </row>
    <row r="708" spans="64:75" ht="20.100000000000001" customHeight="1" x14ac:dyDescent="0.25">
      <c r="BL708" s="62" t="str">
        <f t="shared" si="101"/>
        <v/>
      </c>
      <c r="BM708" s="63" t="str">
        <f t="shared" si="102"/>
        <v/>
      </c>
      <c r="BN708" s="68" t="str">
        <f t="shared" si="103"/>
        <v/>
      </c>
      <c r="BU708" s="51" t="e">
        <f t="shared" si="104"/>
        <v>#VALUE!</v>
      </c>
      <c r="BV708" s="44" t="e">
        <f t="shared" si="105"/>
        <v>#VALUE!</v>
      </c>
      <c r="BW708" s="61" t="e">
        <f t="shared" si="106"/>
        <v>#NUM!</v>
      </c>
    </row>
    <row r="709" spans="64:75" ht="20.100000000000001" customHeight="1" x14ac:dyDescent="0.25">
      <c r="BL709" s="62" t="str">
        <f t="shared" si="101"/>
        <v/>
      </c>
      <c r="BM709" s="63" t="str">
        <f t="shared" si="102"/>
        <v/>
      </c>
      <c r="BN709" s="68" t="str">
        <f t="shared" si="103"/>
        <v/>
      </c>
      <c r="BU709" s="51" t="e">
        <f t="shared" si="104"/>
        <v>#VALUE!</v>
      </c>
      <c r="BV709" s="44" t="e">
        <f t="shared" si="105"/>
        <v>#VALUE!</v>
      </c>
      <c r="BW709" s="61" t="e">
        <f t="shared" si="106"/>
        <v>#NUM!</v>
      </c>
    </row>
    <row r="710" spans="64:75" ht="20.100000000000001" customHeight="1" x14ac:dyDescent="0.25">
      <c r="BL710" s="62" t="str">
        <f t="shared" si="101"/>
        <v/>
      </c>
      <c r="BM710" s="63" t="str">
        <f t="shared" si="102"/>
        <v/>
      </c>
      <c r="BN710" s="68" t="str">
        <f t="shared" si="103"/>
        <v/>
      </c>
      <c r="BU710" s="51" t="e">
        <f t="shared" si="104"/>
        <v>#VALUE!</v>
      </c>
      <c r="BV710" s="44" t="e">
        <f t="shared" si="105"/>
        <v>#VALUE!</v>
      </c>
      <c r="BW710" s="61" t="e">
        <f t="shared" si="106"/>
        <v>#NUM!</v>
      </c>
    </row>
    <row r="711" spans="64:75" ht="20.100000000000001" customHeight="1" x14ac:dyDescent="0.25">
      <c r="BL711" s="62" t="str">
        <f t="shared" si="101"/>
        <v/>
      </c>
      <c r="BM711" s="63" t="str">
        <f t="shared" si="102"/>
        <v/>
      </c>
      <c r="BN711" s="68" t="str">
        <f t="shared" si="103"/>
        <v/>
      </c>
      <c r="BU711" s="51" t="e">
        <f t="shared" si="104"/>
        <v>#VALUE!</v>
      </c>
      <c r="BV711" s="44" t="e">
        <f t="shared" si="105"/>
        <v>#VALUE!</v>
      </c>
      <c r="BW711" s="61" t="e">
        <f t="shared" si="106"/>
        <v>#NUM!</v>
      </c>
    </row>
    <row r="712" spans="64:75" ht="20.100000000000001" customHeight="1" x14ac:dyDescent="0.25">
      <c r="BL712" s="62" t="str">
        <f t="shared" si="101"/>
        <v/>
      </c>
      <c r="BM712" s="63" t="str">
        <f t="shared" si="102"/>
        <v/>
      </c>
      <c r="BN712" s="68" t="str">
        <f t="shared" si="103"/>
        <v/>
      </c>
      <c r="BU712" s="51" t="e">
        <f t="shared" si="104"/>
        <v>#VALUE!</v>
      </c>
      <c r="BV712" s="44" t="e">
        <f t="shared" si="105"/>
        <v>#VALUE!</v>
      </c>
      <c r="BW712" s="61" t="e">
        <f t="shared" si="106"/>
        <v>#NUM!</v>
      </c>
    </row>
    <row r="713" spans="64:75" ht="20.100000000000001" customHeight="1" x14ac:dyDescent="0.25">
      <c r="BL713" s="62" t="str">
        <f t="shared" si="101"/>
        <v/>
      </c>
      <c r="BM713" s="63" t="str">
        <f t="shared" si="102"/>
        <v/>
      </c>
      <c r="BN713" s="68" t="str">
        <f t="shared" si="103"/>
        <v/>
      </c>
      <c r="BU713" s="51" t="e">
        <f t="shared" si="104"/>
        <v>#VALUE!</v>
      </c>
      <c r="BV713" s="44" t="e">
        <f t="shared" si="105"/>
        <v>#VALUE!</v>
      </c>
      <c r="BW713" s="61" t="e">
        <f t="shared" si="106"/>
        <v>#NUM!</v>
      </c>
    </row>
    <row r="714" spans="64:75" ht="20.100000000000001" customHeight="1" x14ac:dyDescent="0.25">
      <c r="BL714" s="62" t="str">
        <f t="shared" si="101"/>
        <v/>
      </c>
      <c r="BM714" s="63" t="str">
        <f t="shared" si="102"/>
        <v/>
      </c>
      <c r="BN714" s="68" t="str">
        <f t="shared" si="103"/>
        <v/>
      </c>
      <c r="BU714" s="51" t="e">
        <f t="shared" si="104"/>
        <v>#VALUE!</v>
      </c>
      <c r="BV714" s="44" t="e">
        <f t="shared" si="105"/>
        <v>#VALUE!</v>
      </c>
      <c r="BW714" s="61" t="e">
        <f t="shared" si="106"/>
        <v>#NUM!</v>
      </c>
    </row>
    <row r="715" spans="64:75" ht="20.100000000000001" customHeight="1" x14ac:dyDescent="0.25">
      <c r="BL715" s="62" t="str">
        <f t="shared" si="101"/>
        <v/>
      </c>
      <c r="BM715" s="63" t="str">
        <f t="shared" si="102"/>
        <v/>
      </c>
      <c r="BN715" s="68" t="str">
        <f t="shared" si="103"/>
        <v/>
      </c>
      <c r="BU715" s="51" t="e">
        <f t="shared" si="104"/>
        <v>#VALUE!</v>
      </c>
      <c r="BV715" s="44" t="e">
        <f t="shared" si="105"/>
        <v>#VALUE!</v>
      </c>
      <c r="BW715" s="61" t="e">
        <f t="shared" si="106"/>
        <v>#NUM!</v>
      </c>
    </row>
    <row r="716" spans="64:75" ht="20.100000000000001" customHeight="1" x14ac:dyDescent="0.25">
      <c r="BL716" s="62" t="str">
        <f t="shared" ref="BL716:BL779" si="107">IF(AND(BL715&gt;BM$6,BL715&lt;&gt;""),BL715-1,"")</f>
        <v/>
      </c>
      <c r="BM716" s="63" t="str">
        <f t="shared" ref="BM716:BM779" si="108">IF(BL716&lt;&gt;"",MAX(BL716,ROUND(BM$6*BM$9^BL716,0)),"")</f>
        <v/>
      </c>
      <c r="BN716" s="68" t="str">
        <f t="shared" ref="BN716:BN779" si="109">IF(BM716&lt;&gt;"",O$12/M$12*BM716,"")</f>
        <v/>
      </c>
      <c r="BU716" s="51" t="e">
        <f t="shared" si="104"/>
        <v>#VALUE!</v>
      </c>
      <c r="BV716" s="44" t="e">
        <f t="shared" si="105"/>
        <v>#VALUE!</v>
      </c>
      <c r="BW716" s="61" t="e">
        <f t="shared" si="106"/>
        <v>#NUM!</v>
      </c>
    </row>
    <row r="717" spans="64:75" ht="20.100000000000001" customHeight="1" x14ac:dyDescent="0.25">
      <c r="BL717" s="62" t="str">
        <f t="shared" si="107"/>
        <v/>
      </c>
      <c r="BM717" s="63" t="str">
        <f t="shared" si="108"/>
        <v/>
      </c>
      <c r="BN717" s="68" t="str">
        <f t="shared" si="109"/>
        <v/>
      </c>
      <c r="BU717" s="51" t="e">
        <f t="shared" si="104"/>
        <v>#VALUE!</v>
      </c>
      <c r="BV717" s="44" t="e">
        <f t="shared" si="105"/>
        <v>#VALUE!</v>
      </c>
      <c r="BW717" s="61" t="e">
        <f t="shared" si="106"/>
        <v>#NUM!</v>
      </c>
    </row>
    <row r="718" spans="64:75" ht="20.100000000000001" customHeight="1" x14ac:dyDescent="0.25">
      <c r="BL718" s="62" t="str">
        <f t="shared" si="107"/>
        <v/>
      </c>
      <c r="BM718" s="63" t="str">
        <f t="shared" si="108"/>
        <v/>
      </c>
      <c r="BN718" s="68" t="str">
        <f t="shared" si="109"/>
        <v/>
      </c>
      <c r="BU718" s="51" t="e">
        <f t="shared" si="104"/>
        <v>#VALUE!</v>
      </c>
      <c r="BV718" s="44" t="e">
        <f t="shared" si="105"/>
        <v>#VALUE!</v>
      </c>
      <c r="BW718" s="61" t="e">
        <f t="shared" si="106"/>
        <v>#NUM!</v>
      </c>
    </row>
    <row r="719" spans="64:75" ht="20.100000000000001" customHeight="1" x14ac:dyDescent="0.25">
      <c r="BL719" s="62" t="str">
        <f t="shared" si="107"/>
        <v/>
      </c>
      <c r="BM719" s="63" t="str">
        <f t="shared" si="108"/>
        <v/>
      </c>
      <c r="BN719" s="68" t="str">
        <f t="shared" si="109"/>
        <v/>
      </c>
      <c r="BU719" s="51" t="e">
        <f t="shared" si="104"/>
        <v>#VALUE!</v>
      </c>
      <c r="BV719" s="44" t="e">
        <f t="shared" si="105"/>
        <v>#VALUE!</v>
      </c>
      <c r="BW719" s="61" t="e">
        <f t="shared" si="106"/>
        <v>#NUM!</v>
      </c>
    </row>
    <row r="720" spans="64:75" ht="20.100000000000001" customHeight="1" x14ac:dyDescent="0.25">
      <c r="BL720" s="62" t="str">
        <f t="shared" si="107"/>
        <v/>
      </c>
      <c r="BM720" s="63" t="str">
        <f t="shared" si="108"/>
        <v/>
      </c>
      <c r="BN720" s="68" t="str">
        <f t="shared" si="109"/>
        <v/>
      </c>
      <c r="BU720" s="51" t="e">
        <f t="shared" si="104"/>
        <v>#VALUE!</v>
      </c>
      <c r="BV720" s="44" t="e">
        <f t="shared" si="105"/>
        <v>#VALUE!</v>
      </c>
      <c r="BW720" s="61" t="e">
        <f t="shared" si="106"/>
        <v>#NUM!</v>
      </c>
    </row>
    <row r="721" spans="64:75" ht="20.100000000000001" customHeight="1" x14ac:dyDescent="0.25">
      <c r="BL721" s="62" t="str">
        <f t="shared" si="107"/>
        <v/>
      </c>
      <c r="BM721" s="63" t="str">
        <f t="shared" si="108"/>
        <v/>
      </c>
      <c r="BN721" s="68" t="str">
        <f t="shared" si="109"/>
        <v/>
      </c>
      <c r="BU721" s="51" t="e">
        <f t="shared" si="104"/>
        <v>#VALUE!</v>
      </c>
      <c r="BV721" s="44" t="e">
        <f t="shared" si="105"/>
        <v>#VALUE!</v>
      </c>
      <c r="BW721" s="61" t="e">
        <f t="shared" si="106"/>
        <v>#NUM!</v>
      </c>
    </row>
    <row r="722" spans="64:75" ht="20.100000000000001" customHeight="1" x14ac:dyDescent="0.25">
      <c r="BL722" s="62" t="str">
        <f t="shared" si="107"/>
        <v/>
      </c>
      <c r="BM722" s="63" t="str">
        <f t="shared" si="108"/>
        <v/>
      </c>
      <c r="BN722" s="68" t="str">
        <f t="shared" si="109"/>
        <v/>
      </c>
      <c r="BU722" s="51" t="e">
        <f t="shared" si="104"/>
        <v>#VALUE!</v>
      </c>
      <c r="BV722" s="44" t="e">
        <f t="shared" si="105"/>
        <v>#VALUE!</v>
      </c>
      <c r="BW722" s="61" t="e">
        <f t="shared" si="106"/>
        <v>#NUM!</v>
      </c>
    </row>
    <row r="723" spans="64:75" ht="20.100000000000001" customHeight="1" x14ac:dyDescent="0.25">
      <c r="BL723" s="62" t="str">
        <f t="shared" si="107"/>
        <v/>
      </c>
      <c r="BM723" s="63" t="str">
        <f t="shared" si="108"/>
        <v/>
      </c>
      <c r="BN723" s="68" t="str">
        <f t="shared" si="109"/>
        <v/>
      </c>
      <c r="BU723" s="51" t="e">
        <f t="shared" si="104"/>
        <v>#VALUE!</v>
      </c>
      <c r="BV723" s="44" t="e">
        <f t="shared" si="105"/>
        <v>#VALUE!</v>
      </c>
      <c r="BW723" s="61" t="e">
        <f t="shared" si="106"/>
        <v>#NUM!</v>
      </c>
    </row>
    <row r="724" spans="64:75" ht="20.100000000000001" customHeight="1" x14ac:dyDescent="0.25">
      <c r="BL724" s="62" t="str">
        <f t="shared" si="107"/>
        <v/>
      </c>
      <c r="BM724" s="63" t="str">
        <f t="shared" si="108"/>
        <v/>
      </c>
      <c r="BN724" s="68" t="str">
        <f t="shared" si="109"/>
        <v/>
      </c>
      <c r="BU724" s="51" t="e">
        <f t="shared" ref="BU724:BU787" si="110">BO724-BN724</f>
        <v>#VALUE!</v>
      </c>
      <c r="BV724" s="44" t="e">
        <f t="shared" ref="BV724:BV787" si="111">BO724/BN724-1</f>
        <v>#VALUE!</v>
      </c>
      <c r="BW724" s="61" t="e">
        <f t="shared" ref="BW724:BW787" si="112">-20*LOG10(BP724/100)</f>
        <v>#NUM!</v>
      </c>
    </row>
    <row r="725" spans="64:75" ht="20.100000000000001" customHeight="1" x14ac:dyDescent="0.25">
      <c r="BL725" s="62" t="str">
        <f t="shared" si="107"/>
        <v/>
      </c>
      <c r="BM725" s="63" t="str">
        <f t="shared" si="108"/>
        <v/>
      </c>
      <c r="BN725" s="68" t="str">
        <f t="shared" si="109"/>
        <v/>
      </c>
      <c r="BU725" s="51" t="e">
        <f t="shared" si="110"/>
        <v>#VALUE!</v>
      </c>
      <c r="BV725" s="44" t="e">
        <f t="shared" si="111"/>
        <v>#VALUE!</v>
      </c>
      <c r="BW725" s="61" t="e">
        <f t="shared" si="112"/>
        <v>#NUM!</v>
      </c>
    </row>
    <row r="726" spans="64:75" ht="20.100000000000001" customHeight="1" x14ac:dyDescent="0.25">
      <c r="BL726" s="62" t="str">
        <f t="shared" si="107"/>
        <v/>
      </c>
      <c r="BM726" s="63" t="str">
        <f t="shared" si="108"/>
        <v/>
      </c>
      <c r="BN726" s="68" t="str">
        <f t="shared" si="109"/>
        <v/>
      </c>
      <c r="BU726" s="51" t="e">
        <f t="shared" si="110"/>
        <v>#VALUE!</v>
      </c>
      <c r="BV726" s="44" t="e">
        <f t="shared" si="111"/>
        <v>#VALUE!</v>
      </c>
      <c r="BW726" s="61" t="e">
        <f t="shared" si="112"/>
        <v>#NUM!</v>
      </c>
    </row>
    <row r="727" spans="64:75" ht="20.100000000000001" customHeight="1" x14ac:dyDescent="0.25">
      <c r="BL727" s="62" t="str">
        <f t="shared" si="107"/>
        <v/>
      </c>
      <c r="BM727" s="63" t="str">
        <f t="shared" si="108"/>
        <v/>
      </c>
      <c r="BN727" s="68" t="str">
        <f t="shared" si="109"/>
        <v/>
      </c>
      <c r="BU727" s="51" t="e">
        <f t="shared" si="110"/>
        <v>#VALUE!</v>
      </c>
      <c r="BV727" s="44" t="e">
        <f t="shared" si="111"/>
        <v>#VALUE!</v>
      </c>
      <c r="BW727" s="61" t="e">
        <f t="shared" si="112"/>
        <v>#NUM!</v>
      </c>
    </row>
    <row r="728" spans="64:75" ht="20.100000000000001" customHeight="1" x14ac:dyDescent="0.25">
      <c r="BL728" s="62" t="str">
        <f t="shared" si="107"/>
        <v/>
      </c>
      <c r="BM728" s="63" t="str">
        <f t="shared" si="108"/>
        <v/>
      </c>
      <c r="BN728" s="68" t="str">
        <f t="shared" si="109"/>
        <v/>
      </c>
      <c r="BU728" s="51" t="e">
        <f t="shared" si="110"/>
        <v>#VALUE!</v>
      </c>
      <c r="BV728" s="44" t="e">
        <f t="shared" si="111"/>
        <v>#VALUE!</v>
      </c>
      <c r="BW728" s="61" t="e">
        <f t="shared" si="112"/>
        <v>#NUM!</v>
      </c>
    </row>
    <row r="729" spans="64:75" ht="20.100000000000001" customHeight="1" x14ac:dyDescent="0.25">
      <c r="BL729" s="62" t="str">
        <f t="shared" si="107"/>
        <v/>
      </c>
      <c r="BM729" s="63" t="str">
        <f t="shared" si="108"/>
        <v/>
      </c>
      <c r="BN729" s="68" t="str">
        <f t="shared" si="109"/>
        <v/>
      </c>
      <c r="BU729" s="51" t="e">
        <f t="shared" si="110"/>
        <v>#VALUE!</v>
      </c>
      <c r="BV729" s="44" t="e">
        <f t="shared" si="111"/>
        <v>#VALUE!</v>
      </c>
      <c r="BW729" s="61" t="e">
        <f t="shared" si="112"/>
        <v>#NUM!</v>
      </c>
    </row>
    <row r="730" spans="64:75" ht="20.100000000000001" customHeight="1" x14ac:dyDescent="0.25">
      <c r="BL730" s="62" t="str">
        <f t="shared" si="107"/>
        <v/>
      </c>
      <c r="BM730" s="63" t="str">
        <f t="shared" si="108"/>
        <v/>
      </c>
      <c r="BN730" s="68" t="str">
        <f t="shared" si="109"/>
        <v/>
      </c>
      <c r="BU730" s="51" t="e">
        <f t="shared" si="110"/>
        <v>#VALUE!</v>
      </c>
      <c r="BV730" s="44" t="e">
        <f t="shared" si="111"/>
        <v>#VALUE!</v>
      </c>
      <c r="BW730" s="61" t="e">
        <f t="shared" si="112"/>
        <v>#NUM!</v>
      </c>
    </row>
    <row r="731" spans="64:75" ht="20.100000000000001" customHeight="1" x14ac:dyDescent="0.25">
      <c r="BL731" s="62" t="str">
        <f t="shared" si="107"/>
        <v/>
      </c>
      <c r="BM731" s="63" t="str">
        <f t="shared" si="108"/>
        <v/>
      </c>
      <c r="BN731" s="68" t="str">
        <f t="shared" si="109"/>
        <v/>
      </c>
      <c r="BU731" s="51" t="e">
        <f t="shared" si="110"/>
        <v>#VALUE!</v>
      </c>
      <c r="BV731" s="44" t="e">
        <f t="shared" si="111"/>
        <v>#VALUE!</v>
      </c>
      <c r="BW731" s="61" t="e">
        <f t="shared" si="112"/>
        <v>#NUM!</v>
      </c>
    </row>
    <row r="732" spans="64:75" ht="20.100000000000001" customHeight="1" x14ac:dyDescent="0.25">
      <c r="BL732" s="62" t="str">
        <f t="shared" si="107"/>
        <v/>
      </c>
      <c r="BM732" s="63" t="str">
        <f t="shared" si="108"/>
        <v/>
      </c>
      <c r="BN732" s="68" t="str">
        <f t="shared" si="109"/>
        <v/>
      </c>
      <c r="BU732" s="51" t="e">
        <f t="shared" si="110"/>
        <v>#VALUE!</v>
      </c>
      <c r="BV732" s="44" t="e">
        <f t="shared" si="111"/>
        <v>#VALUE!</v>
      </c>
      <c r="BW732" s="61" t="e">
        <f t="shared" si="112"/>
        <v>#NUM!</v>
      </c>
    </row>
    <row r="733" spans="64:75" ht="20.100000000000001" customHeight="1" x14ac:dyDescent="0.25">
      <c r="BL733" s="62" t="str">
        <f t="shared" si="107"/>
        <v/>
      </c>
      <c r="BM733" s="63" t="str">
        <f t="shared" si="108"/>
        <v/>
      </c>
      <c r="BN733" s="68" t="str">
        <f t="shared" si="109"/>
        <v/>
      </c>
      <c r="BU733" s="51" t="e">
        <f t="shared" si="110"/>
        <v>#VALUE!</v>
      </c>
      <c r="BV733" s="44" t="e">
        <f t="shared" si="111"/>
        <v>#VALUE!</v>
      </c>
      <c r="BW733" s="61" t="e">
        <f t="shared" si="112"/>
        <v>#NUM!</v>
      </c>
    </row>
    <row r="734" spans="64:75" ht="20.100000000000001" customHeight="1" x14ac:dyDescent="0.25">
      <c r="BL734" s="62" t="str">
        <f t="shared" si="107"/>
        <v/>
      </c>
      <c r="BM734" s="63" t="str">
        <f t="shared" si="108"/>
        <v/>
      </c>
      <c r="BN734" s="68" t="str">
        <f t="shared" si="109"/>
        <v/>
      </c>
      <c r="BU734" s="51" t="e">
        <f t="shared" si="110"/>
        <v>#VALUE!</v>
      </c>
      <c r="BV734" s="44" t="e">
        <f t="shared" si="111"/>
        <v>#VALUE!</v>
      </c>
      <c r="BW734" s="61" t="e">
        <f t="shared" si="112"/>
        <v>#NUM!</v>
      </c>
    </row>
    <row r="735" spans="64:75" ht="20.100000000000001" customHeight="1" x14ac:dyDescent="0.25">
      <c r="BL735" s="62" t="str">
        <f t="shared" si="107"/>
        <v/>
      </c>
      <c r="BM735" s="63" t="str">
        <f t="shared" si="108"/>
        <v/>
      </c>
      <c r="BN735" s="68" t="str">
        <f t="shared" si="109"/>
        <v/>
      </c>
      <c r="BU735" s="51" t="e">
        <f t="shared" si="110"/>
        <v>#VALUE!</v>
      </c>
      <c r="BV735" s="44" t="e">
        <f t="shared" si="111"/>
        <v>#VALUE!</v>
      </c>
      <c r="BW735" s="61" t="e">
        <f t="shared" si="112"/>
        <v>#NUM!</v>
      </c>
    </row>
    <row r="736" spans="64:75" ht="20.100000000000001" customHeight="1" x14ac:dyDescent="0.25">
      <c r="BL736" s="62" t="str">
        <f t="shared" si="107"/>
        <v/>
      </c>
      <c r="BM736" s="63" t="str">
        <f t="shared" si="108"/>
        <v/>
      </c>
      <c r="BN736" s="68" t="str">
        <f t="shared" si="109"/>
        <v/>
      </c>
      <c r="BU736" s="51" t="e">
        <f t="shared" si="110"/>
        <v>#VALUE!</v>
      </c>
      <c r="BV736" s="44" t="e">
        <f t="shared" si="111"/>
        <v>#VALUE!</v>
      </c>
      <c r="BW736" s="61" t="e">
        <f t="shared" si="112"/>
        <v>#NUM!</v>
      </c>
    </row>
    <row r="737" spans="64:75" ht="20.100000000000001" customHeight="1" x14ac:dyDescent="0.25">
      <c r="BL737" s="62" t="str">
        <f t="shared" si="107"/>
        <v/>
      </c>
      <c r="BM737" s="63" t="str">
        <f t="shared" si="108"/>
        <v/>
      </c>
      <c r="BN737" s="68" t="str">
        <f t="shared" si="109"/>
        <v/>
      </c>
      <c r="BU737" s="51" t="e">
        <f t="shared" si="110"/>
        <v>#VALUE!</v>
      </c>
      <c r="BV737" s="44" t="e">
        <f t="shared" si="111"/>
        <v>#VALUE!</v>
      </c>
      <c r="BW737" s="61" t="e">
        <f t="shared" si="112"/>
        <v>#NUM!</v>
      </c>
    </row>
    <row r="738" spans="64:75" ht="20.100000000000001" customHeight="1" x14ac:dyDescent="0.25">
      <c r="BL738" s="62" t="str">
        <f t="shared" si="107"/>
        <v/>
      </c>
      <c r="BM738" s="63" t="str">
        <f t="shared" si="108"/>
        <v/>
      </c>
      <c r="BN738" s="68" t="str">
        <f t="shared" si="109"/>
        <v/>
      </c>
      <c r="BU738" s="51" t="e">
        <f t="shared" si="110"/>
        <v>#VALUE!</v>
      </c>
      <c r="BV738" s="44" t="e">
        <f t="shared" si="111"/>
        <v>#VALUE!</v>
      </c>
      <c r="BW738" s="61" t="e">
        <f t="shared" si="112"/>
        <v>#NUM!</v>
      </c>
    </row>
    <row r="739" spans="64:75" ht="20.100000000000001" customHeight="1" x14ac:dyDescent="0.25">
      <c r="BL739" s="62" t="str">
        <f t="shared" si="107"/>
        <v/>
      </c>
      <c r="BM739" s="63" t="str">
        <f t="shared" si="108"/>
        <v/>
      </c>
      <c r="BN739" s="68" t="str">
        <f t="shared" si="109"/>
        <v/>
      </c>
      <c r="BU739" s="51" t="e">
        <f t="shared" si="110"/>
        <v>#VALUE!</v>
      </c>
      <c r="BV739" s="44" t="e">
        <f t="shared" si="111"/>
        <v>#VALUE!</v>
      </c>
      <c r="BW739" s="61" t="e">
        <f t="shared" si="112"/>
        <v>#NUM!</v>
      </c>
    </row>
    <row r="740" spans="64:75" ht="20.100000000000001" customHeight="1" x14ac:dyDescent="0.25">
      <c r="BL740" s="62" t="str">
        <f t="shared" si="107"/>
        <v/>
      </c>
      <c r="BM740" s="63" t="str">
        <f t="shared" si="108"/>
        <v/>
      </c>
      <c r="BN740" s="68" t="str">
        <f t="shared" si="109"/>
        <v/>
      </c>
      <c r="BU740" s="51" t="e">
        <f t="shared" si="110"/>
        <v>#VALUE!</v>
      </c>
      <c r="BV740" s="44" t="e">
        <f t="shared" si="111"/>
        <v>#VALUE!</v>
      </c>
      <c r="BW740" s="61" t="e">
        <f t="shared" si="112"/>
        <v>#NUM!</v>
      </c>
    </row>
    <row r="741" spans="64:75" ht="20.100000000000001" customHeight="1" x14ac:dyDescent="0.25">
      <c r="BL741" s="62" t="str">
        <f t="shared" si="107"/>
        <v/>
      </c>
      <c r="BM741" s="63" t="str">
        <f t="shared" si="108"/>
        <v/>
      </c>
      <c r="BN741" s="68" t="str">
        <f t="shared" si="109"/>
        <v/>
      </c>
      <c r="BU741" s="51" t="e">
        <f t="shared" si="110"/>
        <v>#VALUE!</v>
      </c>
      <c r="BV741" s="44" t="e">
        <f t="shared" si="111"/>
        <v>#VALUE!</v>
      </c>
      <c r="BW741" s="61" t="e">
        <f t="shared" si="112"/>
        <v>#NUM!</v>
      </c>
    </row>
    <row r="742" spans="64:75" ht="20.100000000000001" customHeight="1" x14ac:dyDescent="0.25">
      <c r="BL742" s="62" t="str">
        <f t="shared" si="107"/>
        <v/>
      </c>
      <c r="BM742" s="63" t="str">
        <f t="shared" si="108"/>
        <v/>
      </c>
      <c r="BN742" s="68" t="str">
        <f t="shared" si="109"/>
        <v/>
      </c>
      <c r="BU742" s="51" t="e">
        <f t="shared" si="110"/>
        <v>#VALUE!</v>
      </c>
      <c r="BV742" s="44" t="e">
        <f t="shared" si="111"/>
        <v>#VALUE!</v>
      </c>
      <c r="BW742" s="61" t="e">
        <f t="shared" si="112"/>
        <v>#NUM!</v>
      </c>
    </row>
    <row r="743" spans="64:75" ht="20.100000000000001" customHeight="1" x14ac:dyDescent="0.25">
      <c r="BL743" s="62" t="str">
        <f t="shared" si="107"/>
        <v/>
      </c>
      <c r="BM743" s="63" t="str">
        <f t="shared" si="108"/>
        <v/>
      </c>
      <c r="BN743" s="68" t="str">
        <f t="shared" si="109"/>
        <v/>
      </c>
      <c r="BU743" s="51" t="e">
        <f t="shared" si="110"/>
        <v>#VALUE!</v>
      </c>
      <c r="BV743" s="44" t="e">
        <f t="shared" si="111"/>
        <v>#VALUE!</v>
      </c>
      <c r="BW743" s="61" t="e">
        <f t="shared" si="112"/>
        <v>#NUM!</v>
      </c>
    </row>
    <row r="744" spans="64:75" ht="20.100000000000001" customHeight="1" x14ac:dyDescent="0.25">
      <c r="BL744" s="62" t="str">
        <f t="shared" si="107"/>
        <v/>
      </c>
      <c r="BM744" s="63" t="str">
        <f t="shared" si="108"/>
        <v/>
      </c>
      <c r="BN744" s="68" t="str">
        <f t="shared" si="109"/>
        <v/>
      </c>
      <c r="BU744" s="51" t="e">
        <f t="shared" si="110"/>
        <v>#VALUE!</v>
      </c>
      <c r="BV744" s="44" t="e">
        <f t="shared" si="111"/>
        <v>#VALUE!</v>
      </c>
      <c r="BW744" s="61" t="e">
        <f t="shared" si="112"/>
        <v>#NUM!</v>
      </c>
    </row>
    <row r="745" spans="64:75" ht="20.100000000000001" customHeight="1" x14ac:dyDescent="0.25">
      <c r="BL745" s="62" t="str">
        <f t="shared" si="107"/>
        <v/>
      </c>
      <c r="BM745" s="63" t="str">
        <f t="shared" si="108"/>
        <v/>
      </c>
      <c r="BN745" s="68" t="str">
        <f t="shared" si="109"/>
        <v/>
      </c>
      <c r="BU745" s="51" t="e">
        <f t="shared" si="110"/>
        <v>#VALUE!</v>
      </c>
      <c r="BV745" s="44" t="e">
        <f t="shared" si="111"/>
        <v>#VALUE!</v>
      </c>
      <c r="BW745" s="61" t="e">
        <f t="shared" si="112"/>
        <v>#NUM!</v>
      </c>
    </row>
    <row r="746" spans="64:75" ht="20.100000000000001" customHeight="1" x14ac:dyDescent="0.25">
      <c r="BL746" s="62" t="str">
        <f t="shared" si="107"/>
        <v/>
      </c>
      <c r="BM746" s="63" t="str">
        <f t="shared" si="108"/>
        <v/>
      </c>
      <c r="BN746" s="68" t="str">
        <f t="shared" si="109"/>
        <v/>
      </c>
      <c r="BU746" s="51" t="e">
        <f t="shared" si="110"/>
        <v>#VALUE!</v>
      </c>
      <c r="BV746" s="44" t="e">
        <f t="shared" si="111"/>
        <v>#VALUE!</v>
      </c>
      <c r="BW746" s="61" t="e">
        <f t="shared" si="112"/>
        <v>#NUM!</v>
      </c>
    </row>
    <row r="747" spans="64:75" ht="20.100000000000001" customHeight="1" x14ac:dyDescent="0.25">
      <c r="BL747" s="62" t="str">
        <f t="shared" si="107"/>
        <v/>
      </c>
      <c r="BM747" s="63" t="str">
        <f t="shared" si="108"/>
        <v/>
      </c>
      <c r="BN747" s="68" t="str">
        <f t="shared" si="109"/>
        <v/>
      </c>
      <c r="BU747" s="51" t="e">
        <f t="shared" si="110"/>
        <v>#VALUE!</v>
      </c>
      <c r="BV747" s="44" t="e">
        <f t="shared" si="111"/>
        <v>#VALUE!</v>
      </c>
      <c r="BW747" s="61" t="e">
        <f t="shared" si="112"/>
        <v>#NUM!</v>
      </c>
    </row>
    <row r="748" spans="64:75" ht="20.100000000000001" customHeight="1" x14ac:dyDescent="0.25">
      <c r="BL748" s="62" t="str">
        <f t="shared" si="107"/>
        <v/>
      </c>
      <c r="BM748" s="63" t="str">
        <f t="shared" si="108"/>
        <v/>
      </c>
      <c r="BN748" s="68" t="str">
        <f t="shared" si="109"/>
        <v/>
      </c>
      <c r="BU748" s="51" t="e">
        <f t="shared" si="110"/>
        <v>#VALUE!</v>
      </c>
      <c r="BV748" s="44" t="e">
        <f t="shared" si="111"/>
        <v>#VALUE!</v>
      </c>
      <c r="BW748" s="61" t="e">
        <f t="shared" si="112"/>
        <v>#NUM!</v>
      </c>
    </row>
    <row r="749" spans="64:75" ht="20.100000000000001" customHeight="1" x14ac:dyDescent="0.25">
      <c r="BL749" s="62" t="str">
        <f t="shared" si="107"/>
        <v/>
      </c>
      <c r="BM749" s="63" t="str">
        <f t="shared" si="108"/>
        <v/>
      </c>
      <c r="BN749" s="68" t="str">
        <f t="shared" si="109"/>
        <v/>
      </c>
      <c r="BU749" s="51" t="e">
        <f t="shared" si="110"/>
        <v>#VALUE!</v>
      </c>
      <c r="BV749" s="44" t="e">
        <f t="shared" si="111"/>
        <v>#VALUE!</v>
      </c>
      <c r="BW749" s="61" t="e">
        <f t="shared" si="112"/>
        <v>#NUM!</v>
      </c>
    </row>
    <row r="750" spans="64:75" ht="20.100000000000001" customHeight="1" x14ac:dyDescent="0.25">
      <c r="BL750" s="62" t="str">
        <f t="shared" si="107"/>
        <v/>
      </c>
      <c r="BM750" s="63" t="str">
        <f t="shared" si="108"/>
        <v/>
      </c>
      <c r="BN750" s="68" t="str">
        <f t="shared" si="109"/>
        <v/>
      </c>
      <c r="BU750" s="51" t="e">
        <f t="shared" si="110"/>
        <v>#VALUE!</v>
      </c>
      <c r="BV750" s="44" t="e">
        <f t="shared" si="111"/>
        <v>#VALUE!</v>
      </c>
      <c r="BW750" s="61" t="e">
        <f t="shared" si="112"/>
        <v>#NUM!</v>
      </c>
    </row>
    <row r="751" spans="64:75" ht="20.100000000000001" customHeight="1" x14ac:dyDescent="0.25">
      <c r="BL751" s="62" t="str">
        <f t="shared" si="107"/>
        <v/>
      </c>
      <c r="BM751" s="63" t="str">
        <f t="shared" si="108"/>
        <v/>
      </c>
      <c r="BN751" s="68" t="str">
        <f t="shared" si="109"/>
        <v/>
      </c>
      <c r="BU751" s="51" t="e">
        <f t="shared" si="110"/>
        <v>#VALUE!</v>
      </c>
      <c r="BV751" s="44" t="e">
        <f t="shared" si="111"/>
        <v>#VALUE!</v>
      </c>
      <c r="BW751" s="61" t="e">
        <f t="shared" si="112"/>
        <v>#NUM!</v>
      </c>
    </row>
    <row r="752" spans="64:75" ht="20.100000000000001" customHeight="1" x14ac:dyDescent="0.25">
      <c r="BL752" s="62" t="str">
        <f t="shared" si="107"/>
        <v/>
      </c>
      <c r="BM752" s="63" t="str">
        <f t="shared" si="108"/>
        <v/>
      </c>
      <c r="BN752" s="68" t="str">
        <f t="shared" si="109"/>
        <v/>
      </c>
      <c r="BU752" s="51" t="e">
        <f t="shared" si="110"/>
        <v>#VALUE!</v>
      </c>
      <c r="BV752" s="44" t="e">
        <f t="shared" si="111"/>
        <v>#VALUE!</v>
      </c>
      <c r="BW752" s="61" t="e">
        <f t="shared" si="112"/>
        <v>#NUM!</v>
      </c>
    </row>
    <row r="753" spans="64:75" ht="20.100000000000001" customHeight="1" x14ac:dyDescent="0.25">
      <c r="BL753" s="62" t="str">
        <f t="shared" si="107"/>
        <v/>
      </c>
      <c r="BM753" s="63" t="str">
        <f t="shared" si="108"/>
        <v/>
      </c>
      <c r="BN753" s="68" t="str">
        <f t="shared" si="109"/>
        <v/>
      </c>
      <c r="BU753" s="51" t="e">
        <f t="shared" si="110"/>
        <v>#VALUE!</v>
      </c>
      <c r="BV753" s="44" t="e">
        <f t="shared" si="111"/>
        <v>#VALUE!</v>
      </c>
      <c r="BW753" s="61" t="e">
        <f t="shared" si="112"/>
        <v>#NUM!</v>
      </c>
    </row>
    <row r="754" spans="64:75" ht="20.100000000000001" customHeight="1" x14ac:dyDescent="0.25">
      <c r="BL754" s="62" t="str">
        <f t="shared" si="107"/>
        <v/>
      </c>
      <c r="BM754" s="63" t="str">
        <f t="shared" si="108"/>
        <v/>
      </c>
      <c r="BN754" s="68" t="str">
        <f t="shared" si="109"/>
        <v/>
      </c>
      <c r="BU754" s="51" t="e">
        <f t="shared" si="110"/>
        <v>#VALUE!</v>
      </c>
      <c r="BV754" s="44" t="e">
        <f t="shared" si="111"/>
        <v>#VALUE!</v>
      </c>
      <c r="BW754" s="61" t="e">
        <f t="shared" si="112"/>
        <v>#NUM!</v>
      </c>
    </row>
    <row r="755" spans="64:75" ht="20.100000000000001" customHeight="1" x14ac:dyDescent="0.25">
      <c r="BL755" s="62" t="str">
        <f t="shared" si="107"/>
        <v/>
      </c>
      <c r="BM755" s="63" t="str">
        <f t="shared" si="108"/>
        <v/>
      </c>
      <c r="BN755" s="68" t="str">
        <f t="shared" si="109"/>
        <v/>
      </c>
      <c r="BU755" s="51" t="e">
        <f t="shared" si="110"/>
        <v>#VALUE!</v>
      </c>
      <c r="BV755" s="44" t="e">
        <f t="shared" si="111"/>
        <v>#VALUE!</v>
      </c>
      <c r="BW755" s="61" t="e">
        <f t="shared" si="112"/>
        <v>#NUM!</v>
      </c>
    </row>
    <row r="756" spans="64:75" ht="20.100000000000001" customHeight="1" x14ac:dyDescent="0.25">
      <c r="BL756" s="62" t="str">
        <f t="shared" si="107"/>
        <v/>
      </c>
      <c r="BM756" s="63" t="str">
        <f t="shared" si="108"/>
        <v/>
      </c>
      <c r="BN756" s="68" t="str">
        <f t="shared" si="109"/>
        <v/>
      </c>
      <c r="BU756" s="51" t="e">
        <f t="shared" si="110"/>
        <v>#VALUE!</v>
      </c>
      <c r="BV756" s="44" t="e">
        <f t="shared" si="111"/>
        <v>#VALUE!</v>
      </c>
      <c r="BW756" s="61" t="e">
        <f t="shared" si="112"/>
        <v>#NUM!</v>
      </c>
    </row>
    <row r="757" spans="64:75" ht="20.100000000000001" customHeight="1" x14ac:dyDescent="0.25">
      <c r="BL757" s="62" t="str">
        <f t="shared" si="107"/>
        <v/>
      </c>
      <c r="BM757" s="63" t="str">
        <f t="shared" si="108"/>
        <v/>
      </c>
      <c r="BN757" s="68" t="str">
        <f t="shared" si="109"/>
        <v/>
      </c>
      <c r="BU757" s="51" t="e">
        <f t="shared" si="110"/>
        <v>#VALUE!</v>
      </c>
      <c r="BV757" s="44" t="e">
        <f t="shared" si="111"/>
        <v>#VALUE!</v>
      </c>
      <c r="BW757" s="61" t="e">
        <f t="shared" si="112"/>
        <v>#NUM!</v>
      </c>
    </row>
    <row r="758" spans="64:75" ht="20.100000000000001" customHeight="1" x14ac:dyDescent="0.25">
      <c r="BL758" s="62" t="str">
        <f t="shared" si="107"/>
        <v/>
      </c>
      <c r="BM758" s="63" t="str">
        <f t="shared" si="108"/>
        <v/>
      </c>
      <c r="BN758" s="68" t="str">
        <f t="shared" si="109"/>
        <v/>
      </c>
      <c r="BU758" s="51" t="e">
        <f t="shared" si="110"/>
        <v>#VALUE!</v>
      </c>
      <c r="BV758" s="44" t="e">
        <f t="shared" si="111"/>
        <v>#VALUE!</v>
      </c>
      <c r="BW758" s="61" t="e">
        <f t="shared" si="112"/>
        <v>#NUM!</v>
      </c>
    </row>
    <row r="759" spans="64:75" ht="20.100000000000001" customHeight="1" x14ac:dyDescent="0.25">
      <c r="BL759" s="62" t="str">
        <f t="shared" si="107"/>
        <v/>
      </c>
      <c r="BM759" s="63" t="str">
        <f t="shared" si="108"/>
        <v/>
      </c>
      <c r="BN759" s="68" t="str">
        <f t="shared" si="109"/>
        <v/>
      </c>
      <c r="BU759" s="51" t="e">
        <f t="shared" si="110"/>
        <v>#VALUE!</v>
      </c>
      <c r="BV759" s="44" t="e">
        <f t="shared" si="111"/>
        <v>#VALUE!</v>
      </c>
      <c r="BW759" s="61" t="e">
        <f t="shared" si="112"/>
        <v>#NUM!</v>
      </c>
    </row>
    <row r="760" spans="64:75" ht="20.100000000000001" customHeight="1" x14ac:dyDescent="0.25">
      <c r="BL760" s="62" t="str">
        <f t="shared" si="107"/>
        <v/>
      </c>
      <c r="BM760" s="63" t="str">
        <f t="shared" si="108"/>
        <v/>
      </c>
      <c r="BN760" s="68" t="str">
        <f t="shared" si="109"/>
        <v/>
      </c>
      <c r="BU760" s="51" t="e">
        <f t="shared" si="110"/>
        <v>#VALUE!</v>
      </c>
      <c r="BV760" s="44" t="e">
        <f t="shared" si="111"/>
        <v>#VALUE!</v>
      </c>
      <c r="BW760" s="61" t="e">
        <f t="shared" si="112"/>
        <v>#NUM!</v>
      </c>
    </row>
    <row r="761" spans="64:75" ht="20.100000000000001" customHeight="1" x14ac:dyDescent="0.25">
      <c r="BL761" s="62" t="str">
        <f t="shared" si="107"/>
        <v/>
      </c>
      <c r="BM761" s="63" t="str">
        <f t="shared" si="108"/>
        <v/>
      </c>
      <c r="BN761" s="68" t="str">
        <f t="shared" si="109"/>
        <v/>
      </c>
      <c r="BU761" s="51" t="e">
        <f t="shared" si="110"/>
        <v>#VALUE!</v>
      </c>
      <c r="BV761" s="44" t="e">
        <f t="shared" si="111"/>
        <v>#VALUE!</v>
      </c>
      <c r="BW761" s="61" t="e">
        <f t="shared" si="112"/>
        <v>#NUM!</v>
      </c>
    </row>
    <row r="762" spans="64:75" ht="20.100000000000001" customHeight="1" x14ac:dyDescent="0.25">
      <c r="BL762" s="62" t="str">
        <f t="shared" si="107"/>
        <v/>
      </c>
      <c r="BM762" s="63" t="str">
        <f t="shared" si="108"/>
        <v/>
      </c>
      <c r="BN762" s="68" t="str">
        <f t="shared" si="109"/>
        <v/>
      </c>
      <c r="BU762" s="51" t="e">
        <f t="shared" si="110"/>
        <v>#VALUE!</v>
      </c>
      <c r="BV762" s="44" t="e">
        <f t="shared" si="111"/>
        <v>#VALUE!</v>
      </c>
      <c r="BW762" s="61" t="e">
        <f t="shared" si="112"/>
        <v>#NUM!</v>
      </c>
    </row>
    <row r="763" spans="64:75" ht="20.100000000000001" customHeight="1" x14ac:dyDescent="0.25">
      <c r="BL763" s="62" t="str">
        <f t="shared" si="107"/>
        <v/>
      </c>
      <c r="BM763" s="63" t="str">
        <f t="shared" si="108"/>
        <v/>
      </c>
      <c r="BN763" s="68" t="str">
        <f t="shared" si="109"/>
        <v/>
      </c>
      <c r="BU763" s="51" t="e">
        <f t="shared" si="110"/>
        <v>#VALUE!</v>
      </c>
      <c r="BV763" s="44" t="e">
        <f t="shared" si="111"/>
        <v>#VALUE!</v>
      </c>
      <c r="BW763" s="61" t="e">
        <f t="shared" si="112"/>
        <v>#NUM!</v>
      </c>
    </row>
    <row r="764" spans="64:75" ht="20.100000000000001" customHeight="1" x14ac:dyDescent="0.25">
      <c r="BL764" s="62" t="str">
        <f t="shared" si="107"/>
        <v/>
      </c>
      <c r="BM764" s="63" t="str">
        <f t="shared" si="108"/>
        <v/>
      </c>
      <c r="BN764" s="68" t="str">
        <f t="shared" si="109"/>
        <v/>
      </c>
      <c r="BU764" s="51" t="e">
        <f t="shared" si="110"/>
        <v>#VALUE!</v>
      </c>
      <c r="BV764" s="44" t="e">
        <f t="shared" si="111"/>
        <v>#VALUE!</v>
      </c>
      <c r="BW764" s="61" t="e">
        <f t="shared" si="112"/>
        <v>#NUM!</v>
      </c>
    </row>
    <row r="765" spans="64:75" ht="20.100000000000001" customHeight="1" x14ac:dyDescent="0.25">
      <c r="BL765" s="62" t="str">
        <f t="shared" si="107"/>
        <v/>
      </c>
      <c r="BM765" s="63" t="str">
        <f t="shared" si="108"/>
        <v/>
      </c>
      <c r="BN765" s="68" t="str">
        <f t="shared" si="109"/>
        <v/>
      </c>
      <c r="BU765" s="51" t="e">
        <f t="shared" si="110"/>
        <v>#VALUE!</v>
      </c>
      <c r="BV765" s="44" t="e">
        <f t="shared" si="111"/>
        <v>#VALUE!</v>
      </c>
      <c r="BW765" s="61" t="e">
        <f t="shared" si="112"/>
        <v>#NUM!</v>
      </c>
    </row>
    <row r="766" spans="64:75" ht="20.100000000000001" customHeight="1" x14ac:dyDescent="0.25">
      <c r="BL766" s="62" t="str">
        <f t="shared" si="107"/>
        <v/>
      </c>
      <c r="BM766" s="63" t="str">
        <f t="shared" si="108"/>
        <v/>
      </c>
      <c r="BN766" s="68" t="str">
        <f t="shared" si="109"/>
        <v/>
      </c>
      <c r="BU766" s="51" t="e">
        <f t="shared" si="110"/>
        <v>#VALUE!</v>
      </c>
      <c r="BV766" s="44" t="e">
        <f t="shared" si="111"/>
        <v>#VALUE!</v>
      </c>
      <c r="BW766" s="61" t="e">
        <f t="shared" si="112"/>
        <v>#NUM!</v>
      </c>
    </row>
    <row r="767" spans="64:75" ht="20.100000000000001" customHeight="1" x14ac:dyDescent="0.25">
      <c r="BL767" s="62" t="str">
        <f t="shared" si="107"/>
        <v/>
      </c>
      <c r="BM767" s="63" t="str">
        <f t="shared" si="108"/>
        <v/>
      </c>
      <c r="BN767" s="68" t="str">
        <f t="shared" si="109"/>
        <v/>
      </c>
      <c r="BU767" s="51" t="e">
        <f t="shared" si="110"/>
        <v>#VALUE!</v>
      </c>
      <c r="BV767" s="44" t="e">
        <f t="shared" si="111"/>
        <v>#VALUE!</v>
      </c>
      <c r="BW767" s="61" t="e">
        <f t="shared" si="112"/>
        <v>#NUM!</v>
      </c>
    </row>
    <row r="768" spans="64:75" ht="20.100000000000001" customHeight="1" x14ac:dyDescent="0.25">
      <c r="BL768" s="62" t="str">
        <f t="shared" si="107"/>
        <v/>
      </c>
      <c r="BM768" s="63" t="str">
        <f t="shared" si="108"/>
        <v/>
      </c>
      <c r="BN768" s="68" t="str">
        <f t="shared" si="109"/>
        <v/>
      </c>
      <c r="BU768" s="51" t="e">
        <f t="shared" si="110"/>
        <v>#VALUE!</v>
      </c>
      <c r="BV768" s="44" t="e">
        <f t="shared" si="111"/>
        <v>#VALUE!</v>
      </c>
      <c r="BW768" s="61" t="e">
        <f t="shared" si="112"/>
        <v>#NUM!</v>
      </c>
    </row>
    <row r="769" spans="64:75" ht="20.100000000000001" customHeight="1" x14ac:dyDescent="0.25">
      <c r="BL769" s="62" t="str">
        <f t="shared" si="107"/>
        <v/>
      </c>
      <c r="BM769" s="63" t="str">
        <f t="shared" si="108"/>
        <v/>
      </c>
      <c r="BN769" s="68" t="str">
        <f t="shared" si="109"/>
        <v/>
      </c>
      <c r="BU769" s="51" t="e">
        <f t="shared" si="110"/>
        <v>#VALUE!</v>
      </c>
      <c r="BV769" s="44" t="e">
        <f t="shared" si="111"/>
        <v>#VALUE!</v>
      </c>
      <c r="BW769" s="61" t="e">
        <f t="shared" si="112"/>
        <v>#NUM!</v>
      </c>
    </row>
    <row r="770" spans="64:75" ht="20.100000000000001" customHeight="1" x14ac:dyDescent="0.25">
      <c r="BL770" s="62" t="str">
        <f t="shared" si="107"/>
        <v/>
      </c>
      <c r="BM770" s="63" t="str">
        <f t="shared" si="108"/>
        <v/>
      </c>
      <c r="BN770" s="68" t="str">
        <f t="shared" si="109"/>
        <v/>
      </c>
      <c r="BU770" s="51" t="e">
        <f t="shared" si="110"/>
        <v>#VALUE!</v>
      </c>
      <c r="BV770" s="44" t="e">
        <f t="shared" si="111"/>
        <v>#VALUE!</v>
      </c>
      <c r="BW770" s="61" t="e">
        <f t="shared" si="112"/>
        <v>#NUM!</v>
      </c>
    </row>
    <row r="771" spans="64:75" ht="20.100000000000001" customHeight="1" x14ac:dyDescent="0.25">
      <c r="BL771" s="62" t="str">
        <f t="shared" si="107"/>
        <v/>
      </c>
      <c r="BM771" s="63" t="str">
        <f t="shared" si="108"/>
        <v/>
      </c>
      <c r="BN771" s="68" t="str">
        <f t="shared" si="109"/>
        <v/>
      </c>
      <c r="BU771" s="51" t="e">
        <f t="shared" si="110"/>
        <v>#VALUE!</v>
      </c>
      <c r="BV771" s="44" t="e">
        <f t="shared" si="111"/>
        <v>#VALUE!</v>
      </c>
      <c r="BW771" s="61" t="e">
        <f t="shared" si="112"/>
        <v>#NUM!</v>
      </c>
    </row>
    <row r="772" spans="64:75" ht="20.100000000000001" customHeight="1" x14ac:dyDescent="0.25">
      <c r="BL772" s="62" t="str">
        <f t="shared" si="107"/>
        <v/>
      </c>
      <c r="BM772" s="63" t="str">
        <f t="shared" si="108"/>
        <v/>
      </c>
      <c r="BN772" s="68" t="str">
        <f t="shared" si="109"/>
        <v/>
      </c>
      <c r="BU772" s="51" t="e">
        <f t="shared" si="110"/>
        <v>#VALUE!</v>
      </c>
      <c r="BV772" s="44" t="e">
        <f t="shared" si="111"/>
        <v>#VALUE!</v>
      </c>
      <c r="BW772" s="61" t="e">
        <f t="shared" si="112"/>
        <v>#NUM!</v>
      </c>
    </row>
    <row r="773" spans="64:75" ht="20.100000000000001" customHeight="1" x14ac:dyDescent="0.25">
      <c r="BL773" s="62" t="str">
        <f t="shared" si="107"/>
        <v/>
      </c>
      <c r="BM773" s="63" t="str">
        <f t="shared" si="108"/>
        <v/>
      </c>
      <c r="BN773" s="68" t="str">
        <f t="shared" si="109"/>
        <v/>
      </c>
      <c r="BU773" s="51" t="e">
        <f t="shared" si="110"/>
        <v>#VALUE!</v>
      </c>
      <c r="BV773" s="44" t="e">
        <f t="shared" si="111"/>
        <v>#VALUE!</v>
      </c>
      <c r="BW773" s="61" t="e">
        <f t="shared" si="112"/>
        <v>#NUM!</v>
      </c>
    </row>
    <row r="774" spans="64:75" ht="20.100000000000001" customHeight="1" x14ac:dyDescent="0.25">
      <c r="BL774" s="62" t="str">
        <f t="shared" si="107"/>
        <v/>
      </c>
      <c r="BM774" s="63" t="str">
        <f t="shared" si="108"/>
        <v/>
      </c>
      <c r="BN774" s="68" t="str">
        <f t="shared" si="109"/>
        <v/>
      </c>
      <c r="BU774" s="51" t="e">
        <f t="shared" si="110"/>
        <v>#VALUE!</v>
      </c>
      <c r="BV774" s="44" t="e">
        <f t="shared" si="111"/>
        <v>#VALUE!</v>
      </c>
      <c r="BW774" s="61" t="e">
        <f t="shared" si="112"/>
        <v>#NUM!</v>
      </c>
    </row>
    <row r="775" spans="64:75" ht="20.100000000000001" customHeight="1" x14ac:dyDescent="0.25">
      <c r="BL775" s="62" t="str">
        <f t="shared" si="107"/>
        <v/>
      </c>
      <c r="BM775" s="63" t="str">
        <f t="shared" si="108"/>
        <v/>
      </c>
      <c r="BN775" s="68" t="str">
        <f t="shared" si="109"/>
        <v/>
      </c>
      <c r="BU775" s="51" t="e">
        <f t="shared" si="110"/>
        <v>#VALUE!</v>
      </c>
      <c r="BV775" s="44" t="e">
        <f t="shared" si="111"/>
        <v>#VALUE!</v>
      </c>
      <c r="BW775" s="61" t="e">
        <f t="shared" si="112"/>
        <v>#NUM!</v>
      </c>
    </row>
    <row r="776" spans="64:75" ht="20.100000000000001" customHeight="1" x14ac:dyDescent="0.25">
      <c r="BL776" s="62" t="str">
        <f t="shared" si="107"/>
        <v/>
      </c>
      <c r="BM776" s="63" t="str">
        <f t="shared" si="108"/>
        <v/>
      </c>
      <c r="BN776" s="68" t="str">
        <f t="shared" si="109"/>
        <v/>
      </c>
      <c r="BU776" s="51" t="e">
        <f t="shared" si="110"/>
        <v>#VALUE!</v>
      </c>
      <c r="BV776" s="44" t="e">
        <f t="shared" si="111"/>
        <v>#VALUE!</v>
      </c>
      <c r="BW776" s="61" t="e">
        <f t="shared" si="112"/>
        <v>#NUM!</v>
      </c>
    </row>
    <row r="777" spans="64:75" ht="20.100000000000001" customHeight="1" x14ac:dyDescent="0.25">
      <c r="BL777" s="62" t="str">
        <f t="shared" si="107"/>
        <v/>
      </c>
      <c r="BM777" s="63" t="str">
        <f t="shared" si="108"/>
        <v/>
      </c>
      <c r="BN777" s="68" t="str">
        <f t="shared" si="109"/>
        <v/>
      </c>
      <c r="BU777" s="51" t="e">
        <f t="shared" si="110"/>
        <v>#VALUE!</v>
      </c>
      <c r="BV777" s="44" t="e">
        <f t="shared" si="111"/>
        <v>#VALUE!</v>
      </c>
      <c r="BW777" s="61" t="e">
        <f t="shared" si="112"/>
        <v>#NUM!</v>
      </c>
    </row>
    <row r="778" spans="64:75" ht="20.100000000000001" customHeight="1" x14ac:dyDescent="0.25">
      <c r="BL778" s="62" t="str">
        <f t="shared" si="107"/>
        <v/>
      </c>
      <c r="BM778" s="63" t="str">
        <f t="shared" si="108"/>
        <v/>
      </c>
      <c r="BN778" s="68" t="str">
        <f t="shared" si="109"/>
        <v/>
      </c>
      <c r="BU778" s="51" t="e">
        <f t="shared" si="110"/>
        <v>#VALUE!</v>
      </c>
      <c r="BV778" s="44" t="e">
        <f t="shared" si="111"/>
        <v>#VALUE!</v>
      </c>
      <c r="BW778" s="61" t="e">
        <f t="shared" si="112"/>
        <v>#NUM!</v>
      </c>
    </row>
    <row r="779" spans="64:75" ht="20.100000000000001" customHeight="1" x14ac:dyDescent="0.25">
      <c r="BL779" s="62" t="str">
        <f t="shared" si="107"/>
        <v/>
      </c>
      <c r="BM779" s="63" t="str">
        <f t="shared" si="108"/>
        <v/>
      </c>
      <c r="BN779" s="68" t="str">
        <f t="shared" si="109"/>
        <v/>
      </c>
      <c r="BU779" s="51" t="e">
        <f t="shared" si="110"/>
        <v>#VALUE!</v>
      </c>
      <c r="BV779" s="44" t="e">
        <f t="shared" si="111"/>
        <v>#VALUE!</v>
      </c>
      <c r="BW779" s="61" t="e">
        <f t="shared" si="112"/>
        <v>#NUM!</v>
      </c>
    </row>
    <row r="780" spans="64:75" ht="20.100000000000001" customHeight="1" x14ac:dyDescent="0.25">
      <c r="BL780" s="62" t="str">
        <f t="shared" ref="BL780:BL843" si="113">IF(AND(BL779&gt;BM$6,BL779&lt;&gt;""),BL779-1,"")</f>
        <v/>
      </c>
      <c r="BM780" s="63" t="str">
        <f t="shared" ref="BM780:BM843" si="114">IF(BL780&lt;&gt;"",MAX(BL780,ROUND(BM$6*BM$9^BL780,0)),"")</f>
        <v/>
      </c>
      <c r="BN780" s="68" t="str">
        <f t="shared" ref="BN780:BN843" si="115">IF(BM780&lt;&gt;"",O$12/M$12*BM780,"")</f>
        <v/>
      </c>
      <c r="BU780" s="51" t="e">
        <f t="shared" si="110"/>
        <v>#VALUE!</v>
      </c>
      <c r="BV780" s="44" t="e">
        <f t="shared" si="111"/>
        <v>#VALUE!</v>
      </c>
      <c r="BW780" s="61" t="e">
        <f t="shared" si="112"/>
        <v>#NUM!</v>
      </c>
    </row>
    <row r="781" spans="64:75" ht="20.100000000000001" customHeight="1" x14ac:dyDescent="0.25">
      <c r="BL781" s="62" t="str">
        <f t="shared" si="113"/>
        <v/>
      </c>
      <c r="BM781" s="63" t="str">
        <f t="shared" si="114"/>
        <v/>
      </c>
      <c r="BN781" s="68" t="str">
        <f t="shared" si="115"/>
        <v/>
      </c>
      <c r="BU781" s="51" t="e">
        <f t="shared" si="110"/>
        <v>#VALUE!</v>
      </c>
      <c r="BV781" s="44" t="e">
        <f t="shared" si="111"/>
        <v>#VALUE!</v>
      </c>
      <c r="BW781" s="61" t="e">
        <f t="shared" si="112"/>
        <v>#NUM!</v>
      </c>
    </row>
    <row r="782" spans="64:75" ht="20.100000000000001" customHeight="1" x14ac:dyDescent="0.25">
      <c r="BL782" s="62" t="str">
        <f t="shared" si="113"/>
        <v/>
      </c>
      <c r="BM782" s="63" t="str">
        <f t="shared" si="114"/>
        <v/>
      </c>
      <c r="BN782" s="68" t="str">
        <f t="shared" si="115"/>
        <v/>
      </c>
      <c r="BU782" s="51" t="e">
        <f t="shared" si="110"/>
        <v>#VALUE!</v>
      </c>
      <c r="BV782" s="44" t="e">
        <f t="shared" si="111"/>
        <v>#VALUE!</v>
      </c>
      <c r="BW782" s="61" t="e">
        <f t="shared" si="112"/>
        <v>#NUM!</v>
      </c>
    </row>
    <row r="783" spans="64:75" ht="20.100000000000001" customHeight="1" x14ac:dyDescent="0.25">
      <c r="BL783" s="62" t="str">
        <f t="shared" si="113"/>
        <v/>
      </c>
      <c r="BM783" s="63" t="str">
        <f t="shared" si="114"/>
        <v/>
      </c>
      <c r="BN783" s="68" t="str">
        <f t="shared" si="115"/>
        <v/>
      </c>
      <c r="BU783" s="51" t="e">
        <f t="shared" si="110"/>
        <v>#VALUE!</v>
      </c>
      <c r="BV783" s="44" t="e">
        <f t="shared" si="111"/>
        <v>#VALUE!</v>
      </c>
      <c r="BW783" s="61" t="e">
        <f t="shared" si="112"/>
        <v>#NUM!</v>
      </c>
    </row>
    <row r="784" spans="64:75" ht="20.100000000000001" customHeight="1" x14ac:dyDescent="0.25">
      <c r="BL784" s="62" t="str">
        <f t="shared" si="113"/>
        <v/>
      </c>
      <c r="BM784" s="63" t="str">
        <f t="shared" si="114"/>
        <v/>
      </c>
      <c r="BN784" s="68" t="str">
        <f t="shared" si="115"/>
        <v/>
      </c>
      <c r="BU784" s="51" t="e">
        <f t="shared" si="110"/>
        <v>#VALUE!</v>
      </c>
      <c r="BV784" s="44" t="e">
        <f t="shared" si="111"/>
        <v>#VALUE!</v>
      </c>
      <c r="BW784" s="61" t="e">
        <f t="shared" si="112"/>
        <v>#NUM!</v>
      </c>
    </row>
    <row r="785" spans="64:75" ht="20.100000000000001" customHeight="1" x14ac:dyDescent="0.25">
      <c r="BL785" s="62" t="str">
        <f t="shared" si="113"/>
        <v/>
      </c>
      <c r="BM785" s="63" t="str">
        <f t="shared" si="114"/>
        <v/>
      </c>
      <c r="BN785" s="68" t="str">
        <f t="shared" si="115"/>
        <v/>
      </c>
      <c r="BU785" s="51" t="e">
        <f t="shared" si="110"/>
        <v>#VALUE!</v>
      </c>
      <c r="BV785" s="44" t="e">
        <f t="shared" si="111"/>
        <v>#VALUE!</v>
      </c>
      <c r="BW785" s="61" t="e">
        <f t="shared" si="112"/>
        <v>#NUM!</v>
      </c>
    </row>
    <row r="786" spans="64:75" ht="20.100000000000001" customHeight="1" x14ac:dyDescent="0.25">
      <c r="BL786" s="62" t="str">
        <f t="shared" si="113"/>
        <v/>
      </c>
      <c r="BM786" s="63" t="str">
        <f t="shared" si="114"/>
        <v/>
      </c>
      <c r="BN786" s="68" t="str">
        <f t="shared" si="115"/>
        <v/>
      </c>
      <c r="BU786" s="51" t="e">
        <f t="shared" si="110"/>
        <v>#VALUE!</v>
      </c>
      <c r="BV786" s="44" t="e">
        <f t="shared" si="111"/>
        <v>#VALUE!</v>
      </c>
      <c r="BW786" s="61" t="e">
        <f t="shared" si="112"/>
        <v>#NUM!</v>
      </c>
    </row>
    <row r="787" spans="64:75" ht="20.100000000000001" customHeight="1" x14ac:dyDescent="0.25">
      <c r="BL787" s="62" t="str">
        <f t="shared" si="113"/>
        <v/>
      </c>
      <c r="BM787" s="63" t="str">
        <f t="shared" si="114"/>
        <v/>
      </c>
      <c r="BN787" s="68" t="str">
        <f t="shared" si="115"/>
        <v/>
      </c>
      <c r="BU787" s="51" t="e">
        <f t="shared" si="110"/>
        <v>#VALUE!</v>
      </c>
      <c r="BV787" s="44" t="e">
        <f t="shared" si="111"/>
        <v>#VALUE!</v>
      </c>
      <c r="BW787" s="61" t="e">
        <f t="shared" si="112"/>
        <v>#NUM!</v>
      </c>
    </row>
    <row r="788" spans="64:75" ht="20.100000000000001" customHeight="1" x14ac:dyDescent="0.25">
      <c r="BL788" s="62" t="str">
        <f t="shared" si="113"/>
        <v/>
      </c>
      <c r="BM788" s="63" t="str">
        <f t="shared" si="114"/>
        <v/>
      </c>
      <c r="BN788" s="68" t="str">
        <f t="shared" si="115"/>
        <v/>
      </c>
      <c r="BU788" s="51" t="e">
        <f t="shared" ref="BU788:BU851" si="116">BO788-BN788</f>
        <v>#VALUE!</v>
      </c>
      <c r="BV788" s="44" t="e">
        <f t="shared" ref="BV788:BV851" si="117">BO788/BN788-1</f>
        <v>#VALUE!</v>
      </c>
      <c r="BW788" s="61" t="e">
        <f t="shared" ref="BW788:BW851" si="118">-20*LOG10(BP788/100)</f>
        <v>#NUM!</v>
      </c>
    </row>
    <row r="789" spans="64:75" ht="20.100000000000001" customHeight="1" x14ac:dyDescent="0.25">
      <c r="BL789" s="62" t="str">
        <f t="shared" si="113"/>
        <v/>
      </c>
      <c r="BM789" s="63" t="str">
        <f t="shared" si="114"/>
        <v/>
      </c>
      <c r="BN789" s="68" t="str">
        <f t="shared" si="115"/>
        <v/>
      </c>
      <c r="BU789" s="51" t="e">
        <f t="shared" si="116"/>
        <v>#VALUE!</v>
      </c>
      <c r="BV789" s="44" t="e">
        <f t="shared" si="117"/>
        <v>#VALUE!</v>
      </c>
      <c r="BW789" s="61" t="e">
        <f t="shared" si="118"/>
        <v>#NUM!</v>
      </c>
    </row>
    <row r="790" spans="64:75" ht="20.100000000000001" customHeight="1" x14ac:dyDescent="0.25">
      <c r="BL790" s="62" t="str">
        <f t="shared" si="113"/>
        <v/>
      </c>
      <c r="BM790" s="63" t="str">
        <f t="shared" si="114"/>
        <v/>
      </c>
      <c r="BN790" s="68" t="str">
        <f t="shared" si="115"/>
        <v/>
      </c>
      <c r="BU790" s="51" t="e">
        <f t="shared" si="116"/>
        <v>#VALUE!</v>
      </c>
      <c r="BV790" s="44" t="e">
        <f t="shared" si="117"/>
        <v>#VALUE!</v>
      </c>
      <c r="BW790" s="61" t="e">
        <f t="shared" si="118"/>
        <v>#NUM!</v>
      </c>
    </row>
    <row r="791" spans="64:75" ht="20.100000000000001" customHeight="1" x14ac:dyDescent="0.25">
      <c r="BL791" s="62" t="str">
        <f t="shared" si="113"/>
        <v/>
      </c>
      <c r="BM791" s="63" t="str">
        <f t="shared" si="114"/>
        <v/>
      </c>
      <c r="BN791" s="68" t="str">
        <f t="shared" si="115"/>
        <v/>
      </c>
      <c r="BU791" s="51" t="e">
        <f t="shared" si="116"/>
        <v>#VALUE!</v>
      </c>
      <c r="BV791" s="44" t="e">
        <f t="shared" si="117"/>
        <v>#VALUE!</v>
      </c>
      <c r="BW791" s="61" t="e">
        <f t="shared" si="118"/>
        <v>#NUM!</v>
      </c>
    </row>
    <row r="792" spans="64:75" ht="20.100000000000001" customHeight="1" x14ac:dyDescent="0.25">
      <c r="BL792" s="62" t="str">
        <f t="shared" si="113"/>
        <v/>
      </c>
      <c r="BM792" s="63" t="str">
        <f t="shared" si="114"/>
        <v/>
      </c>
      <c r="BN792" s="68" t="str">
        <f t="shared" si="115"/>
        <v/>
      </c>
      <c r="BU792" s="51" t="e">
        <f t="shared" si="116"/>
        <v>#VALUE!</v>
      </c>
      <c r="BV792" s="44" t="e">
        <f t="shared" si="117"/>
        <v>#VALUE!</v>
      </c>
      <c r="BW792" s="61" t="e">
        <f t="shared" si="118"/>
        <v>#NUM!</v>
      </c>
    </row>
    <row r="793" spans="64:75" ht="20.100000000000001" customHeight="1" x14ac:dyDescent="0.25">
      <c r="BL793" s="62" t="str">
        <f t="shared" si="113"/>
        <v/>
      </c>
      <c r="BM793" s="63" t="str">
        <f t="shared" si="114"/>
        <v/>
      </c>
      <c r="BN793" s="68" t="str">
        <f t="shared" si="115"/>
        <v/>
      </c>
      <c r="BU793" s="51" t="e">
        <f t="shared" si="116"/>
        <v>#VALUE!</v>
      </c>
      <c r="BV793" s="44" t="e">
        <f t="shared" si="117"/>
        <v>#VALUE!</v>
      </c>
      <c r="BW793" s="61" t="e">
        <f t="shared" si="118"/>
        <v>#NUM!</v>
      </c>
    </row>
    <row r="794" spans="64:75" ht="20.100000000000001" customHeight="1" x14ac:dyDescent="0.25">
      <c r="BL794" s="62" t="str">
        <f t="shared" si="113"/>
        <v/>
      </c>
      <c r="BM794" s="63" t="str">
        <f t="shared" si="114"/>
        <v/>
      </c>
      <c r="BN794" s="68" t="str">
        <f t="shared" si="115"/>
        <v/>
      </c>
      <c r="BU794" s="51" t="e">
        <f t="shared" si="116"/>
        <v>#VALUE!</v>
      </c>
      <c r="BV794" s="44" t="e">
        <f t="shared" si="117"/>
        <v>#VALUE!</v>
      </c>
      <c r="BW794" s="61" t="e">
        <f t="shared" si="118"/>
        <v>#NUM!</v>
      </c>
    </row>
    <row r="795" spans="64:75" ht="20.100000000000001" customHeight="1" x14ac:dyDescent="0.25">
      <c r="BL795" s="62" t="str">
        <f t="shared" si="113"/>
        <v/>
      </c>
      <c r="BM795" s="63" t="str">
        <f t="shared" si="114"/>
        <v/>
      </c>
      <c r="BN795" s="68" t="str">
        <f t="shared" si="115"/>
        <v/>
      </c>
      <c r="BU795" s="51" t="e">
        <f t="shared" si="116"/>
        <v>#VALUE!</v>
      </c>
      <c r="BV795" s="44" t="e">
        <f t="shared" si="117"/>
        <v>#VALUE!</v>
      </c>
      <c r="BW795" s="61" t="e">
        <f t="shared" si="118"/>
        <v>#NUM!</v>
      </c>
    </row>
    <row r="796" spans="64:75" ht="20.100000000000001" customHeight="1" x14ac:dyDescent="0.25">
      <c r="BL796" s="62" t="str">
        <f t="shared" si="113"/>
        <v/>
      </c>
      <c r="BM796" s="63" t="str">
        <f t="shared" si="114"/>
        <v/>
      </c>
      <c r="BN796" s="68" t="str">
        <f t="shared" si="115"/>
        <v/>
      </c>
      <c r="BU796" s="51" t="e">
        <f t="shared" si="116"/>
        <v>#VALUE!</v>
      </c>
      <c r="BV796" s="44" t="e">
        <f t="shared" si="117"/>
        <v>#VALUE!</v>
      </c>
      <c r="BW796" s="61" t="e">
        <f t="shared" si="118"/>
        <v>#NUM!</v>
      </c>
    </row>
    <row r="797" spans="64:75" ht="20.100000000000001" customHeight="1" x14ac:dyDescent="0.25">
      <c r="BL797" s="62" t="str">
        <f t="shared" si="113"/>
        <v/>
      </c>
      <c r="BM797" s="63" t="str">
        <f t="shared" si="114"/>
        <v/>
      </c>
      <c r="BN797" s="68" t="str">
        <f t="shared" si="115"/>
        <v/>
      </c>
      <c r="BU797" s="51" t="e">
        <f t="shared" si="116"/>
        <v>#VALUE!</v>
      </c>
      <c r="BV797" s="44" t="e">
        <f t="shared" si="117"/>
        <v>#VALUE!</v>
      </c>
      <c r="BW797" s="61" t="e">
        <f t="shared" si="118"/>
        <v>#NUM!</v>
      </c>
    </row>
    <row r="798" spans="64:75" ht="20.100000000000001" customHeight="1" x14ac:dyDescent="0.25">
      <c r="BL798" s="62" t="str">
        <f t="shared" si="113"/>
        <v/>
      </c>
      <c r="BM798" s="63" t="str">
        <f t="shared" si="114"/>
        <v/>
      </c>
      <c r="BN798" s="68" t="str">
        <f t="shared" si="115"/>
        <v/>
      </c>
      <c r="BU798" s="51" t="e">
        <f t="shared" si="116"/>
        <v>#VALUE!</v>
      </c>
      <c r="BV798" s="44" t="e">
        <f t="shared" si="117"/>
        <v>#VALUE!</v>
      </c>
      <c r="BW798" s="61" t="e">
        <f t="shared" si="118"/>
        <v>#NUM!</v>
      </c>
    </row>
    <row r="799" spans="64:75" ht="20.100000000000001" customHeight="1" x14ac:dyDescent="0.25">
      <c r="BL799" s="62" t="str">
        <f t="shared" si="113"/>
        <v/>
      </c>
      <c r="BM799" s="63" t="str">
        <f t="shared" si="114"/>
        <v/>
      </c>
      <c r="BN799" s="68" t="str">
        <f t="shared" si="115"/>
        <v/>
      </c>
      <c r="BU799" s="51" t="e">
        <f t="shared" si="116"/>
        <v>#VALUE!</v>
      </c>
      <c r="BV799" s="44" t="e">
        <f t="shared" si="117"/>
        <v>#VALUE!</v>
      </c>
      <c r="BW799" s="61" t="e">
        <f t="shared" si="118"/>
        <v>#NUM!</v>
      </c>
    </row>
    <row r="800" spans="64:75" ht="20.100000000000001" customHeight="1" x14ac:dyDescent="0.25">
      <c r="BL800" s="62" t="str">
        <f t="shared" si="113"/>
        <v/>
      </c>
      <c r="BM800" s="63" t="str">
        <f t="shared" si="114"/>
        <v/>
      </c>
      <c r="BN800" s="68" t="str">
        <f t="shared" si="115"/>
        <v/>
      </c>
      <c r="BU800" s="51" t="e">
        <f t="shared" si="116"/>
        <v>#VALUE!</v>
      </c>
      <c r="BV800" s="44" t="e">
        <f t="shared" si="117"/>
        <v>#VALUE!</v>
      </c>
      <c r="BW800" s="61" t="e">
        <f t="shared" si="118"/>
        <v>#NUM!</v>
      </c>
    </row>
    <row r="801" spans="64:75" ht="20.100000000000001" customHeight="1" x14ac:dyDescent="0.25">
      <c r="BL801" s="62" t="str">
        <f t="shared" si="113"/>
        <v/>
      </c>
      <c r="BM801" s="63" t="str">
        <f t="shared" si="114"/>
        <v/>
      </c>
      <c r="BN801" s="68" t="str">
        <f t="shared" si="115"/>
        <v/>
      </c>
      <c r="BU801" s="51" t="e">
        <f t="shared" si="116"/>
        <v>#VALUE!</v>
      </c>
      <c r="BV801" s="44" t="e">
        <f t="shared" si="117"/>
        <v>#VALUE!</v>
      </c>
      <c r="BW801" s="61" t="e">
        <f t="shared" si="118"/>
        <v>#NUM!</v>
      </c>
    </row>
    <row r="802" spans="64:75" ht="20.100000000000001" customHeight="1" x14ac:dyDescent="0.25">
      <c r="BL802" s="62" t="str">
        <f t="shared" si="113"/>
        <v/>
      </c>
      <c r="BM802" s="63" t="str">
        <f t="shared" si="114"/>
        <v/>
      </c>
      <c r="BN802" s="68" t="str">
        <f t="shared" si="115"/>
        <v/>
      </c>
      <c r="BU802" s="51" t="e">
        <f t="shared" si="116"/>
        <v>#VALUE!</v>
      </c>
      <c r="BV802" s="44" t="e">
        <f t="shared" si="117"/>
        <v>#VALUE!</v>
      </c>
      <c r="BW802" s="61" t="e">
        <f t="shared" si="118"/>
        <v>#NUM!</v>
      </c>
    </row>
    <row r="803" spans="64:75" ht="20.100000000000001" customHeight="1" x14ac:dyDescent="0.25">
      <c r="BL803" s="62" t="str">
        <f t="shared" si="113"/>
        <v/>
      </c>
      <c r="BM803" s="63" t="str">
        <f t="shared" si="114"/>
        <v/>
      </c>
      <c r="BN803" s="68" t="str">
        <f t="shared" si="115"/>
        <v/>
      </c>
      <c r="BU803" s="51" t="e">
        <f t="shared" si="116"/>
        <v>#VALUE!</v>
      </c>
      <c r="BV803" s="44" t="e">
        <f t="shared" si="117"/>
        <v>#VALUE!</v>
      </c>
      <c r="BW803" s="61" t="e">
        <f t="shared" si="118"/>
        <v>#NUM!</v>
      </c>
    </row>
    <row r="804" spans="64:75" ht="20.100000000000001" customHeight="1" x14ac:dyDescent="0.25">
      <c r="BL804" s="62" t="str">
        <f t="shared" si="113"/>
        <v/>
      </c>
      <c r="BM804" s="63" t="str">
        <f t="shared" si="114"/>
        <v/>
      </c>
      <c r="BN804" s="68" t="str">
        <f t="shared" si="115"/>
        <v/>
      </c>
      <c r="BU804" s="51" t="e">
        <f t="shared" si="116"/>
        <v>#VALUE!</v>
      </c>
      <c r="BV804" s="44" t="e">
        <f t="shared" si="117"/>
        <v>#VALUE!</v>
      </c>
      <c r="BW804" s="61" t="e">
        <f t="shared" si="118"/>
        <v>#NUM!</v>
      </c>
    </row>
    <row r="805" spans="64:75" ht="20.100000000000001" customHeight="1" x14ac:dyDescent="0.25">
      <c r="BL805" s="62" t="str">
        <f t="shared" si="113"/>
        <v/>
      </c>
      <c r="BM805" s="63" t="str">
        <f t="shared" si="114"/>
        <v/>
      </c>
      <c r="BN805" s="68" t="str">
        <f t="shared" si="115"/>
        <v/>
      </c>
      <c r="BU805" s="51" t="e">
        <f t="shared" si="116"/>
        <v>#VALUE!</v>
      </c>
      <c r="BV805" s="44" t="e">
        <f t="shared" si="117"/>
        <v>#VALUE!</v>
      </c>
      <c r="BW805" s="61" t="e">
        <f t="shared" si="118"/>
        <v>#NUM!</v>
      </c>
    </row>
    <row r="806" spans="64:75" ht="20.100000000000001" customHeight="1" x14ac:dyDescent="0.25">
      <c r="BL806" s="62" t="str">
        <f t="shared" si="113"/>
        <v/>
      </c>
      <c r="BM806" s="63" t="str">
        <f t="shared" si="114"/>
        <v/>
      </c>
      <c r="BN806" s="68" t="str">
        <f t="shared" si="115"/>
        <v/>
      </c>
      <c r="BU806" s="51" t="e">
        <f t="shared" si="116"/>
        <v>#VALUE!</v>
      </c>
      <c r="BV806" s="44" t="e">
        <f t="shared" si="117"/>
        <v>#VALUE!</v>
      </c>
      <c r="BW806" s="61" t="e">
        <f t="shared" si="118"/>
        <v>#NUM!</v>
      </c>
    </row>
    <row r="807" spans="64:75" ht="20.100000000000001" customHeight="1" x14ac:dyDescent="0.25">
      <c r="BL807" s="62" t="str">
        <f t="shared" si="113"/>
        <v/>
      </c>
      <c r="BM807" s="63" t="str">
        <f t="shared" si="114"/>
        <v/>
      </c>
      <c r="BN807" s="68" t="str">
        <f t="shared" si="115"/>
        <v/>
      </c>
      <c r="BU807" s="51" t="e">
        <f t="shared" si="116"/>
        <v>#VALUE!</v>
      </c>
      <c r="BV807" s="44" t="e">
        <f t="shared" si="117"/>
        <v>#VALUE!</v>
      </c>
      <c r="BW807" s="61" t="e">
        <f t="shared" si="118"/>
        <v>#NUM!</v>
      </c>
    </row>
    <row r="808" spans="64:75" ht="20.100000000000001" customHeight="1" x14ac:dyDescent="0.25">
      <c r="BL808" s="62" t="str">
        <f t="shared" si="113"/>
        <v/>
      </c>
      <c r="BM808" s="63" t="str">
        <f t="shared" si="114"/>
        <v/>
      </c>
      <c r="BN808" s="68" t="str">
        <f t="shared" si="115"/>
        <v/>
      </c>
      <c r="BU808" s="51" t="e">
        <f t="shared" si="116"/>
        <v>#VALUE!</v>
      </c>
      <c r="BV808" s="44" t="e">
        <f t="shared" si="117"/>
        <v>#VALUE!</v>
      </c>
      <c r="BW808" s="61" t="e">
        <f t="shared" si="118"/>
        <v>#NUM!</v>
      </c>
    </row>
    <row r="809" spans="64:75" ht="20.100000000000001" customHeight="1" x14ac:dyDescent="0.25">
      <c r="BL809" s="62" t="str">
        <f t="shared" si="113"/>
        <v/>
      </c>
      <c r="BM809" s="63" t="str">
        <f t="shared" si="114"/>
        <v/>
      </c>
      <c r="BN809" s="68" t="str">
        <f t="shared" si="115"/>
        <v/>
      </c>
      <c r="BU809" s="51" t="e">
        <f t="shared" si="116"/>
        <v>#VALUE!</v>
      </c>
      <c r="BV809" s="44" t="e">
        <f t="shared" si="117"/>
        <v>#VALUE!</v>
      </c>
      <c r="BW809" s="61" t="e">
        <f t="shared" si="118"/>
        <v>#NUM!</v>
      </c>
    </row>
    <row r="810" spans="64:75" ht="20.100000000000001" customHeight="1" x14ac:dyDescent="0.25">
      <c r="BL810" s="62" t="str">
        <f t="shared" si="113"/>
        <v/>
      </c>
      <c r="BM810" s="63" t="str">
        <f t="shared" si="114"/>
        <v/>
      </c>
      <c r="BN810" s="68" t="str">
        <f t="shared" si="115"/>
        <v/>
      </c>
      <c r="BU810" s="51" t="e">
        <f t="shared" si="116"/>
        <v>#VALUE!</v>
      </c>
      <c r="BV810" s="44" t="e">
        <f t="shared" si="117"/>
        <v>#VALUE!</v>
      </c>
      <c r="BW810" s="61" t="e">
        <f t="shared" si="118"/>
        <v>#NUM!</v>
      </c>
    </row>
    <row r="811" spans="64:75" ht="20.100000000000001" customHeight="1" x14ac:dyDescent="0.25">
      <c r="BL811" s="62" t="str">
        <f t="shared" si="113"/>
        <v/>
      </c>
      <c r="BM811" s="63" t="str">
        <f t="shared" si="114"/>
        <v/>
      </c>
      <c r="BN811" s="68" t="str">
        <f t="shared" si="115"/>
        <v/>
      </c>
      <c r="BU811" s="51" t="e">
        <f t="shared" si="116"/>
        <v>#VALUE!</v>
      </c>
      <c r="BV811" s="44" t="e">
        <f t="shared" si="117"/>
        <v>#VALUE!</v>
      </c>
      <c r="BW811" s="61" t="e">
        <f t="shared" si="118"/>
        <v>#NUM!</v>
      </c>
    </row>
    <row r="812" spans="64:75" ht="20.100000000000001" customHeight="1" x14ac:dyDescent="0.25">
      <c r="BL812" s="62" t="str">
        <f t="shared" si="113"/>
        <v/>
      </c>
      <c r="BM812" s="63" t="str">
        <f t="shared" si="114"/>
        <v/>
      </c>
      <c r="BN812" s="68" t="str">
        <f t="shared" si="115"/>
        <v/>
      </c>
      <c r="BU812" s="51" t="e">
        <f t="shared" si="116"/>
        <v>#VALUE!</v>
      </c>
      <c r="BV812" s="44" t="e">
        <f t="shared" si="117"/>
        <v>#VALUE!</v>
      </c>
      <c r="BW812" s="61" t="e">
        <f t="shared" si="118"/>
        <v>#NUM!</v>
      </c>
    </row>
    <row r="813" spans="64:75" ht="20.100000000000001" customHeight="1" x14ac:dyDescent="0.25">
      <c r="BL813" s="62" t="str">
        <f t="shared" si="113"/>
        <v/>
      </c>
      <c r="BM813" s="63" t="str">
        <f t="shared" si="114"/>
        <v/>
      </c>
      <c r="BN813" s="68" t="str">
        <f t="shared" si="115"/>
        <v/>
      </c>
      <c r="BU813" s="51" t="e">
        <f t="shared" si="116"/>
        <v>#VALUE!</v>
      </c>
      <c r="BV813" s="44" t="e">
        <f t="shared" si="117"/>
        <v>#VALUE!</v>
      </c>
      <c r="BW813" s="61" t="e">
        <f t="shared" si="118"/>
        <v>#NUM!</v>
      </c>
    </row>
    <row r="814" spans="64:75" ht="20.100000000000001" customHeight="1" x14ac:dyDescent="0.25">
      <c r="BL814" s="62" t="str">
        <f t="shared" si="113"/>
        <v/>
      </c>
      <c r="BM814" s="63" t="str">
        <f t="shared" si="114"/>
        <v/>
      </c>
      <c r="BN814" s="68" t="str">
        <f t="shared" si="115"/>
        <v/>
      </c>
      <c r="BU814" s="51" t="e">
        <f t="shared" si="116"/>
        <v>#VALUE!</v>
      </c>
      <c r="BV814" s="44" t="e">
        <f t="shared" si="117"/>
        <v>#VALUE!</v>
      </c>
      <c r="BW814" s="61" t="e">
        <f t="shared" si="118"/>
        <v>#NUM!</v>
      </c>
    </row>
    <row r="815" spans="64:75" ht="20.100000000000001" customHeight="1" x14ac:dyDescent="0.25">
      <c r="BL815" s="62" t="str">
        <f t="shared" si="113"/>
        <v/>
      </c>
      <c r="BM815" s="63" t="str">
        <f t="shared" si="114"/>
        <v/>
      </c>
      <c r="BN815" s="68" t="str">
        <f t="shared" si="115"/>
        <v/>
      </c>
      <c r="BU815" s="51" t="e">
        <f t="shared" si="116"/>
        <v>#VALUE!</v>
      </c>
      <c r="BV815" s="44" t="e">
        <f t="shared" si="117"/>
        <v>#VALUE!</v>
      </c>
      <c r="BW815" s="61" t="e">
        <f t="shared" si="118"/>
        <v>#NUM!</v>
      </c>
    </row>
    <row r="816" spans="64:75" ht="20.100000000000001" customHeight="1" x14ac:dyDescent="0.25">
      <c r="BL816" s="62" t="str">
        <f t="shared" si="113"/>
        <v/>
      </c>
      <c r="BM816" s="63" t="str">
        <f t="shared" si="114"/>
        <v/>
      </c>
      <c r="BN816" s="68" t="str">
        <f t="shared" si="115"/>
        <v/>
      </c>
      <c r="BU816" s="51" t="e">
        <f t="shared" si="116"/>
        <v>#VALUE!</v>
      </c>
      <c r="BV816" s="44" t="e">
        <f t="shared" si="117"/>
        <v>#VALUE!</v>
      </c>
      <c r="BW816" s="61" t="e">
        <f t="shared" si="118"/>
        <v>#NUM!</v>
      </c>
    </row>
    <row r="817" spans="64:75" ht="20.100000000000001" customHeight="1" x14ac:dyDescent="0.25">
      <c r="BL817" s="62" t="str">
        <f t="shared" si="113"/>
        <v/>
      </c>
      <c r="BM817" s="63" t="str">
        <f t="shared" si="114"/>
        <v/>
      </c>
      <c r="BN817" s="68" t="str">
        <f t="shared" si="115"/>
        <v/>
      </c>
      <c r="BU817" s="51" t="e">
        <f t="shared" si="116"/>
        <v>#VALUE!</v>
      </c>
      <c r="BV817" s="44" t="e">
        <f t="shared" si="117"/>
        <v>#VALUE!</v>
      </c>
      <c r="BW817" s="61" t="e">
        <f t="shared" si="118"/>
        <v>#NUM!</v>
      </c>
    </row>
    <row r="818" spans="64:75" ht="20.100000000000001" customHeight="1" x14ac:dyDescent="0.25">
      <c r="BL818" s="62" t="str">
        <f t="shared" si="113"/>
        <v/>
      </c>
      <c r="BM818" s="63" t="str">
        <f t="shared" si="114"/>
        <v/>
      </c>
      <c r="BN818" s="68" t="str">
        <f t="shared" si="115"/>
        <v/>
      </c>
      <c r="BU818" s="51" t="e">
        <f t="shared" si="116"/>
        <v>#VALUE!</v>
      </c>
      <c r="BV818" s="44" t="e">
        <f t="shared" si="117"/>
        <v>#VALUE!</v>
      </c>
      <c r="BW818" s="61" t="e">
        <f t="shared" si="118"/>
        <v>#NUM!</v>
      </c>
    </row>
    <row r="819" spans="64:75" ht="20.100000000000001" customHeight="1" x14ac:dyDescent="0.25">
      <c r="BL819" s="62" t="str">
        <f t="shared" si="113"/>
        <v/>
      </c>
      <c r="BM819" s="63" t="str">
        <f t="shared" si="114"/>
        <v/>
      </c>
      <c r="BN819" s="68" t="str">
        <f t="shared" si="115"/>
        <v/>
      </c>
      <c r="BU819" s="51" t="e">
        <f t="shared" si="116"/>
        <v>#VALUE!</v>
      </c>
      <c r="BV819" s="44" t="e">
        <f t="shared" si="117"/>
        <v>#VALUE!</v>
      </c>
      <c r="BW819" s="61" t="e">
        <f t="shared" si="118"/>
        <v>#NUM!</v>
      </c>
    </row>
    <row r="820" spans="64:75" ht="20.100000000000001" customHeight="1" x14ac:dyDescent="0.25">
      <c r="BL820" s="62" t="str">
        <f t="shared" si="113"/>
        <v/>
      </c>
      <c r="BM820" s="63" t="str">
        <f t="shared" si="114"/>
        <v/>
      </c>
      <c r="BN820" s="68" t="str">
        <f t="shared" si="115"/>
        <v/>
      </c>
      <c r="BU820" s="51" t="e">
        <f t="shared" si="116"/>
        <v>#VALUE!</v>
      </c>
      <c r="BV820" s="44" t="e">
        <f t="shared" si="117"/>
        <v>#VALUE!</v>
      </c>
      <c r="BW820" s="61" t="e">
        <f t="shared" si="118"/>
        <v>#NUM!</v>
      </c>
    </row>
    <row r="821" spans="64:75" ht="20.100000000000001" customHeight="1" x14ac:dyDescent="0.25">
      <c r="BL821" s="62" t="str">
        <f t="shared" si="113"/>
        <v/>
      </c>
      <c r="BM821" s="63" t="str">
        <f t="shared" si="114"/>
        <v/>
      </c>
      <c r="BN821" s="68" t="str">
        <f t="shared" si="115"/>
        <v/>
      </c>
      <c r="BU821" s="51" t="e">
        <f t="shared" si="116"/>
        <v>#VALUE!</v>
      </c>
      <c r="BV821" s="44" t="e">
        <f t="shared" si="117"/>
        <v>#VALUE!</v>
      </c>
      <c r="BW821" s="61" t="e">
        <f t="shared" si="118"/>
        <v>#NUM!</v>
      </c>
    </row>
    <row r="822" spans="64:75" ht="20.100000000000001" customHeight="1" x14ac:dyDescent="0.25">
      <c r="BL822" s="62" t="str">
        <f t="shared" si="113"/>
        <v/>
      </c>
      <c r="BM822" s="63" t="str">
        <f t="shared" si="114"/>
        <v/>
      </c>
      <c r="BN822" s="68" t="str">
        <f t="shared" si="115"/>
        <v/>
      </c>
      <c r="BU822" s="51" t="e">
        <f t="shared" si="116"/>
        <v>#VALUE!</v>
      </c>
      <c r="BV822" s="44" t="e">
        <f t="shared" si="117"/>
        <v>#VALUE!</v>
      </c>
      <c r="BW822" s="61" t="e">
        <f t="shared" si="118"/>
        <v>#NUM!</v>
      </c>
    </row>
    <row r="823" spans="64:75" ht="20.100000000000001" customHeight="1" x14ac:dyDescent="0.25">
      <c r="BL823" s="62" t="str">
        <f t="shared" si="113"/>
        <v/>
      </c>
      <c r="BM823" s="63" t="str">
        <f t="shared" si="114"/>
        <v/>
      </c>
      <c r="BN823" s="68" t="str">
        <f t="shared" si="115"/>
        <v/>
      </c>
      <c r="BU823" s="51" t="e">
        <f t="shared" si="116"/>
        <v>#VALUE!</v>
      </c>
      <c r="BV823" s="44" t="e">
        <f t="shared" si="117"/>
        <v>#VALUE!</v>
      </c>
      <c r="BW823" s="61" t="e">
        <f t="shared" si="118"/>
        <v>#NUM!</v>
      </c>
    </row>
    <row r="824" spans="64:75" ht="20.100000000000001" customHeight="1" x14ac:dyDescent="0.25">
      <c r="BL824" s="62" t="str">
        <f t="shared" si="113"/>
        <v/>
      </c>
      <c r="BM824" s="63" t="str">
        <f t="shared" si="114"/>
        <v/>
      </c>
      <c r="BN824" s="68" t="str">
        <f t="shared" si="115"/>
        <v/>
      </c>
      <c r="BU824" s="51" t="e">
        <f t="shared" si="116"/>
        <v>#VALUE!</v>
      </c>
      <c r="BV824" s="44" t="e">
        <f t="shared" si="117"/>
        <v>#VALUE!</v>
      </c>
      <c r="BW824" s="61" t="e">
        <f t="shared" si="118"/>
        <v>#NUM!</v>
      </c>
    </row>
    <row r="825" spans="64:75" ht="20.100000000000001" customHeight="1" x14ac:dyDescent="0.25">
      <c r="BL825" s="62" t="str">
        <f t="shared" si="113"/>
        <v/>
      </c>
      <c r="BM825" s="63" t="str">
        <f t="shared" si="114"/>
        <v/>
      </c>
      <c r="BN825" s="68" t="str">
        <f t="shared" si="115"/>
        <v/>
      </c>
      <c r="BU825" s="51" t="e">
        <f t="shared" si="116"/>
        <v>#VALUE!</v>
      </c>
      <c r="BV825" s="44" t="e">
        <f t="shared" si="117"/>
        <v>#VALUE!</v>
      </c>
      <c r="BW825" s="61" t="e">
        <f t="shared" si="118"/>
        <v>#NUM!</v>
      </c>
    </row>
    <row r="826" spans="64:75" ht="20.100000000000001" customHeight="1" x14ac:dyDescent="0.25">
      <c r="BL826" s="62" t="str">
        <f t="shared" si="113"/>
        <v/>
      </c>
      <c r="BM826" s="63" t="str">
        <f t="shared" si="114"/>
        <v/>
      </c>
      <c r="BN826" s="68" t="str">
        <f t="shared" si="115"/>
        <v/>
      </c>
      <c r="BU826" s="51" t="e">
        <f t="shared" si="116"/>
        <v>#VALUE!</v>
      </c>
      <c r="BV826" s="44" t="e">
        <f t="shared" si="117"/>
        <v>#VALUE!</v>
      </c>
      <c r="BW826" s="61" t="e">
        <f t="shared" si="118"/>
        <v>#NUM!</v>
      </c>
    </row>
    <row r="827" spans="64:75" ht="20.100000000000001" customHeight="1" x14ac:dyDescent="0.25">
      <c r="BL827" s="62" t="str">
        <f t="shared" si="113"/>
        <v/>
      </c>
      <c r="BM827" s="63" t="str">
        <f t="shared" si="114"/>
        <v/>
      </c>
      <c r="BN827" s="68" t="str">
        <f t="shared" si="115"/>
        <v/>
      </c>
      <c r="BU827" s="51" t="e">
        <f t="shared" si="116"/>
        <v>#VALUE!</v>
      </c>
      <c r="BV827" s="44" t="e">
        <f t="shared" si="117"/>
        <v>#VALUE!</v>
      </c>
      <c r="BW827" s="61" t="e">
        <f t="shared" si="118"/>
        <v>#NUM!</v>
      </c>
    </row>
    <row r="828" spans="64:75" ht="20.100000000000001" customHeight="1" x14ac:dyDescent="0.25">
      <c r="BL828" s="62" t="str">
        <f t="shared" si="113"/>
        <v/>
      </c>
      <c r="BM828" s="63" t="str">
        <f t="shared" si="114"/>
        <v/>
      </c>
      <c r="BN828" s="68" t="str">
        <f t="shared" si="115"/>
        <v/>
      </c>
      <c r="BU828" s="51" t="e">
        <f t="shared" si="116"/>
        <v>#VALUE!</v>
      </c>
      <c r="BV828" s="44" t="e">
        <f t="shared" si="117"/>
        <v>#VALUE!</v>
      </c>
      <c r="BW828" s="61" t="e">
        <f t="shared" si="118"/>
        <v>#NUM!</v>
      </c>
    </row>
    <row r="829" spans="64:75" ht="20.100000000000001" customHeight="1" x14ac:dyDescent="0.25">
      <c r="BL829" s="62" t="str">
        <f t="shared" si="113"/>
        <v/>
      </c>
      <c r="BM829" s="63" t="str">
        <f t="shared" si="114"/>
        <v/>
      </c>
      <c r="BN829" s="68" t="str">
        <f t="shared" si="115"/>
        <v/>
      </c>
      <c r="BU829" s="51" t="e">
        <f t="shared" si="116"/>
        <v>#VALUE!</v>
      </c>
      <c r="BV829" s="44" t="e">
        <f t="shared" si="117"/>
        <v>#VALUE!</v>
      </c>
      <c r="BW829" s="61" t="e">
        <f t="shared" si="118"/>
        <v>#NUM!</v>
      </c>
    </row>
    <row r="830" spans="64:75" ht="20.100000000000001" customHeight="1" x14ac:dyDescent="0.25">
      <c r="BL830" s="62" t="str">
        <f t="shared" si="113"/>
        <v/>
      </c>
      <c r="BM830" s="63" t="str">
        <f t="shared" si="114"/>
        <v/>
      </c>
      <c r="BN830" s="68" t="str">
        <f t="shared" si="115"/>
        <v/>
      </c>
      <c r="BU830" s="51" t="e">
        <f t="shared" si="116"/>
        <v>#VALUE!</v>
      </c>
      <c r="BV830" s="44" t="e">
        <f t="shared" si="117"/>
        <v>#VALUE!</v>
      </c>
      <c r="BW830" s="61" t="e">
        <f t="shared" si="118"/>
        <v>#NUM!</v>
      </c>
    </row>
    <row r="831" spans="64:75" ht="20.100000000000001" customHeight="1" x14ac:dyDescent="0.25">
      <c r="BL831" s="62" t="str">
        <f t="shared" si="113"/>
        <v/>
      </c>
      <c r="BM831" s="63" t="str">
        <f t="shared" si="114"/>
        <v/>
      </c>
      <c r="BN831" s="68" t="str">
        <f t="shared" si="115"/>
        <v/>
      </c>
      <c r="BU831" s="51" t="e">
        <f t="shared" si="116"/>
        <v>#VALUE!</v>
      </c>
      <c r="BV831" s="44" t="e">
        <f t="shared" si="117"/>
        <v>#VALUE!</v>
      </c>
      <c r="BW831" s="61" t="e">
        <f t="shared" si="118"/>
        <v>#NUM!</v>
      </c>
    </row>
    <row r="832" spans="64:75" ht="20.100000000000001" customHeight="1" x14ac:dyDescent="0.25">
      <c r="BL832" s="62" t="str">
        <f t="shared" si="113"/>
        <v/>
      </c>
      <c r="BM832" s="63" t="str">
        <f t="shared" si="114"/>
        <v/>
      </c>
      <c r="BN832" s="68" t="str">
        <f t="shared" si="115"/>
        <v/>
      </c>
      <c r="BU832" s="51" t="e">
        <f t="shared" si="116"/>
        <v>#VALUE!</v>
      </c>
      <c r="BV832" s="44" t="e">
        <f t="shared" si="117"/>
        <v>#VALUE!</v>
      </c>
      <c r="BW832" s="61" t="e">
        <f t="shared" si="118"/>
        <v>#NUM!</v>
      </c>
    </row>
    <row r="833" spans="64:75" ht="20.100000000000001" customHeight="1" x14ac:dyDescent="0.25">
      <c r="BL833" s="62" t="str">
        <f t="shared" si="113"/>
        <v/>
      </c>
      <c r="BM833" s="63" t="str">
        <f t="shared" si="114"/>
        <v/>
      </c>
      <c r="BN833" s="68" t="str">
        <f t="shared" si="115"/>
        <v/>
      </c>
      <c r="BU833" s="51" t="e">
        <f t="shared" si="116"/>
        <v>#VALUE!</v>
      </c>
      <c r="BV833" s="44" t="e">
        <f t="shared" si="117"/>
        <v>#VALUE!</v>
      </c>
      <c r="BW833" s="61" t="e">
        <f t="shared" si="118"/>
        <v>#NUM!</v>
      </c>
    </row>
    <row r="834" spans="64:75" ht="20.100000000000001" customHeight="1" x14ac:dyDescent="0.25">
      <c r="BL834" s="62" t="str">
        <f t="shared" si="113"/>
        <v/>
      </c>
      <c r="BM834" s="63" t="str">
        <f t="shared" si="114"/>
        <v/>
      </c>
      <c r="BN834" s="68" t="str">
        <f t="shared" si="115"/>
        <v/>
      </c>
      <c r="BU834" s="51" t="e">
        <f t="shared" si="116"/>
        <v>#VALUE!</v>
      </c>
      <c r="BV834" s="44" t="e">
        <f t="shared" si="117"/>
        <v>#VALUE!</v>
      </c>
      <c r="BW834" s="61" t="e">
        <f t="shared" si="118"/>
        <v>#NUM!</v>
      </c>
    </row>
    <row r="835" spans="64:75" ht="20.100000000000001" customHeight="1" x14ac:dyDescent="0.25">
      <c r="BL835" s="62" t="str">
        <f t="shared" si="113"/>
        <v/>
      </c>
      <c r="BM835" s="63" t="str">
        <f t="shared" si="114"/>
        <v/>
      </c>
      <c r="BN835" s="68" t="str">
        <f t="shared" si="115"/>
        <v/>
      </c>
      <c r="BU835" s="51" t="e">
        <f t="shared" si="116"/>
        <v>#VALUE!</v>
      </c>
      <c r="BV835" s="44" t="e">
        <f t="shared" si="117"/>
        <v>#VALUE!</v>
      </c>
      <c r="BW835" s="61" t="e">
        <f t="shared" si="118"/>
        <v>#NUM!</v>
      </c>
    </row>
    <row r="836" spans="64:75" ht="20.100000000000001" customHeight="1" x14ac:dyDescent="0.25">
      <c r="BL836" s="62" t="str">
        <f t="shared" si="113"/>
        <v/>
      </c>
      <c r="BM836" s="63" t="str">
        <f t="shared" si="114"/>
        <v/>
      </c>
      <c r="BN836" s="68" t="str">
        <f t="shared" si="115"/>
        <v/>
      </c>
      <c r="BU836" s="51" t="e">
        <f t="shared" si="116"/>
        <v>#VALUE!</v>
      </c>
      <c r="BV836" s="44" t="e">
        <f t="shared" si="117"/>
        <v>#VALUE!</v>
      </c>
      <c r="BW836" s="61" t="e">
        <f t="shared" si="118"/>
        <v>#NUM!</v>
      </c>
    </row>
    <row r="837" spans="64:75" ht="20.100000000000001" customHeight="1" x14ac:dyDescent="0.25">
      <c r="BL837" s="62" t="str">
        <f t="shared" si="113"/>
        <v/>
      </c>
      <c r="BM837" s="63" t="str">
        <f t="shared" si="114"/>
        <v/>
      </c>
      <c r="BN837" s="68" t="str">
        <f t="shared" si="115"/>
        <v/>
      </c>
      <c r="BU837" s="51" t="e">
        <f t="shared" si="116"/>
        <v>#VALUE!</v>
      </c>
      <c r="BV837" s="44" t="e">
        <f t="shared" si="117"/>
        <v>#VALUE!</v>
      </c>
      <c r="BW837" s="61" t="e">
        <f t="shared" si="118"/>
        <v>#NUM!</v>
      </c>
    </row>
    <row r="838" spans="64:75" ht="20.100000000000001" customHeight="1" x14ac:dyDescent="0.25">
      <c r="BL838" s="62" t="str">
        <f t="shared" si="113"/>
        <v/>
      </c>
      <c r="BM838" s="63" t="str">
        <f t="shared" si="114"/>
        <v/>
      </c>
      <c r="BN838" s="68" t="str">
        <f t="shared" si="115"/>
        <v/>
      </c>
      <c r="BU838" s="51" t="e">
        <f t="shared" si="116"/>
        <v>#VALUE!</v>
      </c>
      <c r="BV838" s="44" t="e">
        <f t="shared" si="117"/>
        <v>#VALUE!</v>
      </c>
      <c r="BW838" s="61" t="e">
        <f t="shared" si="118"/>
        <v>#NUM!</v>
      </c>
    </row>
    <row r="839" spans="64:75" ht="20.100000000000001" customHeight="1" x14ac:dyDescent="0.25">
      <c r="BL839" s="62" t="str">
        <f t="shared" si="113"/>
        <v/>
      </c>
      <c r="BM839" s="63" t="str">
        <f t="shared" si="114"/>
        <v/>
      </c>
      <c r="BN839" s="68" t="str">
        <f t="shared" si="115"/>
        <v/>
      </c>
      <c r="BU839" s="51" t="e">
        <f t="shared" si="116"/>
        <v>#VALUE!</v>
      </c>
      <c r="BV839" s="44" t="e">
        <f t="shared" si="117"/>
        <v>#VALUE!</v>
      </c>
      <c r="BW839" s="61" t="e">
        <f t="shared" si="118"/>
        <v>#NUM!</v>
      </c>
    </row>
    <row r="840" spans="64:75" ht="20.100000000000001" customHeight="1" x14ac:dyDescent="0.25">
      <c r="BL840" s="62" t="str">
        <f t="shared" si="113"/>
        <v/>
      </c>
      <c r="BM840" s="63" t="str">
        <f t="shared" si="114"/>
        <v/>
      </c>
      <c r="BN840" s="68" t="str">
        <f t="shared" si="115"/>
        <v/>
      </c>
      <c r="BU840" s="51" t="e">
        <f t="shared" si="116"/>
        <v>#VALUE!</v>
      </c>
      <c r="BV840" s="44" t="e">
        <f t="shared" si="117"/>
        <v>#VALUE!</v>
      </c>
      <c r="BW840" s="61" t="e">
        <f t="shared" si="118"/>
        <v>#NUM!</v>
      </c>
    </row>
    <row r="841" spans="64:75" ht="20.100000000000001" customHeight="1" x14ac:dyDescent="0.25">
      <c r="BL841" s="62" t="str">
        <f t="shared" si="113"/>
        <v/>
      </c>
      <c r="BM841" s="63" t="str">
        <f t="shared" si="114"/>
        <v/>
      </c>
      <c r="BN841" s="68" t="str">
        <f t="shared" si="115"/>
        <v/>
      </c>
      <c r="BU841" s="51" t="e">
        <f t="shared" si="116"/>
        <v>#VALUE!</v>
      </c>
      <c r="BV841" s="44" t="e">
        <f t="shared" si="117"/>
        <v>#VALUE!</v>
      </c>
      <c r="BW841" s="61" t="e">
        <f t="shared" si="118"/>
        <v>#NUM!</v>
      </c>
    </row>
    <row r="842" spans="64:75" ht="20.100000000000001" customHeight="1" x14ac:dyDescent="0.25">
      <c r="BL842" s="62" t="str">
        <f t="shared" si="113"/>
        <v/>
      </c>
      <c r="BM842" s="63" t="str">
        <f t="shared" si="114"/>
        <v/>
      </c>
      <c r="BN842" s="68" t="str">
        <f t="shared" si="115"/>
        <v/>
      </c>
      <c r="BU842" s="51" t="e">
        <f t="shared" si="116"/>
        <v>#VALUE!</v>
      </c>
      <c r="BV842" s="44" t="e">
        <f t="shared" si="117"/>
        <v>#VALUE!</v>
      </c>
      <c r="BW842" s="61" t="e">
        <f t="shared" si="118"/>
        <v>#NUM!</v>
      </c>
    </row>
    <row r="843" spans="64:75" ht="20.100000000000001" customHeight="1" x14ac:dyDescent="0.25">
      <c r="BL843" s="62" t="str">
        <f t="shared" si="113"/>
        <v/>
      </c>
      <c r="BM843" s="63" t="str">
        <f t="shared" si="114"/>
        <v/>
      </c>
      <c r="BN843" s="68" t="str">
        <f t="shared" si="115"/>
        <v/>
      </c>
      <c r="BU843" s="51" t="e">
        <f t="shared" si="116"/>
        <v>#VALUE!</v>
      </c>
      <c r="BV843" s="44" t="e">
        <f t="shared" si="117"/>
        <v>#VALUE!</v>
      </c>
      <c r="BW843" s="61" t="e">
        <f t="shared" si="118"/>
        <v>#NUM!</v>
      </c>
    </row>
    <row r="844" spans="64:75" ht="20.100000000000001" customHeight="1" x14ac:dyDescent="0.25">
      <c r="BL844" s="62" t="str">
        <f t="shared" ref="BL844:BL907" si="119">IF(AND(BL843&gt;BM$6,BL843&lt;&gt;""),BL843-1,"")</f>
        <v/>
      </c>
      <c r="BM844" s="63" t="str">
        <f t="shared" ref="BM844:BM907" si="120">IF(BL844&lt;&gt;"",MAX(BL844,ROUND(BM$6*BM$9^BL844,0)),"")</f>
        <v/>
      </c>
      <c r="BN844" s="68" t="str">
        <f t="shared" ref="BN844:BN907" si="121">IF(BM844&lt;&gt;"",O$12/M$12*BM844,"")</f>
        <v/>
      </c>
      <c r="BU844" s="51" t="e">
        <f t="shared" si="116"/>
        <v>#VALUE!</v>
      </c>
      <c r="BV844" s="44" t="e">
        <f t="shared" si="117"/>
        <v>#VALUE!</v>
      </c>
      <c r="BW844" s="61" t="e">
        <f t="shared" si="118"/>
        <v>#NUM!</v>
      </c>
    </row>
    <row r="845" spans="64:75" ht="20.100000000000001" customHeight="1" x14ac:dyDescent="0.25">
      <c r="BL845" s="62" t="str">
        <f t="shared" si="119"/>
        <v/>
      </c>
      <c r="BM845" s="63" t="str">
        <f t="shared" si="120"/>
        <v/>
      </c>
      <c r="BN845" s="68" t="str">
        <f t="shared" si="121"/>
        <v/>
      </c>
      <c r="BU845" s="51" t="e">
        <f t="shared" si="116"/>
        <v>#VALUE!</v>
      </c>
      <c r="BV845" s="44" t="e">
        <f t="shared" si="117"/>
        <v>#VALUE!</v>
      </c>
      <c r="BW845" s="61" t="e">
        <f t="shared" si="118"/>
        <v>#NUM!</v>
      </c>
    </row>
    <row r="846" spans="64:75" ht="20.100000000000001" customHeight="1" x14ac:dyDescent="0.25">
      <c r="BL846" s="62" t="str">
        <f t="shared" si="119"/>
        <v/>
      </c>
      <c r="BM846" s="63" t="str">
        <f t="shared" si="120"/>
        <v/>
      </c>
      <c r="BN846" s="68" t="str">
        <f t="shared" si="121"/>
        <v/>
      </c>
      <c r="BU846" s="51" t="e">
        <f t="shared" si="116"/>
        <v>#VALUE!</v>
      </c>
      <c r="BV846" s="44" t="e">
        <f t="shared" si="117"/>
        <v>#VALUE!</v>
      </c>
      <c r="BW846" s="61" t="e">
        <f t="shared" si="118"/>
        <v>#NUM!</v>
      </c>
    </row>
    <row r="847" spans="64:75" ht="20.100000000000001" customHeight="1" x14ac:dyDescent="0.25">
      <c r="BL847" s="62" t="str">
        <f t="shared" si="119"/>
        <v/>
      </c>
      <c r="BM847" s="63" t="str">
        <f t="shared" si="120"/>
        <v/>
      </c>
      <c r="BN847" s="68" t="str">
        <f t="shared" si="121"/>
        <v/>
      </c>
      <c r="BU847" s="51" t="e">
        <f t="shared" si="116"/>
        <v>#VALUE!</v>
      </c>
      <c r="BV847" s="44" t="e">
        <f t="shared" si="117"/>
        <v>#VALUE!</v>
      </c>
      <c r="BW847" s="61" t="e">
        <f t="shared" si="118"/>
        <v>#NUM!</v>
      </c>
    </row>
    <row r="848" spans="64:75" ht="20.100000000000001" customHeight="1" x14ac:dyDescent="0.25">
      <c r="BL848" s="62" t="str">
        <f t="shared" si="119"/>
        <v/>
      </c>
      <c r="BM848" s="63" t="str">
        <f t="shared" si="120"/>
        <v/>
      </c>
      <c r="BN848" s="68" t="str">
        <f t="shared" si="121"/>
        <v/>
      </c>
      <c r="BU848" s="51" t="e">
        <f t="shared" si="116"/>
        <v>#VALUE!</v>
      </c>
      <c r="BV848" s="44" t="e">
        <f t="shared" si="117"/>
        <v>#VALUE!</v>
      </c>
      <c r="BW848" s="61" t="e">
        <f t="shared" si="118"/>
        <v>#NUM!</v>
      </c>
    </row>
    <row r="849" spans="64:75" ht="20.100000000000001" customHeight="1" x14ac:dyDescent="0.25">
      <c r="BL849" s="62" t="str">
        <f t="shared" si="119"/>
        <v/>
      </c>
      <c r="BM849" s="63" t="str">
        <f t="shared" si="120"/>
        <v/>
      </c>
      <c r="BN849" s="68" t="str">
        <f t="shared" si="121"/>
        <v/>
      </c>
      <c r="BU849" s="51" t="e">
        <f t="shared" si="116"/>
        <v>#VALUE!</v>
      </c>
      <c r="BV849" s="44" t="e">
        <f t="shared" si="117"/>
        <v>#VALUE!</v>
      </c>
      <c r="BW849" s="61" t="e">
        <f t="shared" si="118"/>
        <v>#NUM!</v>
      </c>
    </row>
    <row r="850" spans="64:75" ht="20.100000000000001" customHeight="1" x14ac:dyDescent="0.25">
      <c r="BL850" s="62" t="str">
        <f t="shared" si="119"/>
        <v/>
      </c>
      <c r="BM850" s="63" t="str">
        <f t="shared" si="120"/>
        <v/>
      </c>
      <c r="BN850" s="68" t="str">
        <f t="shared" si="121"/>
        <v/>
      </c>
      <c r="BU850" s="51" t="e">
        <f t="shared" si="116"/>
        <v>#VALUE!</v>
      </c>
      <c r="BV850" s="44" t="e">
        <f t="shared" si="117"/>
        <v>#VALUE!</v>
      </c>
      <c r="BW850" s="61" t="e">
        <f t="shared" si="118"/>
        <v>#NUM!</v>
      </c>
    </row>
    <row r="851" spans="64:75" ht="20.100000000000001" customHeight="1" x14ac:dyDescent="0.25">
      <c r="BL851" s="62" t="str">
        <f t="shared" si="119"/>
        <v/>
      </c>
      <c r="BM851" s="63" t="str">
        <f t="shared" si="120"/>
        <v/>
      </c>
      <c r="BN851" s="68" t="str">
        <f t="shared" si="121"/>
        <v/>
      </c>
      <c r="BU851" s="51" t="e">
        <f t="shared" si="116"/>
        <v>#VALUE!</v>
      </c>
      <c r="BV851" s="44" t="e">
        <f t="shared" si="117"/>
        <v>#VALUE!</v>
      </c>
      <c r="BW851" s="61" t="e">
        <f t="shared" si="118"/>
        <v>#NUM!</v>
      </c>
    </row>
    <row r="852" spans="64:75" ht="20.100000000000001" customHeight="1" x14ac:dyDescent="0.25">
      <c r="BL852" s="62" t="str">
        <f t="shared" si="119"/>
        <v/>
      </c>
      <c r="BM852" s="63" t="str">
        <f t="shared" si="120"/>
        <v/>
      </c>
      <c r="BN852" s="68" t="str">
        <f t="shared" si="121"/>
        <v/>
      </c>
      <c r="BU852" s="51" t="e">
        <f t="shared" ref="BU852:BU915" si="122">BO852-BN852</f>
        <v>#VALUE!</v>
      </c>
      <c r="BV852" s="44" t="e">
        <f t="shared" ref="BV852:BV915" si="123">BO852/BN852-1</f>
        <v>#VALUE!</v>
      </c>
      <c r="BW852" s="61" t="e">
        <f t="shared" ref="BW852:BW915" si="124">-20*LOG10(BP852/100)</f>
        <v>#NUM!</v>
      </c>
    </row>
    <row r="853" spans="64:75" ht="20.100000000000001" customHeight="1" x14ac:dyDescent="0.25">
      <c r="BL853" s="62" t="str">
        <f t="shared" si="119"/>
        <v/>
      </c>
      <c r="BM853" s="63" t="str">
        <f t="shared" si="120"/>
        <v/>
      </c>
      <c r="BN853" s="68" t="str">
        <f t="shared" si="121"/>
        <v/>
      </c>
      <c r="BU853" s="51" t="e">
        <f t="shared" si="122"/>
        <v>#VALUE!</v>
      </c>
      <c r="BV853" s="44" t="e">
        <f t="shared" si="123"/>
        <v>#VALUE!</v>
      </c>
      <c r="BW853" s="61" t="e">
        <f t="shared" si="124"/>
        <v>#NUM!</v>
      </c>
    </row>
    <row r="854" spans="64:75" ht="20.100000000000001" customHeight="1" x14ac:dyDescent="0.25">
      <c r="BL854" s="62" t="str">
        <f t="shared" si="119"/>
        <v/>
      </c>
      <c r="BM854" s="63" t="str">
        <f t="shared" si="120"/>
        <v/>
      </c>
      <c r="BN854" s="68" t="str">
        <f t="shared" si="121"/>
        <v/>
      </c>
      <c r="BU854" s="51" t="e">
        <f t="shared" si="122"/>
        <v>#VALUE!</v>
      </c>
      <c r="BV854" s="44" t="e">
        <f t="shared" si="123"/>
        <v>#VALUE!</v>
      </c>
      <c r="BW854" s="61" t="e">
        <f t="shared" si="124"/>
        <v>#NUM!</v>
      </c>
    </row>
    <row r="855" spans="64:75" ht="20.100000000000001" customHeight="1" x14ac:dyDescent="0.25">
      <c r="BL855" s="62" t="str">
        <f t="shared" si="119"/>
        <v/>
      </c>
      <c r="BM855" s="63" t="str">
        <f t="shared" si="120"/>
        <v/>
      </c>
      <c r="BN855" s="68" t="str">
        <f t="shared" si="121"/>
        <v/>
      </c>
      <c r="BU855" s="51" t="e">
        <f t="shared" si="122"/>
        <v>#VALUE!</v>
      </c>
      <c r="BV855" s="44" t="e">
        <f t="shared" si="123"/>
        <v>#VALUE!</v>
      </c>
      <c r="BW855" s="61" t="e">
        <f t="shared" si="124"/>
        <v>#NUM!</v>
      </c>
    </row>
    <row r="856" spans="64:75" ht="20.100000000000001" customHeight="1" x14ac:dyDescent="0.25">
      <c r="BL856" s="62" t="str">
        <f t="shared" si="119"/>
        <v/>
      </c>
      <c r="BM856" s="63" t="str">
        <f t="shared" si="120"/>
        <v/>
      </c>
      <c r="BN856" s="68" t="str">
        <f t="shared" si="121"/>
        <v/>
      </c>
      <c r="BU856" s="51" t="e">
        <f t="shared" si="122"/>
        <v>#VALUE!</v>
      </c>
      <c r="BV856" s="44" t="e">
        <f t="shared" si="123"/>
        <v>#VALUE!</v>
      </c>
      <c r="BW856" s="61" t="e">
        <f t="shared" si="124"/>
        <v>#NUM!</v>
      </c>
    </row>
    <row r="857" spans="64:75" ht="20.100000000000001" customHeight="1" x14ac:dyDescent="0.25">
      <c r="BL857" s="62" t="str">
        <f t="shared" si="119"/>
        <v/>
      </c>
      <c r="BM857" s="63" t="str">
        <f t="shared" si="120"/>
        <v/>
      </c>
      <c r="BN857" s="68" t="str">
        <f t="shared" si="121"/>
        <v/>
      </c>
      <c r="BU857" s="51" t="e">
        <f t="shared" si="122"/>
        <v>#VALUE!</v>
      </c>
      <c r="BV857" s="44" t="e">
        <f t="shared" si="123"/>
        <v>#VALUE!</v>
      </c>
      <c r="BW857" s="61" t="e">
        <f t="shared" si="124"/>
        <v>#NUM!</v>
      </c>
    </row>
    <row r="858" spans="64:75" ht="20.100000000000001" customHeight="1" x14ac:dyDescent="0.25">
      <c r="BL858" s="62" t="str">
        <f t="shared" si="119"/>
        <v/>
      </c>
      <c r="BM858" s="63" t="str">
        <f t="shared" si="120"/>
        <v/>
      </c>
      <c r="BN858" s="68" t="str">
        <f t="shared" si="121"/>
        <v/>
      </c>
      <c r="BU858" s="51" t="e">
        <f t="shared" si="122"/>
        <v>#VALUE!</v>
      </c>
      <c r="BV858" s="44" t="e">
        <f t="shared" si="123"/>
        <v>#VALUE!</v>
      </c>
      <c r="BW858" s="61" t="e">
        <f t="shared" si="124"/>
        <v>#NUM!</v>
      </c>
    </row>
    <row r="859" spans="64:75" ht="20.100000000000001" customHeight="1" x14ac:dyDescent="0.25">
      <c r="BL859" s="62" t="str">
        <f t="shared" si="119"/>
        <v/>
      </c>
      <c r="BM859" s="63" t="str">
        <f t="shared" si="120"/>
        <v/>
      </c>
      <c r="BN859" s="68" t="str">
        <f t="shared" si="121"/>
        <v/>
      </c>
      <c r="BU859" s="51" t="e">
        <f t="shared" si="122"/>
        <v>#VALUE!</v>
      </c>
      <c r="BV859" s="44" t="e">
        <f t="shared" si="123"/>
        <v>#VALUE!</v>
      </c>
      <c r="BW859" s="61" t="e">
        <f t="shared" si="124"/>
        <v>#NUM!</v>
      </c>
    </row>
    <row r="860" spans="64:75" ht="20.100000000000001" customHeight="1" x14ac:dyDescent="0.25">
      <c r="BL860" s="62" t="str">
        <f t="shared" si="119"/>
        <v/>
      </c>
      <c r="BM860" s="63" t="str">
        <f t="shared" si="120"/>
        <v/>
      </c>
      <c r="BN860" s="68" t="str">
        <f t="shared" si="121"/>
        <v/>
      </c>
      <c r="BU860" s="51" t="e">
        <f t="shared" si="122"/>
        <v>#VALUE!</v>
      </c>
      <c r="BV860" s="44" t="e">
        <f t="shared" si="123"/>
        <v>#VALUE!</v>
      </c>
      <c r="BW860" s="61" t="e">
        <f t="shared" si="124"/>
        <v>#NUM!</v>
      </c>
    </row>
    <row r="861" spans="64:75" ht="20.100000000000001" customHeight="1" x14ac:dyDescent="0.25">
      <c r="BL861" s="62" t="str">
        <f t="shared" si="119"/>
        <v/>
      </c>
      <c r="BM861" s="63" t="str">
        <f t="shared" si="120"/>
        <v/>
      </c>
      <c r="BN861" s="68" t="str">
        <f t="shared" si="121"/>
        <v/>
      </c>
      <c r="BU861" s="51" t="e">
        <f t="shared" si="122"/>
        <v>#VALUE!</v>
      </c>
      <c r="BV861" s="44" t="e">
        <f t="shared" si="123"/>
        <v>#VALUE!</v>
      </c>
      <c r="BW861" s="61" t="e">
        <f t="shared" si="124"/>
        <v>#NUM!</v>
      </c>
    </row>
    <row r="862" spans="64:75" ht="20.100000000000001" customHeight="1" x14ac:dyDescent="0.25">
      <c r="BL862" s="62" t="str">
        <f t="shared" si="119"/>
        <v/>
      </c>
      <c r="BM862" s="63" t="str">
        <f t="shared" si="120"/>
        <v/>
      </c>
      <c r="BN862" s="68" t="str">
        <f t="shared" si="121"/>
        <v/>
      </c>
      <c r="BU862" s="51" t="e">
        <f t="shared" si="122"/>
        <v>#VALUE!</v>
      </c>
      <c r="BV862" s="44" t="e">
        <f t="shared" si="123"/>
        <v>#VALUE!</v>
      </c>
      <c r="BW862" s="61" t="e">
        <f t="shared" si="124"/>
        <v>#NUM!</v>
      </c>
    </row>
    <row r="863" spans="64:75" ht="20.100000000000001" customHeight="1" x14ac:dyDescent="0.25">
      <c r="BL863" s="62" t="str">
        <f t="shared" si="119"/>
        <v/>
      </c>
      <c r="BM863" s="63" t="str">
        <f t="shared" si="120"/>
        <v/>
      </c>
      <c r="BN863" s="68" t="str">
        <f t="shared" si="121"/>
        <v/>
      </c>
      <c r="BU863" s="51" t="e">
        <f t="shared" si="122"/>
        <v>#VALUE!</v>
      </c>
      <c r="BV863" s="44" t="e">
        <f t="shared" si="123"/>
        <v>#VALUE!</v>
      </c>
      <c r="BW863" s="61" t="e">
        <f t="shared" si="124"/>
        <v>#NUM!</v>
      </c>
    </row>
    <row r="864" spans="64:75" ht="20.100000000000001" customHeight="1" x14ac:dyDescent="0.25">
      <c r="BL864" s="62" t="str">
        <f t="shared" si="119"/>
        <v/>
      </c>
      <c r="BM864" s="63" t="str">
        <f t="shared" si="120"/>
        <v/>
      </c>
      <c r="BN864" s="68" t="str">
        <f t="shared" si="121"/>
        <v/>
      </c>
      <c r="BU864" s="51" t="e">
        <f t="shared" si="122"/>
        <v>#VALUE!</v>
      </c>
      <c r="BV864" s="44" t="e">
        <f t="shared" si="123"/>
        <v>#VALUE!</v>
      </c>
      <c r="BW864" s="61" t="e">
        <f t="shared" si="124"/>
        <v>#NUM!</v>
      </c>
    </row>
    <row r="865" spans="64:75" ht="20.100000000000001" customHeight="1" x14ac:dyDescent="0.25">
      <c r="BL865" s="62" t="str">
        <f t="shared" si="119"/>
        <v/>
      </c>
      <c r="BM865" s="63" t="str">
        <f t="shared" si="120"/>
        <v/>
      </c>
      <c r="BN865" s="68" t="str">
        <f t="shared" si="121"/>
        <v/>
      </c>
      <c r="BU865" s="51" t="e">
        <f t="shared" si="122"/>
        <v>#VALUE!</v>
      </c>
      <c r="BV865" s="44" t="e">
        <f t="shared" si="123"/>
        <v>#VALUE!</v>
      </c>
      <c r="BW865" s="61" t="e">
        <f t="shared" si="124"/>
        <v>#NUM!</v>
      </c>
    </row>
    <row r="866" spans="64:75" ht="20.100000000000001" customHeight="1" x14ac:dyDescent="0.25">
      <c r="BL866" s="62" t="str">
        <f t="shared" si="119"/>
        <v/>
      </c>
      <c r="BM866" s="63" t="str">
        <f t="shared" si="120"/>
        <v/>
      </c>
      <c r="BN866" s="68" t="str">
        <f t="shared" si="121"/>
        <v/>
      </c>
      <c r="BU866" s="51" t="e">
        <f t="shared" si="122"/>
        <v>#VALUE!</v>
      </c>
      <c r="BV866" s="44" t="e">
        <f t="shared" si="123"/>
        <v>#VALUE!</v>
      </c>
      <c r="BW866" s="61" t="e">
        <f t="shared" si="124"/>
        <v>#NUM!</v>
      </c>
    </row>
    <row r="867" spans="64:75" ht="20.100000000000001" customHeight="1" x14ac:dyDescent="0.25">
      <c r="BL867" s="62" t="str">
        <f t="shared" si="119"/>
        <v/>
      </c>
      <c r="BM867" s="63" t="str">
        <f t="shared" si="120"/>
        <v/>
      </c>
      <c r="BN867" s="68" t="str">
        <f t="shared" si="121"/>
        <v/>
      </c>
      <c r="BU867" s="51" t="e">
        <f t="shared" si="122"/>
        <v>#VALUE!</v>
      </c>
      <c r="BV867" s="44" t="e">
        <f t="shared" si="123"/>
        <v>#VALUE!</v>
      </c>
      <c r="BW867" s="61" t="e">
        <f t="shared" si="124"/>
        <v>#NUM!</v>
      </c>
    </row>
    <row r="868" spans="64:75" ht="20.100000000000001" customHeight="1" x14ac:dyDescent="0.25">
      <c r="BL868" s="62" t="str">
        <f t="shared" si="119"/>
        <v/>
      </c>
      <c r="BM868" s="63" t="str">
        <f t="shared" si="120"/>
        <v/>
      </c>
      <c r="BN868" s="68" t="str">
        <f t="shared" si="121"/>
        <v/>
      </c>
      <c r="BU868" s="51" t="e">
        <f t="shared" si="122"/>
        <v>#VALUE!</v>
      </c>
      <c r="BV868" s="44" t="e">
        <f t="shared" si="123"/>
        <v>#VALUE!</v>
      </c>
      <c r="BW868" s="61" t="e">
        <f t="shared" si="124"/>
        <v>#NUM!</v>
      </c>
    </row>
    <row r="869" spans="64:75" ht="20.100000000000001" customHeight="1" x14ac:dyDescent="0.25">
      <c r="BL869" s="62" t="str">
        <f t="shared" si="119"/>
        <v/>
      </c>
      <c r="BM869" s="63" t="str">
        <f t="shared" si="120"/>
        <v/>
      </c>
      <c r="BN869" s="68" t="str">
        <f t="shared" si="121"/>
        <v/>
      </c>
      <c r="BU869" s="51" t="e">
        <f t="shared" si="122"/>
        <v>#VALUE!</v>
      </c>
      <c r="BV869" s="44" t="e">
        <f t="shared" si="123"/>
        <v>#VALUE!</v>
      </c>
      <c r="BW869" s="61" t="e">
        <f t="shared" si="124"/>
        <v>#NUM!</v>
      </c>
    </row>
    <row r="870" spans="64:75" ht="20.100000000000001" customHeight="1" x14ac:dyDescent="0.25">
      <c r="BL870" s="62" t="str">
        <f t="shared" si="119"/>
        <v/>
      </c>
      <c r="BM870" s="63" t="str">
        <f t="shared" si="120"/>
        <v/>
      </c>
      <c r="BN870" s="68" t="str">
        <f t="shared" si="121"/>
        <v/>
      </c>
      <c r="BU870" s="51" t="e">
        <f t="shared" si="122"/>
        <v>#VALUE!</v>
      </c>
      <c r="BV870" s="44" t="e">
        <f t="shared" si="123"/>
        <v>#VALUE!</v>
      </c>
      <c r="BW870" s="61" t="e">
        <f t="shared" si="124"/>
        <v>#NUM!</v>
      </c>
    </row>
    <row r="871" spans="64:75" ht="20.100000000000001" customHeight="1" x14ac:dyDescent="0.25">
      <c r="BL871" s="62" t="str">
        <f t="shared" si="119"/>
        <v/>
      </c>
      <c r="BM871" s="63" t="str">
        <f t="shared" si="120"/>
        <v/>
      </c>
      <c r="BN871" s="68" t="str">
        <f t="shared" si="121"/>
        <v/>
      </c>
      <c r="BU871" s="51" t="e">
        <f t="shared" si="122"/>
        <v>#VALUE!</v>
      </c>
      <c r="BV871" s="44" t="e">
        <f t="shared" si="123"/>
        <v>#VALUE!</v>
      </c>
      <c r="BW871" s="61" t="e">
        <f t="shared" si="124"/>
        <v>#NUM!</v>
      </c>
    </row>
    <row r="872" spans="64:75" ht="20.100000000000001" customHeight="1" x14ac:dyDescent="0.25">
      <c r="BL872" s="62" t="str">
        <f t="shared" si="119"/>
        <v/>
      </c>
      <c r="BM872" s="63" t="str">
        <f t="shared" si="120"/>
        <v/>
      </c>
      <c r="BN872" s="68" t="str">
        <f t="shared" si="121"/>
        <v/>
      </c>
      <c r="BU872" s="51" t="e">
        <f t="shared" si="122"/>
        <v>#VALUE!</v>
      </c>
      <c r="BV872" s="44" t="e">
        <f t="shared" si="123"/>
        <v>#VALUE!</v>
      </c>
      <c r="BW872" s="61" t="e">
        <f t="shared" si="124"/>
        <v>#NUM!</v>
      </c>
    </row>
    <row r="873" spans="64:75" ht="20.100000000000001" customHeight="1" x14ac:dyDescent="0.25">
      <c r="BL873" s="62" t="str">
        <f t="shared" si="119"/>
        <v/>
      </c>
      <c r="BM873" s="63" t="str">
        <f t="shared" si="120"/>
        <v/>
      </c>
      <c r="BN873" s="68" t="str">
        <f t="shared" si="121"/>
        <v/>
      </c>
      <c r="BU873" s="51" t="e">
        <f t="shared" si="122"/>
        <v>#VALUE!</v>
      </c>
      <c r="BV873" s="44" t="e">
        <f t="shared" si="123"/>
        <v>#VALUE!</v>
      </c>
      <c r="BW873" s="61" t="e">
        <f t="shared" si="124"/>
        <v>#NUM!</v>
      </c>
    </row>
    <row r="874" spans="64:75" ht="20.100000000000001" customHeight="1" x14ac:dyDescent="0.25">
      <c r="BL874" s="62" t="str">
        <f t="shared" si="119"/>
        <v/>
      </c>
      <c r="BM874" s="63" t="str">
        <f t="shared" si="120"/>
        <v/>
      </c>
      <c r="BN874" s="68" t="str">
        <f t="shared" si="121"/>
        <v/>
      </c>
      <c r="BU874" s="51" t="e">
        <f t="shared" si="122"/>
        <v>#VALUE!</v>
      </c>
      <c r="BV874" s="44" t="e">
        <f t="shared" si="123"/>
        <v>#VALUE!</v>
      </c>
      <c r="BW874" s="61" t="e">
        <f t="shared" si="124"/>
        <v>#NUM!</v>
      </c>
    </row>
    <row r="875" spans="64:75" ht="20.100000000000001" customHeight="1" x14ac:dyDescent="0.25">
      <c r="BL875" s="62" t="str">
        <f t="shared" si="119"/>
        <v/>
      </c>
      <c r="BM875" s="63" t="str">
        <f t="shared" si="120"/>
        <v/>
      </c>
      <c r="BN875" s="68" t="str">
        <f t="shared" si="121"/>
        <v/>
      </c>
      <c r="BU875" s="51" t="e">
        <f t="shared" si="122"/>
        <v>#VALUE!</v>
      </c>
      <c r="BV875" s="44" t="e">
        <f t="shared" si="123"/>
        <v>#VALUE!</v>
      </c>
      <c r="BW875" s="61" t="e">
        <f t="shared" si="124"/>
        <v>#NUM!</v>
      </c>
    </row>
    <row r="876" spans="64:75" ht="20.100000000000001" customHeight="1" x14ac:dyDescent="0.25">
      <c r="BL876" s="62" t="str">
        <f t="shared" si="119"/>
        <v/>
      </c>
      <c r="BM876" s="63" t="str">
        <f t="shared" si="120"/>
        <v/>
      </c>
      <c r="BN876" s="68" t="str">
        <f t="shared" si="121"/>
        <v/>
      </c>
      <c r="BU876" s="51" t="e">
        <f t="shared" si="122"/>
        <v>#VALUE!</v>
      </c>
      <c r="BV876" s="44" t="e">
        <f t="shared" si="123"/>
        <v>#VALUE!</v>
      </c>
      <c r="BW876" s="61" t="e">
        <f t="shared" si="124"/>
        <v>#NUM!</v>
      </c>
    </row>
    <row r="877" spans="64:75" ht="20.100000000000001" customHeight="1" x14ac:dyDescent="0.25">
      <c r="BL877" s="62" t="str">
        <f t="shared" si="119"/>
        <v/>
      </c>
      <c r="BM877" s="63" t="str">
        <f t="shared" si="120"/>
        <v/>
      </c>
      <c r="BN877" s="68" t="str">
        <f t="shared" si="121"/>
        <v/>
      </c>
      <c r="BU877" s="51" t="e">
        <f t="shared" si="122"/>
        <v>#VALUE!</v>
      </c>
      <c r="BV877" s="44" t="e">
        <f t="shared" si="123"/>
        <v>#VALUE!</v>
      </c>
      <c r="BW877" s="61" t="e">
        <f t="shared" si="124"/>
        <v>#NUM!</v>
      </c>
    </row>
    <row r="878" spans="64:75" ht="20.100000000000001" customHeight="1" x14ac:dyDescent="0.25">
      <c r="BL878" s="62" t="str">
        <f t="shared" si="119"/>
        <v/>
      </c>
      <c r="BM878" s="63" t="str">
        <f t="shared" si="120"/>
        <v/>
      </c>
      <c r="BN878" s="68" t="str">
        <f t="shared" si="121"/>
        <v/>
      </c>
      <c r="BU878" s="51" t="e">
        <f t="shared" si="122"/>
        <v>#VALUE!</v>
      </c>
      <c r="BV878" s="44" t="e">
        <f t="shared" si="123"/>
        <v>#VALUE!</v>
      </c>
      <c r="BW878" s="61" t="e">
        <f t="shared" si="124"/>
        <v>#NUM!</v>
      </c>
    </row>
    <row r="879" spans="64:75" ht="20.100000000000001" customHeight="1" x14ac:dyDescent="0.25">
      <c r="BL879" s="62" t="str">
        <f t="shared" si="119"/>
        <v/>
      </c>
      <c r="BM879" s="63" t="str">
        <f t="shared" si="120"/>
        <v/>
      </c>
      <c r="BN879" s="68" t="str">
        <f t="shared" si="121"/>
        <v/>
      </c>
      <c r="BU879" s="51" t="e">
        <f t="shared" si="122"/>
        <v>#VALUE!</v>
      </c>
      <c r="BV879" s="44" t="e">
        <f t="shared" si="123"/>
        <v>#VALUE!</v>
      </c>
      <c r="BW879" s="61" t="e">
        <f t="shared" si="124"/>
        <v>#NUM!</v>
      </c>
    </row>
    <row r="880" spans="64:75" ht="20.100000000000001" customHeight="1" x14ac:dyDescent="0.25">
      <c r="BL880" s="62" t="str">
        <f t="shared" si="119"/>
        <v/>
      </c>
      <c r="BM880" s="63" t="str">
        <f t="shared" si="120"/>
        <v/>
      </c>
      <c r="BN880" s="68" t="str">
        <f t="shared" si="121"/>
        <v/>
      </c>
      <c r="BU880" s="51" t="e">
        <f t="shared" si="122"/>
        <v>#VALUE!</v>
      </c>
      <c r="BV880" s="44" t="e">
        <f t="shared" si="123"/>
        <v>#VALUE!</v>
      </c>
      <c r="BW880" s="61" t="e">
        <f t="shared" si="124"/>
        <v>#NUM!</v>
      </c>
    </row>
    <row r="881" spans="64:75" ht="20.100000000000001" customHeight="1" x14ac:dyDescent="0.25">
      <c r="BL881" s="62" t="str">
        <f t="shared" si="119"/>
        <v/>
      </c>
      <c r="BM881" s="63" t="str">
        <f t="shared" si="120"/>
        <v/>
      </c>
      <c r="BN881" s="68" t="str">
        <f t="shared" si="121"/>
        <v/>
      </c>
      <c r="BU881" s="51" t="e">
        <f t="shared" si="122"/>
        <v>#VALUE!</v>
      </c>
      <c r="BV881" s="44" t="e">
        <f t="shared" si="123"/>
        <v>#VALUE!</v>
      </c>
      <c r="BW881" s="61" t="e">
        <f t="shared" si="124"/>
        <v>#NUM!</v>
      </c>
    </row>
    <row r="882" spans="64:75" ht="20.100000000000001" customHeight="1" x14ac:dyDescent="0.25">
      <c r="BL882" s="62" t="str">
        <f t="shared" si="119"/>
        <v/>
      </c>
      <c r="BM882" s="63" t="str">
        <f t="shared" si="120"/>
        <v/>
      </c>
      <c r="BN882" s="68" t="str">
        <f t="shared" si="121"/>
        <v/>
      </c>
      <c r="BU882" s="51" t="e">
        <f t="shared" si="122"/>
        <v>#VALUE!</v>
      </c>
      <c r="BV882" s="44" t="e">
        <f t="shared" si="123"/>
        <v>#VALUE!</v>
      </c>
      <c r="BW882" s="61" t="e">
        <f t="shared" si="124"/>
        <v>#NUM!</v>
      </c>
    </row>
    <row r="883" spans="64:75" ht="20.100000000000001" customHeight="1" x14ac:dyDescent="0.25">
      <c r="BL883" s="62" t="str">
        <f t="shared" si="119"/>
        <v/>
      </c>
      <c r="BM883" s="63" t="str">
        <f t="shared" si="120"/>
        <v/>
      </c>
      <c r="BN883" s="68" t="str">
        <f t="shared" si="121"/>
        <v/>
      </c>
      <c r="BU883" s="51" t="e">
        <f t="shared" si="122"/>
        <v>#VALUE!</v>
      </c>
      <c r="BV883" s="44" t="e">
        <f t="shared" si="123"/>
        <v>#VALUE!</v>
      </c>
      <c r="BW883" s="61" t="e">
        <f t="shared" si="124"/>
        <v>#NUM!</v>
      </c>
    </row>
    <row r="884" spans="64:75" ht="20.100000000000001" customHeight="1" x14ac:dyDescent="0.25">
      <c r="BL884" s="62" t="str">
        <f t="shared" si="119"/>
        <v/>
      </c>
      <c r="BM884" s="63" t="str">
        <f t="shared" si="120"/>
        <v/>
      </c>
      <c r="BN884" s="68" t="str">
        <f t="shared" si="121"/>
        <v/>
      </c>
      <c r="BU884" s="51" t="e">
        <f t="shared" si="122"/>
        <v>#VALUE!</v>
      </c>
      <c r="BV884" s="44" t="e">
        <f t="shared" si="123"/>
        <v>#VALUE!</v>
      </c>
      <c r="BW884" s="61" t="e">
        <f t="shared" si="124"/>
        <v>#NUM!</v>
      </c>
    </row>
    <row r="885" spans="64:75" ht="20.100000000000001" customHeight="1" x14ac:dyDescent="0.25">
      <c r="BL885" s="62" t="str">
        <f t="shared" si="119"/>
        <v/>
      </c>
      <c r="BM885" s="63" t="str">
        <f t="shared" si="120"/>
        <v/>
      </c>
      <c r="BN885" s="68" t="str">
        <f t="shared" si="121"/>
        <v/>
      </c>
      <c r="BU885" s="51" t="e">
        <f t="shared" si="122"/>
        <v>#VALUE!</v>
      </c>
      <c r="BV885" s="44" t="e">
        <f t="shared" si="123"/>
        <v>#VALUE!</v>
      </c>
      <c r="BW885" s="61" t="e">
        <f t="shared" si="124"/>
        <v>#NUM!</v>
      </c>
    </row>
    <row r="886" spans="64:75" ht="20.100000000000001" customHeight="1" x14ac:dyDescent="0.25">
      <c r="BL886" s="62" t="str">
        <f t="shared" si="119"/>
        <v/>
      </c>
      <c r="BM886" s="63" t="str">
        <f t="shared" si="120"/>
        <v/>
      </c>
      <c r="BN886" s="68" t="str">
        <f t="shared" si="121"/>
        <v/>
      </c>
      <c r="BU886" s="51" t="e">
        <f t="shared" si="122"/>
        <v>#VALUE!</v>
      </c>
      <c r="BV886" s="44" t="e">
        <f t="shared" si="123"/>
        <v>#VALUE!</v>
      </c>
      <c r="BW886" s="61" t="e">
        <f t="shared" si="124"/>
        <v>#NUM!</v>
      </c>
    </row>
    <row r="887" spans="64:75" ht="20.100000000000001" customHeight="1" x14ac:dyDescent="0.25">
      <c r="BL887" s="62" t="str">
        <f t="shared" si="119"/>
        <v/>
      </c>
      <c r="BM887" s="63" t="str">
        <f t="shared" si="120"/>
        <v/>
      </c>
      <c r="BN887" s="68" t="str">
        <f t="shared" si="121"/>
        <v/>
      </c>
      <c r="BU887" s="51" t="e">
        <f t="shared" si="122"/>
        <v>#VALUE!</v>
      </c>
      <c r="BV887" s="44" t="e">
        <f t="shared" si="123"/>
        <v>#VALUE!</v>
      </c>
      <c r="BW887" s="61" t="e">
        <f t="shared" si="124"/>
        <v>#NUM!</v>
      </c>
    </row>
    <row r="888" spans="64:75" ht="20.100000000000001" customHeight="1" x14ac:dyDescent="0.25">
      <c r="BL888" s="62" t="str">
        <f t="shared" si="119"/>
        <v/>
      </c>
      <c r="BM888" s="63" t="str">
        <f t="shared" si="120"/>
        <v/>
      </c>
      <c r="BN888" s="68" t="str">
        <f t="shared" si="121"/>
        <v/>
      </c>
      <c r="BU888" s="51" t="e">
        <f t="shared" si="122"/>
        <v>#VALUE!</v>
      </c>
      <c r="BV888" s="44" t="e">
        <f t="shared" si="123"/>
        <v>#VALUE!</v>
      </c>
      <c r="BW888" s="61" t="e">
        <f t="shared" si="124"/>
        <v>#NUM!</v>
      </c>
    </row>
    <row r="889" spans="64:75" ht="20.100000000000001" customHeight="1" x14ac:dyDescent="0.25">
      <c r="BL889" s="62" t="str">
        <f t="shared" si="119"/>
        <v/>
      </c>
      <c r="BM889" s="63" t="str">
        <f t="shared" si="120"/>
        <v/>
      </c>
      <c r="BN889" s="68" t="str">
        <f t="shared" si="121"/>
        <v/>
      </c>
      <c r="BU889" s="51" t="e">
        <f t="shared" si="122"/>
        <v>#VALUE!</v>
      </c>
      <c r="BV889" s="44" t="e">
        <f t="shared" si="123"/>
        <v>#VALUE!</v>
      </c>
      <c r="BW889" s="61" t="e">
        <f t="shared" si="124"/>
        <v>#NUM!</v>
      </c>
    </row>
    <row r="890" spans="64:75" ht="20.100000000000001" customHeight="1" x14ac:dyDescent="0.25">
      <c r="BL890" s="62" t="str">
        <f t="shared" si="119"/>
        <v/>
      </c>
      <c r="BM890" s="63" t="str">
        <f t="shared" si="120"/>
        <v/>
      </c>
      <c r="BN890" s="68" t="str">
        <f t="shared" si="121"/>
        <v/>
      </c>
      <c r="BU890" s="51" t="e">
        <f t="shared" si="122"/>
        <v>#VALUE!</v>
      </c>
      <c r="BV890" s="44" t="e">
        <f t="shared" si="123"/>
        <v>#VALUE!</v>
      </c>
      <c r="BW890" s="61" t="e">
        <f t="shared" si="124"/>
        <v>#NUM!</v>
      </c>
    </row>
    <row r="891" spans="64:75" ht="20.100000000000001" customHeight="1" x14ac:dyDescent="0.25">
      <c r="BL891" s="62" t="str">
        <f t="shared" si="119"/>
        <v/>
      </c>
      <c r="BM891" s="63" t="str">
        <f t="shared" si="120"/>
        <v/>
      </c>
      <c r="BN891" s="68" t="str">
        <f t="shared" si="121"/>
        <v/>
      </c>
      <c r="BU891" s="51" t="e">
        <f t="shared" si="122"/>
        <v>#VALUE!</v>
      </c>
      <c r="BV891" s="44" t="e">
        <f t="shared" si="123"/>
        <v>#VALUE!</v>
      </c>
      <c r="BW891" s="61" t="e">
        <f t="shared" si="124"/>
        <v>#NUM!</v>
      </c>
    </row>
    <row r="892" spans="64:75" ht="20.100000000000001" customHeight="1" x14ac:dyDescent="0.25">
      <c r="BL892" s="62" t="str">
        <f t="shared" si="119"/>
        <v/>
      </c>
      <c r="BM892" s="63" t="str">
        <f t="shared" si="120"/>
        <v/>
      </c>
      <c r="BN892" s="68" t="str">
        <f t="shared" si="121"/>
        <v/>
      </c>
      <c r="BU892" s="51" t="e">
        <f t="shared" si="122"/>
        <v>#VALUE!</v>
      </c>
      <c r="BV892" s="44" t="e">
        <f t="shared" si="123"/>
        <v>#VALUE!</v>
      </c>
      <c r="BW892" s="61" t="e">
        <f t="shared" si="124"/>
        <v>#NUM!</v>
      </c>
    </row>
    <row r="893" spans="64:75" ht="20.100000000000001" customHeight="1" x14ac:dyDescent="0.25">
      <c r="BL893" s="62" t="str">
        <f t="shared" si="119"/>
        <v/>
      </c>
      <c r="BM893" s="63" t="str">
        <f t="shared" si="120"/>
        <v/>
      </c>
      <c r="BN893" s="68" t="str">
        <f t="shared" si="121"/>
        <v/>
      </c>
      <c r="BU893" s="51" t="e">
        <f t="shared" si="122"/>
        <v>#VALUE!</v>
      </c>
      <c r="BV893" s="44" t="e">
        <f t="shared" si="123"/>
        <v>#VALUE!</v>
      </c>
      <c r="BW893" s="61" t="e">
        <f t="shared" si="124"/>
        <v>#NUM!</v>
      </c>
    </row>
    <row r="894" spans="64:75" ht="20.100000000000001" customHeight="1" x14ac:dyDescent="0.25">
      <c r="BL894" s="62" t="str">
        <f t="shared" si="119"/>
        <v/>
      </c>
      <c r="BM894" s="63" t="str">
        <f t="shared" si="120"/>
        <v/>
      </c>
      <c r="BN894" s="68" t="str">
        <f t="shared" si="121"/>
        <v/>
      </c>
      <c r="BU894" s="51" t="e">
        <f t="shared" si="122"/>
        <v>#VALUE!</v>
      </c>
      <c r="BV894" s="44" t="e">
        <f t="shared" si="123"/>
        <v>#VALUE!</v>
      </c>
      <c r="BW894" s="61" t="e">
        <f t="shared" si="124"/>
        <v>#NUM!</v>
      </c>
    </row>
    <row r="895" spans="64:75" ht="20.100000000000001" customHeight="1" x14ac:dyDescent="0.25">
      <c r="BL895" s="62" t="str">
        <f t="shared" si="119"/>
        <v/>
      </c>
      <c r="BM895" s="63" t="str">
        <f t="shared" si="120"/>
        <v/>
      </c>
      <c r="BN895" s="68" t="str">
        <f t="shared" si="121"/>
        <v/>
      </c>
      <c r="BU895" s="51" t="e">
        <f t="shared" si="122"/>
        <v>#VALUE!</v>
      </c>
      <c r="BV895" s="44" t="e">
        <f t="shared" si="123"/>
        <v>#VALUE!</v>
      </c>
      <c r="BW895" s="61" t="e">
        <f t="shared" si="124"/>
        <v>#NUM!</v>
      </c>
    </row>
    <row r="896" spans="64:75" ht="20.100000000000001" customHeight="1" x14ac:dyDescent="0.25">
      <c r="BL896" s="62" t="str">
        <f t="shared" si="119"/>
        <v/>
      </c>
      <c r="BM896" s="63" t="str">
        <f t="shared" si="120"/>
        <v/>
      </c>
      <c r="BN896" s="68" t="str">
        <f t="shared" si="121"/>
        <v/>
      </c>
      <c r="BU896" s="51" t="e">
        <f t="shared" si="122"/>
        <v>#VALUE!</v>
      </c>
      <c r="BV896" s="44" t="e">
        <f t="shared" si="123"/>
        <v>#VALUE!</v>
      </c>
      <c r="BW896" s="61" t="e">
        <f t="shared" si="124"/>
        <v>#NUM!</v>
      </c>
    </row>
    <row r="897" spans="64:75" ht="20.100000000000001" customHeight="1" x14ac:dyDescent="0.25">
      <c r="BL897" s="62" t="str">
        <f t="shared" si="119"/>
        <v/>
      </c>
      <c r="BM897" s="63" t="str">
        <f t="shared" si="120"/>
        <v/>
      </c>
      <c r="BN897" s="68" t="str">
        <f t="shared" si="121"/>
        <v/>
      </c>
      <c r="BU897" s="51" t="e">
        <f t="shared" si="122"/>
        <v>#VALUE!</v>
      </c>
      <c r="BV897" s="44" t="e">
        <f t="shared" si="123"/>
        <v>#VALUE!</v>
      </c>
      <c r="BW897" s="61" t="e">
        <f t="shared" si="124"/>
        <v>#NUM!</v>
      </c>
    </row>
    <row r="898" spans="64:75" ht="20.100000000000001" customHeight="1" x14ac:dyDescent="0.25">
      <c r="BL898" s="62" t="str">
        <f t="shared" si="119"/>
        <v/>
      </c>
      <c r="BM898" s="63" t="str">
        <f t="shared" si="120"/>
        <v/>
      </c>
      <c r="BN898" s="68" t="str">
        <f t="shared" si="121"/>
        <v/>
      </c>
      <c r="BU898" s="51" t="e">
        <f t="shared" si="122"/>
        <v>#VALUE!</v>
      </c>
      <c r="BV898" s="44" t="e">
        <f t="shared" si="123"/>
        <v>#VALUE!</v>
      </c>
      <c r="BW898" s="61" t="e">
        <f t="shared" si="124"/>
        <v>#NUM!</v>
      </c>
    </row>
    <row r="899" spans="64:75" ht="20.100000000000001" customHeight="1" x14ac:dyDescent="0.25">
      <c r="BL899" s="62" t="str">
        <f t="shared" si="119"/>
        <v/>
      </c>
      <c r="BM899" s="63" t="str">
        <f t="shared" si="120"/>
        <v/>
      </c>
      <c r="BN899" s="68" t="str">
        <f t="shared" si="121"/>
        <v/>
      </c>
      <c r="BU899" s="51" t="e">
        <f t="shared" si="122"/>
        <v>#VALUE!</v>
      </c>
      <c r="BV899" s="44" t="e">
        <f t="shared" si="123"/>
        <v>#VALUE!</v>
      </c>
      <c r="BW899" s="61" t="e">
        <f t="shared" si="124"/>
        <v>#NUM!</v>
      </c>
    </row>
    <row r="900" spans="64:75" ht="20.100000000000001" customHeight="1" x14ac:dyDescent="0.25">
      <c r="BL900" s="62" t="str">
        <f t="shared" si="119"/>
        <v/>
      </c>
      <c r="BM900" s="63" t="str">
        <f t="shared" si="120"/>
        <v/>
      </c>
      <c r="BN900" s="68" t="str">
        <f t="shared" si="121"/>
        <v/>
      </c>
      <c r="BU900" s="51" t="e">
        <f t="shared" si="122"/>
        <v>#VALUE!</v>
      </c>
      <c r="BV900" s="44" t="e">
        <f t="shared" si="123"/>
        <v>#VALUE!</v>
      </c>
      <c r="BW900" s="61" t="e">
        <f t="shared" si="124"/>
        <v>#NUM!</v>
      </c>
    </row>
    <row r="901" spans="64:75" ht="20.100000000000001" customHeight="1" x14ac:dyDescent="0.25">
      <c r="BL901" s="62" t="str">
        <f t="shared" si="119"/>
        <v/>
      </c>
      <c r="BM901" s="63" t="str">
        <f t="shared" si="120"/>
        <v/>
      </c>
      <c r="BN901" s="68" t="str">
        <f t="shared" si="121"/>
        <v/>
      </c>
      <c r="BU901" s="51" t="e">
        <f t="shared" si="122"/>
        <v>#VALUE!</v>
      </c>
      <c r="BV901" s="44" t="e">
        <f t="shared" si="123"/>
        <v>#VALUE!</v>
      </c>
      <c r="BW901" s="61" t="e">
        <f t="shared" si="124"/>
        <v>#NUM!</v>
      </c>
    </row>
    <row r="902" spans="64:75" ht="20.100000000000001" customHeight="1" x14ac:dyDescent="0.25">
      <c r="BL902" s="62" t="str">
        <f t="shared" si="119"/>
        <v/>
      </c>
      <c r="BM902" s="63" t="str">
        <f t="shared" si="120"/>
        <v/>
      </c>
      <c r="BN902" s="68" t="str">
        <f t="shared" si="121"/>
        <v/>
      </c>
      <c r="BU902" s="51" t="e">
        <f t="shared" si="122"/>
        <v>#VALUE!</v>
      </c>
      <c r="BV902" s="44" t="e">
        <f t="shared" si="123"/>
        <v>#VALUE!</v>
      </c>
      <c r="BW902" s="61" t="e">
        <f t="shared" si="124"/>
        <v>#NUM!</v>
      </c>
    </row>
    <row r="903" spans="64:75" ht="20.100000000000001" customHeight="1" x14ac:dyDescent="0.25">
      <c r="BL903" s="62" t="str">
        <f t="shared" si="119"/>
        <v/>
      </c>
      <c r="BM903" s="63" t="str">
        <f t="shared" si="120"/>
        <v/>
      </c>
      <c r="BN903" s="68" t="str">
        <f t="shared" si="121"/>
        <v/>
      </c>
      <c r="BU903" s="51" t="e">
        <f t="shared" si="122"/>
        <v>#VALUE!</v>
      </c>
      <c r="BV903" s="44" t="e">
        <f t="shared" si="123"/>
        <v>#VALUE!</v>
      </c>
      <c r="BW903" s="61" t="e">
        <f t="shared" si="124"/>
        <v>#NUM!</v>
      </c>
    </row>
    <row r="904" spans="64:75" ht="20.100000000000001" customHeight="1" x14ac:dyDescent="0.25">
      <c r="BL904" s="62" t="str">
        <f t="shared" si="119"/>
        <v/>
      </c>
      <c r="BM904" s="63" t="str">
        <f t="shared" si="120"/>
        <v/>
      </c>
      <c r="BN904" s="68" t="str">
        <f t="shared" si="121"/>
        <v/>
      </c>
      <c r="BU904" s="51" t="e">
        <f t="shared" si="122"/>
        <v>#VALUE!</v>
      </c>
      <c r="BV904" s="44" t="e">
        <f t="shared" si="123"/>
        <v>#VALUE!</v>
      </c>
      <c r="BW904" s="61" t="e">
        <f t="shared" si="124"/>
        <v>#NUM!</v>
      </c>
    </row>
    <row r="905" spans="64:75" ht="20.100000000000001" customHeight="1" x14ac:dyDescent="0.25">
      <c r="BL905" s="62" t="str">
        <f t="shared" si="119"/>
        <v/>
      </c>
      <c r="BM905" s="63" t="str">
        <f t="shared" si="120"/>
        <v/>
      </c>
      <c r="BN905" s="68" t="str">
        <f t="shared" si="121"/>
        <v/>
      </c>
      <c r="BU905" s="51" t="e">
        <f t="shared" si="122"/>
        <v>#VALUE!</v>
      </c>
      <c r="BV905" s="44" t="e">
        <f t="shared" si="123"/>
        <v>#VALUE!</v>
      </c>
      <c r="BW905" s="61" t="e">
        <f t="shared" si="124"/>
        <v>#NUM!</v>
      </c>
    </row>
    <row r="906" spans="64:75" ht="20.100000000000001" customHeight="1" x14ac:dyDescent="0.25">
      <c r="BL906" s="62" t="str">
        <f t="shared" si="119"/>
        <v/>
      </c>
      <c r="BM906" s="63" t="str">
        <f t="shared" si="120"/>
        <v/>
      </c>
      <c r="BN906" s="68" t="str">
        <f t="shared" si="121"/>
        <v/>
      </c>
      <c r="BU906" s="51" t="e">
        <f t="shared" si="122"/>
        <v>#VALUE!</v>
      </c>
      <c r="BV906" s="44" t="e">
        <f t="shared" si="123"/>
        <v>#VALUE!</v>
      </c>
      <c r="BW906" s="61" t="e">
        <f t="shared" si="124"/>
        <v>#NUM!</v>
      </c>
    </row>
    <row r="907" spans="64:75" ht="20.100000000000001" customHeight="1" x14ac:dyDescent="0.25">
      <c r="BL907" s="62" t="str">
        <f t="shared" si="119"/>
        <v/>
      </c>
      <c r="BM907" s="63" t="str">
        <f t="shared" si="120"/>
        <v/>
      </c>
      <c r="BN907" s="68" t="str">
        <f t="shared" si="121"/>
        <v/>
      </c>
      <c r="BU907" s="51" t="e">
        <f t="shared" si="122"/>
        <v>#VALUE!</v>
      </c>
      <c r="BV907" s="44" t="e">
        <f t="shared" si="123"/>
        <v>#VALUE!</v>
      </c>
      <c r="BW907" s="61" t="e">
        <f t="shared" si="124"/>
        <v>#NUM!</v>
      </c>
    </row>
    <row r="908" spans="64:75" ht="20.100000000000001" customHeight="1" x14ac:dyDescent="0.25">
      <c r="BL908" s="62" t="str">
        <f t="shared" ref="BL908:BL971" si="125">IF(AND(BL907&gt;BM$6,BL907&lt;&gt;""),BL907-1,"")</f>
        <v/>
      </c>
      <c r="BM908" s="63" t="str">
        <f t="shared" ref="BM908:BM971" si="126">IF(BL908&lt;&gt;"",MAX(BL908,ROUND(BM$6*BM$9^BL908,0)),"")</f>
        <v/>
      </c>
      <c r="BN908" s="68" t="str">
        <f t="shared" ref="BN908:BN971" si="127">IF(BM908&lt;&gt;"",O$12/M$12*BM908,"")</f>
        <v/>
      </c>
      <c r="BU908" s="51" t="e">
        <f t="shared" si="122"/>
        <v>#VALUE!</v>
      </c>
      <c r="BV908" s="44" t="e">
        <f t="shared" si="123"/>
        <v>#VALUE!</v>
      </c>
      <c r="BW908" s="61" t="e">
        <f t="shared" si="124"/>
        <v>#NUM!</v>
      </c>
    </row>
    <row r="909" spans="64:75" ht="20.100000000000001" customHeight="1" x14ac:dyDescent="0.25">
      <c r="BL909" s="62" t="str">
        <f t="shared" si="125"/>
        <v/>
      </c>
      <c r="BM909" s="63" t="str">
        <f t="shared" si="126"/>
        <v/>
      </c>
      <c r="BN909" s="68" t="str">
        <f t="shared" si="127"/>
        <v/>
      </c>
      <c r="BU909" s="51" t="e">
        <f t="shared" si="122"/>
        <v>#VALUE!</v>
      </c>
      <c r="BV909" s="44" t="e">
        <f t="shared" si="123"/>
        <v>#VALUE!</v>
      </c>
      <c r="BW909" s="61" t="e">
        <f t="shared" si="124"/>
        <v>#NUM!</v>
      </c>
    </row>
    <row r="910" spans="64:75" ht="20.100000000000001" customHeight="1" x14ac:dyDescent="0.25">
      <c r="BL910" s="62" t="str">
        <f t="shared" si="125"/>
        <v/>
      </c>
      <c r="BM910" s="63" t="str">
        <f t="shared" si="126"/>
        <v/>
      </c>
      <c r="BN910" s="68" t="str">
        <f t="shared" si="127"/>
        <v/>
      </c>
      <c r="BU910" s="51" t="e">
        <f t="shared" si="122"/>
        <v>#VALUE!</v>
      </c>
      <c r="BV910" s="44" t="e">
        <f t="shared" si="123"/>
        <v>#VALUE!</v>
      </c>
      <c r="BW910" s="61" t="e">
        <f t="shared" si="124"/>
        <v>#NUM!</v>
      </c>
    </row>
    <row r="911" spans="64:75" ht="20.100000000000001" customHeight="1" x14ac:dyDescent="0.25">
      <c r="BL911" s="62" t="str">
        <f t="shared" si="125"/>
        <v/>
      </c>
      <c r="BM911" s="63" t="str">
        <f t="shared" si="126"/>
        <v/>
      </c>
      <c r="BN911" s="68" t="str">
        <f t="shared" si="127"/>
        <v/>
      </c>
      <c r="BU911" s="51" t="e">
        <f t="shared" si="122"/>
        <v>#VALUE!</v>
      </c>
      <c r="BV911" s="44" t="e">
        <f t="shared" si="123"/>
        <v>#VALUE!</v>
      </c>
      <c r="BW911" s="61" t="e">
        <f t="shared" si="124"/>
        <v>#NUM!</v>
      </c>
    </row>
    <row r="912" spans="64:75" ht="20.100000000000001" customHeight="1" x14ac:dyDescent="0.25">
      <c r="BL912" s="62" t="str">
        <f t="shared" si="125"/>
        <v/>
      </c>
      <c r="BM912" s="63" t="str">
        <f t="shared" si="126"/>
        <v/>
      </c>
      <c r="BN912" s="68" t="str">
        <f t="shared" si="127"/>
        <v/>
      </c>
      <c r="BU912" s="51" t="e">
        <f t="shared" si="122"/>
        <v>#VALUE!</v>
      </c>
      <c r="BV912" s="44" t="e">
        <f t="shared" si="123"/>
        <v>#VALUE!</v>
      </c>
      <c r="BW912" s="61" t="e">
        <f t="shared" si="124"/>
        <v>#NUM!</v>
      </c>
    </row>
    <row r="913" spans="64:75" ht="20.100000000000001" customHeight="1" x14ac:dyDescent="0.25">
      <c r="BL913" s="62" t="str">
        <f t="shared" si="125"/>
        <v/>
      </c>
      <c r="BM913" s="63" t="str">
        <f t="shared" si="126"/>
        <v/>
      </c>
      <c r="BN913" s="68" t="str">
        <f t="shared" si="127"/>
        <v/>
      </c>
      <c r="BU913" s="51" t="e">
        <f t="shared" si="122"/>
        <v>#VALUE!</v>
      </c>
      <c r="BV913" s="44" t="e">
        <f t="shared" si="123"/>
        <v>#VALUE!</v>
      </c>
      <c r="BW913" s="61" t="e">
        <f t="shared" si="124"/>
        <v>#NUM!</v>
      </c>
    </row>
    <row r="914" spans="64:75" ht="20.100000000000001" customHeight="1" x14ac:dyDescent="0.25">
      <c r="BL914" s="62" t="str">
        <f t="shared" si="125"/>
        <v/>
      </c>
      <c r="BM914" s="63" t="str">
        <f t="shared" si="126"/>
        <v/>
      </c>
      <c r="BN914" s="68" t="str">
        <f t="shared" si="127"/>
        <v/>
      </c>
      <c r="BU914" s="51" t="e">
        <f t="shared" si="122"/>
        <v>#VALUE!</v>
      </c>
      <c r="BV914" s="44" t="e">
        <f t="shared" si="123"/>
        <v>#VALUE!</v>
      </c>
      <c r="BW914" s="61" t="e">
        <f t="shared" si="124"/>
        <v>#NUM!</v>
      </c>
    </row>
    <row r="915" spans="64:75" ht="20.100000000000001" customHeight="1" x14ac:dyDescent="0.25">
      <c r="BL915" s="62" t="str">
        <f t="shared" si="125"/>
        <v/>
      </c>
      <c r="BM915" s="63" t="str">
        <f t="shared" si="126"/>
        <v/>
      </c>
      <c r="BN915" s="68" t="str">
        <f t="shared" si="127"/>
        <v/>
      </c>
      <c r="BU915" s="51" t="e">
        <f t="shared" si="122"/>
        <v>#VALUE!</v>
      </c>
      <c r="BV915" s="44" t="e">
        <f t="shared" si="123"/>
        <v>#VALUE!</v>
      </c>
      <c r="BW915" s="61" t="e">
        <f t="shared" si="124"/>
        <v>#NUM!</v>
      </c>
    </row>
    <row r="916" spans="64:75" ht="20.100000000000001" customHeight="1" x14ac:dyDescent="0.25">
      <c r="BL916" s="62" t="str">
        <f t="shared" si="125"/>
        <v/>
      </c>
      <c r="BM916" s="63" t="str">
        <f t="shared" si="126"/>
        <v/>
      </c>
      <c r="BN916" s="68" t="str">
        <f t="shared" si="127"/>
        <v/>
      </c>
      <c r="BU916" s="51" t="e">
        <f t="shared" ref="BU916:BU979" si="128">BO916-BN916</f>
        <v>#VALUE!</v>
      </c>
      <c r="BV916" s="44" t="e">
        <f t="shared" ref="BV916:BV979" si="129">BO916/BN916-1</f>
        <v>#VALUE!</v>
      </c>
      <c r="BW916" s="61" t="e">
        <f t="shared" ref="BW916:BW979" si="130">-20*LOG10(BP916/100)</f>
        <v>#NUM!</v>
      </c>
    </row>
    <row r="917" spans="64:75" ht="20.100000000000001" customHeight="1" x14ac:dyDescent="0.25">
      <c r="BL917" s="62" t="str">
        <f t="shared" si="125"/>
        <v/>
      </c>
      <c r="BM917" s="63" t="str">
        <f t="shared" si="126"/>
        <v/>
      </c>
      <c r="BN917" s="68" t="str">
        <f t="shared" si="127"/>
        <v/>
      </c>
      <c r="BU917" s="51" t="e">
        <f t="shared" si="128"/>
        <v>#VALUE!</v>
      </c>
      <c r="BV917" s="44" t="e">
        <f t="shared" si="129"/>
        <v>#VALUE!</v>
      </c>
      <c r="BW917" s="61" t="e">
        <f t="shared" si="130"/>
        <v>#NUM!</v>
      </c>
    </row>
    <row r="918" spans="64:75" ht="20.100000000000001" customHeight="1" x14ac:dyDescent="0.25">
      <c r="BL918" s="62" t="str">
        <f t="shared" si="125"/>
        <v/>
      </c>
      <c r="BM918" s="63" t="str">
        <f t="shared" si="126"/>
        <v/>
      </c>
      <c r="BN918" s="68" t="str">
        <f t="shared" si="127"/>
        <v/>
      </c>
      <c r="BU918" s="51" t="e">
        <f t="shared" si="128"/>
        <v>#VALUE!</v>
      </c>
      <c r="BV918" s="44" t="e">
        <f t="shared" si="129"/>
        <v>#VALUE!</v>
      </c>
      <c r="BW918" s="61" t="e">
        <f t="shared" si="130"/>
        <v>#NUM!</v>
      </c>
    </row>
    <row r="919" spans="64:75" ht="20.100000000000001" customHeight="1" x14ac:dyDescent="0.25">
      <c r="BL919" s="62" t="str">
        <f t="shared" si="125"/>
        <v/>
      </c>
      <c r="BM919" s="63" t="str">
        <f t="shared" si="126"/>
        <v/>
      </c>
      <c r="BN919" s="68" t="str">
        <f t="shared" si="127"/>
        <v/>
      </c>
      <c r="BU919" s="51" t="e">
        <f t="shared" si="128"/>
        <v>#VALUE!</v>
      </c>
      <c r="BV919" s="44" t="e">
        <f t="shared" si="129"/>
        <v>#VALUE!</v>
      </c>
      <c r="BW919" s="61" t="e">
        <f t="shared" si="130"/>
        <v>#NUM!</v>
      </c>
    </row>
    <row r="920" spans="64:75" ht="20.100000000000001" customHeight="1" x14ac:dyDescent="0.25">
      <c r="BL920" s="62" t="str">
        <f t="shared" si="125"/>
        <v/>
      </c>
      <c r="BM920" s="63" t="str">
        <f t="shared" si="126"/>
        <v/>
      </c>
      <c r="BN920" s="68" t="str">
        <f t="shared" si="127"/>
        <v/>
      </c>
      <c r="BU920" s="51" t="e">
        <f t="shared" si="128"/>
        <v>#VALUE!</v>
      </c>
      <c r="BV920" s="44" t="e">
        <f t="shared" si="129"/>
        <v>#VALUE!</v>
      </c>
      <c r="BW920" s="61" t="e">
        <f t="shared" si="130"/>
        <v>#NUM!</v>
      </c>
    </row>
    <row r="921" spans="64:75" ht="20.100000000000001" customHeight="1" x14ac:dyDescent="0.25">
      <c r="BL921" s="62" t="str">
        <f t="shared" si="125"/>
        <v/>
      </c>
      <c r="BM921" s="63" t="str">
        <f t="shared" si="126"/>
        <v/>
      </c>
      <c r="BN921" s="68" t="str">
        <f t="shared" si="127"/>
        <v/>
      </c>
      <c r="BU921" s="51" t="e">
        <f t="shared" si="128"/>
        <v>#VALUE!</v>
      </c>
      <c r="BV921" s="44" t="e">
        <f t="shared" si="129"/>
        <v>#VALUE!</v>
      </c>
      <c r="BW921" s="61" t="e">
        <f t="shared" si="130"/>
        <v>#NUM!</v>
      </c>
    </row>
    <row r="922" spans="64:75" ht="20.100000000000001" customHeight="1" x14ac:dyDescent="0.25">
      <c r="BL922" s="62" t="str">
        <f t="shared" si="125"/>
        <v/>
      </c>
      <c r="BM922" s="63" t="str">
        <f t="shared" si="126"/>
        <v/>
      </c>
      <c r="BN922" s="68" t="str">
        <f t="shared" si="127"/>
        <v/>
      </c>
      <c r="BU922" s="51" t="e">
        <f t="shared" si="128"/>
        <v>#VALUE!</v>
      </c>
      <c r="BV922" s="44" t="e">
        <f t="shared" si="129"/>
        <v>#VALUE!</v>
      </c>
      <c r="BW922" s="61" t="e">
        <f t="shared" si="130"/>
        <v>#NUM!</v>
      </c>
    </row>
    <row r="923" spans="64:75" ht="20.100000000000001" customHeight="1" x14ac:dyDescent="0.25">
      <c r="BL923" s="62" t="str">
        <f t="shared" si="125"/>
        <v/>
      </c>
      <c r="BM923" s="63" t="str">
        <f t="shared" si="126"/>
        <v/>
      </c>
      <c r="BN923" s="68" t="str">
        <f t="shared" si="127"/>
        <v/>
      </c>
      <c r="BU923" s="51" t="e">
        <f t="shared" si="128"/>
        <v>#VALUE!</v>
      </c>
      <c r="BV923" s="44" t="e">
        <f t="shared" si="129"/>
        <v>#VALUE!</v>
      </c>
      <c r="BW923" s="61" t="e">
        <f t="shared" si="130"/>
        <v>#NUM!</v>
      </c>
    </row>
    <row r="924" spans="64:75" ht="20.100000000000001" customHeight="1" x14ac:dyDescent="0.25">
      <c r="BL924" s="62" t="str">
        <f t="shared" si="125"/>
        <v/>
      </c>
      <c r="BM924" s="63" t="str">
        <f t="shared" si="126"/>
        <v/>
      </c>
      <c r="BN924" s="68" t="str">
        <f t="shared" si="127"/>
        <v/>
      </c>
      <c r="BU924" s="51" t="e">
        <f t="shared" si="128"/>
        <v>#VALUE!</v>
      </c>
      <c r="BV924" s="44" t="e">
        <f t="shared" si="129"/>
        <v>#VALUE!</v>
      </c>
      <c r="BW924" s="61" t="e">
        <f t="shared" si="130"/>
        <v>#NUM!</v>
      </c>
    </row>
    <row r="925" spans="64:75" ht="20.100000000000001" customHeight="1" x14ac:dyDescent="0.25">
      <c r="BL925" s="62" t="str">
        <f t="shared" si="125"/>
        <v/>
      </c>
      <c r="BM925" s="63" t="str">
        <f t="shared" si="126"/>
        <v/>
      </c>
      <c r="BN925" s="68" t="str">
        <f t="shared" si="127"/>
        <v/>
      </c>
      <c r="BU925" s="51" t="e">
        <f t="shared" si="128"/>
        <v>#VALUE!</v>
      </c>
      <c r="BV925" s="44" t="e">
        <f t="shared" si="129"/>
        <v>#VALUE!</v>
      </c>
      <c r="BW925" s="61" t="e">
        <f t="shared" si="130"/>
        <v>#NUM!</v>
      </c>
    </row>
    <row r="926" spans="64:75" ht="20.100000000000001" customHeight="1" x14ac:dyDescent="0.25">
      <c r="BL926" s="62" t="str">
        <f t="shared" si="125"/>
        <v/>
      </c>
      <c r="BM926" s="63" t="str">
        <f t="shared" si="126"/>
        <v/>
      </c>
      <c r="BN926" s="68" t="str">
        <f t="shared" si="127"/>
        <v/>
      </c>
      <c r="BU926" s="51" t="e">
        <f t="shared" si="128"/>
        <v>#VALUE!</v>
      </c>
      <c r="BV926" s="44" t="e">
        <f t="shared" si="129"/>
        <v>#VALUE!</v>
      </c>
      <c r="BW926" s="61" t="e">
        <f t="shared" si="130"/>
        <v>#NUM!</v>
      </c>
    </row>
    <row r="927" spans="64:75" ht="20.100000000000001" customHeight="1" x14ac:dyDescent="0.25">
      <c r="BL927" s="62" t="str">
        <f t="shared" si="125"/>
        <v/>
      </c>
      <c r="BM927" s="63" t="str">
        <f t="shared" si="126"/>
        <v/>
      </c>
      <c r="BN927" s="68" t="str">
        <f t="shared" si="127"/>
        <v/>
      </c>
      <c r="BU927" s="51" t="e">
        <f t="shared" si="128"/>
        <v>#VALUE!</v>
      </c>
      <c r="BV927" s="44" t="e">
        <f t="shared" si="129"/>
        <v>#VALUE!</v>
      </c>
      <c r="BW927" s="61" t="e">
        <f t="shared" si="130"/>
        <v>#NUM!</v>
      </c>
    </row>
    <row r="928" spans="64:75" ht="20.100000000000001" customHeight="1" x14ac:dyDescent="0.25">
      <c r="BL928" s="62" t="str">
        <f t="shared" si="125"/>
        <v/>
      </c>
      <c r="BM928" s="63" t="str">
        <f t="shared" si="126"/>
        <v/>
      </c>
      <c r="BN928" s="68" t="str">
        <f t="shared" si="127"/>
        <v/>
      </c>
      <c r="BU928" s="51" t="e">
        <f t="shared" si="128"/>
        <v>#VALUE!</v>
      </c>
      <c r="BV928" s="44" t="e">
        <f t="shared" si="129"/>
        <v>#VALUE!</v>
      </c>
      <c r="BW928" s="61" t="e">
        <f t="shared" si="130"/>
        <v>#NUM!</v>
      </c>
    </row>
    <row r="929" spans="64:75" ht="20.100000000000001" customHeight="1" x14ac:dyDescent="0.25">
      <c r="BL929" s="62" t="str">
        <f t="shared" si="125"/>
        <v/>
      </c>
      <c r="BM929" s="63" t="str">
        <f t="shared" si="126"/>
        <v/>
      </c>
      <c r="BN929" s="68" t="str">
        <f t="shared" si="127"/>
        <v/>
      </c>
      <c r="BU929" s="51" t="e">
        <f t="shared" si="128"/>
        <v>#VALUE!</v>
      </c>
      <c r="BV929" s="44" t="e">
        <f t="shared" si="129"/>
        <v>#VALUE!</v>
      </c>
      <c r="BW929" s="61" t="e">
        <f t="shared" si="130"/>
        <v>#NUM!</v>
      </c>
    </row>
    <row r="930" spans="64:75" ht="20.100000000000001" customHeight="1" x14ac:dyDescent="0.25">
      <c r="BL930" s="62" t="str">
        <f t="shared" si="125"/>
        <v/>
      </c>
      <c r="BM930" s="63" t="str">
        <f t="shared" si="126"/>
        <v/>
      </c>
      <c r="BN930" s="68" t="str">
        <f t="shared" si="127"/>
        <v/>
      </c>
      <c r="BU930" s="51" t="e">
        <f t="shared" si="128"/>
        <v>#VALUE!</v>
      </c>
      <c r="BV930" s="44" t="e">
        <f t="shared" si="129"/>
        <v>#VALUE!</v>
      </c>
      <c r="BW930" s="61" t="e">
        <f t="shared" si="130"/>
        <v>#NUM!</v>
      </c>
    </row>
    <row r="931" spans="64:75" ht="20.100000000000001" customHeight="1" x14ac:dyDescent="0.25">
      <c r="BL931" s="62" t="str">
        <f t="shared" si="125"/>
        <v/>
      </c>
      <c r="BM931" s="63" t="str">
        <f t="shared" si="126"/>
        <v/>
      </c>
      <c r="BN931" s="68" t="str">
        <f t="shared" si="127"/>
        <v/>
      </c>
      <c r="BU931" s="51" t="e">
        <f t="shared" si="128"/>
        <v>#VALUE!</v>
      </c>
      <c r="BV931" s="44" t="e">
        <f t="shared" si="129"/>
        <v>#VALUE!</v>
      </c>
      <c r="BW931" s="61" t="e">
        <f t="shared" si="130"/>
        <v>#NUM!</v>
      </c>
    </row>
    <row r="932" spans="64:75" ht="20.100000000000001" customHeight="1" x14ac:dyDescent="0.25">
      <c r="BL932" s="62" t="str">
        <f t="shared" si="125"/>
        <v/>
      </c>
      <c r="BM932" s="63" t="str">
        <f t="shared" si="126"/>
        <v/>
      </c>
      <c r="BN932" s="68" t="str">
        <f t="shared" si="127"/>
        <v/>
      </c>
      <c r="BU932" s="51" t="e">
        <f t="shared" si="128"/>
        <v>#VALUE!</v>
      </c>
      <c r="BV932" s="44" t="e">
        <f t="shared" si="129"/>
        <v>#VALUE!</v>
      </c>
      <c r="BW932" s="61" t="e">
        <f t="shared" si="130"/>
        <v>#NUM!</v>
      </c>
    </row>
    <row r="933" spans="64:75" ht="20.100000000000001" customHeight="1" x14ac:dyDescent="0.25">
      <c r="BL933" s="62" t="str">
        <f t="shared" si="125"/>
        <v/>
      </c>
      <c r="BM933" s="63" t="str">
        <f t="shared" si="126"/>
        <v/>
      </c>
      <c r="BN933" s="68" t="str">
        <f t="shared" si="127"/>
        <v/>
      </c>
      <c r="BU933" s="51" t="e">
        <f t="shared" si="128"/>
        <v>#VALUE!</v>
      </c>
      <c r="BV933" s="44" t="e">
        <f t="shared" si="129"/>
        <v>#VALUE!</v>
      </c>
      <c r="BW933" s="61" t="e">
        <f t="shared" si="130"/>
        <v>#NUM!</v>
      </c>
    </row>
    <row r="934" spans="64:75" ht="20.100000000000001" customHeight="1" x14ac:dyDescent="0.25">
      <c r="BL934" s="62" t="str">
        <f t="shared" si="125"/>
        <v/>
      </c>
      <c r="BM934" s="63" t="str">
        <f t="shared" si="126"/>
        <v/>
      </c>
      <c r="BN934" s="68" t="str">
        <f t="shared" si="127"/>
        <v/>
      </c>
      <c r="BU934" s="51" t="e">
        <f t="shared" si="128"/>
        <v>#VALUE!</v>
      </c>
      <c r="BV934" s="44" t="e">
        <f t="shared" si="129"/>
        <v>#VALUE!</v>
      </c>
      <c r="BW934" s="61" t="e">
        <f t="shared" si="130"/>
        <v>#NUM!</v>
      </c>
    </row>
    <row r="935" spans="64:75" ht="20.100000000000001" customHeight="1" x14ac:dyDescent="0.25">
      <c r="BL935" s="62" t="str">
        <f t="shared" si="125"/>
        <v/>
      </c>
      <c r="BM935" s="63" t="str">
        <f t="shared" si="126"/>
        <v/>
      </c>
      <c r="BN935" s="68" t="str">
        <f t="shared" si="127"/>
        <v/>
      </c>
      <c r="BU935" s="51" t="e">
        <f t="shared" si="128"/>
        <v>#VALUE!</v>
      </c>
      <c r="BV935" s="44" t="e">
        <f t="shared" si="129"/>
        <v>#VALUE!</v>
      </c>
      <c r="BW935" s="61" t="e">
        <f t="shared" si="130"/>
        <v>#NUM!</v>
      </c>
    </row>
    <row r="936" spans="64:75" ht="20.100000000000001" customHeight="1" x14ac:dyDescent="0.25">
      <c r="BL936" s="62" t="str">
        <f t="shared" si="125"/>
        <v/>
      </c>
      <c r="BM936" s="63" t="str">
        <f t="shared" si="126"/>
        <v/>
      </c>
      <c r="BN936" s="68" t="str">
        <f t="shared" si="127"/>
        <v/>
      </c>
      <c r="BU936" s="51" t="e">
        <f t="shared" si="128"/>
        <v>#VALUE!</v>
      </c>
      <c r="BV936" s="44" t="e">
        <f t="shared" si="129"/>
        <v>#VALUE!</v>
      </c>
      <c r="BW936" s="61" t="e">
        <f t="shared" si="130"/>
        <v>#NUM!</v>
      </c>
    </row>
    <row r="937" spans="64:75" ht="20.100000000000001" customHeight="1" x14ac:dyDescent="0.25">
      <c r="BL937" s="62" t="str">
        <f t="shared" si="125"/>
        <v/>
      </c>
      <c r="BM937" s="63" t="str">
        <f t="shared" si="126"/>
        <v/>
      </c>
      <c r="BN937" s="68" t="str">
        <f t="shared" si="127"/>
        <v/>
      </c>
      <c r="BU937" s="51" t="e">
        <f t="shared" si="128"/>
        <v>#VALUE!</v>
      </c>
      <c r="BV937" s="44" t="e">
        <f t="shared" si="129"/>
        <v>#VALUE!</v>
      </c>
      <c r="BW937" s="61" t="e">
        <f t="shared" si="130"/>
        <v>#NUM!</v>
      </c>
    </row>
    <row r="938" spans="64:75" ht="20.100000000000001" customHeight="1" x14ac:dyDescent="0.25">
      <c r="BL938" s="62" t="str">
        <f t="shared" si="125"/>
        <v/>
      </c>
      <c r="BM938" s="63" t="str">
        <f t="shared" si="126"/>
        <v/>
      </c>
      <c r="BN938" s="68" t="str">
        <f t="shared" si="127"/>
        <v/>
      </c>
      <c r="BU938" s="51" t="e">
        <f t="shared" si="128"/>
        <v>#VALUE!</v>
      </c>
      <c r="BV938" s="44" t="e">
        <f t="shared" si="129"/>
        <v>#VALUE!</v>
      </c>
      <c r="BW938" s="61" t="e">
        <f t="shared" si="130"/>
        <v>#NUM!</v>
      </c>
    </row>
    <row r="939" spans="64:75" ht="20.100000000000001" customHeight="1" x14ac:dyDescent="0.25">
      <c r="BL939" s="62" t="str">
        <f t="shared" si="125"/>
        <v/>
      </c>
      <c r="BM939" s="63" t="str">
        <f t="shared" si="126"/>
        <v/>
      </c>
      <c r="BN939" s="68" t="str">
        <f t="shared" si="127"/>
        <v/>
      </c>
      <c r="BU939" s="51" t="e">
        <f t="shared" si="128"/>
        <v>#VALUE!</v>
      </c>
      <c r="BV939" s="44" t="e">
        <f t="shared" si="129"/>
        <v>#VALUE!</v>
      </c>
      <c r="BW939" s="61" t="e">
        <f t="shared" si="130"/>
        <v>#NUM!</v>
      </c>
    </row>
    <row r="940" spans="64:75" ht="20.100000000000001" customHeight="1" x14ac:dyDescent="0.25">
      <c r="BL940" s="62" t="str">
        <f t="shared" si="125"/>
        <v/>
      </c>
      <c r="BM940" s="63" t="str">
        <f t="shared" si="126"/>
        <v/>
      </c>
      <c r="BN940" s="68" t="str">
        <f t="shared" si="127"/>
        <v/>
      </c>
      <c r="BU940" s="51" t="e">
        <f t="shared" si="128"/>
        <v>#VALUE!</v>
      </c>
      <c r="BV940" s="44" t="e">
        <f t="shared" si="129"/>
        <v>#VALUE!</v>
      </c>
      <c r="BW940" s="61" t="e">
        <f t="shared" si="130"/>
        <v>#NUM!</v>
      </c>
    </row>
    <row r="941" spans="64:75" ht="20.100000000000001" customHeight="1" x14ac:dyDescent="0.25">
      <c r="BL941" s="62" t="str">
        <f t="shared" si="125"/>
        <v/>
      </c>
      <c r="BM941" s="63" t="str">
        <f t="shared" si="126"/>
        <v/>
      </c>
      <c r="BN941" s="68" t="str">
        <f t="shared" si="127"/>
        <v/>
      </c>
      <c r="BU941" s="51" t="e">
        <f t="shared" si="128"/>
        <v>#VALUE!</v>
      </c>
      <c r="BV941" s="44" t="e">
        <f t="shared" si="129"/>
        <v>#VALUE!</v>
      </c>
      <c r="BW941" s="61" t="e">
        <f t="shared" si="130"/>
        <v>#NUM!</v>
      </c>
    </row>
    <row r="942" spans="64:75" ht="20.100000000000001" customHeight="1" x14ac:dyDescent="0.25">
      <c r="BL942" s="62" t="str">
        <f t="shared" si="125"/>
        <v/>
      </c>
      <c r="BM942" s="63" t="str">
        <f t="shared" si="126"/>
        <v/>
      </c>
      <c r="BN942" s="68" t="str">
        <f t="shared" si="127"/>
        <v/>
      </c>
      <c r="BU942" s="51" t="e">
        <f t="shared" si="128"/>
        <v>#VALUE!</v>
      </c>
      <c r="BV942" s="44" t="e">
        <f t="shared" si="129"/>
        <v>#VALUE!</v>
      </c>
      <c r="BW942" s="61" t="e">
        <f t="shared" si="130"/>
        <v>#NUM!</v>
      </c>
    </row>
    <row r="943" spans="64:75" ht="20.100000000000001" customHeight="1" x14ac:dyDescent="0.25">
      <c r="BL943" s="62" t="str">
        <f t="shared" si="125"/>
        <v/>
      </c>
      <c r="BM943" s="63" t="str">
        <f t="shared" si="126"/>
        <v/>
      </c>
      <c r="BN943" s="68" t="str">
        <f t="shared" si="127"/>
        <v/>
      </c>
      <c r="BU943" s="51" t="e">
        <f t="shared" si="128"/>
        <v>#VALUE!</v>
      </c>
      <c r="BV943" s="44" t="e">
        <f t="shared" si="129"/>
        <v>#VALUE!</v>
      </c>
      <c r="BW943" s="61" t="e">
        <f t="shared" si="130"/>
        <v>#NUM!</v>
      </c>
    </row>
    <row r="944" spans="64:75" ht="20.100000000000001" customHeight="1" x14ac:dyDescent="0.25">
      <c r="BL944" s="62" t="str">
        <f t="shared" si="125"/>
        <v/>
      </c>
      <c r="BM944" s="63" t="str">
        <f t="shared" si="126"/>
        <v/>
      </c>
      <c r="BN944" s="68" t="str">
        <f t="shared" si="127"/>
        <v/>
      </c>
      <c r="BU944" s="51" t="e">
        <f t="shared" si="128"/>
        <v>#VALUE!</v>
      </c>
      <c r="BV944" s="44" t="e">
        <f t="shared" si="129"/>
        <v>#VALUE!</v>
      </c>
      <c r="BW944" s="61" t="e">
        <f t="shared" si="130"/>
        <v>#NUM!</v>
      </c>
    </row>
    <row r="945" spans="64:75" ht="20.100000000000001" customHeight="1" x14ac:dyDescent="0.25">
      <c r="BL945" s="62" t="str">
        <f t="shared" si="125"/>
        <v/>
      </c>
      <c r="BM945" s="63" t="str">
        <f t="shared" si="126"/>
        <v/>
      </c>
      <c r="BN945" s="68" t="str">
        <f t="shared" si="127"/>
        <v/>
      </c>
      <c r="BU945" s="51" t="e">
        <f t="shared" si="128"/>
        <v>#VALUE!</v>
      </c>
      <c r="BV945" s="44" t="e">
        <f t="shared" si="129"/>
        <v>#VALUE!</v>
      </c>
      <c r="BW945" s="61" t="e">
        <f t="shared" si="130"/>
        <v>#NUM!</v>
      </c>
    </row>
    <row r="946" spans="64:75" ht="20.100000000000001" customHeight="1" x14ac:dyDescent="0.25">
      <c r="BL946" s="62" t="str">
        <f t="shared" si="125"/>
        <v/>
      </c>
      <c r="BM946" s="63" t="str">
        <f t="shared" si="126"/>
        <v/>
      </c>
      <c r="BN946" s="68" t="str">
        <f t="shared" si="127"/>
        <v/>
      </c>
      <c r="BU946" s="51" t="e">
        <f t="shared" si="128"/>
        <v>#VALUE!</v>
      </c>
      <c r="BV946" s="44" t="e">
        <f t="shared" si="129"/>
        <v>#VALUE!</v>
      </c>
      <c r="BW946" s="61" t="e">
        <f t="shared" si="130"/>
        <v>#NUM!</v>
      </c>
    </row>
    <row r="947" spans="64:75" ht="20.100000000000001" customHeight="1" x14ac:dyDescent="0.25">
      <c r="BL947" s="62" t="str">
        <f t="shared" si="125"/>
        <v/>
      </c>
      <c r="BM947" s="63" t="str">
        <f t="shared" si="126"/>
        <v/>
      </c>
      <c r="BN947" s="68" t="str">
        <f t="shared" si="127"/>
        <v/>
      </c>
      <c r="BU947" s="51" t="e">
        <f t="shared" si="128"/>
        <v>#VALUE!</v>
      </c>
      <c r="BV947" s="44" t="e">
        <f t="shared" si="129"/>
        <v>#VALUE!</v>
      </c>
      <c r="BW947" s="61" t="e">
        <f t="shared" si="130"/>
        <v>#NUM!</v>
      </c>
    </row>
    <row r="948" spans="64:75" ht="20.100000000000001" customHeight="1" x14ac:dyDescent="0.25">
      <c r="BL948" s="62" t="str">
        <f t="shared" si="125"/>
        <v/>
      </c>
      <c r="BM948" s="63" t="str">
        <f t="shared" si="126"/>
        <v/>
      </c>
      <c r="BN948" s="68" t="str">
        <f t="shared" si="127"/>
        <v/>
      </c>
      <c r="BU948" s="51" t="e">
        <f t="shared" si="128"/>
        <v>#VALUE!</v>
      </c>
      <c r="BV948" s="44" t="e">
        <f t="shared" si="129"/>
        <v>#VALUE!</v>
      </c>
      <c r="BW948" s="61" t="e">
        <f t="shared" si="130"/>
        <v>#NUM!</v>
      </c>
    </row>
    <row r="949" spans="64:75" ht="20.100000000000001" customHeight="1" x14ac:dyDescent="0.25">
      <c r="BL949" s="62" t="str">
        <f t="shared" si="125"/>
        <v/>
      </c>
      <c r="BM949" s="63" t="str">
        <f t="shared" si="126"/>
        <v/>
      </c>
      <c r="BN949" s="68" t="str">
        <f t="shared" si="127"/>
        <v/>
      </c>
      <c r="BU949" s="51" t="e">
        <f t="shared" si="128"/>
        <v>#VALUE!</v>
      </c>
      <c r="BV949" s="44" t="e">
        <f t="shared" si="129"/>
        <v>#VALUE!</v>
      </c>
      <c r="BW949" s="61" t="e">
        <f t="shared" si="130"/>
        <v>#NUM!</v>
      </c>
    </row>
    <row r="950" spans="64:75" ht="20.100000000000001" customHeight="1" x14ac:dyDescent="0.25">
      <c r="BL950" s="62" t="str">
        <f t="shared" si="125"/>
        <v/>
      </c>
      <c r="BM950" s="63" t="str">
        <f t="shared" si="126"/>
        <v/>
      </c>
      <c r="BN950" s="68" t="str">
        <f t="shared" si="127"/>
        <v/>
      </c>
      <c r="BU950" s="51" t="e">
        <f t="shared" si="128"/>
        <v>#VALUE!</v>
      </c>
      <c r="BV950" s="44" t="e">
        <f t="shared" si="129"/>
        <v>#VALUE!</v>
      </c>
      <c r="BW950" s="61" t="e">
        <f t="shared" si="130"/>
        <v>#NUM!</v>
      </c>
    </row>
    <row r="951" spans="64:75" ht="20.100000000000001" customHeight="1" x14ac:dyDescent="0.25">
      <c r="BL951" s="62" t="str">
        <f t="shared" si="125"/>
        <v/>
      </c>
      <c r="BM951" s="63" t="str">
        <f t="shared" si="126"/>
        <v/>
      </c>
      <c r="BN951" s="68" t="str">
        <f t="shared" si="127"/>
        <v/>
      </c>
      <c r="BU951" s="51" t="e">
        <f t="shared" si="128"/>
        <v>#VALUE!</v>
      </c>
      <c r="BV951" s="44" t="e">
        <f t="shared" si="129"/>
        <v>#VALUE!</v>
      </c>
      <c r="BW951" s="61" t="e">
        <f t="shared" si="130"/>
        <v>#NUM!</v>
      </c>
    </row>
    <row r="952" spans="64:75" ht="20.100000000000001" customHeight="1" x14ac:dyDescent="0.25">
      <c r="BL952" s="62" t="str">
        <f t="shared" si="125"/>
        <v/>
      </c>
      <c r="BM952" s="63" t="str">
        <f t="shared" si="126"/>
        <v/>
      </c>
      <c r="BN952" s="68" t="str">
        <f t="shared" si="127"/>
        <v/>
      </c>
      <c r="BU952" s="51" t="e">
        <f t="shared" si="128"/>
        <v>#VALUE!</v>
      </c>
      <c r="BV952" s="44" t="e">
        <f t="shared" si="129"/>
        <v>#VALUE!</v>
      </c>
      <c r="BW952" s="61" t="e">
        <f t="shared" si="130"/>
        <v>#NUM!</v>
      </c>
    </row>
    <row r="953" spans="64:75" ht="20.100000000000001" customHeight="1" x14ac:dyDescent="0.25">
      <c r="BL953" s="62" t="str">
        <f t="shared" si="125"/>
        <v/>
      </c>
      <c r="BM953" s="63" t="str">
        <f t="shared" si="126"/>
        <v/>
      </c>
      <c r="BN953" s="68" t="str">
        <f t="shared" si="127"/>
        <v/>
      </c>
      <c r="BU953" s="51" t="e">
        <f t="shared" si="128"/>
        <v>#VALUE!</v>
      </c>
      <c r="BV953" s="44" t="e">
        <f t="shared" si="129"/>
        <v>#VALUE!</v>
      </c>
      <c r="BW953" s="61" t="e">
        <f t="shared" si="130"/>
        <v>#NUM!</v>
      </c>
    </row>
    <row r="954" spans="64:75" ht="20.100000000000001" customHeight="1" x14ac:dyDescent="0.25">
      <c r="BL954" s="62" t="str">
        <f t="shared" si="125"/>
        <v/>
      </c>
      <c r="BM954" s="63" t="str">
        <f t="shared" si="126"/>
        <v/>
      </c>
      <c r="BN954" s="68" t="str">
        <f t="shared" si="127"/>
        <v/>
      </c>
      <c r="BU954" s="51" t="e">
        <f t="shared" si="128"/>
        <v>#VALUE!</v>
      </c>
      <c r="BV954" s="44" t="e">
        <f t="shared" si="129"/>
        <v>#VALUE!</v>
      </c>
      <c r="BW954" s="61" t="e">
        <f t="shared" si="130"/>
        <v>#NUM!</v>
      </c>
    </row>
    <row r="955" spans="64:75" ht="20.100000000000001" customHeight="1" x14ac:dyDescent="0.25">
      <c r="BL955" s="62" t="str">
        <f t="shared" si="125"/>
        <v/>
      </c>
      <c r="BM955" s="63" t="str">
        <f t="shared" si="126"/>
        <v/>
      </c>
      <c r="BN955" s="68" t="str">
        <f t="shared" si="127"/>
        <v/>
      </c>
      <c r="BU955" s="51" t="e">
        <f t="shared" si="128"/>
        <v>#VALUE!</v>
      </c>
      <c r="BV955" s="44" t="e">
        <f t="shared" si="129"/>
        <v>#VALUE!</v>
      </c>
      <c r="BW955" s="61" t="e">
        <f t="shared" si="130"/>
        <v>#NUM!</v>
      </c>
    </row>
    <row r="956" spans="64:75" ht="20.100000000000001" customHeight="1" x14ac:dyDescent="0.25">
      <c r="BL956" s="62" t="str">
        <f t="shared" si="125"/>
        <v/>
      </c>
      <c r="BM956" s="63" t="str">
        <f t="shared" si="126"/>
        <v/>
      </c>
      <c r="BN956" s="68" t="str">
        <f t="shared" si="127"/>
        <v/>
      </c>
      <c r="BU956" s="51" t="e">
        <f t="shared" si="128"/>
        <v>#VALUE!</v>
      </c>
      <c r="BV956" s="44" t="e">
        <f t="shared" si="129"/>
        <v>#VALUE!</v>
      </c>
      <c r="BW956" s="61" t="e">
        <f t="shared" si="130"/>
        <v>#NUM!</v>
      </c>
    </row>
    <row r="957" spans="64:75" ht="20.100000000000001" customHeight="1" x14ac:dyDescent="0.25">
      <c r="BL957" s="62" t="str">
        <f t="shared" si="125"/>
        <v/>
      </c>
      <c r="BM957" s="63" t="str">
        <f t="shared" si="126"/>
        <v/>
      </c>
      <c r="BN957" s="68" t="str">
        <f t="shared" si="127"/>
        <v/>
      </c>
      <c r="BU957" s="51" t="e">
        <f t="shared" si="128"/>
        <v>#VALUE!</v>
      </c>
      <c r="BV957" s="44" t="e">
        <f t="shared" si="129"/>
        <v>#VALUE!</v>
      </c>
      <c r="BW957" s="61" t="e">
        <f t="shared" si="130"/>
        <v>#NUM!</v>
      </c>
    </row>
    <row r="958" spans="64:75" ht="20.100000000000001" customHeight="1" x14ac:dyDescent="0.25">
      <c r="BL958" s="62" t="str">
        <f t="shared" si="125"/>
        <v/>
      </c>
      <c r="BM958" s="63" t="str">
        <f t="shared" si="126"/>
        <v/>
      </c>
      <c r="BN958" s="68" t="str">
        <f t="shared" si="127"/>
        <v/>
      </c>
      <c r="BU958" s="51" t="e">
        <f t="shared" si="128"/>
        <v>#VALUE!</v>
      </c>
      <c r="BV958" s="44" t="e">
        <f t="shared" si="129"/>
        <v>#VALUE!</v>
      </c>
      <c r="BW958" s="61" t="e">
        <f t="shared" si="130"/>
        <v>#NUM!</v>
      </c>
    </row>
    <row r="959" spans="64:75" ht="20.100000000000001" customHeight="1" x14ac:dyDescent="0.25">
      <c r="BL959" s="62" t="str">
        <f t="shared" si="125"/>
        <v/>
      </c>
      <c r="BM959" s="63" t="str">
        <f t="shared" si="126"/>
        <v/>
      </c>
      <c r="BN959" s="68" t="str">
        <f t="shared" si="127"/>
        <v/>
      </c>
      <c r="BU959" s="51" t="e">
        <f t="shared" si="128"/>
        <v>#VALUE!</v>
      </c>
      <c r="BV959" s="44" t="e">
        <f t="shared" si="129"/>
        <v>#VALUE!</v>
      </c>
      <c r="BW959" s="61" t="e">
        <f t="shared" si="130"/>
        <v>#NUM!</v>
      </c>
    </row>
    <row r="960" spans="64:75" ht="20.100000000000001" customHeight="1" x14ac:dyDescent="0.25">
      <c r="BL960" s="62" t="str">
        <f t="shared" si="125"/>
        <v/>
      </c>
      <c r="BM960" s="63" t="str">
        <f t="shared" si="126"/>
        <v/>
      </c>
      <c r="BN960" s="68" t="str">
        <f t="shared" si="127"/>
        <v/>
      </c>
      <c r="BU960" s="51" t="e">
        <f t="shared" si="128"/>
        <v>#VALUE!</v>
      </c>
      <c r="BV960" s="44" t="e">
        <f t="shared" si="129"/>
        <v>#VALUE!</v>
      </c>
      <c r="BW960" s="61" t="e">
        <f t="shared" si="130"/>
        <v>#NUM!</v>
      </c>
    </row>
    <row r="961" spans="64:75" ht="20.100000000000001" customHeight="1" x14ac:dyDescent="0.25">
      <c r="BL961" s="62" t="str">
        <f t="shared" si="125"/>
        <v/>
      </c>
      <c r="BM961" s="63" t="str">
        <f t="shared" si="126"/>
        <v/>
      </c>
      <c r="BN961" s="68" t="str">
        <f t="shared" si="127"/>
        <v/>
      </c>
      <c r="BU961" s="51" t="e">
        <f t="shared" si="128"/>
        <v>#VALUE!</v>
      </c>
      <c r="BV961" s="44" t="e">
        <f t="shared" si="129"/>
        <v>#VALUE!</v>
      </c>
      <c r="BW961" s="61" t="e">
        <f t="shared" si="130"/>
        <v>#NUM!</v>
      </c>
    </row>
    <row r="962" spans="64:75" ht="20.100000000000001" customHeight="1" x14ac:dyDescent="0.25">
      <c r="BL962" s="62" t="str">
        <f t="shared" si="125"/>
        <v/>
      </c>
      <c r="BM962" s="63" t="str">
        <f t="shared" si="126"/>
        <v/>
      </c>
      <c r="BN962" s="68" t="str">
        <f t="shared" si="127"/>
        <v/>
      </c>
      <c r="BU962" s="51" t="e">
        <f t="shared" si="128"/>
        <v>#VALUE!</v>
      </c>
      <c r="BV962" s="44" t="e">
        <f t="shared" si="129"/>
        <v>#VALUE!</v>
      </c>
      <c r="BW962" s="61" t="e">
        <f t="shared" si="130"/>
        <v>#NUM!</v>
      </c>
    </row>
    <row r="963" spans="64:75" ht="20.100000000000001" customHeight="1" x14ac:dyDescent="0.25">
      <c r="BL963" s="62" t="str">
        <f t="shared" si="125"/>
        <v/>
      </c>
      <c r="BM963" s="63" t="str">
        <f t="shared" si="126"/>
        <v/>
      </c>
      <c r="BN963" s="68" t="str">
        <f t="shared" si="127"/>
        <v/>
      </c>
      <c r="BU963" s="51" t="e">
        <f t="shared" si="128"/>
        <v>#VALUE!</v>
      </c>
      <c r="BV963" s="44" t="e">
        <f t="shared" si="129"/>
        <v>#VALUE!</v>
      </c>
      <c r="BW963" s="61" t="e">
        <f t="shared" si="130"/>
        <v>#NUM!</v>
      </c>
    </row>
    <row r="964" spans="64:75" ht="20.100000000000001" customHeight="1" x14ac:dyDescent="0.25">
      <c r="BL964" s="62" t="str">
        <f t="shared" si="125"/>
        <v/>
      </c>
      <c r="BM964" s="63" t="str">
        <f t="shared" si="126"/>
        <v/>
      </c>
      <c r="BN964" s="68" t="str">
        <f t="shared" si="127"/>
        <v/>
      </c>
      <c r="BU964" s="51" t="e">
        <f t="shared" si="128"/>
        <v>#VALUE!</v>
      </c>
      <c r="BV964" s="44" t="e">
        <f t="shared" si="129"/>
        <v>#VALUE!</v>
      </c>
      <c r="BW964" s="61" t="e">
        <f t="shared" si="130"/>
        <v>#NUM!</v>
      </c>
    </row>
    <row r="965" spans="64:75" ht="20.100000000000001" customHeight="1" x14ac:dyDescent="0.25">
      <c r="BL965" s="62" t="str">
        <f t="shared" si="125"/>
        <v/>
      </c>
      <c r="BM965" s="63" t="str">
        <f t="shared" si="126"/>
        <v/>
      </c>
      <c r="BN965" s="68" t="str">
        <f t="shared" si="127"/>
        <v/>
      </c>
      <c r="BU965" s="51" t="e">
        <f t="shared" si="128"/>
        <v>#VALUE!</v>
      </c>
      <c r="BV965" s="44" t="e">
        <f t="shared" si="129"/>
        <v>#VALUE!</v>
      </c>
      <c r="BW965" s="61" t="e">
        <f t="shared" si="130"/>
        <v>#NUM!</v>
      </c>
    </row>
    <row r="966" spans="64:75" ht="20.100000000000001" customHeight="1" x14ac:dyDescent="0.25">
      <c r="BL966" s="62" t="str">
        <f t="shared" si="125"/>
        <v/>
      </c>
      <c r="BM966" s="63" t="str">
        <f t="shared" si="126"/>
        <v/>
      </c>
      <c r="BN966" s="68" t="str">
        <f t="shared" si="127"/>
        <v/>
      </c>
      <c r="BU966" s="51" t="e">
        <f t="shared" si="128"/>
        <v>#VALUE!</v>
      </c>
      <c r="BV966" s="44" t="e">
        <f t="shared" si="129"/>
        <v>#VALUE!</v>
      </c>
      <c r="BW966" s="61" t="e">
        <f t="shared" si="130"/>
        <v>#NUM!</v>
      </c>
    </row>
    <row r="967" spans="64:75" ht="20.100000000000001" customHeight="1" x14ac:dyDescent="0.25">
      <c r="BL967" s="62" t="str">
        <f t="shared" si="125"/>
        <v/>
      </c>
      <c r="BM967" s="63" t="str">
        <f t="shared" si="126"/>
        <v/>
      </c>
      <c r="BN967" s="68" t="str">
        <f t="shared" si="127"/>
        <v/>
      </c>
      <c r="BU967" s="51" t="e">
        <f t="shared" si="128"/>
        <v>#VALUE!</v>
      </c>
      <c r="BV967" s="44" t="e">
        <f t="shared" si="129"/>
        <v>#VALUE!</v>
      </c>
      <c r="BW967" s="61" t="e">
        <f t="shared" si="130"/>
        <v>#NUM!</v>
      </c>
    </row>
    <row r="968" spans="64:75" ht="20.100000000000001" customHeight="1" x14ac:dyDescent="0.25">
      <c r="BL968" s="62" t="str">
        <f t="shared" si="125"/>
        <v/>
      </c>
      <c r="BM968" s="63" t="str">
        <f t="shared" si="126"/>
        <v/>
      </c>
      <c r="BN968" s="68" t="str">
        <f t="shared" si="127"/>
        <v/>
      </c>
      <c r="BU968" s="51" t="e">
        <f t="shared" si="128"/>
        <v>#VALUE!</v>
      </c>
      <c r="BV968" s="44" t="e">
        <f t="shared" si="129"/>
        <v>#VALUE!</v>
      </c>
      <c r="BW968" s="61" t="e">
        <f t="shared" si="130"/>
        <v>#NUM!</v>
      </c>
    </row>
    <row r="969" spans="64:75" ht="20.100000000000001" customHeight="1" x14ac:dyDescent="0.25">
      <c r="BL969" s="62" t="str">
        <f t="shared" si="125"/>
        <v/>
      </c>
      <c r="BM969" s="63" t="str">
        <f t="shared" si="126"/>
        <v/>
      </c>
      <c r="BN969" s="68" t="str">
        <f t="shared" si="127"/>
        <v/>
      </c>
      <c r="BU969" s="51" t="e">
        <f t="shared" si="128"/>
        <v>#VALUE!</v>
      </c>
      <c r="BV969" s="44" t="e">
        <f t="shared" si="129"/>
        <v>#VALUE!</v>
      </c>
      <c r="BW969" s="61" t="e">
        <f t="shared" si="130"/>
        <v>#NUM!</v>
      </c>
    </row>
    <row r="970" spans="64:75" ht="20.100000000000001" customHeight="1" x14ac:dyDescent="0.25">
      <c r="BL970" s="62" t="str">
        <f t="shared" si="125"/>
        <v/>
      </c>
      <c r="BM970" s="63" t="str">
        <f t="shared" si="126"/>
        <v/>
      </c>
      <c r="BN970" s="68" t="str">
        <f t="shared" si="127"/>
        <v/>
      </c>
      <c r="BU970" s="51" t="e">
        <f t="shared" si="128"/>
        <v>#VALUE!</v>
      </c>
      <c r="BV970" s="44" t="e">
        <f t="shared" si="129"/>
        <v>#VALUE!</v>
      </c>
      <c r="BW970" s="61" t="e">
        <f t="shared" si="130"/>
        <v>#NUM!</v>
      </c>
    </row>
    <row r="971" spans="64:75" ht="20.100000000000001" customHeight="1" x14ac:dyDescent="0.25">
      <c r="BL971" s="62" t="str">
        <f t="shared" si="125"/>
        <v/>
      </c>
      <c r="BM971" s="63" t="str">
        <f t="shared" si="126"/>
        <v/>
      </c>
      <c r="BN971" s="68" t="str">
        <f t="shared" si="127"/>
        <v/>
      </c>
      <c r="BU971" s="51" t="e">
        <f t="shared" si="128"/>
        <v>#VALUE!</v>
      </c>
      <c r="BV971" s="44" t="e">
        <f t="shared" si="129"/>
        <v>#VALUE!</v>
      </c>
      <c r="BW971" s="61" t="e">
        <f t="shared" si="130"/>
        <v>#NUM!</v>
      </c>
    </row>
    <row r="972" spans="64:75" ht="20.100000000000001" customHeight="1" x14ac:dyDescent="0.25">
      <c r="BL972" s="62" t="str">
        <f t="shared" ref="BL972:BL1010" si="131">IF(AND(BL971&gt;BM$6,BL971&lt;&gt;""),BL971-1,"")</f>
        <v/>
      </c>
      <c r="BM972" s="63" t="str">
        <f t="shared" ref="BM972:BM1010" si="132">IF(BL972&lt;&gt;"",MAX(BL972,ROUND(BM$6*BM$9^BL972,0)),"")</f>
        <v/>
      </c>
      <c r="BN972" s="68" t="str">
        <f t="shared" ref="BN972:BN1010" si="133">IF(BM972&lt;&gt;"",O$12/M$12*BM972,"")</f>
        <v/>
      </c>
      <c r="BU972" s="51" t="e">
        <f t="shared" si="128"/>
        <v>#VALUE!</v>
      </c>
      <c r="BV972" s="44" t="e">
        <f t="shared" si="129"/>
        <v>#VALUE!</v>
      </c>
      <c r="BW972" s="61" t="e">
        <f t="shared" si="130"/>
        <v>#NUM!</v>
      </c>
    </row>
    <row r="973" spans="64:75" ht="20.100000000000001" customHeight="1" x14ac:dyDescent="0.25">
      <c r="BL973" s="62" t="str">
        <f t="shared" si="131"/>
        <v/>
      </c>
      <c r="BM973" s="63" t="str">
        <f t="shared" si="132"/>
        <v/>
      </c>
      <c r="BN973" s="68" t="str">
        <f t="shared" si="133"/>
        <v/>
      </c>
      <c r="BU973" s="51" t="e">
        <f t="shared" si="128"/>
        <v>#VALUE!</v>
      </c>
      <c r="BV973" s="44" t="e">
        <f t="shared" si="129"/>
        <v>#VALUE!</v>
      </c>
      <c r="BW973" s="61" t="e">
        <f t="shared" si="130"/>
        <v>#NUM!</v>
      </c>
    </row>
    <row r="974" spans="64:75" ht="20.100000000000001" customHeight="1" x14ac:dyDescent="0.25">
      <c r="BL974" s="62" t="str">
        <f t="shared" si="131"/>
        <v/>
      </c>
      <c r="BM974" s="63" t="str">
        <f t="shared" si="132"/>
        <v/>
      </c>
      <c r="BN974" s="68" t="str">
        <f t="shared" si="133"/>
        <v/>
      </c>
      <c r="BU974" s="51" t="e">
        <f t="shared" si="128"/>
        <v>#VALUE!</v>
      </c>
      <c r="BV974" s="44" t="e">
        <f t="shared" si="129"/>
        <v>#VALUE!</v>
      </c>
      <c r="BW974" s="61" t="e">
        <f t="shared" si="130"/>
        <v>#NUM!</v>
      </c>
    </row>
    <row r="975" spans="64:75" ht="20.100000000000001" customHeight="1" x14ac:dyDescent="0.25">
      <c r="BL975" s="62" t="str">
        <f t="shared" si="131"/>
        <v/>
      </c>
      <c r="BM975" s="63" t="str">
        <f t="shared" si="132"/>
        <v/>
      </c>
      <c r="BN975" s="68" t="str">
        <f t="shared" si="133"/>
        <v/>
      </c>
      <c r="BU975" s="51" t="e">
        <f t="shared" si="128"/>
        <v>#VALUE!</v>
      </c>
      <c r="BV975" s="44" t="e">
        <f t="shared" si="129"/>
        <v>#VALUE!</v>
      </c>
      <c r="BW975" s="61" t="e">
        <f t="shared" si="130"/>
        <v>#NUM!</v>
      </c>
    </row>
    <row r="976" spans="64:75" ht="20.100000000000001" customHeight="1" x14ac:dyDescent="0.25">
      <c r="BL976" s="62" t="str">
        <f t="shared" si="131"/>
        <v/>
      </c>
      <c r="BM976" s="63" t="str">
        <f t="shared" si="132"/>
        <v/>
      </c>
      <c r="BN976" s="68" t="str">
        <f t="shared" si="133"/>
        <v/>
      </c>
      <c r="BU976" s="51" t="e">
        <f t="shared" si="128"/>
        <v>#VALUE!</v>
      </c>
      <c r="BV976" s="44" t="e">
        <f t="shared" si="129"/>
        <v>#VALUE!</v>
      </c>
      <c r="BW976" s="61" t="e">
        <f t="shared" si="130"/>
        <v>#NUM!</v>
      </c>
    </row>
    <row r="977" spans="64:75" ht="20.100000000000001" customHeight="1" x14ac:dyDescent="0.25">
      <c r="BL977" s="62" t="str">
        <f t="shared" si="131"/>
        <v/>
      </c>
      <c r="BM977" s="63" t="str">
        <f t="shared" si="132"/>
        <v/>
      </c>
      <c r="BN977" s="68" t="str">
        <f t="shared" si="133"/>
        <v/>
      </c>
      <c r="BU977" s="51" t="e">
        <f t="shared" si="128"/>
        <v>#VALUE!</v>
      </c>
      <c r="BV977" s="44" t="e">
        <f t="shared" si="129"/>
        <v>#VALUE!</v>
      </c>
      <c r="BW977" s="61" t="e">
        <f t="shared" si="130"/>
        <v>#NUM!</v>
      </c>
    </row>
    <row r="978" spans="64:75" ht="20.100000000000001" customHeight="1" x14ac:dyDescent="0.25">
      <c r="BL978" s="62" t="str">
        <f t="shared" si="131"/>
        <v/>
      </c>
      <c r="BM978" s="63" t="str">
        <f t="shared" si="132"/>
        <v/>
      </c>
      <c r="BN978" s="68" t="str">
        <f t="shared" si="133"/>
        <v/>
      </c>
      <c r="BU978" s="51" t="e">
        <f t="shared" si="128"/>
        <v>#VALUE!</v>
      </c>
      <c r="BV978" s="44" t="e">
        <f t="shared" si="129"/>
        <v>#VALUE!</v>
      </c>
      <c r="BW978" s="61" t="e">
        <f t="shared" si="130"/>
        <v>#NUM!</v>
      </c>
    </row>
    <row r="979" spans="64:75" ht="20.100000000000001" customHeight="1" x14ac:dyDescent="0.25">
      <c r="BL979" s="62" t="str">
        <f t="shared" si="131"/>
        <v/>
      </c>
      <c r="BM979" s="63" t="str">
        <f t="shared" si="132"/>
        <v/>
      </c>
      <c r="BN979" s="68" t="str">
        <f t="shared" si="133"/>
        <v/>
      </c>
      <c r="BU979" s="51" t="e">
        <f t="shared" si="128"/>
        <v>#VALUE!</v>
      </c>
      <c r="BV979" s="44" t="e">
        <f t="shared" si="129"/>
        <v>#VALUE!</v>
      </c>
      <c r="BW979" s="61" t="e">
        <f t="shared" si="130"/>
        <v>#NUM!</v>
      </c>
    </row>
    <row r="980" spans="64:75" ht="20.100000000000001" customHeight="1" x14ac:dyDescent="0.25">
      <c r="BL980" s="62" t="str">
        <f t="shared" si="131"/>
        <v/>
      </c>
      <c r="BM980" s="63" t="str">
        <f t="shared" si="132"/>
        <v/>
      </c>
      <c r="BN980" s="68" t="str">
        <f t="shared" si="133"/>
        <v/>
      </c>
      <c r="BU980" s="51" t="e">
        <f t="shared" ref="BU980:BU1010" si="134">BO980-BN980</f>
        <v>#VALUE!</v>
      </c>
      <c r="BV980" s="44" t="e">
        <f t="shared" ref="BV980:BV1010" si="135">BO980/BN980-1</f>
        <v>#VALUE!</v>
      </c>
      <c r="BW980" s="61" t="e">
        <f t="shared" ref="BW980:BW1010" si="136">-20*LOG10(BP980/100)</f>
        <v>#NUM!</v>
      </c>
    </row>
    <row r="981" spans="64:75" ht="20.100000000000001" customHeight="1" x14ac:dyDescent="0.25">
      <c r="BL981" s="62" t="str">
        <f t="shared" si="131"/>
        <v/>
      </c>
      <c r="BM981" s="63" t="str">
        <f t="shared" si="132"/>
        <v/>
      </c>
      <c r="BN981" s="68" t="str">
        <f t="shared" si="133"/>
        <v/>
      </c>
      <c r="BU981" s="51" t="e">
        <f t="shared" si="134"/>
        <v>#VALUE!</v>
      </c>
      <c r="BV981" s="44" t="e">
        <f t="shared" si="135"/>
        <v>#VALUE!</v>
      </c>
      <c r="BW981" s="61" t="e">
        <f t="shared" si="136"/>
        <v>#NUM!</v>
      </c>
    </row>
    <row r="982" spans="64:75" ht="20.100000000000001" customHeight="1" x14ac:dyDescent="0.25">
      <c r="BL982" s="62" t="str">
        <f t="shared" si="131"/>
        <v/>
      </c>
      <c r="BM982" s="63" t="str">
        <f t="shared" si="132"/>
        <v/>
      </c>
      <c r="BN982" s="68" t="str">
        <f t="shared" si="133"/>
        <v/>
      </c>
      <c r="BU982" s="51" t="e">
        <f t="shared" si="134"/>
        <v>#VALUE!</v>
      </c>
      <c r="BV982" s="44" t="e">
        <f t="shared" si="135"/>
        <v>#VALUE!</v>
      </c>
      <c r="BW982" s="61" t="e">
        <f t="shared" si="136"/>
        <v>#NUM!</v>
      </c>
    </row>
    <row r="983" spans="64:75" ht="20.100000000000001" customHeight="1" x14ac:dyDescent="0.25">
      <c r="BL983" s="62" t="str">
        <f t="shared" si="131"/>
        <v/>
      </c>
      <c r="BM983" s="63" t="str">
        <f t="shared" si="132"/>
        <v/>
      </c>
      <c r="BN983" s="68" t="str">
        <f t="shared" si="133"/>
        <v/>
      </c>
      <c r="BU983" s="51" t="e">
        <f t="shared" si="134"/>
        <v>#VALUE!</v>
      </c>
      <c r="BV983" s="44" t="e">
        <f t="shared" si="135"/>
        <v>#VALUE!</v>
      </c>
      <c r="BW983" s="61" t="e">
        <f t="shared" si="136"/>
        <v>#NUM!</v>
      </c>
    </row>
    <row r="984" spans="64:75" ht="20.100000000000001" customHeight="1" x14ac:dyDescent="0.25">
      <c r="BL984" s="62" t="str">
        <f t="shared" si="131"/>
        <v/>
      </c>
      <c r="BM984" s="63" t="str">
        <f t="shared" si="132"/>
        <v/>
      </c>
      <c r="BN984" s="68" t="str">
        <f t="shared" si="133"/>
        <v/>
      </c>
      <c r="BU984" s="51" t="e">
        <f t="shared" si="134"/>
        <v>#VALUE!</v>
      </c>
      <c r="BV984" s="44" t="e">
        <f t="shared" si="135"/>
        <v>#VALUE!</v>
      </c>
      <c r="BW984" s="61" t="e">
        <f t="shared" si="136"/>
        <v>#NUM!</v>
      </c>
    </row>
    <row r="985" spans="64:75" ht="20.100000000000001" customHeight="1" x14ac:dyDescent="0.25">
      <c r="BL985" s="62" t="str">
        <f t="shared" si="131"/>
        <v/>
      </c>
      <c r="BM985" s="63" t="str">
        <f t="shared" si="132"/>
        <v/>
      </c>
      <c r="BN985" s="68" t="str">
        <f t="shared" si="133"/>
        <v/>
      </c>
      <c r="BU985" s="51" t="e">
        <f t="shared" si="134"/>
        <v>#VALUE!</v>
      </c>
      <c r="BV985" s="44" t="e">
        <f t="shared" si="135"/>
        <v>#VALUE!</v>
      </c>
      <c r="BW985" s="61" t="e">
        <f t="shared" si="136"/>
        <v>#NUM!</v>
      </c>
    </row>
    <row r="986" spans="64:75" ht="20.100000000000001" customHeight="1" x14ac:dyDescent="0.25">
      <c r="BL986" s="62" t="str">
        <f t="shared" si="131"/>
        <v/>
      </c>
      <c r="BM986" s="63" t="str">
        <f t="shared" si="132"/>
        <v/>
      </c>
      <c r="BN986" s="68" t="str">
        <f t="shared" si="133"/>
        <v/>
      </c>
      <c r="BU986" s="51" t="e">
        <f t="shared" si="134"/>
        <v>#VALUE!</v>
      </c>
      <c r="BV986" s="44" t="e">
        <f t="shared" si="135"/>
        <v>#VALUE!</v>
      </c>
      <c r="BW986" s="61" t="e">
        <f t="shared" si="136"/>
        <v>#NUM!</v>
      </c>
    </row>
    <row r="987" spans="64:75" ht="20.100000000000001" customHeight="1" x14ac:dyDescent="0.25">
      <c r="BL987" s="62" t="str">
        <f t="shared" si="131"/>
        <v/>
      </c>
      <c r="BM987" s="63" t="str">
        <f t="shared" si="132"/>
        <v/>
      </c>
      <c r="BN987" s="68" t="str">
        <f t="shared" si="133"/>
        <v/>
      </c>
      <c r="BU987" s="51" t="e">
        <f t="shared" si="134"/>
        <v>#VALUE!</v>
      </c>
      <c r="BV987" s="44" t="e">
        <f t="shared" si="135"/>
        <v>#VALUE!</v>
      </c>
      <c r="BW987" s="61" t="e">
        <f t="shared" si="136"/>
        <v>#NUM!</v>
      </c>
    </row>
    <row r="988" spans="64:75" ht="20.100000000000001" customHeight="1" x14ac:dyDescent="0.25">
      <c r="BL988" s="62" t="str">
        <f t="shared" si="131"/>
        <v/>
      </c>
      <c r="BM988" s="63" t="str">
        <f t="shared" si="132"/>
        <v/>
      </c>
      <c r="BN988" s="68" t="str">
        <f t="shared" si="133"/>
        <v/>
      </c>
      <c r="BU988" s="51" t="e">
        <f t="shared" si="134"/>
        <v>#VALUE!</v>
      </c>
      <c r="BV988" s="44" t="e">
        <f t="shared" si="135"/>
        <v>#VALUE!</v>
      </c>
      <c r="BW988" s="61" t="e">
        <f t="shared" si="136"/>
        <v>#NUM!</v>
      </c>
    </row>
    <row r="989" spans="64:75" ht="20.100000000000001" customHeight="1" x14ac:dyDescent="0.25">
      <c r="BL989" s="62" t="str">
        <f t="shared" si="131"/>
        <v/>
      </c>
      <c r="BM989" s="63" t="str">
        <f t="shared" si="132"/>
        <v/>
      </c>
      <c r="BN989" s="68" t="str">
        <f t="shared" si="133"/>
        <v/>
      </c>
      <c r="BU989" s="51" t="e">
        <f t="shared" si="134"/>
        <v>#VALUE!</v>
      </c>
      <c r="BV989" s="44" t="e">
        <f t="shared" si="135"/>
        <v>#VALUE!</v>
      </c>
      <c r="BW989" s="61" t="e">
        <f t="shared" si="136"/>
        <v>#NUM!</v>
      </c>
    </row>
    <row r="990" spans="64:75" ht="20.100000000000001" customHeight="1" x14ac:dyDescent="0.25">
      <c r="BL990" s="62" t="str">
        <f t="shared" si="131"/>
        <v/>
      </c>
      <c r="BM990" s="63" t="str">
        <f t="shared" si="132"/>
        <v/>
      </c>
      <c r="BN990" s="68" t="str">
        <f t="shared" si="133"/>
        <v/>
      </c>
      <c r="BU990" s="51" t="e">
        <f t="shared" si="134"/>
        <v>#VALUE!</v>
      </c>
      <c r="BV990" s="44" t="e">
        <f t="shared" si="135"/>
        <v>#VALUE!</v>
      </c>
      <c r="BW990" s="61" t="e">
        <f t="shared" si="136"/>
        <v>#NUM!</v>
      </c>
    </row>
    <row r="991" spans="64:75" ht="20.100000000000001" customHeight="1" x14ac:dyDescent="0.25">
      <c r="BL991" s="62" t="str">
        <f t="shared" si="131"/>
        <v/>
      </c>
      <c r="BM991" s="63" t="str">
        <f t="shared" si="132"/>
        <v/>
      </c>
      <c r="BN991" s="68" t="str">
        <f t="shared" si="133"/>
        <v/>
      </c>
      <c r="BU991" s="51" t="e">
        <f t="shared" si="134"/>
        <v>#VALUE!</v>
      </c>
      <c r="BV991" s="44" t="e">
        <f t="shared" si="135"/>
        <v>#VALUE!</v>
      </c>
      <c r="BW991" s="61" t="e">
        <f t="shared" si="136"/>
        <v>#NUM!</v>
      </c>
    </row>
    <row r="992" spans="64:75" ht="20.100000000000001" customHeight="1" x14ac:dyDescent="0.25">
      <c r="BL992" s="62" t="str">
        <f t="shared" si="131"/>
        <v/>
      </c>
      <c r="BM992" s="63" t="str">
        <f t="shared" si="132"/>
        <v/>
      </c>
      <c r="BN992" s="68" t="str">
        <f t="shared" si="133"/>
        <v/>
      </c>
      <c r="BU992" s="51" t="e">
        <f t="shared" si="134"/>
        <v>#VALUE!</v>
      </c>
      <c r="BV992" s="44" t="e">
        <f t="shared" si="135"/>
        <v>#VALUE!</v>
      </c>
      <c r="BW992" s="61" t="e">
        <f t="shared" si="136"/>
        <v>#NUM!</v>
      </c>
    </row>
    <row r="993" spans="64:75" ht="20.100000000000001" customHeight="1" x14ac:dyDescent="0.25">
      <c r="BL993" s="62" t="str">
        <f t="shared" si="131"/>
        <v/>
      </c>
      <c r="BM993" s="63" t="str">
        <f t="shared" si="132"/>
        <v/>
      </c>
      <c r="BN993" s="68" t="str">
        <f t="shared" si="133"/>
        <v/>
      </c>
      <c r="BU993" s="51" t="e">
        <f t="shared" si="134"/>
        <v>#VALUE!</v>
      </c>
      <c r="BV993" s="44" t="e">
        <f t="shared" si="135"/>
        <v>#VALUE!</v>
      </c>
      <c r="BW993" s="61" t="e">
        <f t="shared" si="136"/>
        <v>#NUM!</v>
      </c>
    </row>
    <row r="994" spans="64:75" ht="20.100000000000001" customHeight="1" x14ac:dyDescent="0.25">
      <c r="BL994" s="62" t="str">
        <f t="shared" si="131"/>
        <v/>
      </c>
      <c r="BM994" s="63" t="str">
        <f t="shared" si="132"/>
        <v/>
      </c>
      <c r="BN994" s="68" t="str">
        <f t="shared" si="133"/>
        <v/>
      </c>
      <c r="BU994" s="51" t="e">
        <f t="shared" si="134"/>
        <v>#VALUE!</v>
      </c>
      <c r="BV994" s="44" t="e">
        <f t="shared" si="135"/>
        <v>#VALUE!</v>
      </c>
      <c r="BW994" s="61" t="e">
        <f t="shared" si="136"/>
        <v>#NUM!</v>
      </c>
    </row>
    <row r="995" spans="64:75" ht="20.100000000000001" customHeight="1" x14ac:dyDescent="0.25">
      <c r="BL995" s="62" t="str">
        <f t="shared" si="131"/>
        <v/>
      </c>
      <c r="BM995" s="63" t="str">
        <f t="shared" si="132"/>
        <v/>
      </c>
      <c r="BN995" s="68" t="str">
        <f t="shared" si="133"/>
        <v/>
      </c>
      <c r="BU995" s="51" t="e">
        <f t="shared" si="134"/>
        <v>#VALUE!</v>
      </c>
      <c r="BV995" s="44" t="e">
        <f t="shared" si="135"/>
        <v>#VALUE!</v>
      </c>
      <c r="BW995" s="61" t="e">
        <f t="shared" si="136"/>
        <v>#NUM!</v>
      </c>
    </row>
    <row r="996" spans="64:75" ht="20.100000000000001" customHeight="1" x14ac:dyDescent="0.25">
      <c r="BL996" s="62" t="str">
        <f t="shared" si="131"/>
        <v/>
      </c>
      <c r="BM996" s="63" t="str">
        <f t="shared" si="132"/>
        <v/>
      </c>
      <c r="BN996" s="68" t="str">
        <f t="shared" si="133"/>
        <v/>
      </c>
      <c r="BU996" s="51" t="e">
        <f t="shared" si="134"/>
        <v>#VALUE!</v>
      </c>
      <c r="BV996" s="44" t="e">
        <f t="shared" si="135"/>
        <v>#VALUE!</v>
      </c>
      <c r="BW996" s="61" t="e">
        <f t="shared" si="136"/>
        <v>#NUM!</v>
      </c>
    </row>
    <row r="997" spans="64:75" ht="20.100000000000001" customHeight="1" x14ac:dyDescent="0.25">
      <c r="BL997" s="62" t="str">
        <f t="shared" si="131"/>
        <v/>
      </c>
      <c r="BM997" s="63" t="str">
        <f t="shared" si="132"/>
        <v/>
      </c>
      <c r="BN997" s="68" t="str">
        <f t="shared" si="133"/>
        <v/>
      </c>
      <c r="BU997" s="51" t="e">
        <f t="shared" si="134"/>
        <v>#VALUE!</v>
      </c>
      <c r="BV997" s="44" t="e">
        <f t="shared" si="135"/>
        <v>#VALUE!</v>
      </c>
      <c r="BW997" s="61" t="e">
        <f t="shared" si="136"/>
        <v>#NUM!</v>
      </c>
    </row>
    <row r="998" spans="64:75" ht="20.100000000000001" customHeight="1" x14ac:dyDescent="0.25">
      <c r="BL998" s="62" t="str">
        <f t="shared" si="131"/>
        <v/>
      </c>
      <c r="BM998" s="63" t="str">
        <f t="shared" si="132"/>
        <v/>
      </c>
      <c r="BN998" s="68" t="str">
        <f t="shared" si="133"/>
        <v/>
      </c>
      <c r="BU998" s="51" t="e">
        <f t="shared" si="134"/>
        <v>#VALUE!</v>
      </c>
      <c r="BV998" s="44" t="e">
        <f t="shared" si="135"/>
        <v>#VALUE!</v>
      </c>
      <c r="BW998" s="61" t="e">
        <f t="shared" si="136"/>
        <v>#NUM!</v>
      </c>
    </row>
    <row r="999" spans="64:75" ht="20.100000000000001" customHeight="1" x14ac:dyDescent="0.25">
      <c r="BL999" s="62" t="str">
        <f t="shared" si="131"/>
        <v/>
      </c>
      <c r="BM999" s="63" t="str">
        <f t="shared" si="132"/>
        <v/>
      </c>
      <c r="BN999" s="68" t="str">
        <f t="shared" si="133"/>
        <v/>
      </c>
      <c r="BU999" s="51" t="e">
        <f t="shared" si="134"/>
        <v>#VALUE!</v>
      </c>
      <c r="BV999" s="44" t="e">
        <f t="shared" si="135"/>
        <v>#VALUE!</v>
      </c>
      <c r="BW999" s="61" t="e">
        <f t="shared" si="136"/>
        <v>#NUM!</v>
      </c>
    </row>
    <row r="1000" spans="64:75" ht="20.100000000000001" customHeight="1" x14ac:dyDescent="0.25">
      <c r="BL1000" s="62" t="str">
        <f t="shared" si="131"/>
        <v/>
      </c>
      <c r="BM1000" s="63" t="str">
        <f t="shared" si="132"/>
        <v/>
      </c>
      <c r="BN1000" s="68" t="str">
        <f t="shared" si="133"/>
        <v/>
      </c>
      <c r="BU1000" s="51" t="e">
        <f t="shared" si="134"/>
        <v>#VALUE!</v>
      </c>
      <c r="BV1000" s="44" t="e">
        <f t="shared" si="135"/>
        <v>#VALUE!</v>
      </c>
      <c r="BW1000" s="61" t="e">
        <f t="shared" si="136"/>
        <v>#NUM!</v>
      </c>
    </row>
    <row r="1001" spans="64:75" ht="20.100000000000001" customHeight="1" x14ac:dyDescent="0.25">
      <c r="BL1001" s="62" t="str">
        <f t="shared" si="131"/>
        <v/>
      </c>
      <c r="BM1001" s="63" t="str">
        <f t="shared" si="132"/>
        <v/>
      </c>
      <c r="BN1001" s="68" t="str">
        <f t="shared" si="133"/>
        <v/>
      </c>
      <c r="BU1001" s="51" t="e">
        <f t="shared" si="134"/>
        <v>#VALUE!</v>
      </c>
      <c r="BV1001" s="44" t="e">
        <f t="shared" si="135"/>
        <v>#VALUE!</v>
      </c>
      <c r="BW1001" s="61" t="e">
        <f t="shared" si="136"/>
        <v>#NUM!</v>
      </c>
    </row>
    <row r="1002" spans="64:75" ht="20.100000000000001" customHeight="1" x14ac:dyDescent="0.25">
      <c r="BL1002" s="62" t="str">
        <f t="shared" si="131"/>
        <v/>
      </c>
      <c r="BM1002" s="63" t="str">
        <f t="shared" si="132"/>
        <v/>
      </c>
      <c r="BN1002" s="68" t="str">
        <f t="shared" si="133"/>
        <v/>
      </c>
      <c r="BU1002" s="51" t="e">
        <f t="shared" si="134"/>
        <v>#VALUE!</v>
      </c>
      <c r="BV1002" s="44" t="e">
        <f t="shared" si="135"/>
        <v>#VALUE!</v>
      </c>
      <c r="BW1002" s="61" t="e">
        <f t="shared" si="136"/>
        <v>#NUM!</v>
      </c>
    </row>
    <row r="1003" spans="64:75" ht="20.100000000000001" customHeight="1" x14ac:dyDescent="0.25">
      <c r="BL1003" s="62" t="str">
        <f t="shared" si="131"/>
        <v/>
      </c>
      <c r="BM1003" s="63" t="str">
        <f t="shared" si="132"/>
        <v/>
      </c>
      <c r="BN1003" s="68" t="str">
        <f t="shared" si="133"/>
        <v/>
      </c>
      <c r="BU1003" s="51" t="e">
        <f t="shared" si="134"/>
        <v>#VALUE!</v>
      </c>
      <c r="BV1003" s="44" t="e">
        <f t="shared" si="135"/>
        <v>#VALUE!</v>
      </c>
      <c r="BW1003" s="61" t="e">
        <f t="shared" si="136"/>
        <v>#NUM!</v>
      </c>
    </row>
    <row r="1004" spans="64:75" ht="20.100000000000001" customHeight="1" x14ac:dyDescent="0.25">
      <c r="BL1004" s="62" t="str">
        <f t="shared" si="131"/>
        <v/>
      </c>
      <c r="BM1004" s="63" t="str">
        <f t="shared" si="132"/>
        <v/>
      </c>
      <c r="BN1004" s="68" t="str">
        <f t="shared" si="133"/>
        <v/>
      </c>
      <c r="BU1004" s="51" t="e">
        <f t="shared" si="134"/>
        <v>#VALUE!</v>
      </c>
      <c r="BV1004" s="44" t="e">
        <f t="shared" si="135"/>
        <v>#VALUE!</v>
      </c>
      <c r="BW1004" s="61" t="e">
        <f t="shared" si="136"/>
        <v>#NUM!</v>
      </c>
    </row>
    <row r="1005" spans="64:75" ht="20.100000000000001" customHeight="1" x14ac:dyDescent="0.25">
      <c r="BL1005" s="62" t="str">
        <f t="shared" si="131"/>
        <v/>
      </c>
      <c r="BM1005" s="63" t="str">
        <f t="shared" si="132"/>
        <v/>
      </c>
      <c r="BN1005" s="68" t="str">
        <f t="shared" si="133"/>
        <v/>
      </c>
      <c r="BU1005" s="51" t="e">
        <f t="shared" si="134"/>
        <v>#VALUE!</v>
      </c>
      <c r="BV1005" s="44" t="e">
        <f t="shared" si="135"/>
        <v>#VALUE!</v>
      </c>
      <c r="BW1005" s="61" t="e">
        <f t="shared" si="136"/>
        <v>#NUM!</v>
      </c>
    </row>
    <row r="1006" spans="64:75" ht="20.100000000000001" customHeight="1" x14ac:dyDescent="0.25">
      <c r="BL1006" s="62" t="str">
        <f t="shared" si="131"/>
        <v/>
      </c>
      <c r="BM1006" s="63" t="str">
        <f t="shared" si="132"/>
        <v/>
      </c>
      <c r="BN1006" s="68" t="str">
        <f t="shared" si="133"/>
        <v/>
      </c>
      <c r="BU1006" s="51" t="e">
        <f t="shared" si="134"/>
        <v>#VALUE!</v>
      </c>
      <c r="BV1006" s="44" t="e">
        <f t="shared" si="135"/>
        <v>#VALUE!</v>
      </c>
      <c r="BW1006" s="61" t="e">
        <f t="shared" si="136"/>
        <v>#NUM!</v>
      </c>
    </row>
    <row r="1007" spans="64:75" ht="20.100000000000001" customHeight="1" x14ac:dyDescent="0.25">
      <c r="BL1007" s="62" t="str">
        <f t="shared" si="131"/>
        <v/>
      </c>
      <c r="BM1007" s="63" t="str">
        <f t="shared" si="132"/>
        <v/>
      </c>
      <c r="BN1007" s="68" t="str">
        <f t="shared" si="133"/>
        <v/>
      </c>
      <c r="BU1007" s="51" t="e">
        <f t="shared" si="134"/>
        <v>#VALUE!</v>
      </c>
      <c r="BV1007" s="44" t="e">
        <f t="shared" si="135"/>
        <v>#VALUE!</v>
      </c>
      <c r="BW1007" s="61" t="e">
        <f t="shared" si="136"/>
        <v>#NUM!</v>
      </c>
    </row>
    <row r="1008" spans="64:75" ht="20.100000000000001" customHeight="1" x14ac:dyDescent="0.25">
      <c r="BL1008" s="62" t="str">
        <f t="shared" si="131"/>
        <v/>
      </c>
      <c r="BM1008" s="63" t="str">
        <f t="shared" si="132"/>
        <v/>
      </c>
      <c r="BN1008" s="68" t="str">
        <f t="shared" si="133"/>
        <v/>
      </c>
      <c r="BU1008" s="51" t="e">
        <f t="shared" si="134"/>
        <v>#VALUE!</v>
      </c>
      <c r="BV1008" s="44" t="e">
        <f t="shared" si="135"/>
        <v>#VALUE!</v>
      </c>
      <c r="BW1008" s="61" t="e">
        <f t="shared" si="136"/>
        <v>#NUM!</v>
      </c>
    </row>
    <row r="1009" spans="64:75" ht="20.100000000000001" customHeight="1" x14ac:dyDescent="0.25">
      <c r="BL1009" s="62" t="str">
        <f t="shared" si="131"/>
        <v/>
      </c>
      <c r="BM1009" s="63" t="str">
        <f t="shared" si="132"/>
        <v/>
      </c>
      <c r="BN1009" s="68" t="str">
        <f t="shared" si="133"/>
        <v/>
      </c>
      <c r="BU1009" s="51" t="e">
        <f t="shared" si="134"/>
        <v>#VALUE!</v>
      </c>
      <c r="BV1009" s="44" t="e">
        <f t="shared" si="135"/>
        <v>#VALUE!</v>
      </c>
      <c r="BW1009" s="61" t="e">
        <f t="shared" si="136"/>
        <v>#NUM!</v>
      </c>
    </row>
    <row r="1010" spans="64:75" ht="20.100000000000001" customHeight="1" thickBot="1" x14ac:dyDescent="0.3">
      <c r="BL1010" s="69" t="str">
        <f t="shared" si="131"/>
        <v/>
      </c>
      <c r="BM1010" s="70" t="str">
        <f t="shared" si="132"/>
        <v/>
      </c>
      <c r="BN1010" s="71" t="str">
        <f t="shared" si="133"/>
        <v/>
      </c>
      <c r="BU1010" s="51" t="e">
        <f t="shared" si="134"/>
        <v>#VALUE!</v>
      </c>
      <c r="BV1010" s="44" t="e">
        <f t="shared" si="135"/>
        <v>#VALUE!</v>
      </c>
      <c r="BW1010" s="61" t="e">
        <f t="shared" si="136"/>
        <v>#NUM!</v>
      </c>
    </row>
  </sheetData>
  <mergeCells count="13">
    <mergeCell ref="BU10:BV10"/>
    <mergeCell ref="BM10:BN10"/>
    <mergeCell ref="AD5:AG5"/>
    <mergeCell ref="P28:Q28"/>
    <mergeCell ref="Q14:V14"/>
    <mergeCell ref="P26:Q26"/>
    <mergeCell ref="E24:G24"/>
    <mergeCell ref="D10:G10"/>
    <mergeCell ref="H10:O10"/>
    <mergeCell ref="H14:M14"/>
    <mergeCell ref="H15:M15"/>
    <mergeCell ref="E18:F18"/>
    <mergeCell ref="H13:I13"/>
  </mergeCells>
  <dataValidations count="2">
    <dataValidation type="list" allowBlank="1" showInputMessage="1" showErrorMessage="1" sqref="F21">
      <formula1>$N$14:$N$15</formula1>
    </dataValidation>
    <dataValidation type="list" allowBlank="1" showInputMessage="1" showErrorMessage="1" sqref="Q27">
      <formula1>$C$17:$C$52</formula1>
    </dataValidation>
  </dataValidations>
  <hyperlinks>
    <hyperlink ref="E24:G24" r:id="rId1" display="Datasheet: ISL29020"/>
  </hyperlinks>
  <pageMargins left="0.7" right="0.7" top="0.75" bottom="0.75" header="0.3" footer="0.3"/>
  <pageSetup orientation="portrait" horizontalDpi="90" verticalDpi="90" r:id="rId2"/>
  <drawing r:id="rId3"/>
  <legacyDrawing r:id="rId4"/>
  <controls>
    <mc:AlternateContent xmlns:mc="http://schemas.openxmlformats.org/markup-compatibility/2006">
      <mc:Choice Requires="x14">
        <control shapeId="1046" r:id="rId5" name="cbDUTsweep">
          <controlPr defaultSize="0" autoLine="0" r:id="rId6">
            <anchor moveWithCells="1">
              <from>
                <xdr:col>65</xdr:col>
                <xdr:colOff>38100</xdr:colOff>
                <xdr:row>5</xdr:row>
                <xdr:rowOff>38100</xdr:rowOff>
              </from>
              <to>
                <xdr:col>66</xdr:col>
                <xdr:colOff>590550</xdr:colOff>
                <xdr:row>7</xdr:row>
                <xdr:rowOff>19050</xdr:rowOff>
              </to>
            </anchor>
          </controlPr>
        </control>
      </mc:Choice>
      <mc:Fallback>
        <control shapeId="1046" r:id="rId5" name="cbDUTsweep"/>
      </mc:Fallback>
    </mc:AlternateContent>
    <mc:AlternateContent xmlns:mc="http://schemas.openxmlformats.org/markup-compatibility/2006">
      <mc:Choice Requires="x14">
        <control shapeId="1043" r:id="rId7" name="cbCalND">
          <controlPr defaultSize="0" autoLine="0" r:id="rId8">
            <anchor moveWithCells="1">
              <from>
                <xdr:col>47</xdr:col>
                <xdr:colOff>19050</xdr:colOff>
                <xdr:row>7</xdr:row>
                <xdr:rowOff>28575</xdr:rowOff>
              </from>
              <to>
                <xdr:col>49</xdr:col>
                <xdr:colOff>28575</xdr:colOff>
                <xdr:row>9</xdr:row>
                <xdr:rowOff>19050</xdr:rowOff>
              </to>
            </anchor>
          </controlPr>
        </control>
      </mc:Choice>
      <mc:Fallback>
        <control shapeId="1043" r:id="rId7" name="cbCalND"/>
      </mc:Fallback>
    </mc:AlternateContent>
    <mc:AlternateContent xmlns:mc="http://schemas.openxmlformats.org/markup-compatibility/2006">
      <mc:Choice Requires="x14">
        <control shapeId="1041" r:id="rId9" name="cbCalWID">
          <controlPr defaultSize="0" autoLine="0" r:id="rId10">
            <anchor moveWithCells="1">
              <from>
                <xdr:col>40</xdr:col>
                <xdr:colOff>19050</xdr:colOff>
                <xdr:row>8</xdr:row>
                <xdr:rowOff>28575</xdr:rowOff>
              </from>
              <to>
                <xdr:col>42</xdr:col>
                <xdr:colOff>28575</xdr:colOff>
                <xdr:row>10</xdr:row>
                <xdr:rowOff>19050</xdr:rowOff>
              </to>
            </anchor>
          </controlPr>
        </control>
      </mc:Choice>
      <mc:Fallback>
        <control shapeId="1041" r:id="rId9" name="cbCalWID"/>
      </mc:Fallback>
    </mc:AlternateContent>
    <mc:AlternateContent xmlns:mc="http://schemas.openxmlformats.org/markup-compatibility/2006">
      <mc:Choice Requires="x14">
        <control shapeId="1039" r:id="rId11" name="cbCalVOS">
          <controlPr defaultSize="0" autoLine="0" r:id="rId12">
            <anchor moveWithCells="1">
              <from>
                <xdr:col>21</xdr:col>
                <xdr:colOff>19050</xdr:colOff>
                <xdr:row>9</xdr:row>
                <xdr:rowOff>28575</xdr:rowOff>
              </from>
              <to>
                <xdr:col>23</xdr:col>
                <xdr:colOff>28575</xdr:colOff>
                <xdr:row>11</xdr:row>
                <xdr:rowOff>19050</xdr:rowOff>
              </to>
            </anchor>
          </controlPr>
        </control>
      </mc:Choice>
      <mc:Fallback>
        <control shapeId="1039" r:id="rId11" name="cbCalVOS"/>
      </mc:Fallback>
    </mc:AlternateContent>
    <mc:AlternateContent xmlns:mc="http://schemas.openxmlformats.org/markup-compatibility/2006">
      <mc:Choice Requires="x14">
        <control shapeId="1036" r:id="rId13" name="cbResetHID">
          <controlPr defaultSize="0" autoLine="0" r:id="rId14">
            <anchor moveWithCells="1">
              <from>
                <xdr:col>4</xdr:col>
                <xdr:colOff>9525</xdr:colOff>
                <xdr:row>18</xdr:row>
                <xdr:rowOff>19050</xdr:rowOff>
              </from>
              <to>
                <xdr:col>6</xdr:col>
                <xdr:colOff>9525</xdr:colOff>
                <xdr:row>19</xdr:row>
                <xdr:rowOff>228600</xdr:rowOff>
              </to>
            </anchor>
          </controlPr>
        </control>
      </mc:Choice>
      <mc:Fallback>
        <control shapeId="1036" r:id="rId13" name="cbResetHID"/>
      </mc:Fallback>
    </mc:AlternateContent>
    <mc:AlternateContent xmlns:mc="http://schemas.openxmlformats.org/markup-compatibility/2006">
      <mc:Choice Requires="x14">
        <control shapeId="1034" r:id="rId15" name="cbIrAmb">
          <controlPr defaultSize="0" autoLine="0" r:id="rId16">
            <anchor moveWithCells="1">
              <from>
                <xdr:col>9</xdr:col>
                <xdr:colOff>28575</xdr:colOff>
                <xdr:row>11</xdr:row>
                <xdr:rowOff>28575</xdr:rowOff>
              </from>
              <to>
                <xdr:col>9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4" r:id="rId15" name="cbIrAmb"/>
      </mc:Fallback>
    </mc:AlternateContent>
    <mc:AlternateContent xmlns:mc="http://schemas.openxmlformats.org/markup-compatibility/2006">
      <mc:Choice Requires="x14">
        <control shapeId="1033" r:id="rId17" name="cbContOnce">
          <controlPr defaultSize="0" autoLine="0" r:id="rId18">
            <anchor moveWithCells="1">
              <from>
                <xdr:col>8</xdr:col>
                <xdr:colOff>28575</xdr:colOff>
                <xdr:row>11</xdr:row>
                <xdr:rowOff>28575</xdr:rowOff>
              </from>
              <to>
                <xdr:col>8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3" r:id="rId17" name="cbContOnce"/>
      </mc:Fallback>
    </mc:AlternateContent>
    <mc:AlternateContent xmlns:mc="http://schemas.openxmlformats.org/markup-compatibility/2006">
      <mc:Choice Requires="x14">
        <control shapeId="1032" r:id="rId19" name="cbOnOff">
          <controlPr defaultSize="0" autoLine="0" r:id="rId20">
            <anchor moveWithCells="1">
              <from>
                <xdr:col>7</xdr:col>
                <xdr:colOff>47625</xdr:colOff>
                <xdr:row>11</xdr:row>
                <xdr:rowOff>38100</xdr:rowOff>
              </from>
              <to>
                <xdr:col>7</xdr:col>
                <xdr:colOff>590550</xdr:colOff>
                <xdr:row>11</xdr:row>
                <xdr:rowOff>228600</xdr:rowOff>
              </to>
            </anchor>
          </controlPr>
        </control>
      </mc:Choice>
      <mc:Fallback>
        <control shapeId="1032" r:id="rId19" name="cbOnOff"/>
      </mc:Fallback>
    </mc:AlternateContent>
    <mc:AlternateContent xmlns:mc="http://schemas.openxmlformats.org/markup-compatibility/2006">
      <mc:Choice Requires="x14">
        <control shapeId="1031" r:id="rId21" name="sbFSR">
          <controlPr autoLine="0" r:id="rId22">
            <anchor moveWithCells="1">
              <from>
                <xdr:col>13</xdr:col>
                <xdr:colOff>19050</xdr:colOff>
                <xdr:row>12</xdr:row>
                <xdr:rowOff>9525</xdr:rowOff>
              </from>
              <to>
                <xdr:col>15</xdr:col>
                <xdr:colOff>9525</xdr:colOff>
                <xdr:row>13</xdr:row>
                <xdr:rowOff>0</xdr:rowOff>
              </to>
            </anchor>
          </controlPr>
        </control>
      </mc:Choice>
      <mc:Fallback>
        <control shapeId="1031" r:id="rId21" name="sbFSR"/>
      </mc:Fallback>
    </mc:AlternateContent>
    <mc:AlternateContent xmlns:mc="http://schemas.openxmlformats.org/markup-compatibility/2006">
      <mc:Choice Requires="x14">
        <control shapeId="1030" r:id="rId23" name="sbRes">
          <controlPr autoLine="0" r:id="rId24">
            <anchor moveWithCells="1">
              <from>
                <xdr:col>11</xdr:col>
                <xdr:colOff>9525</xdr:colOff>
                <xdr:row>12</xdr:row>
                <xdr:rowOff>9525</xdr:rowOff>
              </from>
              <to>
                <xdr:col>12</xdr:col>
                <xdr:colOff>600075</xdr:colOff>
                <xdr:row>13</xdr:row>
                <xdr:rowOff>0</xdr:rowOff>
              </to>
            </anchor>
          </controlPr>
        </control>
      </mc:Choice>
      <mc:Fallback>
        <control shapeId="1030" r:id="rId23" name="sbRes"/>
      </mc:Fallback>
    </mc:AlternateContent>
    <mc:AlternateContent xmlns:mc="http://schemas.openxmlformats.org/markup-compatibility/2006">
      <mc:Choice Requires="x14">
        <control shapeId="1027" r:id="rId25" name="cbReadAll">
          <controlPr defaultSize="0" autoLine="0" autoPict="0" r:id="rId26">
            <anchor moveWithCells="1">
              <from>
                <xdr:col>0</xdr:col>
                <xdr:colOff>600075</xdr:colOff>
                <xdr:row>10</xdr:row>
                <xdr:rowOff>0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027" r:id="rId25" name="cbReadAll"/>
      </mc:Fallback>
    </mc:AlternateContent>
    <mc:AlternateContent xmlns:mc="http://schemas.openxmlformats.org/markup-compatibility/2006">
      <mc:Choice Requires="x14">
        <control shapeId="1026" r:id="rId27" name="cbOnce">
          <controlPr defaultSize="0" autoLine="0" autoPict="0" r:id="rId28">
            <anchor moveWithCells="1">
              <from>
                <xdr:col>0</xdr:col>
                <xdr:colOff>600075</xdr:colOff>
                <xdr:row>12</xdr:row>
                <xdr:rowOff>0</xdr:rowOff>
              </from>
              <to>
                <xdr:col>3</xdr:col>
                <xdr:colOff>0</xdr:colOff>
                <xdr:row>13</xdr:row>
                <xdr:rowOff>238125</xdr:rowOff>
              </to>
            </anchor>
          </controlPr>
        </control>
      </mc:Choice>
      <mc:Fallback>
        <control shapeId="1026" r:id="rId27" name="cbOnce"/>
      </mc:Fallback>
    </mc:AlternateContent>
    <mc:AlternateContent xmlns:mc="http://schemas.openxmlformats.org/markup-compatibility/2006">
      <mc:Choice Requires="x14">
        <control shapeId="1035" r:id="rId29" name="cbLoop">
          <controlPr defaultSize="0" autoLine="0" r:id="rId30">
            <anchor moveWithCells="1">
              <from>
                <xdr:col>1</xdr:col>
                <xdr:colOff>19050</xdr:colOff>
                <xdr:row>14</xdr:row>
                <xdr:rowOff>19050</xdr:rowOff>
              </from>
              <to>
                <xdr:col>2</xdr:col>
                <xdr:colOff>590550</xdr:colOff>
                <xdr:row>15</xdr:row>
                <xdr:rowOff>238125</xdr:rowOff>
              </to>
            </anchor>
          </controlPr>
        </control>
      </mc:Choice>
      <mc:Fallback>
        <control shapeId="1035" r:id="rId29" name="cbLoop"/>
      </mc:Fallback>
    </mc:AlternateContent>
    <mc:AlternateContent xmlns:mc="http://schemas.openxmlformats.org/markup-compatibility/2006">
      <mc:Choice Requires="x14">
        <control shapeId="1037" r:id="rId31" name="cbToggle">
          <controlPr defaultSize="0" autoLine="0" r:id="rId32">
            <anchor moveWithCells="1">
              <from>
                <xdr:col>9</xdr:col>
                <xdr:colOff>47625</xdr:colOff>
                <xdr:row>12</xdr:row>
                <xdr:rowOff>28575</xdr:rowOff>
              </from>
              <to>
                <xdr:col>10</xdr:col>
                <xdr:colOff>0</xdr:colOff>
                <xdr:row>12</xdr:row>
                <xdr:rowOff>228600</xdr:rowOff>
              </to>
            </anchor>
          </controlPr>
        </control>
      </mc:Choice>
      <mc:Fallback>
        <control shapeId="1037" r:id="rId31" name="cbTogg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C1:S54"/>
  <sheetViews>
    <sheetView tabSelected="1" zoomScale="90" zoomScaleNormal="90" workbookViewId="0">
      <selection activeCell="B9" sqref="B9"/>
    </sheetView>
  </sheetViews>
  <sheetFormatPr defaultRowHeight="20.100000000000001" customHeight="1" x14ac:dyDescent="0.25"/>
  <cols>
    <col min="1" max="7" width="9.140625" style="27"/>
    <col min="8" max="8" width="12.85546875" style="27" bestFit="1" customWidth="1"/>
    <col min="9" max="16384" width="9.140625" style="27"/>
  </cols>
  <sheetData>
    <row r="1" spans="4:19" ht="20.100000000000001" customHeight="1" thickBot="1" x14ac:dyDescent="0.3"/>
    <row r="2" spans="4:19" ht="20.100000000000001" customHeight="1" thickBot="1" x14ac:dyDescent="0.3">
      <c r="D2" s="78" t="s">
        <v>10</v>
      </c>
      <c r="E2" s="100"/>
      <c r="F2" s="79"/>
      <c r="G2" s="79"/>
      <c r="H2" s="80"/>
      <c r="I2" s="81" t="s">
        <v>11</v>
      </c>
      <c r="J2" s="82"/>
      <c r="K2" s="82"/>
      <c r="L2" s="82"/>
      <c r="M2" s="82"/>
      <c r="N2" s="82"/>
      <c r="O2" s="82"/>
      <c r="P2" s="83"/>
    </row>
    <row r="3" spans="4:19" ht="20.100000000000001" customHeight="1" thickBot="1" x14ac:dyDescent="0.3">
      <c r="D3" s="93" t="s">
        <v>0</v>
      </c>
      <c r="E3" s="94"/>
      <c r="F3" s="14" t="s">
        <v>1</v>
      </c>
      <c r="G3" s="14" t="s">
        <v>2</v>
      </c>
      <c r="H3" s="15" t="s">
        <v>3</v>
      </c>
      <c r="I3" s="36">
        <v>7</v>
      </c>
      <c r="J3" s="34">
        <f>I3-1</f>
        <v>6</v>
      </c>
      <c r="K3" s="34">
        <f t="shared" ref="K3:P3" si="0">J3-1</f>
        <v>5</v>
      </c>
      <c r="L3" s="34">
        <f t="shared" si="0"/>
        <v>4</v>
      </c>
      <c r="M3" s="34">
        <f t="shared" si="0"/>
        <v>3</v>
      </c>
      <c r="N3" s="34">
        <f t="shared" si="0"/>
        <v>2</v>
      </c>
      <c r="O3" s="34">
        <f t="shared" si="0"/>
        <v>1</v>
      </c>
      <c r="P3" s="35">
        <f t="shared" si="0"/>
        <v>0</v>
      </c>
    </row>
    <row r="4" spans="4:19" ht="20.100000000000001" customHeight="1" x14ac:dyDescent="0.25">
      <c r="D4" s="5" t="str">
        <f>"0x"&amp;DEC2HEX(E4,2)</f>
        <v>0x00</v>
      </c>
      <c r="E4" s="30">
        <v>0</v>
      </c>
      <c r="F4" s="4">
        <v>192</v>
      </c>
      <c r="G4" s="4" t="str">
        <f>DEC2HEX(F4,2)</f>
        <v>C0</v>
      </c>
      <c r="H4" s="23" t="str">
        <f t="shared" ref="H4:H5" si="1">DEC2BIN(_xlfn.BITAND(F4,240)/16,4) &amp; " " &amp; DEC2BIN(_xlfn.BITAND(F4,15),4)</f>
        <v>1100 0000</v>
      </c>
      <c r="I4" s="28"/>
      <c r="J4" s="28"/>
      <c r="K4" s="28"/>
      <c r="L4" s="28"/>
      <c r="M4" s="28"/>
      <c r="N4" s="28"/>
      <c r="O4" s="28"/>
      <c r="P4" s="28"/>
    </row>
    <row r="5" spans="4:19" ht="20.100000000000001" customHeight="1" x14ac:dyDescent="0.25">
      <c r="D5" s="95" t="str">
        <f t="shared" ref="D5:D18" si="2">"0x"&amp;DEC2HEX(E5,2)</f>
        <v>0x01</v>
      </c>
      <c r="E5" s="97">
        <v>1</v>
      </c>
      <c r="F5" s="97">
        <v>57</v>
      </c>
      <c r="G5" s="97" t="str">
        <f t="shared" ref="G5" si="3">DEC2HEX(F5,2)</f>
        <v>39</v>
      </c>
      <c r="H5" s="101" t="str">
        <f t="shared" si="1"/>
        <v>0011 1001</v>
      </c>
      <c r="I5" s="104"/>
      <c r="J5" s="105"/>
      <c r="K5" s="27" t="s">
        <v>18</v>
      </c>
      <c r="L5" s="103" t="s">
        <v>20</v>
      </c>
      <c r="M5" s="103"/>
      <c r="N5" s="33">
        <f>IF(N6=0,400,IF(N6=7,0,100*2^(1-N6)))</f>
        <v>3.125</v>
      </c>
      <c r="O5" s="32" t="s">
        <v>19</v>
      </c>
      <c r="P5" s="33">
        <f>250*2^(P6-3)</f>
        <v>62.5</v>
      </c>
    </row>
    <row r="6" spans="4:19" ht="20.100000000000001" customHeight="1" x14ac:dyDescent="0.25">
      <c r="D6" s="96"/>
      <c r="E6" s="98"/>
      <c r="F6" s="98"/>
      <c r="G6" s="98"/>
      <c r="H6" s="102"/>
      <c r="I6" s="104"/>
      <c r="J6" s="105"/>
      <c r="M6" s="27">
        <v>7</v>
      </c>
      <c r="N6" s="27">
        <f>_xlfn.BITAND($F5, M6*2^N$3 )/2^N$3</f>
        <v>6</v>
      </c>
      <c r="O6" s="27">
        <v>3</v>
      </c>
      <c r="P6" s="27">
        <f>_xlfn.BITAND($F5, O6*2^P$3 )/2^P$3</f>
        <v>1</v>
      </c>
      <c r="Q6" s="99" t="s">
        <v>22</v>
      </c>
      <c r="R6" s="99"/>
      <c r="S6" s="38">
        <f>0.1/(N5+0.5)</f>
        <v>2.7586206896551727E-2</v>
      </c>
    </row>
    <row r="7" spans="4:19" ht="20.100000000000001" customHeight="1" x14ac:dyDescent="0.25">
      <c r="D7" s="5" t="str">
        <f t="shared" si="2"/>
        <v>0x02</v>
      </c>
      <c r="E7" s="30">
        <v>2</v>
      </c>
      <c r="F7" s="12">
        <v>0</v>
      </c>
      <c r="G7" s="4" t="str">
        <f t="shared" ref="G7:G18" si="4">DEC2HEX(F7,2)</f>
        <v>00</v>
      </c>
      <c r="H7" s="23" t="str">
        <f t="shared" ref="H7:H18" si="5">DEC2BIN(_xlfn.BITAND(F7,240)/16,4) &amp; " " &amp; DEC2BIN(_xlfn.BITAND(F7,15),4)</f>
        <v>0000 0000</v>
      </c>
      <c r="J7" s="3"/>
    </row>
    <row r="8" spans="4:19" ht="20.100000000000001" customHeight="1" x14ac:dyDescent="0.25">
      <c r="D8" s="5" t="str">
        <f t="shared" si="2"/>
        <v>0x03</v>
      </c>
      <c r="E8" s="30">
        <v>3</v>
      </c>
      <c r="F8" s="12">
        <v>0</v>
      </c>
      <c r="G8" s="4" t="str">
        <f t="shared" si="4"/>
        <v>00</v>
      </c>
      <c r="H8" s="23" t="str">
        <f t="shared" si="5"/>
        <v>0000 0000</v>
      </c>
      <c r="J8" s="3"/>
    </row>
    <row r="9" spans="4:19" ht="20.100000000000001" customHeight="1" x14ac:dyDescent="0.25">
      <c r="D9" s="5" t="str">
        <f t="shared" si="2"/>
        <v>0x04</v>
      </c>
      <c r="E9" s="30">
        <v>4</v>
      </c>
      <c r="F9" s="12">
        <v>16</v>
      </c>
      <c r="G9" s="4" t="str">
        <f t="shared" si="4"/>
        <v>10</v>
      </c>
      <c r="H9" s="23" t="str">
        <f t="shared" si="5"/>
        <v>0001 0000</v>
      </c>
      <c r="J9" s="3"/>
    </row>
    <row r="10" spans="4:19" ht="20.100000000000001" customHeight="1" x14ac:dyDescent="0.25">
      <c r="D10" s="5" t="str">
        <f t="shared" si="2"/>
        <v>0x05</v>
      </c>
      <c r="E10" s="30">
        <v>5</v>
      </c>
      <c r="F10" s="12">
        <v>255</v>
      </c>
      <c r="G10" s="4" t="str">
        <f t="shared" si="4"/>
        <v>FF</v>
      </c>
      <c r="H10" s="23" t="str">
        <f t="shared" si="5"/>
        <v>1111 1111</v>
      </c>
      <c r="J10" s="3"/>
    </row>
    <row r="11" spans="4:19" ht="20.100000000000001" customHeight="1" x14ac:dyDescent="0.25">
      <c r="D11" s="5" t="str">
        <f t="shared" si="2"/>
        <v>0x06</v>
      </c>
      <c r="E11" s="30">
        <v>6</v>
      </c>
      <c r="F11" s="12">
        <v>255</v>
      </c>
      <c r="G11" s="4" t="str">
        <f t="shared" si="4"/>
        <v>FF</v>
      </c>
      <c r="H11" s="23" t="str">
        <f t="shared" si="5"/>
        <v>1111 1111</v>
      </c>
    </row>
    <row r="12" spans="4:19" ht="20.100000000000001" customHeight="1" x14ac:dyDescent="0.25">
      <c r="D12" s="5" t="str">
        <f t="shared" si="2"/>
        <v>0x07</v>
      </c>
      <c r="E12" s="30">
        <v>7</v>
      </c>
      <c r="F12" s="12">
        <v>0</v>
      </c>
      <c r="G12" s="4" t="str">
        <f t="shared" si="4"/>
        <v>00</v>
      </c>
      <c r="H12" s="23" t="str">
        <f t="shared" si="5"/>
        <v>0000 0000</v>
      </c>
      <c r="J12" s="3"/>
    </row>
    <row r="13" spans="4:19" ht="20.100000000000001" customHeight="1" x14ac:dyDescent="0.25">
      <c r="D13" s="5" t="str">
        <f t="shared" si="2"/>
        <v>0x08</v>
      </c>
      <c r="E13" s="30">
        <v>8</v>
      </c>
      <c r="F13" s="12">
        <v>15</v>
      </c>
      <c r="G13" s="4" t="str">
        <f t="shared" si="4"/>
        <v>0F</v>
      </c>
      <c r="H13" s="23" t="str">
        <f t="shared" si="5"/>
        <v>0000 1111</v>
      </c>
      <c r="J13" s="3"/>
    </row>
    <row r="14" spans="4:19" ht="20.100000000000001" customHeight="1" x14ac:dyDescent="0.25">
      <c r="D14" s="5" t="str">
        <f t="shared" si="2"/>
        <v>0x09</v>
      </c>
      <c r="E14" s="30">
        <v>9</v>
      </c>
      <c r="F14" s="12">
        <v>255</v>
      </c>
      <c r="G14" s="4" t="str">
        <f t="shared" si="4"/>
        <v>FF</v>
      </c>
      <c r="H14" s="23" t="str">
        <f t="shared" si="5"/>
        <v>1111 1111</v>
      </c>
      <c r="J14" s="3"/>
    </row>
    <row r="15" spans="4:19" ht="20.100000000000001" customHeight="1" x14ac:dyDescent="0.25">
      <c r="D15" s="5" t="str">
        <f t="shared" si="2"/>
        <v>0x0A</v>
      </c>
      <c r="E15" s="30">
        <v>10</v>
      </c>
      <c r="F15" s="76">
        <v>3</v>
      </c>
      <c r="G15" s="4" t="str">
        <f t="shared" si="4"/>
        <v>03</v>
      </c>
      <c r="H15" s="23" t="str">
        <f t="shared" si="5"/>
        <v>0000 0011</v>
      </c>
      <c r="I15" s="84" t="s">
        <v>21</v>
      </c>
      <c r="J15" s="85"/>
      <c r="K15" s="39">
        <f>F15/255</f>
        <v>1.1764705882352941E-2</v>
      </c>
    </row>
    <row r="16" spans="4:19" ht="20.100000000000001" customHeight="1" x14ac:dyDescent="0.25">
      <c r="D16" s="5" t="str">
        <f t="shared" si="2"/>
        <v>0x0B</v>
      </c>
      <c r="E16" s="30">
        <v>11</v>
      </c>
      <c r="F16" s="12">
        <v>0</v>
      </c>
      <c r="G16" s="4" t="str">
        <f t="shared" si="4"/>
        <v>00</v>
      </c>
      <c r="H16" s="23" t="str">
        <f t="shared" si="5"/>
        <v>0000 0000</v>
      </c>
      <c r="J16" s="3"/>
    </row>
    <row r="17" spans="3:16" ht="20.100000000000001" customHeight="1" x14ac:dyDescent="0.25">
      <c r="D17" s="5" t="str">
        <f t="shared" si="2"/>
        <v>0x0C</v>
      </c>
      <c r="E17" s="30">
        <v>12</v>
      </c>
      <c r="F17" s="12">
        <v>0</v>
      </c>
      <c r="G17" s="4" t="str">
        <f t="shared" si="4"/>
        <v>00</v>
      </c>
      <c r="H17" s="23" t="str">
        <f t="shared" si="5"/>
        <v>0000 0000</v>
      </c>
      <c r="J17" s="3"/>
    </row>
    <row r="18" spans="3:16" ht="20.100000000000001" customHeight="1" x14ac:dyDescent="0.25">
      <c r="D18" s="5" t="str">
        <f t="shared" si="2"/>
        <v>0x0D</v>
      </c>
      <c r="E18" s="30">
        <v>13</v>
      </c>
      <c r="F18" s="12">
        <v>48</v>
      </c>
      <c r="G18" s="4" t="str">
        <f t="shared" si="4"/>
        <v>30</v>
      </c>
      <c r="H18" s="23" t="str">
        <f t="shared" si="5"/>
        <v>0011 0000</v>
      </c>
      <c r="J18" s="3"/>
    </row>
    <row r="19" spans="3:16" ht="20.100000000000001" customHeight="1" thickBot="1" x14ac:dyDescent="0.3">
      <c r="D19" s="6" t="str">
        <f>"0x"&amp;DEC2HEX(E19,2)</f>
        <v>0x0E</v>
      </c>
      <c r="E19" s="30">
        <v>14</v>
      </c>
      <c r="F19" s="7">
        <v>0</v>
      </c>
      <c r="G19" s="7" t="str">
        <f>DEC2HEX(F19,2)</f>
        <v>00</v>
      </c>
      <c r="H19" s="37" t="str">
        <f>DEC2BIN(_xlfn.BITAND(F19,240)/16,4) &amp; " " &amp; DEC2BIN(_xlfn.BITAND(F19,15),4)</f>
        <v>0000 0000</v>
      </c>
      <c r="J19" s="3"/>
    </row>
    <row r="20" spans="3:16" ht="20.100000000000001" customHeight="1" x14ac:dyDescent="0.25">
      <c r="D20" s="13" t="s">
        <v>23</v>
      </c>
      <c r="E20" s="31"/>
      <c r="F20" s="14" t="s">
        <v>7</v>
      </c>
      <c r="G20" s="14" t="s">
        <v>8</v>
      </c>
      <c r="H20" s="15" t="s">
        <v>9</v>
      </c>
      <c r="I20" s="84" t="str">
        <f ca="1">RIGHT(CELL("filename",A1),LEN(CELL("filename",A1))-FIND("]",CELL("filename",A1)))&amp;" Samples: "&amp;L5&amp;N5&amp;" "&amp;O5&amp;P5</f>
        <v>ISL29147 Samples: Sleep Time=3.125 IRDR=62.5</v>
      </c>
      <c r="J20" s="85"/>
      <c r="K20" s="85"/>
      <c r="L20" s="85"/>
      <c r="M20" s="85"/>
      <c r="N20" s="85"/>
      <c r="O20" s="27" t="s">
        <v>13</v>
      </c>
      <c r="P20" s="27">
        <f>IF(G26=O20,HEX2DEC("88"),HEX2DEC("8A"))</f>
        <v>136</v>
      </c>
    </row>
    <row r="21" spans="3:16" ht="20.100000000000001" customHeight="1" thickBot="1" x14ac:dyDescent="0.3">
      <c r="D21" s="40">
        <f>K15</f>
        <v>1.1764705882352941E-2</v>
      </c>
      <c r="E21" s="42"/>
      <c r="F21" s="41">
        <v>5.0245100574102253E-3</v>
      </c>
      <c r="G21" s="41">
        <v>87.770995093067256</v>
      </c>
      <c r="H21" s="43">
        <v>1.9607843831181526E-2</v>
      </c>
      <c r="I21" s="86" t="str">
        <f>F20&amp;"="&amp;ROUND(F21*100,1)&amp;"%"&amp;CHAR(10)&amp;G20&amp;"= "&amp;ROUND(G21*F21,2)&amp;"%"&amp;CHAR(10)&amp;H20&amp;"= "&amp;ROUND(H21*100,1)&amp;"%"</f>
        <v>Average=0.5%
Noise= 0.44%
Pk-Pk= 2%</v>
      </c>
      <c r="J21" s="86"/>
      <c r="K21" s="86"/>
      <c r="L21" s="86"/>
      <c r="M21" s="86"/>
      <c r="N21" s="86"/>
      <c r="O21" s="27" t="s">
        <v>14</v>
      </c>
    </row>
    <row r="22" spans="3:16" ht="20.100000000000001" customHeight="1" x14ac:dyDescent="0.25">
      <c r="G22" s="44">
        <f>STDEV(D23:D54)</f>
        <v>4.4806277852608425E-3</v>
      </c>
    </row>
    <row r="23" spans="3:16" ht="20.100000000000001" customHeight="1" x14ac:dyDescent="0.25">
      <c r="C23" s="27">
        <v>0</v>
      </c>
      <c r="D23">
        <v>3.9215686274509803E-3</v>
      </c>
      <c r="E23"/>
      <c r="F23" s="86" t="str">
        <f>"duplicates="&amp;I26</f>
        <v>duplicates=11</v>
      </c>
      <c r="G23" s="86"/>
    </row>
    <row r="24" spans="3:16" ht="20.100000000000001" customHeight="1" x14ac:dyDescent="0.25">
      <c r="C24" s="27">
        <f>C23+1</f>
        <v>1</v>
      </c>
      <c r="D24">
        <v>3.9215686274509803E-3</v>
      </c>
      <c r="E24"/>
    </row>
    <row r="25" spans="3:16" ht="20.100000000000001" customHeight="1" x14ac:dyDescent="0.25">
      <c r="C25" s="27">
        <f t="shared" ref="C25:C54" si="6">C24+1</f>
        <v>2</v>
      </c>
      <c r="D25">
        <v>7.8431372549019607E-3</v>
      </c>
      <c r="E25"/>
    </row>
    <row r="26" spans="3:16" ht="20.100000000000001" customHeight="1" x14ac:dyDescent="0.25">
      <c r="C26" s="27">
        <f t="shared" si="6"/>
        <v>3</v>
      </c>
      <c r="D26">
        <v>3.9215686274509803E-3</v>
      </c>
      <c r="E26"/>
      <c r="F26" s="27" t="s">
        <v>15</v>
      </c>
      <c r="G26" s="27" t="s">
        <v>13</v>
      </c>
      <c r="I26" s="27">
        <f>COUNTIF(I27:P30,"=0")</f>
        <v>11</v>
      </c>
    </row>
    <row r="27" spans="3:16" ht="20.100000000000001" customHeight="1" x14ac:dyDescent="0.25">
      <c r="C27" s="27">
        <f t="shared" si="6"/>
        <v>4</v>
      </c>
      <c r="D27">
        <v>3.9215686274509803E-3</v>
      </c>
      <c r="E27"/>
      <c r="F27" s="27" t="s">
        <v>16</v>
      </c>
      <c r="G27" s="27">
        <f>F15</f>
        <v>3</v>
      </c>
      <c r="I27" s="27">
        <f>D24-D23</f>
        <v>0</v>
      </c>
      <c r="J27" s="27">
        <f>D28-D27</f>
        <v>7.8431372549019607E-3</v>
      </c>
      <c r="K27" s="27">
        <f>D32-D31</f>
        <v>0</v>
      </c>
      <c r="L27" s="27">
        <f>D36-D35</f>
        <v>7.8431372549019607E-3</v>
      </c>
      <c r="M27" s="27">
        <f>D40-D39</f>
        <v>0</v>
      </c>
      <c r="N27" s="27">
        <f>D44-D43</f>
        <v>1.1764705882352941E-2</v>
      </c>
      <c r="O27" s="27">
        <f>D48-D47</f>
        <v>-3.9215686274509803E-3</v>
      </c>
      <c r="P27" s="27">
        <f>D52-D51</f>
        <v>3.9215686274509803E-3</v>
      </c>
    </row>
    <row r="28" spans="3:16" ht="20.100000000000001" customHeight="1" x14ac:dyDescent="0.25">
      <c r="C28" s="27">
        <f t="shared" si="6"/>
        <v>5</v>
      </c>
      <c r="D28">
        <v>1.1764705882352941E-2</v>
      </c>
      <c r="E28"/>
      <c r="I28" s="27">
        <f>D25-D24</f>
        <v>3.9215686274509803E-3</v>
      </c>
      <c r="J28" s="27">
        <f>D29-D28</f>
        <v>-1.1764705882352941E-2</v>
      </c>
      <c r="K28" s="27">
        <f>D33-D32</f>
        <v>3.9215686274509803E-3</v>
      </c>
      <c r="L28" s="27">
        <f>D37-D36</f>
        <v>-7.8431372549019607E-3</v>
      </c>
      <c r="M28" s="27">
        <f>D41-D40</f>
        <v>-7.8431372549019607E-3</v>
      </c>
      <c r="N28" s="27">
        <f>D45-D44</f>
        <v>-1.5686274509803921E-2</v>
      </c>
      <c r="O28" s="27">
        <f>D49-D48</f>
        <v>0</v>
      </c>
      <c r="P28" s="27">
        <f>D53-D52</f>
        <v>-7.8431372549019607E-3</v>
      </c>
    </row>
    <row r="29" spans="3:16" ht="20.100000000000001" customHeight="1" x14ac:dyDescent="0.25">
      <c r="C29" s="27">
        <f t="shared" si="6"/>
        <v>6</v>
      </c>
      <c r="D29">
        <v>0</v>
      </c>
      <c r="E29"/>
      <c r="I29" s="27">
        <f>D26-D25</f>
        <v>-3.9215686274509803E-3</v>
      </c>
      <c r="J29" s="27">
        <f>D30-D29</f>
        <v>7.8431372549019607E-3</v>
      </c>
      <c r="K29" s="27">
        <f>D34-D33</f>
        <v>-7.8431372549019607E-3</v>
      </c>
      <c r="L29" s="27">
        <f>D38-D37</f>
        <v>7.8431372549019607E-3</v>
      </c>
      <c r="M29" s="27">
        <f>D42-D41</f>
        <v>0</v>
      </c>
      <c r="N29" s="27">
        <f>D46-D45</f>
        <v>0</v>
      </c>
      <c r="O29" s="27">
        <f>D50-D49</f>
        <v>0</v>
      </c>
      <c r="P29" s="27">
        <f>D54-D53</f>
        <v>3.9215686274509803E-3</v>
      </c>
    </row>
    <row r="30" spans="3:16" ht="20.100000000000001" customHeight="1" x14ac:dyDescent="0.25">
      <c r="C30" s="27">
        <f t="shared" si="6"/>
        <v>7</v>
      </c>
      <c r="D30">
        <v>7.8431372549019607E-3</v>
      </c>
      <c r="E30"/>
      <c r="F30" s="77" t="s">
        <v>17</v>
      </c>
      <c r="G30" s="77"/>
      <c r="H30" s="77"/>
      <c r="I30" s="27">
        <f>D27-D26</f>
        <v>0</v>
      </c>
      <c r="J30" s="27">
        <f>D31-D30</f>
        <v>-3.9215686274509803E-3</v>
      </c>
      <c r="K30" s="27">
        <f>D35-D34</f>
        <v>0</v>
      </c>
      <c r="L30" s="27">
        <f>D39-D38</f>
        <v>0</v>
      </c>
      <c r="M30" s="27">
        <f>D43-D42</f>
        <v>7.8431372549019607E-3</v>
      </c>
      <c r="N30" s="27">
        <f>D47-D46</f>
        <v>0</v>
      </c>
      <c r="O30" s="27">
        <f>D51-D50</f>
        <v>7.8431372549019607E-3</v>
      </c>
    </row>
    <row r="31" spans="3:16" ht="20.100000000000001" customHeight="1" x14ac:dyDescent="0.25">
      <c r="C31" s="27">
        <f t="shared" si="6"/>
        <v>8</v>
      </c>
      <c r="D31">
        <v>3.9215686274509803E-3</v>
      </c>
      <c r="E31"/>
    </row>
    <row r="32" spans="3:16" ht="20.100000000000001" customHeight="1" x14ac:dyDescent="0.25">
      <c r="C32" s="27">
        <f t="shared" si="6"/>
        <v>9</v>
      </c>
      <c r="D32">
        <v>3.9215686274509803E-3</v>
      </c>
      <c r="E32"/>
    </row>
    <row r="33" spans="3:5" ht="20.100000000000001" customHeight="1" x14ac:dyDescent="0.25">
      <c r="C33" s="27">
        <f t="shared" si="6"/>
        <v>10</v>
      </c>
      <c r="D33">
        <v>7.8431372549019607E-3</v>
      </c>
      <c r="E33"/>
    </row>
    <row r="34" spans="3:5" ht="20.100000000000001" customHeight="1" x14ac:dyDescent="0.25">
      <c r="C34" s="27">
        <f t="shared" si="6"/>
        <v>11</v>
      </c>
      <c r="D34">
        <v>0</v>
      </c>
      <c r="E34"/>
    </row>
    <row r="35" spans="3:5" ht="20.100000000000001" customHeight="1" x14ac:dyDescent="0.25">
      <c r="C35" s="27">
        <f t="shared" si="6"/>
        <v>12</v>
      </c>
      <c r="D35">
        <v>0</v>
      </c>
      <c r="E35"/>
    </row>
    <row r="36" spans="3:5" ht="20.100000000000001" customHeight="1" x14ac:dyDescent="0.25">
      <c r="C36" s="27">
        <f t="shared" si="6"/>
        <v>13</v>
      </c>
      <c r="D36">
        <v>7.8431372549019607E-3</v>
      </c>
      <c r="E36"/>
    </row>
    <row r="37" spans="3:5" ht="20.100000000000001" customHeight="1" x14ac:dyDescent="0.25">
      <c r="C37" s="27">
        <f t="shared" si="6"/>
        <v>14</v>
      </c>
      <c r="D37">
        <v>0</v>
      </c>
      <c r="E37"/>
    </row>
    <row r="38" spans="3:5" ht="20.100000000000001" customHeight="1" x14ac:dyDescent="0.25">
      <c r="C38" s="27">
        <f t="shared" si="6"/>
        <v>15</v>
      </c>
      <c r="D38">
        <v>7.8431372549019607E-3</v>
      </c>
      <c r="E38"/>
    </row>
    <row r="39" spans="3:5" ht="20.100000000000001" customHeight="1" x14ac:dyDescent="0.25">
      <c r="C39" s="27">
        <f t="shared" si="6"/>
        <v>16</v>
      </c>
      <c r="D39">
        <v>7.8431372549019607E-3</v>
      </c>
      <c r="E39"/>
    </row>
    <row r="40" spans="3:5" ht="20.100000000000001" customHeight="1" x14ac:dyDescent="0.25">
      <c r="C40" s="27">
        <f t="shared" si="6"/>
        <v>17</v>
      </c>
      <c r="D40">
        <v>7.8431372549019607E-3</v>
      </c>
      <c r="E40"/>
    </row>
    <row r="41" spans="3:5" ht="20.100000000000001" customHeight="1" x14ac:dyDescent="0.25">
      <c r="C41" s="27">
        <f t="shared" si="6"/>
        <v>18</v>
      </c>
      <c r="D41">
        <v>0</v>
      </c>
      <c r="E41"/>
    </row>
    <row r="42" spans="3:5" ht="20.100000000000001" customHeight="1" x14ac:dyDescent="0.25">
      <c r="C42" s="27">
        <f t="shared" si="6"/>
        <v>19</v>
      </c>
      <c r="D42">
        <v>0</v>
      </c>
      <c r="E42"/>
    </row>
    <row r="43" spans="3:5" ht="20.100000000000001" customHeight="1" x14ac:dyDescent="0.25">
      <c r="C43" s="27">
        <f t="shared" si="6"/>
        <v>20</v>
      </c>
      <c r="D43">
        <v>7.8431372549019607E-3</v>
      </c>
      <c r="E43"/>
    </row>
    <row r="44" spans="3:5" ht="20.100000000000001" customHeight="1" x14ac:dyDescent="0.25">
      <c r="C44" s="27">
        <f t="shared" si="6"/>
        <v>21</v>
      </c>
      <c r="D44">
        <v>1.9607843137254902E-2</v>
      </c>
      <c r="E44"/>
    </row>
    <row r="45" spans="3:5" ht="20.100000000000001" customHeight="1" x14ac:dyDescent="0.25">
      <c r="C45" s="27">
        <f t="shared" si="6"/>
        <v>22</v>
      </c>
      <c r="D45">
        <v>3.9215686274509803E-3</v>
      </c>
      <c r="E45"/>
    </row>
    <row r="46" spans="3:5" ht="20.100000000000001" customHeight="1" x14ac:dyDescent="0.25">
      <c r="C46" s="27">
        <f t="shared" si="6"/>
        <v>23</v>
      </c>
      <c r="D46">
        <v>3.9215686274509803E-3</v>
      </c>
      <c r="E46"/>
    </row>
    <row r="47" spans="3:5" ht="20.100000000000001" customHeight="1" x14ac:dyDescent="0.25">
      <c r="C47" s="27">
        <f t="shared" si="6"/>
        <v>24</v>
      </c>
      <c r="D47">
        <v>3.9215686274509803E-3</v>
      </c>
      <c r="E47"/>
    </row>
    <row r="48" spans="3:5" ht="20.100000000000001" customHeight="1" x14ac:dyDescent="0.25">
      <c r="C48" s="27">
        <f t="shared" si="6"/>
        <v>25</v>
      </c>
      <c r="D48">
        <v>0</v>
      </c>
      <c r="E48"/>
    </row>
    <row r="49" spans="3:5" ht="20.100000000000001" customHeight="1" x14ac:dyDescent="0.25">
      <c r="C49" s="27">
        <f t="shared" si="6"/>
        <v>26</v>
      </c>
      <c r="D49">
        <v>0</v>
      </c>
      <c r="E49"/>
    </row>
    <row r="50" spans="3:5" ht="20.100000000000001" customHeight="1" x14ac:dyDescent="0.25">
      <c r="C50" s="27">
        <f t="shared" si="6"/>
        <v>27</v>
      </c>
      <c r="D50">
        <v>0</v>
      </c>
      <c r="E50"/>
    </row>
    <row r="51" spans="3:5" ht="20.100000000000001" customHeight="1" x14ac:dyDescent="0.25">
      <c r="C51" s="27">
        <f t="shared" si="6"/>
        <v>28</v>
      </c>
      <c r="D51">
        <v>7.8431372549019607E-3</v>
      </c>
      <c r="E51"/>
    </row>
    <row r="52" spans="3:5" ht="20.100000000000001" customHeight="1" x14ac:dyDescent="0.25">
      <c r="C52" s="27">
        <f t="shared" si="6"/>
        <v>29</v>
      </c>
      <c r="D52">
        <v>1.1764705882352941E-2</v>
      </c>
      <c r="E52"/>
    </row>
    <row r="53" spans="3:5" ht="20.100000000000001" customHeight="1" x14ac:dyDescent="0.25">
      <c r="C53" s="27">
        <f t="shared" si="6"/>
        <v>30</v>
      </c>
      <c r="D53">
        <v>3.9215686274509803E-3</v>
      </c>
      <c r="E53"/>
    </row>
    <row r="54" spans="3:5" ht="20.100000000000001" customHeight="1" x14ac:dyDescent="0.25">
      <c r="C54" s="27">
        <f t="shared" si="6"/>
        <v>31</v>
      </c>
      <c r="D54">
        <v>7.8431372549019607E-3</v>
      </c>
      <c r="E54"/>
    </row>
  </sheetData>
  <mergeCells count="16">
    <mergeCell ref="Q6:R6"/>
    <mergeCell ref="D2:H2"/>
    <mergeCell ref="I2:P2"/>
    <mergeCell ref="I20:N20"/>
    <mergeCell ref="I21:N21"/>
    <mergeCell ref="G5:G6"/>
    <mergeCell ref="H5:H6"/>
    <mergeCell ref="L5:M5"/>
    <mergeCell ref="I5:J6"/>
    <mergeCell ref="I15:J15"/>
    <mergeCell ref="F23:G23"/>
    <mergeCell ref="F30:H30"/>
    <mergeCell ref="D3:E3"/>
    <mergeCell ref="D5:D6"/>
    <mergeCell ref="E5:E6"/>
    <mergeCell ref="F5:F6"/>
  </mergeCells>
  <dataValidations disablePrompts="1" count="1">
    <dataValidation type="list" allowBlank="1" showInputMessage="1" showErrorMessage="1" sqref="G26">
      <formula1>$O$20:$O$21</formula1>
    </dataValidation>
  </dataValidations>
  <hyperlinks>
    <hyperlink ref="F30:H30" r:id="rId1" display="Datasheet: ISL29147"/>
  </hyperlinks>
  <pageMargins left="0.7" right="0.7" top="0.75" bottom="0.75" header="0.3" footer="0.3"/>
  <pageSetup orientation="portrait" horizontalDpi="90" verticalDpi="90" r:id="rId2"/>
  <drawing r:id="rId3"/>
  <legacyDrawing r:id="rId4"/>
  <controls>
    <mc:AlternateContent xmlns:mc="http://schemas.openxmlformats.org/markup-compatibility/2006">
      <mc:Choice Requires="x14">
        <control shapeId="2057" r:id="rId5" name="cbResetHID">
          <controlPr defaultSize="0" autoLine="0" r:id="rId6">
            <anchor moveWithCells="1">
              <from>
                <xdr:col>3</xdr:col>
                <xdr:colOff>600075</xdr:colOff>
                <xdr:row>23</xdr:row>
                <xdr:rowOff>28575</xdr:rowOff>
              </from>
              <to>
                <xdr:col>6</xdr:col>
                <xdr:colOff>0</xdr:colOff>
                <xdr:row>24</xdr:row>
                <xdr:rowOff>238125</xdr:rowOff>
              </to>
            </anchor>
          </controlPr>
        </control>
      </mc:Choice>
      <mc:Fallback>
        <control shapeId="2057" r:id="rId5" name="cbResetHID"/>
      </mc:Fallback>
    </mc:AlternateContent>
    <mc:AlternateContent xmlns:mc="http://schemas.openxmlformats.org/markup-compatibility/2006">
      <mc:Choice Requires="x14">
        <control shapeId="2056" r:id="rId7" name="cbLoop">
          <controlPr defaultSize="0" autoLine="0" r:id="rId8">
            <anchor moveWithCells="1">
              <from>
                <xdr:col>1</xdr:col>
                <xdr:colOff>19050</xdr:colOff>
                <xdr:row>20</xdr:row>
                <xdr:rowOff>19050</xdr:rowOff>
              </from>
              <to>
                <xdr:col>2</xdr:col>
                <xdr:colOff>590550</xdr:colOff>
                <xdr:row>21</xdr:row>
                <xdr:rowOff>238125</xdr:rowOff>
              </to>
            </anchor>
          </controlPr>
        </control>
      </mc:Choice>
      <mc:Fallback>
        <control shapeId="2056" r:id="rId7" name="cbLoop"/>
      </mc:Fallback>
    </mc:AlternateContent>
    <mc:AlternateContent xmlns:mc="http://schemas.openxmlformats.org/markup-compatibility/2006">
      <mc:Choice Requires="x14">
        <control shapeId="2055" r:id="rId9" name="cbPrxEn">
          <controlPr defaultSize="0" autoLine="0" r:id="rId10">
            <anchor moveWithCells="1">
              <from>
                <xdr:col>10</xdr:col>
                <xdr:colOff>228600</xdr:colOff>
                <xdr:row>5</xdr:row>
                <xdr:rowOff>19050</xdr:rowOff>
              </from>
              <to>
                <xdr:col>10</xdr:col>
                <xdr:colOff>485775</xdr:colOff>
                <xdr:row>5</xdr:row>
                <xdr:rowOff>238125</xdr:rowOff>
              </to>
            </anchor>
          </controlPr>
        </control>
      </mc:Choice>
      <mc:Fallback>
        <control shapeId="2055" r:id="rId9" name="cbPrxEn"/>
      </mc:Fallback>
    </mc:AlternateContent>
    <mc:AlternateContent xmlns:mc="http://schemas.openxmlformats.org/markup-compatibility/2006">
      <mc:Choice Requires="x14">
        <control shapeId="2052" r:id="rId11" name="sbIRDR">
          <controlPr autoLine="0" r:id="rId12">
            <anchor moveWithCells="1">
              <from>
                <xdr:col>14</xdr:col>
                <xdr:colOff>19050</xdr:colOff>
                <xdr:row>4</xdr:row>
                <xdr:rowOff>238125</xdr:rowOff>
              </from>
              <to>
                <xdr:col>16</xdr:col>
                <xdr:colOff>9525</xdr:colOff>
                <xdr:row>5</xdr:row>
                <xdr:rowOff>228600</xdr:rowOff>
              </to>
            </anchor>
          </controlPr>
        </control>
      </mc:Choice>
      <mc:Fallback>
        <control shapeId="2052" r:id="rId11" name="sbIRDR"/>
      </mc:Fallback>
    </mc:AlternateContent>
    <mc:AlternateContent xmlns:mc="http://schemas.openxmlformats.org/markup-compatibility/2006">
      <mc:Choice Requires="x14">
        <control shapeId="2051" r:id="rId13" name="sbSlpTm">
          <controlPr autoLine="0" r:id="rId14">
            <anchor moveWithCells="1">
              <from>
                <xdr:col>11</xdr:col>
                <xdr:colOff>9525</xdr:colOff>
                <xdr:row>5</xdr:row>
                <xdr:rowOff>19050</xdr:rowOff>
              </from>
              <to>
                <xdr:col>13</xdr:col>
                <xdr:colOff>600075</xdr:colOff>
                <xdr:row>6</xdr:row>
                <xdr:rowOff>19050</xdr:rowOff>
              </to>
            </anchor>
          </controlPr>
        </control>
      </mc:Choice>
      <mc:Fallback>
        <control shapeId="2051" r:id="rId13" name="sbSlpTm"/>
      </mc:Fallback>
    </mc:AlternateContent>
    <mc:AlternateContent xmlns:mc="http://schemas.openxmlformats.org/markup-compatibility/2006">
      <mc:Choice Requires="x14">
        <control shapeId="2050" r:id="rId15" name="cbOnce">
          <controlPr defaultSize="0" autoLine="0" r:id="rId16">
            <anchor moveWithCells="1">
              <from>
                <xdr:col>0</xdr:col>
                <xdr:colOff>600075</xdr:colOff>
                <xdr:row>4</xdr:row>
                <xdr:rowOff>0</xdr:rowOff>
              </from>
              <to>
                <xdr:col>2</xdr:col>
                <xdr:colOff>600075</xdr:colOff>
                <xdr:row>5</xdr:row>
                <xdr:rowOff>238125</xdr:rowOff>
              </to>
            </anchor>
          </controlPr>
        </control>
      </mc:Choice>
      <mc:Fallback>
        <control shapeId="2050" r:id="rId15" name="cbOnce"/>
      </mc:Fallback>
    </mc:AlternateContent>
    <mc:AlternateContent xmlns:mc="http://schemas.openxmlformats.org/markup-compatibility/2006">
      <mc:Choice Requires="x14">
        <control shapeId="2049" r:id="rId17" name="cbReadAll">
          <controlPr defaultSize="0" autoLine="0" r:id="rId18">
            <anchor moveWithCells="1">
              <from>
                <xdr:col>0</xdr:col>
                <xdr:colOff>600075</xdr:colOff>
                <xdr:row>2</xdr:row>
                <xdr:rowOff>0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49" r:id="rId17" name="cbReadAll"/>
      </mc:Fallback>
    </mc:AlternateContent>
    <mc:AlternateContent xmlns:mc="http://schemas.openxmlformats.org/markup-compatibility/2006">
      <mc:Choice Requires="x14">
        <control shapeId="2060" r:id="rId19" name="sbProxData">
          <controlPr defaultSize="0" autoPict="0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15</xdr:col>
                <xdr:colOff>600075</xdr:colOff>
                <xdr:row>6</xdr:row>
                <xdr:rowOff>228600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1001"/>
  <sheetViews>
    <sheetView zoomScale="80" zoomScaleNormal="80" workbookViewId="0">
      <pane ySplit="5760" topLeftCell="A984" activePane="bottomLeft"/>
      <selection activeCell="C2" sqref="C2"/>
      <selection pane="bottomLeft" activeCell="C1001" sqref="C1001"/>
    </sheetView>
  </sheetViews>
  <sheetFormatPr defaultRowHeight="15" x14ac:dyDescent="0.25"/>
  <cols>
    <col min="1" max="16384" width="9.140625" style="48"/>
  </cols>
  <sheetData>
    <row r="1" spans="2:7" x14ac:dyDescent="0.25">
      <c r="B1" s="48">
        <f>MAX(B2:B65535)+1</f>
        <v>1000</v>
      </c>
      <c r="C1" s="48">
        <v>4095</v>
      </c>
      <c r="D1" s="48">
        <f>10^(LOG10(C1)/1000)</f>
        <v>1.0083522086847703</v>
      </c>
      <c r="E1" s="48" t="s">
        <v>27</v>
      </c>
      <c r="F1" s="48" t="s">
        <v>25</v>
      </c>
      <c r="G1" s="48" t="s">
        <v>26</v>
      </c>
    </row>
    <row r="2" spans="2:7" x14ac:dyDescent="0.25">
      <c r="B2" s="48">
        <v>0</v>
      </c>
      <c r="C2" s="48">
        <f>ROUND(B2*C$1/(B$1-1),0)</f>
        <v>0</v>
      </c>
    </row>
    <row r="3" spans="2:7" x14ac:dyDescent="0.25">
      <c r="B3" s="48">
        <f>B2+1</f>
        <v>1</v>
      </c>
      <c r="C3" s="48">
        <f t="shared" ref="C3:C66" si="0">ROUND(B3*C$1/(B$1-1),0)</f>
        <v>4</v>
      </c>
      <c r="D3" s="48">
        <f t="shared" ref="D3:D66" si="1">MAX(ROUND(D$1^(B3+1),0),B3)</f>
        <v>1</v>
      </c>
      <c r="E3" s="48">
        <f t="shared" ref="E3:E66" si="2">D3-D2</f>
        <v>1</v>
      </c>
      <c r="F3" s="49">
        <f t="shared" ref="F3:F66" si="3">E3/C$1</f>
        <v>2.442002442002442E-4</v>
      </c>
      <c r="G3" s="49">
        <f>E3/D3</f>
        <v>1</v>
      </c>
    </row>
    <row r="4" spans="2:7" x14ac:dyDescent="0.25">
      <c r="B4" s="48">
        <f t="shared" ref="B4:B67" si="4">B3+1</f>
        <v>2</v>
      </c>
      <c r="C4" s="48">
        <f t="shared" si="0"/>
        <v>8</v>
      </c>
      <c r="D4" s="48">
        <f t="shared" si="1"/>
        <v>2</v>
      </c>
      <c r="E4" s="48">
        <f t="shared" si="2"/>
        <v>1</v>
      </c>
      <c r="F4" s="49">
        <f t="shared" si="3"/>
        <v>2.442002442002442E-4</v>
      </c>
      <c r="G4" s="49">
        <f t="shared" ref="G4:G67" si="5">E4/D4</f>
        <v>0.5</v>
      </c>
    </row>
    <row r="5" spans="2:7" x14ac:dyDescent="0.25">
      <c r="B5" s="48">
        <f t="shared" si="4"/>
        <v>3</v>
      </c>
      <c r="C5" s="48">
        <f t="shared" si="0"/>
        <v>12</v>
      </c>
      <c r="D5" s="48">
        <f t="shared" si="1"/>
        <v>3</v>
      </c>
      <c r="E5" s="48">
        <f t="shared" si="2"/>
        <v>1</v>
      </c>
      <c r="F5" s="49">
        <f t="shared" si="3"/>
        <v>2.442002442002442E-4</v>
      </c>
      <c r="G5" s="49">
        <f t="shared" si="5"/>
        <v>0.33333333333333331</v>
      </c>
    </row>
    <row r="6" spans="2:7" x14ac:dyDescent="0.25">
      <c r="B6" s="48">
        <f t="shared" si="4"/>
        <v>4</v>
      </c>
      <c r="C6" s="48">
        <f t="shared" si="0"/>
        <v>16</v>
      </c>
      <c r="D6" s="48">
        <f t="shared" si="1"/>
        <v>4</v>
      </c>
      <c r="E6" s="48">
        <f t="shared" si="2"/>
        <v>1</v>
      </c>
      <c r="F6" s="49">
        <f t="shared" si="3"/>
        <v>2.442002442002442E-4</v>
      </c>
      <c r="G6" s="49">
        <f t="shared" si="5"/>
        <v>0.25</v>
      </c>
    </row>
    <row r="7" spans="2:7" x14ac:dyDescent="0.25">
      <c r="B7" s="48">
        <f t="shared" si="4"/>
        <v>5</v>
      </c>
      <c r="C7" s="48">
        <f t="shared" si="0"/>
        <v>20</v>
      </c>
      <c r="D7" s="48">
        <f t="shared" si="1"/>
        <v>5</v>
      </c>
      <c r="E7" s="48">
        <f t="shared" si="2"/>
        <v>1</v>
      </c>
      <c r="F7" s="49">
        <f t="shared" si="3"/>
        <v>2.442002442002442E-4</v>
      </c>
      <c r="G7" s="49">
        <f t="shared" si="5"/>
        <v>0.2</v>
      </c>
    </row>
    <row r="8" spans="2:7" x14ac:dyDescent="0.25">
      <c r="B8" s="48">
        <f t="shared" si="4"/>
        <v>6</v>
      </c>
      <c r="C8" s="48">
        <f t="shared" si="0"/>
        <v>25</v>
      </c>
      <c r="D8" s="48">
        <f t="shared" si="1"/>
        <v>6</v>
      </c>
      <c r="E8" s="48">
        <f t="shared" si="2"/>
        <v>1</v>
      </c>
      <c r="F8" s="49">
        <f t="shared" si="3"/>
        <v>2.442002442002442E-4</v>
      </c>
      <c r="G8" s="49">
        <f t="shared" si="5"/>
        <v>0.16666666666666666</v>
      </c>
    </row>
    <row r="9" spans="2:7" x14ac:dyDescent="0.25">
      <c r="B9" s="48">
        <f t="shared" si="4"/>
        <v>7</v>
      </c>
      <c r="C9" s="48">
        <f t="shared" si="0"/>
        <v>29</v>
      </c>
      <c r="D9" s="48">
        <f t="shared" si="1"/>
        <v>7</v>
      </c>
      <c r="E9" s="48">
        <f t="shared" si="2"/>
        <v>1</v>
      </c>
      <c r="F9" s="49">
        <f t="shared" si="3"/>
        <v>2.442002442002442E-4</v>
      </c>
      <c r="G9" s="49">
        <f t="shared" si="5"/>
        <v>0.14285714285714285</v>
      </c>
    </row>
    <row r="10" spans="2:7" x14ac:dyDescent="0.25">
      <c r="B10" s="48">
        <f t="shared" si="4"/>
        <v>8</v>
      </c>
      <c r="C10" s="48">
        <f t="shared" si="0"/>
        <v>33</v>
      </c>
      <c r="D10" s="48">
        <f t="shared" si="1"/>
        <v>8</v>
      </c>
      <c r="E10" s="48">
        <f t="shared" si="2"/>
        <v>1</v>
      </c>
      <c r="F10" s="49">
        <f t="shared" si="3"/>
        <v>2.442002442002442E-4</v>
      </c>
      <c r="G10" s="49">
        <f t="shared" si="5"/>
        <v>0.125</v>
      </c>
    </row>
    <row r="11" spans="2:7" x14ac:dyDescent="0.25">
      <c r="B11" s="48">
        <f t="shared" si="4"/>
        <v>9</v>
      </c>
      <c r="C11" s="48">
        <f t="shared" si="0"/>
        <v>37</v>
      </c>
      <c r="D11" s="48">
        <f t="shared" si="1"/>
        <v>9</v>
      </c>
      <c r="E11" s="48">
        <f t="shared" si="2"/>
        <v>1</v>
      </c>
      <c r="F11" s="49">
        <f t="shared" si="3"/>
        <v>2.442002442002442E-4</v>
      </c>
      <c r="G11" s="49">
        <f t="shared" si="5"/>
        <v>0.1111111111111111</v>
      </c>
    </row>
    <row r="12" spans="2:7" x14ac:dyDescent="0.25">
      <c r="B12" s="48">
        <f t="shared" si="4"/>
        <v>10</v>
      </c>
      <c r="C12" s="48">
        <f t="shared" si="0"/>
        <v>41</v>
      </c>
      <c r="D12" s="48">
        <f t="shared" si="1"/>
        <v>10</v>
      </c>
      <c r="E12" s="48">
        <f t="shared" si="2"/>
        <v>1</v>
      </c>
      <c r="F12" s="49">
        <f t="shared" si="3"/>
        <v>2.442002442002442E-4</v>
      </c>
      <c r="G12" s="49">
        <f t="shared" si="5"/>
        <v>0.1</v>
      </c>
    </row>
    <row r="13" spans="2:7" x14ac:dyDescent="0.25">
      <c r="B13" s="48">
        <f t="shared" si="4"/>
        <v>11</v>
      </c>
      <c r="C13" s="48">
        <f t="shared" si="0"/>
        <v>45</v>
      </c>
      <c r="D13" s="48">
        <f t="shared" si="1"/>
        <v>11</v>
      </c>
      <c r="E13" s="48">
        <f t="shared" si="2"/>
        <v>1</v>
      </c>
      <c r="F13" s="49">
        <f t="shared" si="3"/>
        <v>2.442002442002442E-4</v>
      </c>
      <c r="G13" s="49">
        <f t="shared" si="5"/>
        <v>9.0909090909090912E-2</v>
      </c>
    </row>
    <row r="14" spans="2:7" x14ac:dyDescent="0.25">
      <c r="B14" s="48">
        <f t="shared" si="4"/>
        <v>12</v>
      </c>
      <c r="C14" s="48">
        <f t="shared" si="0"/>
        <v>49</v>
      </c>
      <c r="D14" s="48">
        <f t="shared" si="1"/>
        <v>12</v>
      </c>
      <c r="E14" s="48">
        <f t="shared" si="2"/>
        <v>1</v>
      </c>
      <c r="F14" s="49">
        <f t="shared" si="3"/>
        <v>2.442002442002442E-4</v>
      </c>
      <c r="G14" s="49">
        <f t="shared" si="5"/>
        <v>8.3333333333333329E-2</v>
      </c>
    </row>
    <row r="15" spans="2:7" x14ac:dyDescent="0.25">
      <c r="B15" s="48">
        <f t="shared" si="4"/>
        <v>13</v>
      </c>
      <c r="C15" s="48">
        <f t="shared" si="0"/>
        <v>53</v>
      </c>
      <c r="D15" s="48">
        <f t="shared" si="1"/>
        <v>13</v>
      </c>
      <c r="E15" s="48">
        <f t="shared" si="2"/>
        <v>1</v>
      </c>
      <c r="F15" s="49">
        <f t="shared" si="3"/>
        <v>2.442002442002442E-4</v>
      </c>
      <c r="G15" s="49">
        <f t="shared" si="5"/>
        <v>7.6923076923076927E-2</v>
      </c>
    </row>
    <row r="16" spans="2:7" x14ac:dyDescent="0.25">
      <c r="B16" s="48">
        <f t="shared" si="4"/>
        <v>14</v>
      </c>
      <c r="C16" s="48">
        <f t="shared" si="0"/>
        <v>57</v>
      </c>
      <c r="D16" s="48">
        <f t="shared" si="1"/>
        <v>14</v>
      </c>
      <c r="E16" s="48">
        <f t="shared" si="2"/>
        <v>1</v>
      </c>
      <c r="F16" s="49">
        <f t="shared" si="3"/>
        <v>2.442002442002442E-4</v>
      </c>
      <c r="G16" s="49">
        <f t="shared" si="5"/>
        <v>7.1428571428571425E-2</v>
      </c>
    </row>
    <row r="17" spans="2:7" x14ac:dyDescent="0.25">
      <c r="B17" s="48">
        <f t="shared" si="4"/>
        <v>15</v>
      </c>
      <c r="C17" s="48">
        <f t="shared" si="0"/>
        <v>61</v>
      </c>
      <c r="D17" s="48">
        <f t="shared" si="1"/>
        <v>15</v>
      </c>
      <c r="E17" s="48">
        <f t="shared" si="2"/>
        <v>1</v>
      </c>
      <c r="F17" s="49">
        <f t="shared" si="3"/>
        <v>2.442002442002442E-4</v>
      </c>
      <c r="G17" s="49">
        <f t="shared" si="5"/>
        <v>6.6666666666666666E-2</v>
      </c>
    </row>
    <row r="18" spans="2:7" x14ac:dyDescent="0.25">
      <c r="B18" s="48">
        <f t="shared" si="4"/>
        <v>16</v>
      </c>
      <c r="C18" s="48">
        <f t="shared" si="0"/>
        <v>66</v>
      </c>
      <c r="D18" s="48">
        <f t="shared" si="1"/>
        <v>16</v>
      </c>
      <c r="E18" s="48">
        <f t="shared" si="2"/>
        <v>1</v>
      </c>
      <c r="F18" s="49">
        <f t="shared" si="3"/>
        <v>2.442002442002442E-4</v>
      </c>
      <c r="G18" s="49">
        <f t="shared" si="5"/>
        <v>6.25E-2</v>
      </c>
    </row>
    <row r="19" spans="2:7" x14ac:dyDescent="0.25">
      <c r="B19" s="48">
        <f t="shared" si="4"/>
        <v>17</v>
      </c>
      <c r="C19" s="48">
        <f t="shared" si="0"/>
        <v>70</v>
      </c>
      <c r="D19" s="48">
        <f t="shared" si="1"/>
        <v>17</v>
      </c>
      <c r="E19" s="48">
        <f t="shared" si="2"/>
        <v>1</v>
      </c>
      <c r="F19" s="49">
        <f t="shared" si="3"/>
        <v>2.442002442002442E-4</v>
      </c>
      <c r="G19" s="49">
        <f t="shared" si="5"/>
        <v>5.8823529411764705E-2</v>
      </c>
    </row>
    <row r="20" spans="2:7" x14ac:dyDescent="0.25">
      <c r="B20" s="48">
        <f t="shared" si="4"/>
        <v>18</v>
      </c>
      <c r="C20" s="48">
        <f t="shared" si="0"/>
        <v>74</v>
      </c>
      <c r="D20" s="48">
        <f t="shared" si="1"/>
        <v>18</v>
      </c>
      <c r="E20" s="48">
        <f t="shared" si="2"/>
        <v>1</v>
      </c>
      <c r="F20" s="49">
        <f t="shared" si="3"/>
        <v>2.442002442002442E-4</v>
      </c>
      <c r="G20" s="49">
        <f t="shared" si="5"/>
        <v>5.5555555555555552E-2</v>
      </c>
    </row>
    <row r="21" spans="2:7" x14ac:dyDescent="0.25">
      <c r="B21" s="48">
        <f t="shared" si="4"/>
        <v>19</v>
      </c>
      <c r="C21" s="48">
        <f t="shared" si="0"/>
        <v>78</v>
      </c>
      <c r="D21" s="48">
        <f t="shared" si="1"/>
        <v>19</v>
      </c>
      <c r="E21" s="48">
        <f t="shared" si="2"/>
        <v>1</v>
      </c>
      <c r="F21" s="49">
        <f t="shared" si="3"/>
        <v>2.442002442002442E-4</v>
      </c>
      <c r="G21" s="49">
        <f t="shared" si="5"/>
        <v>5.2631578947368418E-2</v>
      </c>
    </row>
    <row r="22" spans="2:7" x14ac:dyDescent="0.25">
      <c r="B22" s="48">
        <f t="shared" si="4"/>
        <v>20</v>
      </c>
      <c r="C22" s="48">
        <f t="shared" si="0"/>
        <v>82</v>
      </c>
      <c r="D22" s="48">
        <f t="shared" si="1"/>
        <v>20</v>
      </c>
      <c r="E22" s="48">
        <f t="shared" si="2"/>
        <v>1</v>
      </c>
      <c r="F22" s="49">
        <f t="shared" si="3"/>
        <v>2.442002442002442E-4</v>
      </c>
      <c r="G22" s="49">
        <f t="shared" si="5"/>
        <v>0.05</v>
      </c>
    </row>
    <row r="23" spans="2:7" x14ac:dyDescent="0.25">
      <c r="B23" s="48">
        <f t="shared" si="4"/>
        <v>21</v>
      </c>
      <c r="C23" s="48">
        <f t="shared" si="0"/>
        <v>86</v>
      </c>
      <c r="D23" s="48">
        <f t="shared" si="1"/>
        <v>21</v>
      </c>
      <c r="E23" s="48">
        <f t="shared" si="2"/>
        <v>1</v>
      </c>
      <c r="F23" s="49">
        <f t="shared" si="3"/>
        <v>2.442002442002442E-4</v>
      </c>
      <c r="G23" s="49">
        <f t="shared" si="5"/>
        <v>4.7619047619047616E-2</v>
      </c>
    </row>
    <row r="24" spans="2:7" x14ac:dyDescent="0.25">
      <c r="B24" s="48">
        <f t="shared" si="4"/>
        <v>22</v>
      </c>
      <c r="C24" s="48">
        <f t="shared" si="0"/>
        <v>90</v>
      </c>
      <c r="D24" s="48">
        <f t="shared" si="1"/>
        <v>22</v>
      </c>
      <c r="E24" s="48">
        <f t="shared" si="2"/>
        <v>1</v>
      </c>
      <c r="F24" s="49">
        <f t="shared" si="3"/>
        <v>2.442002442002442E-4</v>
      </c>
      <c r="G24" s="49">
        <f t="shared" si="5"/>
        <v>4.5454545454545456E-2</v>
      </c>
    </row>
    <row r="25" spans="2:7" x14ac:dyDescent="0.25">
      <c r="B25" s="48">
        <f t="shared" si="4"/>
        <v>23</v>
      </c>
      <c r="C25" s="48">
        <f t="shared" si="0"/>
        <v>94</v>
      </c>
      <c r="D25" s="48">
        <f t="shared" si="1"/>
        <v>23</v>
      </c>
      <c r="E25" s="48">
        <f t="shared" si="2"/>
        <v>1</v>
      </c>
      <c r="F25" s="49">
        <f t="shared" si="3"/>
        <v>2.442002442002442E-4</v>
      </c>
      <c r="G25" s="49">
        <f t="shared" si="5"/>
        <v>4.3478260869565216E-2</v>
      </c>
    </row>
    <row r="26" spans="2:7" x14ac:dyDescent="0.25">
      <c r="B26" s="48">
        <f t="shared" si="4"/>
        <v>24</v>
      </c>
      <c r="C26" s="48">
        <f t="shared" si="0"/>
        <v>98</v>
      </c>
      <c r="D26" s="48">
        <f t="shared" si="1"/>
        <v>24</v>
      </c>
      <c r="E26" s="48">
        <f t="shared" si="2"/>
        <v>1</v>
      </c>
      <c r="F26" s="49">
        <f t="shared" si="3"/>
        <v>2.442002442002442E-4</v>
      </c>
      <c r="G26" s="49">
        <f t="shared" si="5"/>
        <v>4.1666666666666664E-2</v>
      </c>
    </row>
    <row r="27" spans="2:7" x14ac:dyDescent="0.25">
      <c r="B27" s="48">
        <f t="shared" si="4"/>
        <v>25</v>
      </c>
      <c r="C27" s="48">
        <f t="shared" si="0"/>
        <v>102</v>
      </c>
      <c r="D27" s="48">
        <f t="shared" si="1"/>
        <v>25</v>
      </c>
      <c r="E27" s="48">
        <f t="shared" si="2"/>
        <v>1</v>
      </c>
      <c r="F27" s="49">
        <f t="shared" si="3"/>
        <v>2.442002442002442E-4</v>
      </c>
      <c r="G27" s="49">
        <f t="shared" si="5"/>
        <v>0.04</v>
      </c>
    </row>
    <row r="28" spans="2:7" x14ac:dyDescent="0.25">
      <c r="B28" s="48">
        <f t="shared" si="4"/>
        <v>26</v>
      </c>
      <c r="C28" s="48">
        <f t="shared" si="0"/>
        <v>107</v>
      </c>
      <c r="D28" s="48">
        <f t="shared" si="1"/>
        <v>26</v>
      </c>
      <c r="E28" s="48">
        <f t="shared" si="2"/>
        <v>1</v>
      </c>
      <c r="F28" s="49">
        <f t="shared" si="3"/>
        <v>2.442002442002442E-4</v>
      </c>
      <c r="G28" s="49">
        <f t="shared" si="5"/>
        <v>3.8461538461538464E-2</v>
      </c>
    </row>
    <row r="29" spans="2:7" x14ac:dyDescent="0.25">
      <c r="B29" s="48">
        <f t="shared" si="4"/>
        <v>27</v>
      </c>
      <c r="C29" s="48">
        <f t="shared" si="0"/>
        <v>111</v>
      </c>
      <c r="D29" s="48">
        <f t="shared" si="1"/>
        <v>27</v>
      </c>
      <c r="E29" s="48">
        <f t="shared" si="2"/>
        <v>1</v>
      </c>
      <c r="F29" s="49">
        <f t="shared" si="3"/>
        <v>2.442002442002442E-4</v>
      </c>
      <c r="G29" s="49">
        <f t="shared" si="5"/>
        <v>3.7037037037037035E-2</v>
      </c>
    </row>
    <row r="30" spans="2:7" x14ac:dyDescent="0.25">
      <c r="B30" s="48">
        <f t="shared" si="4"/>
        <v>28</v>
      </c>
      <c r="C30" s="48">
        <f t="shared" si="0"/>
        <v>115</v>
      </c>
      <c r="D30" s="48">
        <f t="shared" si="1"/>
        <v>28</v>
      </c>
      <c r="E30" s="48">
        <f t="shared" si="2"/>
        <v>1</v>
      </c>
      <c r="F30" s="49">
        <f t="shared" si="3"/>
        <v>2.442002442002442E-4</v>
      </c>
      <c r="G30" s="49">
        <f t="shared" si="5"/>
        <v>3.5714285714285712E-2</v>
      </c>
    </row>
    <row r="31" spans="2:7" x14ac:dyDescent="0.25">
      <c r="B31" s="48">
        <f t="shared" si="4"/>
        <v>29</v>
      </c>
      <c r="C31" s="48">
        <f t="shared" si="0"/>
        <v>119</v>
      </c>
      <c r="D31" s="48">
        <f t="shared" si="1"/>
        <v>29</v>
      </c>
      <c r="E31" s="48">
        <f t="shared" si="2"/>
        <v>1</v>
      </c>
      <c r="F31" s="49">
        <f t="shared" si="3"/>
        <v>2.442002442002442E-4</v>
      </c>
      <c r="G31" s="49">
        <f t="shared" si="5"/>
        <v>3.4482758620689655E-2</v>
      </c>
    </row>
    <row r="32" spans="2:7" x14ac:dyDescent="0.25">
      <c r="B32" s="48">
        <f t="shared" si="4"/>
        <v>30</v>
      </c>
      <c r="C32" s="48">
        <f t="shared" si="0"/>
        <v>123</v>
      </c>
      <c r="D32" s="48">
        <f t="shared" si="1"/>
        <v>30</v>
      </c>
      <c r="E32" s="48">
        <f t="shared" si="2"/>
        <v>1</v>
      </c>
      <c r="F32" s="49">
        <f t="shared" si="3"/>
        <v>2.442002442002442E-4</v>
      </c>
      <c r="G32" s="49">
        <f t="shared" si="5"/>
        <v>3.3333333333333333E-2</v>
      </c>
    </row>
    <row r="33" spans="2:7" x14ac:dyDescent="0.25">
      <c r="B33" s="48">
        <f t="shared" si="4"/>
        <v>31</v>
      </c>
      <c r="C33" s="48">
        <f t="shared" si="0"/>
        <v>127</v>
      </c>
      <c r="D33" s="48">
        <f t="shared" si="1"/>
        <v>31</v>
      </c>
      <c r="E33" s="48">
        <f t="shared" si="2"/>
        <v>1</v>
      </c>
      <c r="F33" s="49">
        <f t="shared" si="3"/>
        <v>2.442002442002442E-4</v>
      </c>
      <c r="G33" s="49">
        <f t="shared" si="5"/>
        <v>3.2258064516129031E-2</v>
      </c>
    </row>
    <row r="34" spans="2:7" x14ac:dyDescent="0.25">
      <c r="B34" s="48">
        <f t="shared" si="4"/>
        <v>32</v>
      </c>
      <c r="C34" s="48">
        <f t="shared" si="0"/>
        <v>131</v>
      </c>
      <c r="D34" s="48">
        <f t="shared" si="1"/>
        <v>32</v>
      </c>
      <c r="E34" s="48">
        <f t="shared" si="2"/>
        <v>1</v>
      </c>
      <c r="F34" s="49">
        <f t="shared" si="3"/>
        <v>2.442002442002442E-4</v>
      </c>
      <c r="G34" s="49">
        <f t="shared" si="5"/>
        <v>3.125E-2</v>
      </c>
    </row>
    <row r="35" spans="2:7" x14ac:dyDescent="0.25">
      <c r="B35" s="48">
        <f t="shared" si="4"/>
        <v>33</v>
      </c>
      <c r="C35" s="48">
        <f t="shared" si="0"/>
        <v>135</v>
      </c>
      <c r="D35" s="48">
        <f t="shared" si="1"/>
        <v>33</v>
      </c>
      <c r="E35" s="48">
        <f t="shared" si="2"/>
        <v>1</v>
      </c>
      <c r="F35" s="49">
        <f t="shared" si="3"/>
        <v>2.442002442002442E-4</v>
      </c>
      <c r="G35" s="49">
        <f t="shared" si="5"/>
        <v>3.0303030303030304E-2</v>
      </c>
    </row>
    <row r="36" spans="2:7" x14ac:dyDescent="0.25">
      <c r="B36" s="48">
        <f t="shared" si="4"/>
        <v>34</v>
      </c>
      <c r="C36" s="48">
        <f t="shared" si="0"/>
        <v>139</v>
      </c>
      <c r="D36" s="48">
        <f t="shared" si="1"/>
        <v>34</v>
      </c>
      <c r="E36" s="48">
        <f t="shared" si="2"/>
        <v>1</v>
      </c>
      <c r="F36" s="49">
        <f t="shared" si="3"/>
        <v>2.442002442002442E-4</v>
      </c>
      <c r="G36" s="49">
        <f t="shared" si="5"/>
        <v>2.9411764705882353E-2</v>
      </c>
    </row>
    <row r="37" spans="2:7" x14ac:dyDescent="0.25">
      <c r="B37" s="48">
        <f t="shared" si="4"/>
        <v>35</v>
      </c>
      <c r="C37" s="48">
        <f t="shared" si="0"/>
        <v>143</v>
      </c>
      <c r="D37" s="48">
        <f t="shared" si="1"/>
        <v>35</v>
      </c>
      <c r="E37" s="48">
        <f t="shared" si="2"/>
        <v>1</v>
      </c>
      <c r="F37" s="49">
        <f t="shared" si="3"/>
        <v>2.442002442002442E-4</v>
      </c>
      <c r="G37" s="49">
        <f t="shared" si="5"/>
        <v>2.8571428571428571E-2</v>
      </c>
    </row>
    <row r="38" spans="2:7" x14ac:dyDescent="0.25">
      <c r="B38" s="48">
        <f t="shared" si="4"/>
        <v>36</v>
      </c>
      <c r="C38" s="48">
        <f t="shared" si="0"/>
        <v>148</v>
      </c>
      <c r="D38" s="48">
        <f t="shared" si="1"/>
        <v>36</v>
      </c>
      <c r="E38" s="48">
        <f t="shared" si="2"/>
        <v>1</v>
      </c>
      <c r="F38" s="49">
        <f t="shared" si="3"/>
        <v>2.442002442002442E-4</v>
      </c>
      <c r="G38" s="49">
        <f t="shared" si="5"/>
        <v>2.7777777777777776E-2</v>
      </c>
    </row>
    <row r="39" spans="2:7" x14ac:dyDescent="0.25">
      <c r="B39" s="48">
        <f t="shared" si="4"/>
        <v>37</v>
      </c>
      <c r="C39" s="48">
        <f t="shared" si="0"/>
        <v>152</v>
      </c>
      <c r="D39" s="48">
        <f t="shared" si="1"/>
        <v>37</v>
      </c>
      <c r="E39" s="48">
        <f t="shared" si="2"/>
        <v>1</v>
      </c>
      <c r="F39" s="49">
        <f t="shared" si="3"/>
        <v>2.442002442002442E-4</v>
      </c>
      <c r="G39" s="49">
        <f t="shared" si="5"/>
        <v>2.7027027027027029E-2</v>
      </c>
    </row>
    <row r="40" spans="2:7" x14ac:dyDescent="0.25">
      <c r="B40" s="48">
        <f t="shared" si="4"/>
        <v>38</v>
      </c>
      <c r="C40" s="48">
        <f t="shared" si="0"/>
        <v>156</v>
      </c>
      <c r="D40" s="48">
        <f t="shared" si="1"/>
        <v>38</v>
      </c>
      <c r="E40" s="48">
        <f t="shared" si="2"/>
        <v>1</v>
      </c>
      <c r="F40" s="49">
        <f t="shared" si="3"/>
        <v>2.442002442002442E-4</v>
      </c>
      <c r="G40" s="49">
        <f t="shared" si="5"/>
        <v>2.6315789473684209E-2</v>
      </c>
    </row>
    <row r="41" spans="2:7" x14ac:dyDescent="0.25">
      <c r="B41" s="48">
        <f t="shared" si="4"/>
        <v>39</v>
      </c>
      <c r="C41" s="48">
        <f t="shared" si="0"/>
        <v>160</v>
      </c>
      <c r="D41" s="48">
        <f t="shared" si="1"/>
        <v>39</v>
      </c>
      <c r="E41" s="48">
        <f t="shared" si="2"/>
        <v>1</v>
      </c>
      <c r="F41" s="49">
        <f t="shared" si="3"/>
        <v>2.442002442002442E-4</v>
      </c>
      <c r="G41" s="49">
        <f t="shared" si="5"/>
        <v>2.564102564102564E-2</v>
      </c>
    </row>
    <row r="42" spans="2:7" x14ac:dyDescent="0.25">
      <c r="B42" s="48">
        <f t="shared" si="4"/>
        <v>40</v>
      </c>
      <c r="C42" s="48">
        <f t="shared" si="0"/>
        <v>164</v>
      </c>
      <c r="D42" s="48">
        <f t="shared" si="1"/>
        <v>40</v>
      </c>
      <c r="E42" s="48">
        <f t="shared" si="2"/>
        <v>1</v>
      </c>
      <c r="F42" s="49">
        <f t="shared" si="3"/>
        <v>2.442002442002442E-4</v>
      </c>
      <c r="G42" s="49">
        <f t="shared" si="5"/>
        <v>2.5000000000000001E-2</v>
      </c>
    </row>
    <row r="43" spans="2:7" x14ac:dyDescent="0.25">
      <c r="B43" s="48">
        <f t="shared" si="4"/>
        <v>41</v>
      </c>
      <c r="C43" s="48">
        <f t="shared" si="0"/>
        <v>168</v>
      </c>
      <c r="D43" s="48">
        <f t="shared" si="1"/>
        <v>41</v>
      </c>
      <c r="E43" s="48">
        <f t="shared" si="2"/>
        <v>1</v>
      </c>
      <c r="F43" s="49">
        <f t="shared" si="3"/>
        <v>2.442002442002442E-4</v>
      </c>
      <c r="G43" s="49">
        <f t="shared" si="5"/>
        <v>2.4390243902439025E-2</v>
      </c>
    </row>
    <row r="44" spans="2:7" x14ac:dyDescent="0.25">
      <c r="B44" s="48">
        <f t="shared" si="4"/>
        <v>42</v>
      </c>
      <c r="C44" s="48">
        <f t="shared" si="0"/>
        <v>172</v>
      </c>
      <c r="D44" s="48">
        <f t="shared" si="1"/>
        <v>42</v>
      </c>
      <c r="E44" s="48">
        <f t="shared" si="2"/>
        <v>1</v>
      </c>
      <c r="F44" s="49">
        <f t="shared" si="3"/>
        <v>2.442002442002442E-4</v>
      </c>
      <c r="G44" s="49">
        <f t="shared" si="5"/>
        <v>2.3809523809523808E-2</v>
      </c>
    </row>
    <row r="45" spans="2:7" x14ac:dyDescent="0.25">
      <c r="B45" s="48">
        <f t="shared" si="4"/>
        <v>43</v>
      </c>
      <c r="C45" s="48">
        <f t="shared" si="0"/>
        <v>176</v>
      </c>
      <c r="D45" s="48">
        <f t="shared" si="1"/>
        <v>43</v>
      </c>
      <c r="E45" s="48">
        <f t="shared" si="2"/>
        <v>1</v>
      </c>
      <c r="F45" s="49">
        <f t="shared" si="3"/>
        <v>2.442002442002442E-4</v>
      </c>
      <c r="G45" s="49">
        <f t="shared" si="5"/>
        <v>2.3255813953488372E-2</v>
      </c>
    </row>
    <row r="46" spans="2:7" x14ac:dyDescent="0.25">
      <c r="B46" s="48">
        <f t="shared" si="4"/>
        <v>44</v>
      </c>
      <c r="C46" s="48">
        <f t="shared" si="0"/>
        <v>180</v>
      </c>
      <c r="D46" s="48">
        <f t="shared" si="1"/>
        <v>44</v>
      </c>
      <c r="E46" s="48">
        <f t="shared" si="2"/>
        <v>1</v>
      </c>
      <c r="F46" s="49">
        <f t="shared" si="3"/>
        <v>2.442002442002442E-4</v>
      </c>
      <c r="G46" s="49">
        <f t="shared" si="5"/>
        <v>2.2727272727272728E-2</v>
      </c>
    </row>
    <row r="47" spans="2:7" x14ac:dyDescent="0.25">
      <c r="B47" s="48">
        <f t="shared" si="4"/>
        <v>45</v>
      </c>
      <c r="C47" s="48">
        <f t="shared" si="0"/>
        <v>184</v>
      </c>
      <c r="D47" s="48">
        <f t="shared" si="1"/>
        <v>45</v>
      </c>
      <c r="E47" s="48">
        <f t="shared" si="2"/>
        <v>1</v>
      </c>
      <c r="F47" s="49">
        <f t="shared" si="3"/>
        <v>2.442002442002442E-4</v>
      </c>
      <c r="G47" s="49">
        <f t="shared" si="5"/>
        <v>2.2222222222222223E-2</v>
      </c>
    </row>
    <row r="48" spans="2:7" x14ac:dyDescent="0.25">
      <c r="B48" s="48">
        <f t="shared" si="4"/>
        <v>46</v>
      </c>
      <c r="C48" s="48">
        <f t="shared" si="0"/>
        <v>189</v>
      </c>
      <c r="D48" s="48">
        <f t="shared" si="1"/>
        <v>46</v>
      </c>
      <c r="E48" s="48">
        <f t="shared" si="2"/>
        <v>1</v>
      </c>
      <c r="F48" s="49">
        <f t="shared" si="3"/>
        <v>2.442002442002442E-4</v>
      </c>
      <c r="G48" s="49">
        <f t="shared" si="5"/>
        <v>2.1739130434782608E-2</v>
      </c>
    </row>
    <row r="49" spans="2:7" x14ac:dyDescent="0.25">
      <c r="B49" s="48">
        <f t="shared" si="4"/>
        <v>47</v>
      </c>
      <c r="C49" s="48">
        <f t="shared" si="0"/>
        <v>193</v>
      </c>
      <c r="D49" s="48">
        <f t="shared" si="1"/>
        <v>47</v>
      </c>
      <c r="E49" s="48">
        <f t="shared" si="2"/>
        <v>1</v>
      </c>
      <c r="F49" s="49">
        <f t="shared" si="3"/>
        <v>2.442002442002442E-4</v>
      </c>
      <c r="G49" s="49">
        <f t="shared" si="5"/>
        <v>2.1276595744680851E-2</v>
      </c>
    </row>
    <row r="50" spans="2:7" x14ac:dyDescent="0.25">
      <c r="B50" s="48">
        <f t="shared" si="4"/>
        <v>48</v>
      </c>
      <c r="C50" s="48">
        <f t="shared" si="0"/>
        <v>197</v>
      </c>
      <c r="D50" s="48">
        <f t="shared" si="1"/>
        <v>48</v>
      </c>
      <c r="E50" s="48">
        <f t="shared" si="2"/>
        <v>1</v>
      </c>
      <c r="F50" s="49">
        <f t="shared" si="3"/>
        <v>2.442002442002442E-4</v>
      </c>
      <c r="G50" s="49">
        <f t="shared" si="5"/>
        <v>2.0833333333333332E-2</v>
      </c>
    </row>
    <row r="51" spans="2:7" x14ac:dyDescent="0.25">
      <c r="B51" s="48">
        <f t="shared" si="4"/>
        <v>49</v>
      </c>
      <c r="C51" s="48">
        <f t="shared" si="0"/>
        <v>201</v>
      </c>
      <c r="D51" s="48">
        <f t="shared" si="1"/>
        <v>49</v>
      </c>
      <c r="E51" s="48">
        <f t="shared" si="2"/>
        <v>1</v>
      </c>
      <c r="F51" s="49">
        <f t="shared" si="3"/>
        <v>2.442002442002442E-4</v>
      </c>
      <c r="G51" s="49">
        <f t="shared" si="5"/>
        <v>2.0408163265306121E-2</v>
      </c>
    </row>
    <row r="52" spans="2:7" x14ac:dyDescent="0.25">
      <c r="B52" s="48">
        <f t="shared" si="4"/>
        <v>50</v>
      </c>
      <c r="C52" s="48">
        <f t="shared" si="0"/>
        <v>205</v>
      </c>
      <c r="D52" s="48">
        <f t="shared" si="1"/>
        <v>50</v>
      </c>
      <c r="E52" s="48">
        <f t="shared" si="2"/>
        <v>1</v>
      </c>
      <c r="F52" s="49">
        <f t="shared" si="3"/>
        <v>2.442002442002442E-4</v>
      </c>
      <c r="G52" s="49">
        <f t="shared" si="5"/>
        <v>0.02</v>
      </c>
    </row>
    <row r="53" spans="2:7" x14ac:dyDescent="0.25">
      <c r="B53" s="48">
        <f t="shared" si="4"/>
        <v>51</v>
      </c>
      <c r="C53" s="48">
        <f t="shared" si="0"/>
        <v>209</v>
      </c>
      <c r="D53" s="48">
        <f t="shared" si="1"/>
        <v>51</v>
      </c>
      <c r="E53" s="48">
        <f t="shared" si="2"/>
        <v>1</v>
      </c>
      <c r="F53" s="49">
        <f t="shared" si="3"/>
        <v>2.442002442002442E-4</v>
      </c>
      <c r="G53" s="49">
        <f t="shared" si="5"/>
        <v>1.9607843137254902E-2</v>
      </c>
    </row>
    <row r="54" spans="2:7" x14ac:dyDescent="0.25">
      <c r="B54" s="48">
        <f t="shared" si="4"/>
        <v>52</v>
      </c>
      <c r="C54" s="48">
        <f t="shared" si="0"/>
        <v>213</v>
      </c>
      <c r="D54" s="48">
        <f t="shared" si="1"/>
        <v>52</v>
      </c>
      <c r="E54" s="48">
        <f t="shared" si="2"/>
        <v>1</v>
      </c>
      <c r="F54" s="49">
        <f t="shared" si="3"/>
        <v>2.442002442002442E-4</v>
      </c>
      <c r="G54" s="49">
        <f t="shared" si="5"/>
        <v>1.9230769230769232E-2</v>
      </c>
    </row>
    <row r="55" spans="2:7" x14ac:dyDescent="0.25">
      <c r="B55" s="48">
        <f t="shared" si="4"/>
        <v>53</v>
      </c>
      <c r="C55" s="48">
        <f t="shared" si="0"/>
        <v>217</v>
      </c>
      <c r="D55" s="48">
        <f t="shared" si="1"/>
        <v>53</v>
      </c>
      <c r="E55" s="48">
        <f t="shared" si="2"/>
        <v>1</v>
      </c>
      <c r="F55" s="49">
        <f t="shared" si="3"/>
        <v>2.442002442002442E-4</v>
      </c>
      <c r="G55" s="49">
        <f t="shared" si="5"/>
        <v>1.8867924528301886E-2</v>
      </c>
    </row>
    <row r="56" spans="2:7" x14ac:dyDescent="0.25">
      <c r="B56" s="48">
        <f t="shared" si="4"/>
        <v>54</v>
      </c>
      <c r="C56" s="48">
        <f t="shared" si="0"/>
        <v>221</v>
      </c>
      <c r="D56" s="48">
        <f t="shared" si="1"/>
        <v>54</v>
      </c>
      <c r="E56" s="48">
        <f t="shared" si="2"/>
        <v>1</v>
      </c>
      <c r="F56" s="49">
        <f t="shared" si="3"/>
        <v>2.442002442002442E-4</v>
      </c>
      <c r="G56" s="49">
        <f t="shared" si="5"/>
        <v>1.8518518518518517E-2</v>
      </c>
    </row>
    <row r="57" spans="2:7" x14ac:dyDescent="0.25">
      <c r="B57" s="48">
        <f t="shared" si="4"/>
        <v>55</v>
      </c>
      <c r="C57" s="48">
        <f t="shared" si="0"/>
        <v>225</v>
      </c>
      <c r="D57" s="48">
        <f t="shared" si="1"/>
        <v>55</v>
      </c>
      <c r="E57" s="48">
        <f t="shared" si="2"/>
        <v>1</v>
      </c>
      <c r="F57" s="49">
        <f t="shared" si="3"/>
        <v>2.442002442002442E-4</v>
      </c>
      <c r="G57" s="49">
        <f t="shared" si="5"/>
        <v>1.8181818181818181E-2</v>
      </c>
    </row>
    <row r="58" spans="2:7" x14ac:dyDescent="0.25">
      <c r="B58" s="48">
        <f t="shared" si="4"/>
        <v>56</v>
      </c>
      <c r="C58" s="48">
        <f t="shared" si="0"/>
        <v>230</v>
      </c>
      <c r="D58" s="48">
        <f t="shared" si="1"/>
        <v>56</v>
      </c>
      <c r="E58" s="48">
        <f t="shared" si="2"/>
        <v>1</v>
      </c>
      <c r="F58" s="49">
        <f t="shared" si="3"/>
        <v>2.442002442002442E-4</v>
      </c>
      <c r="G58" s="49">
        <f t="shared" si="5"/>
        <v>1.7857142857142856E-2</v>
      </c>
    </row>
    <row r="59" spans="2:7" x14ac:dyDescent="0.25">
      <c r="B59" s="48">
        <f t="shared" si="4"/>
        <v>57</v>
      </c>
      <c r="C59" s="48">
        <f t="shared" si="0"/>
        <v>234</v>
      </c>
      <c r="D59" s="48">
        <f t="shared" si="1"/>
        <v>57</v>
      </c>
      <c r="E59" s="48">
        <f t="shared" si="2"/>
        <v>1</v>
      </c>
      <c r="F59" s="49">
        <f t="shared" si="3"/>
        <v>2.442002442002442E-4</v>
      </c>
      <c r="G59" s="49">
        <f t="shared" si="5"/>
        <v>1.7543859649122806E-2</v>
      </c>
    </row>
    <row r="60" spans="2:7" x14ac:dyDescent="0.25">
      <c r="B60" s="48">
        <f t="shared" si="4"/>
        <v>58</v>
      </c>
      <c r="C60" s="48">
        <f t="shared" si="0"/>
        <v>238</v>
      </c>
      <c r="D60" s="48">
        <f t="shared" si="1"/>
        <v>58</v>
      </c>
      <c r="E60" s="48">
        <f t="shared" si="2"/>
        <v>1</v>
      </c>
      <c r="F60" s="49">
        <f t="shared" si="3"/>
        <v>2.442002442002442E-4</v>
      </c>
      <c r="G60" s="49">
        <f t="shared" si="5"/>
        <v>1.7241379310344827E-2</v>
      </c>
    </row>
    <row r="61" spans="2:7" x14ac:dyDescent="0.25">
      <c r="B61" s="48">
        <f t="shared" si="4"/>
        <v>59</v>
      </c>
      <c r="C61" s="48">
        <f t="shared" si="0"/>
        <v>242</v>
      </c>
      <c r="D61" s="48">
        <f t="shared" si="1"/>
        <v>59</v>
      </c>
      <c r="E61" s="48">
        <f t="shared" si="2"/>
        <v>1</v>
      </c>
      <c r="F61" s="49">
        <f t="shared" si="3"/>
        <v>2.442002442002442E-4</v>
      </c>
      <c r="G61" s="49">
        <f t="shared" si="5"/>
        <v>1.6949152542372881E-2</v>
      </c>
    </row>
    <row r="62" spans="2:7" x14ac:dyDescent="0.25">
      <c r="B62" s="48">
        <f t="shared" si="4"/>
        <v>60</v>
      </c>
      <c r="C62" s="48">
        <f t="shared" si="0"/>
        <v>246</v>
      </c>
      <c r="D62" s="48">
        <f t="shared" si="1"/>
        <v>60</v>
      </c>
      <c r="E62" s="48">
        <f t="shared" si="2"/>
        <v>1</v>
      </c>
      <c r="F62" s="49">
        <f t="shared" si="3"/>
        <v>2.442002442002442E-4</v>
      </c>
      <c r="G62" s="49">
        <f t="shared" si="5"/>
        <v>1.6666666666666666E-2</v>
      </c>
    </row>
    <row r="63" spans="2:7" x14ac:dyDescent="0.25">
      <c r="B63" s="48">
        <f t="shared" si="4"/>
        <v>61</v>
      </c>
      <c r="C63" s="48">
        <f t="shared" si="0"/>
        <v>250</v>
      </c>
      <c r="D63" s="48">
        <f t="shared" si="1"/>
        <v>61</v>
      </c>
      <c r="E63" s="48">
        <f t="shared" si="2"/>
        <v>1</v>
      </c>
      <c r="F63" s="49">
        <f t="shared" si="3"/>
        <v>2.442002442002442E-4</v>
      </c>
      <c r="G63" s="49">
        <f t="shared" si="5"/>
        <v>1.6393442622950821E-2</v>
      </c>
    </row>
    <row r="64" spans="2:7" x14ac:dyDescent="0.25">
      <c r="B64" s="48">
        <f t="shared" si="4"/>
        <v>62</v>
      </c>
      <c r="C64" s="48">
        <f t="shared" si="0"/>
        <v>254</v>
      </c>
      <c r="D64" s="48">
        <f t="shared" si="1"/>
        <v>62</v>
      </c>
      <c r="E64" s="48">
        <f t="shared" si="2"/>
        <v>1</v>
      </c>
      <c r="F64" s="49">
        <f t="shared" si="3"/>
        <v>2.442002442002442E-4</v>
      </c>
      <c r="G64" s="49">
        <f t="shared" si="5"/>
        <v>1.6129032258064516E-2</v>
      </c>
    </row>
    <row r="65" spans="2:7" x14ac:dyDescent="0.25">
      <c r="B65" s="48">
        <f t="shared" si="4"/>
        <v>63</v>
      </c>
      <c r="C65" s="48">
        <f t="shared" si="0"/>
        <v>258</v>
      </c>
      <c r="D65" s="48">
        <f t="shared" si="1"/>
        <v>63</v>
      </c>
      <c r="E65" s="48">
        <f t="shared" si="2"/>
        <v>1</v>
      </c>
      <c r="F65" s="49">
        <f t="shared" si="3"/>
        <v>2.442002442002442E-4</v>
      </c>
      <c r="G65" s="49">
        <f t="shared" si="5"/>
        <v>1.5873015873015872E-2</v>
      </c>
    </row>
    <row r="66" spans="2:7" x14ac:dyDescent="0.25">
      <c r="B66" s="48">
        <f t="shared" si="4"/>
        <v>64</v>
      </c>
      <c r="C66" s="48">
        <f t="shared" si="0"/>
        <v>262</v>
      </c>
      <c r="D66" s="48">
        <f t="shared" si="1"/>
        <v>64</v>
      </c>
      <c r="E66" s="48">
        <f t="shared" si="2"/>
        <v>1</v>
      </c>
      <c r="F66" s="49">
        <f t="shared" si="3"/>
        <v>2.442002442002442E-4</v>
      </c>
      <c r="G66" s="49">
        <f t="shared" si="5"/>
        <v>1.5625E-2</v>
      </c>
    </row>
    <row r="67" spans="2:7" x14ac:dyDescent="0.25">
      <c r="B67" s="48">
        <f t="shared" si="4"/>
        <v>65</v>
      </c>
      <c r="C67" s="48">
        <f t="shared" ref="C67:C130" si="6">ROUND(B67*C$1/(B$1-1),0)</f>
        <v>266</v>
      </c>
      <c r="D67" s="48">
        <f t="shared" ref="D67:D130" si="7">MAX(ROUND(D$1^(B67+1),0),B67)</f>
        <v>65</v>
      </c>
      <c r="E67" s="48">
        <f t="shared" ref="E67:E130" si="8">D67-D66</f>
        <v>1</v>
      </c>
      <c r="F67" s="49">
        <f t="shared" ref="F67:F130" si="9">E67/C$1</f>
        <v>2.442002442002442E-4</v>
      </c>
      <c r="G67" s="49">
        <f t="shared" si="5"/>
        <v>1.5384615384615385E-2</v>
      </c>
    </row>
    <row r="68" spans="2:7" x14ac:dyDescent="0.25">
      <c r="B68" s="48">
        <f t="shared" ref="B68:B131" si="10">B67+1</f>
        <v>66</v>
      </c>
      <c r="C68" s="48">
        <f t="shared" si="6"/>
        <v>271</v>
      </c>
      <c r="D68" s="48">
        <f t="shared" si="7"/>
        <v>66</v>
      </c>
      <c r="E68" s="48">
        <f t="shared" si="8"/>
        <v>1</v>
      </c>
      <c r="F68" s="49">
        <f t="shared" si="9"/>
        <v>2.442002442002442E-4</v>
      </c>
      <c r="G68" s="49">
        <f t="shared" ref="G68:G131" si="11">E68/D68</f>
        <v>1.5151515151515152E-2</v>
      </c>
    </row>
    <row r="69" spans="2:7" x14ac:dyDescent="0.25">
      <c r="B69" s="48">
        <f t="shared" si="10"/>
        <v>67</v>
      </c>
      <c r="C69" s="48">
        <f t="shared" si="6"/>
        <v>275</v>
      </c>
      <c r="D69" s="48">
        <f t="shared" si="7"/>
        <v>67</v>
      </c>
      <c r="E69" s="48">
        <f t="shared" si="8"/>
        <v>1</v>
      </c>
      <c r="F69" s="49">
        <f t="shared" si="9"/>
        <v>2.442002442002442E-4</v>
      </c>
      <c r="G69" s="49">
        <f t="shared" si="11"/>
        <v>1.4925373134328358E-2</v>
      </c>
    </row>
    <row r="70" spans="2:7" x14ac:dyDescent="0.25">
      <c r="B70" s="48">
        <f t="shared" si="10"/>
        <v>68</v>
      </c>
      <c r="C70" s="48">
        <f t="shared" si="6"/>
        <v>279</v>
      </c>
      <c r="D70" s="48">
        <f t="shared" si="7"/>
        <v>68</v>
      </c>
      <c r="E70" s="48">
        <f t="shared" si="8"/>
        <v>1</v>
      </c>
      <c r="F70" s="49">
        <f t="shared" si="9"/>
        <v>2.442002442002442E-4</v>
      </c>
      <c r="G70" s="49">
        <f t="shared" si="11"/>
        <v>1.4705882352941176E-2</v>
      </c>
    </row>
    <row r="71" spans="2:7" x14ac:dyDescent="0.25">
      <c r="B71" s="48">
        <f t="shared" si="10"/>
        <v>69</v>
      </c>
      <c r="C71" s="48">
        <f t="shared" si="6"/>
        <v>283</v>
      </c>
      <c r="D71" s="48">
        <f t="shared" si="7"/>
        <v>69</v>
      </c>
      <c r="E71" s="48">
        <f t="shared" si="8"/>
        <v>1</v>
      </c>
      <c r="F71" s="49">
        <f t="shared" si="9"/>
        <v>2.442002442002442E-4</v>
      </c>
      <c r="G71" s="49">
        <f t="shared" si="11"/>
        <v>1.4492753623188406E-2</v>
      </c>
    </row>
    <row r="72" spans="2:7" x14ac:dyDescent="0.25">
      <c r="B72" s="48">
        <f t="shared" si="10"/>
        <v>70</v>
      </c>
      <c r="C72" s="48">
        <f t="shared" si="6"/>
        <v>287</v>
      </c>
      <c r="D72" s="48">
        <f t="shared" si="7"/>
        <v>70</v>
      </c>
      <c r="E72" s="48">
        <f t="shared" si="8"/>
        <v>1</v>
      </c>
      <c r="F72" s="49">
        <f t="shared" si="9"/>
        <v>2.442002442002442E-4</v>
      </c>
      <c r="G72" s="49">
        <f t="shared" si="11"/>
        <v>1.4285714285714285E-2</v>
      </c>
    </row>
    <row r="73" spans="2:7" x14ac:dyDescent="0.25">
      <c r="B73" s="48">
        <f t="shared" si="10"/>
        <v>71</v>
      </c>
      <c r="C73" s="48">
        <f t="shared" si="6"/>
        <v>291</v>
      </c>
      <c r="D73" s="48">
        <f t="shared" si="7"/>
        <v>71</v>
      </c>
      <c r="E73" s="48">
        <f t="shared" si="8"/>
        <v>1</v>
      </c>
      <c r="F73" s="49">
        <f t="shared" si="9"/>
        <v>2.442002442002442E-4</v>
      </c>
      <c r="G73" s="49">
        <f t="shared" si="11"/>
        <v>1.4084507042253521E-2</v>
      </c>
    </row>
    <row r="74" spans="2:7" x14ac:dyDescent="0.25">
      <c r="B74" s="48">
        <f t="shared" si="10"/>
        <v>72</v>
      </c>
      <c r="C74" s="48">
        <f t="shared" si="6"/>
        <v>295</v>
      </c>
      <c r="D74" s="48">
        <f t="shared" si="7"/>
        <v>72</v>
      </c>
      <c r="E74" s="48">
        <f t="shared" si="8"/>
        <v>1</v>
      </c>
      <c r="F74" s="49">
        <f t="shared" si="9"/>
        <v>2.442002442002442E-4</v>
      </c>
      <c r="G74" s="49">
        <f t="shared" si="11"/>
        <v>1.3888888888888888E-2</v>
      </c>
    </row>
    <row r="75" spans="2:7" x14ac:dyDescent="0.25">
      <c r="B75" s="48">
        <f t="shared" si="10"/>
        <v>73</v>
      </c>
      <c r="C75" s="48">
        <f t="shared" si="6"/>
        <v>299</v>
      </c>
      <c r="D75" s="48">
        <f t="shared" si="7"/>
        <v>73</v>
      </c>
      <c r="E75" s="48">
        <f t="shared" si="8"/>
        <v>1</v>
      </c>
      <c r="F75" s="49">
        <f t="shared" si="9"/>
        <v>2.442002442002442E-4</v>
      </c>
      <c r="G75" s="49">
        <f t="shared" si="11"/>
        <v>1.3698630136986301E-2</v>
      </c>
    </row>
    <row r="76" spans="2:7" x14ac:dyDescent="0.25">
      <c r="B76" s="48">
        <f t="shared" si="10"/>
        <v>74</v>
      </c>
      <c r="C76" s="48">
        <f t="shared" si="6"/>
        <v>303</v>
      </c>
      <c r="D76" s="48">
        <f t="shared" si="7"/>
        <v>74</v>
      </c>
      <c r="E76" s="48">
        <f t="shared" si="8"/>
        <v>1</v>
      </c>
      <c r="F76" s="49">
        <f t="shared" si="9"/>
        <v>2.442002442002442E-4</v>
      </c>
      <c r="G76" s="49">
        <f t="shared" si="11"/>
        <v>1.3513513513513514E-2</v>
      </c>
    </row>
    <row r="77" spans="2:7" x14ac:dyDescent="0.25">
      <c r="B77" s="48">
        <f t="shared" si="10"/>
        <v>75</v>
      </c>
      <c r="C77" s="48">
        <f t="shared" si="6"/>
        <v>307</v>
      </c>
      <c r="D77" s="48">
        <f t="shared" si="7"/>
        <v>75</v>
      </c>
      <c r="E77" s="48">
        <f t="shared" si="8"/>
        <v>1</v>
      </c>
      <c r="F77" s="49">
        <f t="shared" si="9"/>
        <v>2.442002442002442E-4</v>
      </c>
      <c r="G77" s="49">
        <f t="shared" si="11"/>
        <v>1.3333333333333334E-2</v>
      </c>
    </row>
    <row r="78" spans="2:7" x14ac:dyDescent="0.25">
      <c r="B78" s="48">
        <f t="shared" si="10"/>
        <v>76</v>
      </c>
      <c r="C78" s="48">
        <f t="shared" si="6"/>
        <v>312</v>
      </c>
      <c r="D78" s="48">
        <f t="shared" si="7"/>
        <v>76</v>
      </c>
      <c r="E78" s="48">
        <f t="shared" si="8"/>
        <v>1</v>
      </c>
      <c r="F78" s="49">
        <f t="shared" si="9"/>
        <v>2.442002442002442E-4</v>
      </c>
      <c r="G78" s="49">
        <f t="shared" si="11"/>
        <v>1.3157894736842105E-2</v>
      </c>
    </row>
    <row r="79" spans="2:7" x14ac:dyDescent="0.25">
      <c r="B79" s="48">
        <f t="shared" si="10"/>
        <v>77</v>
      </c>
      <c r="C79" s="48">
        <f t="shared" si="6"/>
        <v>316</v>
      </c>
      <c r="D79" s="48">
        <f t="shared" si="7"/>
        <v>77</v>
      </c>
      <c r="E79" s="48">
        <f t="shared" si="8"/>
        <v>1</v>
      </c>
      <c r="F79" s="49">
        <f t="shared" si="9"/>
        <v>2.442002442002442E-4</v>
      </c>
      <c r="G79" s="49">
        <f t="shared" si="11"/>
        <v>1.2987012987012988E-2</v>
      </c>
    </row>
    <row r="80" spans="2:7" x14ac:dyDescent="0.25">
      <c r="B80" s="48">
        <f t="shared" si="10"/>
        <v>78</v>
      </c>
      <c r="C80" s="48">
        <f t="shared" si="6"/>
        <v>320</v>
      </c>
      <c r="D80" s="48">
        <f t="shared" si="7"/>
        <v>78</v>
      </c>
      <c r="E80" s="48">
        <f t="shared" si="8"/>
        <v>1</v>
      </c>
      <c r="F80" s="49">
        <f t="shared" si="9"/>
        <v>2.442002442002442E-4</v>
      </c>
      <c r="G80" s="49">
        <f t="shared" si="11"/>
        <v>1.282051282051282E-2</v>
      </c>
    </row>
    <row r="81" spans="2:7" x14ac:dyDescent="0.25">
      <c r="B81" s="48">
        <f t="shared" si="10"/>
        <v>79</v>
      </c>
      <c r="C81" s="48">
        <f t="shared" si="6"/>
        <v>324</v>
      </c>
      <c r="D81" s="48">
        <f t="shared" si="7"/>
        <v>79</v>
      </c>
      <c r="E81" s="48">
        <f t="shared" si="8"/>
        <v>1</v>
      </c>
      <c r="F81" s="49">
        <f t="shared" si="9"/>
        <v>2.442002442002442E-4</v>
      </c>
      <c r="G81" s="49">
        <f t="shared" si="11"/>
        <v>1.2658227848101266E-2</v>
      </c>
    </row>
    <row r="82" spans="2:7" x14ac:dyDescent="0.25">
      <c r="B82" s="48">
        <f t="shared" si="10"/>
        <v>80</v>
      </c>
      <c r="C82" s="48">
        <f t="shared" si="6"/>
        <v>328</v>
      </c>
      <c r="D82" s="48">
        <f t="shared" si="7"/>
        <v>80</v>
      </c>
      <c r="E82" s="48">
        <f t="shared" si="8"/>
        <v>1</v>
      </c>
      <c r="F82" s="49">
        <f t="shared" si="9"/>
        <v>2.442002442002442E-4</v>
      </c>
      <c r="G82" s="49">
        <f t="shared" si="11"/>
        <v>1.2500000000000001E-2</v>
      </c>
    </row>
    <row r="83" spans="2:7" x14ac:dyDescent="0.25">
      <c r="B83" s="48">
        <f t="shared" si="10"/>
        <v>81</v>
      </c>
      <c r="C83" s="48">
        <f t="shared" si="6"/>
        <v>332</v>
      </c>
      <c r="D83" s="48">
        <f t="shared" si="7"/>
        <v>81</v>
      </c>
      <c r="E83" s="48">
        <f t="shared" si="8"/>
        <v>1</v>
      </c>
      <c r="F83" s="49">
        <f t="shared" si="9"/>
        <v>2.442002442002442E-4</v>
      </c>
      <c r="G83" s="49">
        <f t="shared" si="11"/>
        <v>1.2345679012345678E-2</v>
      </c>
    </row>
    <row r="84" spans="2:7" x14ac:dyDescent="0.25">
      <c r="B84" s="48">
        <f t="shared" si="10"/>
        <v>82</v>
      </c>
      <c r="C84" s="48">
        <f t="shared" si="6"/>
        <v>336</v>
      </c>
      <c r="D84" s="48">
        <f t="shared" si="7"/>
        <v>82</v>
      </c>
      <c r="E84" s="48">
        <f t="shared" si="8"/>
        <v>1</v>
      </c>
      <c r="F84" s="49">
        <f t="shared" si="9"/>
        <v>2.442002442002442E-4</v>
      </c>
      <c r="G84" s="49">
        <f t="shared" si="11"/>
        <v>1.2195121951219513E-2</v>
      </c>
    </row>
    <row r="85" spans="2:7" x14ac:dyDescent="0.25">
      <c r="B85" s="48">
        <f t="shared" si="10"/>
        <v>83</v>
      </c>
      <c r="C85" s="48">
        <f t="shared" si="6"/>
        <v>340</v>
      </c>
      <c r="D85" s="48">
        <f t="shared" si="7"/>
        <v>83</v>
      </c>
      <c r="E85" s="48">
        <f t="shared" si="8"/>
        <v>1</v>
      </c>
      <c r="F85" s="49">
        <f t="shared" si="9"/>
        <v>2.442002442002442E-4</v>
      </c>
      <c r="G85" s="49">
        <f t="shared" si="11"/>
        <v>1.2048192771084338E-2</v>
      </c>
    </row>
    <row r="86" spans="2:7" x14ac:dyDescent="0.25">
      <c r="B86" s="48">
        <f t="shared" si="10"/>
        <v>84</v>
      </c>
      <c r="C86" s="48">
        <f t="shared" si="6"/>
        <v>344</v>
      </c>
      <c r="D86" s="48">
        <f t="shared" si="7"/>
        <v>84</v>
      </c>
      <c r="E86" s="48">
        <f t="shared" si="8"/>
        <v>1</v>
      </c>
      <c r="F86" s="49">
        <f t="shared" si="9"/>
        <v>2.442002442002442E-4</v>
      </c>
      <c r="G86" s="49">
        <f t="shared" si="11"/>
        <v>1.1904761904761904E-2</v>
      </c>
    </row>
    <row r="87" spans="2:7" x14ac:dyDescent="0.25">
      <c r="B87" s="48">
        <f t="shared" si="10"/>
        <v>85</v>
      </c>
      <c r="C87" s="48">
        <f t="shared" si="6"/>
        <v>348</v>
      </c>
      <c r="D87" s="48">
        <f t="shared" si="7"/>
        <v>85</v>
      </c>
      <c r="E87" s="48">
        <f t="shared" si="8"/>
        <v>1</v>
      </c>
      <c r="F87" s="49">
        <f t="shared" si="9"/>
        <v>2.442002442002442E-4</v>
      </c>
      <c r="G87" s="49">
        <f t="shared" si="11"/>
        <v>1.1764705882352941E-2</v>
      </c>
    </row>
    <row r="88" spans="2:7" x14ac:dyDescent="0.25">
      <c r="B88" s="48">
        <f t="shared" si="10"/>
        <v>86</v>
      </c>
      <c r="C88" s="48">
        <f t="shared" si="6"/>
        <v>353</v>
      </c>
      <c r="D88" s="48">
        <f t="shared" si="7"/>
        <v>86</v>
      </c>
      <c r="E88" s="48">
        <f t="shared" si="8"/>
        <v>1</v>
      </c>
      <c r="F88" s="49">
        <f t="shared" si="9"/>
        <v>2.442002442002442E-4</v>
      </c>
      <c r="G88" s="49">
        <f t="shared" si="11"/>
        <v>1.1627906976744186E-2</v>
      </c>
    </row>
    <row r="89" spans="2:7" x14ac:dyDescent="0.25">
      <c r="B89" s="48">
        <f t="shared" si="10"/>
        <v>87</v>
      </c>
      <c r="C89" s="48">
        <f t="shared" si="6"/>
        <v>357</v>
      </c>
      <c r="D89" s="48">
        <f t="shared" si="7"/>
        <v>87</v>
      </c>
      <c r="E89" s="48">
        <f t="shared" si="8"/>
        <v>1</v>
      </c>
      <c r="F89" s="49">
        <f t="shared" si="9"/>
        <v>2.442002442002442E-4</v>
      </c>
      <c r="G89" s="49">
        <f t="shared" si="11"/>
        <v>1.1494252873563218E-2</v>
      </c>
    </row>
    <row r="90" spans="2:7" x14ac:dyDescent="0.25">
      <c r="B90" s="48">
        <f t="shared" si="10"/>
        <v>88</v>
      </c>
      <c r="C90" s="48">
        <f t="shared" si="6"/>
        <v>361</v>
      </c>
      <c r="D90" s="48">
        <f t="shared" si="7"/>
        <v>88</v>
      </c>
      <c r="E90" s="48">
        <f t="shared" si="8"/>
        <v>1</v>
      </c>
      <c r="F90" s="49">
        <f t="shared" si="9"/>
        <v>2.442002442002442E-4</v>
      </c>
      <c r="G90" s="49">
        <f t="shared" si="11"/>
        <v>1.1363636363636364E-2</v>
      </c>
    </row>
    <row r="91" spans="2:7" x14ac:dyDescent="0.25">
      <c r="B91" s="48">
        <f t="shared" si="10"/>
        <v>89</v>
      </c>
      <c r="C91" s="48">
        <f t="shared" si="6"/>
        <v>365</v>
      </c>
      <c r="D91" s="48">
        <f t="shared" si="7"/>
        <v>89</v>
      </c>
      <c r="E91" s="48">
        <f t="shared" si="8"/>
        <v>1</v>
      </c>
      <c r="F91" s="49">
        <f t="shared" si="9"/>
        <v>2.442002442002442E-4</v>
      </c>
      <c r="G91" s="49">
        <f t="shared" si="11"/>
        <v>1.1235955056179775E-2</v>
      </c>
    </row>
    <row r="92" spans="2:7" x14ac:dyDescent="0.25">
      <c r="B92" s="48">
        <f t="shared" si="10"/>
        <v>90</v>
      </c>
      <c r="C92" s="48">
        <f t="shared" si="6"/>
        <v>369</v>
      </c>
      <c r="D92" s="48">
        <f t="shared" si="7"/>
        <v>90</v>
      </c>
      <c r="E92" s="48">
        <f t="shared" si="8"/>
        <v>1</v>
      </c>
      <c r="F92" s="49">
        <f t="shared" si="9"/>
        <v>2.442002442002442E-4</v>
      </c>
      <c r="G92" s="49">
        <f t="shared" si="11"/>
        <v>1.1111111111111112E-2</v>
      </c>
    </row>
    <row r="93" spans="2:7" x14ac:dyDescent="0.25">
      <c r="B93" s="48">
        <f t="shared" si="10"/>
        <v>91</v>
      </c>
      <c r="C93" s="48">
        <f t="shared" si="6"/>
        <v>373</v>
      </c>
      <c r="D93" s="48">
        <f t="shared" si="7"/>
        <v>91</v>
      </c>
      <c r="E93" s="48">
        <f t="shared" si="8"/>
        <v>1</v>
      </c>
      <c r="F93" s="49">
        <f t="shared" si="9"/>
        <v>2.442002442002442E-4</v>
      </c>
      <c r="G93" s="49">
        <f t="shared" si="11"/>
        <v>1.098901098901099E-2</v>
      </c>
    </row>
    <row r="94" spans="2:7" x14ac:dyDescent="0.25">
      <c r="B94" s="48">
        <f t="shared" si="10"/>
        <v>92</v>
      </c>
      <c r="C94" s="48">
        <f t="shared" si="6"/>
        <v>377</v>
      </c>
      <c r="D94" s="48">
        <f t="shared" si="7"/>
        <v>92</v>
      </c>
      <c r="E94" s="48">
        <f t="shared" si="8"/>
        <v>1</v>
      </c>
      <c r="F94" s="49">
        <f t="shared" si="9"/>
        <v>2.442002442002442E-4</v>
      </c>
      <c r="G94" s="49">
        <f t="shared" si="11"/>
        <v>1.0869565217391304E-2</v>
      </c>
    </row>
    <row r="95" spans="2:7" x14ac:dyDescent="0.25">
      <c r="B95" s="48">
        <f t="shared" si="10"/>
        <v>93</v>
      </c>
      <c r="C95" s="48">
        <f t="shared" si="6"/>
        <v>381</v>
      </c>
      <c r="D95" s="48">
        <f t="shared" si="7"/>
        <v>93</v>
      </c>
      <c r="E95" s="48">
        <f t="shared" si="8"/>
        <v>1</v>
      </c>
      <c r="F95" s="49">
        <f t="shared" si="9"/>
        <v>2.442002442002442E-4</v>
      </c>
      <c r="G95" s="49">
        <f t="shared" si="11"/>
        <v>1.0752688172043012E-2</v>
      </c>
    </row>
    <row r="96" spans="2:7" x14ac:dyDescent="0.25">
      <c r="B96" s="48">
        <f t="shared" si="10"/>
        <v>94</v>
      </c>
      <c r="C96" s="48">
        <f t="shared" si="6"/>
        <v>385</v>
      </c>
      <c r="D96" s="48">
        <f t="shared" si="7"/>
        <v>94</v>
      </c>
      <c r="E96" s="48">
        <f t="shared" si="8"/>
        <v>1</v>
      </c>
      <c r="F96" s="49">
        <f t="shared" si="9"/>
        <v>2.442002442002442E-4</v>
      </c>
      <c r="G96" s="49">
        <f t="shared" si="11"/>
        <v>1.0638297872340425E-2</v>
      </c>
    </row>
    <row r="97" spans="2:7" x14ac:dyDescent="0.25">
      <c r="B97" s="48">
        <f t="shared" si="10"/>
        <v>95</v>
      </c>
      <c r="C97" s="48">
        <f t="shared" si="6"/>
        <v>389</v>
      </c>
      <c r="D97" s="48">
        <f t="shared" si="7"/>
        <v>95</v>
      </c>
      <c r="E97" s="48">
        <f t="shared" si="8"/>
        <v>1</v>
      </c>
      <c r="F97" s="49">
        <f t="shared" si="9"/>
        <v>2.442002442002442E-4</v>
      </c>
      <c r="G97" s="49">
        <f t="shared" si="11"/>
        <v>1.0526315789473684E-2</v>
      </c>
    </row>
    <row r="98" spans="2:7" x14ac:dyDescent="0.25">
      <c r="B98" s="48">
        <f t="shared" si="10"/>
        <v>96</v>
      </c>
      <c r="C98" s="48">
        <f t="shared" si="6"/>
        <v>394</v>
      </c>
      <c r="D98" s="48">
        <f t="shared" si="7"/>
        <v>96</v>
      </c>
      <c r="E98" s="48">
        <f t="shared" si="8"/>
        <v>1</v>
      </c>
      <c r="F98" s="49">
        <f t="shared" si="9"/>
        <v>2.442002442002442E-4</v>
      </c>
      <c r="G98" s="49">
        <f t="shared" si="11"/>
        <v>1.0416666666666666E-2</v>
      </c>
    </row>
    <row r="99" spans="2:7" x14ac:dyDescent="0.25">
      <c r="B99" s="48">
        <f t="shared" si="10"/>
        <v>97</v>
      </c>
      <c r="C99" s="48">
        <f t="shared" si="6"/>
        <v>398</v>
      </c>
      <c r="D99" s="48">
        <f t="shared" si="7"/>
        <v>97</v>
      </c>
      <c r="E99" s="48">
        <f t="shared" si="8"/>
        <v>1</v>
      </c>
      <c r="F99" s="49">
        <f t="shared" si="9"/>
        <v>2.442002442002442E-4</v>
      </c>
      <c r="G99" s="49">
        <f t="shared" si="11"/>
        <v>1.0309278350515464E-2</v>
      </c>
    </row>
    <row r="100" spans="2:7" x14ac:dyDescent="0.25">
      <c r="B100" s="48">
        <f t="shared" si="10"/>
        <v>98</v>
      </c>
      <c r="C100" s="48">
        <f t="shared" si="6"/>
        <v>402</v>
      </c>
      <c r="D100" s="48">
        <f t="shared" si="7"/>
        <v>98</v>
      </c>
      <c r="E100" s="48">
        <f t="shared" si="8"/>
        <v>1</v>
      </c>
      <c r="F100" s="49">
        <f t="shared" si="9"/>
        <v>2.442002442002442E-4</v>
      </c>
      <c r="G100" s="49">
        <f t="shared" si="11"/>
        <v>1.020408163265306E-2</v>
      </c>
    </row>
    <row r="101" spans="2:7" x14ac:dyDescent="0.25">
      <c r="B101" s="48">
        <f t="shared" si="10"/>
        <v>99</v>
      </c>
      <c r="C101" s="48">
        <f t="shared" si="6"/>
        <v>406</v>
      </c>
      <c r="D101" s="48">
        <f t="shared" si="7"/>
        <v>99</v>
      </c>
      <c r="E101" s="48">
        <f t="shared" si="8"/>
        <v>1</v>
      </c>
      <c r="F101" s="49">
        <f t="shared" si="9"/>
        <v>2.442002442002442E-4</v>
      </c>
      <c r="G101" s="49">
        <f t="shared" si="11"/>
        <v>1.0101010101010102E-2</v>
      </c>
    </row>
    <row r="102" spans="2:7" x14ac:dyDescent="0.25">
      <c r="B102" s="48">
        <f t="shared" si="10"/>
        <v>100</v>
      </c>
      <c r="C102" s="48">
        <f t="shared" si="6"/>
        <v>410</v>
      </c>
      <c r="D102" s="48">
        <f t="shared" si="7"/>
        <v>100</v>
      </c>
      <c r="E102" s="48">
        <f t="shared" si="8"/>
        <v>1</v>
      </c>
      <c r="F102" s="49">
        <f t="shared" si="9"/>
        <v>2.442002442002442E-4</v>
      </c>
      <c r="G102" s="49">
        <f t="shared" si="11"/>
        <v>0.01</v>
      </c>
    </row>
    <row r="103" spans="2:7" x14ac:dyDescent="0.25">
      <c r="B103" s="48">
        <f t="shared" si="10"/>
        <v>101</v>
      </c>
      <c r="C103" s="48">
        <f t="shared" si="6"/>
        <v>414</v>
      </c>
      <c r="D103" s="48">
        <f t="shared" si="7"/>
        <v>101</v>
      </c>
      <c r="E103" s="48">
        <f t="shared" si="8"/>
        <v>1</v>
      </c>
      <c r="F103" s="49">
        <f t="shared" si="9"/>
        <v>2.442002442002442E-4</v>
      </c>
      <c r="G103" s="49">
        <f t="shared" si="11"/>
        <v>9.9009900990099011E-3</v>
      </c>
    </row>
    <row r="104" spans="2:7" x14ac:dyDescent="0.25">
      <c r="B104" s="48">
        <f t="shared" si="10"/>
        <v>102</v>
      </c>
      <c r="C104" s="48">
        <f t="shared" si="6"/>
        <v>418</v>
      </c>
      <c r="D104" s="48">
        <f t="shared" si="7"/>
        <v>102</v>
      </c>
      <c r="E104" s="48">
        <f t="shared" si="8"/>
        <v>1</v>
      </c>
      <c r="F104" s="49">
        <f t="shared" si="9"/>
        <v>2.442002442002442E-4</v>
      </c>
      <c r="G104" s="49">
        <f t="shared" si="11"/>
        <v>9.8039215686274508E-3</v>
      </c>
    </row>
    <row r="105" spans="2:7" x14ac:dyDescent="0.25">
      <c r="B105" s="48">
        <f t="shared" si="10"/>
        <v>103</v>
      </c>
      <c r="C105" s="48">
        <f t="shared" si="6"/>
        <v>422</v>
      </c>
      <c r="D105" s="48">
        <f t="shared" si="7"/>
        <v>103</v>
      </c>
      <c r="E105" s="48">
        <f t="shared" si="8"/>
        <v>1</v>
      </c>
      <c r="F105" s="49">
        <f t="shared" si="9"/>
        <v>2.442002442002442E-4</v>
      </c>
      <c r="G105" s="49">
        <f t="shared" si="11"/>
        <v>9.7087378640776691E-3</v>
      </c>
    </row>
    <row r="106" spans="2:7" x14ac:dyDescent="0.25">
      <c r="B106" s="48">
        <f t="shared" si="10"/>
        <v>104</v>
      </c>
      <c r="C106" s="48">
        <f t="shared" si="6"/>
        <v>426</v>
      </c>
      <c r="D106" s="48">
        <f t="shared" si="7"/>
        <v>104</v>
      </c>
      <c r="E106" s="48">
        <f t="shared" si="8"/>
        <v>1</v>
      </c>
      <c r="F106" s="49">
        <f t="shared" si="9"/>
        <v>2.442002442002442E-4</v>
      </c>
      <c r="G106" s="49">
        <f t="shared" si="11"/>
        <v>9.6153846153846159E-3</v>
      </c>
    </row>
    <row r="107" spans="2:7" x14ac:dyDescent="0.25">
      <c r="B107" s="48">
        <f t="shared" si="10"/>
        <v>105</v>
      </c>
      <c r="C107" s="48">
        <f t="shared" si="6"/>
        <v>430</v>
      </c>
      <c r="D107" s="48">
        <f t="shared" si="7"/>
        <v>105</v>
      </c>
      <c r="E107" s="48">
        <f t="shared" si="8"/>
        <v>1</v>
      </c>
      <c r="F107" s="49">
        <f t="shared" si="9"/>
        <v>2.442002442002442E-4</v>
      </c>
      <c r="G107" s="49">
        <f t="shared" si="11"/>
        <v>9.5238095238095247E-3</v>
      </c>
    </row>
    <row r="108" spans="2:7" x14ac:dyDescent="0.25">
      <c r="B108" s="48">
        <f t="shared" si="10"/>
        <v>106</v>
      </c>
      <c r="C108" s="48">
        <f t="shared" si="6"/>
        <v>435</v>
      </c>
      <c r="D108" s="48">
        <f t="shared" si="7"/>
        <v>106</v>
      </c>
      <c r="E108" s="48">
        <f t="shared" si="8"/>
        <v>1</v>
      </c>
      <c r="F108" s="49">
        <f t="shared" si="9"/>
        <v>2.442002442002442E-4</v>
      </c>
      <c r="G108" s="49">
        <f t="shared" si="11"/>
        <v>9.433962264150943E-3</v>
      </c>
    </row>
    <row r="109" spans="2:7" x14ac:dyDescent="0.25">
      <c r="B109" s="48">
        <f t="shared" si="10"/>
        <v>107</v>
      </c>
      <c r="C109" s="48">
        <f t="shared" si="6"/>
        <v>439</v>
      </c>
      <c r="D109" s="48">
        <f t="shared" si="7"/>
        <v>107</v>
      </c>
      <c r="E109" s="48">
        <f t="shared" si="8"/>
        <v>1</v>
      </c>
      <c r="F109" s="49">
        <f t="shared" si="9"/>
        <v>2.442002442002442E-4</v>
      </c>
      <c r="G109" s="49">
        <f t="shared" si="11"/>
        <v>9.3457943925233638E-3</v>
      </c>
    </row>
    <row r="110" spans="2:7" x14ac:dyDescent="0.25">
      <c r="B110" s="48">
        <f t="shared" si="10"/>
        <v>108</v>
      </c>
      <c r="C110" s="48">
        <f t="shared" si="6"/>
        <v>443</v>
      </c>
      <c r="D110" s="48">
        <f t="shared" si="7"/>
        <v>108</v>
      </c>
      <c r="E110" s="48">
        <f t="shared" si="8"/>
        <v>1</v>
      </c>
      <c r="F110" s="49">
        <f t="shared" si="9"/>
        <v>2.442002442002442E-4</v>
      </c>
      <c r="G110" s="49">
        <f t="shared" si="11"/>
        <v>9.2592592592592587E-3</v>
      </c>
    </row>
    <row r="111" spans="2:7" x14ac:dyDescent="0.25">
      <c r="B111" s="48">
        <f t="shared" si="10"/>
        <v>109</v>
      </c>
      <c r="C111" s="48">
        <f t="shared" si="6"/>
        <v>447</v>
      </c>
      <c r="D111" s="48">
        <f t="shared" si="7"/>
        <v>109</v>
      </c>
      <c r="E111" s="48">
        <f t="shared" si="8"/>
        <v>1</v>
      </c>
      <c r="F111" s="49">
        <f t="shared" si="9"/>
        <v>2.442002442002442E-4</v>
      </c>
      <c r="G111" s="49">
        <f t="shared" si="11"/>
        <v>9.1743119266055051E-3</v>
      </c>
    </row>
    <row r="112" spans="2:7" x14ac:dyDescent="0.25">
      <c r="B112" s="48">
        <f t="shared" si="10"/>
        <v>110</v>
      </c>
      <c r="C112" s="48">
        <f t="shared" si="6"/>
        <v>451</v>
      </c>
      <c r="D112" s="48">
        <f t="shared" si="7"/>
        <v>110</v>
      </c>
      <c r="E112" s="48">
        <f t="shared" si="8"/>
        <v>1</v>
      </c>
      <c r="F112" s="49">
        <f t="shared" si="9"/>
        <v>2.442002442002442E-4</v>
      </c>
      <c r="G112" s="49">
        <f t="shared" si="11"/>
        <v>9.0909090909090905E-3</v>
      </c>
    </row>
    <row r="113" spans="2:7" x14ac:dyDescent="0.25">
      <c r="B113" s="48">
        <f t="shared" si="10"/>
        <v>111</v>
      </c>
      <c r="C113" s="48">
        <f t="shared" si="6"/>
        <v>455</v>
      </c>
      <c r="D113" s="48">
        <f t="shared" si="7"/>
        <v>111</v>
      </c>
      <c r="E113" s="48">
        <f t="shared" si="8"/>
        <v>1</v>
      </c>
      <c r="F113" s="49">
        <f t="shared" si="9"/>
        <v>2.442002442002442E-4</v>
      </c>
      <c r="G113" s="49">
        <f t="shared" si="11"/>
        <v>9.0090090090090089E-3</v>
      </c>
    </row>
    <row r="114" spans="2:7" x14ac:dyDescent="0.25">
      <c r="B114" s="48">
        <f t="shared" si="10"/>
        <v>112</v>
      </c>
      <c r="C114" s="48">
        <f t="shared" si="6"/>
        <v>459</v>
      </c>
      <c r="D114" s="48">
        <f t="shared" si="7"/>
        <v>112</v>
      </c>
      <c r="E114" s="48">
        <f t="shared" si="8"/>
        <v>1</v>
      </c>
      <c r="F114" s="49">
        <f t="shared" si="9"/>
        <v>2.442002442002442E-4</v>
      </c>
      <c r="G114" s="49">
        <f t="shared" si="11"/>
        <v>8.9285714285714281E-3</v>
      </c>
    </row>
    <row r="115" spans="2:7" x14ac:dyDescent="0.25">
      <c r="B115" s="48">
        <f t="shared" si="10"/>
        <v>113</v>
      </c>
      <c r="C115" s="48">
        <f t="shared" si="6"/>
        <v>463</v>
      </c>
      <c r="D115" s="48">
        <f t="shared" si="7"/>
        <v>113</v>
      </c>
      <c r="E115" s="48">
        <f t="shared" si="8"/>
        <v>1</v>
      </c>
      <c r="F115" s="49">
        <f t="shared" si="9"/>
        <v>2.442002442002442E-4</v>
      </c>
      <c r="G115" s="49">
        <f t="shared" si="11"/>
        <v>8.8495575221238937E-3</v>
      </c>
    </row>
    <row r="116" spans="2:7" x14ac:dyDescent="0.25">
      <c r="B116" s="48">
        <f t="shared" si="10"/>
        <v>114</v>
      </c>
      <c r="C116" s="48">
        <f t="shared" si="6"/>
        <v>467</v>
      </c>
      <c r="D116" s="48">
        <f t="shared" si="7"/>
        <v>114</v>
      </c>
      <c r="E116" s="48">
        <f t="shared" si="8"/>
        <v>1</v>
      </c>
      <c r="F116" s="49">
        <f t="shared" si="9"/>
        <v>2.442002442002442E-4</v>
      </c>
      <c r="G116" s="49">
        <f t="shared" si="11"/>
        <v>8.771929824561403E-3</v>
      </c>
    </row>
    <row r="117" spans="2:7" x14ac:dyDescent="0.25">
      <c r="B117" s="48">
        <f t="shared" si="10"/>
        <v>115</v>
      </c>
      <c r="C117" s="48">
        <f t="shared" si="6"/>
        <v>471</v>
      </c>
      <c r="D117" s="48">
        <f t="shared" si="7"/>
        <v>115</v>
      </c>
      <c r="E117" s="48">
        <f t="shared" si="8"/>
        <v>1</v>
      </c>
      <c r="F117" s="49">
        <f t="shared" si="9"/>
        <v>2.442002442002442E-4</v>
      </c>
      <c r="G117" s="49">
        <f t="shared" si="11"/>
        <v>8.6956521739130436E-3</v>
      </c>
    </row>
    <row r="118" spans="2:7" x14ac:dyDescent="0.25">
      <c r="B118" s="48">
        <f t="shared" si="10"/>
        <v>116</v>
      </c>
      <c r="C118" s="48">
        <f t="shared" si="6"/>
        <v>475</v>
      </c>
      <c r="D118" s="48">
        <f t="shared" si="7"/>
        <v>116</v>
      </c>
      <c r="E118" s="48">
        <f t="shared" si="8"/>
        <v>1</v>
      </c>
      <c r="F118" s="49">
        <f t="shared" si="9"/>
        <v>2.442002442002442E-4</v>
      </c>
      <c r="G118" s="49">
        <f t="shared" si="11"/>
        <v>8.6206896551724137E-3</v>
      </c>
    </row>
    <row r="119" spans="2:7" x14ac:dyDescent="0.25">
      <c r="B119" s="48">
        <f t="shared" si="10"/>
        <v>117</v>
      </c>
      <c r="C119" s="48">
        <f t="shared" si="6"/>
        <v>480</v>
      </c>
      <c r="D119" s="48">
        <f t="shared" si="7"/>
        <v>117</v>
      </c>
      <c r="E119" s="48">
        <f t="shared" si="8"/>
        <v>1</v>
      </c>
      <c r="F119" s="49">
        <f t="shared" si="9"/>
        <v>2.442002442002442E-4</v>
      </c>
      <c r="G119" s="49">
        <f t="shared" si="11"/>
        <v>8.5470085470085479E-3</v>
      </c>
    </row>
    <row r="120" spans="2:7" x14ac:dyDescent="0.25">
      <c r="B120" s="48">
        <f t="shared" si="10"/>
        <v>118</v>
      </c>
      <c r="C120" s="48">
        <f t="shared" si="6"/>
        <v>484</v>
      </c>
      <c r="D120" s="48">
        <f t="shared" si="7"/>
        <v>118</v>
      </c>
      <c r="E120" s="48">
        <f t="shared" si="8"/>
        <v>1</v>
      </c>
      <c r="F120" s="49">
        <f t="shared" si="9"/>
        <v>2.442002442002442E-4</v>
      </c>
      <c r="G120" s="49">
        <f t="shared" si="11"/>
        <v>8.4745762711864406E-3</v>
      </c>
    </row>
    <row r="121" spans="2:7" x14ac:dyDescent="0.25">
      <c r="B121" s="48">
        <f t="shared" si="10"/>
        <v>119</v>
      </c>
      <c r="C121" s="48">
        <f t="shared" si="6"/>
        <v>488</v>
      </c>
      <c r="D121" s="48">
        <f t="shared" si="7"/>
        <v>119</v>
      </c>
      <c r="E121" s="48">
        <f t="shared" si="8"/>
        <v>1</v>
      </c>
      <c r="F121" s="49">
        <f t="shared" si="9"/>
        <v>2.442002442002442E-4</v>
      </c>
      <c r="G121" s="49">
        <f t="shared" si="11"/>
        <v>8.4033613445378148E-3</v>
      </c>
    </row>
    <row r="122" spans="2:7" x14ac:dyDescent="0.25">
      <c r="B122" s="48">
        <f t="shared" si="10"/>
        <v>120</v>
      </c>
      <c r="C122" s="48">
        <f t="shared" si="6"/>
        <v>492</v>
      </c>
      <c r="D122" s="48">
        <f t="shared" si="7"/>
        <v>120</v>
      </c>
      <c r="E122" s="48">
        <f t="shared" si="8"/>
        <v>1</v>
      </c>
      <c r="F122" s="49">
        <f t="shared" si="9"/>
        <v>2.442002442002442E-4</v>
      </c>
      <c r="G122" s="49">
        <f t="shared" si="11"/>
        <v>8.3333333333333332E-3</v>
      </c>
    </row>
    <row r="123" spans="2:7" x14ac:dyDescent="0.25">
      <c r="B123" s="48">
        <f t="shared" si="10"/>
        <v>121</v>
      </c>
      <c r="C123" s="48">
        <f t="shared" si="6"/>
        <v>496</v>
      </c>
      <c r="D123" s="48">
        <f t="shared" si="7"/>
        <v>121</v>
      </c>
      <c r="E123" s="48">
        <f t="shared" si="8"/>
        <v>1</v>
      </c>
      <c r="F123" s="49">
        <f t="shared" si="9"/>
        <v>2.442002442002442E-4</v>
      </c>
      <c r="G123" s="49">
        <f t="shared" si="11"/>
        <v>8.2644628099173556E-3</v>
      </c>
    </row>
    <row r="124" spans="2:7" x14ac:dyDescent="0.25">
      <c r="B124" s="48">
        <f t="shared" si="10"/>
        <v>122</v>
      </c>
      <c r="C124" s="48">
        <f t="shared" si="6"/>
        <v>500</v>
      </c>
      <c r="D124" s="48">
        <f t="shared" si="7"/>
        <v>122</v>
      </c>
      <c r="E124" s="48">
        <f t="shared" si="8"/>
        <v>1</v>
      </c>
      <c r="F124" s="49">
        <f t="shared" si="9"/>
        <v>2.442002442002442E-4</v>
      </c>
      <c r="G124" s="49">
        <f t="shared" si="11"/>
        <v>8.1967213114754103E-3</v>
      </c>
    </row>
    <row r="125" spans="2:7" x14ac:dyDescent="0.25">
      <c r="B125" s="48">
        <f t="shared" si="10"/>
        <v>123</v>
      </c>
      <c r="C125" s="48">
        <f t="shared" si="6"/>
        <v>504</v>
      </c>
      <c r="D125" s="48">
        <f t="shared" si="7"/>
        <v>123</v>
      </c>
      <c r="E125" s="48">
        <f t="shared" si="8"/>
        <v>1</v>
      </c>
      <c r="F125" s="49">
        <f t="shared" si="9"/>
        <v>2.442002442002442E-4</v>
      </c>
      <c r="G125" s="49">
        <f t="shared" si="11"/>
        <v>8.130081300813009E-3</v>
      </c>
    </row>
    <row r="126" spans="2:7" x14ac:dyDescent="0.25">
      <c r="B126" s="48">
        <f t="shared" si="10"/>
        <v>124</v>
      </c>
      <c r="C126" s="48">
        <f t="shared" si="6"/>
        <v>508</v>
      </c>
      <c r="D126" s="48">
        <f t="shared" si="7"/>
        <v>124</v>
      </c>
      <c r="E126" s="48">
        <f t="shared" si="8"/>
        <v>1</v>
      </c>
      <c r="F126" s="49">
        <f t="shared" si="9"/>
        <v>2.442002442002442E-4</v>
      </c>
      <c r="G126" s="49">
        <f t="shared" si="11"/>
        <v>8.0645161290322578E-3</v>
      </c>
    </row>
    <row r="127" spans="2:7" x14ac:dyDescent="0.25">
      <c r="B127" s="48">
        <f t="shared" si="10"/>
        <v>125</v>
      </c>
      <c r="C127" s="48">
        <f t="shared" si="6"/>
        <v>512</v>
      </c>
      <c r="D127" s="48">
        <f t="shared" si="7"/>
        <v>125</v>
      </c>
      <c r="E127" s="48">
        <f t="shared" si="8"/>
        <v>1</v>
      </c>
      <c r="F127" s="49">
        <f t="shared" si="9"/>
        <v>2.442002442002442E-4</v>
      </c>
      <c r="G127" s="49">
        <f t="shared" si="11"/>
        <v>8.0000000000000002E-3</v>
      </c>
    </row>
    <row r="128" spans="2:7" x14ac:dyDescent="0.25">
      <c r="B128" s="48">
        <f t="shared" si="10"/>
        <v>126</v>
      </c>
      <c r="C128" s="48">
        <f t="shared" si="6"/>
        <v>516</v>
      </c>
      <c r="D128" s="48">
        <f t="shared" si="7"/>
        <v>126</v>
      </c>
      <c r="E128" s="48">
        <f t="shared" si="8"/>
        <v>1</v>
      </c>
      <c r="F128" s="49">
        <f t="shared" si="9"/>
        <v>2.442002442002442E-4</v>
      </c>
      <c r="G128" s="49">
        <f t="shared" si="11"/>
        <v>7.9365079365079361E-3</v>
      </c>
    </row>
    <row r="129" spans="2:7" x14ac:dyDescent="0.25">
      <c r="B129" s="48">
        <f t="shared" si="10"/>
        <v>127</v>
      </c>
      <c r="C129" s="48">
        <f t="shared" si="6"/>
        <v>521</v>
      </c>
      <c r="D129" s="48">
        <f t="shared" si="7"/>
        <v>127</v>
      </c>
      <c r="E129" s="48">
        <f t="shared" si="8"/>
        <v>1</v>
      </c>
      <c r="F129" s="49">
        <f t="shared" si="9"/>
        <v>2.442002442002442E-4</v>
      </c>
      <c r="G129" s="49">
        <f t="shared" si="11"/>
        <v>7.874015748031496E-3</v>
      </c>
    </row>
    <row r="130" spans="2:7" x14ac:dyDescent="0.25">
      <c r="B130" s="48">
        <f t="shared" si="10"/>
        <v>128</v>
      </c>
      <c r="C130" s="48">
        <f t="shared" si="6"/>
        <v>525</v>
      </c>
      <c r="D130" s="48">
        <f t="shared" si="7"/>
        <v>128</v>
      </c>
      <c r="E130" s="48">
        <f t="shared" si="8"/>
        <v>1</v>
      </c>
      <c r="F130" s="49">
        <f t="shared" si="9"/>
        <v>2.442002442002442E-4</v>
      </c>
      <c r="G130" s="49">
        <f t="shared" si="11"/>
        <v>7.8125E-3</v>
      </c>
    </row>
    <row r="131" spans="2:7" x14ac:dyDescent="0.25">
      <c r="B131" s="48">
        <f t="shared" si="10"/>
        <v>129</v>
      </c>
      <c r="C131" s="48">
        <f t="shared" ref="C131:C194" si="12">ROUND(B131*C$1/(B$1-1),0)</f>
        <v>529</v>
      </c>
      <c r="D131" s="48">
        <f t="shared" ref="D131:D194" si="13">MAX(ROUND(D$1^(B131+1),0),B131)</f>
        <v>129</v>
      </c>
      <c r="E131" s="48">
        <f t="shared" ref="E131:E194" si="14">D131-D130</f>
        <v>1</v>
      </c>
      <c r="F131" s="49">
        <f t="shared" ref="F131:F194" si="15">E131/C$1</f>
        <v>2.442002442002442E-4</v>
      </c>
      <c r="G131" s="49">
        <f t="shared" si="11"/>
        <v>7.7519379844961239E-3</v>
      </c>
    </row>
    <row r="132" spans="2:7" x14ac:dyDescent="0.25">
      <c r="B132" s="48">
        <f t="shared" ref="B132:B195" si="16">B131+1</f>
        <v>130</v>
      </c>
      <c r="C132" s="48">
        <f t="shared" si="12"/>
        <v>533</v>
      </c>
      <c r="D132" s="48">
        <f t="shared" si="13"/>
        <v>130</v>
      </c>
      <c r="E132" s="48">
        <f t="shared" si="14"/>
        <v>1</v>
      </c>
      <c r="F132" s="49">
        <f t="shared" si="15"/>
        <v>2.442002442002442E-4</v>
      </c>
      <c r="G132" s="49">
        <f t="shared" ref="G132:G195" si="17">E132/D132</f>
        <v>7.6923076923076927E-3</v>
      </c>
    </row>
    <row r="133" spans="2:7" x14ac:dyDescent="0.25">
      <c r="B133" s="48">
        <f t="shared" si="16"/>
        <v>131</v>
      </c>
      <c r="C133" s="48">
        <f t="shared" si="12"/>
        <v>537</v>
      </c>
      <c r="D133" s="48">
        <f t="shared" si="13"/>
        <v>131</v>
      </c>
      <c r="E133" s="48">
        <f t="shared" si="14"/>
        <v>1</v>
      </c>
      <c r="F133" s="49">
        <f t="shared" si="15"/>
        <v>2.442002442002442E-4</v>
      </c>
      <c r="G133" s="49">
        <f t="shared" si="17"/>
        <v>7.6335877862595417E-3</v>
      </c>
    </row>
    <row r="134" spans="2:7" x14ac:dyDescent="0.25">
      <c r="B134" s="48">
        <f t="shared" si="16"/>
        <v>132</v>
      </c>
      <c r="C134" s="48">
        <f t="shared" si="12"/>
        <v>541</v>
      </c>
      <c r="D134" s="48">
        <f t="shared" si="13"/>
        <v>132</v>
      </c>
      <c r="E134" s="48">
        <f t="shared" si="14"/>
        <v>1</v>
      </c>
      <c r="F134" s="49">
        <f t="shared" si="15"/>
        <v>2.442002442002442E-4</v>
      </c>
      <c r="G134" s="49">
        <f t="shared" si="17"/>
        <v>7.575757575757576E-3</v>
      </c>
    </row>
    <row r="135" spans="2:7" x14ac:dyDescent="0.25">
      <c r="B135" s="48">
        <f t="shared" si="16"/>
        <v>133</v>
      </c>
      <c r="C135" s="48">
        <f t="shared" si="12"/>
        <v>545</v>
      </c>
      <c r="D135" s="48">
        <f t="shared" si="13"/>
        <v>133</v>
      </c>
      <c r="E135" s="48">
        <f t="shared" si="14"/>
        <v>1</v>
      </c>
      <c r="F135" s="49">
        <f t="shared" si="15"/>
        <v>2.442002442002442E-4</v>
      </c>
      <c r="G135" s="49">
        <f t="shared" si="17"/>
        <v>7.5187969924812026E-3</v>
      </c>
    </row>
    <row r="136" spans="2:7" x14ac:dyDescent="0.25">
      <c r="B136" s="48">
        <f t="shared" si="16"/>
        <v>134</v>
      </c>
      <c r="C136" s="48">
        <f t="shared" si="12"/>
        <v>549</v>
      </c>
      <c r="D136" s="48">
        <f t="shared" si="13"/>
        <v>134</v>
      </c>
      <c r="E136" s="48">
        <f t="shared" si="14"/>
        <v>1</v>
      </c>
      <c r="F136" s="49">
        <f t="shared" si="15"/>
        <v>2.442002442002442E-4</v>
      </c>
      <c r="G136" s="49">
        <f t="shared" si="17"/>
        <v>7.462686567164179E-3</v>
      </c>
    </row>
    <row r="137" spans="2:7" x14ac:dyDescent="0.25">
      <c r="B137" s="48">
        <f t="shared" si="16"/>
        <v>135</v>
      </c>
      <c r="C137" s="48">
        <f t="shared" si="12"/>
        <v>553</v>
      </c>
      <c r="D137" s="48">
        <f t="shared" si="13"/>
        <v>135</v>
      </c>
      <c r="E137" s="48">
        <f t="shared" si="14"/>
        <v>1</v>
      </c>
      <c r="F137" s="49">
        <f t="shared" si="15"/>
        <v>2.442002442002442E-4</v>
      </c>
      <c r="G137" s="49">
        <f t="shared" si="17"/>
        <v>7.4074074074074077E-3</v>
      </c>
    </row>
    <row r="138" spans="2:7" x14ac:dyDescent="0.25">
      <c r="B138" s="48">
        <f t="shared" si="16"/>
        <v>136</v>
      </c>
      <c r="C138" s="48">
        <f t="shared" si="12"/>
        <v>557</v>
      </c>
      <c r="D138" s="48">
        <f t="shared" si="13"/>
        <v>136</v>
      </c>
      <c r="E138" s="48">
        <f t="shared" si="14"/>
        <v>1</v>
      </c>
      <c r="F138" s="49">
        <f t="shared" si="15"/>
        <v>2.442002442002442E-4</v>
      </c>
      <c r="G138" s="49">
        <f t="shared" si="17"/>
        <v>7.3529411764705881E-3</v>
      </c>
    </row>
    <row r="139" spans="2:7" x14ac:dyDescent="0.25">
      <c r="B139" s="48">
        <f t="shared" si="16"/>
        <v>137</v>
      </c>
      <c r="C139" s="48">
        <f t="shared" si="12"/>
        <v>562</v>
      </c>
      <c r="D139" s="48">
        <f t="shared" si="13"/>
        <v>137</v>
      </c>
      <c r="E139" s="48">
        <f t="shared" si="14"/>
        <v>1</v>
      </c>
      <c r="F139" s="49">
        <f t="shared" si="15"/>
        <v>2.442002442002442E-4</v>
      </c>
      <c r="G139" s="49">
        <f t="shared" si="17"/>
        <v>7.2992700729927005E-3</v>
      </c>
    </row>
    <row r="140" spans="2:7" x14ac:dyDescent="0.25">
      <c r="B140" s="48">
        <f t="shared" si="16"/>
        <v>138</v>
      </c>
      <c r="C140" s="48">
        <f t="shared" si="12"/>
        <v>566</v>
      </c>
      <c r="D140" s="48">
        <f t="shared" si="13"/>
        <v>138</v>
      </c>
      <c r="E140" s="48">
        <f t="shared" si="14"/>
        <v>1</v>
      </c>
      <c r="F140" s="49">
        <f t="shared" si="15"/>
        <v>2.442002442002442E-4</v>
      </c>
      <c r="G140" s="49">
        <f t="shared" si="17"/>
        <v>7.246376811594203E-3</v>
      </c>
    </row>
    <row r="141" spans="2:7" x14ac:dyDescent="0.25">
      <c r="B141" s="48">
        <f t="shared" si="16"/>
        <v>139</v>
      </c>
      <c r="C141" s="48">
        <f t="shared" si="12"/>
        <v>570</v>
      </c>
      <c r="D141" s="48">
        <f t="shared" si="13"/>
        <v>139</v>
      </c>
      <c r="E141" s="48">
        <f t="shared" si="14"/>
        <v>1</v>
      </c>
      <c r="F141" s="49">
        <f t="shared" si="15"/>
        <v>2.442002442002442E-4</v>
      </c>
      <c r="G141" s="49">
        <f t="shared" si="17"/>
        <v>7.1942446043165471E-3</v>
      </c>
    </row>
    <row r="142" spans="2:7" x14ac:dyDescent="0.25">
      <c r="B142" s="48">
        <f t="shared" si="16"/>
        <v>140</v>
      </c>
      <c r="C142" s="48">
        <f t="shared" si="12"/>
        <v>574</v>
      </c>
      <c r="D142" s="48">
        <f t="shared" si="13"/>
        <v>140</v>
      </c>
      <c r="E142" s="48">
        <f t="shared" si="14"/>
        <v>1</v>
      </c>
      <c r="F142" s="49">
        <f t="shared" si="15"/>
        <v>2.442002442002442E-4</v>
      </c>
      <c r="G142" s="49">
        <f t="shared" si="17"/>
        <v>7.1428571428571426E-3</v>
      </c>
    </row>
    <row r="143" spans="2:7" x14ac:dyDescent="0.25">
      <c r="B143" s="48">
        <f t="shared" si="16"/>
        <v>141</v>
      </c>
      <c r="C143" s="48">
        <f t="shared" si="12"/>
        <v>578</v>
      </c>
      <c r="D143" s="48">
        <f t="shared" si="13"/>
        <v>141</v>
      </c>
      <c r="E143" s="48">
        <f t="shared" si="14"/>
        <v>1</v>
      </c>
      <c r="F143" s="49">
        <f t="shared" si="15"/>
        <v>2.442002442002442E-4</v>
      </c>
      <c r="G143" s="49">
        <f t="shared" si="17"/>
        <v>7.0921985815602835E-3</v>
      </c>
    </row>
    <row r="144" spans="2:7" x14ac:dyDescent="0.25">
      <c r="B144" s="48">
        <f t="shared" si="16"/>
        <v>142</v>
      </c>
      <c r="C144" s="48">
        <f t="shared" si="12"/>
        <v>582</v>
      </c>
      <c r="D144" s="48">
        <f t="shared" si="13"/>
        <v>142</v>
      </c>
      <c r="E144" s="48">
        <f t="shared" si="14"/>
        <v>1</v>
      </c>
      <c r="F144" s="49">
        <f t="shared" si="15"/>
        <v>2.442002442002442E-4</v>
      </c>
      <c r="G144" s="49">
        <f t="shared" si="17"/>
        <v>7.0422535211267607E-3</v>
      </c>
    </row>
    <row r="145" spans="2:7" x14ac:dyDescent="0.25">
      <c r="B145" s="48">
        <f t="shared" si="16"/>
        <v>143</v>
      </c>
      <c r="C145" s="48">
        <f t="shared" si="12"/>
        <v>586</v>
      </c>
      <c r="D145" s="48">
        <f t="shared" si="13"/>
        <v>143</v>
      </c>
      <c r="E145" s="48">
        <f t="shared" si="14"/>
        <v>1</v>
      </c>
      <c r="F145" s="49">
        <f t="shared" si="15"/>
        <v>2.442002442002442E-4</v>
      </c>
      <c r="G145" s="49">
        <f t="shared" si="17"/>
        <v>6.993006993006993E-3</v>
      </c>
    </row>
    <row r="146" spans="2:7" x14ac:dyDescent="0.25">
      <c r="B146" s="48">
        <f t="shared" si="16"/>
        <v>144</v>
      </c>
      <c r="C146" s="48">
        <f t="shared" si="12"/>
        <v>590</v>
      </c>
      <c r="D146" s="48">
        <f t="shared" si="13"/>
        <v>144</v>
      </c>
      <c r="E146" s="48">
        <f t="shared" si="14"/>
        <v>1</v>
      </c>
      <c r="F146" s="49">
        <f t="shared" si="15"/>
        <v>2.442002442002442E-4</v>
      </c>
      <c r="G146" s="49">
        <f t="shared" si="17"/>
        <v>6.9444444444444441E-3</v>
      </c>
    </row>
    <row r="147" spans="2:7" x14ac:dyDescent="0.25">
      <c r="B147" s="48">
        <f t="shared" si="16"/>
        <v>145</v>
      </c>
      <c r="C147" s="48">
        <f t="shared" si="12"/>
        <v>594</v>
      </c>
      <c r="D147" s="48">
        <f t="shared" si="13"/>
        <v>145</v>
      </c>
      <c r="E147" s="48">
        <f t="shared" si="14"/>
        <v>1</v>
      </c>
      <c r="F147" s="49">
        <f t="shared" si="15"/>
        <v>2.442002442002442E-4</v>
      </c>
      <c r="G147" s="49">
        <f t="shared" si="17"/>
        <v>6.8965517241379309E-3</v>
      </c>
    </row>
    <row r="148" spans="2:7" x14ac:dyDescent="0.25">
      <c r="B148" s="48">
        <f t="shared" si="16"/>
        <v>146</v>
      </c>
      <c r="C148" s="48">
        <f t="shared" si="12"/>
        <v>598</v>
      </c>
      <c r="D148" s="48">
        <f t="shared" si="13"/>
        <v>146</v>
      </c>
      <c r="E148" s="48">
        <f t="shared" si="14"/>
        <v>1</v>
      </c>
      <c r="F148" s="49">
        <f t="shared" si="15"/>
        <v>2.442002442002442E-4</v>
      </c>
      <c r="G148" s="49">
        <f t="shared" si="17"/>
        <v>6.8493150684931503E-3</v>
      </c>
    </row>
    <row r="149" spans="2:7" x14ac:dyDescent="0.25">
      <c r="B149" s="48">
        <f t="shared" si="16"/>
        <v>147</v>
      </c>
      <c r="C149" s="48">
        <f t="shared" si="12"/>
        <v>603</v>
      </c>
      <c r="D149" s="48">
        <f t="shared" si="13"/>
        <v>147</v>
      </c>
      <c r="E149" s="48">
        <f t="shared" si="14"/>
        <v>1</v>
      </c>
      <c r="F149" s="49">
        <f t="shared" si="15"/>
        <v>2.442002442002442E-4</v>
      </c>
      <c r="G149" s="49">
        <f t="shared" si="17"/>
        <v>6.8027210884353739E-3</v>
      </c>
    </row>
    <row r="150" spans="2:7" x14ac:dyDescent="0.25">
      <c r="B150" s="48">
        <f t="shared" si="16"/>
        <v>148</v>
      </c>
      <c r="C150" s="48">
        <f t="shared" si="12"/>
        <v>607</v>
      </c>
      <c r="D150" s="48">
        <f t="shared" si="13"/>
        <v>148</v>
      </c>
      <c r="E150" s="48">
        <f t="shared" si="14"/>
        <v>1</v>
      </c>
      <c r="F150" s="49">
        <f t="shared" si="15"/>
        <v>2.442002442002442E-4</v>
      </c>
      <c r="G150" s="49">
        <f t="shared" si="17"/>
        <v>6.7567567567567571E-3</v>
      </c>
    </row>
    <row r="151" spans="2:7" x14ac:dyDescent="0.25">
      <c r="B151" s="48">
        <f t="shared" si="16"/>
        <v>149</v>
      </c>
      <c r="C151" s="48">
        <f t="shared" si="12"/>
        <v>611</v>
      </c>
      <c r="D151" s="48">
        <f t="shared" si="13"/>
        <v>149</v>
      </c>
      <c r="E151" s="48">
        <f t="shared" si="14"/>
        <v>1</v>
      </c>
      <c r="F151" s="49">
        <f t="shared" si="15"/>
        <v>2.442002442002442E-4</v>
      </c>
      <c r="G151" s="49">
        <f t="shared" si="17"/>
        <v>6.7114093959731542E-3</v>
      </c>
    </row>
    <row r="152" spans="2:7" x14ac:dyDescent="0.25">
      <c r="B152" s="48">
        <f t="shared" si="16"/>
        <v>150</v>
      </c>
      <c r="C152" s="48">
        <f t="shared" si="12"/>
        <v>615</v>
      </c>
      <c r="D152" s="48">
        <f t="shared" si="13"/>
        <v>150</v>
      </c>
      <c r="E152" s="48">
        <f t="shared" si="14"/>
        <v>1</v>
      </c>
      <c r="F152" s="49">
        <f t="shared" si="15"/>
        <v>2.442002442002442E-4</v>
      </c>
      <c r="G152" s="49">
        <f t="shared" si="17"/>
        <v>6.6666666666666671E-3</v>
      </c>
    </row>
    <row r="153" spans="2:7" x14ac:dyDescent="0.25">
      <c r="B153" s="48">
        <f t="shared" si="16"/>
        <v>151</v>
      </c>
      <c r="C153" s="48">
        <f t="shared" si="12"/>
        <v>619</v>
      </c>
      <c r="D153" s="48">
        <f t="shared" si="13"/>
        <v>151</v>
      </c>
      <c r="E153" s="48">
        <f t="shared" si="14"/>
        <v>1</v>
      </c>
      <c r="F153" s="49">
        <f t="shared" si="15"/>
        <v>2.442002442002442E-4</v>
      </c>
      <c r="G153" s="49">
        <f t="shared" si="17"/>
        <v>6.6225165562913907E-3</v>
      </c>
    </row>
    <row r="154" spans="2:7" x14ac:dyDescent="0.25">
      <c r="B154" s="48">
        <f t="shared" si="16"/>
        <v>152</v>
      </c>
      <c r="C154" s="48">
        <f t="shared" si="12"/>
        <v>623</v>
      </c>
      <c r="D154" s="48">
        <f t="shared" si="13"/>
        <v>152</v>
      </c>
      <c r="E154" s="48">
        <f t="shared" si="14"/>
        <v>1</v>
      </c>
      <c r="F154" s="49">
        <f t="shared" si="15"/>
        <v>2.442002442002442E-4</v>
      </c>
      <c r="G154" s="49">
        <f t="shared" si="17"/>
        <v>6.5789473684210523E-3</v>
      </c>
    </row>
    <row r="155" spans="2:7" x14ac:dyDescent="0.25">
      <c r="B155" s="48">
        <f t="shared" si="16"/>
        <v>153</v>
      </c>
      <c r="C155" s="48">
        <f t="shared" si="12"/>
        <v>627</v>
      </c>
      <c r="D155" s="48">
        <f t="shared" si="13"/>
        <v>153</v>
      </c>
      <c r="E155" s="48">
        <f t="shared" si="14"/>
        <v>1</v>
      </c>
      <c r="F155" s="49">
        <f t="shared" si="15"/>
        <v>2.442002442002442E-4</v>
      </c>
      <c r="G155" s="49">
        <f t="shared" si="17"/>
        <v>6.5359477124183009E-3</v>
      </c>
    </row>
    <row r="156" spans="2:7" x14ac:dyDescent="0.25">
      <c r="B156" s="48">
        <f t="shared" si="16"/>
        <v>154</v>
      </c>
      <c r="C156" s="48">
        <f t="shared" si="12"/>
        <v>631</v>
      </c>
      <c r="D156" s="48">
        <f t="shared" si="13"/>
        <v>154</v>
      </c>
      <c r="E156" s="48">
        <f t="shared" si="14"/>
        <v>1</v>
      </c>
      <c r="F156" s="49">
        <f t="shared" si="15"/>
        <v>2.442002442002442E-4</v>
      </c>
      <c r="G156" s="49">
        <f t="shared" si="17"/>
        <v>6.4935064935064939E-3</v>
      </c>
    </row>
    <row r="157" spans="2:7" x14ac:dyDescent="0.25">
      <c r="B157" s="48">
        <f t="shared" si="16"/>
        <v>155</v>
      </c>
      <c r="C157" s="48">
        <f t="shared" si="12"/>
        <v>635</v>
      </c>
      <c r="D157" s="48">
        <f t="shared" si="13"/>
        <v>155</v>
      </c>
      <c r="E157" s="48">
        <f t="shared" si="14"/>
        <v>1</v>
      </c>
      <c r="F157" s="49">
        <f t="shared" si="15"/>
        <v>2.442002442002442E-4</v>
      </c>
      <c r="G157" s="49">
        <f t="shared" si="17"/>
        <v>6.4516129032258064E-3</v>
      </c>
    </row>
    <row r="158" spans="2:7" x14ac:dyDescent="0.25">
      <c r="B158" s="48">
        <f t="shared" si="16"/>
        <v>156</v>
      </c>
      <c r="C158" s="48">
        <f t="shared" si="12"/>
        <v>639</v>
      </c>
      <c r="D158" s="48">
        <f t="shared" si="13"/>
        <v>156</v>
      </c>
      <c r="E158" s="48">
        <f t="shared" si="14"/>
        <v>1</v>
      </c>
      <c r="F158" s="49">
        <f t="shared" si="15"/>
        <v>2.442002442002442E-4</v>
      </c>
      <c r="G158" s="49">
        <f t="shared" si="17"/>
        <v>6.41025641025641E-3</v>
      </c>
    </row>
    <row r="159" spans="2:7" x14ac:dyDescent="0.25">
      <c r="B159" s="48">
        <f t="shared" si="16"/>
        <v>157</v>
      </c>
      <c r="C159" s="48">
        <f t="shared" si="12"/>
        <v>644</v>
      </c>
      <c r="D159" s="48">
        <f t="shared" si="13"/>
        <v>157</v>
      </c>
      <c r="E159" s="48">
        <f t="shared" si="14"/>
        <v>1</v>
      </c>
      <c r="F159" s="49">
        <f t="shared" si="15"/>
        <v>2.442002442002442E-4</v>
      </c>
      <c r="G159" s="49">
        <f t="shared" si="17"/>
        <v>6.369426751592357E-3</v>
      </c>
    </row>
    <row r="160" spans="2:7" x14ac:dyDescent="0.25">
      <c r="B160" s="48">
        <f t="shared" si="16"/>
        <v>158</v>
      </c>
      <c r="C160" s="48">
        <f t="shared" si="12"/>
        <v>648</v>
      </c>
      <c r="D160" s="48">
        <f t="shared" si="13"/>
        <v>158</v>
      </c>
      <c r="E160" s="48">
        <f t="shared" si="14"/>
        <v>1</v>
      </c>
      <c r="F160" s="49">
        <f t="shared" si="15"/>
        <v>2.442002442002442E-4</v>
      </c>
      <c r="G160" s="49">
        <f t="shared" si="17"/>
        <v>6.3291139240506328E-3</v>
      </c>
    </row>
    <row r="161" spans="2:7" x14ac:dyDescent="0.25">
      <c r="B161" s="48">
        <f t="shared" si="16"/>
        <v>159</v>
      </c>
      <c r="C161" s="48">
        <f t="shared" si="12"/>
        <v>652</v>
      </c>
      <c r="D161" s="48">
        <f t="shared" si="13"/>
        <v>159</v>
      </c>
      <c r="E161" s="48">
        <f t="shared" si="14"/>
        <v>1</v>
      </c>
      <c r="F161" s="49">
        <f t="shared" si="15"/>
        <v>2.442002442002442E-4</v>
      </c>
      <c r="G161" s="49">
        <f t="shared" si="17"/>
        <v>6.2893081761006293E-3</v>
      </c>
    </row>
    <row r="162" spans="2:7" x14ac:dyDescent="0.25">
      <c r="B162" s="48">
        <f t="shared" si="16"/>
        <v>160</v>
      </c>
      <c r="C162" s="48">
        <f t="shared" si="12"/>
        <v>656</v>
      </c>
      <c r="D162" s="48">
        <f t="shared" si="13"/>
        <v>160</v>
      </c>
      <c r="E162" s="48">
        <f t="shared" si="14"/>
        <v>1</v>
      </c>
      <c r="F162" s="49">
        <f t="shared" si="15"/>
        <v>2.442002442002442E-4</v>
      </c>
      <c r="G162" s="49">
        <f t="shared" si="17"/>
        <v>6.2500000000000003E-3</v>
      </c>
    </row>
    <row r="163" spans="2:7" x14ac:dyDescent="0.25">
      <c r="B163" s="48">
        <f t="shared" si="16"/>
        <v>161</v>
      </c>
      <c r="C163" s="48">
        <f t="shared" si="12"/>
        <v>660</v>
      </c>
      <c r="D163" s="48">
        <f t="shared" si="13"/>
        <v>161</v>
      </c>
      <c r="E163" s="48">
        <f t="shared" si="14"/>
        <v>1</v>
      </c>
      <c r="F163" s="49">
        <f t="shared" si="15"/>
        <v>2.442002442002442E-4</v>
      </c>
      <c r="G163" s="49">
        <f t="shared" si="17"/>
        <v>6.2111801242236021E-3</v>
      </c>
    </row>
    <row r="164" spans="2:7" x14ac:dyDescent="0.25">
      <c r="B164" s="48">
        <f t="shared" si="16"/>
        <v>162</v>
      </c>
      <c r="C164" s="48">
        <f t="shared" si="12"/>
        <v>664</v>
      </c>
      <c r="D164" s="48">
        <f t="shared" si="13"/>
        <v>162</v>
      </c>
      <c r="E164" s="48">
        <f t="shared" si="14"/>
        <v>1</v>
      </c>
      <c r="F164" s="49">
        <f t="shared" si="15"/>
        <v>2.442002442002442E-4</v>
      </c>
      <c r="G164" s="49">
        <f t="shared" si="17"/>
        <v>6.1728395061728392E-3</v>
      </c>
    </row>
    <row r="165" spans="2:7" x14ac:dyDescent="0.25">
      <c r="B165" s="48">
        <f t="shared" si="16"/>
        <v>163</v>
      </c>
      <c r="C165" s="48">
        <f t="shared" si="12"/>
        <v>668</v>
      </c>
      <c r="D165" s="48">
        <f t="shared" si="13"/>
        <v>163</v>
      </c>
      <c r="E165" s="48">
        <f t="shared" si="14"/>
        <v>1</v>
      </c>
      <c r="F165" s="49">
        <f t="shared" si="15"/>
        <v>2.442002442002442E-4</v>
      </c>
      <c r="G165" s="49">
        <f t="shared" si="17"/>
        <v>6.1349693251533744E-3</v>
      </c>
    </row>
    <row r="166" spans="2:7" x14ac:dyDescent="0.25">
      <c r="B166" s="48">
        <f t="shared" si="16"/>
        <v>164</v>
      </c>
      <c r="C166" s="48">
        <f t="shared" si="12"/>
        <v>672</v>
      </c>
      <c r="D166" s="48">
        <f t="shared" si="13"/>
        <v>164</v>
      </c>
      <c r="E166" s="48">
        <f t="shared" si="14"/>
        <v>1</v>
      </c>
      <c r="F166" s="49">
        <f t="shared" si="15"/>
        <v>2.442002442002442E-4</v>
      </c>
      <c r="G166" s="49">
        <f t="shared" si="17"/>
        <v>6.0975609756097563E-3</v>
      </c>
    </row>
    <row r="167" spans="2:7" x14ac:dyDescent="0.25">
      <c r="B167" s="48">
        <f t="shared" si="16"/>
        <v>165</v>
      </c>
      <c r="C167" s="48">
        <f t="shared" si="12"/>
        <v>676</v>
      </c>
      <c r="D167" s="48">
        <f t="shared" si="13"/>
        <v>165</v>
      </c>
      <c r="E167" s="48">
        <f t="shared" si="14"/>
        <v>1</v>
      </c>
      <c r="F167" s="49">
        <f t="shared" si="15"/>
        <v>2.442002442002442E-4</v>
      </c>
      <c r="G167" s="49">
        <f t="shared" si="17"/>
        <v>6.0606060606060606E-3</v>
      </c>
    </row>
    <row r="168" spans="2:7" x14ac:dyDescent="0.25">
      <c r="B168" s="48">
        <f t="shared" si="16"/>
        <v>166</v>
      </c>
      <c r="C168" s="48">
        <f t="shared" si="12"/>
        <v>680</v>
      </c>
      <c r="D168" s="48">
        <f t="shared" si="13"/>
        <v>166</v>
      </c>
      <c r="E168" s="48">
        <f t="shared" si="14"/>
        <v>1</v>
      </c>
      <c r="F168" s="49">
        <f t="shared" si="15"/>
        <v>2.442002442002442E-4</v>
      </c>
      <c r="G168" s="49">
        <f t="shared" si="17"/>
        <v>6.024096385542169E-3</v>
      </c>
    </row>
    <row r="169" spans="2:7" x14ac:dyDescent="0.25">
      <c r="B169" s="48">
        <f t="shared" si="16"/>
        <v>167</v>
      </c>
      <c r="C169" s="48">
        <f t="shared" si="12"/>
        <v>685</v>
      </c>
      <c r="D169" s="48">
        <f t="shared" si="13"/>
        <v>167</v>
      </c>
      <c r="E169" s="48">
        <f t="shared" si="14"/>
        <v>1</v>
      </c>
      <c r="F169" s="49">
        <f t="shared" si="15"/>
        <v>2.442002442002442E-4</v>
      </c>
      <c r="G169" s="49">
        <f t="shared" si="17"/>
        <v>5.9880239520958087E-3</v>
      </c>
    </row>
    <row r="170" spans="2:7" x14ac:dyDescent="0.25">
      <c r="B170" s="48">
        <f t="shared" si="16"/>
        <v>168</v>
      </c>
      <c r="C170" s="48">
        <f t="shared" si="12"/>
        <v>689</v>
      </c>
      <c r="D170" s="48">
        <f t="shared" si="13"/>
        <v>168</v>
      </c>
      <c r="E170" s="48">
        <f t="shared" si="14"/>
        <v>1</v>
      </c>
      <c r="F170" s="49">
        <f t="shared" si="15"/>
        <v>2.442002442002442E-4</v>
      </c>
      <c r="G170" s="49">
        <f t="shared" si="17"/>
        <v>5.9523809523809521E-3</v>
      </c>
    </row>
    <row r="171" spans="2:7" x14ac:dyDescent="0.25">
      <c r="B171" s="48">
        <f t="shared" si="16"/>
        <v>169</v>
      </c>
      <c r="C171" s="48">
        <f t="shared" si="12"/>
        <v>693</v>
      </c>
      <c r="D171" s="48">
        <f t="shared" si="13"/>
        <v>169</v>
      </c>
      <c r="E171" s="48">
        <f t="shared" si="14"/>
        <v>1</v>
      </c>
      <c r="F171" s="49">
        <f t="shared" si="15"/>
        <v>2.442002442002442E-4</v>
      </c>
      <c r="G171" s="49">
        <f t="shared" si="17"/>
        <v>5.9171597633136093E-3</v>
      </c>
    </row>
    <row r="172" spans="2:7" x14ac:dyDescent="0.25">
      <c r="B172" s="48">
        <f t="shared" si="16"/>
        <v>170</v>
      </c>
      <c r="C172" s="48">
        <f t="shared" si="12"/>
        <v>697</v>
      </c>
      <c r="D172" s="48">
        <f t="shared" si="13"/>
        <v>170</v>
      </c>
      <c r="E172" s="48">
        <f t="shared" si="14"/>
        <v>1</v>
      </c>
      <c r="F172" s="49">
        <f t="shared" si="15"/>
        <v>2.442002442002442E-4</v>
      </c>
      <c r="G172" s="49">
        <f t="shared" si="17"/>
        <v>5.8823529411764705E-3</v>
      </c>
    </row>
    <row r="173" spans="2:7" x14ac:dyDescent="0.25">
      <c r="B173" s="48">
        <f t="shared" si="16"/>
        <v>171</v>
      </c>
      <c r="C173" s="48">
        <f t="shared" si="12"/>
        <v>701</v>
      </c>
      <c r="D173" s="48">
        <f t="shared" si="13"/>
        <v>171</v>
      </c>
      <c r="E173" s="48">
        <f t="shared" si="14"/>
        <v>1</v>
      </c>
      <c r="F173" s="49">
        <f t="shared" si="15"/>
        <v>2.442002442002442E-4</v>
      </c>
      <c r="G173" s="49">
        <f t="shared" si="17"/>
        <v>5.8479532163742687E-3</v>
      </c>
    </row>
    <row r="174" spans="2:7" x14ac:dyDescent="0.25">
      <c r="B174" s="48">
        <f t="shared" si="16"/>
        <v>172</v>
      </c>
      <c r="C174" s="48">
        <f t="shared" si="12"/>
        <v>705</v>
      </c>
      <c r="D174" s="48">
        <f t="shared" si="13"/>
        <v>172</v>
      </c>
      <c r="E174" s="48">
        <f t="shared" si="14"/>
        <v>1</v>
      </c>
      <c r="F174" s="49">
        <f t="shared" si="15"/>
        <v>2.442002442002442E-4</v>
      </c>
      <c r="G174" s="49">
        <f t="shared" si="17"/>
        <v>5.8139534883720929E-3</v>
      </c>
    </row>
    <row r="175" spans="2:7" x14ac:dyDescent="0.25">
      <c r="B175" s="48">
        <f t="shared" si="16"/>
        <v>173</v>
      </c>
      <c r="C175" s="48">
        <f t="shared" si="12"/>
        <v>709</v>
      </c>
      <c r="D175" s="48">
        <f t="shared" si="13"/>
        <v>173</v>
      </c>
      <c r="E175" s="48">
        <f t="shared" si="14"/>
        <v>1</v>
      </c>
      <c r="F175" s="49">
        <f t="shared" si="15"/>
        <v>2.442002442002442E-4</v>
      </c>
      <c r="G175" s="49">
        <f t="shared" si="17"/>
        <v>5.7803468208092483E-3</v>
      </c>
    </row>
    <row r="176" spans="2:7" x14ac:dyDescent="0.25">
      <c r="B176" s="48">
        <f t="shared" si="16"/>
        <v>174</v>
      </c>
      <c r="C176" s="48">
        <f t="shared" si="12"/>
        <v>713</v>
      </c>
      <c r="D176" s="48">
        <f t="shared" si="13"/>
        <v>174</v>
      </c>
      <c r="E176" s="48">
        <f t="shared" si="14"/>
        <v>1</v>
      </c>
      <c r="F176" s="49">
        <f t="shared" si="15"/>
        <v>2.442002442002442E-4</v>
      </c>
      <c r="G176" s="49">
        <f t="shared" si="17"/>
        <v>5.7471264367816091E-3</v>
      </c>
    </row>
    <row r="177" spans="2:7" x14ac:dyDescent="0.25">
      <c r="B177" s="48">
        <f t="shared" si="16"/>
        <v>175</v>
      </c>
      <c r="C177" s="48">
        <f t="shared" si="12"/>
        <v>717</v>
      </c>
      <c r="D177" s="48">
        <f t="shared" si="13"/>
        <v>175</v>
      </c>
      <c r="E177" s="48">
        <f t="shared" si="14"/>
        <v>1</v>
      </c>
      <c r="F177" s="49">
        <f t="shared" si="15"/>
        <v>2.442002442002442E-4</v>
      </c>
      <c r="G177" s="49">
        <f t="shared" si="17"/>
        <v>5.7142857142857143E-3</v>
      </c>
    </row>
    <row r="178" spans="2:7" x14ac:dyDescent="0.25">
      <c r="B178" s="48">
        <f t="shared" si="16"/>
        <v>176</v>
      </c>
      <c r="C178" s="48">
        <f t="shared" si="12"/>
        <v>721</v>
      </c>
      <c r="D178" s="48">
        <f t="shared" si="13"/>
        <v>176</v>
      </c>
      <c r="E178" s="48">
        <f t="shared" si="14"/>
        <v>1</v>
      </c>
      <c r="F178" s="49">
        <f t="shared" si="15"/>
        <v>2.442002442002442E-4</v>
      </c>
      <c r="G178" s="49">
        <f t="shared" si="17"/>
        <v>5.681818181818182E-3</v>
      </c>
    </row>
    <row r="179" spans="2:7" x14ac:dyDescent="0.25">
      <c r="B179" s="48">
        <f t="shared" si="16"/>
        <v>177</v>
      </c>
      <c r="C179" s="48">
        <f t="shared" si="12"/>
        <v>726</v>
      </c>
      <c r="D179" s="48">
        <f t="shared" si="13"/>
        <v>177</v>
      </c>
      <c r="E179" s="48">
        <f t="shared" si="14"/>
        <v>1</v>
      </c>
      <c r="F179" s="49">
        <f t="shared" si="15"/>
        <v>2.442002442002442E-4</v>
      </c>
      <c r="G179" s="49">
        <f t="shared" si="17"/>
        <v>5.6497175141242938E-3</v>
      </c>
    </row>
    <row r="180" spans="2:7" x14ac:dyDescent="0.25">
      <c r="B180" s="48">
        <f t="shared" si="16"/>
        <v>178</v>
      </c>
      <c r="C180" s="48">
        <f t="shared" si="12"/>
        <v>730</v>
      </c>
      <c r="D180" s="48">
        <f t="shared" si="13"/>
        <v>178</v>
      </c>
      <c r="E180" s="48">
        <f t="shared" si="14"/>
        <v>1</v>
      </c>
      <c r="F180" s="49">
        <f t="shared" si="15"/>
        <v>2.442002442002442E-4</v>
      </c>
      <c r="G180" s="49">
        <f t="shared" si="17"/>
        <v>5.6179775280898875E-3</v>
      </c>
    </row>
    <row r="181" spans="2:7" x14ac:dyDescent="0.25">
      <c r="B181" s="48">
        <f t="shared" si="16"/>
        <v>179</v>
      </c>
      <c r="C181" s="48">
        <f t="shared" si="12"/>
        <v>734</v>
      </c>
      <c r="D181" s="48">
        <f t="shared" si="13"/>
        <v>179</v>
      </c>
      <c r="E181" s="48">
        <f t="shared" si="14"/>
        <v>1</v>
      </c>
      <c r="F181" s="49">
        <f t="shared" si="15"/>
        <v>2.442002442002442E-4</v>
      </c>
      <c r="G181" s="49">
        <f t="shared" si="17"/>
        <v>5.5865921787709499E-3</v>
      </c>
    </row>
    <row r="182" spans="2:7" x14ac:dyDescent="0.25">
      <c r="B182" s="48">
        <f t="shared" si="16"/>
        <v>180</v>
      </c>
      <c r="C182" s="48">
        <f t="shared" si="12"/>
        <v>738</v>
      </c>
      <c r="D182" s="48">
        <f t="shared" si="13"/>
        <v>180</v>
      </c>
      <c r="E182" s="48">
        <f t="shared" si="14"/>
        <v>1</v>
      </c>
      <c r="F182" s="49">
        <f t="shared" si="15"/>
        <v>2.442002442002442E-4</v>
      </c>
      <c r="G182" s="49">
        <f t="shared" si="17"/>
        <v>5.5555555555555558E-3</v>
      </c>
    </row>
    <row r="183" spans="2:7" x14ac:dyDescent="0.25">
      <c r="B183" s="48">
        <f t="shared" si="16"/>
        <v>181</v>
      </c>
      <c r="C183" s="48">
        <f t="shared" si="12"/>
        <v>742</v>
      </c>
      <c r="D183" s="48">
        <f t="shared" si="13"/>
        <v>181</v>
      </c>
      <c r="E183" s="48">
        <f t="shared" si="14"/>
        <v>1</v>
      </c>
      <c r="F183" s="49">
        <f t="shared" si="15"/>
        <v>2.442002442002442E-4</v>
      </c>
      <c r="G183" s="49">
        <f t="shared" si="17"/>
        <v>5.5248618784530384E-3</v>
      </c>
    </row>
    <row r="184" spans="2:7" x14ac:dyDescent="0.25">
      <c r="B184" s="48">
        <f t="shared" si="16"/>
        <v>182</v>
      </c>
      <c r="C184" s="48">
        <f t="shared" si="12"/>
        <v>746</v>
      </c>
      <c r="D184" s="48">
        <f t="shared" si="13"/>
        <v>182</v>
      </c>
      <c r="E184" s="48">
        <f t="shared" si="14"/>
        <v>1</v>
      </c>
      <c r="F184" s="49">
        <f t="shared" si="15"/>
        <v>2.442002442002442E-4</v>
      </c>
      <c r="G184" s="49">
        <f t="shared" si="17"/>
        <v>5.4945054945054949E-3</v>
      </c>
    </row>
    <row r="185" spans="2:7" x14ac:dyDescent="0.25">
      <c r="B185" s="48">
        <f t="shared" si="16"/>
        <v>183</v>
      </c>
      <c r="C185" s="48">
        <f t="shared" si="12"/>
        <v>750</v>
      </c>
      <c r="D185" s="48">
        <f t="shared" si="13"/>
        <v>183</v>
      </c>
      <c r="E185" s="48">
        <f t="shared" si="14"/>
        <v>1</v>
      </c>
      <c r="F185" s="49">
        <f t="shared" si="15"/>
        <v>2.442002442002442E-4</v>
      </c>
      <c r="G185" s="49">
        <f t="shared" si="17"/>
        <v>5.4644808743169399E-3</v>
      </c>
    </row>
    <row r="186" spans="2:7" x14ac:dyDescent="0.25">
      <c r="B186" s="48">
        <f t="shared" si="16"/>
        <v>184</v>
      </c>
      <c r="C186" s="48">
        <f t="shared" si="12"/>
        <v>754</v>
      </c>
      <c r="D186" s="48">
        <f t="shared" si="13"/>
        <v>184</v>
      </c>
      <c r="E186" s="48">
        <f t="shared" si="14"/>
        <v>1</v>
      </c>
      <c r="F186" s="49">
        <f t="shared" si="15"/>
        <v>2.442002442002442E-4</v>
      </c>
      <c r="G186" s="49">
        <f t="shared" si="17"/>
        <v>5.434782608695652E-3</v>
      </c>
    </row>
    <row r="187" spans="2:7" x14ac:dyDescent="0.25">
      <c r="B187" s="48">
        <f t="shared" si="16"/>
        <v>185</v>
      </c>
      <c r="C187" s="48">
        <f t="shared" si="12"/>
        <v>758</v>
      </c>
      <c r="D187" s="48">
        <f t="shared" si="13"/>
        <v>185</v>
      </c>
      <c r="E187" s="48">
        <f t="shared" si="14"/>
        <v>1</v>
      </c>
      <c r="F187" s="49">
        <f t="shared" si="15"/>
        <v>2.442002442002442E-4</v>
      </c>
      <c r="G187" s="49">
        <f t="shared" si="17"/>
        <v>5.4054054054054057E-3</v>
      </c>
    </row>
    <row r="188" spans="2:7" x14ac:dyDescent="0.25">
      <c r="B188" s="48">
        <f t="shared" si="16"/>
        <v>186</v>
      </c>
      <c r="C188" s="48">
        <f t="shared" si="12"/>
        <v>762</v>
      </c>
      <c r="D188" s="48">
        <f t="shared" si="13"/>
        <v>186</v>
      </c>
      <c r="E188" s="48">
        <f t="shared" si="14"/>
        <v>1</v>
      </c>
      <c r="F188" s="49">
        <f t="shared" si="15"/>
        <v>2.442002442002442E-4</v>
      </c>
      <c r="G188" s="49">
        <f t="shared" si="17"/>
        <v>5.3763440860215058E-3</v>
      </c>
    </row>
    <row r="189" spans="2:7" x14ac:dyDescent="0.25">
      <c r="B189" s="48">
        <f t="shared" si="16"/>
        <v>187</v>
      </c>
      <c r="C189" s="48">
        <f t="shared" si="12"/>
        <v>767</v>
      </c>
      <c r="D189" s="48">
        <f t="shared" si="13"/>
        <v>187</v>
      </c>
      <c r="E189" s="48">
        <f t="shared" si="14"/>
        <v>1</v>
      </c>
      <c r="F189" s="49">
        <f t="shared" si="15"/>
        <v>2.442002442002442E-4</v>
      </c>
      <c r="G189" s="49">
        <f t="shared" si="17"/>
        <v>5.3475935828877002E-3</v>
      </c>
    </row>
    <row r="190" spans="2:7" x14ac:dyDescent="0.25">
      <c r="B190" s="48">
        <f t="shared" si="16"/>
        <v>188</v>
      </c>
      <c r="C190" s="48">
        <f t="shared" si="12"/>
        <v>771</v>
      </c>
      <c r="D190" s="48">
        <f t="shared" si="13"/>
        <v>188</v>
      </c>
      <c r="E190" s="48">
        <f t="shared" si="14"/>
        <v>1</v>
      </c>
      <c r="F190" s="49">
        <f t="shared" si="15"/>
        <v>2.442002442002442E-4</v>
      </c>
      <c r="G190" s="49">
        <f t="shared" si="17"/>
        <v>5.3191489361702126E-3</v>
      </c>
    </row>
    <row r="191" spans="2:7" x14ac:dyDescent="0.25">
      <c r="B191" s="48">
        <f t="shared" si="16"/>
        <v>189</v>
      </c>
      <c r="C191" s="48">
        <f t="shared" si="12"/>
        <v>775</v>
      </c>
      <c r="D191" s="48">
        <f t="shared" si="13"/>
        <v>189</v>
      </c>
      <c r="E191" s="48">
        <f t="shared" si="14"/>
        <v>1</v>
      </c>
      <c r="F191" s="49">
        <f t="shared" si="15"/>
        <v>2.442002442002442E-4</v>
      </c>
      <c r="G191" s="49">
        <f t="shared" si="17"/>
        <v>5.2910052910052907E-3</v>
      </c>
    </row>
    <row r="192" spans="2:7" x14ac:dyDescent="0.25">
      <c r="B192" s="48">
        <f t="shared" si="16"/>
        <v>190</v>
      </c>
      <c r="C192" s="48">
        <f t="shared" si="12"/>
        <v>779</v>
      </c>
      <c r="D192" s="48">
        <f t="shared" si="13"/>
        <v>190</v>
      </c>
      <c r="E192" s="48">
        <f t="shared" si="14"/>
        <v>1</v>
      </c>
      <c r="F192" s="49">
        <f t="shared" si="15"/>
        <v>2.442002442002442E-4</v>
      </c>
      <c r="G192" s="49">
        <f t="shared" si="17"/>
        <v>5.263157894736842E-3</v>
      </c>
    </row>
    <row r="193" spans="2:7" x14ac:dyDescent="0.25">
      <c r="B193" s="48">
        <f t="shared" si="16"/>
        <v>191</v>
      </c>
      <c r="C193" s="48">
        <f t="shared" si="12"/>
        <v>783</v>
      </c>
      <c r="D193" s="48">
        <f t="shared" si="13"/>
        <v>191</v>
      </c>
      <c r="E193" s="48">
        <f t="shared" si="14"/>
        <v>1</v>
      </c>
      <c r="F193" s="49">
        <f t="shared" si="15"/>
        <v>2.442002442002442E-4</v>
      </c>
      <c r="G193" s="49">
        <f t="shared" si="17"/>
        <v>5.235602094240838E-3</v>
      </c>
    </row>
    <row r="194" spans="2:7" x14ac:dyDescent="0.25">
      <c r="B194" s="48">
        <f t="shared" si="16"/>
        <v>192</v>
      </c>
      <c r="C194" s="48">
        <f t="shared" si="12"/>
        <v>787</v>
      </c>
      <c r="D194" s="48">
        <f t="shared" si="13"/>
        <v>192</v>
      </c>
      <c r="E194" s="48">
        <f t="shared" si="14"/>
        <v>1</v>
      </c>
      <c r="F194" s="49">
        <f t="shared" si="15"/>
        <v>2.442002442002442E-4</v>
      </c>
      <c r="G194" s="49">
        <f t="shared" si="17"/>
        <v>5.208333333333333E-3</v>
      </c>
    </row>
    <row r="195" spans="2:7" x14ac:dyDescent="0.25">
      <c r="B195" s="48">
        <f t="shared" si="16"/>
        <v>193</v>
      </c>
      <c r="C195" s="48">
        <f t="shared" ref="C195:C258" si="18">ROUND(B195*C$1/(B$1-1),0)</f>
        <v>791</v>
      </c>
      <c r="D195" s="48">
        <f t="shared" ref="D195:D258" si="19">MAX(ROUND(D$1^(B195+1),0),B195)</f>
        <v>193</v>
      </c>
      <c r="E195" s="48">
        <f t="shared" ref="E195:E258" si="20">D195-D194</f>
        <v>1</v>
      </c>
      <c r="F195" s="49">
        <f t="shared" ref="F195:F258" si="21">E195/C$1</f>
        <v>2.442002442002442E-4</v>
      </c>
      <c r="G195" s="49">
        <f t="shared" si="17"/>
        <v>5.1813471502590676E-3</v>
      </c>
    </row>
    <row r="196" spans="2:7" x14ac:dyDescent="0.25">
      <c r="B196" s="48">
        <f t="shared" ref="B196:B259" si="22">B195+1</f>
        <v>194</v>
      </c>
      <c r="C196" s="48">
        <f t="shared" si="18"/>
        <v>795</v>
      </c>
      <c r="D196" s="48">
        <f t="shared" si="19"/>
        <v>194</v>
      </c>
      <c r="E196" s="48">
        <f t="shared" si="20"/>
        <v>1</v>
      </c>
      <c r="F196" s="49">
        <f t="shared" si="21"/>
        <v>2.442002442002442E-4</v>
      </c>
      <c r="G196" s="49">
        <f t="shared" ref="G196:G259" si="23">E196/D196</f>
        <v>5.1546391752577319E-3</v>
      </c>
    </row>
    <row r="197" spans="2:7" x14ac:dyDescent="0.25">
      <c r="B197" s="48">
        <f t="shared" si="22"/>
        <v>195</v>
      </c>
      <c r="C197" s="48">
        <f t="shared" si="18"/>
        <v>799</v>
      </c>
      <c r="D197" s="48">
        <f t="shared" si="19"/>
        <v>195</v>
      </c>
      <c r="E197" s="48">
        <f t="shared" si="20"/>
        <v>1</v>
      </c>
      <c r="F197" s="49">
        <f t="shared" si="21"/>
        <v>2.442002442002442E-4</v>
      </c>
      <c r="G197" s="49">
        <f t="shared" si="23"/>
        <v>5.1282051282051282E-3</v>
      </c>
    </row>
    <row r="198" spans="2:7" x14ac:dyDescent="0.25">
      <c r="B198" s="48">
        <f t="shared" si="22"/>
        <v>196</v>
      </c>
      <c r="C198" s="48">
        <f t="shared" si="18"/>
        <v>803</v>
      </c>
      <c r="D198" s="48">
        <f t="shared" si="19"/>
        <v>196</v>
      </c>
      <c r="E198" s="48">
        <f t="shared" si="20"/>
        <v>1</v>
      </c>
      <c r="F198" s="49">
        <f t="shared" si="21"/>
        <v>2.442002442002442E-4</v>
      </c>
      <c r="G198" s="49">
        <f t="shared" si="23"/>
        <v>5.1020408163265302E-3</v>
      </c>
    </row>
    <row r="199" spans="2:7" x14ac:dyDescent="0.25">
      <c r="B199" s="48">
        <f t="shared" si="22"/>
        <v>197</v>
      </c>
      <c r="C199" s="48">
        <f t="shared" si="18"/>
        <v>808</v>
      </c>
      <c r="D199" s="48">
        <f t="shared" si="19"/>
        <v>197</v>
      </c>
      <c r="E199" s="48">
        <f t="shared" si="20"/>
        <v>1</v>
      </c>
      <c r="F199" s="49">
        <f t="shared" si="21"/>
        <v>2.442002442002442E-4</v>
      </c>
      <c r="G199" s="49">
        <f t="shared" si="23"/>
        <v>5.076142131979695E-3</v>
      </c>
    </row>
    <row r="200" spans="2:7" x14ac:dyDescent="0.25">
      <c r="B200" s="48">
        <f t="shared" si="22"/>
        <v>198</v>
      </c>
      <c r="C200" s="48">
        <f t="shared" si="18"/>
        <v>812</v>
      </c>
      <c r="D200" s="48">
        <f t="shared" si="19"/>
        <v>198</v>
      </c>
      <c r="E200" s="48">
        <f t="shared" si="20"/>
        <v>1</v>
      </c>
      <c r="F200" s="49">
        <f t="shared" si="21"/>
        <v>2.442002442002442E-4</v>
      </c>
      <c r="G200" s="49">
        <f t="shared" si="23"/>
        <v>5.0505050505050509E-3</v>
      </c>
    </row>
    <row r="201" spans="2:7" x14ac:dyDescent="0.25">
      <c r="B201" s="48">
        <f t="shared" si="22"/>
        <v>199</v>
      </c>
      <c r="C201" s="48">
        <f t="shared" si="18"/>
        <v>816</v>
      </c>
      <c r="D201" s="48">
        <f t="shared" si="19"/>
        <v>199</v>
      </c>
      <c r="E201" s="48">
        <f t="shared" si="20"/>
        <v>1</v>
      </c>
      <c r="F201" s="49">
        <f t="shared" si="21"/>
        <v>2.442002442002442E-4</v>
      </c>
      <c r="G201" s="49">
        <f t="shared" si="23"/>
        <v>5.0251256281407036E-3</v>
      </c>
    </row>
    <row r="202" spans="2:7" x14ac:dyDescent="0.25">
      <c r="B202" s="48">
        <f t="shared" si="22"/>
        <v>200</v>
      </c>
      <c r="C202" s="48">
        <f t="shared" si="18"/>
        <v>820</v>
      </c>
      <c r="D202" s="48">
        <f t="shared" si="19"/>
        <v>200</v>
      </c>
      <c r="E202" s="48">
        <f t="shared" si="20"/>
        <v>1</v>
      </c>
      <c r="F202" s="49">
        <f t="shared" si="21"/>
        <v>2.442002442002442E-4</v>
      </c>
      <c r="G202" s="49">
        <f t="shared" si="23"/>
        <v>5.0000000000000001E-3</v>
      </c>
    </row>
    <row r="203" spans="2:7" x14ac:dyDescent="0.25">
      <c r="B203" s="48">
        <f t="shared" si="22"/>
        <v>201</v>
      </c>
      <c r="C203" s="48">
        <f t="shared" si="18"/>
        <v>824</v>
      </c>
      <c r="D203" s="48">
        <f t="shared" si="19"/>
        <v>201</v>
      </c>
      <c r="E203" s="48">
        <f t="shared" si="20"/>
        <v>1</v>
      </c>
      <c r="F203" s="49">
        <f t="shared" si="21"/>
        <v>2.442002442002442E-4</v>
      </c>
      <c r="G203" s="49">
        <f t="shared" si="23"/>
        <v>4.9751243781094526E-3</v>
      </c>
    </row>
    <row r="204" spans="2:7" x14ac:dyDescent="0.25">
      <c r="B204" s="48">
        <f t="shared" si="22"/>
        <v>202</v>
      </c>
      <c r="C204" s="48">
        <f t="shared" si="18"/>
        <v>828</v>
      </c>
      <c r="D204" s="48">
        <f t="shared" si="19"/>
        <v>202</v>
      </c>
      <c r="E204" s="48">
        <f t="shared" si="20"/>
        <v>1</v>
      </c>
      <c r="F204" s="49">
        <f t="shared" si="21"/>
        <v>2.442002442002442E-4</v>
      </c>
      <c r="G204" s="49">
        <f t="shared" si="23"/>
        <v>4.9504950495049506E-3</v>
      </c>
    </row>
    <row r="205" spans="2:7" x14ac:dyDescent="0.25">
      <c r="B205" s="48">
        <f t="shared" si="22"/>
        <v>203</v>
      </c>
      <c r="C205" s="48">
        <f t="shared" si="18"/>
        <v>832</v>
      </c>
      <c r="D205" s="48">
        <f t="shared" si="19"/>
        <v>203</v>
      </c>
      <c r="E205" s="48">
        <f t="shared" si="20"/>
        <v>1</v>
      </c>
      <c r="F205" s="49">
        <f t="shared" si="21"/>
        <v>2.442002442002442E-4</v>
      </c>
      <c r="G205" s="49">
        <f t="shared" si="23"/>
        <v>4.9261083743842365E-3</v>
      </c>
    </row>
    <row r="206" spans="2:7" x14ac:dyDescent="0.25">
      <c r="B206" s="48">
        <f t="shared" si="22"/>
        <v>204</v>
      </c>
      <c r="C206" s="48">
        <f t="shared" si="18"/>
        <v>836</v>
      </c>
      <c r="D206" s="48">
        <f t="shared" si="19"/>
        <v>204</v>
      </c>
      <c r="E206" s="48">
        <f t="shared" si="20"/>
        <v>1</v>
      </c>
      <c r="F206" s="49">
        <f t="shared" si="21"/>
        <v>2.442002442002442E-4</v>
      </c>
      <c r="G206" s="49">
        <f t="shared" si="23"/>
        <v>4.9019607843137254E-3</v>
      </c>
    </row>
    <row r="207" spans="2:7" x14ac:dyDescent="0.25">
      <c r="B207" s="48">
        <f t="shared" si="22"/>
        <v>205</v>
      </c>
      <c r="C207" s="48">
        <f t="shared" si="18"/>
        <v>840</v>
      </c>
      <c r="D207" s="48">
        <f t="shared" si="19"/>
        <v>205</v>
      </c>
      <c r="E207" s="48">
        <f t="shared" si="20"/>
        <v>1</v>
      </c>
      <c r="F207" s="49">
        <f t="shared" si="21"/>
        <v>2.442002442002442E-4</v>
      </c>
      <c r="G207" s="49">
        <f t="shared" si="23"/>
        <v>4.8780487804878049E-3</v>
      </c>
    </row>
    <row r="208" spans="2:7" x14ac:dyDescent="0.25">
      <c r="B208" s="48">
        <f t="shared" si="22"/>
        <v>206</v>
      </c>
      <c r="C208" s="48">
        <f t="shared" si="18"/>
        <v>844</v>
      </c>
      <c r="D208" s="48">
        <f t="shared" si="19"/>
        <v>206</v>
      </c>
      <c r="E208" s="48">
        <f t="shared" si="20"/>
        <v>1</v>
      </c>
      <c r="F208" s="49">
        <f t="shared" si="21"/>
        <v>2.442002442002442E-4</v>
      </c>
      <c r="G208" s="49">
        <f t="shared" si="23"/>
        <v>4.8543689320388345E-3</v>
      </c>
    </row>
    <row r="209" spans="2:7" x14ac:dyDescent="0.25">
      <c r="B209" s="48">
        <f t="shared" si="22"/>
        <v>207</v>
      </c>
      <c r="C209" s="48">
        <f t="shared" si="18"/>
        <v>849</v>
      </c>
      <c r="D209" s="48">
        <f t="shared" si="19"/>
        <v>207</v>
      </c>
      <c r="E209" s="48">
        <f t="shared" si="20"/>
        <v>1</v>
      </c>
      <c r="F209" s="49">
        <f t="shared" si="21"/>
        <v>2.442002442002442E-4</v>
      </c>
      <c r="G209" s="49">
        <f t="shared" si="23"/>
        <v>4.830917874396135E-3</v>
      </c>
    </row>
    <row r="210" spans="2:7" x14ac:dyDescent="0.25">
      <c r="B210" s="48">
        <f t="shared" si="22"/>
        <v>208</v>
      </c>
      <c r="C210" s="48">
        <f t="shared" si="18"/>
        <v>853</v>
      </c>
      <c r="D210" s="48">
        <f t="shared" si="19"/>
        <v>208</v>
      </c>
      <c r="E210" s="48">
        <f t="shared" si="20"/>
        <v>1</v>
      </c>
      <c r="F210" s="49">
        <f t="shared" si="21"/>
        <v>2.442002442002442E-4</v>
      </c>
      <c r="G210" s="49">
        <f t="shared" si="23"/>
        <v>4.807692307692308E-3</v>
      </c>
    </row>
    <row r="211" spans="2:7" x14ac:dyDescent="0.25">
      <c r="B211" s="48">
        <f t="shared" si="22"/>
        <v>209</v>
      </c>
      <c r="C211" s="48">
        <f t="shared" si="18"/>
        <v>857</v>
      </c>
      <c r="D211" s="48">
        <f t="shared" si="19"/>
        <v>209</v>
      </c>
      <c r="E211" s="48">
        <f t="shared" si="20"/>
        <v>1</v>
      </c>
      <c r="F211" s="49">
        <f t="shared" si="21"/>
        <v>2.442002442002442E-4</v>
      </c>
      <c r="G211" s="49">
        <f t="shared" si="23"/>
        <v>4.7846889952153108E-3</v>
      </c>
    </row>
    <row r="212" spans="2:7" x14ac:dyDescent="0.25">
      <c r="B212" s="48">
        <f t="shared" si="22"/>
        <v>210</v>
      </c>
      <c r="C212" s="48">
        <f t="shared" si="18"/>
        <v>861</v>
      </c>
      <c r="D212" s="48">
        <f t="shared" si="19"/>
        <v>210</v>
      </c>
      <c r="E212" s="48">
        <f t="shared" si="20"/>
        <v>1</v>
      </c>
      <c r="F212" s="49">
        <f t="shared" si="21"/>
        <v>2.442002442002442E-4</v>
      </c>
      <c r="G212" s="49">
        <f t="shared" si="23"/>
        <v>4.7619047619047623E-3</v>
      </c>
    </row>
    <row r="213" spans="2:7" x14ac:dyDescent="0.25">
      <c r="B213" s="48">
        <f t="shared" si="22"/>
        <v>211</v>
      </c>
      <c r="C213" s="48">
        <f t="shared" si="18"/>
        <v>865</v>
      </c>
      <c r="D213" s="48">
        <f t="shared" si="19"/>
        <v>211</v>
      </c>
      <c r="E213" s="48">
        <f t="shared" si="20"/>
        <v>1</v>
      </c>
      <c r="F213" s="49">
        <f t="shared" si="21"/>
        <v>2.442002442002442E-4</v>
      </c>
      <c r="G213" s="49">
        <f t="shared" si="23"/>
        <v>4.7393364928909956E-3</v>
      </c>
    </row>
    <row r="214" spans="2:7" x14ac:dyDescent="0.25">
      <c r="B214" s="48">
        <f t="shared" si="22"/>
        <v>212</v>
      </c>
      <c r="C214" s="48">
        <f t="shared" si="18"/>
        <v>869</v>
      </c>
      <c r="D214" s="48">
        <f t="shared" si="19"/>
        <v>212</v>
      </c>
      <c r="E214" s="48">
        <f t="shared" si="20"/>
        <v>1</v>
      </c>
      <c r="F214" s="49">
        <f t="shared" si="21"/>
        <v>2.442002442002442E-4</v>
      </c>
      <c r="G214" s="49">
        <f t="shared" si="23"/>
        <v>4.7169811320754715E-3</v>
      </c>
    </row>
    <row r="215" spans="2:7" x14ac:dyDescent="0.25">
      <c r="B215" s="48">
        <f t="shared" si="22"/>
        <v>213</v>
      </c>
      <c r="C215" s="48">
        <f t="shared" si="18"/>
        <v>873</v>
      </c>
      <c r="D215" s="48">
        <f t="shared" si="19"/>
        <v>213</v>
      </c>
      <c r="E215" s="48">
        <f t="shared" si="20"/>
        <v>1</v>
      </c>
      <c r="F215" s="49">
        <f t="shared" si="21"/>
        <v>2.442002442002442E-4</v>
      </c>
      <c r="G215" s="49">
        <f t="shared" si="23"/>
        <v>4.6948356807511738E-3</v>
      </c>
    </row>
    <row r="216" spans="2:7" x14ac:dyDescent="0.25">
      <c r="B216" s="48">
        <f t="shared" si="22"/>
        <v>214</v>
      </c>
      <c r="C216" s="48">
        <f t="shared" si="18"/>
        <v>877</v>
      </c>
      <c r="D216" s="48">
        <f t="shared" si="19"/>
        <v>214</v>
      </c>
      <c r="E216" s="48">
        <f t="shared" si="20"/>
        <v>1</v>
      </c>
      <c r="F216" s="49">
        <f t="shared" si="21"/>
        <v>2.442002442002442E-4</v>
      </c>
      <c r="G216" s="49">
        <f t="shared" si="23"/>
        <v>4.6728971962616819E-3</v>
      </c>
    </row>
    <row r="217" spans="2:7" x14ac:dyDescent="0.25">
      <c r="B217" s="48">
        <f t="shared" si="22"/>
        <v>215</v>
      </c>
      <c r="C217" s="48">
        <f t="shared" si="18"/>
        <v>881</v>
      </c>
      <c r="D217" s="48">
        <f t="shared" si="19"/>
        <v>215</v>
      </c>
      <c r="E217" s="48">
        <f t="shared" si="20"/>
        <v>1</v>
      </c>
      <c r="F217" s="49">
        <f t="shared" si="21"/>
        <v>2.442002442002442E-4</v>
      </c>
      <c r="G217" s="49">
        <f t="shared" si="23"/>
        <v>4.6511627906976744E-3</v>
      </c>
    </row>
    <row r="218" spans="2:7" x14ac:dyDescent="0.25">
      <c r="B218" s="48">
        <f t="shared" si="22"/>
        <v>216</v>
      </c>
      <c r="C218" s="48">
        <f t="shared" si="18"/>
        <v>885</v>
      </c>
      <c r="D218" s="48">
        <f t="shared" si="19"/>
        <v>216</v>
      </c>
      <c r="E218" s="48">
        <f t="shared" si="20"/>
        <v>1</v>
      </c>
      <c r="F218" s="49">
        <f t="shared" si="21"/>
        <v>2.442002442002442E-4</v>
      </c>
      <c r="G218" s="49">
        <f t="shared" si="23"/>
        <v>4.6296296296296294E-3</v>
      </c>
    </row>
    <row r="219" spans="2:7" x14ac:dyDescent="0.25">
      <c r="B219" s="48">
        <f t="shared" si="22"/>
        <v>217</v>
      </c>
      <c r="C219" s="48">
        <f t="shared" si="18"/>
        <v>890</v>
      </c>
      <c r="D219" s="48">
        <f t="shared" si="19"/>
        <v>217</v>
      </c>
      <c r="E219" s="48">
        <f t="shared" si="20"/>
        <v>1</v>
      </c>
      <c r="F219" s="49">
        <f t="shared" si="21"/>
        <v>2.442002442002442E-4</v>
      </c>
      <c r="G219" s="49">
        <f t="shared" si="23"/>
        <v>4.608294930875576E-3</v>
      </c>
    </row>
    <row r="220" spans="2:7" x14ac:dyDescent="0.25">
      <c r="B220" s="48">
        <f t="shared" si="22"/>
        <v>218</v>
      </c>
      <c r="C220" s="48">
        <f t="shared" si="18"/>
        <v>894</v>
      </c>
      <c r="D220" s="48">
        <f t="shared" si="19"/>
        <v>218</v>
      </c>
      <c r="E220" s="48">
        <f t="shared" si="20"/>
        <v>1</v>
      </c>
      <c r="F220" s="49">
        <f t="shared" si="21"/>
        <v>2.442002442002442E-4</v>
      </c>
      <c r="G220" s="49">
        <f t="shared" si="23"/>
        <v>4.5871559633027525E-3</v>
      </c>
    </row>
    <row r="221" spans="2:7" x14ac:dyDescent="0.25">
      <c r="B221" s="48">
        <f t="shared" si="22"/>
        <v>219</v>
      </c>
      <c r="C221" s="48">
        <f t="shared" si="18"/>
        <v>898</v>
      </c>
      <c r="D221" s="48">
        <f t="shared" si="19"/>
        <v>219</v>
      </c>
      <c r="E221" s="48">
        <f t="shared" si="20"/>
        <v>1</v>
      </c>
      <c r="F221" s="49">
        <f t="shared" si="21"/>
        <v>2.442002442002442E-4</v>
      </c>
      <c r="G221" s="49">
        <f t="shared" si="23"/>
        <v>4.5662100456621002E-3</v>
      </c>
    </row>
    <row r="222" spans="2:7" x14ac:dyDescent="0.25">
      <c r="B222" s="48">
        <f t="shared" si="22"/>
        <v>220</v>
      </c>
      <c r="C222" s="48">
        <f t="shared" si="18"/>
        <v>902</v>
      </c>
      <c r="D222" s="48">
        <f t="shared" si="19"/>
        <v>220</v>
      </c>
      <c r="E222" s="48">
        <f t="shared" si="20"/>
        <v>1</v>
      </c>
      <c r="F222" s="49">
        <f t="shared" si="21"/>
        <v>2.442002442002442E-4</v>
      </c>
      <c r="G222" s="49">
        <f t="shared" si="23"/>
        <v>4.5454545454545452E-3</v>
      </c>
    </row>
    <row r="223" spans="2:7" x14ac:dyDescent="0.25">
      <c r="B223" s="48">
        <f t="shared" si="22"/>
        <v>221</v>
      </c>
      <c r="C223" s="48">
        <f t="shared" si="18"/>
        <v>906</v>
      </c>
      <c r="D223" s="48">
        <f t="shared" si="19"/>
        <v>221</v>
      </c>
      <c r="E223" s="48">
        <f t="shared" si="20"/>
        <v>1</v>
      </c>
      <c r="F223" s="49">
        <f t="shared" si="21"/>
        <v>2.442002442002442E-4</v>
      </c>
      <c r="G223" s="49">
        <f t="shared" si="23"/>
        <v>4.5248868778280547E-3</v>
      </c>
    </row>
    <row r="224" spans="2:7" x14ac:dyDescent="0.25">
      <c r="B224" s="48">
        <f t="shared" si="22"/>
        <v>222</v>
      </c>
      <c r="C224" s="48">
        <f t="shared" si="18"/>
        <v>910</v>
      </c>
      <c r="D224" s="48">
        <f t="shared" si="19"/>
        <v>222</v>
      </c>
      <c r="E224" s="48">
        <f t="shared" si="20"/>
        <v>1</v>
      </c>
      <c r="F224" s="49">
        <f t="shared" si="21"/>
        <v>2.442002442002442E-4</v>
      </c>
      <c r="G224" s="49">
        <f t="shared" si="23"/>
        <v>4.5045045045045045E-3</v>
      </c>
    </row>
    <row r="225" spans="2:7" x14ac:dyDescent="0.25">
      <c r="B225" s="48">
        <f t="shared" si="22"/>
        <v>223</v>
      </c>
      <c r="C225" s="48">
        <f t="shared" si="18"/>
        <v>914</v>
      </c>
      <c r="D225" s="48">
        <f t="shared" si="19"/>
        <v>223</v>
      </c>
      <c r="E225" s="48">
        <f t="shared" si="20"/>
        <v>1</v>
      </c>
      <c r="F225" s="49">
        <f t="shared" si="21"/>
        <v>2.442002442002442E-4</v>
      </c>
      <c r="G225" s="49">
        <f t="shared" si="23"/>
        <v>4.4843049327354259E-3</v>
      </c>
    </row>
    <row r="226" spans="2:7" x14ac:dyDescent="0.25">
      <c r="B226" s="48">
        <f t="shared" si="22"/>
        <v>224</v>
      </c>
      <c r="C226" s="48">
        <f t="shared" si="18"/>
        <v>918</v>
      </c>
      <c r="D226" s="48">
        <f t="shared" si="19"/>
        <v>224</v>
      </c>
      <c r="E226" s="48">
        <f t="shared" si="20"/>
        <v>1</v>
      </c>
      <c r="F226" s="49">
        <f t="shared" si="21"/>
        <v>2.442002442002442E-4</v>
      </c>
      <c r="G226" s="49">
        <f t="shared" si="23"/>
        <v>4.464285714285714E-3</v>
      </c>
    </row>
    <row r="227" spans="2:7" x14ac:dyDescent="0.25">
      <c r="B227" s="48">
        <f t="shared" si="22"/>
        <v>225</v>
      </c>
      <c r="C227" s="48">
        <f t="shared" si="18"/>
        <v>922</v>
      </c>
      <c r="D227" s="48">
        <f t="shared" si="19"/>
        <v>225</v>
      </c>
      <c r="E227" s="48">
        <f t="shared" si="20"/>
        <v>1</v>
      </c>
      <c r="F227" s="49">
        <f t="shared" si="21"/>
        <v>2.442002442002442E-4</v>
      </c>
      <c r="G227" s="49">
        <f t="shared" si="23"/>
        <v>4.4444444444444444E-3</v>
      </c>
    </row>
    <row r="228" spans="2:7" x14ac:dyDescent="0.25">
      <c r="B228" s="48">
        <f t="shared" si="22"/>
        <v>226</v>
      </c>
      <c r="C228" s="48">
        <f t="shared" si="18"/>
        <v>926</v>
      </c>
      <c r="D228" s="48">
        <f t="shared" si="19"/>
        <v>226</v>
      </c>
      <c r="E228" s="48">
        <f t="shared" si="20"/>
        <v>1</v>
      </c>
      <c r="F228" s="49">
        <f t="shared" si="21"/>
        <v>2.442002442002442E-4</v>
      </c>
      <c r="G228" s="49">
        <f t="shared" si="23"/>
        <v>4.4247787610619468E-3</v>
      </c>
    </row>
    <row r="229" spans="2:7" x14ac:dyDescent="0.25">
      <c r="B229" s="48">
        <f t="shared" si="22"/>
        <v>227</v>
      </c>
      <c r="C229" s="48">
        <f t="shared" si="18"/>
        <v>930</v>
      </c>
      <c r="D229" s="48">
        <f t="shared" si="19"/>
        <v>227</v>
      </c>
      <c r="E229" s="48">
        <f t="shared" si="20"/>
        <v>1</v>
      </c>
      <c r="F229" s="49">
        <f t="shared" si="21"/>
        <v>2.442002442002442E-4</v>
      </c>
      <c r="G229" s="49">
        <f t="shared" si="23"/>
        <v>4.4052863436123352E-3</v>
      </c>
    </row>
    <row r="230" spans="2:7" x14ac:dyDescent="0.25">
      <c r="B230" s="48">
        <f t="shared" si="22"/>
        <v>228</v>
      </c>
      <c r="C230" s="48">
        <f t="shared" si="18"/>
        <v>935</v>
      </c>
      <c r="D230" s="48">
        <f t="shared" si="19"/>
        <v>228</v>
      </c>
      <c r="E230" s="48">
        <f t="shared" si="20"/>
        <v>1</v>
      </c>
      <c r="F230" s="49">
        <f t="shared" si="21"/>
        <v>2.442002442002442E-4</v>
      </c>
      <c r="G230" s="49">
        <f t="shared" si="23"/>
        <v>4.3859649122807015E-3</v>
      </c>
    </row>
    <row r="231" spans="2:7" x14ac:dyDescent="0.25">
      <c r="B231" s="48">
        <f t="shared" si="22"/>
        <v>229</v>
      </c>
      <c r="C231" s="48">
        <f t="shared" si="18"/>
        <v>939</v>
      </c>
      <c r="D231" s="48">
        <f t="shared" si="19"/>
        <v>229</v>
      </c>
      <c r="E231" s="48">
        <f t="shared" si="20"/>
        <v>1</v>
      </c>
      <c r="F231" s="49">
        <f t="shared" si="21"/>
        <v>2.442002442002442E-4</v>
      </c>
      <c r="G231" s="49">
        <f t="shared" si="23"/>
        <v>4.3668122270742356E-3</v>
      </c>
    </row>
    <row r="232" spans="2:7" x14ac:dyDescent="0.25">
      <c r="B232" s="48">
        <f t="shared" si="22"/>
        <v>230</v>
      </c>
      <c r="C232" s="48">
        <f t="shared" si="18"/>
        <v>943</v>
      </c>
      <c r="D232" s="48">
        <f t="shared" si="19"/>
        <v>230</v>
      </c>
      <c r="E232" s="48">
        <f t="shared" si="20"/>
        <v>1</v>
      </c>
      <c r="F232" s="49">
        <f t="shared" si="21"/>
        <v>2.442002442002442E-4</v>
      </c>
      <c r="G232" s="49">
        <f t="shared" si="23"/>
        <v>4.3478260869565218E-3</v>
      </c>
    </row>
    <row r="233" spans="2:7" x14ac:dyDescent="0.25">
      <c r="B233" s="48">
        <f t="shared" si="22"/>
        <v>231</v>
      </c>
      <c r="C233" s="48">
        <f t="shared" si="18"/>
        <v>947</v>
      </c>
      <c r="D233" s="48">
        <f t="shared" si="19"/>
        <v>231</v>
      </c>
      <c r="E233" s="48">
        <f t="shared" si="20"/>
        <v>1</v>
      </c>
      <c r="F233" s="49">
        <f t="shared" si="21"/>
        <v>2.442002442002442E-4</v>
      </c>
      <c r="G233" s="49">
        <f t="shared" si="23"/>
        <v>4.329004329004329E-3</v>
      </c>
    </row>
    <row r="234" spans="2:7" x14ac:dyDescent="0.25">
      <c r="B234" s="48">
        <f t="shared" si="22"/>
        <v>232</v>
      </c>
      <c r="C234" s="48">
        <f t="shared" si="18"/>
        <v>951</v>
      </c>
      <c r="D234" s="48">
        <f t="shared" si="19"/>
        <v>232</v>
      </c>
      <c r="E234" s="48">
        <f t="shared" si="20"/>
        <v>1</v>
      </c>
      <c r="F234" s="49">
        <f t="shared" si="21"/>
        <v>2.442002442002442E-4</v>
      </c>
      <c r="G234" s="49">
        <f t="shared" si="23"/>
        <v>4.3103448275862068E-3</v>
      </c>
    </row>
    <row r="235" spans="2:7" x14ac:dyDescent="0.25">
      <c r="B235" s="48">
        <f t="shared" si="22"/>
        <v>233</v>
      </c>
      <c r="C235" s="48">
        <f t="shared" si="18"/>
        <v>955</v>
      </c>
      <c r="D235" s="48">
        <f t="shared" si="19"/>
        <v>233</v>
      </c>
      <c r="E235" s="48">
        <f t="shared" si="20"/>
        <v>1</v>
      </c>
      <c r="F235" s="49">
        <f t="shared" si="21"/>
        <v>2.442002442002442E-4</v>
      </c>
      <c r="G235" s="49">
        <f t="shared" si="23"/>
        <v>4.2918454935622317E-3</v>
      </c>
    </row>
    <row r="236" spans="2:7" x14ac:dyDescent="0.25">
      <c r="B236" s="48">
        <f t="shared" si="22"/>
        <v>234</v>
      </c>
      <c r="C236" s="48">
        <f t="shared" si="18"/>
        <v>959</v>
      </c>
      <c r="D236" s="48">
        <f t="shared" si="19"/>
        <v>234</v>
      </c>
      <c r="E236" s="48">
        <f t="shared" si="20"/>
        <v>1</v>
      </c>
      <c r="F236" s="49">
        <f t="shared" si="21"/>
        <v>2.442002442002442E-4</v>
      </c>
      <c r="G236" s="49">
        <f t="shared" si="23"/>
        <v>4.2735042735042739E-3</v>
      </c>
    </row>
    <row r="237" spans="2:7" x14ac:dyDescent="0.25">
      <c r="B237" s="48">
        <f t="shared" si="22"/>
        <v>235</v>
      </c>
      <c r="C237" s="48">
        <f t="shared" si="18"/>
        <v>963</v>
      </c>
      <c r="D237" s="48">
        <f t="shared" si="19"/>
        <v>235</v>
      </c>
      <c r="E237" s="48">
        <f t="shared" si="20"/>
        <v>1</v>
      </c>
      <c r="F237" s="49">
        <f t="shared" si="21"/>
        <v>2.442002442002442E-4</v>
      </c>
      <c r="G237" s="49">
        <f t="shared" si="23"/>
        <v>4.2553191489361703E-3</v>
      </c>
    </row>
    <row r="238" spans="2:7" x14ac:dyDescent="0.25">
      <c r="B238" s="48">
        <f t="shared" si="22"/>
        <v>236</v>
      </c>
      <c r="C238" s="48">
        <f t="shared" si="18"/>
        <v>967</v>
      </c>
      <c r="D238" s="48">
        <f t="shared" si="19"/>
        <v>236</v>
      </c>
      <c r="E238" s="48">
        <f t="shared" si="20"/>
        <v>1</v>
      </c>
      <c r="F238" s="49">
        <f t="shared" si="21"/>
        <v>2.442002442002442E-4</v>
      </c>
      <c r="G238" s="49">
        <f t="shared" si="23"/>
        <v>4.2372881355932203E-3</v>
      </c>
    </row>
    <row r="239" spans="2:7" x14ac:dyDescent="0.25">
      <c r="B239" s="48">
        <f t="shared" si="22"/>
        <v>237</v>
      </c>
      <c r="C239" s="48">
        <f t="shared" si="18"/>
        <v>971</v>
      </c>
      <c r="D239" s="48">
        <f t="shared" si="19"/>
        <v>237</v>
      </c>
      <c r="E239" s="48">
        <f t="shared" si="20"/>
        <v>1</v>
      </c>
      <c r="F239" s="49">
        <f t="shared" si="21"/>
        <v>2.442002442002442E-4</v>
      </c>
      <c r="G239" s="49">
        <f t="shared" si="23"/>
        <v>4.2194092827004216E-3</v>
      </c>
    </row>
    <row r="240" spans="2:7" x14ac:dyDescent="0.25">
      <c r="B240" s="48">
        <f t="shared" si="22"/>
        <v>238</v>
      </c>
      <c r="C240" s="48">
        <f t="shared" si="18"/>
        <v>976</v>
      </c>
      <c r="D240" s="48">
        <f t="shared" si="19"/>
        <v>238</v>
      </c>
      <c r="E240" s="48">
        <f t="shared" si="20"/>
        <v>1</v>
      </c>
      <c r="F240" s="49">
        <f t="shared" si="21"/>
        <v>2.442002442002442E-4</v>
      </c>
      <c r="G240" s="49">
        <f t="shared" si="23"/>
        <v>4.2016806722689074E-3</v>
      </c>
    </row>
    <row r="241" spans="2:7" x14ac:dyDescent="0.25">
      <c r="B241" s="48">
        <f t="shared" si="22"/>
        <v>239</v>
      </c>
      <c r="C241" s="48">
        <f t="shared" si="18"/>
        <v>980</v>
      </c>
      <c r="D241" s="48">
        <f t="shared" si="19"/>
        <v>239</v>
      </c>
      <c r="E241" s="48">
        <f t="shared" si="20"/>
        <v>1</v>
      </c>
      <c r="F241" s="49">
        <f t="shared" si="21"/>
        <v>2.442002442002442E-4</v>
      </c>
      <c r="G241" s="49">
        <f t="shared" si="23"/>
        <v>4.1841004184100415E-3</v>
      </c>
    </row>
    <row r="242" spans="2:7" x14ac:dyDescent="0.25">
      <c r="B242" s="48">
        <f t="shared" si="22"/>
        <v>240</v>
      </c>
      <c r="C242" s="48">
        <f t="shared" si="18"/>
        <v>984</v>
      </c>
      <c r="D242" s="48">
        <f t="shared" si="19"/>
        <v>240</v>
      </c>
      <c r="E242" s="48">
        <f t="shared" si="20"/>
        <v>1</v>
      </c>
      <c r="F242" s="49">
        <f t="shared" si="21"/>
        <v>2.442002442002442E-4</v>
      </c>
      <c r="G242" s="49">
        <f t="shared" si="23"/>
        <v>4.1666666666666666E-3</v>
      </c>
    </row>
    <row r="243" spans="2:7" x14ac:dyDescent="0.25">
      <c r="B243" s="48">
        <f t="shared" si="22"/>
        <v>241</v>
      </c>
      <c r="C243" s="48">
        <f t="shared" si="18"/>
        <v>988</v>
      </c>
      <c r="D243" s="48">
        <f t="shared" si="19"/>
        <v>241</v>
      </c>
      <c r="E243" s="48">
        <f t="shared" si="20"/>
        <v>1</v>
      </c>
      <c r="F243" s="49">
        <f t="shared" si="21"/>
        <v>2.442002442002442E-4</v>
      </c>
      <c r="G243" s="49">
        <f t="shared" si="23"/>
        <v>4.1493775933609959E-3</v>
      </c>
    </row>
    <row r="244" spans="2:7" x14ac:dyDescent="0.25">
      <c r="B244" s="48">
        <f t="shared" si="22"/>
        <v>242</v>
      </c>
      <c r="C244" s="48">
        <f t="shared" si="18"/>
        <v>992</v>
      </c>
      <c r="D244" s="48">
        <f t="shared" si="19"/>
        <v>242</v>
      </c>
      <c r="E244" s="48">
        <f t="shared" si="20"/>
        <v>1</v>
      </c>
      <c r="F244" s="49">
        <f t="shared" si="21"/>
        <v>2.442002442002442E-4</v>
      </c>
      <c r="G244" s="49">
        <f t="shared" si="23"/>
        <v>4.1322314049586778E-3</v>
      </c>
    </row>
    <row r="245" spans="2:7" x14ac:dyDescent="0.25">
      <c r="B245" s="48">
        <f t="shared" si="22"/>
        <v>243</v>
      </c>
      <c r="C245" s="48">
        <f t="shared" si="18"/>
        <v>996</v>
      </c>
      <c r="D245" s="48">
        <f t="shared" si="19"/>
        <v>243</v>
      </c>
      <c r="E245" s="48">
        <f t="shared" si="20"/>
        <v>1</v>
      </c>
      <c r="F245" s="49">
        <f t="shared" si="21"/>
        <v>2.442002442002442E-4</v>
      </c>
      <c r="G245" s="49">
        <f t="shared" si="23"/>
        <v>4.11522633744856E-3</v>
      </c>
    </row>
    <row r="246" spans="2:7" x14ac:dyDescent="0.25">
      <c r="B246" s="48">
        <f t="shared" si="22"/>
        <v>244</v>
      </c>
      <c r="C246" s="48">
        <f t="shared" si="18"/>
        <v>1000</v>
      </c>
      <c r="D246" s="48">
        <f t="shared" si="19"/>
        <v>244</v>
      </c>
      <c r="E246" s="48">
        <f t="shared" si="20"/>
        <v>1</v>
      </c>
      <c r="F246" s="49">
        <f t="shared" si="21"/>
        <v>2.442002442002442E-4</v>
      </c>
      <c r="G246" s="49">
        <f t="shared" si="23"/>
        <v>4.0983606557377051E-3</v>
      </c>
    </row>
    <row r="247" spans="2:7" x14ac:dyDescent="0.25">
      <c r="B247" s="48">
        <f t="shared" si="22"/>
        <v>245</v>
      </c>
      <c r="C247" s="48">
        <f t="shared" si="18"/>
        <v>1004</v>
      </c>
      <c r="D247" s="48">
        <f t="shared" si="19"/>
        <v>245</v>
      </c>
      <c r="E247" s="48">
        <f t="shared" si="20"/>
        <v>1</v>
      </c>
      <c r="F247" s="49">
        <f t="shared" si="21"/>
        <v>2.442002442002442E-4</v>
      </c>
      <c r="G247" s="49">
        <f t="shared" si="23"/>
        <v>4.0816326530612249E-3</v>
      </c>
    </row>
    <row r="248" spans="2:7" x14ac:dyDescent="0.25">
      <c r="B248" s="48">
        <f t="shared" si="22"/>
        <v>246</v>
      </c>
      <c r="C248" s="48">
        <f t="shared" si="18"/>
        <v>1008</v>
      </c>
      <c r="D248" s="48">
        <f t="shared" si="19"/>
        <v>246</v>
      </c>
      <c r="E248" s="48">
        <f t="shared" si="20"/>
        <v>1</v>
      </c>
      <c r="F248" s="49">
        <f t="shared" si="21"/>
        <v>2.442002442002442E-4</v>
      </c>
      <c r="G248" s="49">
        <f t="shared" si="23"/>
        <v>4.0650406504065045E-3</v>
      </c>
    </row>
    <row r="249" spans="2:7" x14ac:dyDescent="0.25">
      <c r="B249" s="48">
        <f t="shared" si="22"/>
        <v>247</v>
      </c>
      <c r="C249" s="48">
        <f t="shared" si="18"/>
        <v>1012</v>
      </c>
      <c r="D249" s="48">
        <f t="shared" si="19"/>
        <v>247</v>
      </c>
      <c r="E249" s="48">
        <f t="shared" si="20"/>
        <v>1</v>
      </c>
      <c r="F249" s="49">
        <f t="shared" si="21"/>
        <v>2.442002442002442E-4</v>
      </c>
      <c r="G249" s="49">
        <f t="shared" si="23"/>
        <v>4.048582995951417E-3</v>
      </c>
    </row>
    <row r="250" spans="2:7" x14ac:dyDescent="0.25">
      <c r="B250" s="48">
        <f t="shared" si="22"/>
        <v>248</v>
      </c>
      <c r="C250" s="48">
        <f t="shared" si="18"/>
        <v>1017</v>
      </c>
      <c r="D250" s="48">
        <f t="shared" si="19"/>
        <v>248</v>
      </c>
      <c r="E250" s="48">
        <f t="shared" si="20"/>
        <v>1</v>
      </c>
      <c r="F250" s="49">
        <f t="shared" si="21"/>
        <v>2.442002442002442E-4</v>
      </c>
      <c r="G250" s="49">
        <f t="shared" si="23"/>
        <v>4.0322580645161289E-3</v>
      </c>
    </row>
    <row r="251" spans="2:7" x14ac:dyDescent="0.25">
      <c r="B251" s="48">
        <f t="shared" si="22"/>
        <v>249</v>
      </c>
      <c r="C251" s="48">
        <f t="shared" si="18"/>
        <v>1021</v>
      </c>
      <c r="D251" s="48">
        <f t="shared" si="19"/>
        <v>249</v>
      </c>
      <c r="E251" s="48">
        <f t="shared" si="20"/>
        <v>1</v>
      </c>
      <c r="F251" s="49">
        <f t="shared" si="21"/>
        <v>2.442002442002442E-4</v>
      </c>
      <c r="G251" s="49">
        <f t="shared" si="23"/>
        <v>4.0160642570281121E-3</v>
      </c>
    </row>
    <row r="252" spans="2:7" x14ac:dyDescent="0.25">
      <c r="B252" s="48">
        <f t="shared" si="22"/>
        <v>250</v>
      </c>
      <c r="C252" s="48">
        <f t="shared" si="18"/>
        <v>1025</v>
      </c>
      <c r="D252" s="48">
        <f t="shared" si="19"/>
        <v>250</v>
      </c>
      <c r="E252" s="48">
        <f t="shared" si="20"/>
        <v>1</v>
      </c>
      <c r="F252" s="49">
        <f t="shared" si="21"/>
        <v>2.442002442002442E-4</v>
      </c>
      <c r="G252" s="49">
        <f t="shared" si="23"/>
        <v>4.0000000000000001E-3</v>
      </c>
    </row>
    <row r="253" spans="2:7" x14ac:dyDescent="0.25">
      <c r="B253" s="48">
        <f t="shared" si="22"/>
        <v>251</v>
      </c>
      <c r="C253" s="48">
        <f t="shared" si="18"/>
        <v>1029</v>
      </c>
      <c r="D253" s="48">
        <f t="shared" si="19"/>
        <v>251</v>
      </c>
      <c r="E253" s="48">
        <f t="shared" si="20"/>
        <v>1</v>
      </c>
      <c r="F253" s="49">
        <f t="shared" si="21"/>
        <v>2.442002442002442E-4</v>
      </c>
      <c r="G253" s="49">
        <f t="shared" si="23"/>
        <v>3.9840637450199202E-3</v>
      </c>
    </row>
    <row r="254" spans="2:7" x14ac:dyDescent="0.25">
      <c r="B254" s="48">
        <f t="shared" si="22"/>
        <v>252</v>
      </c>
      <c r="C254" s="48">
        <f t="shared" si="18"/>
        <v>1033</v>
      </c>
      <c r="D254" s="48">
        <f t="shared" si="19"/>
        <v>252</v>
      </c>
      <c r="E254" s="48">
        <f t="shared" si="20"/>
        <v>1</v>
      </c>
      <c r="F254" s="49">
        <f t="shared" si="21"/>
        <v>2.442002442002442E-4</v>
      </c>
      <c r="G254" s="49">
        <f t="shared" si="23"/>
        <v>3.968253968253968E-3</v>
      </c>
    </row>
    <row r="255" spans="2:7" x14ac:dyDescent="0.25">
      <c r="B255" s="48">
        <f t="shared" si="22"/>
        <v>253</v>
      </c>
      <c r="C255" s="48">
        <f t="shared" si="18"/>
        <v>1037</v>
      </c>
      <c r="D255" s="48">
        <f t="shared" si="19"/>
        <v>253</v>
      </c>
      <c r="E255" s="48">
        <f t="shared" si="20"/>
        <v>1</v>
      </c>
      <c r="F255" s="49">
        <f t="shared" si="21"/>
        <v>2.442002442002442E-4</v>
      </c>
      <c r="G255" s="49">
        <f t="shared" si="23"/>
        <v>3.952569169960474E-3</v>
      </c>
    </row>
    <row r="256" spans="2:7" x14ac:dyDescent="0.25">
      <c r="B256" s="48">
        <f t="shared" si="22"/>
        <v>254</v>
      </c>
      <c r="C256" s="48">
        <f t="shared" si="18"/>
        <v>1041</v>
      </c>
      <c r="D256" s="48">
        <f t="shared" si="19"/>
        <v>254</v>
      </c>
      <c r="E256" s="48">
        <f t="shared" si="20"/>
        <v>1</v>
      </c>
      <c r="F256" s="49">
        <f t="shared" si="21"/>
        <v>2.442002442002442E-4</v>
      </c>
      <c r="G256" s="49">
        <f t="shared" si="23"/>
        <v>3.937007874015748E-3</v>
      </c>
    </row>
    <row r="257" spans="2:7" x14ac:dyDescent="0.25">
      <c r="B257" s="48">
        <f t="shared" si="22"/>
        <v>255</v>
      </c>
      <c r="C257" s="48">
        <f t="shared" si="18"/>
        <v>1045</v>
      </c>
      <c r="D257" s="48">
        <f t="shared" si="19"/>
        <v>255</v>
      </c>
      <c r="E257" s="48">
        <f t="shared" si="20"/>
        <v>1</v>
      </c>
      <c r="F257" s="49">
        <f t="shared" si="21"/>
        <v>2.442002442002442E-4</v>
      </c>
      <c r="G257" s="49">
        <f t="shared" si="23"/>
        <v>3.9215686274509803E-3</v>
      </c>
    </row>
    <row r="258" spans="2:7" x14ac:dyDescent="0.25">
      <c r="B258" s="48">
        <f t="shared" si="22"/>
        <v>256</v>
      </c>
      <c r="C258" s="48">
        <f t="shared" si="18"/>
        <v>1049</v>
      </c>
      <c r="D258" s="48">
        <f t="shared" si="19"/>
        <v>256</v>
      </c>
      <c r="E258" s="48">
        <f t="shared" si="20"/>
        <v>1</v>
      </c>
      <c r="F258" s="49">
        <f t="shared" si="21"/>
        <v>2.442002442002442E-4</v>
      </c>
      <c r="G258" s="49">
        <f t="shared" si="23"/>
        <v>3.90625E-3</v>
      </c>
    </row>
    <row r="259" spans="2:7" x14ac:dyDescent="0.25">
      <c r="B259" s="48">
        <f t="shared" si="22"/>
        <v>257</v>
      </c>
      <c r="C259" s="48">
        <f t="shared" ref="C259:C322" si="24">ROUND(B259*C$1/(B$1-1),0)</f>
        <v>1053</v>
      </c>
      <c r="D259" s="48">
        <f t="shared" ref="D259:D322" si="25">MAX(ROUND(D$1^(B259+1),0),B259)</f>
        <v>257</v>
      </c>
      <c r="E259" s="48">
        <f t="shared" ref="E259:E322" si="26">D259-D258</f>
        <v>1</v>
      </c>
      <c r="F259" s="49">
        <f t="shared" ref="F259:F322" si="27">E259/C$1</f>
        <v>2.442002442002442E-4</v>
      </c>
      <c r="G259" s="49">
        <f t="shared" si="23"/>
        <v>3.8910505836575876E-3</v>
      </c>
    </row>
    <row r="260" spans="2:7" x14ac:dyDescent="0.25">
      <c r="B260" s="48">
        <f t="shared" ref="B260:B323" si="28">B259+1</f>
        <v>258</v>
      </c>
      <c r="C260" s="48">
        <f t="shared" si="24"/>
        <v>1058</v>
      </c>
      <c r="D260" s="48">
        <f t="shared" si="25"/>
        <v>258</v>
      </c>
      <c r="E260" s="48">
        <f t="shared" si="26"/>
        <v>1</v>
      </c>
      <c r="F260" s="49">
        <f t="shared" si="27"/>
        <v>2.442002442002442E-4</v>
      </c>
      <c r="G260" s="49">
        <f t="shared" ref="G260:G323" si="29">E260/D260</f>
        <v>3.875968992248062E-3</v>
      </c>
    </row>
    <row r="261" spans="2:7" x14ac:dyDescent="0.25">
      <c r="B261" s="48">
        <f t="shared" si="28"/>
        <v>259</v>
      </c>
      <c r="C261" s="48">
        <f t="shared" si="24"/>
        <v>1062</v>
      </c>
      <c r="D261" s="48">
        <f t="shared" si="25"/>
        <v>259</v>
      </c>
      <c r="E261" s="48">
        <f t="shared" si="26"/>
        <v>1</v>
      </c>
      <c r="F261" s="49">
        <f t="shared" si="27"/>
        <v>2.442002442002442E-4</v>
      </c>
      <c r="G261" s="49">
        <f t="shared" si="29"/>
        <v>3.8610038610038611E-3</v>
      </c>
    </row>
    <row r="262" spans="2:7" x14ac:dyDescent="0.25">
      <c r="B262" s="48">
        <f t="shared" si="28"/>
        <v>260</v>
      </c>
      <c r="C262" s="48">
        <f t="shared" si="24"/>
        <v>1066</v>
      </c>
      <c r="D262" s="48">
        <f t="shared" si="25"/>
        <v>260</v>
      </c>
      <c r="E262" s="48">
        <f t="shared" si="26"/>
        <v>1</v>
      </c>
      <c r="F262" s="49">
        <f t="shared" si="27"/>
        <v>2.442002442002442E-4</v>
      </c>
      <c r="G262" s="49">
        <f t="shared" si="29"/>
        <v>3.8461538461538464E-3</v>
      </c>
    </row>
    <row r="263" spans="2:7" x14ac:dyDescent="0.25">
      <c r="B263" s="48">
        <f t="shared" si="28"/>
        <v>261</v>
      </c>
      <c r="C263" s="48">
        <f t="shared" si="24"/>
        <v>1070</v>
      </c>
      <c r="D263" s="48">
        <f t="shared" si="25"/>
        <v>261</v>
      </c>
      <c r="E263" s="48">
        <f t="shared" si="26"/>
        <v>1</v>
      </c>
      <c r="F263" s="49">
        <f t="shared" si="27"/>
        <v>2.442002442002442E-4</v>
      </c>
      <c r="G263" s="49">
        <f t="shared" si="29"/>
        <v>3.8314176245210726E-3</v>
      </c>
    </row>
    <row r="264" spans="2:7" x14ac:dyDescent="0.25">
      <c r="B264" s="48">
        <f t="shared" si="28"/>
        <v>262</v>
      </c>
      <c r="C264" s="48">
        <f t="shared" si="24"/>
        <v>1074</v>
      </c>
      <c r="D264" s="48">
        <f t="shared" si="25"/>
        <v>262</v>
      </c>
      <c r="E264" s="48">
        <f t="shared" si="26"/>
        <v>1</v>
      </c>
      <c r="F264" s="49">
        <f t="shared" si="27"/>
        <v>2.442002442002442E-4</v>
      </c>
      <c r="G264" s="49">
        <f t="shared" si="29"/>
        <v>3.8167938931297708E-3</v>
      </c>
    </row>
    <row r="265" spans="2:7" x14ac:dyDescent="0.25">
      <c r="B265" s="48">
        <f t="shared" si="28"/>
        <v>263</v>
      </c>
      <c r="C265" s="48">
        <f t="shared" si="24"/>
        <v>1078</v>
      </c>
      <c r="D265" s="48">
        <f t="shared" si="25"/>
        <v>263</v>
      </c>
      <c r="E265" s="48">
        <f t="shared" si="26"/>
        <v>1</v>
      </c>
      <c r="F265" s="49">
        <f t="shared" si="27"/>
        <v>2.442002442002442E-4</v>
      </c>
      <c r="G265" s="49">
        <f t="shared" si="29"/>
        <v>3.8022813688212928E-3</v>
      </c>
    </row>
    <row r="266" spans="2:7" x14ac:dyDescent="0.25">
      <c r="B266" s="48">
        <f t="shared" si="28"/>
        <v>264</v>
      </c>
      <c r="C266" s="48">
        <f t="shared" si="24"/>
        <v>1082</v>
      </c>
      <c r="D266" s="48">
        <f t="shared" si="25"/>
        <v>264</v>
      </c>
      <c r="E266" s="48">
        <f t="shared" si="26"/>
        <v>1</v>
      </c>
      <c r="F266" s="49">
        <f t="shared" si="27"/>
        <v>2.442002442002442E-4</v>
      </c>
      <c r="G266" s="49">
        <f t="shared" si="29"/>
        <v>3.787878787878788E-3</v>
      </c>
    </row>
    <row r="267" spans="2:7" x14ac:dyDescent="0.25">
      <c r="B267" s="48">
        <f t="shared" si="28"/>
        <v>265</v>
      </c>
      <c r="C267" s="48">
        <f t="shared" si="24"/>
        <v>1086</v>
      </c>
      <c r="D267" s="48">
        <f t="shared" si="25"/>
        <v>265</v>
      </c>
      <c r="E267" s="48">
        <f t="shared" si="26"/>
        <v>1</v>
      </c>
      <c r="F267" s="49">
        <f t="shared" si="27"/>
        <v>2.442002442002442E-4</v>
      </c>
      <c r="G267" s="49">
        <f t="shared" si="29"/>
        <v>3.7735849056603774E-3</v>
      </c>
    </row>
    <row r="268" spans="2:7" x14ac:dyDescent="0.25">
      <c r="B268" s="48">
        <f t="shared" si="28"/>
        <v>266</v>
      </c>
      <c r="C268" s="48">
        <f t="shared" si="24"/>
        <v>1090</v>
      </c>
      <c r="D268" s="48">
        <f t="shared" si="25"/>
        <v>266</v>
      </c>
      <c r="E268" s="48">
        <f t="shared" si="26"/>
        <v>1</v>
      </c>
      <c r="F268" s="49">
        <f t="shared" si="27"/>
        <v>2.442002442002442E-4</v>
      </c>
      <c r="G268" s="49">
        <f t="shared" si="29"/>
        <v>3.7593984962406013E-3</v>
      </c>
    </row>
    <row r="269" spans="2:7" x14ac:dyDescent="0.25">
      <c r="B269" s="48">
        <f t="shared" si="28"/>
        <v>267</v>
      </c>
      <c r="C269" s="48">
        <f t="shared" si="24"/>
        <v>1094</v>
      </c>
      <c r="D269" s="48">
        <f t="shared" si="25"/>
        <v>267</v>
      </c>
      <c r="E269" s="48">
        <f t="shared" si="26"/>
        <v>1</v>
      </c>
      <c r="F269" s="49">
        <f t="shared" si="27"/>
        <v>2.442002442002442E-4</v>
      </c>
      <c r="G269" s="49">
        <f t="shared" si="29"/>
        <v>3.7453183520599251E-3</v>
      </c>
    </row>
    <row r="270" spans="2:7" x14ac:dyDescent="0.25">
      <c r="B270" s="48">
        <f t="shared" si="28"/>
        <v>268</v>
      </c>
      <c r="C270" s="48">
        <f t="shared" si="24"/>
        <v>1099</v>
      </c>
      <c r="D270" s="48">
        <f t="shared" si="25"/>
        <v>268</v>
      </c>
      <c r="E270" s="48">
        <f t="shared" si="26"/>
        <v>1</v>
      </c>
      <c r="F270" s="49">
        <f t="shared" si="27"/>
        <v>2.442002442002442E-4</v>
      </c>
      <c r="G270" s="49">
        <f t="shared" si="29"/>
        <v>3.7313432835820895E-3</v>
      </c>
    </row>
    <row r="271" spans="2:7" x14ac:dyDescent="0.25">
      <c r="B271" s="48">
        <f t="shared" si="28"/>
        <v>269</v>
      </c>
      <c r="C271" s="48">
        <f t="shared" si="24"/>
        <v>1103</v>
      </c>
      <c r="D271" s="48">
        <f t="shared" si="25"/>
        <v>269</v>
      </c>
      <c r="E271" s="48">
        <f t="shared" si="26"/>
        <v>1</v>
      </c>
      <c r="F271" s="49">
        <f t="shared" si="27"/>
        <v>2.442002442002442E-4</v>
      </c>
      <c r="G271" s="49">
        <f t="shared" si="29"/>
        <v>3.7174721189591076E-3</v>
      </c>
    </row>
    <row r="272" spans="2:7" x14ac:dyDescent="0.25">
      <c r="B272" s="48">
        <f t="shared" si="28"/>
        <v>270</v>
      </c>
      <c r="C272" s="48">
        <f t="shared" si="24"/>
        <v>1107</v>
      </c>
      <c r="D272" s="48">
        <f t="shared" si="25"/>
        <v>270</v>
      </c>
      <c r="E272" s="48">
        <f t="shared" si="26"/>
        <v>1</v>
      </c>
      <c r="F272" s="49">
        <f t="shared" si="27"/>
        <v>2.442002442002442E-4</v>
      </c>
      <c r="G272" s="49">
        <f t="shared" si="29"/>
        <v>3.7037037037037038E-3</v>
      </c>
    </row>
    <row r="273" spans="2:7" x14ac:dyDescent="0.25">
      <c r="B273" s="48">
        <f t="shared" si="28"/>
        <v>271</v>
      </c>
      <c r="C273" s="48">
        <f t="shared" si="24"/>
        <v>1111</v>
      </c>
      <c r="D273" s="48">
        <f t="shared" si="25"/>
        <v>271</v>
      </c>
      <c r="E273" s="48">
        <f t="shared" si="26"/>
        <v>1</v>
      </c>
      <c r="F273" s="49">
        <f t="shared" si="27"/>
        <v>2.442002442002442E-4</v>
      </c>
      <c r="G273" s="49">
        <f t="shared" si="29"/>
        <v>3.6900369003690036E-3</v>
      </c>
    </row>
    <row r="274" spans="2:7" x14ac:dyDescent="0.25">
      <c r="B274" s="48">
        <f t="shared" si="28"/>
        <v>272</v>
      </c>
      <c r="C274" s="48">
        <f t="shared" si="24"/>
        <v>1115</v>
      </c>
      <c r="D274" s="48">
        <f t="shared" si="25"/>
        <v>272</v>
      </c>
      <c r="E274" s="48">
        <f t="shared" si="26"/>
        <v>1</v>
      </c>
      <c r="F274" s="49">
        <f t="shared" si="27"/>
        <v>2.442002442002442E-4</v>
      </c>
      <c r="G274" s="49">
        <f t="shared" si="29"/>
        <v>3.6764705882352941E-3</v>
      </c>
    </row>
    <row r="275" spans="2:7" x14ac:dyDescent="0.25">
      <c r="B275" s="48">
        <f t="shared" si="28"/>
        <v>273</v>
      </c>
      <c r="C275" s="48">
        <f t="shared" si="24"/>
        <v>1119</v>
      </c>
      <c r="D275" s="48">
        <f t="shared" si="25"/>
        <v>273</v>
      </c>
      <c r="E275" s="48">
        <f t="shared" si="26"/>
        <v>1</v>
      </c>
      <c r="F275" s="49">
        <f t="shared" si="27"/>
        <v>2.442002442002442E-4</v>
      </c>
      <c r="G275" s="49">
        <f t="shared" si="29"/>
        <v>3.663003663003663E-3</v>
      </c>
    </row>
    <row r="276" spans="2:7" x14ac:dyDescent="0.25">
      <c r="B276" s="48">
        <f t="shared" si="28"/>
        <v>274</v>
      </c>
      <c r="C276" s="48">
        <f t="shared" si="24"/>
        <v>1123</v>
      </c>
      <c r="D276" s="48">
        <f t="shared" si="25"/>
        <v>274</v>
      </c>
      <c r="E276" s="48">
        <f t="shared" si="26"/>
        <v>1</v>
      </c>
      <c r="F276" s="49">
        <f t="shared" si="27"/>
        <v>2.442002442002442E-4</v>
      </c>
      <c r="G276" s="49">
        <f t="shared" si="29"/>
        <v>3.6496350364963502E-3</v>
      </c>
    </row>
    <row r="277" spans="2:7" x14ac:dyDescent="0.25">
      <c r="B277" s="48">
        <f t="shared" si="28"/>
        <v>275</v>
      </c>
      <c r="C277" s="48">
        <f t="shared" si="24"/>
        <v>1127</v>
      </c>
      <c r="D277" s="48">
        <f t="shared" si="25"/>
        <v>275</v>
      </c>
      <c r="E277" s="48">
        <f t="shared" si="26"/>
        <v>1</v>
      </c>
      <c r="F277" s="49">
        <f t="shared" si="27"/>
        <v>2.442002442002442E-4</v>
      </c>
      <c r="G277" s="49">
        <f t="shared" si="29"/>
        <v>3.6363636363636364E-3</v>
      </c>
    </row>
    <row r="278" spans="2:7" x14ac:dyDescent="0.25">
      <c r="B278" s="48">
        <f t="shared" si="28"/>
        <v>276</v>
      </c>
      <c r="C278" s="48">
        <f t="shared" si="24"/>
        <v>1131</v>
      </c>
      <c r="D278" s="48">
        <f t="shared" si="25"/>
        <v>276</v>
      </c>
      <c r="E278" s="48">
        <f t="shared" si="26"/>
        <v>1</v>
      </c>
      <c r="F278" s="49">
        <f t="shared" si="27"/>
        <v>2.442002442002442E-4</v>
      </c>
      <c r="G278" s="49">
        <f t="shared" si="29"/>
        <v>3.6231884057971015E-3</v>
      </c>
    </row>
    <row r="279" spans="2:7" x14ac:dyDescent="0.25">
      <c r="B279" s="48">
        <f t="shared" si="28"/>
        <v>277</v>
      </c>
      <c r="C279" s="48">
        <f t="shared" si="24"/>
        <v>1135</v>
      </c>
      <c r="D279" s="48">
        <f t="shared" si="25"/>
        <v>277</v>
      </c>
      <c r="E279" s="48">
        <f t="shared" si="26"/>
        <v>1</v>
      </c>
      <c r="F279" s="49">
        <f t="shared" si="27"/>
        <v>2.442002442002442E-4</v>
      </c>
      <c r="G279" s="49">
        <f t="shared" si="29"/>
        <v>3.6101083032490976E-3</v>
      </c>
    </row>
    <row r="280" spans="2:7" x14ac:dyDescent="0.25">
      <c r="B280" s="48">
        <f t="shared" si="28"/>
        <v>278</v>
      </c>
      <c r="C280" s="48">
        <f t="shared" si="24"/>
        <v>1140</v>
      </c>
      <c r="D280" s="48">
        <f t="shared" si="25"/>
        <v>278</v>
      </c>
      <c r="E280" s="48">
        <f t="shared" si="26"/>
        <v>1</v>
      </c>
      <c r="F280" s="49">
        <f t="shared" si="27"/>
        <v>2.442002442002442E-4</v>
      </c>
      <c r="G280" s="49">
        <f t="shared" si="29"/>
        <v>3.5971223021582736E-3</v>
      </c>
    </row>
    <row r="281" spans="2:7" x14ac:dyDescent="0.25">
      <c r="B281" s="48">
        <f t="shared" si="28"/>
        <v>279</v>
      </c>
      <c r="C281" s="48">
        <f t="shared" si="24"/>
        <v>1144</v>
      </c>
      <c r="D281" s="48">
        <f t="shared" si="25"/>
        <v>279</v>
      </c>
      <c r="E281" s="48">
        <f t="shared" si="26"/>
        <v>1</v>
      </c>
      <c r="F281" s="49">
        <f t="shared" si="27"/>
        <v>2.442002442002442E-4</v>
      </c>
      <c r="G281" s="49">
        <f t="shared" si="29"/>
        <v>3.5842293906810036E-3</v>
      </c>
    </row>
    <row r="282" spans="2:7" x14ac:dyDescent="0.25">
      <c r="B282" s="48">
        <f t="shared" si="28"/>
        <v>280</v>
      </c>
      <c r="C282" s="48">
        <f t="shared" si="24"/>
        <v>1148</v>
      </c>
      <c r="D282" s="48">
        <f t="shared" si="25"/>
        <v>280</v>
      </c>
      <c r="E282" s="48">
        <f t="shared" si="26"/>
        <v>1</v>
      </c>
      <c r="F282" s="49">
        <f t="shared" si="27"/>
        <v>2.442002442002442E-4</v>
      </c>
      <c r="G282" s="49">
        <f t="shared" si="29"/>
        <v>3.5714285714285713E-3</v>
      </c>
    </row>
    <row r="283" spans="2:7" x14ac:dyDescent="0.25">
      <c r="B283" s="48">
        <f t="shared" si="28"/>
        <v>281</v>
      </c>
      <c r="C283" s="48">
        <f t="shared" si="24"/>
        <v>1152</v>
      </c>
      <c r="D283" s="48">
        <f t="shared" si="25"/>
        <v>281</v>
      </c>
      <c r="E283" s="48">
        <f t="shared" si="26"/>
        <v>1</v>
      </c>
      <c r="F283" s="49">
        <f t="shared" si="27"/>
        <v>2.442002442002442E-4</v>
      </c>
      <c r="G283" s="49">
        <f t="shared" si="29"/>
        <v>3.5587188612099642E-3</v>
      </c>
    </row>
    <row r="284" spans="2:7" x14ac:dyDescent="0.25">
      <c r="B284" s="48">
        <f t="shared" si="28"/>
        <v>282</v>
      </c>
      <c r="C284" s="48">
        <f t="shared" si="24"/>
        <v>1156</v>
      </c>
      <c r="D284" s="48">
        <f t="shared" si="25"/>
        <v>282</v>
      </c>
      <c r="E284" s="48">
        <f t="shared" si="26"/>
        <v>1</v>
      </c>
      <c r="F284" s="49">
        <f t="shared" si="27"/>
        <v>2.442002442002442E-4</v>
      </c>
      <c r="G284" s="49">
        <f t="shared" si="29"/>
        <v>3.5460992907801418E-3</v>
      </c>
    </row>
    <row r="285" spans="2:7" x14ac:dyDescent="0.25">
      <c r="B285" s="48">
        <f t="shared" si="28"/>
        <v>283</v>
      </c>
      <c r="C285" s="48">
        <f t="shared" si="24"/>
        <v>1160</v>
      </c>
      <c r="D285" s="48">
        <f t="shared" si="25"/>
        <v>283</v>
      </c>
      <c r="E285" s="48">
        <f t="shared" si="26"/>
        <v>1</v>
      </c>
      <c r="F285" s="49">
        <f t="shared" si="27"/>
        <v>2.442002442002442E-4</v>
      </c>
      <c r="G285" s="49">
        <f t="shared" si="29"/>
        <v>3.5335689045936395E-3</v>
      </c>
    </row>
    <row r="286" spans="2:7" x14ac:dyDescent="0.25">
      <c r="B286" s="48">
        <f t="shared" si="28"/>
        <v>284</v>
      </c>
      <c r="C286" s="48">
        <f t="shared" si="24"/>
        <v>1164</v>
      </c>
      <c r="D286" s="48">
        <f t="shared" si="25"/>
        <v>284</v>
      </c>
      <c r="E286" s="48">
        <f t="shared" si="26"/>
        <v>1</v>
      </c>
      <c r="F286" s="49">
        <f t="shared" si="27"/>
        <v>2.442002442002442E-4</v>
      </c>
      <c r="G286" s="49">
        <f t="shared" si="29"/>
        <v>3.5211267605633804E-3</v>
      </c>
    </row>
    <row r="287" spans="2:7" x14ac:dyDescent="0.25">
      <c r="B287" s="48">
        <f t="shared" si="28"/>
        <v>285</v>
      </c>
      <c r="C287" s="48">
        <f t="shared" si="24"/>
        <v>1168</v>
      </c>
      <c r="D287" s="48">
        <f t="shared" si="25"/>
        <v>285</v>
      </c>
      <c r="E287" s="48">
        <f t="shared" si="26"/>
        <v>1</v>
      </c>
      <c r="F287" s="49">
        <f t="shared" si="27"/>
        <v>2.442002442002442E-4</v>
      </c>
      <c r="G287" s="49">
        <f t="shared" si="29"/>
        <v>3.5087719298245615E-3</v>
      </c>
    </row>
    <row r="288" spans="2:7" x14ac:dyDescent="0.25">
      <c r="B288" s="48">
        <f t="shared" si="28"/>
        <v>286</v>
      </c>
      <c r="C288" s="48">
        <f t="shared" si="24"/>
        <v>1172</v>
      </c>
      <c r="D288" s="48">
        <f t="shared" si="25"/>
        <v>286</v>
      </c>
      <c r="E288" s="48">
        <f t="shared" si="26"/>
        <v>1</v>
      </c>
      <c r="F288" s="49">
        <f t="shared" si="27"/>
        <v>2.442002442002442E-4</v>
      </c>
      <c r="G288" s="49">
        <f t="shared" si="29"/>
        <v>3.4965034965034965E-3</v>
      </c>
    </row>
    <row r="289" spans="2:7" x14ac:dyDescent="0.25">
      <c r="B289" s="48">
        <f t="shared" si="28"/>
        <v>287</v>
      </c>
      <c r="C289" s="48">
        <f t="shared" si="24"/>
        <v>1176</v>
      </c>
      <c r="D289" s="48">
        <f t="shared" si="25"/>
        <v>287</v>
      </c>
      <c r="E289" s="48">
        <f t="shared" si="26"/>
        <v>1</v>
      </c>
      <c r="F289" s="49">
        <f t="shared" si="27"/>
        <v>2.442002442002442E-4</v>
      </c>
      <c r="G289" s="49">
        <f t="shared" si="29"/>
        <v>3.4843205574912892E-3</v>
      </c>
    </row>
    <row r="290" spans="2:7" x14ac:dyDescent="0.25">
      <c r="B290" s="48">
        <f t="shared" si="28"/>
        <v>288</v>
      </c>
      <c r="C290" s="48">
        <f t="shared" si="24"/>
        <v>1181</v>
      </c>
      <c r="D290" s="48">
        <f t="shared" si="25"/>
        <v>288</v>
      </c>
      <c r="E290" s="48">
        <f t="shared" si="26"/>
        <v>1</v>
      </c>
      <c r="F290" s="49">
        <f t="shared" si="27"/>
        <v>2.442002442002442E-4</v>
      </c>
      <c r="G290" s="49">
        <f t="shared" si="29"/>
        <v>3.472222222222222E-3</v>
      </c>
    </row>
    <row r="291" spans="2:7" x14ac:dyDescent="0.25">
      <c r="B291" s="48">
        <f t="shared" si="28"/>
        <v>289</v>
      </c>
      <c r="C291" s="48">
        <f t="shared" si="24"/>
        <v>1185</v>
      </c>
      <c r="D291" s="48">
        <f t="shared" si="25"/>
        <v>289</v>
      </c>
      <c r="E291" s="48">
        <f t="shared" si="26"/>
        <v>1</v>
      </c>
      <c r="F291" s="49">
        <f t="shared" si="27"/>
        <v>2.442002442002442E-4</v>
      </c>
      <c r="G291" s="49">
        <f t="shared" si="29"/>
        <v>3.4602076124567475E-3</v>
      </c>
    </row>
    <row r="292" spans="2:7" x14ac:dyDescent="0.25">
      <c r="B292" s="48">
        <f t="shared" si="28"/>
        <v>290</v>
      </c>
      <c r="C292" s="48">
        <f t="shared" si="24"/>
        <v>1189</v>
      </c>
      <c r="D292" s="48">
        <f t="shared" si="25"/>
        <v>290</v>
      </c>
      <c r="E292" s="48">
        <f t="shared" si="26"/>
        <v>1</v>
      </c>
      <c r="F292" s="49">
        <f t="shared" si="27"/>
        <v>2.442002442002442E-4</v>
      </c>
      <c r="G292" s="49">
        <f t="shared" si="29"/>
        <v>3.4482758620689655E-3</v>
      </c>
    </row>
    <row r="293" spans="2:7" x14ac:dyDescent="0.25">
      <c r="B293" s="48">
        <f t="shared" si="28"/>
        <v>291</v>
      </c>
      <c r="C293" s="48">
        <f t="shared" si="24"/>
        <v>1193</v>
      </c>
      <c r="D293" s="48">
        <f t="shared" si="25"/>
        <v>291</v>
      </c>
      <c r="E293" s="48">
        <f t="shared" si="26"/>
        <v>1</v>
      </c>
      <c r="F293" s="49">
        <f t="shared" si="27"/>
        <v>2.442002442002442E-4</v>
      </c>
      <c r="G293" s="49">
        <f t="shared" si="29"/>
        <v>3.4364261168384879E-3</v>
      </c>
    </row>
    <row r="294" spans="2:7" x14ac:dyDescent="0.25">
      <c r="B294" s="48">
        <f t="shared" si="28"/>
        <v>292</v>
      </c>
      <c r="C294" s="48">
        <f t="shared" si="24"/>
        <v>1197</v>
      </c>
      <c r="D294" s="48">
        <f t="shared" si="25"/>
        <v>292</v>
      </c>
      <c r="E294" s="48">
        <f t="shared" si="26"/>
        <v>1</v>
      </c>
      <c r="F294" s="49">
        <f t="shared" si="27"/>
        <v>2.442002442002442E-4</v>
      </c>
      <c r="G294" s="49">
        <f t="shared" si="29"/>
        <v>3.4246575342465752E-3</v>
      </c>
    </row>
    <row r="295" spans="2:7" x14ac:dyDescent="0.25">
      <c r="B295" s="48">
        <f t="shared" si="28"/>
        <v>293</v>
      </c>
      <c r="C295" s="48">
        <f t="shared" si="24"/>
        <v>1201</v>
      </c>
      <c r="D295" s="48">
        <f t="shared" si="25"/>
        <v>293</v>
      </c>
      <c r="E295" s="48">
        <f t="shared" si="26"/>
        <v>1</v>
      </c>
      <c r="F295" s="49">
        <f t="shared" si="27"/>
        <v>2.442002442002442E-4</v>
      </c>
      <c r="G295" s="49">
        <f t="shared" si="29"/>
        <v>3.4129692832764505E-3</v>
      </c>
    </row>
    <row r="296" spans="2:7" x14ac:dyDescent="0.25">
      <c r="B296" s="48">
        <f t="shared" si="28"/>
        <v>294</v>
      </c>
      <c r="C296" s="48">
        <f t="shared" si="24"/>
        <v>1205</v>
      </c>
      <c r="D296" s="48">
        <f t="shared" si="25"/>
        <v>294</v>
      </c>
      <c r="E296" s="48">
        <f t="shared" si="26"/>
        <v>1</v>
      </c>
      <c r="F296" s="49">
        <f t="shared" si="27"/>
        <v>2.442002442002442E-4</v>
      </c>
      <c r="G296" s="49">
        <f t="shared" si="29"/>
        <v>3.4013605442176869E-3</v>
      </c>
    </row>
    <row r="297" spans="2:7" x14ac:dyDescent="0.25">
      <c r="B297" s="48">
        <f t="shared" si="28"/>
        <v>295</v>
      </c>
      <c r="C297" s="48">
        <f t="shared" si="24"/>
        <v>1209</v>
      </c>
      <c r="D297" s="48">
        <f t="shared" si="25"/>
        <v>295</v>
      </c>
      <c r="E297" s="48">
        <f t="shared" si="26"/>
        <v>1</v>
      </c>
      <c r="F297" s="49">
        <f t="shared" si="27"/>
        <v>2.442002442002442E-4</v>
      </c>
      <c r="G297" s="49">
        <f t="shared" si="29"/>
        <v>3.3898305084745762E-3</v>
      </c>
    </row>
    <row r="298" spans="2:7" x14ac:dyDescent="0.25">
      <c r="B298" s="48">
        <f t="shared" si="28"/>
        <v>296</v>
      </c>
      <c r="C298" s="48">
        <f t="shared" si="24"/>
        <v>1213</v>
      </c>
      <c r="D298" s="48">
        <f t="shared" si="25"/>
        <v>296</v>
      </c>
      <c r="E298" s="48">
        <f t="shared" si="26"/>
        <v>1</v>
      </c>
      <c r="F298" s="49">
        <f t="shared" si="27"/>
        <v>2.442002442002442E-4</v>
      </c>
      <c r="G298" s="49">
        <f t="shared" si="29"/>
        <v>3.3783783783783786E-3</v>
      </c>
    </row>
    <row r="299" spans="2:7" x14ac:dyDescent="0.25">
      <c r="B299" s="48">
        <f t="shared" si="28"/>
        <v>297</v>
      </c>
      <c r="C299" s="48">
        <f t="shared" si="24"/>
        <v>1217</v>
      </c>
      <c r="D299" s="48">
        <f t="shared" si="25"/>
        <v>297</v>
      </c>
      <c r="E299" s="48">
        <f t="shared" si="26"/>
        <v>1</v>
      </c>
      <c r="F299" s="49">
        <f t="shared" si="27"/>
        <v>2.442002442002442E-4</v>
      </c>
      <c r="G299" s="49">
        <f t="shared" si="29"/>
        <v>3.3670033670033669E-3</v>
      </c>
    </row>
    <row r="300" spans="2:7" x14ac:dyDescent="0.25">
      <c r="B300" s="48">
        <f t="shared" si="28"/>
        <v>298</v>
      </c>
      <c r="C300" s="48">
        <f t="shared" si="24"/>
        <v>1222</v>
      </c>
      <c r="D300" s="48">
        <f t="shared" si="25"/>
        <v>298</v>
      </c>
      <c r="E300" s="48">
        <f t="shared" si="26"/>
        <v>1</v>
      </c>
      <c r="F300" s="49">
        <f t="shared" si="27"/>
        <v>2.442002442002442E-4</v>
      </c>
      <c r="G300" s="49">
        <f t="shared" si="29"/>
        <v>3.3557046979865771E-3</v>
      </c>
    </row>
    <row r="301" spans="2:7" x14ac:dyDescent="0.25">
      <c r="B301" s="48">
        <f t="shared" si="28"/>
        <v>299</v>
      </c>
      <c r="C301" s="48">
        <f t="shared" si="24"/>
        <v>1226</v>
      </c>
      <c r="D301" s="48">
        <f t="shared" si="25"/>
        <v>299</v>
      </c>
      <c r="E301" s="48">
        <f t="shared" si="26"/>
        <v>1</v>
      </c>
      <c r="F301" s="49">
        <f t="shared" si="27"/>
        <v>2.442002442002442E-4</v>
      </c>
      <c r="G301" s="49">
        <f t="shared" si="29"/>
        <v>3.3444816053511705E-3</v>
      </c>
    </row>
    <row r="302" spans="2:7" x14ac:dyDescent="0.25">
      <c r="B302" s="48">
        <f t="shared" si="28"/>
        <v>300</v>
      </c>
      <c r="C302" s="48">
        <f t="shared" si="24"/>
        <v>1230</v>
      </c>
      <c r="D302" s="48">
        <f t="shared" si="25"/>
        <v>300</v>
      </c>
      <c r="E302" s="48">
        <f t="shared" si="26"/>
        <v>1</v>
      </c>
      <c r="F302" s="49">
        <f t="shared" si="27"/>
        <v>2.442002442002442E-4</v>
      </c>
      <c r="G302" s="49">
        <f t="shared" si="29"/>
        <v>3.3333333333333335E-3</v>
      </c>
    </row>
    <row r="303" spans="2:7" x14ac:dyDescent="0.25">
      <c r="B303" s="48">
        <f t="shared" si="28"/>
        <v>301</v>
      </c>
      <c r="C303" s="48">
        <f t="shared" si="24"/>
        <v>1234</v>
      </c>
      <c r="D303" s="48">
        <f t="shared" si="25"/>
        <v>301</v>
      </c>
      <c r="E303" s="48">
        <f t="shared" si="26"/>
        <v>1</v>
      </c>
      <c r="F303" s="49">
        <f t="shared" si="27"/>
        <v>2.442002442002442E-4</v>
      </c>
      <c r="G303" s="49">
        <f t="shared" si="29"/>
        <v>3.3222591362126247E-3</v>
      </c>
    </row>
    <row r="304" spans="2:7" x14ac:dyDescent="0.25">
      <c r="B304" s="48">
        <f t="shared" si="28"/>
        <v>302</v>
      </c>
      <c r="C304" s="48">
        <f t="shared" si="24"/>
        <v>1238</v>
      </c>
      <c r="D304" s="48">
        <f t="shared" si="25"/>
        <v>302</v>
      </c>
      <c r="E304" s="48">
        <f t="shared" si="26"/>
        <v>1</v>
      </c>
      <c r="F304" s="49">
        <f t="shared" si="27"/>
        <v>2.442002442002442E-4</v>
      </c>
      <c r="G304" s="49">
        <f t="shared" si="29"/>
        <v>3.3112582781456954E-3</v>
      </c>
    </row>
    <row r="305" spans="2:7" x14ac:dyDescent="0.25">
      <c r="B305" s="48">
        <f t="shared" si="28"/>
        <v>303</v>
      </c>
      <c r="C305" s="48">
        <f t="shared" si="24"/>
        <v>1242</v>
      </c>
      <c r="D305" s="48">
        <f t="shared" si="25"/>
        <v>303</v>
      </c>
      <c r="E305" s="48">
        <f t="shared" si="26"/>
        <v>1</v>
      </c>
      <c r="F305" s="49">
        <f t="shared" si="27"/>
        <v>2.442002442002442E-4</v>
      </c>
      <c r="G305" s="49">
        <f t="shared" si="29"/>
        <v>3.3003300330033004E-3</v>
      </c>
    </row>
    <row r="306" spans="2:7" x14ac:dyDescent="0.25">
      <c r="B306" s="48">
        <f t="shared" si="28"/>
        <v>304</v>
      </c>
      <c r="C306" s="48">
        <f t="shared" si="24"/>
        <v>1246</v>
      </c>
      <c r="D306" s="48">
        <f t="shared" si="25"/>
        <v>304</v>
      </c>
      <c r="E306" s="48">
        <f t="shared" si="26"/>
        <v>1</v>
      </c>
      <c r="F306" s="49">
        <f t="shared" si="27"/>
        <v>2.442002442002442E-4</v>
      </c>
      <c r="G306" s="49">
        <f t="shared" si="29"/>
        <v>3.2894736842105261E-3</v>
      </c>
    </row>
    <row r="307" spans="2:7" x14ac:dyDescent="0.25">
      <c r="B307" s="48">
        <f t="shared" si="28"/>
        <v>305</v>
      </c>
      <c r="C307" s="48">
        <f t="shared" si="24"/>
        <v>1250</v>
      </c>
      <c r="D307" s="48">
        <f t="shared" si="25"/>
        <v>305</v>
      </c>
      <c r="E307" s="48">
        <f t="shared" si="26"/>
        <v>1</v>
      </c>
      <c r="F307" s="49">
        <f t="shared" si="27"/>
        <v>2.442002442002442E-4</v>
      </c>
      <c r="G307" s="49">
        <f t="shared" si="29"/>
        <v>3.2786885245901639E-3</v>
      </c>
    </row>
    <row r="308" spans="2:7" x14ac:dyDescent="0.25">
      <c r="B308" s="48">
        <f t="shared" si="28"/>
        <v>306</v>
      </c>
      <c r="C308" s="48">
        <f t="shared" si="24"/>
        <v>1254</v>
      </c>
      <c r="D308" s="48">
        <f t="shared" si="25"/>
        <v>306</v>
      </c>
      <c r="E308" s="48">
        <f t="shared" si="26"/>
        <v>1</v>
      </c>
      <c r="F308" s="49">
        <f t="shared" si="27"/>
        <v>2.442002442002442E-4</v>
      </c>
      <c r="G308" s="49">
        <f t="shared" si="29"/>
        <v>3.2679738562091504E-3</v>
      </c>
    </row>
    <row r="309" spans="2:7" x14ac:dyDescent="0.25">
      <c r="B309" s="48">
        <f t="shared" si="28"/>
        <v>307</v>
      </c>
      <c r="C309" s="48">
        <f t="shared" si="24"/>
        <v>1258</v>
      </c>
      <c r="D309" s="48">
        <f t="shared" si="25"/>
        <v>307</v>
      </c>
      <c r="E309" s="48">
        <f t="shared" si="26"/>
        <v>1</v>
      </c>
      <c r="F309" s="49">
        <f t="shared" si="27"/>
        <v>2.442002442002442E-4</v>
      </c>
      <c r="G309" s="49">
        <f t="shared" si="29"/>
        <v>3.2573289902280132E-3</v>
      </c>
    </row>
    <row r="310" spans="2:7" x14ac:dyDescent="0.25">
      <c r="B310" s="48">
        <f t="shared" si="28"/>
        <v>308</v>
      </c>
      <c r="C310" s="48">
        <f t="shared" si="24"/>
        <v>1263</v>
      </c>
      <c r="D310" s="48">
        <f t="shared" si="25"/>
        <v>308</v>
      </c>
      <c r="E310" s="48">
        <f t="shared" si="26"/>
        <v>1</v>
      </c>
      <c r="F310" s="49">
        <f t="shared" si="27"/>
        <v>2.442002442002442E-4</v>
      </c>
      <c r="G310" s="49">
        <f t="shared" si="29"/>
        <v>3.246753246753247E-3</v>
      </c>
    </row>
    <row r="311" spans="2:7" x14ac:dyDescent="0.25">
      <c r="B311" s="48">
        <f t="shared" si="28"/>
        <v>309</v>
      </c>
      <c r="C311" s="48">
        <f t="shared" si="24"/>
        <v>1267</v>
      </c>
      <c r="D311" s="48">
        <f t="shared" si="25"/>
        <v>309</v>
      </c>
      <c r="E311" s="48">
        <f t="shared" si="26"/>
        <v>1</v>
      </c>
      <c r="F311" s="49">
        <f t="shared" si="27"/>
        <v>2.442002442002442E-4</v>
      </c>
      <c r="G311" s="49">
        <f t="shared" si="29"/>
        <v>3.2362459546925568E-3</v>
      </c>
    </row>
    <row r="312" spans="2:7" x14ac:dyDescent="0.25">
      <c r="B312" s="48">
        <f t="shared" si="28"/>
        <v>310</v>
      </c>
      <c r="C312" s="48">
        <f t="shared" si="24"/>
        <v>1271</v>
      </c>
      <c r="D312" s="48">
        <f t="shared" si="25"/>
        <v>310</v>
      </c>
      <c r="E312" s="48">
        <f t="shared" si="26"/>
        <v>1</v>
      </c>
      <c r="F312" s="49">
        <f t="shared" si="27"/>
        <v>2.442002442002442E-4</v>
      </c>
      <c r="G312" s="49">
        <f t="shared" si="29"/>
        <v>3.2258064516129032E-3</v>
      </c>
    </row>
    <row r="313" spans="2:7" x14ac:dyDescent="0.25">
      <c r="B313" s="48">
        <f t="shared" si="28"/>
        <v>311</v>
      </c>
      <c r="C313" s="48">
        <f t="shared" si="24"/>
        <v>1275</v>
      </c>
      <c r="D313" s="48">
        <f t="shared" si="25"/>
        <v>311</v>
      </c>
      <c r="E313" s="48">
        <f t="shared" si="26"/>
        <v>1</v>
      </c>
      <c r="F313" s="49">
        <f t="shared" si="27"/>
        <v>2.442002442002442E-4</v>
      </c>
      <c r="G313" s="49">
        <f t="shared" si="29"/>
        <v>3.2154340836012861E-3</v>
      </c>
    </row>
    <row r="314" spans="2:7" x14ac:dyDescent="0.25">
      <c r="B314" s="48">
        <f t="shared" si="28"/>
        <v>312</v>
      </c>
      <c r="C314" s="48">
        <f t="shared" si="24"/>
        <v>1279</v>
      </c>
      <c r="D314" s="48">
        <f t="shared" si="25"/>
        <v>312</v>
      </c>
      <c r="E314" s="48">
        <f t="shared" si="26"/>
        <v>1</v>
      </c>
      <c r="F314" s="49">
        <f t="shared" si="27"/>
        <v>2.442002442002442E-4</v>
      </c>
      <c r="G314" s="49">
        <f t="shared" si="29"/>
        <v>3.205128205128205E-3</v>
      </c>
    </row>
    <row r="315" spans="2:7" x14ac:dyDescent="0.25">
      <c r="B315" s="48">
        <f t="shared" si="28"/>
        <v>313</v>
      </c>
      <c r="C315" s="48">
        <f t="shared" si="24"/>
        <v>1283</v>
      </c>
      <c r="D315" s="48">
        <f t="shared" si="25"/>
        <v>313</v>
      </c>
      <c r="E315" s="48">
        <f t="shared" si="26"/>
        <v>1</v>
      </c>
      <c r="F315" s="49">
        <f t="shared" si="27"/>
        <v>2.442002442002442E-4</v>
      </c>
      <c r="G315" s="49">
        <f t="shared" si="29"/>
        <v>3.1948881789137379E-3</v>
      </c>
    </row>
    <row r="316" spans="2:7" x14ac:dyDescent="0.25">
      <c r="B316" s="48">
        <f t="shared" si="28"/>
        <v>314</v>
      </c>
      <c r="C316" s="48">
        <f t="shared" si="24"/>
        <v>1287</v>
      </c>
      <c r="D316" s="48">
        <f t="shared" si="25"/>
        <v>314</v>
      </c>
      <c r="E316" s="48">
        <f t="shared" si="26"/>
        <v>1</v>
      </c>
      <c r="F316" s="49">
        <f t="shared" si="27"/>
        <v>2.442002442002442E-4</v>
      </c>
      <c r="G316" s="49">
        <f t="shared" si="29"/>
        <v>3.1847133757961785E-3</v>
      </c>
    </row>
    <row r="317" spans="2:7" x14ac:dyDescent="0.25">
      <c r="B317" s="48">
        <f t="shared" si="28"/>
        <v>315</v>
      </c>
      <c r="C317" s="48">
        <f t="shared" si="24"/>
        <v>1291</v>
      </c>
      <c r="D317" s="48">
        <f t="shared" si="25"/>
        <v>315</v>
      </c>
      <c r="E317" s="48">
        <f t="shared" si="26"/>
        <v>1</v>
      </c>
      <c r="F317" s="49">
        <f t="shared" si="27"/>
        <v>2.442002442002442E-4</v>
      </c>
      <c r="G317" s="49">
        <f t="shared" si="29"/>
        <v>3.1746031746031746E-3</v>
      </c>
    </row>
    <row r="318" spans="2:7" x14ac:dyDescent="0.25">
      <c r="B318" s="48">
        <f t="shared" si="28"/>
        <v>316</v>
      </c>
      <c r="C318" s="48">
        <f t="shared" si="24"/>
        <v>1295</v>
      </c>
      <c r="D318" s="48">
        <f t="shared" si="25"/>
        <v>316</v>
      </c>
      <c r="E318" s="48">
        <f t="shared" si="26"/>
        <v>1</v>
      </c>
      <c r="F318" s="49">
        <f t="shared" si="27"/>
        <v>2.442002442002442E-4</v>
      </c>
      <c r="G318" s="49">
        <f t="shared" si="29"/>
        <v>3.1645569620253164E-3</v>
      </c>
    </row>
    <row r="319" spans="2:7" x14ac:dyDescent="0.25">
      <c r="B319" s="48">
        <f t="shared" si="28"/>
        <v>317</v>
      </c>
      <c r="C319" s="48">
        <f t="shared" si="24"/>
        <v>1299</v>
      </c>
      <c r="D319" s="48">
        <f t="shared" si="25"/>
        <v>317</v>
      </c>
      <c r="E319" s="48">
        <f t="shared" si="26"/>
        <v>1</v>
      </c>
      <c r="F319" s="49">
        <f t="shared" si="27"/>
        <v>2.442002442002442E-4</v>
      </c>
      <c r="G319" s="49">
        <f t="shared" si="29"/>
        <v>3.1545741324921135E-3</v>
      </c>
    </row>
    <row r="320" spans="2:7" x14ac:dyDescent="0.25">
      <c r="B320" s="48">
        <f t="shared" si="28"/>
        <v>318</v>
      </c>
      <c r="C320" s="48">
        <f t="shared" si="24"/>
        <v>1304</v>
      </c>
      <c r="D320" s="48">
        <f t="shared" si="25"/>
        <v>318</v>
      </c>
      <c r="E320" s="48">
        <f t="shared" si="26"/>
        <v>1</v>
      </c>
      <c r="F320" s="49">
        <f t="shared" si="27"/>
        <v>2.442002442002442E-4</v>
      </c>
      <c r="G320" s="49">
        <f t="shared" si="29"/>
        <v>3.1446540880503146E-3</v>
      </c>
    </row>
    <row r="321" spans="2:7" x14ac:dyDescent="0.25">
      <c r="B321" s="48">
        <f t="shared" si="28"/>
        <v>319</v>
      </c>
      <c r="C321" s="48">
        <f t="shared" si="24"/>
        <v>1308</v>
      </c>
      <c r="D321" s="48">
        <f t="shared" si="25"/>
        <v>319</v>
      </c>
      <c r="E321" s="48">
        <f t="shared" si="26"/>
        <v>1</v>
      </c>
      <c r="F321" s="49">
        <f t="shared" si="27"/>
        <v>2.442002442002442E-4</v>
      </c>
      <c r="G321" s="49">
        <f t="shared" si="29"/>
        <v>3.134796238244514E-3</v>
      </c>
    </row>
    <row r="322" spans="2:7" x14ac:dyDescent="0.25">
      <c r="B322" s="48">
        <f t="shared" si="28"/>
        <v>320</v>
      </c>
      <c r="C322" s="48">
        <f t="shared" si="24"/>
        <v>1312</v>
      </c>
      <c r="D322" s="48">
        <f t="shared" si="25"/>
        <v>320</v>
      </c>
      <c r="E322" s="48">
        <f t="shared" si="26"/>
        <v>1</v>
      </c>
      <c r="F322" s="49">
        <f t="shared" si="27"/>
        <v>2.442002442002442E-4</v>
      </c>
      <c r="G322" s="49">
        <f t="shared" si="29"/>
        <v>3.1250000000000002E-3</v>
      </c>
    </row>
    <row r="323" spans="2:7" x14ac:dyDescent="0.25">
      <c r="B323" s="48">
        <f t="shared" si="28"/>
        <v>321</v>
      </c>
      <c r="C323" s="48">
        <f t="shared" ref="C323:C386" si="30">ROUND(B323*C$1/(B$1-1),0)</f>
        <v>1316</v>
      </c>
      <c r="D323" s="48">
        <f t="shared" ref="D323:D386" si="31">MAX(ROUND(D$1^(B323+1),0),B323)</f>
        <v>321</v>
      </c>
      <c r="E323" s="48">
        <f t="shared" ref="E323:E386" si="32">D323-D322</f>
        <v>1</v>
      </c>
      <c r="F323" s="49">
        <f t="shared" ref="F323:F386" si="33">E323/C$1</f>
        <v>2.442002442002442E-4</v>
      </c>
      <c r="G323" s="49">
        <f t="shared" si="29"/>
        <v>3.1152647975077881E-3</v>
      </c>
    </row>
    <row r="324" spans="2:7" x14ac:dyDescent="0.25">
      <c r="B324" s="48">
        <f t="shared" ref="B324:B387" si="34">B323+1</f>
        <v>322</v>
      </c>
      <c r="C324" s="48">
        <f t="shared" si="30"/>
        <v>1320</v>
      </c>
      <c r="D324" s="48">
        <f t="shared" si="31"/>
        <v>322</v>
      </c>
      <c r="E324" s="48">
        <f t="shared" si="32"/>
        <v>1</v>
      </c>
      <c r="F324" s="49">
        <f t="shared" si="33"/>
        <v>2.442002442002442E-4</v>
      </c>
      <c r="G324" s="49">
        <f t="shared" ref="G324:G387" si="35">E324/D324</f>
        <v>3.105590062111801E-3</v>
      </c>
    </row>
    <row r="325" spans="2:7" x14ac:dyDescent="0.25">
      <c r="B325" s="48">
        <f t="shared" si="34"/>
        <v>323</v>
      </c>
      <c r="C325" s="48">
        <f t="shared" si="30"/>
        <v>1324</v>
      </c>
      <c r="D325" s="48">
        <f t="shared" si="31"/>
        <v>323</v>
      </c>
      <c r="E325" s="48">
        <f t="shared" si="32"/>
        <v>1</v>
      </c>
      <c r="F325" s="49">
        <f t="shared" si="33"/>
        <v>2.442002442002442E-4</v>
      </c>
      <c r="G325" s="49">
        <f t="shared" si="35"/>
        <v>3.0959752321981426E-3</v>
      </c>
    </row>
    <row r="326" spans="2:7" x14ac:dyDescent="0.25">
      <c r="B326" s="48">
        <f t="shared" si="34"/>
        <v>324</v>
      </c>
      <c r="C326" s="48">
        <f t="shared" si="30"/>
        <v>1328</v>
      </c>
      <c r="D326" s="48">
        <f t="shared" si="31"/>
        <v>324</v>
      </c>
      <c r="E326" s="48">
        <f t="shared" si="32"/>
        <v>1</v>
      </c>
      <c r="F326" s="49">
        <f t="shared" si="33"/>
        <v>2.442002442002442E-4</v>
      </c>
      <c r="G326" s="49">
        <f t="shared" si="35"/>
        <v>3.0864197530864196E-3</v>
      </c>
    </row>
    <row r="327" spans="2:7" x14ac:dyDescent="0.25">
      <c r="B327" s="48">
        <f t="shared" si="34"/>
        <v>325</v>
      </c>
      <c r="C327" s="48">
        <f t="shared" si="30"/>
        <v>1332</v>
      </c>
      <c r="D327" s="48">
        <f t="shared" si="31"/>
        <v>325</v>
      </c>
      <c r="E327" s="48">
        <f t="shared" si="32"/>
        <v>1</v>
      </c>
      <c r="F327" s="49">
        <f t="shared" si="33"/>
        <v>2.442002442002442E-4</v>
      </c>
      <c r="G327" s="49">
        <f t="shared" si="35"/>
        <v>3.0769230769230769E-3</v>
      </c>
    </row>
    <row r="328" spans="2:7" x14ac:dyDescent="0.25">
      <c r="B328" s="48">
        <f t="shared" si="34"/>
        <v>326</v>
      </c>
      <c r="C328" s="48">
        <f t="shared" si="30"/>
        <v>1336</v>
      </c>
      <c r="D328" s="48">
        <f t="shared" si="31"/>
        <v>326</v>
      </c>
      <c r="E328" s="48">
        <f t="shared" si="32"/>
        <v>1</v>
      </c>
      <c r="F328" s="49">
        <f t="shared" si="33"/>
        <v>2.442002442002442E-4</v>
      </c>
      <c r="G328" s="49">
        <f t="shared" si="35"/>
        <v>3.0674846625766872E-3</v>
      </c>
    </row>
    <row r="329" spans="2:7" x14ac:dyDescent="0.25">
      <c r="B329" s="48">
        <f t="shared" si="34"/>
        <v>327</v>
      </c>
      <c r="C329" s="48">
        <f t="shared" si="30"/>
        <v>1340</v>
      </c>
      <c r="D329" s="48">
        <f t="shared" si="31"/>
        <v>327</v>
      </c>
      <c r="E329" s="48">
        <f t="shared" si="32"/>
        <v>1</v>
      </c>
      <c r="F329" s="49">
        <f t="shared" si="33"/>
        <v>2.442002442002442E-4</v>
      </c>
      <c r="G329" s="49">
        <f t="shared" si="35"/>
        <v>3.0581039755351682E-3</v>
      </c>
    </row>
    <row r="330" spans="2:7" x14ac:dyDescent="0.25">
      <c r="B330" s="48">
        <f t="shared" si="34"/>
        <v>328</v>
      </c>
      <c r="C330" s="48">
        <f t="shared" si="30"/>
        <v>1345</v>
      </c>
      <c r="D330" s="48">
        <f t="shared" si="31"/>
        <v>328</v>
      </c>
      <c r="E330" s="48">
        <f t="shared" si="32"/>
        <v>1</v>
      </c>
      <c r="F330" s="49">
        <f t="shared" si="33"/>
        <v>2.442002442002442E-4</v>
      </c>
      <c r="G330" s="49">
        <f t="shared" si="35"/>
        <v>3.0487804878048782E-3</v>
      </c>
    </row>
    <row r="331" spans="2:7" x14ac:dyDescent="0.25">
      <c r="B331" s="48">
        <f t="shared" si="34"/>
        <v>329</v>
      </c>
      <c r="C331" s="48">
        <f t="shared" si="30"/>
        <v>1349</v>
      </c>
      <c r="D331" s="48">
        <f t="shared" si="31"/>
        <v>329</v>
      </c>
      <c r="E331" s="48">
        <f t="shared" si="32"/>
        <v>1</v>
      </c>
      <c r="F331" s="49">
        <f t="shared" si="33"/>
        <v>2.442002442002442E-4</v>
      </c>
      <c r="G331" s="49">
        <f t="shared" si="35"/>
        <v>3.0395136778115501E-3</v>
      </c>
    </row>
    <row r="332" spans="2:7" x14ac:dyDescent="0.25">
      <c r="B332" s="48">
        <f t="shared" si="34"/>
        <v>330</v>
      </c>
      <c r="C332" s="48">
        <f t="shared" si="30"/>
        <v>1353</v>
      </c>
      <c r="D332" s="48">
        <f t="shared" si="31"/>
        <v>330</v>
      </c>
      <c r="E332" s="48">
        <f t="shared" si="32"/>
        <v>1</v>
      </c>
      <c r="F332" s="49">
        <f t="shared" si="33"/>
        <v>2.442002442002442E-4</v>
      </c>
      <c r="G332" s="49">
        <f t="shared" si="35"/>
        <v>3.0303030303030303E-3</v>
      </c>
    </row>
    <row r="333" spans="2:7" x14ac:dyDescent="0.25">
      <c r="B333" s="48">
        <f t="shared" si="34"/>
        <v>331</v>
      </c>
      <c r="C333" s="48">
        <f t="shared" si="30"/>
        <v>1357</v>
      </c>
      <c r="D333" s="48">
        <f t="shared" si="31"/>
        <v>331</v>
      </c>
      <c r="E333" s="48">
        <f t="shared" si="32"/>
        <v>1</v>
      </c>
      <c r="F333" s="49">
        <f t="shared" si="33"/>
        <v>2.442002442002442E-4</v>
      </c>
      <c r="G333" s="49">
        <f t="shared" si="35"/>
        <v>3.0211480362537764E-3</v>
      </c>
    </row>
    <row r="334" spans="2:7" x14ac:dyDescent="0.25">
      <c r="B334" s="48">
        <f t="shared" si="34"/>
        <v>332</v>
      </c>
      <c r="C334" s="48">
        <f t="shared" si="30"/>
        <v>1361</v>
      </c>
      <c r="D334" s="48">
        <f t="shared" si="31"/>
        <v>332</v>
      </c>
      <c r="E334" s="48">
        <f t="shared" si="32"/>
        <v>1</v>
      </c>
      <c r="F334" s="49">
        <f t="shared" si="33"/>
        <v>2.442002442002442E-4</v>
      </c>
      <c r="G334" s="49">
        <f t="shared" si="35"/>
        <v>3.0120481927710845E-3</v>
      </c>
    </row>
    <row r="335" spans="2:7" x14ac:dyDescent="0.25">
      <c r="B335" s="48">
        <f t="shared" si="34"/>
        <v>333</v>
      </c>
      <c r="C335" s="48">
        <f t="shared" si="30"/>
        <v>1365</v>
      </c>
      <c r="D335" s="48">
        <f t="shared" si="31"/>
        <v>333</v>
      </c>
      <c r="E335" s="48">
        <f t="shared" si="32"/>
        <v>1</v>
      </c>
      <c r="F335" s="49">
        <f t="shared" si="33"/>
        <v>2.442002442002442E-4</v>
      </c>
      <c r="G335" s="49">
        <f t="shared" si="35"/>
        <v>3.003003003003003E-3</v>
      </c>
    </row>
    <row r="336" spans="2:7" x14ac:dyDescent="0.25">
      <c r="B336" s="48">
        <f t="shared" si="34"/>
        <v>334</v>
      </c>
      <c r="C336" s="48">
        <f t="shared" si="30"/>
        <v>1369</v>
      </c>
      <c r="D336" s="48">
        <f t="shared" si="31"/>
        <v>334</v>
      </c>
      <c r="E336" s="48">
        <f t="shared" si="32"/>
        <v>1</v>
      </c>
      <c r="F336" s="49">
        <f t="shared" si="33"/>
        <v>2.442002442002442E-4</v>
      </c>
      <c r="G336" s="49">
        <f t="shared" si="35"/>
        <v>2.9940119760479044E-3</v>
      </c>
    </row>
    <row r="337" spans="2:7" x14ac:dyDescent="0.25">
      <c r="B337" s="48">
        <f t="shared" si="34"/>
        <v>335</v>
      </c>
      <c r="C337" s="48">
        <f t="shared" si="30"/>
        <v>1373</v>
      </c>
      <c r="D337" s="48">
        <f t="shared" si="31"/>
        <v>335</v>
      </c>
      <c r="E337" s="48">
        <f t="shared" si="32"/>
        <v>1</v>
      </c>
      <c r="F337" s="49">
        <f t="shared" si="33"/>
        <v>2.442002442002442E-4</v>
      </c>
      <c r="G337" s="49">
        <f t="shared" si="35"/>
        <v>2.9850746268656717E-3</v>
      </c>
    </row>
    <row r="338" spans="2:7" x14ac:dyDescent="0.25">
      <c r="B338" s="48">
        <f t="shared" si="34"/>
        <v>336</v>
      </c>
      <c r="C338" s="48">
        <f t="shared" si="30"/>
        <v>1377</v>
      </c>
      <c r="D338" s="48">
        <f t="shared" si="31"/>
        <v>336</v>
      </c>
      <c r="E338" s="48">
        <f t="shared" si="32"/>
        <v>1</v>
      </c>
      <c r="F338" s="49">
        <f t="shared" si="33"/>
        <v>2.442002442002442E-4</v>
      </c>
      <c r="G338" s="49">
        <f t="shared" si="35"/>
        <v>2.976190476190476E-3</v>
      </c>
    </row>
    <row r="339" spans="2:7" x14ac:dyDescent="0.25">
      <c r="B339" s="48">
        <f t="shared" si="34"/>
        <v>337</v>
      </c>
      <c r="C339" s="48">
        <f t="shared" si="30"/>
        <v>1381</v>
      </c>
      <c r="D339" s="48">
        <f t="shared" si="31"/>
        <v>337</v>
      </c>
      <c r="E339" s="48">
        <f t="shared" si="32"/>
        <v>1</v>
      </c>
      <c r="F339" s="49">
        <f t="shared" si="33"/>
        <v>2.442002442002442E-4</v>
      </c>
      <c r="G339" s="49">
        <f t="shared" si="35"/>
        <v>2.967359050445104E-3</v>
      </c>
    </row>
    <row r="340" spans="2:7" x14ac:dyDescent="0.25">
      <c r="B340" s="48">
        <f t="shared" si="34"/>
        <v>338</v>
      </c>
      <c r="C340" s="48">
        <f t="shared" si="30"/>
        <v>1385</v>
      </c>
      <c r="D340" s="48">
        <f t="shared" si="31"/>
        <v>338</v>
      </c>
      <c r="E340" s="48">
        <f t="shared" si="32"/>
        <v>1</v>
      </c>
      <c r="F340" s="49">
        <f t="shared" si="33"/>
        <v>2.442002442002442E-4</v>
      </c>
      <c r="G340" s="49">
        <f t="shared" si="35"/>
        <v>2.9585798816568047E-3</v>
      </c>
    </row>
    <row r="341" spans="2:7" x14ac:dyDescent="0.25">
      <c r="B341" s="48">
        <f t="shared" si="34"/>
        <v>339</v>
      </c>
      <c r="C341" s="48">
        <f t="shared" si="30"/>
        <v>1390</v>
      </c>
      <c r="D341" s="48">
        <f t="shared" si="31"/>
        <v>339</v>
      </c>
      <c r="E341" s="48">
        <f t="shared" si="32"/>
        <v>1</v>
      </c>
      <c r="F341" s="49">
        <f t="shared" si="33"/>
        <v>2.442002442002442E-4</v>
      </c>
      <c r="G341" s="49">
        <f t="shared" si="35"/>
        <v>2.9498525073746312E-3</v>
      </c>
    </row>
    <row r="342" spans="2:7" x14ac:dyDescent="0.25">
      <c r="B342" s="48">
        <f t="shared" si="34"/>
        <v>340</v>
      </c>
      <c r="C342" s="48">
        <f t="shared" si="30"/>
        <v>1394</v>
      </c>
      <c r="D342" s="48">
        <f t="shared" si="31"/>
        <v>340</v>
      </c>
      <c r="E342" s="48">
        <f t="shared" si="32"/>
        <v>1</v>
      </c>
      <c r="F342" s="49">
        <f t="shared" si="33"/>
        <v>2.442002442002442E-4</v>
      </c>
      <c r="G342" s="49">
        <f t="shared" si="35"/>
        <v>2.9411764705882353E-3</v>
      </c>
    </row>
    <row r="343" spans="2:7" x14ac:dyDescent="0.25">
      <c r="B343" s="48">
        <f t="shared" si="34"/>
        <v>341</v>
      </c>
      <c r="C343" s="48">
        <f t="shared" si="30"/>
        <v>1398</v>
      </c>
      <c r="D343" s="48">
        <f t="shared" si="31"/>
        <v>341</v>
      </c>
      <c r="E343" s="48">
        <f t="shared" si="32"/>
        <v>1</v>
      </c>
      <c r="F343" s="49">
        <f t="shared" si="33"/>
        <v>2.442002442002442E-4</v>
      </c>
      <c r="G343" s="49">
        <f t="shared" si="35"/>
        <v>2.9325513196480938E-3</v>
      </c>
    </row>
    <row r="344" spans="2:7" x14ac:dyDescent="0.25">
      <c r="B344" s="48">
        <f t="shared" si="34"/>
        <v>342</v>
      </c>
      <c r="C344" s="48">
        <f t="shared" si="30"/>
        <v>1402</v>
      </c>
      <c r="D344" s="48">
        <f t="shared" si="31"/>
        <v>342</v>
      </c>
      <c r="E344" s="48">
        <f t="shared" si="32"/>
        <v>1</v>
      </c>
      <c r="F344" s="49">
        <f t="shared" si="33"/>
        <v>2.442002442002442E-4</v>
      </c>
      <c r="G344" s="49">
        <f t="shared" si="35"/>
        <v>2.9239766081871343E-3</v>
      </c>
    </row>
    <row r="345" spans="2:7" x14ac:dyDescent="0.25">
      <c r="B345" s="48">
        <f t="shared" si="34"/>
        <v>343</v>
      </c>
      <c r="C345" s="48">
        <f t="shared" si="30"/>
        <v>1406</v>
      </c>
      <c r="D345" s="48">
        <f t="shared" si="31"/>
        <v>343</v>
      </c>
      <c r="E345" s="48">
        <f t="shared" si="32"/>
        <v>1</v>
      </c>
      <c r="F345" s="49">
        <f t="shared" si="33"/>
        <v>2.442002442002442E-4</v>
      </c>
      <c r="G345" s="49">
        <f t="shared" si="35"/>
        <v>2.9154518950437317E-3</v>
      </c>
    </row>
    <row r="346" spans="2:7" x14ac:dyDescent="0.25">
      <c r="B346" s="48">
        <f t="shared" si="34"/>
        <v>344</v>
      </c>
      <c r="C346" s="48">
        <f t="shared" si="30"/>
        <v>1410</v>
      </c>
      <c r="D346" s="48">
        <f t="shared" si="31"/>
        <v>344</v>
      </c>
      <c r="E346" s="48">
        <f t="shared" si="32"/>
        <v>1</v>
      </c>
      <c r="F346" s="49">
        <f t="shared" si="33"/>
        <v>2.442002442002442E-4</v>
      </c>
      <c r="G346" s="49">
        <f t="shared" si="35"/>
        <v>2.9069767441860465E-3</v>
      </c>
    </row>
    <row r="347" spans="2:7" x14ac:dyDescent="0.25">
      <c r="B347" s="48">
        <f t="shared" si="34"/>
        <v>345</v>
      </c>
      <c r="C347" s="48">
        <f t="shared" si="30"/>
        <v>1414</v>
      </c>
      <c r="D347" s="48">
        <f t="shared" si="31"/>
        <v>345</v>
      </c>
      <c r="E347" s="48">
        <f t="shared" si="32"/>
        <v>1</v>
      </c>
      <c r="F347" s="49">
        <f t="shared" si="33"/>
        <v>2.442002442002442E-4</v>
      </c>
      <c r="G347" s="49">
        <f t="shared" si="35"/>
        <v>2.8985507246376812E-3</v>
      </c>
    </row>
    <row r="348" spans="2:7" x14ac:dyDescent="0.25">
      <c r="B348" s="48">
        <f t="shared" si="34"/>
        <v>346</v>
      </c>
      <c r="C348" s="48">
        <f t="shared" si="30"/>
        <v>1418</v>
      </c>
      <c r="D348" s="48">
        <f t="shared" si="31"/>
        <v>346</v>
      </c>
      <c r="E348" s="48">
        <f t="shared" si="32"/>
        <v>1</v>
      </c>
      <c r="F348" s="49">
        <f t="shared" si="33"/>
        <v>2.442002442002442E-4</v>
      </c>
      <c r="G348" s="49">
        <f t="shared" si="35"/>
        <v>2.8901734104046241E-3</v>
      </c>
    </row>
    <row r="349" spans="2:7" x14ac:dyDescent="0.25">
      <c r="B349" s="48">
        <f t="shared" si="34"/>
        <v>347</v>
      </c>
      <c r="C349" s="48">
        <f t="shared" si="30"/>
        <v>1422</v>
      </c>
      <c r="D349" s="48">
        <f t="shared" si="31"/>
        <v>347</v>
      </c>
      <c r="E349" s="48">
        <f t="shared" si="32"/>
        <v>1</v>
      </c>
      <c r="F349" s="49">
        <f t="shared" si="33"/>
        <v>2.442002442002442E-4</v>
      </c>
      <c r="G349" s="49">
        <f t="shared" si="35"/>
        <v>2.881844380403458E-3</v>
      </c>
    </row>
    <row r="350" spans="2:7" x14ac:dyDescent="0.25">
      <c r="B350" s="48">
        <f t="shared" si="34"/>
        <v>348</v>
      </c>
      <c r="C350" s="48">
        <f t="shared" si="30"/>
        <v>1426</v>
      </c>
      <c r="D350" s="48">
        <f t="shared" si="31"/>
        <v>348</v>
      </c>
      <c r="E350" s="48">
        <f t="shared" si="32"/>
        <v>1</v>
      </c>
      <c r="F350" s="49">
        <f t="shared" si="33"/>
        <v>2.442002442002442E-4</v>
      </c>
      <c r="G350" s="49">
        <f t="shared" si="35"/>
        <v>2.8735632183908046E-3</v>
      </c>
    </row>
    <row r="351" spans="2:7" x14ac:dyDescent="0.25">
      <c r="B351" s="48">
        <f t="shared" si="34"/>
        <v>349</v>
      </c>
      <c r="C351" s="48">
        <f t="shared" si="30"/>
        <v>1431</v>
      </c>
      <c r="D351" s="48">
        <f t="shared" si="31"/>
        <v>349</v>
      </c>
      <c r="E351" s="48">
        <f t="shared" si="32"/>
        <v>1</v>
      </c>
      <c r="F351" s="49">
        <f t="shared" si="33"/>
        <v>2.442002442002442E-4</v>
      </c>
      <c r="G351" s="49">
        <f t="shared" si="35"/>
        <v>2.8653295128939827E-3</v>
      </c>
    </row>
    <row r="352" spans="2:7" x14ac:dyDescent="0.25">
      <c r="B352" s="48">
        <f t="shared" si="34"/>
        <v>350</v>
      </c>
      <c r="C352" s="48">
        <f t="shared" si="30"/>
        <v>1435</v>
      </c>
      <c r="D352" s="48">
        <f t="shared" si="31"/>
        <v>350</v>
      </c>
      <c r="E352" s="48">
        <f t="shared" si="32"/>
        <v>1</v>
      </c>
      <c r="F352" s="49">
        <f t="shared" si="33"/>
        <v>2.442002442002442E-4</v>
      </c>
      <c r="G352" s="49">
        <f t="shared" si="35"/>
        <v>2.8571428571428571E-3</v>
      </c>
    </row>
    <row r="353" spans="2:7" x14ac:dyDescent="0.25">
      <c r="B353" s="48">
        <f t="shared" si="34"/>
        <v>351</v>
      </c>
      <c r="C353" s="48">
        <f t="shared" si="30"/>
        <v>1439</v>
      </c>
      <c r="D353" s="48">
        <f t="shared" si="31"/>
        <v>351</v>
      </c>
      <c r="E353" s="48">
        <f t="shared" si="32"/>
        <v>1</v>
      </c>
      <c r="F353" s="49">
        <f t="shared" si="33"/>
        <v>2.442002442002442E-4</v>
      </c>
      <c r="G353" s="49">
        <f t="shared" si="35"/>
        <v>2.8490028490028491E-3</v>
      </c>
    </row>
    <row r="354" spans="2:7" x14ac:dyDescent="0.25">
      <c r="B354" s="48">
        <f t="shared" si="34"/>
        <v>352</v>
      </c>
      <c r="C354" s="48">
        <f t="shared" si="30"/>
        <v>1443</v>
      </c>
      <c r="D354" s="48">
        <f t="shared" si="31"/>
        <v>352</v>
      </c>
      <c r="E354" s="48">
        <f t="shared" si="32"/>
        <v>1</v>
      </c>
      <c r="F354" s="49">
        <f t="shared" si="33"/>
        <v>2.442002442002442E-4</v>
      </c>
      <c r="G354" s="49">
        <f t="shared" si="35"/>
        <v>2.840909090909091E-3</v>
      </c>
    </row>
    <row r="355" spans="2:7" x14ac:dyDescent="0.25">
      <c r="B355" s="48">
        <f t="shared" si="34"/>
        <v>353</v>
      </c>
      <c r="C355" s="48">
        <f t="shared" si="30"/>
        <v>1447</v>
      </c>
      <c r="D355" s="48">
        <f t="shared" si="31"/>
        <v>353</v>
      </c>
      <c r="E355" s="48">
        <f t="shared" si="32"/>
        <v>1</v>
      </c>
      <c r="F355" s="49">
        <f t="shared" si="33"/>
        <v>2.442002442002442E-4</v>
      </c>
      <c r="G355" s="49">
        <f t="shared" si="35"/>
        <v>2.8328611898016999E-3</v>
      </c>
    </row>
    <row r="356" spans="2:7" x14ac:dyDescent="0.25">
      <c r="B356" s="48">
        <f t="shared" si="34"/>
        <v>354</v>
      </c>
      <c r="C356" s="48">
        <f t="shared" si="30"/>
        <v>1451</v>
      </c>
      <c r="D356" s="48">
        <f t="shared" si="31"/>
        <v>354</v>
      </c>
      <c r="E356" s="48">
        <f t="shared" si="32"/>
        <v>1</v>
      </c>
      <c r="F356" s="49">
        <f t="shared" si="33"/>
        <v>2.442002442002442E-4</v>
      </c>
      <c r="G356" s="49">
        <f t="shared" si="35"/>
        <v>2.8248587570621469E-3</v>
      </c>
    </row>
    <row r="357" spans="2:7" x14ac:dyDescent="0.25">
      <c r="B357" s="48">
        <f t="shared" si="34"/>
        <v>355</v>
      </c>
      <c r="C357" s="48">
        <f t="shared" si="30"/>
        <v>1455</v>
      </c>
      <c r="D357" s="48">
        <f t="shared" si="31"/>
        <v>355</v>
      </c>
      <c r="E357" s="48">
        <f t="shared" si="32"/>
        <v>1</v>
      </c>
      <c r="F357" s="49">
        <f t="shared" si="33"/>
        <v>2.442002442002442E-4</v>
      </c>
      <c r="G357" s="49">
        <f t="shared" si="35"/>
        <v>2.8169014084507044E-3</v>
      </c>
    </row>
    <row r="358" spans="2:7" x14ac:dyDescent="0.25">
      <c r="B358" s="48">
        <f t="shared" si="34"/>
        <v>356</v>
      </c>
      <c r="C358" s="48">
        <f t="shared" si="30"/>
        <v>1459</v>
      </c>
      <c r="D358" s="48">
        <f t="shared" si="31"/>
        <v>356</v>
      </c>
      <c r="E358" s="48">
        <f t="shared" si="32"/>
        <v>1</v>
      </c>
      <c r="F358" s="49">
        <f t="shared" si="33"/>
        <v>2.442002442002442E-4</v>
      </c>
      <c r="G358" s="49">
        <f t="shared" si="35"/>
        <v>2.8089887640449437E-3</v>
      </c>
    </row>
    <row r="359" spans="2:7" x14ac:dyDescent="0.25">
      <c r="B359" s="48">
        <f t="shared" si="34"/>
        <v>357</v>
      </c>
      <c r="C359" s="48">
        <f t="shared" si="30"/>
        <v>1463</v>
      </c>
      <c r="D359" s="48">
        <f t="shared" si="31"/>
        <v>357</v>
      </c>
      <c r="E359" s="48">
        <f t="shared" si="32"/>
        <v>1</v>
      </c>
      <c r="F359" s="49">
        <f t="shared" si="33"/>
        <v>2.442002442002442E-4</v>
      </c>
      <c r="G359" s="49">
        <f t="shared" si="35"/>
        <v>2.8011204481792717E-3</v>
      </c>
    </row>
    <row r="360" spans="2:7" x14ac:dyDescent="0.25">
      <c r="B360" s="48">
        <f t="shared" si="34"/>
        <v>358</v>
      </c>
      <c r="C360" s="48">
        <f t="shared" si="30"/>
        <v>1467</v>
      </c>
      <c r="D360" s="48">
        <f t="shared" si="31"/>
        <v>358</v>
      </c>
      <c r="E360" s="48">
        <f t="shared" si="32"/>
        <v>1</v>
      </c>
      <c r="F360" s="49">
        <f t="shared" si="33"/>
        <v>2.442002442002442E-4</v>
      </c>
      <c r="G360" s="49">
        <f t="shared" si="35"/>
        <v>2.7932960893854749E-3</v>
      </c>
    </row>
    <row r="361" spans="2:7" x14ac:dyDescent="0.25">
      <c r="B361" s="48">
        <f t="shared" si="34"/>
        <v>359</v>
      </c>
      <c r="C361" s="48">
        <f t="shared" si="30"/>
        <v>1472</v>
      </c>
      <c r="D361" s="48">
        <f t="shared" si="31"/>
        <v>359</v>
      </c>
      <c r="E361" s="48">
        <f t="shared" si="32"/>
        <v>1</v>
      </c>
      <c r="F361" s="49">
        <f t="shared" si="33"/>
        <v>2.442002442002442E-4</v>
      </c>
      <c r="G361" s="49">
        <f t="shared" si="35"/>
        <v>2.7855153203342618E-3</v>
      </c>
    </row>
    <row r="362" spans="2:7" x14ac:dyDescent="0.25">
      <c r="B362" s="48">
        <f t="shared" si="34"/>
        <v>360</v>
      </c>
      <c r="C362" s="48">
        <f t="shared" si="30"/>
        <v>1476</v>
      </c>
      <c r="D362" s="48">
        <f t="shared" si="31"/>
        <v>360</v>
      </c>
      <c r="E362" s="48">
        <f t="shared" si="32"/>
        <v>1</v>
      </c>
      <c r="F362" s="49">
        <f t="shared" si="33"/>
        <v>2.442002442002442E-4</v>
      </c>
      <c r="G362" s="49">
        <f t="shared" si="35"/>
        <v>2.7777777777777779E-3</v>
      </c>
    </row>
    <row r="363" spans="2:7" x14ac:dyDescent="0.25">
      <c r="B363" s="48">
        <f t="shared" si="34"/>
        <v>361</v>
      </c>
      <c r="C363" s="48">
        <f t="shared" si="30"/>
        <v>1480</v>
      </c>
      <c r="D363" s="48">
        <f t="shared" si="31"/>
        <v>361</v>
      </c>
      <c r="E363" s="48">
        <f t="shared" si="32"/>
        <v>1</v>
      </c>
      <c r="F363" s="49">
        <f t="shared" si="33"/>
        <v>2.442002442002442E-4</v>
      </c>
      <c r="G363" s="49">
        <f t="shared" si="35"/>
        <v>2.7700831024930748E-3</v>
      </c>
    </row>
    <row r="364" spans="2:7" x14ac:dyDescent="0.25">
      <c r="B364" s="48">
        <f t="shared" si="34"/>
        <v>362</v>
      </c>
      <c r="C364" s="48">
        <f t="shared" si="30"/>
        <v>1484</v>
      </c>
      <c r="D364" s="48">
        <f t="shared" si="31"/>
        <v>362</v>
      </c>
      <c r="E364" s="48">
        <f t="shared" si="32"/>
        <v>1</v>
      </c>
      <c r="F364" s="49">
        <f t="shared" si="33"/>
        <v>2.442002442002442E-4</v>
      </c>
      <c r="G364" s="49">
        <f t="shared" si="35"/>
        <v>2.7624309392265192E-3</v>
      </c>
    </row>
    <row r="365" spans="2:7" x14ac:dyDescent="0.25">
      <c r="B365" s="48">
        <f t="shared" si="34"/>
        <v>363</v>
      </c>
      <c r="C365" s="48">
        <f t="shared" si="30"/>
        <v>1488</v>
      </c>
      <c r="D365" s="48">
        <f t="shared" si="31"/>
        <v>363</v>
      </c>
      <c r="E365" s="48">
        <f t="shared" si="32"/>
        <v>1</v>
      </c>
      <c r="F365" s="49">
        <f t="shared" si="33"/>
        <v>2.442002442002442E-4</v>
      </c>
      <c r="G365" s="49">
        <f t="shared" si="35"/>
        <v>2.7548209366391185E-3</v>
      </c>
    </row>
    <row r="366" spans="2:7" x14ac:dyDescent="0.25">
      <c r="B366" s="48">
        <f t="shared" si="34"/>
        <v>364</v>
      </c>
      <c r="C366" s="48">
        <f t="shared" si="30"/>
        <v>1492</v>
      </c>
      <c r="D366" s="48">
        <f t="shared" si="31"/>
        <v>364</v>
      </c>
      <c r="E366" s="48">
        <f t="shared" si="32"/>
        <v>1</v>
      </c>
      <c r="F366" s="49">
        <f t="shared" si="33"/>
        <v>2.442002442002442E-4</v>
      </c>
      <c r="G366" s="49">
        <f t="shared" si="35"/>
        <v>2.7472527472527475E-3</v>
      </c>
    </row>
    <row r="367" spans="2:7" x14ac:dyDescent="0.25">
      <c r="B367" s="48">
        <f t="shared" si="34"/>
        <v>365</v>
      </c>
      <c r="C367" s="48">
        <f t="shared" si="30"/>
        <v>1496</v>
      </c>
      <c r="D367" s="48">
        <f t="shared" si="31"/>
        <v>365</v>
      </c>
      <c r="E367" s="48">
        <f t="shared" si="32"/>
        <v>1</v>
      </c>
      <c r="F367" s="49">
        <f t="shared" si="33"/>
        <v>2.442002442002442E-4</v>
      </c>
      <c r="G367" s="49">
        <f t="shared" si="35"/>
        <v>2.7397260273972603E-3</v>
      </c>
    </row>
    <row r="368" spans="2:7" x14ac:dyDescent="0.25">
      <c r="B368" s="48">
        <f t="shared" si="34"/>
        <v>366</v>
      </c>
      <c r="C368" s="48">
        <f t="shared" si="30"/>
        <v>1500</v>
      </c>
      <c r="D368" s="48">
        <f t="shared" si="31"/>
        <v>366</v>
      </c>
      <c r="E368" s="48">
        <f t="shared" si="32"/>
        <v>1</v>
      </c>
      <c r="F368" s="49">
        <f t="shared" si="33"/>
        <v>2.442002442002442E-4</v>
      </c>
      <c r="G368" s="49">
        <f t="shared" si="35"/>
        <v>2.7322404371584699E-3</v>
      </c>
    </row>
    <row r="369" spans="2:7" x14ac:dyDescent="0.25">
      <c r="B369" s="48">
        <f t="shared" si="34"/>
        <v>367</v>
      </c>
      <c r="C369" s="48">
        <f t="shared" si="30"/>
        <v>1504</v>
      </c>
      <c r="D369" s="48">
        <f t="shared" si="31"/>
        <v>367</v>
      </c>
      <c r="E369" s="48">
        <f t="shared" si="32"/>
        <v>1</v>
      </c>
      <c r="F369" s="49">
        <f t="shared" si="33"/>
        <v>2.442002442002442E-4</v>
      </c>
      <c r="G369" s="49">
        <f t="shared" si="35"/>
        <v>2.7247956403269754E-3</v>
      </c>
    </row>
    <row r="370" spans="2:7" x14ac:dyDescent="0.25">
      <c r="B370" s="48">
        <f t="shared" si="34"/>
        <v>368</v>
      </c>
      <c r="C370" s="48">
        <f t="shared" si="30"/>
        <v>1508</v>
      </c>
      <c r="D370" s="48">
        <f t="shared" si="31"/>
        <v>368</v>
      </c>
      <c r="E370" s="48">
        <f t="shared" si="32"/>
        <v>1</v>
      </c>
      <c r="F370" s="49">
        <f t="shared" si="33"/>
        <v>2.442002442002442E-4</v>
      </c>
      <c r="G370" s="49">
        <f t="shared" si="35"/>
        <v>2.717391304347826E-3</v>
      </c>
    </row>
    <row r="371" spans="2:7" x14ac:dyDescent="0.25">
      <c r="B371" s="48">
        <f t="shared" si="34"/>
        <v>369</v>
      </c>
      <c r="C371" s="48">
        <f t="shared" si="30"/>
        <v>1513</v>
      </c>
      <c r="D371" s="48">
        <f t="shared" si="31"/>
        <v>369</v>
      </c>
      <c r="E371" s="48">
        <f t="shared" si="32"/>
        <v>1</v>
      </c>
      <c r="F371" s="49">
        <f t="shared" si="33"/>
        <v>2.442002442002442E-4</v>
      </c>
      <c r="G371" s="49">
        <f t="shared" si="35"/>
        <v>2.7100271002710027E-3</v>
      </c>
    </row>
    <row r="372" spans="2:7" x14ac:dyDescent="0.25">
      <c r="B372" s="48">
        <f t="shared" si="34"/>
        <v>370</v>
      </c>
      <c r="C372" s="48">
        <f t="shared" si="30"/>
        <v>1517</v>
      </c>
      <c r="D372" s="48">
        <f t="shared" si="31"/>
        <v>370</v>
      </c>
      <c r="E372" s="48">
        <f t="shared" si="32"/>
        <v>1</v>
      </c>
      <c r="F372" s="49">
        <f t="shared" si="33"/>
        <v>2.442002442002442E-4</v>
      </c>
      <c r="G372" s="49">
        <f t="shared" si="35"/>
        <v>2.7027027027027029E-3</v>
      </c>
    </row>
    <row r="373" spans="2:7" x14ac:dyDescent="0.25">
      <c r="B373" s="48">
        <f t="shared" si="34"/>
        <v>371</v>
      </c>
      <c r="C373" s="48">
        <f t="shared" si="30"/>
        <v>1521</v>
      </c>
      <c r="D373" s="48">
        <f t="shared" si="31"/>
        <v>371</v>
      </c>
      <c r="E373" s="48">
        <f t="shared" si="32"/>
        <v>1</v>
      </c>
      <c r="F373" s="49">
        <f t="shared" si="33"/>
        <v>2.442002442002442E-4</v>
      </c>
      <c r="G373" s="49">
        <f t="shared" si="35"/>
        <v>2.6954177897574125E-3</v>
      </c>
    </row>
    <row r="374" spans="2:7" x14ac:dyDescent="0.25">
      <c r="B374" s="48">
        <f t="shared" si="34"/>
        <v>372</v>
      </c>
      <c r="C374" s="48">
        <f t="shared" si="30"/>
        <v>1525</v>
      </c>
      <c r="D374" s="48">
        <f t="shared" si="31"/>
        <v>372</v>
      </c>
      <c r="E374" s="48">
        <f t="shared" si="32"/>
        <v>1</v>
      </c>
      <c r="F374" s="49">
        <f t="shared" si="33"/>
        <v>2.442002442002442E-4</v>
      </c>
      <c r="G374" s="49">
        <f t="shared" si="35"/>
        <v>2.6881720430107529E-3</v>
      </c>
    </row>
    <row r="375" spans="2:7" x14ac:dyDescent="0.25">
      <c r="B375" s="48">
        <f t="shared" si="34"/>
        <v>373</v>
      </c>
      <c r="C375" s="48">
        <f t="shared" si="30"/>
        <v>1529</v>
      </c>
      <c r="D375" s="48">
        <f t="shared" si="31"/>
        <v>373</v>
      </c>
      <c r="E375" s="48">
        <f t="shared" si="32"/>
        <v>1</v>
      </c>
      <c r="F375" s="49">
        <f t="shared" si="33"/>
        <v>2.442002442002442E-4</v>
      </c>
      <c r="G375" s="49">
        <f t="shared" si="35"/>
        <v>2.6809651474530832E-3</v>
      </c>
    </row>
    <row r="376" spans="2:7" x14ac:dyDescent="0.25">
      <c r="B376" s="48">
        <f t="shared" si="34"/>
        <v>374</v>
      </c>
      <c r="C376" s="48">
        <f t="shared" si="30"/>
        <v>1533</v>
      </c>
      <c r="D376" s="48">
        <f t="shared" si="31"/>
        <v>374</v>
      </c>
      <c r="E376" s="48">
        <f t="shared" si="32"/>
        <v>1</v>
      </c>
      <c r="F376" s="49">
        <f t="shared" si="33"/>
        <v>2.442002442002442E-4</v>
      </c>
      <c r="G376" s="49">
        <f t="shared" si="35"/>
        <v>2.6737967914438501E-3</v>
      </c>
    </row>
    <row r="377" spans="2:7" x14ac:dyDescent="0.25">
      <c r="B377" s="48">
        <f t="shared" si="34"/>
        <v>375</v>
      </c>
      <c r="C377" s="48">
        <f t="shared" si="30"/>
        <v>1537</v>
      </c>
      <c r="D377" s="48">
        <f t="shared" si="31"/>
        <v>375</v>
      </c>
      <c r="E377" s="48">
        <f t="shared" si="32"/>
        <v>1</v>
      </c>
      <c r="F377" s="49">
        <f t="shared" si="33"/>
        <v>2.442002442002442E-4</v>
      </c>
      <c r="G377" s="49">
        <f t="shared" si="35"/>
        <v>2.6666666666666666E-3</v>
      </c>
    </row>
    <row r="378" spans="2:7" x14ac:dyDescent="0.25">
      <c r="B378" s="48">
        <f t="shared" si="34"/>
        <v>376</v>
      </c>
      <c r="C378" s="48">
        <f t="shared" si="30"/>
        <v>1541</v>
      </c>
      <c r="D378" s="48">
        <f t="shared" si="31"/>
        <v>376</v>
      </c>
      <c r="E378" s="48">
        <f t="shared" si="32"/>
        <v>1</v>
      </c>
      <c r="F378" s="49">
        <f t="shared" si="33"/>
        <v>2.442002442002442E-4</v>
      </c>
      <c r="G378" s="49">
        <f t="shared" si="35"/>
        <v>2.6595744680851063E-3</v>
      </c>
    </row>
    <row r="379" spans="2:7" x14ac:dyDescent="0.25">
      <c r="B379" s="48">
        <f t="shared" si="34"/>
        <v>377</v>
      </c>
      <c r="C379" s="48">
        <f t="shared" si="30"/>
        <v>1545</v>
      </c>
      <c r="D379" s="48">
        <f t="shared" si="31"/>
        <v>377</v>
      </c>
      <c r="E379" s="48">
        <f t="shared" si="32"/>
        <v>1</v>
      </c>
      <c r="F379" s="49">
        <f t="shared" si="33"/>
        <v>2.442002442002442E-4</v>
      </c>
      <c r="G379" s="49">
        <f t="shared" si="35"/>
        <v>2.6525198938992041E-3</v>
      </c>
    </row>
    <row r="380" spans="2:7" x14ac:dyDescent="0.25">
      <c r="B380" s="48">
        <f t="shared" si="34"/>
        <v>378</v>
      </c>
      <c r="C380" s="48">
        <f t="shared" si="30"/>
        <v>1549</v>
      </c>
      <c r="D380" s="48">
        <f t="shared" si="31"/>
        <v>378</v>
      </c>
      <c r="E380" s="48">
        <f t="shared" si="32"/>
        <v>1</v>
      </c>
      <c r="F380" s="49">
        <f t="shared" si="33"/>
        <v>2.442002442002442E-4</v>
      </c>
      <c r="G380" s="49">
        <f t="shared" si="35"/>
        <v>2.6455026455026454E-3</v>
      </c>
    </row>
    <row r="381" spans="2:7" x14ac:dyDescent="0.25">
      <c r="B381" s="48">
        <f t="shared" si="34"/>
        <v>379</v>
      </c>
      <c r="C381" s="48">
        <f t="shared" si="30"/>
        <v>1554</v>
      </c>
      <c r="D381" s="48">
        <f t="shared" si="31"/>
        <v>379</v>
      </c>
      <c r="E381" s="48">
        <f t="shared" si="32"/>
        <v>1</v>
      </c>
      <c r="F381" s="49">
        <f t="shared" si="33"/>
        <v>2.442002442002442E-4</v>
      </c>
      <c r="G381" s="49">
        <f t="shared" si="35"/>
        <v>2.6385224274406332E-3</v>
      </c>
    </row>
    <row r="382" spans="2:7" x14ac:dyDescent="0.25">
      <c r="B382" s="48">
        <f t="shared" si="34"/>
        <v>380</v>
      </c>
      <c r="C382" s="48">
        <f t="shared" si="30"/>
        <v>1558</v>
      </c>
      <c r="D382" s="48">
        <f t="shared" si="31"/>
        <v>380</v>
      </c>
      <c r="E382" s="48">
        <f t="shared" si="32"/>
        <v>1</v>
      </c>
      <c r="F382" s="49">
        <f t="shared" si="33"/>
        <v>2.442002442002442E-4</v>
      </c>
      <c r="G382" s="49">
        <f t="shared" si="35"/>
        <v>2.631578947368421E-3</v>
      </c>
    </row>
    <row r="383" spans="2:7" x14ac:dyDescent="0.25">
      <c r="B383" s="48">
        <f t="shared" si="34"/>
        <v>381</v>
      </c>
      <c r="C383" s="48">
        <f t="shared" si="30"/>
        <v>1562</v>
      </c>
      <c r="D383" s="48">
        <f t="shared" si="31"/>
        <v>381</v>
      </c>
      <c r="E383" s="48">
        <f t="shared" si="32"/>
        <v>1</v>
      </c>
      <c r="F383" s="49">
        <f t="shared" si="33"/>
        <v>2.442002442002442E-4</v>
      </c>
      <c r="G383" s="49">
        <f t="shared" si="35"/>
        <v>2.6246719160104987E-3</v>
      </c>
    </row>
    <row r="384" spans="2:7" x14ac:dyDescent="0.25">
      <c r="B384" s="48">
        <f t="shared" si="34"/>
        <v>382</v>
      </c>
      <c r="C384" s="48">
        <f t="shared" si="30"/>
        <v>1566</v>
      </c>
      <c r="D384" s="48">
        <f t="shared" si="31"/>
        <v>382</v>
      </c>
      <c r="E384" s="48">
        <f t="shared" si="32"/>
        <v>1</v>
      </c>
      <c r="F384" s="49">
        <f t="shared" si="33"/>
        <v>2.442002442002442E-4</v>
      </c>
      <c r="G384" s="49">
        <f t="shared" si="35"/>
        <v>2.617801047120419E-3</v>
      </c>
    </row>
    <row r="385" spans="2:7" x14ac:dyDescent="0.25">
      <c r="B385" s="48">
        <f t="shared" si="34"/>
        <v>383</v>
      </c>
      <c r="C385" s="48">
        <f t="shared" si="30"/>
        <v>1570</v>
      </c>
      <c r="D385" s="48">
        <f t="shared" si="31"/>
        <v>383</v>
      </c>
      <c r="E385" s="48">
        <f t="shared" si="32"/>
        <v>1</v>
      </c>
      <c r="F385" s="49">
        <f t="shared" si="33"/>
        <v>2.442002442002442E-4</v>
      </c>
      <c r="G385" s="49">
        <f t="shared" si="35"/>
        <v>2.6109660574412533E-3</v>
      </c>
    </row>
    <row r="386" spans="2:7" x14ac:dyDescent="0.25">
      <c r="B386" s="48">
        <f t="shared" si="34"/>
        <v>384</v>
      </c>
      <c r="C386" s="48">
        <f t="shared" si="30"/>
        <v>1574</v>
      </c>
      <c r="D386" s="48">
        <f t="shared" si="31"/>
        <v>384</v>
      </c>
      <c r="E386" s="48">
        <f t="shared" si="32"/>
        <v>1</v>
      </c>
      <c r="F386" s="49">
        <f t="shared" si="33"/>
        <v>2.442002442002442E-4</v>
      </c>
      <c r="G386" s="49">
        <f t="shared" si="35"/>
        <v>2.6041666666666665E-3</v>
      </c>
    </row>
    <row r="387" spans="2:7" x14ac:dyDescent="0.25">
      <c r="B387" s="48">
        <f t="shared" si="34"/>
        <v>385</v>
      </c>
      <c r="C387" s="48">
        <f t="shared" ref="C387:C450" si="36">ROUND(B387*C$1/(B$1-1),0)</f>
        <v>1578</v>
      </c>
      <c r="D387" s="48">
        <f t="shared" ref="D387:D450" si="37">MAX(ROUND(D$1^(B387+1),0),B387)</f>
        <v>385</v>
      </c>
      <c r="E387" s="48">
        <f t="shared" ref="E387:E450" si="38">D387-D386</f>
        <v>1</v>
      </c>
      <c r="F387" s="49">
        <f t="shared" ref="F387:F450" si="39">E387/C$1</f>
        <v>2.442002442002442E-4</v>
      </c>
      <c r="G387" s="49">
        <f t="shared" si="35"/>
        <v>2.5974025974025974E-3</v>
      </c>
    </row>
    <row r="388" spans="2:7" x14ac:dyDescent="0.25">
      <c r="B388" s="48">
        <f t="shared" ref="B388:B451" si="40">B387+1</f>
        <v>386</v>
      </c>
      <c r="C388" s="48">
        <f t="shared" si="36"/>
        <v>1582</v>
      </c>
      <c r="D388" s="48">
        <f t="shared" si="37"/>
        <v>386</v>
      </c>
      <c r="E388" s="48">
        <f t="shared" si="38"/>
        <v>1</v>
      </c>
      <c r="F388" s="49">
        <f t="shared" si="39"/>
        <v>2.442002442002442E-4</v>
      </c>
      <c r="G388" s="49">
        <f t="shared" ref="G388:G451" si="41">E388/D388</f>
        <v>2.5906735751295338E-3</v>
      </c>
    </row>
    <row r="389" spans="2:7" x14ac:dyDescent="0.25">
      <c r="B389" s="48">
        <f t="shared" si="40"/>
        <v>387</v>
      </c>
      <c r="C389" s="48">
        <f t="shared" si="36"/>
        <v>1586</v>
      </c>
      <c r="D389" s="48">
        <f t="shared" si="37"/>
        <v>387</v>
      </c>
      <c r="E389" s="48">
        <f t="shared" si="38"/>
        <v>1</v>
      </c>
      <c r="F389" s="49">
        <f t="shared" si="39"/>
        <v>2.442002442002442E-4</v>
      </c>
      <c r="G389" s="49">
        <f t="shared" si="41"/>
        <v>2.5839793281653748E-3</v>
      </c>
    </row>
    <row r="390" spans="2:7" x14ac:dyDescent="0.25">
      <c r="B390" s="48">
        <f t="shared" si="40"/>
        <v>388</v>
      </c>
      <c r="C390" s="48">
        <f t="shared" si="36"/>
        <v>1590</v>
      </c>
      <c r="D390" s="48">
        <f t="shared" si="37"/>
        <v>388</v>
      </c>
      <c r="E390" s="48">
        <f t="shared" si="38"/>
        <v>1</v>
      </c>
      <c r="F390" s="49">
        <f t="shared" si="39"/>
        <v>2.442002442002442E-4</v>
      </c>
      <c r="G390" s="49">
        <f t="shared" si="41"/>
        <v>2.5773195876288659E-3</v>
      </c>
    </row>
    <row r="391" spans="2:7" x14ac:dyDescent="0.25">
      <c r="B391" s="48">
        <f t="shared" si="40"/>
        <v>389</v>
      </c>
      <c r="C391" s="48">
        <f t="shared" si="36"/>
        <v>1595</v>
      </c>
      <c r="D391" s="48">
        <f t="shared" si="37"/>
        <v>389</v>
      </c>
      <c r="E391" s="48">
        <f t="shared" si="38"/>
        <v>1</v>
      </c>
      <c r="F391" s="49">
        <f t="shared" si="39"/>
        <v>2.442002442002442E-4</v>
      </c>
      <c r="G391" s="49">
        <f t="shared" si="41"/>
        <v>2.5706940874035988E-3</v>
      </c>
    </row>
    <row r="392" spans="2:7" x14ac:dyDescent="0.25">
      <c r="B392" s="48">
        <f t="shared" si="40"/>
        <v>390</v>
      </c>
      <c r="C392" s="48">
        <f t="shared" si="36"/>
        <v>1599</v>
      </c>
      <c r="D392" s="48">
        <f t="shared" si="37"/>
        <v>390</v>
      </c>
      <c r="E392" s="48">
        <f t="shared" si="38"/>
        <v>1</v>
      </c>
      <c r="F392" s="49">
        <f t="shared" si="39"/>
        <v>2.442002442002442E-4</v>
      </c>
      <c r="G392" s="49">
        <f t="shared" si="41"/>
        <v>2.5641025641025641E-3</v>
      </c>
    </row>
    <row r="393" spans="2:7" x14ac:dyDescent="0.25">
      <c r="B393" s="48">
        <f t="shared" si="40"/>
        <v>391</v>
      </c>
      <c r="C393" s="48">
        <f t="shared" si="36"/>
        <v>1603</v>
      </c>
      <c r="D393" s="48">
        <f t="shared" si="37"/>
        <v>391</v>
      </c>
      <c r="E393" s="48">
        <f t="shared" si="38"/>
        <v>1</v>
      </c>
      <c r="F393" s="49">
        <f t="shared" si="39"/>
        <v>2.442002442002442E-4</v>
      </c>
      <c r="G393" s="49">
        <f t="shared" si="41"/>
        <v>2.5575447570332483E-3</v>
      </c>
    </row>
    <row r="394" spans="2:7" x14ac:dyDescent="0.25">
      <c r="B394" s="48">
        <f t="shared" si="40"/>
        <v>392</v>
      </c>
      <c r="C394" s="48">
        <f t="shared" si="36"/>
        <v>1607</v>
      </c>
      <c r="D394" s="48">
        <f t="shared" si="37"/>
        <v>392</v>
      </c>
      <c r="E394" s="48">
        <f t="shared" si="38"/>
        <v>1</v>
      </c>
      <c r="F394" s="49">
        <f t="shared" si="39"/>
        <v>2.442002442002442E-4</v>
      </c>
      <c r="G394" s="49">
        <f t="shared" si="41"/>
        <v>2.5510204081632651E-3</v>
      </c>
    </row>
    <row r="395" spans="2:7" x14ac:dyDescent="0.25">
      <c r="B395" s="48">
        <f t="shared" si="40"/>
        <v>393</v>
      </c>
      <c r="C395" s="48">
        <f t="shared" si="36"/>
        <v>1611</v>
      </c>
      <c r="D395" s="48">
        <f t="shared" si="37"/>
        <v>393</v>
      </c>
      <c r="E395" s="48">
        <f t="shared" si="38"/>
        <v>1</v>
      </c>
      <c r="F395" s="49">
        <f t="shared" si="39"/>
        <v>2.442002442002442E-4</v>
      </c>
      <c r="G395" s="49">
        <f t="shared" si="41"/>
        <v>2.5445292620865142E-3</v>
      </c>
    </row>
    <row r="396" spans="2:7" x14ac:dyDescent="0.25">
      <c r="B396" s="48">
        <f t="shared" si="40"/>
        <v>394</v>
      </c>
      <c r="C396" s="48">
        <f t="shared" si="36"/>
        <v>1615</v>
      </c>
      <c r="D396" s="48">
        <f t="shared" si="37"/>
        <v>394</v>
      </c>
      <c r="E396" s="48">
        <f t="shared" si="38"/>
        <v>1</v>
      </c>
      <c r="F396" s="49">
        <f t="shared" si="39"/>
        <v>2.442002442002442E-4</v>
      </c>
      <c r="G396" s="49">
        <f t="shared" si="41"/>
        <v>2.5380710659898475E-3</v>
      </c>
    </row>
    <row r="397" spans="2:7" x14ac:dyDescent="0.25">
      <c r="B397" s="48">
        <f t="shared" si="40"/>
        <v>395</v>
      </c>
      <c r="C397" s="48">
        <f t="shared" si="36"/>
        <v>1619</v>
      </c>
      <c r="D397" s="48">
        <f t="shared" si="37"/>
        <v>395</v>
      </c>
      <c r="E397" s="48">
        <f t="shared" si="38"/>
        <v>1</v>
      </c>
      <c r="F397" s="49">
        <f t="shared" si="39"/>
        <v>2.442002442002442E-4</v>
      </c>
      <c r="G397" s="49">
        <f t="shared" si="41"/>
        <v>2.5316455696202532E-3</v>
      </c>
    </row>
    <row r="398" spans="2:7" x14ac:dyDescent="0.25">
      <c r="B398" s="48">
        <f t="shared" si="40"/>
        <v>396</v>
      </c>
      <c r="C398" s="48">
        <f t="shared" si="36"/>
        <v>1623</v>
      </c>
      <c r="D398" s="48">
        <f t="shared" si="37"/>
        <v>396</v>
      </c>
      <c r="E398" s="48">
        <f t="shared" si="38"/>
        <v>1</v>
      </c>
      <c r="F398" s="49">
        <f t="shared" si="39"/>
        <v>2.442002442002442E-4</v>
      </c>
      <c r="G398" s="49">
        <f t="shared" si="41"/>
        <v>2.5252525252525255E-3</v>
      </c>
    </row>
    <row r="399" spans="2:7" x14ac:dyDescent="0.25">
      <c r="B399" s="48">
        <f t="shared" si="40"/>
        <v>397</v>
      </c>
      <c r="C399" s="48">
        <f t="shared" si="36"/>
        <v>1627</v>
      </c>
      <c r="D399" s="48">
        <f t="shared" si="37"/>
        <v>397</v>
      </c>
      <c r="E399" s="48">
        <f t="shared" si="38"/>
        <v>1</v>
      </c>
      <c r="F399" s="49">
        <f t="shared" si="39"/>
        <v>2.442002442002442E-4</v>
      </c>
      <c r="G399" s="49">
        <f t="shared" si="41"/>
        <v>2.5188916876574307E-3</v>
      </c>
    </row>
    <row r="400" spans="2:7" x14ac:dyDescent="0.25">
      <c r="B400" s="48">
        <f t="shared" si="40"/>
        <v>398</v>
      </c>
      <c r="C400" s="48">
        <f t="shared" si="36"/>
        <v>1631</v>
      </c>
      <c r="D400" s="48">
        <f t="shared" si="37"/>
        <v>398</v>
      </c>
      <c r="E400" s="48">
        <f t="shared" si="38"/>
        <v>1</v>
      </c>
      <c r="F400" s="49">
        <f t="shared" si="39"/>
        <v>2.442002442002442E-4</v>
      </c>
      <c r="G400" s="49">
        <f t="shared" si="41"/>
        <v>2.5125628140703518E-3</v>
      </c>
    </row>
    <row r="401" spans="2:7" x14ac:dyDescent="0.25">
      <c r="B401" s="48">
        <f t="shared" si="40"/>
        <v>399</v>
      </c>
      <c r="C401" s="48">
        <f t="shared" si="36"/>
        <v>1636</v>
      </c>
      <c r="D401" s="48">
        <f t="shared" si="37"/>
        <v>399</v>
      </c>
      <c r="E401" s="48">
        <f t="shared" si="38"/>
        <v>1</v>
      </c>
      <c r="F401" s="49">
        <f t="shared" si="39"/>
        <v>2.442002442002442E-4</v>
      </c>
      <c r="G401" s="49">
        <f t="shared" si="41"/>
        <v>2.5062656641604009E-3</v>
      </c>
    </row>
    <row r="402" spans="2:7" x14ac:dyDescent="0.25">
      <c r="B402" s="48">
        <f t="shared" si="40"/>
        <v>400</v>
      </c>
      <c r="C402" s="48">
        <f t="shared" si="36"/>
        <v>1640</v>
      </c>
      <c r="D402" s="48">
        <f t="shared" si="37"/>
        <v>400</v>
      </c>
      <c r="E402" s="48">
        <f t="shared" si="38"/>
        <v>1</v>
      </c>
      <c r="F402" s="49">
        <f t="shared" si="39"/>
        <v>2.442002442002442E-4</v>
      </c>
      <c r="G402" s="49">
        <f t="shared" si="41"/>
        <v>2.5000000000000001E-3</v>
      </c>
    </row>
    <row r="403" spans="2:7" x14ac:dyDescent="0.25">
      <c r="B403" s="48">
        <f t="shared" si="40"/>
        <v>401</v>
      </c>
      <c r="C403" s="48">
        <f t="shared" si="36"/>
        <v>1644</v>
      </c>
      <c r="D403" s="48">
        <f t="shared" si="37"/>
        <v>401</v>
      </c>
      <c r="E403" s="48">
        <f t="shared" si="38"/>
        <v>1</v>
      </c>
      <c r="F403" s="49">
        <f t="shared" si="39"/>
        <v>2.442002442002442E-4</v>
      </c>
      <c r="G403" s="49">
        <f t="shared" si="41"/>
        <v>2.4937655860349127E-3</v>
      </c>
    </row>
    <row r="404" spans="2:7" x14ac:dyDescent="0.25">
      <c r="B404" s="48">
        <f t="shared" si="40"/>
        <v>402</v>
      </c>
      <c r="C404" s="48">
        <f t="shared" si="36"/>
        <v>1648</v>
      </c>
      <c r="D404" s="48">
        <f t="shared" si="37"/>
        <v>402</v>
      </c>
      <c r="E404" s="48">
        <f t="shared" si="38"/>
        <v>1</v>
      </c>
      <c r="F404" s="49">
        <f t="shared" si="39"/>
        <v>2.442002442002442E-4</v>
      </c>
      <c r="G404" s="49">
        <f t="shared" si="41"/>
        <v>2.4875621890547263E-3</v>
      </c>
    </row>
    <row r="405" spans="2:7" x14ac:dyDescent="0.25">
      <c r="B405" s="48">
        <f t="shared" si="40"/>
        <v>403</v>
      </c>
      <c r="C405" s="48">
        <f t="shared" si="36"/>
        <v>1652</v>
      </c>
      <c r="D405" s="48">
        <f t="shared" si="37"/>
        <v>403</v>
      </c>
      <c r="E405" s="48">
        <f t="shared" si="38"/>
        <v>1</v>
      </c>
      <c r="F405" s="49">
        <f t="shared" si="39"/>
        <v>2.442002442002442E-4</v>
      </c>
      <c r="G405" s="49">
        <f t="shared" si="41"/>
        <v>2.4813895781637717E-3</v>
      </c>
    </row>
    <row r="406" spans="2:7" x14ac:dyDescent="0.25">
      <c r="B406" s="48">
        <f t="shared" si="40"/>
        <v>404</v>
      </c>
      <c r="C406" s="48">
        <f t="shared" si="36"/>
        <v>1656</v>
      </c>
      <c r="D406" s="48">
        <f t="shared" si="37"/>
        <v>404</v>
      </c>
      <c r="E406" s="48">
        <f t="shared" si="38"/>
        <v>1</v>
      </c>
      <c r="F406" s="49">
        <f t="shared" si="39"/>
        <v>2.442002442002442E-4</v>
      </c>
      <c r="G406" s="49">
        <f t="shared" si="41"/>
        <v>2.4752475247524753E-3</v>
      </c>
    </row>
    <row r="407" spans="2:7" x14ac:dyDescent="0.25">
      <c r="B407" s="48">
        <f t="shared" si="40"/>
        <v>405</v>
      </c>
      <c r="C407" s="48">
        <f t="shared" si="36"/>
        <v>1660</v>
      </c>
      <c r="D407" s="48">
        <f t="shared" si="37"/>
        <v>405</v>
      </c>
      <c r="E407" s="48">
        <f t="shared" si="38"/>
        <v>1</v>
      </c>
      <c r="F407" s="49">
        <f t="shared" si="39"/>
        <v>2.442002442002442E-4</v>
      </c>
      <c r="G407" s="49">
        <f t="shared" si="41"/>
        <v>2.4691358024691358E-3</v>
      </c>
    </row>
    <row r="408" spans="2:7" x14ac:dyDescent="0.25">
      <c r="B408" s="48">
        <f t="shared" si="40"/>
        <v>406</v>
      </c>
      <c r="C408" s="48">
        <f t="shared" si="36"/>
        <v>1664</v>
      </c>
      <c r="D408" s="48">
        <f t="shared" si="37"/>
        <v>406</v>
      </c>
      <c r="E408" s="48">
        <f t="shared" si="38"/>
        <v>1</v>
      </c>
      <c r="F408" s="49">
        <f t="shared" si="39"/>
        <v>2.442002442002442E-4</v>
      </c>
      <c r="G408" s="49">
        <f t="shared" si="41"/>
        <v>2.4630541871921183E-3</v>
      </c>
    </row>
    <row r="409" spans="2:7" x14ac:dyDescent="0.25">
      <c r="B409" s="48">
        <f t="shared" si="40"/>
        <v>407</v>
      </c>
      <c r="C409" s="48">
        <f t="shared" si="36"/>
        <v>1668</v>
      </c>
      <c r="D409" s="48">
        <f t="shared" si="37"/>
        <v>407</v>
      </c>
      <c r="E409" s="48">
        <f t="shared" si="38"/>
        <v>1</v>
      </c>
      <c r="F409" s="49">
        <f t="shared" si="39"/>
        <v>2.442002442002442E-4</v>
      </c>
      <c r="G409" s="49">
        <f t="shared" si="41"/>
        <v>2.4570024570024569E-3</v>
      </c>
    </row>
    <row r="410" spans="2:7" x14ac:dyDescent="0.25">
      <c r="B410" s="48">
        <f t="shared" si="40"/>
        <v>408</v>
      </c>
      <c r="C410" s="48">
        <f t="shared" si="36"/>
        <v>1672</v>
      </c>
      <c r="D410" s="48">
        <f t="shared" si="37"/>
        <v>408</v>
      </c>
      <c r="E410" s="48">
        <f t="shared" si="38"/>
        <v>1</v>
      </c>
      <c r="F410" s="49">
        <f t="shared" si="39"/>
        <v>2.442002442002442E-4</v>
      </c>
      <c r="G410" s="49">
        <f t="shared" si="41"/>
        <v>2.4509803921568627E-3</v>
      </c>
    </row>
    <row r="411" spans="2:7" x14ac:dyDescent="0.25">
      <c r="B411" s="48">
        <f t="shared" si="40"/>
        <v>409</v>
      </c>
      <c r="C411" s="48">
        <f t="shared" si="36"/>
        <v>1677</v>
      </c>
      <c r="D411" s="48">
        <f t="shared" si="37"/>
        <v>409</v>
      </c>
      <c r="E411" s="48">
        <f t="shared" si="38"/>
        <v>1</v>
      </c>
      <c r="F411" s="49">
        <f t="shared" si="39"/>
        <v>2.442002442002442E-4</v>
      </c>
      <c r="G411" s="49">
        <f t="shared" si="41"/>
        <v>2.4449877750611247E-3</v>
      </c>
    </row>
    <row r="412" spans="2:7" x14ac:dyDescent="0.25">
      <c r="B412" s="48">
        <f t="shared" si="40"/>
        <v>410</v>
      </c>
      <c r="C412" s="48">
        <f t="shared" si="36"/>
        <v>1681</v>
      </c>
      <c r="D412" s="48">
        <f t="shared" si="37"/>
        <v>410</v>
      </c>
      <c r="E412" s="48">
        <f t="shared" si="38"/>
        <v>1</v>
      </c>
      <c r="F412" s="49">
        <f t="shared" si="39"/>
        <v>2.442002442002442E-4</v>
      </c>
      <c r="G412" s="49">
        <f t="shared" si="41"/>
        <v>2.4390243902439024E-3</v>
      </c>
    </row>
    <row r="413" spans="2:7" x14ac:dyDescent="0.25">
      <c r="B413" s="48">
        <f t="shared" si="40"/>
        <v>411</v>
      </c>
      <c r="C413" s="48">
        <f t="shared" si="36"/>
        <v>1685</v>
      </c>
      <c r="D413" s="48">
        <f t="shared" si="37"/>
        <v>411</v>
      </c>
      <c r="E413" s="48">
        <f t="shared" si="38"/>
        <v>1</v>
      </c>
      <c r="F413" s="49">
        <f t="shared" si="39"/>
        <v>2.442002442002442E-4</v>
      </c>
      <c r="G413" s="49">
        <f t="shared" si="41"/>
        <v>2.4330900243309003E-3</v>
      </c>
    </row>
    <row r="414" spans="2:7" x14ac:dyDescent="0.25">
      <c r="B414" s="48">
        <f t="shared" si="40"/>
        <v>412</v>
      </c>
      <c r="C414" s="48">
        <f t="shared" si="36"/>
        <v>1689</v>
      </c>
      <c r="D414" s="48">
        <f t="shared" si="37"/>
        <v>412</v>
      </c>
      <c r="E414" s="48">
        <f t="shared" si="38"/>
        <v>1</v>
      </c>
      <c r="F414" s="49">
        <f t="shared" si="39"/>
        <v>2.442002442002442E-4</v>
      </c>
      <c r="G414" s="49">
        <f t="shared" si="41"/>
        <v>2.4271844660194173E-3</v>
      </c>
    </row>
    <row r="415" spans="2:7" x14ac:dyDescent="0.25">
      <c r="B415" s="48">
        <f t="shared" si="40"/>
        <v>413</v>
      </c>
      <c r="C415" s="48">
        <f t="shared" si="36"/>
        <v>1693</v>
      </c>
      <c r="D415" s="48">
        <f t="shared" si="37"/>
        <v>413</v>
      </c>
      <c r="E415" s="48">
        <f t="shared" si="38"/>
        <v>1</v>
      </c>
      <c r="F415" s="49">
        <f t="shared" si="39"/>
        <v>2.442002442002442E-4</v>
      </c>
      <c r="G415" s="49">
        <f t="shared" si="41"/>
        <v>2.4213075060532689E-3</v>
      </c>
    </row>
    <row r="416" spans="2:7" x14ac:dyDescent="0.25">
      <c r="B416" s="48">
        <f t="shared" si="40"/>
        <v>414</v>
      </c>
      <c r="C416" s="48">
        <f t="shared" si="36"/>
        <v>1697</v>
      </c>
      <c r="D416" s="48">
        <f t="shared" si="37"/>
        <v>414</v>
      </c>
      <c r="E416" s="48">
        <f t="shared" si="38"/>
        <v>1</v>
      </c>
      <c r="F416" s="49">
        <f t="shared" si="39"/>
        <v>2.442002442002442E-4</v>
      </c>
      <c r="G416" s="49">
        <f t="shared" si="41"/>
        <v>2.4154589371980675E-3</v>
      </c>
    </row>
    <row r="417" spans="2:7" x14ac:dyDescent="0.25">
      <c r="B417" s="48">
        <f t="shared" si="40"/>
        <v>415</v>
      </c>
      <c r="C417" s="48">
        <f t="shared" si="36"/>
        <v>1701</v>
      </c>
      <c r="D417" s="48">
        <f t="shared" si="37"/>
        <v>415</v>
      </c>
      <c r="E417" s="48">
        <f t="shared" si="38"/>
        <v>1</v>
      </c>
      <c r="F417" s="49">
        <f t="shared" si="39"/>
        <v>2.442002442002442E-4</v>
      </c>
      <c r="G417" s="49">
        <f t="shared" si="41"/>
        <v>2.4096385542168677E-3</v>
      </c>
    </row>
    <row r="418" spans="2:7" x14ac:dyDescent="0.25">
      <c r="B418" s="48">
        <f t="shared" si="40"/>
        <v>416</v>
      </c>
      <c r="C418" s="48">
        <f t="shared" si="36"/>
        <v>1705</v>
      </c>
      <c r="D418" s="48">
        <f t="shared" si="37"/>
        <v>416</v>
      </c>
      <c r="E418" s="48">
        <f t="shared" si="38"/>
        <v>1</v>
      </c>
      <c r="F418" s="49">
        <f t="shared" si="39"/>
        <v>2.442002442002442E-4</v>
      </c>
      <c r="G418" s="49">
        <f t="shared" si="41"/>
        <v>2.403846153846154E-3</v>
      </c>
    </row>
    <row r="419" spans="2:7" x14ac:dyDescent="0.25">
      <c r="B419" s="48">
        <f t="shared" si="40"/>
        <v>417</v>
      </c>
      <c r="C419" s="48">
        <f t="shared" si="36"/>
        <v>1709</v>
      </c>
      <c r="D419" s="48">
        <f t="shared" si="37"/>
        <v>417</v>
      </c>
      <c r="E419" s="48">
        <f t="shared" si="38"/>
        <v>1</v>
      </c>
      <c r="F419" s="49">
        <f t="shared" si="39"/>
        <v>2.442002442002442E-4</v>
      </c>
      <c r="G419" s="49">
        <f t="shared" si="41"/>
        <v>2.3980815347721821E-3</v>
      </c>
    </row>
    <row r="420" spans="2:7" x14ac:dyDescent="0.25">
      <c r="B420" s="48">
        <f t="shared" si="40"/>
        <v>418</v>
      </c>
      <c r="C420" s="48">
        <f t="shared" si="36"/>
        <v>1713</v>
      </c>
      <c r="D420" s="48">
        <f t="shared" si="37"/>
        <v>418</v>
      </c>
      <c r="E420" s="48">
        <f t="shared" si="38"/>
        <v>1</v>
      </c>
      <c r="F420" s="49">
        <f t="shared" si="39"/>
        <v>2.442002442002442E-4</v>
      </c>
      <c r="G420" s="49">
        <f t="shared" si="41"/>
        <v>2.3923444976076554E-3</v>
      </c>
    </row>
    <row r="421" spans="2:7" x14ac:dyDescent="0.25">
      <c r="B421" s="48">
        <f t="shared" si="40"/>
        <v>419</v>
      </c>
      <c r="C421" s="48">
        <f t="shared" si="36"/>
        <v>1718</v>
      </c>
      <c r="D421" s="48">
        <f t="shared" si="37"/>
        <v>419</v>
      </c>
      <c r="E421" s="48">
        <f t="shared" si="38"/>
        <v>1</v>
      </c>
      <c r="F421" s="49">
        <f t="shared" si="39"/>
        <v>2.442002442002442E-4</v>
      </c>
      <c r="G421" s="49">
        <f t="shared" si="41"/>
        <v>2.3866348448687352E-3</v>
      </c>
    </row>
    <row r="422" spans="2:7" x14ac:dyDescent="0.25">
      <c r="B422" s="48">
        <f t="shared" si="40"/>
        <v>420</v>
      </c>
      <c r="C422" s="48">
        <f t="shared" si="36"/>
        <v>1722</v>
      </c>
      <c r="D422" s="48">
        <f t="shared" si="37"/>
        <v>420</v>
      </c>
      <c r="E422" s="48">
        <f t="shared" si="38"/>
        <v>1</v>
      </c>
      <c r="F422" s="49">
        <f t="shared" si="39"/>
        <v>2.442002442002442E-4</v>
      </c>
      <c r="G422" s="49">
        <f t="shared" si="41"/>
        <v>2.3809523809523812E-3</v>
      </c>
    </row>
    <row r="423" spans="2:7" x14ac:dyDescent="0.25">
      <c r="B423" s="48">
        <f t="shared" si="40"/>
        <v>421</v>
      </c>
      <c r="C423" s="48">
        <f t="shared" si="36"/>
        <v>1726</v>
      </c>
      <c r="D423" s="48">
        <f t="shared" si="37"/>
        <v>421</v>
      </c>
      <c r="E423" s="48">
        <f t="shared" si="38"/>
        <v>1</v>
      </c>
      <c r="F423" s="49">
        <f t="shared" si="39"/>
        <v>2.442002442002442E-4</v>
      </c>
      <c r="G423" s="49">
        <f t="shared" si="41"/>
        <v>2.3752969121140144E-3</v>
      </c>
    </row>
    <row r="424" spans="2:7" x14ac:dyDescent="0.25">
      <c r="B424" s="48">
        <f t="shared" si="40"/>
        <v>422</v>
      </c>
      <c r="C424" s="48">
        <f t="shared" si="36"/>
        <v>1730</v>
      </c>
      <c r="D424" s="48">
        <f t="shared" si="37"/>
        <v>422</v>
      </c>
      <c r="E424" s="48">
        <f t="shared" si="38"/>
        <v>1</v>
      </c>
      <c r="F424" s="49">
        <f t="shared" si="39"/>
        <v>2.442002442002442E-4</v>
      </c>
      <c r="G424" s="49">
        <f t="shared" si="41"/>
        <v>2.3696682464454978E-3</v>
      </c>
    </row>
    <row r="425" spans="2:7" x14ac:dyDescent="0.25">
      <c r="B425" s="48">
        <f t="shared" si="40"/>
        <v>423</v>
      </c>
      <c r="C425" s="48">
        <f t="shared" si="36"/>
        <v>1734</v>
      </c>
      <c r="D425" s="48">
        <f t="shared" si="37"/>
        <v>423</v>
      </c>
      <c r="E425" s="48">
        <f t="shared" si="38"/>
        <v>1</v>
      </c>
      <c r="F425" s="49">
        <f t="shared" si="39"/>
        <v>2.442002442002442E-4</v>
      </c>
      <c r="G425" s="49">
        <f t="shared" si="41"/>
        <v>2.3640661938534278E-3</v>
      </c>
    </row>
    <row r="426" spans="2:7" x14ac:dyDescent="0.25">
      <c r="B426" s="48">
        <f t="shared" si="40"/>
        <v>424</v>
      </c>
      <c r="C426" s="48">
        <f t="shared" si="36"/>
        <v>1738</v>
      </c>
      <c r="D426" s="48">
        <f t="shared" si="37"/>
        <v>424</v>
      </c>
      <c r="E426" s="48">
        <f t="shared" si="38"/>
        <v>1</v>
      </c>
      <c r="F426" s="49">
        <f t="shared" si="39"/>
        <v>2.442002442002442E-4</v>
      </c>
      <c r="G426" s="49">
        <f t="shared" si="41"/>
        <v>2.3584905660377358E-3</v>
      </c>
    </row>
    <row r="427" spans="2:7" x14ac:dyDescent="0.25">
      <c r="B427" s="48">
        <f t="shared" si="40"/>
        <v>425</v>
      </c>
      <c r="C427" s="48">
        <f t="shared" si="36"/>
        <v>1742</v>
      </c>
      <c r="D427" s="48">
        <f t="shared" si="37"/>
        <v>425</v>
      </c>
      <c r="E427" s="48">
        <f t="shared" si="38"/>
        <v>1</v>
      </c>
      <c r="F427" s="49">
        <f t="shared" si="39"/>
        <v>2.442002442002442E-4</v>
      </c>
      <c r="G427" s="49">
        <f t="shared" si="41"/>
        <v>2.352941176470588E-3</v>
      </c>
    </row>
    <row r="428" spans="2:7" x14ac:dyDescent="0.25">
      <c r="B428" s="48">
        <f t="shared" si="40"/>
        <v>426</v>
      </c>
      <c r="C428" s="48">
        <f t="shared" si="36"/>
        <v>1746</v>
      </c>
      <c r="D428" s="48">
        <f t="shared" si="37"/>
        <v>426</v>
      </c>
      <c r="E428" s="48">
        <f t="shared" si="38"/>
        <v>1</v>
      </c>
      <c r="F428" s="49">
        <f t="shared" si="39"/>
        <v>2.442002442002442E-4</v>
      </c>
      <c r="G428" s="49">
        <f t="shared" si="41"/>
        <v>2.3474178403755869E-3</v>
      </c>
    </row>
    <row r="429" spans="2:7" x14ac:dyDescent="0.25">
      <c r="B429" s="48">
        <f t="shared" si="40"/>
        <v>427</v>
      </c>
      <c r="C429" s="48">
        <f t="shared" si="36"/>
        <v>1750</v>
      </c>
      <c r="D429" s="48">
        <f t="shared" si="37"/>
        <v>427</v>
      </c>
      <c r="E429" s="48">
        <f t="shared" si="38"/>
        <v>1</v>
      </c>
      <c r="F429" s="49">
        <f t="shared" si="39"/>
        <v>2.442002442002442E-4</v>
      </c>
      <c r="G429" s="49">
        <f t="shared" si="41"/>
        <v>2.34192037470726E-3</v>
      </c>
    </row>
    <row r="430" spans="2:7" x14ac:dyDescent="0.25">
      <c r="B430" s="48">
        <f t="shared" si="40"/>
        <v>428</v>
      </c>
      <c r="C430" s="48">
        <f t="shared" si="36"/>
        <v>1754</v>
      </c>
      <c r="D430" s="48">
        <f t="shared" si="37"/>
        <v>428</v>
      </c>
      <c r="E430" s="48">
        <f t="shared" si="38"/>
        <v>1</v>
      </c>
      <c r="F430" s="49">
        <f t="shared" si="39"/>
        <v>2.442002442002442E-4</v>
      </c>
      <c r="G430" s="49">
        <f t="shared" si="41"/>
        <v>2.3364485981308409E-3</v>
      </c>
    </row>
    <row r="431" spans="2:7" x14ac:dyDescent="0.25">
      <c r="B431" s="48">
        <f t="shared" si="40"/>
        <v>429</v>
      </c>
      <c r="C431" s="48">
        <f t="shared" si="36"/>
        <v>1759</v>
      </c>
      <c r="D431" s="48">
        <f t="shared" si="37"/>
        <v>429</v>
      </c>
      <c r="E431" s="48">
        <f t="shared" si="38"/>
        <v>1</v>
      </c>
      <c r="F431" s="49">
        <f t="shared" si="39"/>
        <v>2.442002442002442E-4</v>
      </c>
      <c r="G431" s="49">
        <f t="shared" si="41"/>
        <v>2.331002331002331E-3</v>
      </c>
    </row>
    <row r="432" spans="2:7" x14ac:dyDescent="0.25">
      <c r="B432" s="48">
        <f t="shared" si="40"/>
        <v>430</v>
      </c>
      <c r="C432" s="48">
        <f t="shared" si="36"/>
        <v>1763</v>
      </c>
      <c r="D432" s="48">
        <f t="shared" si="37"/>
        <v>430</v>
      </c>
      <c r="E432" s="48">
        <f t="shared" si="38"/>
        <v>1</v>
      </c>
      <c r="F432" s="49">
        <f t="shared" si="39"/>
        <v>2.442002442002442E-4</v>
      </c>
      <c r="G432" s="49">
        <f t="shared" si="41"/>
        <v>2.3255813953488372E-3</v>
      </c>
    </row>
    <row r="433" spans="2:7" x14ac:dyDescent="0.25">
      <c r="B433" s="48">
        <f t="shared" si="40"/>
        <v>431</v>
      </c>
      <c r="C433" s="48">
        <f t="shared" si="36"/>
        <v>1767</v>
      </c>
      <c r="D433" s="48">
        <f t="shared" si="37"/>
        <v>431</v>
      </c>
      <c r="E433" s="48">
        <f t="shared" si="38"/>
        <v>1</v>
      </c>
      <c r="F433" s="49">
        <f t="shared" si="39"/>
        <v>2.442002442002442E-4</v>
      </c>
      <c r="G433" s="49">
        <f t="shared" si="41"/>
        <v>2.3201856148491878E-3</v>
      </c>
    </row>
    <row r="434" spans="2:7" x14ac:dyDescent="0.25">
      <c r="B434" s="48">
        <f t="shared" si="40"/>
        <v>432</v>
      </c>
      <c r="C434" s="48">
        <f t="shared" si="36"/>
        <v>1771</v>
      </c>
      <c r="D434" s="48">
        <f t="shared" si="37"/>
        <v>432</v>
      </c>
      <c r="E434" s="48">
        <f t="shared" si="38"/>
        <v>1</v>
      </c>
      <c r="F434" s="49">
        <f t="shared" si="39"/>
        <v>2.442002442002442E-4</v>
      </c>
      <c r="G434" s="49">
        <f t="shared" si="41"/>
        <v>2.3148148148148147E-3</v>
      </c>
    </row>
    <row r="435" spans="2:7" x14ac:dyDescent="0.25">
      <c r="B435" s="48">
        <f t="shared" si="40"/>
        <v>433</v>
      </c>
      <c r="C435" s="48">
        <f t="shared" si="36"/>
        <v>1775</v>
      </c>
      <c r="D435" s="48">
        <f t="shared" si="37"/>
        <v>433</v>
      </c>
      <c r="E435" s="48">
        <f t="shared" si="38"/>
        <v>1</v>
      </c>
      <c r="F435" s="49">
        <f t="shared" si="39"/>
        <v>2.442002442002442E-4</v>
      </c>
      <c r="G435" s="49">
        <f t="shared" si="41"/>
        <v>2.3094688221709007E-3</v>
      </c>
    </row>
    <row r="436" spans="2:7" x14ac:dyDescent="0.25">
      <c r="B436" s="48">
        <f t="shared" si="40"/>
        <v>434</v>
      </c>
      <c r="C436" s="48">
        <f t="shared" si="36"/>
        <v>1779</v>
      </c>
      <c r="D436" s="48">
        <f t="shared" si="37"/>
        <v>434</v>
      </c>
      <c r="E436" s="48">
        <f t="shared" si="38"/>
        <v>1</v>
      </c>
      <c r="F436" s="49">
        <f t="shared" si="39"/>
        <v>2.442002442002442E-4</v>
      </c>
      <c r="G436" s="49">
        <f t="shared" si="41"/>
        <v>2.304147465437788E-3</v>
      </c>
    </row>
    <row r="437" spans="2:7" x14ac:dyDescent="0.25">
      <c r="B437" s="48">
        <f t="shared" si="40"/>
        <v>435</v>
      </c>
      <c r="C437" s="48">
        <f t="shared" si="36"/>
        <v>1783</v>
      </c>
      <c r="D437" s="48">
        <f t="shared" si="37"/>
        <v>435</v>
      </c>
      <c r="E437" s="48">
        <f t="shared" si="38"/>
        <v>1</v>
      </c>
      <c r="F437" s="49">
        <f t="shared" si="39"/>
        <v>2.442002442002442E-4</v>
      </c>
      <c r="G437" s="49">
        <f t="shared" si="41"/>
        <v>2.2988505747126436E-3</v>
      </c>
    </row>
    <row r="438" spans="2:7" x14ac:dyDescent="0.25">
      <c r="B438" s="48">
        <f t="shared" si="40"/>
        <v>436</v>
      </c>
      <c r="C438" s="48">
        <f t="shared" si="36"/>
        <v>1787</v>
      </c>
      <c r="D438" s="48">
        <f t="shared" si="37"/>
        <v>436</v>
      </c>
      <c r="E438" s="48">
        <f t="shared" si="38"/>
        <v>1</v>
      </c>
      <c r="F438" s="49">
        <f t="shared" si="39"/>
        <v>2.442002442002442E-4</v>
      </c>
      <c r="G438" s="49">
        <f t="shared" si="41"/>
        <v>2.2935779816513763E-3</v>
      </c>
    </row>
    <row r="439" spans="2:7" x14ac:dyDescent="0.25">
      <c r="B439" s="48">
        <f t="shared" si="40"/>
        <v>437</v>
      </c>
      <c r="C439" s="48">
        <f t="shared" si="36"/>
        <v>1791</v>
      </c>
      <c r="D439" s="48">
        <f t="shared" si="37"/>
        <v>437</v>
      </c>
      <c r="E439" s="48">
        <f t="shared" si="38"/>
        <v>1</v>
      </c>
      <c r="F439" s="49">
        <f t="shared" si="39"/>
        <v>2.442002442002442E-4</v>
      </c>
      <c r="G439" s="49">
        <f t="shared" si="41"/>
        <v>2.2883295194508009E-3</v>
      </c>
    </row>
    <row r="440" spans="2:7" x14ac:dyDescent="0.25">
      <c r="B440" s="48">
        <f t="shared" si="40"/>
        <v>438</v>
      </c>
      <c r="C440" s="48">
        <f t="shared" si="36"/>
        <v>1795</v>
      </c>
      <c r="D440" s="48">
        <f t="shared" si="37"/>
        <v>438</v>
      </c>
      <c r="E440" s="48">
        <f t="shared" si="38"/>
        <v>1</v>
      </c>
      <c r="F440" s="49">
        <f t="shared" si="39"/>
        <v>2.442002442002442E-4</v>
      </c>
      <c r="G440" s="49">
        <f t="shared" si="41"/>
        <v>2.2831050228310501E-3</v>
      </c>
    </row>
    <row r="441" spans="2:7" x14ac:dyDescent="0.25">
      <c r="B441" s="48">
        <f t="shared" si="40"/>
        <v>439</v>
      </c>
      <c r="C441" s="48">
        <f t="shared" si="36"/>
        <v>1800</v>
      </c>
      <c r="D441" s="48">
        <f t="shared" si="37"/>
        <v>439</v>
      </c>
      <c r="E441" s="48">
        <f t="shared" si="38"/>
        <v>1</v>
      </c>
      <c r="F441" s="49">
        <f t="shared" si="39"/>
        <v>2.442002442002442E-4</v>
      </c>
      <c r="G441" s="49">
        <f t="shared" si="41"/>
        <v>2.2779043280182231E-3</v>
      </c>
    </row>
    <row r="442" spans="2:7" x14ac:dyDescent="0.25">
      <c r="B442" s="48">
        <f t="shared" si="40"/>
        <v>440</v>
      </c>
      <c r="C442" s="48">
        <f t="shared" si="36"/>
        <v>1804</v>
      </c>
      <c r="D442" s="48">
        <f t="shared" si="37"/>
        <v>440</v>
      </c>
      <c r="E442" s="48">
        <f t="shared" si="38"/>
        <v>1</v>
      </c>
      <c r="F442" s="49">
        <f t="shared" si="39"/>
        <v>2.442002442002442E-4</v>
      </c>
      <c r="G442" s="49">
        <f t="shared" si="41"/>
        <v>2.2727272727272726E-3</v>
      </c>
    </row>
    <row r="443" spans="2:7" x14ac:dyDescent="0.25">
      <c r="B443" s="48">
        <f t="shared" si="40"/>
        <v>441</v>
      </c>
      <c r="C443" s="48">
        <f t="shared" si="36"/>
        <v>1808</v>
      </c>
      <c r="D443" s="48">
        <f t="shared" si="37"/>
        <v>441</v>
      </c>
      <c r="E443" s="48">
        <f t="shared" si="38"/>
        <v>1</v>
      </c>
      <c r="F443" s="49">
        <f t="shared" si="39"/>
        <v>2.442002442002442E-4</v>
      </c>
      <c r="G443" s="49">
        <f t="shared" si="41"/>
        <v>2.2675736961451248E-3</v>
      </c>
    </row>
    <row r="444" spans="2:7" x14ac:dyDescent="0.25">
      <c r="B444" s="48">
        <f t="shared" si="40"/>
        <v>442</v>
      </c>
      <c r="C444" s="48">
        <f t="shared" si="36"/>
        <v>1812</v>
      </c>
      <c r="D444" s="48">
        <f t="shared" si="37"/>
        <v>442</v>
      </c>
      <c r="E444" s="48">
        <f t="shared" si="38"/>
        <v>1</v>
      </c>
      <c r="F444" s="49">
        <f t="shared" si="39"/>
        <v>2.442002442002442E-4</v>
      </c>
      <c r="G444" s="49">
        <f t="shared" si="41"/>
        <v>2.2624434389140274E-3</v>
      </c>
    </row>
    <row r="445" spans="2:7" x14ac:dyDescent="0.25">
      <c r="B445" s="48">
        <f t="shared" si="40"/>
        <v>443</v>
      </c>
      <c r="C445" s="48">
        <f t="shared" si="36"/>
        <v>1816</v>
      </c>
      <c r="D445" s="48">
        <f t="shared" si="37"/>
        <v>443</v>
      </c>
      <c r="E445" s="48">
        <f t="shared" si="38"/>
        <v>1</v>
      </c>
      <c r="F445" s="49">
        <f t="shared" si="39"/>
        <v>2.442002442002442E-4</v>
      </c>
      <c r="G445" s="49">
        <f t="shared" si="41"/>
        <v>2.257336343115124E-3</v>
      </c>
    </row>
    <row r="446" spans="2:7" x14ac:dyDescent="0.25">
      <c r="B446" s="48">
        <f t="shared" si="40"/>
        <v>444</v>
      </c>
      <c r="C446" s="48">
        <f t="shared" si="36"/>
        <v>1820</v>
      </c>
      <c r="D446" s="48">
        <f t="shared" si="37"/>
        <v>444</v>
      </c>
      <c r="E446" s="48">
        <f t="shared" si="38"/>
        <v>1</v>
      </c>
      <c r="F446" s="49">
        <f t="shared" si="39"/>
        <v>2.442002442002442E-4</v>
      </c>
      <c r="G446" s="49">
        <f t="shared" si="41"/>
        <v>2.2522522522522522E-3</v>
      </c>
    </row>
    <row r="447" spans="2:7" x14ac:dyDescent="0.25">
      <c r="B447" s="48">
        <f t="shared" si="40"/>
        <v>445</v>
      </c>
      <c r="C447" s="48">
        <f t="shared" si="36"/>
        <v>1824</v>
      </c>
      <c r="D447" s="48">
        <f t="shared" si="37"/>
        <v>445</v>
      </c>
      <c r="E447" s="48">
        <f t="shared" si="38"/>
        <v>1</v>
      </c>
      <c r="F447" s="49">
        <f t="shared" si="39"/>
        <v>2.442002442002442E-4</v>
      </c>
      <c r="G447" s="49">
        <f t="shared" si="41"/>
        <v>2.2471910112359553E-3</v>
      </c>
    </row>
    <row r="448" spans="2:7" x14ac:dyDescent="0.25">
      <c r="B448" s="48">
        <f t="shared" si="40"/>
        <v>446</v>
      </c>
      <c r="C448" s="48">
        <f t="shared" si="36"/>
        <v>1828</v>
      </c>
      <c r="D448" s="48">
        <f t="shared" si="37"/>
        <v>446</v>
      </c>
      <c r="E448" s="48">
        <f t="shared" si="38"/>
        <v>1</v>
      </c>
      <c r="F448" s="49">
        <f t="shared" si="39"/>
        <v>2.442002442002442E-4</v>
      </c>
      <c r="G448" s="49">
        <f t="shared" si="41"/>
        <v>2.242152466367713E-3</v>
      </c>
    </row>
    <row r="449" spans="2:7" x14ac:dyDescent="0.25">
      <c r="B449" s="48">
        <f t="shared" si="40"/>
        <v>447</v>
      </c>
      <c r="C449" s="48">
        <f t="shared" si="36"/>
        <v>1832</v>
      </c>
      <c r="D449" s="48">
        <f t="shared" si="37"/>
        <v>447</v>
      </c>
      <c r="E449" s="48">
        <f t="shared" si="38"/>
        <v>1</v>
      </c>
      <c r="F449" s="49">
        <f t="shared" si="39"/>
        <v>2.442002442002442E-4</v>
      </c>
      <c r="G449" s="49">
        <f t="shared" si="41"/>
        <v>2.2371364653243847E-3</v>
      </c>
    </row>
    <row r="450" spans="2:7" x14ac:dyDescent="0.25">
      <c r="B450" s="48">
        <f t="shared" si="40"/>
        <v>448</v>
      </c>
      <c r="C450" s="48">
        <f t="shared" si="36"/>
        <v>1836</v>
      </c>
      <c r="D450" s="48">
        <f t="shared" si="37"/>
        <v>448</v>
      </c>
      <c r="E450" s="48">
        <f t="shared" si="38"/>
        <v>1</v>
      </c>
      <c r="F450" s="49">
        <f t="shared" si="39"/>
        <v>2.442002442002442E-4</v>
      </c>
      <c r="G450" s="49">
        <f t="shared" si="41"/>
        <v>2.232142857142857E-3</v>
      </c>
    </row>
    <row r="451" spans="2:7" x14ac:dyDescent="0.25">
      <c r="B451" s="48">
        <f t="shared" si="40"/>
        <v>449</v>
      </c>
      <c r="C451" s="48">
        <f t="shared" ref="C451:C514" si="42">ROUND(B451*C$1/(B$1-1),0)</f>
        <v>1840</v>
      </c>
      <c r="D451" s="48">
        <f t="shared" ref="D451:D514" si="43">MAX(ROUND(D$1^(B451+1),0),B451)</f>
        <v>449</v>
      </c>
      <c r="E451" s="48">
        <f t="shared" ref="E451:E514" si="44">D451-D450</f>
        <v>1</v>
      </c>
      <c r="F451" s="49">
        <f t="shared" ref="F451:F514" si="45">E451/C$1</f>
        <v>2.442002442002442E-4</v>
      </c>
      <c r="G451" s="49">
        <f t="shared" si="41"/>
        <v>2.2271714922048997E-3</v>
      </c>
    </row>
    <row r="452" spans="2:7" x14ac:dyDescent="0.25">
      <c r="B452" s="48">
        <f t="shared" ref="B452:B515" si="46">B451+1</f>
        <v>450</v>
      </c>
      <c r="C452" s="48">
        <f t="shared" si="42"/>
        <v>1845</v>
      </c>
      <c r="D452" s="48">
        <f t="shared" si="43"/>
        <v>450</v>
      </c>
      <c r="E452" s="48">
        <f t="shared" si="44"/>
        <v>1</v>
      </c>
      <c r="F452" s="49">
        <f t="shared" si="45"/>
        <v>2.442002442002442E-4</v>
      </c>
      <c r="G452" s="49">
        <f t="shared" ref="G452:G515" si="47">E452/D452</f>
        <v>2.2222222222222222E-3</v>
      </c>
    </row>
    <row r="453" spans="2:7" x14ac:dyDescent="0.25">
      <c r="B453" s="48">
        <f t="shared" si="46"/>
        <v>451</v>
      </c>
      <c r="C453" s="48">
        <f t="shared" si="42"/>
        <v>1849</v>
      </c>
      <c r="D453" s="48">
        <f t="shared" si="43"/>
        <v>451</v>
      </c>
      <c r="E453" s="48">
        <f t="shared" si="44"/>
        <v>1</v>
      </c>
      <c r="F453" s="49">
        <f t="shared" si="45"/>
        <v>2.442002442002442E-4</v>
      </c>
      <c r="G453" s="49">
        <f t="shared" si="47"/>
        <v>2.2172949002217295E-3</v>
      </c>
    </row>
    <row r="454" spans="2:7" x14ac:dyDescent="0.25">
      <c r="B454" s="48">
        <f t="shared" si="46"/>
        <v>452</v>
      </c>
      <c r="C454" s="48">
        <f t="shared" si="42"/>
        <v>1853</v>
      </c>
      <c r="D454" s="48">
        <f t="shared" si="43"/>
        <v>452</v>
      </c>
      <c r="E454" s="48">
        <f t="shared" si="44"/>
        <v>1</v>
      </c>
      <c r="F454" s="49">
        <f t="shared" si="45"/>
        <v>2.442002442002442E-4</v>
      </c>
      <c r="G454" s="49">
        <f t="shared" si="47"/>
        <v>2.2123893805309734E-3</v>
      </c>
    </row>
    <row r="455" spans="2:7" x14ac:dyDescent="0.25">
      <c r="B455" s="48">
        <f t="shared" si="46"/>
        <v>453</v>
      </c>
      <c r="C455" s="48">
        <f t="shared" si="42"/>
        <v>1857</v>
      </c>
      <c r="D455" s="48">
        <f t="shared" si="43"/>
        <v>453</v>
      </c>
      <c r="E455" s="48">
        <f t="shared" si="44"/>
        <v>1</v>
      </c>
      <c r="F455" s="49">
        <f t="shared" si="45"/>
        <v>2.442002442002442E-4</v>
      </c>
      <c r="G455" s="49">
        <f t="shared" si="47"/>
        <v>2.2075055187637969E-3</v>
      </c>
    </row>
    <row r="456" spans="2:7" x14ac:dyDescent="0.25">
      <c r="B456" s="48">
        <f t="shared" si="46"/>
        <v>454</v>
      </c>
      <c r="C456" s="48">
        <f t="shared" si="42"/>
        <v>1861</v>
      </c>
      <c r="D456" s="48">
        <f t="shared" si="43"/>
        <v>454</v>
      </c>
      <c r="E456" s="48">
        <f t="shared" si="44"/>
        <v>1</v>
      </c>
      <c r="F456" s="49">
        <f t="shared" si="45"/>
        <v>2.442002442002442E-4</v>
      </c>
      <c r="G456" s="49">
        <f t="shared" si="47"/>
        <v>2.2026431718061676E-3</v>
      </c>
    </row>
    <row r="457" spans="2:7" x14ac:dyDescent="0.25">
      <c r="B457" s="48">
        <f t="shared" si="46"/>
        <v>455</v>
      </c>
      <c r="C457" s="48">
        <f t="shared" si="42"/>
        <v>1865</v>
      </c>
      <c r="D457" s="48">
        <f t="shared" si="43"/>
        <v>455</v>
      </c>
      <c r="E457" s="48">
        <f t="shared" si="44"/>
        <v>1</v>
      </c>
      <c r="F457" s="49">
        <f t="shared" si="45"/>
        <v>2.442002442002442E-4</v>
      </c>
      <c r="G457" s="49">
        <f t="shared" si="47"/>
        <v>2.1978021978021978E-3</v>
      </c>
    </row>
    <row r="458" spans="2:7" x14ac:dyDescent="0.25">
      <c r="B458" s="48">
        <f t="shared" si="46"/>
        <v>456</v>
      </c>
      <c r="C458" s="48">
        <f t="shared" si="42"/>
        <v>1869</v>
      </c>
      <c r="D458" s="48">
        <f t="shared" si="43"/>
        <v>456</v>
      </c>
      <c r="E458" s="48">
        <f t="shared" si="44"/>
        <v>1</v>
      </c>
      <c r="F458" s="49">
        <f t="shared" si="45"/>
        <v>2.442002442002442E-4</v>
      </c>
      <c r="G458" s="49">
        <f t="shared" si="47"/>
        <v>2.1929824561403508E-3</v>
      </c>
    </row>
    <row r="459" spans="2:7" x14ac:dyDescent="0.25">
      <c r="B459" s="48">
        <f t="shared" si="46"/>
        <v>457</v>
      </c>
      <c r="C459" s="48">
        <f t="shared" si="42"/>
        <v>1873</v>
      </c>
      <c r="D459" s="48">
        <f t="shared" si="43"/>
        <v>457</v>
      </c>
      <c r="E459" s="48">
        <f t="shared" si="44"/>
        <v>1</v>
      </c>
      <c r="F459" s="49">
        <f t="shared" si="45"/>
        <v>2.442002442002442E-4</v>
      </c>
      <c r="G459" s="49">
        <f t="shared" si="47"/>
        <v>2.1881838074398249E-3</v>
      </c>
    </row>
    <row r="460" spans="2:7" x14ac:dyDescent="0.25">
      <c r="B460" s="48">
        <f t="shared" si="46"/>
        <v>458</v>
      </c>
      <c r="C460" s="48">
        <f t="shared" si="42"/>
        <v>1877</v>
      </c>
      <c r="D460" s="48">
        <f t="shared" si="43"/>
        <v>458</v>
      </c>
      <c r="E460" s="48">
        <f t="shared" si="44"/>
        <v>1</v>
      </c>
      <c r="F460" s="49">
        <f t="shared" si="45"/>
        <v>2.442002442002442E-4</v>
      </c>
      <c r="G460" s="49">
        <f t="shared" si="47"/>
        <v>2.1834061135371178E-3</v>
      </c>
    </row>
    <row r="461" spans="2:7" x14ac:dyDescent="0.25">
      <c r="B461" s="48">
        <f t="shared" si="46"/>
        <v>459</v>
      </c>
      <c r="C461" s="48">
        <f t="shared" si="42"/>
        <v>1881</v>
      </c>
      <c r="D461" s="48">
        <f t="shared" si="43"/>
        <v>459</v>
      </c>
      <c r="E461" s="48">
        <f t="shared" si="44"/>
        <v>1</v>
      </c>
      <c r="F461" s="49">
        <f t="shared" si="45"/>
        <v>2.442002442002442E-4</v>
      </c>
      <c r="G461" s="49">
        <f t="shared" si="47"/>
        <v>2.1786492374727671E-3</v>
      </c>
    </row>
    <row r="462" spans="2:7" x14ac:dyDescent="0.25">
      <c r="B462" s="48">
        <f t="shared" si="46"/>
        <v>460</v>
      </c>
      <c r="C462" s="48">
        <f t="shared" si="42"/>
        <v>1886</v>
      </c>
      <c r="D462" s="48">
        <f t="shared" si="43"/>
        <v>460</v>
      </c>
      <c r="E462" s="48">
        <f t="shared" si="44"/>
        <v>1</v>
      </c>
      <c r="F462" s="49">
        <f t="shared" si="45"/>
        <v>2.442002442002442E-4</v>
      </c>
      <c r="G462" s="49">
        <f t="shared" si="47"/>
        <v>2.1739130434782609E-3</v>
      </c>
    </row>
    <row r="463" spans="2:7" x14ac:dyDescent="0.25">
      <c r="B463" s="48">
        <f t="shared" si="46"/>
        <v>461</v>
      </c>
      <c r="C463" s="48">
        <f t="shared" si="42"/>
        <v>1890</v>
      </c>
      <c r="D463" s="48">
        <f t="shared" si="43"/>
        <v>461</v>
      </c>
      <c r="E463" s="48">
        <f t="shared" si="44"/>
        <v>1</v>
      </c>
      <c r="F463" s="49">
        <f t="shared" si="45"/>
        <v>2.442002442002442E-4</v>
      </c>
      <c r="G463" s="49">
        <f t="shared" si="47"/>
        <v>2.1691973969631237E-3</v>
      </c>
    </row>
    <row r="464" spans="2:7" x14ac:dyDescent="0.25">
      <c r="B464" s="48">
        <f t="shared" si="46"/>
        <v>462</v>
      </c>
      <c r="C464" s="48">
        <f t="shared" si="42"/>
        <v>1894</v>
      </c>
      <c r="D464" s="48">
        <f t="shared" si="43"/>
        <v>462</v>
      </c>
      <c r="E464" s="48">
        <f t="shared" si="44"/>
        <v>1</v>
      </c>
      <c r="F464" s="49">
        <f t="shared" si="45"/>
        <v>2.442002442002442E-4</v>
      </c>
      <c r="G464" s="49">
        <f t="shared" si="47"/>
        <v>2.1645021645021645E-3</v>
      </c>
    </row>
    <row r="465" spans="2:7" x14ac:dyDescent="0.25">
      <c r="B465" s="48">
        <f t="shared" si="46"/>
        <v>463</v>
      </c>
      <c r="C465" s="48">
        <f t="shared" si="42"/>
        <v>1898</v>
      </c>
      <c r="D465" s="48">
        <f t="shared" si="43"/>
        <v>463</v>
      </c>
      <c r="E465" s="48">
        <f t="shared" si="44"/>
        <v>1</v>
      </c>
      <c r="F465" s="49">
        <f t="shared" si="45"/>
        <v>2.442002442002442E-4</v>
      </c>
      <c r="G465" s="49">
        <f t="shared" si="47"/>
        <v>2.1598272138228943E-3</v>
      </c>
    </row>
    <row r="466" spans="2:7" x14ac:dyDescent="0.25">
      <c r="B466" s="48">
        <f t="shared" si="46"/>
        <v>464</v>
      </c>
      <c r="C466" s="48">
        <f t="shared" si="42"/>
        <v>1902</v>
      </c>
      <c r="D466" s="48">
        <f t="shared" si="43"/>
        <v>464</v>
      </c>
      <c r="E466" s="48">
        <f t="shared" si="44"/>
        <v>1</v>
      </c>
      <c r="F466" s="49">
        <f t="shared" si="45"/>
        <v>2.442002442002442E-4</v>
      </c>
      <c r="G466" s="49">
        <f t="shared" si="47"/>
        <v>2.1551724137931034E-3</v>
      </c>
    </row>
    <row r="467" spans="2:7" x14ac:dyDescent="0.25">
      <c r="B467" s="48">
        <f t="shared" si="46"/>
        <v>465</v>
      </c>
      <c r="C467" s="48">
        <f t="shared" si="42"/>
        <v>1906</v>
      </c>
      <c r="D467" s="48">
        <f t="shared" si="43"/>
        <v>465</v>
      </c>
      <c r="E467" s="48">
        <f t="shared" si="44"/>
        <v>1</v>
      </c>
      <c r="F467" s="49">
        <f t="shared" si="45"/>
        <v>2.442002442002442E-4</v>
      </c>
      <c r="G467" s="49">
        <f t="shared" si="47"/>
        <v>2.1505376344086021E-3</v>
      </c>
    </row>
    <row r="468" spans="2:7" x14ac:dyDescent="0.25">
      <c r="B468" s="48">
        <f t="shared" si="46"/>
        <v>466</v>
      </c>
      <c r="C468" s="48">
        <f t="shared" si="42"/>
        <v>1910</v>
      </c>
      <c r="D468" s="48">
        <f t="shared" si="43"/>
        <v>466</v>
      </c>
      <c r="E468" s="48">
        <f t="shared" si="44"/>
        <v>1</v>
      </c>
      <c r="F468" s="49">
        <f t="shared" si="45"/>
        <v>2.442002442002442E-4</v>
      </c>
      <c r="G468" s="49">
        <f t="shared" si="47"/>
        <v>2.1459227467811159E-3</v>
      </c>
    </row>
    <row r="469" spans="2:7" x14ac:dyDescent="0.25">
      <c r="B469" s="48">
        <f t="shared" si="46"/>
        <v>467</v>
      </c>
      <c r="C469" s="48">
        <f t="shared" si="42"/>
        <v>1914</v>
      </c>
      <c r="D469" s="48">
        <f t="shared" si="43"/>
        <v>467</v>
      </c>
      <c r="E469" s="48">
        <f t="shared" si="44"/>
        <v>1</v>
      </c>
      <c r="F469" s="49">
        <f t="shared" si="45"/>
        <v>2.442002442002442E-4</v>
      </c>
      <c r="G469" s="49">
        <f t="shared" si="47"/>
        <v>2.1413276231263384E-3</v>
      </c>
    </row>
    <row r="470" spans="2:7" x14ac:dyDescent="0.25">
      <c r="B470" s="48">
        <f t="shared" si="46"/>
        <v>468</v>
      </c>
      <c r="C470" s="48">
        <f t="shared" si="42"/>
        <v>1918</v>
      </c>
      <c r="D470" s="48">
        <f t="shared" si="43"/>
        <v>468</v>
      </c>
      <c r="E470" s="48">
        <f t="shared" si="44"/>
        <v>1</v>
      </c>
      <c r="F470" s="49">
        <f t="shared" si="45"/>
        <v>2.442002442002442E-4</v>
      </c>
      <c r="G470" s="49">
        <f t="shared" si="47"/>
        <v>2.136752136752137E-3</v>
      </c>
    </row>
    <row r="471" spans="2:7" x14ac:dyDescent="0.25">
      <c r="B471" s="48">
        <f t="shared" si="46"/>
        <v>469</v>
      </c>
      <c r="C471" s="48">
        <f t="shared" si="42"/>
        <v>1922</v>
      </c>
      <c r="D471" s="48">
        <f t="shared" si="43"/>
        <v>469</v>
      </c>
      <c r="E471" s="48">
        <f t="shared" si="44"/>
        <v>1</v>
      </c>
      <c r="F471" s="49">
        <f t="shared" si="45"/>
        <v>2.442002442002442E-4</v>
      </c>
      <c r="G471" s="49">
        <f t="shared" si="47"/>
        <v>2.1321961620469083E-3</v>
      </c>
    </row>
    <row r="472" spans="2:7" x14ac:dyDescent="0.25">
      <c r="B472" s="48">
        <f t="shared" si="46"/>
        <v>470</v>
      </c>
      <c r="C472" s="48">
        <f t="shared" si="42"/>
        <v>1927</v>
      </c>
      <c r="D472" s="48">
        <f t="shared" si="43"/>
        <v>470</v>
      </c>
      <c r="E472" s="48">
        <f t="shared" si="44"/>
        <v>1</v>
      </c>
      <c r="F472" s="49">
        <f t="shared" si="45"/>
        <v>2.442002442002442E-4</v>
      </c>
      <c r="G472" s="49">
        <f t="shared" si="47"/>
        <v>2.1276595744680851E-3</v>
      </c>
    </row>
    <row r="473" spans="2:7" x14ac:dyDescent="0.25">
      <c r="B473" s="48">
        <f t="shared" si="46"/>
        <v>471</v>
      </c>
      <c r="C473" s="48">
        <f t="shared" si="42"/>
        <v>1931</v>
      </c>
      <c r="D473" s="48">
        <f t="shared" si="43"/>
        <v>471</v>
      </c>
      <c r="E473" s="48">
        <f t="shared" si="44"/>
        <v>1</v>
      </c>
      <c r="F473" s="49">
        <f t="shared" si="45"/>
        <v>2.442002442002442E-4</v>
      </c>
      <c r="G473" s="49">
        <f t="shared" si="47"/>
        <v>2.1231422505307855E-3</v>
      </c>
    </row>
    <row r="474" spans="2:7" x14ac:dyDescent="0.25">
      <c r="B474" s="48">
        <f t="shared" si="46"/>
        <v>472</v>
      </c>
      <c r="C474" s="48">
        <f t="shared" si="42"/>
        <v>1935</v>
      </c>
      <c r="D474" s="48">
        <f t="shared" si="43"/>
        <v>472</v>
      </c>
      <c r="E474" s="48">
        <f t="shared" si="44"/>
        <v>1</v>
      </c>
      <c r="F474" s="49">
        <f t="shared" si="45"/>
        <v>2.442002442002442E-4</v>
      </c>
      <c r="G474" s="49">
        <f t="shared" si="47"/>
        <v>2.1186440677966102E-3</v>
      </c>
    </row>
    <row r="475" spans="2:7" x14ac:dyDescent="0.25">
      <c r="B475" s="48">
        <f t="shared" si="46"/>
        <v>473</v>
      </c>
      <c r="C475" s="48">
        <f t="shared" si="42"/>
        <v>1939</v>
      </c>
      <c r="D475" s="48">
        <f t="shared" si="43"/>
        <v>473</v>
      </c>
      <c r="E475" s="48">
        <f t="shared" si="44"/>
        <v>1</v>
      </c>
      <c r="F475" s="49">
        <f t="shared" si="45"/>
        <v>2.442002442002442E-4</v>
      </c>
      <c r="G475" s="49">
        <f t="shared" si="47"/>
        <v>2.1141649048625794E-3</v>
      </c>
    </row>
    <row r="476" spans="2:7" x14ac:dyDescent="0.25">
      <c r="B476" s="48">
        <f t="shared" si="46"/>
        <v>474</v>
      </c>
      <c r="C476" s="48">
        <f t="shared" si="42"/>
        <v>1943</v>
      </c>
      <c r="D476" s="48">
        <f t="shared" si="43"/>
        <v>474</v>
      </c>
      <c r="E476" s="48">
        <f t="shared" si="44"/>
        <v>1</v>
      </c>
      <c r="F476" s="49">
        <f t="shared" si="45"/>
        <v>2.442002442002442E-4</v>
      </c>
      <c r="G476" s="49">
        <f t="shared" si="47"/>
        <v>2.1097046413502108E-3</v>
      </c>
    </row>
    <row r="477" spans="2:7" x14ac:dyDescent="0.25">
      <c r="B477" s="48">
        <f t="shared" si="46"/>
        <v>475</v>
      </c>
      <c r="C477" s="48">
        <f t="shared" si="42"/>
        <v>1947</v>
      </c>
      <c r="D477" s="48">
        <f t="shared" si="43"/>
        <v>475</v>
      </c>
      <c r="E477" s="48">
        <f t="shared" si="44"/>
        <v>1</v>
      </c>
      <c r="F477" s="49">
        <f t="shared" si="45"/>
        <v>2.442002442002442E-4</v>
      </c>
      <c r="G477" s="49">
        <f t="shared" si="47"/>
        <v>2.1052631578947368E-3</v>
      </c>
    </row>
    <row r="478" spans="2:7" x14ac:dyDescent="0.25">
      <c r="B478" s="48">
        <f t="shared" si="46"/>
        <v>476</v>
      </c>
      <c r="C478" s="48">
        <f t="shared" si="42"/>
        <v>1951</v>
      </c>
      <c r="D478" s="48">
        <f t="shared" si="43"/>
        <v>476</v>
      </c>
      <c r="E478" s="48">
        <f t="shared" si="44"/>
        <v>1</v>
      </c>
      <c r="F478" s="49">
        <f t="shared" si="45"/>
        <v>2.442002442002442E-4</v>
      </c>
      <c r="G478" s="49">
        <f t="shared" si="47"/>
        <v>2.1008403361344537E-3</v>
      </c>
    </row>
    <row r="479" spans="2:7" x14ac:dyDescent="0.25">
      <c r="B479" s="48">
        <f t="shared" si="46"/>
        <v>477</v>
      </c>
      <c r="C479" s="48">
        <f t="shared" si="42"/>
        <v>1955</v>
      </c>
      <c r="D479" s="48">
        <f t="shared" si="43"/>
        <v>477</v>
      </c>
      <c r="E479" s="48">
        <f t="shared" si="44"/>
        <v>1</v>
      </c>
      <c r="F479" s="49">
        <f t="shared" si="45"/>
        <v>2.442002442002442E-4</v>
      </c>
      <c r="G479" s="49">
        <f t="shared" si="47"/>
        <v>2.0964360587002098E-3</v>
      </c>
    </row>
    <row r="480" spans="2:7" x14ac:dyDescent="0.25">
      <c r="B480" s="48">
        <f t="shared" si="46"/>
        <v>478</v>
      </c>
      <c r="C480" s="48">
        <f t="shared" si="42"/>
        <v>1959</v>
      </c>
      <c r="D480" s="48">
        <f t="shared" si="43"/>
        <v>478</v>
      </c>
      <c r="E480" s="48">
        <f t="shared" si="44"/>
        <v>1</v>
      </c>
      <c r="F480" s="49">
        <f t="shared" si="45"/>
        <v>2.442002442002442E-4</v>
      </c>
      <c r="G480" s="49">
        <f t="shared" si="47"/>
        <v>2.0920502092050207E-3</v>
      </c>
    </row>
    <row r="481" spans="2:7" x14ac:dyDescent="0.25">
      <c r="B481" s="48">
        <f t="shared" si="46"/>
        <v>479</v>
      </c>
      <c r="C481" s="48">
        <f t="shared" si="42"/>
        <v>1963</v>
      </c>
      <c r="D481" s="48">
        <f t="shared" si="43"/>
        <v>479</v>
      </c>
      <c r="E481" s="48">
        <f t="shared" si="44"/>
        <v>1</v>
      </c>
      <c r="F481" s="49">
        <f t="shared" si="45"/>
        <v>2.442002442002442E-4</v>
      </c>
      <c r="G481" s="49">
        <f t="shared" si="47"/>
        <v>2.0876826722338203E-3</v>
      </c>
    </row>
    <row r="482" spans="2:7" x14ac:dyDescent="0.25">
      <c r="B482" s="48">
        <f t="shared" si="46"/>
        <v>480</v>
      </c>
      <c r="C482" s="48">
        <f t="shared" si="42"/>
        <v>1968</v>
      </c>
      <c r="D482" s="48">
        <f t="shared" si="43"/>
        <v>480</v>
      </c>
      <c r="E482" s="48">
        <f t="shared" si="44"/>
        <v>1</v>
      </c>
      <c r="F482" s="49">
        <f t="shared" si="45"/>
        <v>2.442002442002442E-4</v>
      </c>
      <c r="G482" s="49">
        <f t="shared" si="47"/>
        <v>2.0833333333333333E-3</v>
      </c>
    </row>
    <row r="483" spans="2:7" x14ac:dyDescent="0.25">
      <c r="B483" s="48">
        <f t="shared" si="46"/>
        <v>481</v>
      </c>
      <c r="C483" s="48">
        <f t="shared" si="42"/>
        <v>1972</v>
      </c>
      <c r="D483" s="48">
        <f t="shared" si="43"/>
        <v>481</v>
      </c>
      <c r="E483" s="48">
        <f t="shared" si="44"/>
        <v>1</v>
      </c>
      <c r="F483" s="49">
        <f t="shared" si="45"/>
        <v>2.442002442002442E-4</v>
      </c>
      <c r="G483" s="49">
        <f t="shared" si="47"/>
        <v>2.0790020790020791E-3</v>
      </c>
    </row>
    <row r="484" spans="2:7" x14ac:dyDescent="0.25">
      <c r="B484" s="48">
        <f t="shared" si="46"/>
        <v>482</v>
      </c>
      <c r="C484" s="48">
        <f t="shared" si="42"/>
        <v>1976</v>
      </c>
      <c r="D484" s="48">
        <f t="shared" si="43"/>
        <v>482</v>
      </c>
      <c r="E484" s="48">
        <f t="shared" si="44"/>
        <v>1</v>
      </c>
      <c r="F484" s="49">
        <f t="shared" si="45"/>
        <v>2.442002442002442E-4</v>
      </c>
      <c r="G484" s="49">
        <f t="shared" si="47"/>
        <v>2.0746887966804979E-3</v>
      </c>
    </row>
    <row r="485" spans="2:7" x14ac:dyDescent="0.25">
      <c r="B485" s="48">
        <f t="shared" si="46"/>
        <v>483</v>
      </c>
      <c r="C485" s="48">
        <f t="shared" si="42"/>
        <v>1980</v>
      </c>
      <c r="D485" s="48">
        <f t="shared" si="43"/>
        <v>483</v>
      </c>
      <c r="E485" s="48">
        <f t="shared" si="44"/>
        <v>1</v>
      </c>
      <c r="F485" s="49">
        <f t="shared" si="45"/>
        <v>2.442002442002442E-4</v>
      </c>
      <c r="G485" s="49">
        <f t="shared" si="47"/>
        <v>2.070393374741201E-3</v>
      </c>
    </row>
    <row r="486" spans="2:7" x14ac:dyDescent="0.25">
      <c r="B486" s="48">
        <f t="shared" si="46"/>
        <v>484</v>
      </c>
      <c r="C486" s="48">
        <f t="shared" si="42"/>
        <v>1984</v>
      </c>
      <c r="D486" s="48">
        <f t="shared" si="43"/>
        <v>484</v>
      </c>
      <c r="E486" s="48">
        <f t="shared" si="44"/>
        <v>1</v>
      </c>
      <c r="F486" s="49">
        <f t="shared" si="45"/>
        <v>2.442002442002442E-4</v>
      </c>
      <c r="G486" s="49">
        <f t="shared" si="47"/>
        <v>2.0661157024793389E-3</v>
      </c>
    </row>
    <row r="487" spans="2:7" x14ac:dyDescent="0.25">
      <c r="B487" s="48">
        <f t="shared" si="46"/>
        <v>485</v>
      </c>
      <c r="C487" s="48">
        <f t="shared" si="42"/>
        <v>1988</v>
      </c>
      <c r="D487" s="48">
        <f t="shared" si="43"/>
        <v>485</v>
      </c>
      <c r="E487" s="48">
        <f t="shared" si="44"/>
        <v>1</v>
      </c>
      <c r="F487" s="49">
        <f t="shared" si="45"/>
        <v>2.442002442002442E-4</v>
      </c>
      <c r="G487" s="49">
        <f t="shared" si="47"/>
        <v>2.0618556701030928E-3</v>
      </c>
    </row>
    <row r="488" spans="2:7" x14ac:dyDescent="0.25">
      <c r="B488" s="48">
        <f t="shared" si="46"/>
        <v>486</v>
      </c>
      <c r="C488" s="48">
        <f t="shared" si="42"/>
        <v>1992</v>
      </c>
      <c r="D488" s="48">
        <f t="shared" si="43"/>
        <v>486</v>
      </c>
      <c r="E488" s="48">
        <f t="shared" si="44"/>
        <v>1</v>
      </c>
      <c r="F488" s="49">
        <f t="shared" si="45"/>
        <v>2.442002442002442E-4</v>
      </c>
      <c r="G488" s="49">
        <f t="shared" si="47"/>
        <v>2.05761316872428E-3</v>
      </c>
    </row>
    <row r="489" spans="2:7" x14ac:dyDescent="0.25">
      <c r="B489" s="48">
        <f t="shared" si="46"/>
        <v>487</v>
      </c>
      <c r="C489" s="48">
        <f t="shared" si="42"/>
        <v>1996</v>
      </c>
      <c r="D489" s="48">
        <f t="shared" si="43"/>
        <v>487</v>
      </c>
      <c r="E489" s="48">
        <f t="shared" si="44"/>
        <v>1</v>
      </c>
      <c r="F489" s="49">
        <f t="shared" si="45"/>
        <v>2.442002442002442E-4</v>
      </c>
      <c r="G489" s="49">
        <f t="shared" si="47"/>
        <v>2.0533880903490761E-3</v>
      </c>
    </row>
    <row r="490" spans="2:7" x14ac:dyDescent="0.25">
      <c r="B490" s="48">
        <f t="shared" si="46"/>
        <v>488</v>
      </c>
      <c r="C490" s="48">
        <f t="shared" si="42"/>
        <v>2000</v>
      </c>
      <c r="D490" s="48">
        <f t="shared" si="43"/>
        <v>488</v>
      </c>
      <c r="E490" s="48">
        <f t="shared" si="44"/>
        <v>1</v>
      </c>
      <c r="F490" s="49">
        <f t="shared" si="45"/>
        <v>2.442002442002442E-4</v>
      </c>
      <c r="G490" s="49">
        <f t="shared" si="47"/>
        <v>2.0491803278688526E-3</v>
      </c>
    </row>
    <row r="491" spans="2:7" x14ac:dyDescent="0.25">
      <c r="B491" s="48">
        <f t="shared" si="46"/>
        <v>489</v>
      </c>
      <c r="C491" s="48">
        <f t="shared" si="42"/>
        <v>2004</v>
      </c>
      <c r="D491" s="48">
        <f t="shared" si="43"/>
        <v>489</v>
      </c>
      <c r="E491" s="48">
        <f t="shared" si="44"/>
        <v>1</v>
      </c>
      <c r="F491" s="49">
        <f t="shared" si="45"/>
        <v>2.442002442002442E-4</v>
      </c>
      <c r="G491" s="49">
        <f t="shared" si="47"/>
        <v>2.0449897750511249E-3</v>
      </c>
    </row>
    <row r="492" spans="2:7" x14ac:dyDescent="0.25">
      <c r="B492" s="48">
        <f t="shared" si="46"/>
        <v>490</v>
      </c>
      <c r="C492" s="48">
        <f t="shared" si="42"/>
        <v>2009</v>
      </c>
      <c r="D492" s="48">
        <f t="shared" si="43"/>
        <v>490</v>
      </c>
      <c r="E492" s="48">
        <f t="shared" si="44"/>
        <v>1</v>
      </c>
      <c r="F492" s="49">
        <f t="shared" si="45"/>
        <v>2.442002442002442E-4</v>
      </c>
      <c r="G492" s="49">
        <f t="shared" si="47"/>
        <v>2.0408163265306124E-3</v>
      </c>
    </row>
    <row r="493" spans="2:7" x14ac:dyDescent="0.25">
      <c r="B493" s="48">
        <f t="shared" si="46"/>
        <v>491</v>
      </c>
      <c r="C493" s="48">
        <f t="shared" si="42"/>
        <v>2013</v>
      </c>
      <c r="D493" s="48">
        <f t="shared" si="43"/>
        <v>491</v>
      </c>
      <c r="E493" s="48">
        <f t="shared" si="44"/>
        <v>1</v>
      </c>
      <c r="F493" s="49">
        <f t="shared" si="45"/>
        <v>2.442002442002442E-4</v>
      </c>
      <c r="G493" s="49">
        <f t="shared" si="47"/>
        <v>2.0366598778004071E-3</v>
      </c>
    </row>
    <row r="494" spans="2:7" x14ac:dyDescent="0.25">
      <c r="B494" s="48">
        <f t="shared" si="46"/>
        <v>492</v>
      </c>
      <c r="C494" s="48">
        <f t="shared" si="42"/>
        <v>2017</v>
      </c>
      <c r="D494" s="48">
        <f t="shared" si="43"/>
        <v>492</v>
      </c>
      <c r="E494" s="48">
        <f t="shared" si="44"/>
        <v>1</v>
      </c>
      <c r="F494" s="49">
        <f t="shared" si="45"/>
        <v>2.442002442002442E-4</v>
      </c>
      <c r="G494" s="49">
        <f t="shared" si="47"/>
        <v>2.0325203252032522E-3</v>
      </c>
    </row>
    <row r="495" spans="2:7" x14ac:dyDescent="0.25">
      <c r="B495" s="48">
        <f t="shared" si="46"/>
        <v>493</v>
      </c>
      <c r="C495" s="48">
        <f t="shared" si="42"/>
        <v>2021</v>
      </c>
      <c r="D495" s="48">
        <f t="shared" si="43"/>
        <v>493</v>
      </c>
      <c r="E495" s="48">
        <f t="shared" si="44"/>
        <v>1</v>
      </c>
      <c r="F495" s="49">
        <f t="shared" si="45"/>
        <v>2.442002442002442E-4</v>
      </c>
      <c r="G495" s="49">
        <f t="shared" si="47"/>
        <v>2.0283975659229209E-3</v>
      </c>
    </row>
    <row r="496" spans="2:7" x14ac:dyDescent="0.25">
      <c r="B496" s="48">
        <f t="shared" si="46"/>
        <v>494</v>
      </c>
      <c r="C496" s="48">
        <f t="shared" si="42"/>
        <v>2025</v>
      </c>
      <c r="D496" s="48">
        <f t="shared" si="43"/>
        <v>494</v>
      </c>
      <c r="E496" s="48">
        <f t="shared" si="44"/>
        <v>1</v>
      </c>
      <c r="F496" s="49">
        <f t="shared" si="45"/>
        <v>2.442002442002442E-4</v>
      </c>
      <c r="G496" s="49">
        <f t="shared" si="47"/>
        <v>2.0242914979757085E-3</v>
      </c>
    </row>
    <row r="497" spans="2:7" x14ac:dyDescent="0.25">
      <c r="B497" s="48">
        <f t="shared" si="46"/>
        <v>495</v>
      </c>
      <c r="C497" s="48">
        <f t="shared" si="42"/>
        <v>2029</v>
      </c>
      <c r="D497" s="48">
        <f t="shared" si="43"/>
        <v>495</v>
      </c>
      <c r="E497" s="48">
        <f t="shared" si="44"/>
        <v>1</v>
      </c>
      <c r="F497" s="49">
        <f t="shared" si="45"/>
        <v>2.442002442002442E-4</v>
      </c>
      <c r="G497" s="49">
        <f t="shared" si="47"/>
        <v>2.0202020202020202E-3</v>
      </c>
    </row>
    <row r="498" spans="2:7" x14ac:dyDescent="0.25">
      <c r="B498" s="48">
        <f t="shared" si="46"/>
        <v>496</v>
      </c>
      <c r="C498" s="48">
        <f t="shared" si="42"/>
        <v>2033</v>
      </c>
      <c r="D498" s="48">
        <f t="shared" si="43"/>
        <v>496</v>
      </c>
      <c r="E498" s="48">
        <f t="shared" si="44"/>
        <v>1</v>
      </c>
      <c r="F498" s="49">
        <f t="shared" si="45"/>
        <v>2.442002442002442E-4</v>
      </c>
      <c r="G498" s="49">
        <f t="shared" si="47"/>
        <v>2.0161290322580645E-3</v>
      </c>
    </row>
    <row r="499" spans="2:7" x14ac:dyDescent="0.25">
      <c r="B499" s="48">
        <f t="shared" si="46"/>
        <v>497</v>
      </c>
      <c r="C499" s="48">
        <f t="shared" si="42"/>
        <v>2037</v>
      </c>
      <c r="D499" s="48">
        <f t="shared" si="43"/>
        <v>497</v>
      </c>
      <c r="E499" s="48">
        <f t="shared" si="44"/>
        <v>1</v>
      </c>
      <c r="F499" s="49">
        <f t="shared" si="45"/>
        <v>2.442002442002442E-4</v>
      </c>
      <c r="G499" s="49">
        <f t="shared" si="47"/>
        <v>2.012072434607646E-3</v>
      </c>
    </row>
    <row r="500" spans="2:7" x14ac:dyDescent="0.25">
      <c r="B500" s="48">
        <f t="shared" si="46"/>
        <v>498</v>
      </c>
      <c r="C500" s="48">
        <f t="shared" si="42"/>
        <v>2041</v>
      </c>
      <c r="D500" s="48">
        <f t="shared" si="43"/>
        <v>498</v>
      </c>
      <c r="E500" s="48">
        <f t="shared" si="44"/>
        <v>1</v>
      </c>
      <c r="F500" s="49">
        <f t="shared" si="45"/>
        <v>2.442002442002442E-4</v>
      </c>
      <c r="G500" s="49">
        <f t="shared" si="47"/>
        <v>2.008032128514056E-3</v>
      </c>
    </row>
    <row r="501" spans="2:7" x14ac:dyDescent="0.25">
      <c r="B501" s="48">
        <f t="shared" si="46"/>
        <v>499</v>
      </c>
      <c r="C501" s="48">
        <f t="shared" si="42"/>
        <v>2045</v>
      </c>
      <c r="D501" s="48">
        <f t="shared" si="43"/>
        <v>499</v>
      </c>
      <c r="E501" s="48">
        <f t="shared" si="44"/>
        <v>1</v>
      </c>
      <c r="F501" s="49">
        <f t="shared" si="45"/>
        <v>2.442002442002442E-4</v>
      </c>
      <c r="G501" s="49">
        <f t="shared" si="47"/>
        <v>2.004008016032064E-3</v>
      </c>
    </row>
    <row r="502" spans="2:7" x14ac:dyDescent="0.25">
      <c r="B502" s="48">
        <f t="shared" si="46"/>
        <v>500</v>
      </c>
      <c r="C502" s="48">
        <f t="shared" si="42"/>
        <v>2050</v>
      </c>
      <c r="D502" s="48">
        <f t="shared" si="43"/>
        <v>500</v>
      </c>
      <c r="E502" s="48">
        <f t="shared" si="44"/>
        <v>1</v>
      </c>
      <c r="F502" s="49">
        <f t="shared" si="45"/>
        <v>2.442002442002442E-4</v>
      </c>
      <c r="G502" s="49">
        <f t="shared" si="47"/>
        <v>2E-3</v>
      </c>
    </row>
    <row r="503" spans="2:7" x14ac:dyDescent="0.25">
      <c r="B503" s="48">
        <f t="shared" si="46"/>
        <v>501</v>
      </c>
      <c r="C503" s="48">
        <f t="shared" si="42"/>
        <v>2054</v>
      </c>
      <c r="D503" s="48">
        <f t="shared" si="43"/>
        <v>501</v>
      </c>
      <c r="E503" s="48">
        <f t="shared" si="44"/>
        <v>1</v>
      </c>
      <c r="F503" s="49">
        <f t="shared" si="45"/>
        <v>2.442002442002442E-4</v>
      </c>
      <c r="G503" s="49">
        <f t="shared" si="47"/>
        <v>1.996007984031936E-3</v>
      </c>
    </row>
    <row r="504" spans="2:7" x14ac:dyDescent="0.25">
      <c r="B504" s="48">
        <f t="shared" si="46"/>
        <v>502</v>
      </c>
      <c r="C504" s="48">
        <f t="shared" si="42"/>
        <v>2058</v>
      </c>
      <c r="D504" s="48">
        <f t="shared" si="43"/>
        <v>502</v>
      </c>
      <c r="E504" s="48">
        <f t="shared" si="44"/>
        <v>1</v>
      </c>
      <c r="F504" s="49">
        <f t="shared" si="45"/>
        <v>2.442002442002442E-4</v>
      </c>
      <c r="G504" s="49">
        <f t="shared" si="47"/>
        <v>1.9920318725099601E-3</v>
      </c>
    </row>
    <row r="505" spans="2:7" x14ac:dyDescent="0.25">
      <c r="B505" s="48">
        <f t="shared" si="46"/>
        <v>503</v>
      </c>
      <c r="C505" s="48">
        <f t="shared" si="42"/>
        <v>2062</v>
      </c>
      <c r="D505" s="48">
        <f t="shared" si="43"/>
        <v>503</v>
      </c>
      <c r="E505" s="48">
        <f t="shared" si="44"/>
        <v>1</v>
      </c>
      <c r="F505" s="49">
        <f t="shared" si="45"/>
        <v>2.442002442002442E-4</v>
      </c>
      <c r="G505" s="49">
        <f t="shared" si="47"/>
        <v>1.9880715705765406E-3</v>
      </c>
    </row>
    <row r="506" spans="2:7" x14ac:dyDescent="0.25">
      <c r="B506" s="48">
        <f t="shared" si="46"/>
        <v>504</v>
      </c>
      <c r="C506" s="48">
        <f t="shared" si="42"/>
        <v>2066</v>
      </c>
      <c r="D506" s="48">
        <f t="shared" si="43"/>
        <v>504</v>
      </c>
      <c r="E506" s="48">
        <f t="shared" si="44"/>
        <v>1</v>
      </c>
      <c r="F506" s="49">
        <f t="shared" si="45"/>
        <v>2.442002442002442E-4</v>
      </c>
      <c r="G506" s="49">
        <f t="shared" si="47"/>
        <v>1.984126984126984E-3</v>
      </c>
    </row>
    <row r="507" spans="2:7" x14ac:dyDescent="0.25">
      <c r="B507" s="48">
        <f t="shared" si="46"/>
        <v>505</v>
      </c>
      <c r="C507" s="48">
        <f t="shared" si="42"/>
        <v>2070</v>
      </c>
      <c r="D507" s="48">
        <f t="shared" si="43"/>
        <v>505</v>
      </c>
      <c r="E507" s="48">
        <f t="shared" si="44"/>
        <v>1</v>
      </c>
      <c r="F507" s="49">
        <f t="shared" si="45"/>
        <v>2.442002442002442E-4</v>
      </c>
      <c r="G507" s="49">
        <f t="shared" si="47"/>
        <v>1.9801980198019802E-3</v>
      </c>
    </row>
    <row r="508" spans="2:7" x14ac:dyDescent="0.25">
      <c r="B508" s="48">
        <f t="shared" si="46"/>
        <v>506</v>
      </c>
      <c r="C508" s="48">
        <f t="shared" si="42"/>
        <v>2074</v>
      </c>
      <c r="D508" s="48">
        <f t="shared" si="43"/>
        <v>506</v>
      </c>
      <c r="E508" s="48">
        <f t="shared" si="44"/>
        <v>1</v>
      </c>
      <c r="F508" s="49">
        <f t="shared" si="45"/>
        <v>2.442002442002442E-4</v>
      </c>
      <c r="G508" s="49">
        <f t="shared" si="47"/>
        <v>1.976284584980237E-3</v>
      </c>
    </row>
    <row r="509" spans="2:7" x14ac:dyDescent="0.25">
      <c r="B509" s="48">
        <f t="shared" si="46"/>
        <v>507</v>
      </c>
      <c r="C509" s="48">
        <f t="shared" si="42"/>
        <v>2078</v>
      </c>
      <c r="D509" s="48">
        <f t="shared" si="43"/>
        <v>507</v>
      </c>
      <c r="E509" s="48">
        <f t="shared" si="44"/>
        <v>1</v>
      </c>
      <c r="F509" s="49">
        <f t="shared" si="45"/>
        <v>2.442002442002442E-4</v>
      </c>
      <c r="G509" s="49">
        <f t="shared" si="47"/>
        <v>1.9723865877712033E-3</v>
      </c>
    </row>
    <row r="510" spans="2:7" x14ac:dyDescent="0.25">
      <c r="B510" s="48">
        <f t="shared" si="46"/>
        <v>508</v>
      </c>
      <c r="C510" s="48">
        <f t="shared" si="42"/>
        <v>2082</v>
      </c>
      <c r="D510" s="48">
        <f t="shared" si="43"/>
        <v>508</v>
      </c>
      <c r="E510" s="48">
        <f t="shared" si="44"/>
        <v>1</v>
      </c>
      <c r="F510" s="49">
        <f t="shared" si="45"/>
        <v>2.442002442002442E-4</v>
      </c>
      <c r="G510" s="49">
        <f t="shared" si="47"/>
        <v>1.968503937007874E-3</v>
      </c>
    </row>
    <row r="511" spans="2:7" x14ac:dyDescent="0.25">
      <c r="B511" s="48">
        <f t="shared" si="46"/>
        <v>509</v>
      </c>
      <c r="C511" s="48">
        <f t="shared" si="42"/>
        <v>2086</v>
      </c>
      <c r="D511" s="48">
        <f t="shared" si="43"/>
        <v>509</v>
      </c>
      <c r="E511" s="48">
        <f t="shared" si="44"/>
        <v>1</v>
      </c>
      <c r="F511" s="49">
        <f t="shared" si="45"/>
        <v>2.442002442002442E-4</v>
      </c>
      <c r="G511" s="49">
        <f t="shared" si="47"/>
        <v>1.9646365422396855E-3</v>
      </c>
    </row>
    <row r="512" spans="2:7" x14ac:dyDescent="0.25">
      <c r="B512" s="48">
        <f t="shared" si="46"/>
        <v>510</v>
      </c>
      <c r="C512" s="48">
        <f t="shared" si="42"/>
        <v>2091</v>
      </c>
      <c r="D512" s="48">
        <f t="shared" si="43"/>
        <v>510</v>
      </c>
      <c r="E512" s="48">
        <f t="shared" si="44"/>
        <v>1</v>
      </c>
      <c r="F512" s="49">
        <f t="shared" si="45"/>
        <v>2.442002442002442E-4</v>
      </c>
      <c r="G512" s="49">
        <f t="shared" si="47"/>
        <v>1.9607843137254902E-3</v>
      </c>
    </row>
    <row r="513" spans="2:7" x14ac:dyDescent="0.25">
      <c r="B513" s="48">
        <f t="shared" si="46"/>
        <v>511</v>
      </c>
      <c r="C513" s="48">
        <f t="shared" si="42"/>
        <v>2095</v>
      </c>
      <c r="D513" s="48">
        <f t="shared" si="43"/>
        <v>511</v>
      </c>
      <c r="E513" s="48">
        <f t="shared" si="44"/>
        <v>1</v>
      </c>
      <c r="F513" s="49">
        <f t="shared" si="45"/>
        <v>2.442002442002442E-4</v>
      </c>
      <c r="G513" s="49">
        <f t="shared" si="47"/>
        <v>1.9569471624266144E-3</v>
      </c>
    </row>
    <row r="514" spans="2:7" x14ac:dyDescent="0.25">
      <c r="B514" s="48">
        <f t="shared" si="46"/>
        <v>512</v>
      </c>
      <c r="C514" s="48">
        <f t="shared" si="42"/>
        <v>2099</v>
      </c>
      <c r="D514" s="48">
        <f t="shared" si="43"/>
        <v>512</v>
      </c>
      <c r="E514" s="48">
        <f t="shared" si="44"/>
        <v>1</v>
      </c>
      <c r="F514" s="49">
        <f t="shared" si="45"/>
        <v>2.442002442002442E-4</v>
      </c>
      <c r="G514" s="49">
        <f t="shared" si="47"/>
        <v>1.953125E-3</v>
      </c>
    </row>
    <row r="515" spans="2:7" x14ac:dyDescent="0.25">
      <c r="B515" s="48">
        <f t="shared" si="46"/>
        <v>513</v>
      </c>
      <c r="C515" s="48">
        <f t="shared" ref="C515:C578" si="48">ROUND(B515*C$1/(B$1-1),0)</f>
        <v>2103</v>
      </c>
      <c r="D515" s="48">
        <f t="shared" ref="D515:D578" si="49">MAX(ROUND(D$1^(B515+1),0),B515)</f>
        <v>513</v>
      </c>
      <c r="E515" s="48">
        <f t="shared" ref="E515:E578" si="50">D515-D514</f>
        <v>1</v>
      </c>
      <c r="F515" s="49">
        <f t="shared" ref="F515:F578" si="51">E515/C$1</f>
        <v>2.442002442002442E-4</v>
      </c>
      <c r="G515" s="49">
        <f t="shared" si="47"/>
        <v>1.9493177387914229E-3</v>
      </c>
    </row>
    <row r="516" spans="2:7" x14ac:dyDescent="0.25">
      <c r="B516" s="48">
        <f t="shared" ref="B516:B579" si="52">B515+1</f>
        <v>514</v>
      </c>
      <c r="C516" s="48">
        <f t="shared" si="48"/>
        <v>2107</v>
      </c>
      <c r="D516" s="48">
        <f t="shared" si="49"/>
        <v>514</v>
      </c>
      <c r="E516" s="48">
        <f t="shared" si="50"/>
        <v>1</v>
      </c>
      <c r="F516" s="49">
        <f t="shared" si="51"/>
        <v>2.442002442002442E-4</v>
      </c>
      <c r="G516" s="49">
        <f t="shared" ref="G516:G579" si="53">E516/D516</f>
        <v>1.9455252918287938E-3</v>
      </c>
    </row>
    <row r="517" spans="2:7" x14ac:dyDescent="0.25">
      <c r="B517" s="48">
        <f t="shared" si="52"/>
        <v>515</v>
      </c>
      <c r="C517" s="48">
        <f t="shared" si="48"/>
        <v>2111</v>
      </c>
      <c r="D517" s="48">
        <f t="shared" si="49"/>
        <v>515</v>
      </c>
      <c r="E517" s="48">
        <f t="shared" si="50"/>
        <v>1</v>
      </c>
      <c r="F517" s="49">
        <f t="shared" si="51"/>
        <v>2.442002442002442E-4</v>
      </c>
      <c r="G517" s="49">
        <f t="shared" si="53"/>
        <v>1.9417475728155339E-3</v>
      </c>
    </row>
    <row r="518" spans="2:7" x14ac:dyDescent="0.25">
      <c r="B518" s="48">
        <f t="shared" si="52"/>
        <v>516</v>
      </c>
      <c r="C518" s="48">
        <f t="shared" si="48"/>
        <v>2115</v>
      </c>
      <c r="D518" s="48">
        <f t="shared" si="49"/>
        <v>516</v>
      </c>
      <c r="E518" s="48">
        <f t="shared" si="50"/>
        <v>1</v>
      </c>
      <c r="F518" s="49">
        <f t="shared" si="51"/>
        <v>2.442002442002442E-4</v>
      </c>
      <c r="G518" s="49">
        <f t="shared" si="53"/>
        <v>1.937984496124031E-3</v>
      </c>
    </row>
    <row r="519" spans="2:7" x14ac:dyDescent="0.25">
      <c r="B519" s="48">
        <f t="shared" si="52"/>
        <v>517</v>
      </c>
      <c r="C519" s="48">
        <f t="shared" si="48"/>
        <v>2119</v>
      </c>
      <c r="D519" s="48">
        <f t="shared" si="49"/>
        <v>517</v>
      </c>
      <c r="E519" s="48">
        <f t="shared" si="50"/>
        <v>1</v>
      </c>
      <c r="F519" s="49">
        <f t="shared" si="51"/>
        <v>2.442002442002442E-4</v>
      </c>
      <c r="G519" s="49">
        <f t="shared" si="53"/>
        <v>1.9342359767891683E-3</v>
      </c>
    </row>
    <row r="520" spans="2:7" x14ac:dyDescent="0.25">
      <c r="B520" s="48">
        <f t="shared" si="52"/>
        <v>518</v>
      </c>
      <c r="C520" s="48">
        <f t="shared" si="48"/>
        <v>2123</v>
      </c>
      <c r="D520" s="48">
        <f t="shared" si="49"/>
        <v>518</v>
      </c>
      <c r="E520" s="48">
        <f t="shared" si="50"/>
        <v>1</v>
      </c>
      <c r="F520" s="49">
        <f t="shared" si="51"/>
        <v>2.442002442002442E-4</v>
      </c>
      <c r="G520" s="49">
        <f t="shared" si="53"/>
        <v>1.9305019305019305E-3</v>
      </c>
    </row>
    <row r="521" spans="2:7" x14ac:dyDescent="0.25">
      <c r="B521" s="48">
        <f t="shared" si="52"/>
        <v>519</v>
      </c>
      <c r="C521" s="48">
        <f t="shared" si="48"/>
        <v>2127</v>
      </c>
      <c r="D521" s="48">
        <f t="shared" si="49"/>
        <v>519</v>
      </c>
      <c r="E521" s="48">
        <f t="shared" si="50"/>
        <v>1</v>
      </c>
      <c r="F521" s="49">
        <f t="shared" si="51"/>
        <v>2.442002442002442E-4</v>
      </c>
      <c r="G521" s="49">
        <f t="shared" si="53"/>
        <v>1.9267822736030828E-3</v>
      </c>
    </row>
    <row r="522" spans="2:7" x14ac:dyDescent="0.25">
      <c r="B522" s="48">
        <f t="shared" si="52"/>
        <v>520</v>
      </c>
      <c r="C522" s="48">
        <f t="shared" si="48"/>
        <v>2132</v>
      </c>
      <c r="D522" s="48">
        <f t="shared" si="49"/>
        <v>520</v>
      </c>
      <c r="E522" s="48">
        <f t="shared" si="50"/>
        <v>1</v>
      </c>
      <c r="F522" s="49">
        <f t="shared" si="51"/>
        <v>2.442002442002442E-4</v>
      </c>
      <c r="G522" s="49">
        <f t="shared" si="53"/>
        <v>1.9230769230769232E-3</v>
      </c>
    </row>
    <row r="523" spans="2:7" x14ac:dyDescent="0.25">
      <c r="B523" s="48">
        <f t="shared" si="52"/>
        <v>521</v>
      </c>
      <c r="C523" s="48">
        <f t="shared" si="48"/>
        <v>2136</v>
      </c>
      <c r="D523" s="48">
        <f t="shared" si="49"/>
        <v>521</v>
      </c>
      <c r="E523" s="48">
        <f t="shared" si="50"/>
        <v>1</v>
      </c>
      <c r="F523" s="49">
        <f t="shared" si="51"/>
        <v>2.442002442002442E-4</v>
      </c>
      <c r="G523" s="49">
        <f t="shared" si="53"/>
        <v>1.9193857965451055E-3</v>
      </c>
    </row>
    <row r="524" spans="2:7" x14ac:dyDescent="0.25">
      <c r="B524" s="48">
        <f t="shared" si="52"/>
        <v>522</v>
      </c>
      <c r="C524" s="48">
        <f t="shared" si="48"/>
        <v>2140</v>
      </c>
      <c r="D524" s="48">
        <f t="shared" si="49"/>
        <v>522</v>
      </c>
      <c r="E524" s="48">
        <f t="shared" si="50"/>
        <v>1</v>
      </c>
      <c r="F524" s="49">
        <f t="shared" si="51"/>
        <v>2.442002442002442E-4</v>
      </c>
      <c r="G524" s="49">
        <f t="shared" si="53"/>
        <v>1.9157088122605363E-3</v>
      </c>
    </row>
    <row r="525" spans="2:7" x14ac:dyDescent="0.25">
      <c r="B525" s="48">
        <f t="shared" si="52"/>
        <v>523</v>
      </c>
      <c r="C525" s="48">
        <f t="shared" si="48"/>
        <v>2144</v>
      </c>
      <c r="D525" s="48">
        <f t="shared" si="49"/>
        <v>523</v>
      </c>
      <c r="E525" s="48">
        <f t="shared" si="50"/>
        <v>1</v>
      </c>
      <c r="F525" s="49">
        <f t="shared" si="51"/>
        <v>2.442002442002442E-4</v>
      </c>
      <c r="G525" s="49">
        <f t="shared" si="53"/>
        <v>1.9120458891013384E-3</v>
      </c>
    </row>
    <row r="526" spans="2:7" x14ac:dyDescent="0.25">
      <c r="B526" s="48">
        <f t="shared" si="52"/>
        <v>524</v>
      </c>
      <c r="C526" s="48">
        <f t="shared" si="48"/>
        <v>2148</v>
      </c>
      <c r="D526" s="48">
        <f t="shared" si="49"/>
        <v>524</v>
      </c>
      <c r="E526" s="48">
        <f t="shared" si="50"/>
        <v>1</v>
      </c>
      <c r="F526" s="49">
        <f t="shared" si="51"/>
        <v>2.442002442002442E-4</v>
      </c>
      <c r="G526" s="49">
        <f t="shared" si="53"/>
        <v>1.9083969465648854E-3</v>
      </c>
    </row>
    <row r="527" spans="2:7" x14ac:dyDescent="0.25">
      <c r="B527" s="48">
        <f t="shared" si="52"/>
        <v>525</v>
      </c>
      <c r="C527" s="48">
        <f t="shared" si="48"/>
        <v>2152</v>
      </c>
      <c r="D527" s="48">
        <f t="shared" si="49"/>
        <v>525</v>
      </c>
      <c r="E527" s="48">
        <f t="shared" si="50"/>
        <v>1</v>
      </c>
      <c r="F527" s="49">
        <f t="shared" si="51"/>
        <v>2.442002442002442E-4</v>
      </c>
      <c r="G527" s="49">
        <f t="shared" si="53"/>
        <v>1.9047619047619048E-3</v>
      </c>
    </row>
    <row r="528" spans="2:7" x14ac:dyDescent="0.25">
      <c r="B528" s="48">
        <f t="shared" si="52"/>
        <v>526</v>
      </c>
      <c r="C528" s="48">
        <f t="shared" si="48"/>
        <v>2156</v>
      </c>
      <c r="D528" s="48">
        <f t="shared" si="49"/>
        <v>526</v>
      </c>
      <c r="E528" s="48">
        <f t="shared" si="50"/>
        <v>1</v>
      </c>
      <c r="F528" s="49">
        <f t="shared" si="51"/>
        <v>2.442002442002442E-4</v>
      </c>
      <c r="G528" s="49">
        <f t="shared" si="53"/>
        <v>1.9011406844106464E-3</v>
      </c>
    </row>
    <row r="529" spans="2:7" x14ac:dyDescent="0.25">
      <c r="B529" s="48">
        <f t="shared" si="52"/>
        <v>527</v>
      </c>
      <c r="C529" s="48">
        <f t="shared" si="48"/>
        <v>2160</v>
      </c>
      <c r="D529" s="48">
        <f t="shared" si="49"/>
        <v>527</v>
      </c>
      <c r="E529" s="48">
        <f t="shared" si="50"/>
        <v>1</v>
      </c>
      <c r="F529" s="49">
        <f t="shared" si="51"/>
        <v>2.442002442002442E-4</v>
      </c>
      <c r="G529" s="49">
        <f t="shared" si="53"/>
        <v>1.8975332068311196E-3</v>
      </c>
    </row>
    <row r="530" spans="2:7" x14ac:dyDescent="0.25">
      <c r="B530" s="48">
        <f t="shared" si="52"/>
        <v>528</v>
      </c>
      <c r="C530" s="48">
        <f t="shared" si="48"/>
        <v>2164</v>
      </c>
      <c r="D530" s="48">
        <f t="shared" si="49"/>
        <v>528</v>
      </c>
      <c r="E530" s="48">
        <f t="shared" si="50"/>
        <v>1</v>
      </c>
      <c r="F530" s="49">
        <f t="shared" si="51"/>
        <v>2.442002442002442E-4</v>
      </c>
      <c r="G530" s="49">
        <f t="shared" si="53"/>
        <v>1.893939393939394E-3</v>
      </c>
    </row>
    <row r="531" spans="2:7" x14ac:dyDescent="0.25">
      <c r="B531" s="48">
        <f t="shared" si="52"/>
        <v>529</v>
      </c>
      <c r="C531" s="48">
        <f t="shared" si="48"/>
        <v>2168</v>
      </c>
      <c r="D531" s="48">
        <f t="shared" si="49"/>
        <v>529</v>
      </c>
      <c r="E531" s="48">
        <f t="shared" si="50"/>
        <v>1</v>
      </c>
      <c r="F531" s="49">
        <f t="shared" si="51"/>
        <v>2.442002442002442E-4</v>
      </c>
      <c r="G531" s="49">
        <f t="shared" si="53"/>
        <v>1.890359168241966E-3</v>
      </c>
    </row>
    <row r="532" spans="2:7" x14ac:dyDescent="0.25">
      <c r="B532" s="48">
        <f t="shared" si="52"/>
        <v>530</v>
      </c>
      <c r="C532" s="48">
        <f t="shared" si="48"/>
        <v>2173</v>
      </c>
      <c r="D532" s="48">
        <f t="shared" si="49"/>
        <v>530</v>
      </c>
      <c r="E532" s="48">
        <f t="shared" si="50"/>
        <v>1</v>
      </c>
      <c r="F532" s="49">
        <f t="shared" si="51"/>
        <v>2.442002442002442E-4</v>
      </c>
      <c r="G532" s="49">
        <f t="shared" si="53"/>
        <v>1.8867924528301887E-3</v>
      </c>
    </row>
    <row r="533" spans="2:7" x14ac:dyDescent="0.25">
      <c r="B533" s="48">
        <f t="shared" si="52"/>
        <v>531</v>
      </c>
      <c r="C533" s="48">
        <f t="shared" si="48"/>
        <v>2177</v>
      </c>
      <c r="D533" s="48">
        <f t="shared" si="49"/>
        <v>531</v>
      </c>
      <c r="E533" s="48">
        <f t="shared" si="50"/>
        <v>1</v>
      </c>
      <c r="F533" s="49">
        <f t="shared" si="51"/>
        <v>2.442002442002442E-4</v>
      </c>
      <c r="G533" s="49">
        <f t="shared" si="53"/>
        <v>1.8832391713747645E-3</v>
      </c>
    </row>
    <row r="534" spans="2:7" x14ac:dyDescent="0.25">
      <c r="B534" s="48">
        <f t="shared" si="52"/>
        <v>532</v>
      </c>
      <c r="C534" s="48">
        <f t="shared" si="48"/>
        <v>2181</v>
      </c>
      <c r="D534" s="48">
        <f t="shared" si="49"/>
        <v>532</v>
      </c>
      <c r="E534" s="48">
        <f t="shared" si="50"/>
        <v>1</v>
      </c>
      <c r="F534" s="49">
        <f t="shared" si="51"/>
        <v>2.442002442002442E-4</v>
      </c>
      <c r="G534" s="49">
        <f t="shared" si="53"/>
        <v>1.8796992481203006E-3</v>
      </c>
    </row>
    <row r="535" spans="2:7" x14ac:dyDescent="0.25">
      <c r="B535" s="48">
        <f t="shared" si="52"/>
        <v>533</v>
      </c>
      <c r="C535" s="48">
        <f t="shared" si="48"/>
        <v>2185</v>
      </c>
      <c r="D535" s="48">
        <f t="shared" si="49"/>
        <v>533</v>
      </c>
      <c r="E535" s="48">
        <f t="shared" si="50"/>
        <v>1</v>
      </c>
      <c r="F535" s="49">
        <f t="shared" si="51"/>
        <v>2.442002442002442E-4</v>
      </c>
      <c r="G535" s="49">
        <f t="shared" si="53"/>
        <v>1.876172607879925E-3</v>
      </c>
    </row>
    <row r="536" spans="2:7" x14ac:dyDescent="0.25">
      <c r="B536" s="48">
        <f t="shared" si="52"/>
        <v>534</v>
      </c>
      <c r="C536" s="48">
        <f t="shared" si="48"/>
        <v>2189</v>
      </c>
      <c r="D536" s="48">
        <f t="shared" si="49"/>
        <v>534</v>
      </c>
      <c r="E536" s="48">
        <f t="shared" si="50"/>
        <v>1</v>
      </c>
      <c r="F536" s="49">
        <f t="shared" si="51"/>
        <v>2.442002442002442E-4</v>
      </c>
      <c r="G536" s="49">
        <f t="shared" si="53"/>
        <v>1.8726591760299626E-3</v>
      </c>
    </row>
    <row r="537" spans="2:7" x14ac:dyDescent="0.25">
      <c r="B537" s="48">
        <f t="shared" si="52"/>
        <v>535</v>
      </c>
      <c r="C537" s="48">
        <f t="shared" si="48"/>
        <v>2193</v>
      </c>
      <c r="D537" s="48">
        <f t="shared" si="49"/>
        <v>535</v>
      </c>
      <c r="E537" s="48">
        <f t="shared" si="50"/>
        <v>1</v>
      </c>
      <c r="F537" s="49">
        <f t="shared" si="51"/>
        <v>2.442002442002442E-4</v>
      </c>
      <c r="G537" s="49">
        <f t="shared" si="53"/>
        <v>1.869158878504673E-3</v>
      </c>
    </row>
    <row r="538" spans="2:7" x14ac:dyDescent="0.25">
      <c r="B538" s="48">
        <f t="shared" si="52"/>
        <v>536</v>
      </c>
      <c r="C538" s="48">
        <f t="shared" si="48"/>
        <v>2197</v>
      </c>
      <c r="D538" s="48">
        <f t="shared" si="49"/>
        <v>536</v>
      </c>
      <c r="E538" s="48">
        <f t="shared" si="50"/>
        <v>1</v>
      </c>
      <c r="F538" s="49">
        <f t="shared" si="51"/>
        <v>2.442002442002442E-4</v>
      </c>
      <c r="G538" s="49">
        <f t="shared" si="53"/>
        <v>1.8656716417910447E-3</v>
      </c>
    </row>
    <row r="539" spans="2:7" x14ac:dyDescent="0.25">
      <c r="B539" s="48">
        <f t="shared" si="52"/>
        <v>537</v>
      </c>
      <c r="C539" s="48">
        <f t="shared" si="48"/>
        <v>2201</v>
      </c>
      <c r="D539" s="48">
        <f t="shared" si="49"/>
        <v>537</v>
      </c>
      <c r="E539" s="48">
        <f t="shared" si="50"/>
        <v>1</v>
      </c>
      <c r="F539" s="49">
        <f t="shared" si="51"/>
        <v>2.442002442002442E-4</v>
      </c>
      <c r="G539" s="49">
        <f t="shared" si="53"/>
        <v>1.8621973929236499E-3</v>
      </c>
    </row>
    <row r="540" spans="2:7" x14ac:dyDescent="0.25">
      <c r="B540" s="48">
        <f t="shared" si="52"/>
        <v>538</v>
      </c>
      <c r="C540" s="48">
        <f t="shared" si="48"/>
        <v>2205</v>
      </c>
      <c r="D540" s="48">
        <f t="shared" si="49"/>
        <v>538</v>
      </c>
      <c r="E540" s="48">
        <f t="shared" si="50"/>
        <v>1</v>
      </c>
      <c r="F540" s="49">
        <f t="shared" si="51"/>
        <v>2.442002442002442E-4</v>
      </c>
      <c r="G540" s="49">
        <f t="shared" si="53"/>
        <v>1.8587360594795538E-3</v>
      </c>
    </row>
    <row r="541" spans="2:7" x14ac:dyDescent="0.25">
      <c r="B541" s="48">
        <f t="shared" si="52"/>
        <v>539</v>
      </c>
      <c r="C541" s="48">
        <f t="shared" si="48"/>
        <v>2209</v>
      </c>
      <c r="D541" s="48">
        <f t="shared" si="49"/>
        <v>539</v>
      </c>
      <c r="E541" s="48">
        <f t="shared" si="50"/>
        <v>1</v>
      </c>
      <c r="F541" s="49">
        <f t="shared" si="51"/>
        <v>2.442002442002442E-4</v>
      </c>
      <c r="G541" s="49">
        <f t="shared" si="53"/>
        <v>1.8552875695732839E-3</v>
      </c>
    </row>
    <row r="542" spans="2:7" x14ac:dyDescent="0.25">
      <c r="B542" s="48">
        <f t="shared" si="52"/>
        <v>540</v>
      </c>
      <c r="C542" s="48">
        <f t="shared" si="48"/>
        <v>2214</v>
      </c>
      <c r="D542" s="48">
        <f t="shared" si="49"/>
        <v>540</v>
      </c>
      <c r="E542" s="48">
        <f t="shared" si="50"/>
        <v>1</v>
      </c>
      <c r="F542" s="49">
        <f t="shared" si="51"/>
        <v>2.442002442002442E-4</v>
      </c>
      <c r="G542" s="49">
        <f t="shared" si="53"/>
        <v>1.8518518518518519E-3</v>
      </c>
    </row>
    <row r="543" spans="2:7" x14ac:dyDescent="0.25">
      <c r="B543" s="48">
        <f t="shared" si="52"/>
        <v>541</v>
      </c>
      <c r="C543" s="48">
        <f t="shared" si="48"/>
        <v>2218</v>
      </c>
      <c r="D543" s="48">
        <f t="shared" si="49"/>
        <v>541</v>
      </c>
      <c r="E543" s="48">
        <f t="shared" si="50"/>
        <v>1</v>
      </c>
      <c r="F543" s="49">
        <f t="shared" si="51"/>
        <v>2.442002442002442E-4</v>
      </c>
      <c r="G543" s="49">
        <f t="shared" si="53"/>
        <v>1.8484288354898336E-3</v>
      </c>
    </row>
    <row r="544" spans="2:7" x14ac:dyDescent="0.25">
      <c r="B544" s="48">
        <f t="shared" si="52"/>
        <v>542</v>
      </c>
      <c r="C544" s="48">
        <f t="shared" si="48"/>
        <v>2222</v>
      </c>
      <c r="D544" s="48">
        <f t="shared" si="49"/>
        <v>542</v>
      </c>
      <c r="E544" s="48">
        <f t="shared" si="50"/>
        <v>1</v>
      </c>
      <c r="F544" s="49">
        <f t="shared" si="51"/>
        <v>2.442002442002442E-4</v>
      </c>
      <c r="G544" s="49">
        <f t="shared" si="53"/>
        <v>1.8450184501845018E-3</v>
      </c>
    </row>
    <row r="545" spans="2:7" x14ac:dyDescent="0.25">
      <c r="B545" s="48">
        <f t="shared" si="52"/>
        <v>543</v>
      </c>
      <c r="C545" s="48">
        <f t="shared" si="48"/>
        <v>2226</v>
      </c>
      <c r="D545" s="48">
        <f t="shared" si="49"/>
        <v>543</v>
      </c>
      <c r="E545" s="48">
        <f t="shared" si="50"/>
        <v>1</v>
      </c>
      <c r="F545" s="49">
        <f t="shared" si="51"/>
        <v>2.442002442002442E-4</v>
      </c>
      <c r="G545" s="49">
        <f t="shared" si="53"/>
        <v>1.841620626151013E-3</v>
      </c>
    </row>
    <row r="546" spans="2:7" x14ac:dyDescent="0.25">
      <c r="B546" s="48">
        <f t="shared" si="52"/>
        <v>544</v>
      </c>
      <c r="C546" s="48">
        <f t="shared" si="48"/>
        <v>2230</v>
      </c>
      <c r="D546" s="48">
        <f t="shared" si="49"/>
        <v>544</v>
      </c>
      <c r="E546" s="48">
        <f t="shared" si="50"/>
        <v>1</v>
      </c>
      <c r="F546" s="49">
        <f t="shared" si="51"/>
        <v>2.442002442002442E-4</v>
      </c>
      <c r="G546" s="49">
        <f t="shared" si="53"/>
        <v>1.838235294117647E-3</v>
      </c>
    </row>
    <row r="547" spans="2:7" x14ac:dyDescent="0.25">
      <c r="B547" s="48">
        <f t="shared" si="52"/>
        <v>545</v>
      </c>
      <c r="C547" s="48">
        <f t="shared" si="48"/>
        <v>2234</v>
      </c>
      <c r="D547" s="48">
        <f t="shared" si="49"/>
        <v>545</v>
      </c>
      <c r="E547" s="48">
        <f t="shared" si="50"/>
        <v>1</v>
      </c>
      <c r="F547" s="49">
        <f t="shared" si="51"/>
        <v>2.442002442002442E-4</v>
      </c>
      <c r="G547" s="49">
        <f t="shared" si="53"/>
        <v>1.834862385321101E-3</v>
      </c>
    </row>
    <row r="548" spans="2:7" x14ac:dyDescent="0.25">
      <c r="B548" s="48">
        <f t="shared" si="52"/>
        <v>546</v>
      </c>
      <c r="C548" s="48">
        <f t="shared" si="48"/>
        <v>2238</v>
      </c>
      <c r="D548" s="48">
        <f t="shared" si="49"/>
        <v>546</v>
      </c>
      <c r="E548" s="48">
        <f t="shared" si="50"/>
        <v>1</v>
      </c>
      <c r="F548" s="49">
        <f t="shared" si="51"/>
        <v>2.442002442002442E-4</v>
      </c>
      <c r="G548" s="49">
        <f t="shared" si="53"/>
        <v>1.8315018315018315E-3</v>
      </c>
    </row>
    <row r="549" spans="2:7" x14ac:dyDescent="0.25">
      <c r="B549" s="48">
        <f t="shared" si="52"/>
        <v>547</v>
      </c>
      <c r="C549" s="48">
        <f t="shared" si="48"/>
        <v>2242</v>
      </c>
      <c r="D549" s="48">
        <f t="shared" si="49"/>
        <v>547</v>
      </c>
      <c r="E549" s="48">
        <f t="shared" si="50"/>
        <v>1</v>
      </c>
      <c r="F549" s="49">
        <f t="shared" si="51"/>
        <v>2.442002442002442E-4</v>
      </c>
      <c r="G549" s="49">
        <f t="shared" si="53"/>
        <v>1.8281535648994515E-3</v>
      </c>
    </row>
    <row r="550" spans="2:7" x14ac:dyDescent="0.25">
      <c r="B550" s="48">
        <f t="shared" si="52"/>
        <v>548</v>
      </c>
      <c r="C550" s="48">
        <f t="shared" si="48"/>
        <v>2246</v>
      </c>
      <c r="D550" s="48">
        <f t="shared" si="49"/>
        <v>548</v>
      </c>
      <c r="E550" s="48">
        <f t="shared" si="50"/>
        <v>1</v>
      </c>
      <c r="F550" s="49">
        <f t="shared" si="51"/>
        <v>2.442002442002442E-4</v>
      </c>
      <c r="G550" s="49">
        <f t="shared" si="53"/>
        <v>1.8248175182481751E-3</v>
      </c>
    </row>
    <row r="551" spans="2:7" x14ac:dyDescent="0.25">
      <c r="B551" s="48">
        <f t="shared" si="52"/>
        <v>549</v>
      </c>
      <c r="C551" s="48">
        <f t="shared" si="48"/>
        <v>2250</v>
      </c>
      <c r="D551" s="48">
        <f t="shared" si="49"/>
        <v>549</v>
      </c>
      <c r="E551" s="48">
        <f t="shared" si="50"/>
        <v>1</v>
      </c>
      <c r="F551" s="49">
        <f t="shared" si="51"/>
        <v>2.442002442002442E-4</v>
      </c>
      <c r="G551" s="49">
        <f t="shared" si="53"/>
        <v>1.8214936247723133E-3</v>
      </c>
    </row>
    <row r="552" spans="2:7" x14ac:dyDescent="0.25">
      <c r="B552" s="48">
        <f t="shared" si="52"/>
        <v>550</v>
      </c>
      <c r="C552" s="48">
        <f t="shared" si="48"/>
        <v>2255</v>
      </c>
      <c r="D552" s="48">
        <f t="shared" si="49"/>
        <v>550</v>
      </c>
      <c r="E552" s="48">
        <f t="shared" si="50"/>
        <v>1</v>
      </c>
      <c r="F552" s="49">
        <f t="shared" si="51"/>
        <v>2.442002442002442E-4</v>
      </c>
      <c r="G552" s="49">
        <f t="shared" si="53"/>
        <v>1.8181818181818182E-3</v>
      </c>
    </row>
    <row r="553" spans="2:7" x14ac:dyDescent="0.25">
      <c r="B553" s="48">
        <f t="shared" si="52"/>
        <v>551</v>
      </c>
      <c r="C553" s="48">
        <f t="shared" si="48"/>
        <v>2259</v>
      </c>
      <c r="D553" s="48">
        <f t="shared" si="49"/>
        <v>551</v>
      </c>
      <c r="E553" s="48">
        <f t="shared" si="50"/>
        <v>1</v>
      </c>
      <c r="F553" s="49">
        <f t="shared" si="51"/>
        <v>2.442002442002442E-4</v>
      </c>
      <c r="G553" s="49">
        <f t="shared" si="53"/>
        <v>1.8148820326678765E-3</v>
      </c>
    </row>
    <row r="554" spans="2:7" x14ac:dyDescent="0.25">
      <c r="B554" s="48">
        <f t="shared" si="52"/>
        <v>552</v>
      </c>
      <c r="C554" s="48">
        <f t="shared" si="48"/>
        <v>2263</v>
      </c>
      <c r="D554" s="48">
        <f t="shared" si="49"/>
        <v>552</v>
      </c>
      <c r="E554" s="48">
        <f t="shared" si="50"/>
        <v>1</v>
      </c>
      <c r="F554" s="49">
        <f t="shared" si="51"/>
        <v>2.442002442002442E-4</v>
      </c>
      <c r="G554" s="49">
        <f t="shared" si="53"/>
        <v>1.8115942028985507E-3</v>
      </c>
    </row>
    <row r="555" spans="2:7" x14ac:dyDescent="0.25">
      <c r="B555" s="48">
        <f t="shared" si="52"/>
        <v>553</v>
      </c>
      <c r="C555" s="48">
        <f t="shared" si="48"/>
        <v>2267</v>
      </c>
      <c r="D555" s="48">
        <f t="shared" si="49"/>
        <v>553</v>
      </c>
      <c r="E555" s="48">
        <f t="shared" si="50"/>
        <v>1</v>
      </c>
      <c r="F555" s="49">
        <f t="shared" si="51"/>
        <v>2.442002442002442E-4</v>
      </c>
      <c r="G555" s="49">
        <f t="shared" si="53"/>
        <v>1.8083182640144665E-3</v>
      </c>
    </row>
    <row r="556" spans="2:7" x14ac:dyDescent="0.25">
      <c r="B556" s="48">
        <f t="shared" si="52"/>
        <v>554</v>
      </c>
      <c r="C556" s="48">
        <f t="shared" si="48"/>
        <v>2271</v>
      </c>
      <c r="D556" s="48">
        <f t="shared" si="49"/>
        <v>554</v>
      </c>
      <c r="E556" s="48">
        <f t="shared" si="50"/>
        <v>1</v>
      </c>
      <c r="F556" s="49">
        <f t="shared" si="51"/>
        <v>2.442002442002442E-4</v>
      </c>
      <c r="G556" s="49">
        <f t="shared" si="53"/>
        <v>1.8050541516245488E-3</v>
      </c>
    </row>
    <row r="557" spans="2:7" x14ac:dyDescent="0.25">
      <c r="B557" s="48">
        <f t="shared" si="52"/>
        <v>555</v>
      </c>
      <c r="C557" s="48">
        <f t="shared" si="48"/>
        <v>2275</v>
      </c>
      <c r="D557" s="48">
        <f t="shared" si="49"/>
        <v>555</v>
      </c>
      <c r="E557" s="48">
        <f t="shared" si="50"/>
        <v>1</v>
      </c>
      <c r="F557" s="49">
        <f t="shared" si="51"/>
        <v>2.442002442002442E-4</v>
      </c>
      <c r="G557" s="49">
        <f t="shared" si="53"/>
        <v>1.8018018018018018E-3</v>
      </c>
    </row>
    <row r="558" spans="2:7" x14ac:dyDescent="0.25">
      <c r="B558" s="48">
        <f t="shared" si="52"/>
        <v>556</v>
      </c>
      <c r="C558" s="48">
        <f t="shared" si="48"/>
        <v>2279</v>
      </c>
      <c r="D558" s="48">
        <f t="shared" si="49"/>
        <v>556</v>
      </c>
      <c r="E558" s="48">
        <f t="shared" si="50"/>
        <v>1</v>
      </c>
      <c r="F558" s="49">
        <f t="shared" si="51"/>
        <v>2.442002442002442E-4</v>
      </c>
      <c r="G558" s="49">
        <f t="shared" si="53"/>
        <v>1.7985611510791368E-3</v>
      </c>
    </row>
    <row r="559" spans="2:7" x14ac:dyDescent="0.25">
      <c r="B559" s="48">
        <f t="shared" si="52"/>
        <v>557</v>
      </c>
      <c r="C559" s="48">
        <f t="shared" si="48"/>
        <v>2283</v>
      </c>
      <c r="D559" s="48">
        <f t="shared" si="49"/>
        <v>557</v>
      </c>
      <c r="E559" s="48">
        <f t="shared" si="50"/>
        <v>1</v>
      </c>
      <c r="F559" s="49">
        <f t="shared" si="51"/>
        <v>2.442002442002442E-4</v>
      </c>
      <c r="G559" s="49">
        <f t="shared" si="53"/>
        <v>1.7953321364452424E-3</v>
      </c>
    </row>
    <row r="560" spans="2:7" x14ac:dyDescent="0.25">
      <c r="B560" s="48">
        <f t="shared" si="52"/>
        <v>558</v>
      </c>
      <c r="C560" s="48">
        <f t="shared" si="48"/>
        <v>2287</v>
      </c>
      <c r="D560" s="48">
        <f t="shared" si="49"/>
        <v>558</v>
      </c>
      <c r="E560" s="48">
        <f t="shared" si="50"/>
        <v>1</v>
      </c>
      <c r="F560" s="49">
        <f t="shared" si="51"/>
        <v>2.442002442002442E-4</v>
      </c>
      <c r="G560" s="49">
        <f t="shared" si="53"/>
        <v>1.7921146953405018E-3</v>
      </c>
    </row>
    <row r="561" spans="2:7" x14ac:dyDescent="0.25">
      <c r="B561" s="48">
        <f t="shared" si="52"/>
        <v>559</v>
      </c>
      <c r="C561" s="48">
        <f t="shared" si="48"/>
        <v>2291</v>
      </c>
      <c r="D561" s="48">
        <f t="shared" si="49"/>
        <v>559</v>
      </c>
      <c r="E561" s="48">
        <f t="shared" si="50"/>
        <v>1</v>
      </c>
      <c r="F561" s="49">
        <f t="shared" si="51"/>
        <v>2.442002442002442E-4</v>
      </c>
      <c r="G561" s="49">
        <f t="shared" si="53"/>
        <v>1.7889087656529517E-3</v>
      </c>
    </row>
    <row r="562" spans="2:7" x14ac:dyDescent="0.25">
      <c r="B562" s="48">
        <f t="shared" si="52"/>
        <v>560</v>
      </c>
      <c r="C562" s="48">
        <f t="shared" si="48"/>
        <v>2295</v>
      </c>
      <c r="D562" s="48">
        <f t="shared" si="49"/>
        <v>560</v>
      </c>
      <c r="E562" s="48">
        <f t="shared" si="50"/>
        <v>1</v>
      </c>
      <c r="F562" s="49">
        <f t="shared" si="51"/>
        <v>2.442002442002442E-4</v>
      </c>
      <c r="G562" s="49">
        <f t="shared" si="53"/>
        <v>1.7857142857142857E-3</v>
      </c>
    </row>
    <row r="563" spans="2:7" x14ac:dyDescent="0.25">
      <c r="B563" s="48">
        <f t="shared" si="52"/>
        <v>561</v>
      </c>
      <c r="C563" s="48">
        <f t="shared" si="48"/>
        <v>2300</v>
      </c>
      <c r="D563" s="48">
        <f t="shared" si="49"/>
        <v>561</v>
      </c>
      <c r="E563" s="48">
        <f t="shared" si="50"/>
        <v>1</v>
      </c>
      <c r="F563" s="49">
        <f t="shared" si="51"/>
        <v>2.442002442002442E-4</v>
      </c>
      <c r="G563" s="49">
        <f t="shared" si="53"/>
        <v>1.7825311942959001E-3</v>
      </c>
    </row>
    <row r="564" spans="2:7" x14ac:dyDescent="0.25">
      <c r="B564" s="48">
        <f t="shared" si="52"/>
        <v>562</v>
      </c>
      <c r="C564" s="48">
        <f t="shared" si="48"/>
        <v>2304</v>
      </c>
      <c r="D564" s="48">
        <f t="shared" si="49"/>
        <v>562</v>
      </c>
      <c r="E564" s="48">
        <f t="shared" si="50"/>
        <v>1</v>
      </c>
      <c r="F564" s="49">
        <f t="shared" si="51"/>
        <v>2.442002442002442E-4</v>
      </c>
      <c r="G564" s="49">
        <f t="shared" si="53"/>
        <v>1.7793594306049821E-3</v>
      </c>
    </row>
    <row r="565" spans="2:7" x14ac:dyDescent="0.25">
      <c r="B565" s="48">
        <f t="shared" si="52"/>
        <v>563</v>
      </c>
      <c r="C565" s="48">
        <f t="shared" si="48"/>
        <v>2308</v>
      </c>
      <c r="D565" s="48">
        <f t="shared" si="49"/>
        <v>563</v>
      </c>
      <c r="E565" s="48">
        <f t="shared" si="50"/>
        <v>1</v>
      </c>
      <c r="F565" s="49">
        <f t="shared" si="51"/>
        <v>2.442002442002442E-4</v>
      </c>
      <c r="G565" s="49">
        <f t="shared" si="53"/>
        <v>1.7761989342806395E-3</v>
      </c>
    </row>
    <row r="566" spans="2:7" x14ac:dyDescent="0.25">
      <c r="B566" s="48">
        <f t="shared" si="52"/>
        <v>564</v>
      </c>
      <c r="C566" s="48">
        <f t="shared" si="48"/>
        <v>2312</v>
      </c>
      <c r="D566" s="48">
        <f t="shared" si="49"/>
        <v>564</v>
      </c>
      <c r="E566" s="48">
        <f t="shared" si="50"/>
        <v>1</v>
      </c>
      <c r="F566" s="49">
        <f t="shared" si="51"/>
        <v>2.442002442002442E-4</v>
      </c>
      <c r="G566" s="49">
        <f t="shared" si="53"/>
        <v>1.7730496453900709E-3</v>
      </c>
    </row>
    <row r="567" spans="2:7" x14ac:dyDescent="0.25">
      <c r="B567" s="48">
        <f t="shared" si="52"/>
        <v>565</v>
      </c>
      <c r="C567" s="48">
        <f t="shared" si="48"/>
        <v>2316</v>
      </c>
      <c r="D567" s="48">
        <f t="shared" si="49"/>
        <v>565</v>
      </c>
      <c r="E567" s="48">
        <f t="shared" si="50"/>
        <v>1</v>
      </c>
      <c r="F567" s="49">
        <f t="shared" si="51"/>
        <v>2.442002442002442E-4</v>
      </c>
      <c r="G567" s="49">
        <f t="shared" si="53"/>
        <v>1.7699115044247787E-3</v>
      </c>
    </row>
    <row r="568" spans="2:7" x14ac:dyDescent="0.25">
      <c r="B568" s="48">
        <f t="shared" si="52"/>
        <v>566</v>
      </c>
      <c r="C568" s="48">
        <f t="shared" si="48"/>
        <v>2320</v>
      </c>
      <c r="D568" s="48">
        <f t="shared" si="49"/>
        <v>566</v>
      </c>
      <c r="E568" s="48">
        <f t="shared" si="50"/>
        <v>1</v>
      </c>
      <c r="F568" s="49">
        <f t="shared" si="51"/>
        <v>2.442002442002442E-4</v>
      </c>
      <c r="G568" s="49">
        <f t="shared" si="53"/>
        <v>1.7667844522968198E-3</v>
      </c>
    </row>
    <row r="569" spans="2:7" x14ac:dyDescent="0.25">
      <c r="B569" s="48">
        <f t="shared" si="52"/>
        <v>567</v>
      </c>
      <c r="C569" s="48">
        <f t="shared" si="48"/>
        <v>2324</v>
      </c>
      <c r="D569" s="48">
        <f t="shared" si="49"/>
        <v>567</v>
      </c>
      <c r="E569" s="48">
        <f t="shared" si="50"/>
        <v>1</v>
      </c>
      <c r="F569" s="49">
        <f t="shared" si="51"/>
        <v>2.442002442002442E-4</v>
      </c>
      <c r="G569" s="49">
        <f t="shared" si="53"/>
        <v>1.7636684303350969E-3</v>
      </c>
    </row>
    <row r="570" spans="2:7" x14ac:dyDescent="0.25">
      <c r="B570" s="48">
        <f t="shared" si="52"/>
        <v>568</v>
      </c>
      <c r="C570" s="48">
        <f t="shared" si="48"/>
        <v>2328</v>
      </c>
      <c r="D570" s="48">
        <f t="shared" si="49"/>
        <v>568</v>
      </c>
      <c r="E570" s="48">
        <f t="shared" si="50"/>
        <v>1</v>
      </c>
      <c r="F570" s="49">
        <f t="shared" si="51"/>
        <v>2.442002442002442E-4</v>
      </c>
      <c r="G570" s="49">
        <f t="shared" si="53"/>
        <v>1.7605633802816902E-3</v>
      </c>
    </row>
    <row r="571" spans="2:7" x14ac:dyDescent="0.25">
      <c r="B571" s="48">
        <f t="shared" si="52"/>
        <v>569</v>
      </c>
      <c r="C571" s="48">
        <f t="shared" si="48"/>
        <v>2332</v>
      </c>
      <c r="D571" s="48">
        <f t="shared" si="49"/>
        <v>569</v>
      </c>
      <c r="E571" s="48">
        <f t="shared" si="50"/>
        <v>1</v>
      </c>
      <c r="F571" s="49">
        <f t="shared" si="51"/>
        <v>2.442002442002442E-4</v>
      </c>
      <c r="G571" s="49">
        <f t="shared" si="53"/>
        <v>1.7574692442882249E-3</v>
      </c>
    </row>
    <row r="572" spans="2:7" x14ac:dyDescent="0.25">
      <c r="B572" s="48">
        <f t="shared" si="52"/>
        <v>570</v>
      </c>
      <c r="C572" s="48">
        <f t="shared" si="48"/>
        <v>2336</v>
      </c>
      <c r="D572" s="48">
        <f t="shared" si="49"/>
        <v>570</v>
      </c>
      <c r="E572" s="48">
        <f t="shared" si="50"/>
        <v>1</v>
      </c>
      <c r="F572" s="49">
        <f t="shared" si="51"/>
        <v>2.442002442002442E-4</v>
      </c>
      <c r="G572" s="49">
        <f t="shared" si="53"/>
        <v>1.7543859649122807E-3</v>
      </c>
    </row>
    <row r="573" spans="2:7" x14ac:dyDescent="0.25">
      <c r="B573" s="48">
        <f t="shared" si="52"/>
        <v>571</v>
      </c>
      <c r="C573" s="48">
        <f t="shared" si="48"/>
        <v>2341</v>
      </c>
      <c r="D573" s="48">
        <f t="shared" si="49"/>
        <v>571</v>
      </c>
      <c r="E573" s="48">
        <f t="shared" si="50"/>
        <v>1</v>
      </c>
      <c r="F573" s="49">
        <f t="shared" si="51"/>
        <v>2.442002442002442E-4</v>
      </c>
      <c r="G573" s="49">
        <f t="shared" si="53"/>
        <v>1.7513134851138354E-3</v>
      </c>
    </row>
    <row r="574" spans="2:7" x14ac:dyDescent="0.25">
      <c r="B574" s="48">
        <f t="shared" si="52"/>
        <v>572</v>
      </c>
      <c r="C574" s="48">
        <f t="shared" si="48"/>
        <v>2345</v>
      </c>
      <c r="D574" s="48">
        <f t="shared" si="49"/>
        <v>572</v>
      </c>
      <c r="E574" s="48">
        <f t="shared" si="50"/>
        <v>1</v>
      </c>
      <c r="F574" s="49">
        <f t="shared" si="51"/>
        <v>2.442002442002442E-4</v>
      </c>
      <c r="G574" s="49">
        <f t="shared" si="53"/>
        <v>1.7482517482517483E-3</v>
      </c>
    </row>
    <row r="575" spans="2:7" x14ac:dyDescent="0.25">
      <c r="B575" s="48">
        <f t="shared" si="52"/>
        <v>573</v>
      </c>
      <c r="C575" s="48">
        <f t="shared" si="48"/>
        <v>2349</v>
      </c>
      <c r="D575" s="48">
        <f t="shared" si="49"/>
        <v>573</v>
      </c>
      <c r="E575" s="48">
        <f t="shared" si="50"/>
        <v>1</v>
      </c>
      <c r="F575" s="49">
        <f t="shared" si="51"/>
        <v>2.442002442002442E-4</v>
      </c>
      <c r="G575" s="49">
        <f t="shared" si="53"/>
        <v>1.7452006980802793E-3</v>
      </c>
    </row>
    <row r="576" spans="2:7" x14ac:dyDescent="0.25">
      <c r="B576" s="48">
        <f t="shared" si="52"/>
        <v>574</v>
      </c>
      <c r="C576" s="48">
        <f t="shared" si="48"/>
        <v>2353</v>
      </c>
      <c r="D576" s="48">
        <f t="shared" si="49"/>
        <v>574</v>
      </c>
      <c r="E576" s="48">
        <f t="shared" si="50"/>
        <v>1</v>
      </c>
      <c r="F576" s="49">
        <f t="shared" si="51"/>
        <v>2.442002442002442E-4</v>
      </c>
      <c r="G576" s="49">
        <f t="shared" si="53"/>
        <v>1.7421602787456446E-3</v>
      </c>
    </row>
    <row r="577" spans="2:7" x14ac:dyDescent="0.25">
      <c r="B577" s="48">
        <f t="shared" si="52"/>
        <v>575</v>
      </c>
      <c r="C577" s="48">
        <f t="shared" si="48"/>
        <v>2357</v>
      </c>
      <c r="D577" s="48">
        <f t="shared" si="49"/>
        <v>575</v>
      </c>
      <c r="E577" s="48">
        <f t="shared" si="50"/>
        <v>1</v>
      </c>
      <c r="F577" s="49">
        <f t="shared" si="51"/>
        <v>2.442002442002442E-4</v>
      </c>
      <c r="G577" s="49">
        <f t="shared" si="53"/>
        <v>1.7391304347826088E-3</v>
      </c>
    </row>
    <row r="578" spans="2:7" x14ac:dyDescent="0.25">
      <c r="B578" s="48">
        <f t="shared" si="52"/>
        <v>576</v>
      </c>
      <c r="C578" s="48">
        <f t="shared" si="48"/>
        <v>2361</v>
      </c>
      <c r="D578" s="48">
        <f t="shared" si="49"/>
        <v>576</v>
      </c>
      <c r="E578" s="48">
        <f t="shared" si="50"/>
        <v>1</v>
      </c>
      <c r="F578" s="49">
        <f t="shared" si="51"/>
        <v>2.442002442002442E-4</v>
      </c>
      <c r="G578" s="49">
        <f t="shared" si="53"/>
        <v>1.736111111111111E-3</v>
      </c>
    </row>
    <row r="579" spans="2:7" x14ac:dyDescent="0.25">
      <c r="B579" s="48">
        <f t="shared" si="52"/>
        <v>577</v>
      </c>
      <c r="C579" s="48">
        <f t="shared" ref="C579:C642" si="54">ROUND(B579*C$1/(B$1-1),0)</f>
        <v>2365</v>
      </c>
      <c r="D579" s="48">
        <f t="shared" ref="D579:D642" si="55">MAX(ROUND(D$1^(B579+1),0),B579)</f>
        <v>577</v>
      </c>
      <c r="E579" s="48">
        <f t="shared" ref="E579:E642" si="56">D579-D578</f>
        <v>1</v>
      </c>
      <c r="F579" s="49">
        <f t="shared" ref="F579:F642" si="57">E579/C$1</f>
        <v>2.442002442002442E-4</v>
      </c>
      <c r="G579" s="49">
        <f t="shared" si="53"/>
        <v>1.7331022530329288E-3</v>
      </c>
    </row>
    <row r="580" spans="2:7" x14ac:dyDescent="0.25">
      <c r="B580" s="48">
        <f t="shared" ref="B580:B643" si="58">B579+1</f>
        <v>578</v>
      </c>
      <c r="C580" s="48">
        <f t="shared" si="54"/>
        <v>2369</v>
      </c>
      <c r="D580" s="48">
        <f t="shared" si="55"/>
        <v>578</v>
      </c>
      <c r="E580" s="48">
        <f t="shared" si="56"/>
        <v>1</v>
      </c>
      <c r="F580" s="49">
        <f t="shared" si="57"/>
        <v>2.442002442002442E-4</v>
      </c>
      <c r="G580" s="49">
        <f t="shared" ref="G580:G643" si="59">E580/D580</f>
        <v>1.7301038062283738E-3</v>
      </c>
    </row>
    <row r="581" spans="2:7" x14ac:dyDescent="0.25">
      <c r="B581" s="48">
        <f t="shared" si="58"/>
        <v>579</v>
      </c>
      <c r="C581" s="48">
        <f t="shared" si="54"/>
        <v>2373</v>
      </c>
      <c r="D581" s="48">
        <f t="shared" si="55"/>
        <v>579</v>
      </c>
      <c r="E581" s="48">
        <f t="shared" si="56"/>
        <v>1</v>
      </c>
      <c r="F581" s="49">
        <f t="shared" si="57"/>
        <v>2.442002442002442E-4</v>
      </c>
      <c r="G581" s="49">
        <f t="shared" si="59"/>
        <v>1.7271157167530224E-3</v>
      </c>
    </row>
    <row r="582" spans="2:7" x14ac:dyDescent="0.25">
      <c r="B582" s="48">
        <f t="shared" si="58"/>
        <v>580</v>
      </c>
      <c r="C582" s="48">
        <f t="shared" si="54"/>
        <v>2377</v>
      </c>
      <c r="D582" s="48">
        <f t="shared" si="55"/>
        <v>580</v>
      </c>
      <c r="E582" s="48">
        <f t="shared" si="56"/>
        <v>1</v>
      </c>
      <c r="F582" s="49">
        <f t="shared" si="57"/>
        <v>2.442002442002442E-4</v>
      </c>
      <c r="G582" s="49">
        <f t="shared" si="59"/>
        <v>1.7241379310344827E-3</v>
      </c>
    </row>
    <row r="583" spans="2:7" x14ac:dyDescent="0.25">
      <c r="B583" s="48">
        <f t="shared" si="58"/>
        <v>581</v>
      </c>
      <c r="C583" s="48">
        <f t="shared" si="54"/>
        <v>2382</v>
      </c>
      <c r="D583" s="48">
        <f t="shared" si="55"/>
        <v>581</v>
      </c>
      <c r="E583" s="48">
        <f t="shared" si="56"/>
        <v>1</v>
      </c>
      <c r="F583" s="49">
        <f t="shared" si="57"/>
        <v>2.442002442002442E-4</v>
      </c>
      <c r="G583" s="49">
        <f t="shared" si="59"/>
        <v>1.7211703958691911E-3</v>
      </c>
    </row>
    <row r="584" spans="2:7" x14ac:dyDescent="0.25">
      <c r="B584" s="48">
        <f t="shared" si="58"/>
        <v>582</v>
      </c>
      <c r="C584" s="48">
        <f t="shared" si="54"/>
        <v>2386</v>
      </c>
      <c r="D584" s="48">
        <f t="shared" si="55"/>
        <v>582</v>
      </c>
      <c r="E584" s="48">
        <f t="shared" si="56"/>
        <v>1</v>
      </c>
      <c r="F584" s="49">
        <f t="shared" si="57"/>
        <v>2.442002442002442E-4</v>
      </c>
      <c r="G584" s="49">
        <f t="shared" si="59"/>
        <v>1.718213058419244E-3</v>
      </c>
    </row>
    <row r="585" spans="2:7" x14ac:dyDescent="0.25">
      <c r="B585" s="48">
        <f t="shared" si="58"/>
        <v>583</v>
      </c>
      <c r="C585" s="48">
        <f t="shared" si="54"/>
        <v>2390</v>
      </c>
      <c r="D585" s="48">
        <f t="shared" si="55"/>
        <v>583</v>
      </c>
      <c r="E585" s="48">
        <f t="shared" si="56"/>
        <v>1</v>
      </c>
      <c r="F585" s="49">
        <f t="shared" si="57"/>
        <v>2.442002442002442E-4</v>
      </c>
      <c r="G585" s="49">
        <f t="shared" si="59"/>
        <v>1.7152658662092624E-3</v>
      </c>
    </row>
    <row r="586" spans="2:7" x14ac:dyDescent="0.25">
      <c r="B586" s="48">
        <f t="shared" si="58"/>
        <v>584</v>
      </c>
      <c r="C586" s="48">
        <f t="shared" si="54"/>
        <v>2394</v>
      </c>
      <c r="D586" s="48">
        <f t="shared" si="55"/>
        <v>584</v>
      </c>
      <c r="E586" s="48">
        <f t="shared" si="56"/>
        <v>1</v>
      </c>
      <c r="F586" s="49">
        <f t="shared" si="57"/>
        <v>2.442002442002442E-4</v>
      </c>
      <c r="G586" s="49">
        <f t="shared" si="59"/>
        <v>1.7123287671232876E-3</v>
      </c>
    </row>
    <row r="587" spans="2:7" x14ac:dyDescent="0.25">
      <c r="B587" s="48">
        <f t="shared" si="58"/>
        <v>585</v>
      </c>
      <c r="C587" s="48">
        <f t="shared" si="54"/>
        <v>2398</v>
      </c>
      <c r="D587" s="48">
        <f t="shared" si="55"/>
        <v>585</v>
      </c>
      <c r="E587" s="48">
        <f t="shared" si="56"/>
        <v>1</v>
      </c>
      <c r="F587" s="49">
        <f t="shared" si="57"/>
        <v>2.442002442002442E-4</v>
      </c>
      <c r="G587" s="49">
        <f t="shared" si="59"/>
        <v>1.7094017094017094E-3</v>
      </c>
    </row>
    <row r="588" spans="2:7" x14ac:dyDescent="0.25">
      <c r="B588" s="48">
        <f t="shared" si="58"/>
        <v>586</v>
      </c>
      <c r="C588" s="48">
        <f t="shared" si="54"/>
        <v>2402</v>
      </c>
      <c r="D588" s="48">
        <f t="shared" si="55"/>
        <v>586</v>
      </c>
      <c r="E588" s="48">
        <f t="shared" si="56"/>
        <v>1</v>
      </c>
      <c r="F588" s="49">
        <f t="shared" si="57"/>
        <v>2.442002442002442E-4</v>
      </c>
      <c r="G588" s="49">
        <f t="shared" si="59"/>
        <v>1.7064846416382253E-3</v>
      </c>
    </row>
    <row r="589" spans="2:7" x14ac:dyDescent="0.25">
      <c r="B589" s="48">
        <f t="shared" si="58"/>
        <v>587</v>
      </c>
      <c r="C589" s="48">
        <f t="shared" si="54"/>
        <v>2406</v>
      </c>
      <c r="D589" s="48">
        <f t="shared" si="55"/>
        <v>587</v>
      </c>
      <c r="E589" s="48">
        <f t="shared" si="56"/>
        <v>1</v>
      </c>
      <c r="F589" s="49">
        <f t="shared" si="57"/>
        <v>2.442002442002442E-4</v>
      </c>
      <c r="G589" s="49">
        <f t="shared" si="59"/>
        <v>1.7035775127768314E-3</v>
      </c>
    </row>
    <row r="590" spans="2:7" x14ac:dyDescent="0.25">
      <c r="B590" s="48">
        <f t="shared" si="58"/>
        <v>588</v>
      </c>
      <c r="C590" s="48">
        <f t="shared" si="54"/>
        <v>2410</v>
      </c>
      <c r="D590" s="48">
        <f t="shared" si="55"/>
        <v>588</v>
      </c>
      <c r="E590" s="48">
        <f t="shared" si="56"/>
        <v>1</v>
      </c>
      <c r="F590" s="49">
        <f t="shared" si="57"/>
        <v>2.442002442002442E-4</v>
      </c>
      <c r="G590" s="49">
        <f t="shared" si="59"/>
        <v>1.7006802721088435E-3</v>
      </c>
    </row>
    <row r="591" spans="2:7" x14ac:dyDescent="0.25">
      <c r="B591" s="48">
        <f t="shared" si="58"/>
        <v>589</v>
      </c>
      <c r="C591" s="48">
        <f t="shared" si="54"/>
        <v>2414</v>
      </c>
      <c r="D591" s="48">
        <f t="shared" si="55"/>
        <v>589</v>
      </c>
      <c r="E591" s="48">
        <f t="shared" si="56"/>
        <v>1</v>
      </c>
      <c r="F591" s="49">
        <f t="shared" si="57"/>
        <v>2.442002442002442E-4</v>
      </c>
      <c r="G591" s="49">
        <f t="shared" si="59"/>
        <v>1.697792869269949E-3</v>
      </c>
    </row>
    <row r="592" spans="2:7" x14ac:dyDescent="0.25">
      <c r="B592" s="48">
        <f t="shared" si="58"/>
        <v>590</v>
      </c>
      <c r="C592" s="48">
        <f t="shared" si="54"/>
        <v>2418</v>
      </c>
      <c r="D592" s="48">
        <f t="shared" si="55"/>
        <v>590</v>
      </c>
      <c r="E592" s="48">
        <f t="shared" si="56"/>
        <v>1</v>
      </c>
      <c r="F592" s="49">
        <f t="shared" si="57"/>
        <v>2.442002442002442E-4</v>
      </c>
      <c r="G592" s="49">
        <f t="shared" si="59"/>
        <v>1.6949152542372881E-3</v>
      </c>
    </row>
    <row r="593" spans="2:7" x14ac:dyDescent="0.25">
      <c r="B593" s="48">
        <f t="shared" si="58"/>
        <v>591</v>
      </c>
      <c r="C593" s="48">
        <f t="shared" si="54"/>
        <v>2423</v>
      </c>
      <c r="D593" s="48">
        <f t="shared" si="55"/>
        <v>591</v>
      </c>
      <c r="E593" s="48">
        <f t="shared" si="56"/>
        <v>1</v>
      </c>
      <c r="F593" s="49">
        <f t="shared" si="57"/>
        <v>2.442002442002442E-4</v>
      </c>
      <c r="G593" s="49">
        <f t="shared" si="59"/>
        <v>1.6920473773265651E-3</v>
      </c>
    </row>
    <row r="594" spans="2:7" x14ac:dyDescent="0.25">
      <c r="B594" s="48">
        <f t="shared" si="58"/>
        <v>592</v>
      </c>
      <c r="C594" s="48">
        <f t="shared" si="54"/>
        <v>2427</v>
      </c>
      <c r="D594" s="48">
        <f t="shared" si="55"/>
        <v>592</v>
      </c>
      <c r="E594" s="48">
        <f t="shared" si="56"/>
        <v>1</v>
      </c>
      <c r="F594" s="49">
        <f t="shared" si="57"/>
        <v>2.442002442002442E-4</v>
      </c>
      <c r="G594" s="49">
        <f t="shared" si="59"/>
        <v>1.6891891891891893E-3</v>
      </c>
    </row>
    <row r="595" spans="2:7" x14ac:dyDescent="0.25">
      <c r="B595" s="48">
        <f t="shared" si="58"/>
        <v>593</v>
      </c>
      <c r="C595" s="48">
        <f t="shared" si="54"/>
        <v>2431</v>
      </c>
      <c r="D595" s="48">
        <f t="shared" si="55"/>
        <v>593</v>
      </c>
      <c r="E595" s="48">
        <f t="shared" si="56"/>
        <v>1</v>
      </c>
      <c r="F595" s="49">
        <f t="shared" si="57"/>
        <v>2.442002442002442E-4</v>
      </c>
      <c r="G595" s="49">
        <f t="shared" si="59"/>
        <v>1.6863406408094434E-3</v>
      </c>
    </row>
    <row r="596" spans="2:7" x14ac:dyDescent="0.25">
      <c r="B596" s="48">
        <f t="shared" si="58"/>
        <v>594</v>
      </c>
      <c r="C596" s="48">
        <f t="shared" si="54"/>
        <v>2435</v>
      </c>
      <c r="D596" s="48">
        <f t="shared" si="55"/>
        <v>594</v>
      </c>
      <c r="E596" s="48">
        <f t="shared" si="56"/>
        <v>1</v>
      </c>
      <c r="F596" s="49">
        <f t="shared" si="57"/>
        <v>2.442002442002442E-4</v>
      </c>
      <c r="G596" s="49">
        <f t="shared" si="59"/>
        <v>1.6835016835016834E-3</v>
      </c>
    </row>
    <row r="597" spans="2:7" x14ac:dyDescent="0.25">
      <c r="B597" s="48">
        <f t="shared" si="58"/>
        <v>595</v>
      </c>
      <c r="C597" s="48">
        <f t="shared" si="54"/>
        <v>2439</v>
      </c>
      <c r="D597" s="48">
        <f t="shared" si="55"/>
        <v>595</v>
      </c>
      <c r="E597" s="48">
        <f t="shared" si="56"/>
        <v>1</v>
      </c>
      <c r="F597" s="49">
        <f t="shared" si="57"/>
        <v>2.442002442002442E-4</v>
      </c>
      <c r="G597" s="49">
        <f t="shared" si="59"/>
        <v>1.6806722689075631E-3</v>
      </c>
    </row>
    <row r="598" spans="2:7" x14ac:dyDescent="0.25">
      <c r="B598" s="48">
        <f t="shared" si="58"/>
        <v>596</v>
      </c>
      <c r="C598" s="48">
        <f t="shared" si="54"/>
        <v>2443</v>
      </c>
      <c r="D598" s="48">
        <f t="shared" si="55"/>
        <v>596</v>
      </c>
      <c r="E598" s="48">
        <f t="shared" si="56"/>
        <v>1</v>
      </c>
      <c r="F598" s="49">
        <f t="shared" si="57"/>
        <v>2.442002442002442E-4</v>
      </c>
      <c r="G598" s="49">
        <f t="shared" si="59"/>
        <v>1.6778523489932886E-3</v>
      </c>
    </row>
    <row r="599" spans="2:7" x14ac:dyDescent="0.25">
      <c r="B599" s="48">
        <f t="shared" si="58"/>
        <v>597</v>
      </c>
      <c r="C599" s="48">
        <f t="shared" si="54"/>
        <v>2447</v>
      </c>
      <c r="D599" s="48">
        <f t="shared" si="55"/>
        <v>597</v>
      </c>
      <c r="E599" s="48">
        <f t="shared" si="56"/>
        <v>1</v>
      </c>
      <c r="F599" s="49">
        <f t="shared" si="57"/>
        <v>2.442002442002442E-4</v>
      </c>
      <c r="G599" s="49">
        <f t="shared" si="59"/>
        <v>1.6750418760469012E-3</v>
      </c>
    </row>
    <row r="600" spans="2:7" x14ac:dyDescent="0.25">
      <c r="B600" s="48">
        <f t="shared" si="58"/>
        <v>598</v>
      </c>
      <c r="C600" s="48">
        <f t="shared" si="54"/>
        <v>2451</v>
      </c>
      <c r="D600" s="48">
        <f t="shared" si="55"/>
        <v>598</v>
      </c>
      <c r="E600" s="48">
        <f t="shared" si="56"/>
        <v>1</v>
      </c>
      <c r="F600" s="49">
        <f t="shared" si="57"/>
        <v>2.442002442002442E-4</v>
      </c>
      <c r="G600" s="49">
        <f t="shared" si="59"/>
        <v>1.6722408026755853E-3</v>
      </c>
    </row>
    <row r="601" spans="2:7" x14ac:dyDescent="0.25">
      <c r="B601" s="48">
        <f t="shared" si="58"/>
        <v>599</v>
      </c>
      <c r="C601" s="48">
        <f t="shared" si="54"/>
        <v>2455</v>
      </c>
      <c r="D601" s="48">
        <f t="shared" si="55"/>
        <v>599</v>
      </c>
      <c r="E601" s="48">
        <f t="shared" si="56"/>
        <v>1</v>
      </c>
      <c r="F601" s="49">
        <f t="shared" si="57"/>
        <v>2.442002442002442E-4</v>
      </c>
      <c r="G601" s="49">
        <f t="shared" si="59"/>
        <v>1.6694490818030051E-3</v>
      </c>
    </row>
    <row r="602" spans="2:7" x14ac:dyDescent="0.25">
      <c r="B602" s="48">
        <f t="shared" si="58"/>
        <v>600</v>
      </c>
      <c r="C602" s="48">
        <f t="shared" si="54"/>
        <v>2459</v>
      </c>
      <c r="D602" s="48">
        <f t="shared" si="55"/>
        <v>600</v>
      </c>
      <c r="E602" s="48">
        <f t="shared" si="56"/>
        <v>1</v>
      </c>
      <c r="F602" s="49">
        <f t="shared" si="57"/>
        <v>2.442002442002442E-4</v>
      </c>
      <c r="G602" s="49">
        <f t="shared" si="59"/>
        <v>1.6666666666666668E-3</v>
      </c>
    </row>
    <row r="603" spans="2:7" x14ac:dyDescent="0.25">
      <c r="B603" s="48">
        <f t="shared" si="58"/>
        <v>601</v>
      </c>
      <c r="C603" s="48">
        <f t="shared" si="54"/>
        <v>2464</v>
      </c>
      <c r="D603" s="48">
        <f t="shared" si="55"/>
        <v>601</v>
      </c>
      <c r="E603" s="48">
        <f t="shared" si="56"/>
        <v>1</v>
      </c>
      <c r="F603" s="49">
        <f t="shared" si="57"/>
        <v>2.442002442002442E-4</v>
      </c>
      <c r="G603" s="49">
        <f t="shared" si="59"/>
        <v>1.6638935108153079E-3</v>
      </c>
    </row>
    <row r="604" spans="2:7" x14ac:dyDescent="0.25">
      <c r="B604" s="48">
        <f t="shared" si="58"/>
        <v>602</v>
      </c>
      <c r="C604" s="48">
        <f t="shared" si="54"/>
        <v>2468</v>
      </c>
      <c r="D604" s="48">
        <f t="shared" si="55"/>
        <v>602</v>
      </c>
      <c r="E604" s="48">
        <f t="shared" si="56"/>
        <v>1</v>
      </c>
      <c r="F604" s="49">
        <f t="shared" si="57"/>
        <v>2.442002442002442E-4</v>
      </c>
      <c r="G604" s="49">
        <f t="shared" si="59"/>
        <v>1.6611295681063123E-3</v>
      </c>
    </row>
    <row r="605" spans="2:7" x14ac:dyDescent="0.25">
      <c r="B605" s="48">
        <f t="shared" si="58"/>
        <v>603</v>
      </c>
      <c r="C605" s="48">
        <f t="shared" si="54"/>
        <v>2472</v>
      </c>
      <c r="D605" s="48">
        <f t="shared" si="55"/>
        <v>603</v>
      </c>
      <c r="E605" s="48">
        <f t="shared" si="56"/>
        <v>1</v>
      </c>
      <c r="F605" s="49">
        <f t="shared" si="57"/>
        <v>2.442002442002442E-4</v>
      </c>
      <c r="G605" s="49">
        <f t="shared" si="59"/>
        <v>1.658374792703151E-3</v>
      </c>
    </row>
    <row r="606" spans="2:7" x14ac:dyDescent="0.25">
      <c r="B606" s="48">
        <f t="shared" si="58"/>
        <v>604</v>
      </c>
      <c r="C606" s="48">
        <f t="shared" si="54"/>
        <v>2476</v>
      </c>
      <c r="D606" s="48">
        <f t="shared" si="55"/>
        <v>604</v>
      </c>
      <c r="E606" s="48">
        <f t="shared" si="56"/>
        <v>1</v>
      </c>
      <c r="F606" s="49">
        <f t="shared" si="57"/>
        <v>2.442002442002442E-4</v>
      </c>
      <c r="G606" s="49">
        <f t="shared" si="59"/>
        <v>1.6556291390728477E-3</v>
      </c>
    </row>
    <row r="607" spans="2:7" x14ac:dyDescent="0.25">
      <c r="B607" s="48">
        <f t="shared" si="58"/>
        <v>605</v>
      </c>
      <c r="C607" s="48">
        <f t="shared" si="54"/>
        <v>2480</v>
      </c>
      <c r="D607" s="48">
        <f t="shared" si="55"/>
        <v>605</v>
      </c>
      <c r="E607" s="48">
        <f t="shared" si="56"/>
        <v>1</v>
      </c>
      <c r="F607" s="49">
        <f t="shared" si="57"/>
        <v>2.442002442002442E-4</v>
      </c>
      <c r="G607" s="49">
        <f t="shared" si="59"/>
        <v>1.652892561983471E-3</v>
      </c>
    </row>
    <row r="608" spans="2:7" x14ac:dyDescent="0.25">
      <c r="B608" s="48">
        <f t="shared" si="58"/>
        <v>606</v>
      </c>
      <c r="C608" s="48">
        <f t="shared" si="54"/>
        <v>2484</v>
      </c>
      <c r="D608" s="48">
        <f t="shared" si="55"/>
        <v>606</v>
      </c>
      <c r="E608" s="48">
        <f t="shared" si="56"/>
        <v>1</v>
      </c>
      <c r="F608" s="49">
        <f t="shared" si="57"/>
        <v>2.442002442002442E-4</v>
      </c>
      <c r="G608" s="49">
        <f t="shared" si="59"/>
        <v>1.6501650165016502E-3</v>
      </c>
    </row>
    <row r="609" spans="2:7" x14ac:dyDescent="0.25">
      <c r="B609" s="48">
        <f t="shared" si="58"/>
        <v>607</v>
      </c>
      <c r="C609" s="48">
        <f t="shared" si="54"/>
        <v>2488</v>
      </c>
      <c r="D609" s="48">
        <f t="shared" si="55"/>
        <v>607</v>
      </c>
      <c r="E609" s="48">
        <f t="shared" si="56"/>
        <v>1</v>
      </c>
      <c r="F609" s="49">
        <f t="shared" si="57"/>
        <v>2.442002442002442E-4</v>
      </c>
      <c r="G609" s="49">
        <f t="shared" si="59"/>
        <v>1.6474464579901153E-3</v>
      </c>
    </row>
    <row r="610" spans="2:7" x14ac:dyDescent="0.25">
      <c r="B610" s="48">
        <f t="shared" si="58"/>
        <v>608</v>
      </c>
      <c r="C610" s="48">
        <f t="shared" si="54"/>
        <v>2492</v>
      </c>
      <c r="D610" s="48">
        <f t="shared" si="55"/>
        <v>608</v>
      </c>
      <c r="E610" s="48">
        <f t="shared" si="56"/>
        <v>1</v>
      </c>
      <c r="F610" s="49">
        <f t="shared" si="57"/>
        <v>2.442002442002442E-4</v>
      </c>
      <c r="G610" s="49">
        <f t="shared" si="59"/>
        <v>1.6447368421052631E-3</v>
      </c>
    </row>
    <row r="611" spans="2:7" x14ac:dyDescent="0.25">
      <c r="B611" s="48">
        <f t="shared" si="58"/>
        <v>609</v>
      </c>
      <c r="C611" s="48">
        <f t="shared" si="54"/>
        <v>2496</v>
      </c>
      <c r="D611" s="48">
        <f t="shared" si="55"/>
        <v>609</v>
      </c>
      <c r="E611" s="48">
        <f t="shared" si="56"/>
        <v>1</v>
      </c>
      <c r="F611" s="49">
        <f t="shared" si="57"/>
        <v>2.442002442002442E-4</v>
      </c>
      <c r="G611" s="49">
        <f t="shared" si="59"/>
        <v>1.6420361247947454E-3</v>
      </c>
    </row>
    <row r="612" spans="2:7" x14ac:dyDescent="0.25">
      <c r="B612" s="48">
        <f t="shared" si="58"/>
        <v>610</v>
      </c>
      <c r="C612" s="48">
        <f t="shared" si="54"/>
        <v>2500</v>
      </c>
      <c r="D612" s="48">
        <f t="shared" si="55"/>
        <v>610</v>
      </c>
      <c r="E612" s="48">
        <f t="shared" si="56"/>
        <v>1</v>
      </c>
      <c r="F612" s="49">
        <f t="shared" si="57"/>
        <v>2.442002442002442E-4</v>
      </c>
      <c r="G612" s="49">
        <f t="shared" si="59"/>
        <v>1.639344262295082E-3</v>
      </c>
    </row>
    <row r="613" spans="2:7" x14ac:dyDescent="0.25">
      <c r="B613" s="48">
        <f t="shared" si="58"/>
        <v>611</v>
      </c>
      <c r="C613" s="48">
        <f t="shared" si="54"/>
        <v>2505</v>
      </c>
      <c r="D613" s="48">
        <f t="shared" si="55"/>
        <v>611</v>
      </c>
      <c r="E613" s="48">
        <f t="shared" si="56"/>
        <v>1</v>
      </c>
      <c r="F613" s="49">
        <f t="shared" si="57"/>
        <v>2.442002442002442E-4</v>
      </c>
      <c r="G613" s="49">
        <f t="shared" si="59"/>
        <v>1.6366612111292963E-3</v>
      </c>
    </row>
    <row r="614" spans="2:7" x14ac:dyDescent="0.25">
      <c r="B614" s="48">
        <f t="shared" si="58"/>
        <v>612</v>
      </c>
      <c r="C614" s="48">
        <f t="shared" si="54"/>
        <v>2509</v>
      </c>
      <c r="D614" s="48">
        <f t="shared" si="55"/>
        <v>612</v>
      </c>
      <c r="E614" s="48">
        <f t="shared" si="56"/>
        <v>1</v>
      </c>
      <c r="F614" s="49">
        <f t="shared" si="57"/>
        <v>2.442002442002442E-4</v>
      </c>
      <c r="G614" s="49">
        <f t="shared" si="59"/>
        <v>1.6339869281045752E-3</v>
      </c>
    </row>
    <row r="615" spans="2:7" x14ac:dyDescent="0.25">
      <c r="B615" s="48">
        <f t="shared" si="58"/>
        <v>613</v>
      </c>
      <c r="C615" s="48">
        <f t="shared" si="54"/>
        <v>2513</v>
      </c>
      <c r="D615" s="48">
        <f t="shared" si="55"/>
        <v>613</v>
      </c>
      <c r="E615" s="48">
        <f t="shared" si="56"/>
        <v>1</v>
      </c>
      <c r="F615" s="49">
        <f t="shared" si="57"/>
        <v>2.442002442002442E-4</v>
      </c>
      <c r="G615" s="49">
        <f t="shared" si="59"/>
        <v>1.6313213703099511E-3</v>
      </c>
    </row>
    <row r="616" spans="2:7" x14ac:dyDescent="0.25">
      <c r="B616" s="48">
        <f t="shared" si="58"/>
        <v>614</v>
      </c>
      <c r="C616" s="48">
        <f t="shared" si="54"/>
        <v>2517</v>
      </c>
      <c r="D616" s="48">
        <f t="shared" si="55"/>
        <v>614</v>
      </c>
      <c r="E616" s="48">
        <f t="shared" si="56"/>
        <v>1</v>
      </c>
      <c r="F616" s="49">
        <f t="shared" si="57"/>
        <v>2.442002442002442E-4</v>
      </c>
      <c r="G616" s="49">
        <f t="shared" si="59"/>
        <v>1.6286644951140066E-3</v>
      </c>
    </row>
    <row r="617" spans="2:7" x14ac:dyDescent="0.25">
      <c r="B617" s="48">
        <f t="shared" si="58"/>
        <v>615</v>
      </c>
      <c r="C617" s="48">
        <f t="shared" si="54"/>
        <v>2521</v>
      </c>
      <c r="D617" s="48">
        <f t="shared" si="55"/>
        <v>615</v>
      </c>
      <c r="E617" s="48">
        <f t="shared" si="56"/>
        <v>1</v>
      </c>
      <c r="F617" s="49">
        <f t="shared" si="57"/>
        <v>2.442002442002442E-4</v>
      </c>
      <c r="G617" s="49">
        <f t="shared" si="59"/>
        <v>1.6260162601626016E-3</v>
      </c>
    </row>
    <row r="618" spans="2:7" x14ac:dyDescent="0.25">
      <c r="B618" s="48">
        <f t="shared" si="58"/>
        <v>616</v>
      </c>
      <c r="C618" s="48">
        <f t="shared" si="54"/>
        <v>2525</v>
      </c>
      <c r="D618" s="48">
        <f t="shared" si="55"/>
        <v>616</v>
      </c>
      <c r="E618" s="48">
        <f t="shared" si="56"/>
        <v>1</v>
      </c>
      <c r="F618" s="49">
        <f t="shared" si="57"/>
        <v>2.442002442002442E-4</v>
      </c>
      <c r="G618" s="49">
        <f t="shared" si="59"/>
        <v>1.6233766233766235E-3</v>
      </c>
    </row>
    <row r="619" spans="2:7" x14ac:dyDescent="0.25">
      <c r="B619" s="48">
        <f t="shared" si="58"/>
        <v>617</v>
      </c>
      <c r="C619" s="48">
        <f t="shared" si="54"/>
        <v>2529</v>
      </c>
      <c r="D619" s="48">
        <f t="shared" si="55"/>
        <v>617</v>
      </c>
      <c r="E619" s="48">
        <f t="shared" si="56"/>
        <v>1</v>
      </c>
      <c r="F619" s="49">
        <f t="shared" si="57"/>
        <v>2.442002442002442E-4</v>
      </c>
      <c r="G619" s="49">
        <f t="shared" si="59"/>
        <v>1.6207455429497568E-3</v>
      </c>
    </row>
    <row r="620" spans="2:7" x14ac:dyDescent="0.25">
      <c r="B620" s="48">
        <f t="shared" si="58"/>
        <v>618</v>
      </c>
      <c r="C620" s="48">
        <f t="shared" si="54"/>
        <v>2533</v>
      </c>
      <c r="D620" s="48">
        <f t="shared" si="55"/>
        <v>618</v>
      </c>
      <c r="E620" s="48">
        <f t="shared" si="56"/>
        <v>1</v>
      </c>
      <c r="F620" s="49">
        <f t="shared" si="57"/>
        <v>2.442002442002442E-4</v>
      </c>
      <c r="G620" s="49">
        <f t="shared" si="59"/>
        <v>1.6181229773462784E-3</v>
      </c>
    </row>
    <row r="621" spans="2:7" x14ac:dyDescent="0.25">
      <c r="B621" s="48">
        <f t="shared" si="58"/>
        <v>619</v>
      </c>
      <c r="C621" s="48">
        <f t="shared" si="54"/>
        <v>2537</v>
      </c>
      <c r="D621" s="48">
        <f t="shared" si="55"/>
        <v>619</v>
      </c>
      <c r="E621" s="48">
        <f t="shared" si="56"/>
        <v>1</v>
      </c>
      <c r="F621" s="49">
        <f t="shared" si="57"/>
        <v>2.442002442002442E-4</v>
      </c>
      <c r="G621" s="49">
        <f t="shared" si="59"/>
        <v>1.6155088852988692E-3</v>
      </c>
    </row>
    <row r="622" spans="2:7" x14ac:dyDescent="0.25">
      <c r="B622" s="48">
        <f t="shared" si="58"/>
        <v>620</v>
      </c>
      <c r="C622" s="48">
        <f t="shared" si="54"/>
        <v>2541</v>
      </c>
      <c r="D622" s="48">
        <f t="shared" si="55"/>
        <v>620</v>
      </c>
      <c r="E622" s="48">
        <f t="shared" si="56"/>
        <v>1</v>
      </c>
      <c r="F622" s="49">
        <f t="shared" si="57"/>
        <v>2.442002442002442E-4</v>
      </c>
      <c r="G622" s="49">
        <f t="shared" si="59"/>
        <v>1.6129032258064516E-3</v>
      </c>
    </row>
    <row r="623" spans="2:7" x14ac:dyDescent="0.25">
      <c r="B623" s="48">
        <f t="shared" si="58"/>
        <v>621</v>
      </c>
      <c r="C623" s="48">
        <f t="shared" si="54"/>
        <v>2546</v>
      </c>
      <c r="D623" s="48">
        <f t="shared" si="55"/>
        <v>621</v>
      </c>
      <c r="E623" s="48">
        <f t="shared" si="56"/>
        <v>1</v>
      </c>
      <c r="F623" s="49">
        <f t="shared" si="57"/>
        <v>2.442002442002442E-4</v>
      </c>
      <c r="G623" s="49">
        <f t="shared" si="59"/>
        <v>1.6103059581320451E-3</v>
      </c>
    </row>
    <row r="624" spans="2:7" x14ac:dyDescent="0.25">
      <c r="B624" s="48">
        <f t="shared" si="58"/>
        <v>622</v>
      </c>
      <c r="C624" s="48">
        <f t="shared" si="54"/>
        <v>2550</v>
      </c>
      <c r="D624" s="48">
        <f t="shared" si="55"/>
        <v>622</v>
      </c>
      <c r="E624" s="48">
        <f t="shared" si="56"/>
        <v>1</v>
      </c>
      <c r="F624" s="49">
        <f t="shared" si="57"/>
        <v>2.442002442002442E-4</v>
      </c>
      <c r="G624" s="49">
        <f t="shared" si="59"/>
        <v>1.6077170418006431E-3</v>
      </c>
    </row>
    <row r="625" spans="2:7" x14ac:dyDescent="0.25">
      <c r="B625" s="48">
        <f t="shared" si="58"/>
        <v>623</v>
      </c>
      <c r="C625" s="48">
        <f t="shared" si="54"/>
        <v>2554</v>
      </c>
      <c r="D625" s="48">
        <f t="shared" si="55"/>
        <v>623</v>
      </c>
      <c r="E625" s="48">
        <f t="shared" si="56"/>
        <v>1</v>
      </c>
      <c r="F625" s="49">
        <f t="shared" si="57"/>
        <v>2.442002442002442E-4</v>
      </c>
      <c r="G625" s="49">
        <f t="shared" si="59"/>
        <v>1.6051364365971107E-3</v>
      </c>
    </row>
    <row r="626" spans="2:7" x14ac:dyDescent="0.25">
      <c r="B626" s="48">
        <f t="shared" si="58"/>
        <v>624</v>
      </c>
      <c r="C626" s="48">
        <f t="shared" si="54"/>
        <v>2558</v>
      </c>
      <c r="D626" s="48">
        <f t="shared" si="55"/>
        <v>624</v>
      </c>
      <c r="E626" s="48">
        <f t="shared" si="56"/>
        <v>1</v>
      </c>
      <c r="F626" s="49">
        <f t="shared" si="57"/>
        <v>2.442002442002442E-4</v>
      </c>
      <c r="G626" s="49">
        <f t="shared" si="59"/>
        <v>1.6025641025641025E-3</v>
      </c>
    </row>
    <row r="627" spans="2:7" x14ac:dyDescent="0.25">
      <c r="B627" s="48">
        <f t="shared" si="58"/>
        <v>625</v>
      </c>
      <c r="C627" s="48">
        <f t="shared" si="54"/>
        <v>2562</v>
      </c>
      <c r="D627" s="48">
        <f t="shared" si="55"/>
        <v>625</v>
      </c>
      <c r="E627" s="48">
        <f t="shared" si="56"/>
        <v>1</v>
      </c>
      <c r="F627" s="49">
        <f t="shared" si="57"/>
        <v>2.442002442002442E-4</v>
      </c>
      <c r="G627" s="49">
        <f t="shared" si="59"/>
        <v>1.6000000000000001E-3</v>
      </c>
    </row>
    <row r="628" spans="2:7" x14ac:dyDescent="0.25">
      <c r="B628" s="48">
        <f t="shared" si="58"/>
        <v>626</v>
      </c>
      <c r="C628" s="48">
        <f t="shared" si="54"/>
        <v>2566</v>
      </c>
      <c r="D628" s="48">
        <f t="shared" si="55"/>
        <v>626</v>
      </c>
      <c r="E628" s="48">
        <f t="shared" si="56"/>
        <v>1</v>
      </c>
      <c r="F628" s="49">
        <f t="shared" si="57"/>
        <v>2.442002442002442E-4</v>
      </c>
      <c r="G628" s="49">
        <f t="shared" si="59"/>
        <v>1.5974440894568689E-3</v>
      </c>
    </row>
    <row r="629" spans="2:7" x14ac:dyDescent="0.25">
      <c r="B629" s="48">
        <f t="shared" si="58"/>
        <v>627</v>
      </c>
      <c r="C629" s="48">
        <f t="shared" si="54"/>
        <v>2570</v>
      </c>
      <c r="D629" s="48">
        <f t="shared" si="55"/>
        <v>627</v>
      </c>
      <c r="E629" s="48">
        <f t="shared" si="56"/>
        <v>1</v>
      </c>
      <c r="F629" s="49">
        <f t="shared" si="57"/>
        <v>2.442002442002442E-4</v>
      </c>
      <c r="G629" s="49">
        <f t="shared" si="59"/>
        <v>1.594896331738437E-3</v>
      </c>
    </row>
    <row r="630" spans="2:7" x14ac:dyDescent="0.25">
      <c r="B630" s="48">
        <f t="shared" si="58"/>
        <v>628</v>
      </c>
      <c r="C630" s="48">
        <f t="shared" si="54"/>
        <v>2574</v>
      </c>
      <c r="D630" s="48">
        <f t="shared" si="55"/>
        <v>628</v>
      </c>
      <c r="E630" s="48">
        <f t="shared" si="56"/>
        <v>1</v>
      </c>
      <c r="F630" s="49">
        <f t="shared" si="57"/>
        <v>2.442002442002442E-4</v>
      </c>
      <c r="G630" s="49">
        <f t="shared" si="59"/>
        <v>1.5923566878980893E-3</v>
      </c>
    </row>
    <row r="631" spans="2:7" x14ac:dyDescent="0.25">
      <c r="B631" s="48">
        <f t="shared" si="58"/>
        <v>629</v>
      </c>
      <c r="C631" s="48">
        <f t="shared" si="54"/>
        <v>2578</v>
      </c>
      <c r="D631" s="48">
        <f t="shared" si="55"/>
        <v>629</v>
      </c>
      <c r="E631" s="48">
        <f t="shared" si="56"/>
        <v>1</v>
      </c>
      <c r="F631" s="49">
        <f t="shared" si="57"/>
        <v>2.442002442002442E-4</v>
      </c>
      <c r="G631" s="49">
        <f t="shared" si="59"/>
        <v>1.589825119236884E-3</v>
      </c>
    </row>
    <row r="632" spans="2:7" x14ac:dyDescent="0.25">
      <c r="B632" s="48">
        <f t="shared" si="58"/>
        <v>630</v>
      </c>
      <c r="C632" s="48">
        <f t="shared" si="54"/>
        <v>2582</v>
      </c>
      <c r="D632" s="48">
        <f t="shared" si="55"/>
        <v>630</v>
      </c>
      <c r="E632" s="48">
        <f t="shared" si="56"/>
        <v>1</v>
      </c>
      <c r="F632" s="49">
        <f t="shared" si="57"/>
        <v>2.442002442002442E-4</v>
      </c>
      <c r="G632" s="49">
        <f t="shared" si="59"/>
        <v>1.5873015873015873E-3</v>
      </c>
    </row>
    <row r="633" spans="2:7" x14ac:dyDescent="0.25">
      <c r="B633" s="48">
        <f t="shared" si="58"/>
        <v>631</v>
      </c>
      <c r="C633" s="48">
        <f t="shared" si="54"/>
        <v>2587</v>
      </c>
      <c r="D633" s="48">
        <f t="shared" si="55"/>
        <v>631</v>
      </c>
      <c r="E633" s="48">
        <f t="shared" si="56"/>
        <v>1</v>
      </c>
      <c r="F633" s="49">
        <f t="shared" si="57"/>
        <v>2.442002442002442E-4</v>
      </c>
      <c r="G633" s="49">
        <f t="shared" si="59"/>
        <v>1.5847860538827259E-3</v>
      </c>
    </row>
    <row r="634" spans="2:7" x14ac:dyDescent="0.25">
      <c r="B634" s="48">
        <f t="shared" si="58"/>
        <v>632</v>
      </c>
      <c r="C634" s="48">
        <f t="shared" si="54"/>
        <v>2591</v>
      </c>
      <c r="D634" s="48">
        <f t="shared" si="55"/>
        <v>632</v>
      </c>
      <c r="E634" s="48">
        <f t="shared" si="56"/>
        <v>1</v>
      </c>
      <c r="F634" s="49">
        <f t="shared" si="57"/>
        <v>2.442002442002442E-4</v>
      </c>
      <c r="G634" s="49">
        <f t="shared" si="59"/>
        <v>1.5822784810126582E-3</v>
      </c>
    </row>
    <row r="635" spans="2:7" x14ac:dyDescent="0.25">
      <c r="B635" s="48">
        <f t="shared" si="58"/>
        <v>633</v>
      </c>
      <c r="C635" s="48">
        <f t="shared" si="54"/>
        <v>2595</v>
      </c>
      <c r="D635" s="48">
        <f t="shared" si="55"/>
        <v>633</v>
      </c>
      <c r="E635" s="48">
        <f t="shared" si="56"/>
        <v>1</v>
      </c>
      <c r="F635" s="49">
        <f t="shared" si="57"/>
        <v>2.442002442002442E-4</v>
      </c>
      <c r="G635" s="49">
        <f t="shared" si="59"/>
        <v>1.5797788309636651E-3</v>
      </c>
    </row>
    <row r="636" spans="2:7" x14ac:dyDescent="0.25">
      <c r="B636" s="48">
        <f t="shared" si="58"/>
        <v>634</v>
      </c>
      <c r="C636" s="48">
        <f t="shared" si="54"/>
        <v>2599</v>
      </c>
      <c r="D636" s="48">
        <f t="shared" si="55"/>
        <v>634</v>
      </c>
      <c r="E636" s="48">
        <f t="shared" si="56"/>
        <v>1</v>
      </c>
      <c r="F636" s="49">
        <f t="shared" si="57"/>
        <v>2.442002442002442E-4</v>
      </c>
      <c r="G636" s="49">
        <f t="shared" si="59"/>
        <v>1.5772870662460567E-3</v>
      </c>
    </row>
    <row r="637" spans="2:7" x14ac:dyDescent="0.25">
      <c r="B637" s="48">
        <f t="shared" si="58"/>
        <v>635</v>
      </c>
      <c r="C637" s="48">
        <f t="shared" si="54"/>
        <v>2603</v>
      </c>
      <c r="D637" s="48">
        <f t="shared" si="55"/>
        <v>635</v>
      </c>
      <c r="E637" s="48">
        <f t="shared" si="56"/>
        <v>1</v>
      </c>
      <c r="F637" s="49">
        <f t="shared" si="57"/>
        <v>2.442002442002442E-4</v>
      </c>
      <c r="G637" s="49">
        <f t="shared" si="59"/>
        <v>1.5748031496062992E-3</v>
      </c>
    </row>
    <row r="638" spans="2:7" x14ac:dyDescent="0.25">
      <c r="B638" s="48">
        <f t="shared" si="58"/>
        <v>636</v>
      </c>
      <c r="C638" s="48">
        <f t="shared" si="54"/>
        <v>2607</v>
      </c>
      <c r="D638" s="48">
        <f t="shared" si="55"/>
        <v>636</v>
      </c>
      <c r="E638" s="48">
        <f t="shared" si="56"/>
        <v>1</v>
      </c>
      <c r="F638" s="49">
        <f t="shared" si="57"/>
        <v>2.442002442002442E-4</v>
      </c>
      <c r="G638" s="49">
        <f t="shared" si="59"/>
        <v>1.5723270440251573E-3</v>
      </c>
    </row>
    <row r="639" spans="2:7" x14ac:dyDescent="0.25">
      <c r="B639" s="48">
        <f t="shared" si="58"/>
        <v>637</v>
      </c>
      <c r="C639" s="48">
        <f t="shared" si="54"/>
        <v>2611</v>
      </c>
      <c r="D639" s="48">
        <f t="shared" si="55"/>
        <v>637</v>
      </c>
      <c r="E639" s="48">
        <f t="shared" si="56"/>
        <v>1</v>
      </c>
      <c r="F639" s="49">
        <f t="shared" si="57"/>
        <v>2.442002442002442E-4</v>
      </c>
      <c r="G639" s="49">
        <f t="shared" si="59"/>
        <v>1.5698587127158557E-3</v>
      </c>
    </row>
    <row r="640" spans="2:7" x14ac:dyDescent="0.25">
      <c r="B640" s="48">
        <f t="shared" si="58"/>
        <v>638</v>
      </c>
      <c r="C640" s="48">
        <f t="shared" si="54"/>
        <v>2615</v>
      </c>
      <c r="D640" s="48">
        <f t="shared" si="55"/>
        <v>638</v>
      </c>
      <c r="E640" s="48">
        <f t="shared" si="56"/>
        <v>1</v>
      </c>
      <c r="F640" s="49">
        <f t="shared" si="57"/>
        <v>2.442002442002442E-4</v>
      </c>
      <c r="G640" s="49">
        <f t="shared" si="59"/>
        <v>1.567398119122257E-3</v>
      </c>
    </row>
    <row r="641" spans="2:7" x14ac:dyDescent="0.25">
      <c r="B641" s="48">
        <f t="shared" si="58"/>
        <v>639</v>
      </c>
      <c r="C641" s="48">
        <f t="shared" si="54"/>
        <v>2619</v>
      </c>
      <c r="D641" s="48">
        <f t="shared" si="55"/>
        <v>639</v>
      </c>
      <c r="E641" s="48">
        <f t="shared" si="56"/>
        <v>1</v>
      </c>
      <c r="F641" s="49">
        <f t="shared" si="57"/>
        <v>2.442002442002442E-4</v>
      </c>
      <c r="G641" s="49">
        <f t="shared" si="59"/>
        <v>1.5649452269170579E-3</v>
      </c>
    </row>
    <row r="642" spans="2:7" x14ac:dyDescent="0.25">
      <c r="B642" s="48">
        <f t="shared" si="58"/>
        <v>640</v>
      </c>
      <c r="C642" s="48">
        <f t="shared" si="54"/>
        <v>2623</v>
      </c>
      <c r="D642" s="48">
        <f t="shared" si="55"/>
        <v>640</v>
      </c>
      <c r="E642" s="48">
        <f t="shared" si="56"/>
        <v>1</v>
      </c>
      <c r="F642" s="49">
        <f t="shared" si="57"/>
        <v>2.442002442002442E-4</v>
      </c>
      <c r="G642" s="49">
        <f t="shared" si="59"/>
        <v>1.5625000000000001E-3</v>
      </c>
    </row>
    <row r="643" spans="2:7" x14ac:dyDescent="0.25">
      <c r="B643" s="48">
        <f t="shared" si="58"/>
        <v>641</v>
      </c>
      <c r="C643" s="48">
        <f t="shared" ref="C643:C706" si="60">ROUND(B643*C$1/(B$1-1),0)</f>
        <v>2628</v>
      </c>
      <c r="D643" s="48">
        <f t="shared" ref="D643:D706" si="61">MAX(ROUND(D$1^(B643+1),0),B643)</f>
        <v>641</v>
      </c>
      <c r="E643" s="48">
        <f t="shared" ref="E643:E706" si="62">D643-D642</f>
        <v>1</v>
      </c>
      <c r="F643" s="49">
        <f t="shared" ref="F643:F706" si="63">E643/C$1</f>
        <v>2.442002442002442E-4</v>
      </c>
      <c r="G643" s="49">
        <f t="shared" si="59"/>
        <v>1.5600624024960999E-3</v>
      </c>
    </row>
    <row r="644" spans="2:7" x14ac:dyDescent="0.25">
      <c r="B644" s="48">
        <f t="shared" ref="B644:B707" si="64">B643+1</f>
        <v>642</v>
      </c>
      <c r="C644" s="48">
        <f t="shared" si="60"/>
        <v>2632</v>
      </c>
      <c r="D644" s="48">
        <f t="shared" si="61"/>
        <v>642</v>
      </c>
      <c r="E644" s="48">
        <f t="shared" si="62"/>
        <v>1</v>
      </c>
      <c r="F644" s="49">
        <f t="shared" si="63"/>
        <v>2.442002442002442E-4</v>
      </c>
      <c r="G644" s="49">
        <f t="shared" ref="G644:G707" si="65">E644/D644</f>
        <v>1.557632398753894E-3</v>
      </c>
    </row>
    <row r="645" spans="2:7" x14ac:dyDescent="0.25">
      <c r="B645" s="48">
        <f t="shared" si="64"/>
        <v>643</v>
      </c>
      <c r="C645" s="48">
        <f t="shared" si="60"/>
        <v>2636</v>
      </c>
      <c r="D645" s="48">
        <f t="shared" si="61"/>
        <v>643</v>
      </c>
      <c r="E645" s="48">
        <f t="shared" si="62"/>
        <v>1</v>
      </c>
      <c r="F645" s="49">
        <f t="shared" si="63"/>
        <v>2.442002442002442E-4</v>
      </c>
      <c r="G645" s="49">
        <f t="shared" si="65"/>
        <v>1.5552099533437014E-3</v>
      </c>
    </row>
    <row r="646" spans="2:7" x14ac:dyDescent="0.25">
      <c r="B646" s="48">
        <f t="shared" si="64"/>
        <v>644</v>
      </c>
      <c r="C646" s="48">
        <f t="shared" si="60"/>
        <v>2640</v>
      </c>
      <c r="D646" s="48">
        <f t="shared" si="61"/>
        <v>644</v>
      </c>
      <c r="E646" s="48">
        <f t="shared" si="62"/>
        <v>1</v>
      </c>
      <c r="F646" s="49">
        <f t="shared" si="63"/>
        <v>2.442002442002442E-4</v>
      </c>
      <c r="G646" s="49">
        <f t="shared" si="65"/>
        <v>1.5527950310559005E-3</v>
      </c>
    </row>
    <row r="647" spans="2:7" x14ac:dyDescent="0.25">
      <c r="B647" s="48">
        <f t="shared" si="64"/>
        <v>645</v>
      </c>
      <c r="C647" s="48">
        <f t="shared" si="60"/>
        <v>2644</v>
      </c>
      <c r="D647" s="48">
        <f t="shared" si="61"/>
        <v>645</v>
      </c>
      <c r="E647" s="48">
        <f t="shared" si="62"/>
        <v>1</v>
      </c>
      <c r="F647" s="49">
        <f t="shared" si="63"/>
        <v>2.442002442002442E-4</v>
      </c>
      <c r="G647" s="49">
        <f t="shared" si="65"/>
        <v>1.5503875968992248E-3</v>
      </c>
    </row>
    <row r="648" spans="2:7" x14ac:dyDescent="0.25">
      <c r="B648" s="48">
        <f t="shared" si="64"/>
        <v>646</v>
      </c>
      <c r="C648" s="48">
        <f t="shared" si="60"/>
        <v>2648</v>
      </c>
      <c r="D648" s="48">
        <f t="shared" si="61"/>
        <v>646</v>
      </c>
      <c r="E648" s="48">
        <f t="shared" si="62"/>
        <v>1</v>
      </c>
      <c r="F648" s="49">
        <f t="shared" si="63"/>
        <v>2.442002442002442E-4</v>
      </c>
      <c r="G648" s="49">
        <f t="shared" si="65"/>
        <v>1.5479876160990713E-3</v>
      </c>
    </row>
    <row r="649" spans="2:7" x14ac:dyDescent="0.25">
      <c r="B649" s="48">
        <f t="shared" si="64"/>
        <v>647</v>
      </c>
      <c r="C649" s="48">
        <f t="shared" si="60"/>
        <v>2652</v>
      </c>
      <c r="D649" s="48">
        <f t="shared" si="61"/>
        <v>647</v>
      </c>
      <c r="E649" s="48">
        <f t="shared" si="62"/>
        <v>1</v>
      </c>
      <c r="F649" s="49">
        <f t="shared" si="63"/>
        <v>2.442002442002442E-4</v>
      </c>
      <c r="G649" s="49">
        <f t="shared" si="65"/>
        <v>1.5455950540958269E-3</v>
      </c>
    </row>
    <row r="650" spans="2:7" x14ac:dyDescent="0.25">
      <c r="B650" s="48">
        <f t="shared" si="64"/>
        <v>648</v>
      </c>
      <c r="C650" s="48">
        <f t="shared" si="60"/>
        <v>2656</v>
      </c>
      <c r="D650" s="48">
        <f t="shared" si="61"/>
        <v>648</v>
      </c>
      <c r="E650" s="48">
        <f t="shared" si="62"/>
        <v>1</v>
      </c>
      <c r="F650" s="49">
        <f t="shared" si="63"/>
        <v>2.442002442002442E-4</v>
      </c>
      <c r="G650" s="49">
        <f t="shared" si="65"/>
        <v>1.5432098765432098E-3</v>
      </c>
    </row>
    <row r="651" spans="2:7" x14ac:dyDescent="0.25">
      <c r="B651" s="48">
        <f t="shared" si="64"/>
        <v>649</v>
      </c>
      <c r="C651" s="48">
        <f t="shared" si="60"/>
        <v>2660</v>
      </c>
      <c r="D651" s="48">
        <f t="shared" si="61"/>
        <v>649</v>
      </c>
      <c r="E651" s="48">
        <f t="shared" si="62"/>
        <v>1</v>
      </c>
      <c r="F651" s="49">
        <f t="shared" si="63"/>
        <v>2.442002442002442E-4</v>
      </c>
      <c r="G651" s="49">
        <f t="shared" si="65"/>
        <v>1.5408320493066256E-3</v>
      </c>
    </row>
    <row r="652" spans="2:7" x14ac:dyDescent="0.25">
      <c r="B652" s="48">
        <f t="shared" si="64"/>
        <v>650</v>
      </c>
      <c r="C652" s="48">
        <f t="shared" si="60"/>
        <v>2664</v>
      </c>
      <c r="D652" s="48">
        <f t="shared" si="61"/>
        <v>650</v>
      </c>
      <c r="E652" s="48">
        <f t="shared" si="62"/>
        <v>1</v>
      </c>
      <c r="F652" s="49">
        <f t="shared" si="63"/>
        <v>2.442002442002442E-4</v>
      </c>
      <c r="G652" s="49">
        <f t="shared" si="65"/>
        <v>1.5384615384615385E-3</v>
      </c>
    </row>
    <row r="653" spans="2:7" x14ac:dyDescent="0.25">
      <c r="B653" s="48">
        <f t="shared" si="64"/>
        <v>651</v>
      </c>
      <c r="C653" s="48">
        <f t="shared" si="60"/>
        <v>2669</v>
      </c>
      <c r="D653" s="48">
        <f t="shared" si="61"/>
        <v>651</v>
      </c>
      <c r="E653" s="48">
        <f t="shared" si="62"/>
        <v>1</v>
      </c>
      <c r="F653" s="49">
        <f t="shared" si="63"/>
        <v>2.442002442002442E-4</v>
      </c>
      <c r="G653" s="49">
        <f t="shared" si="65"/>
        <v>1.5360983102918587E-3</v>
      </c>
    </row>
    <row r="654" spans="2:7" x14ac:dyDescent="0.25">
      <c r="B654" s="48">
        <f t="shared" si="64"/>
        <v>652</v>
      </c>
      <c r="C654" s="48">
        <f t="shared" si="60"/>
        <v>2673</v>
      </c>
      <c r="D654" s="48">
        <f t="shared" si="61"/>
        <v>652</v>
      </c>
      <c r="E654" s="48">
        <f t="shared" si="62"/>
        <v>1</v>
      </c>
      <c r="F654" s="49">
        <f t="shared" si="63"/>
        <v>2.442002442002442E-4</v>
      </c>
      <c r="G654" s="49">
        <f t="shared" si="65"/>
        <v>1.5337423312883436E-3</v>
      </c>
    </row>
    <row r="655" spans="2:7" x14ac:dyDescent="0.25">
      <c r="B655" s="48">
        <f t="shared" si="64"/>
        <v>653</v>
      </c>
      <c r="C655" s="48">
        <f t="shared" si="60"/>
        <v>2677</v>
      </c>
      <c r="D655" s="48">
        <f t="shared" si="61"/>
        <v>653</v>
      </c>
      <c r="E655" s="48">
        <f t="shared" si="62"/>
        <v>1</v>
      </c>
      <c r="F655" s="49">
        <f t="shared" si="63"/>
        <v>2.442002442002442E-4</v>
      </c>
      <c r="G655" s="49">
        <f t="shared" si="65"/>
        <v>1.5313935681470138E-3</v>
      </c>
    </row>
    <row r="656" spans="2:7" x14ac:dyDescent="0.25">
      <c r="B656" s="48">
        <f t="shared" si="64"/>
        <v>654</v>
      </c>
      <c r="C656" s="48">
        <f t="shared" si="60"/>
        <v>2681</v>
      </c>
      <c r="D656" s="48">
        <f t="shared" si="61"/>
        <v>654</v>
      </c>
      <c r="E656" s="48">
        <f t="shared" si="62"/>
        <v>1</v>
      </c>
      <c r="F656" s="49">
        <f t="shared" si="63"/>
        <v>2.442002442002442E-4</v>
      </c>
      <c r="G656" s="49">
        <f t="shared" si="65"/>
        <v>1.5290519877675841E-3</v>
      </c>
    </row>
    <row r="657" spans="2:7" x14ac:dyDescent="0.25">
      <c r="B657" s="48">
        <f t="shared" si="64"/>
        <v>655</v>
      </c>
      <c r="C657" s="48">
        <f t="shared" si="60"/>
        <v>2685</v>
      </c>
      <c r="D657" s="48">
        <f t="shared" si="61"/>
        <v>655</v>
      </c>
      <c r="E657" s="48">
        <f t="shared" si="62"/>
        <v>1</v>
      </c>
      <c r="F657" s="49">
        <f t="shared" si="63"/>
        <v>2.442002442002442E-4</v>
      </c>
      <c r="G657" s="49">
        <f t="shared" si="65"/>
        <v>1.5267175572519084E-3</v>
      </c>
    </row>
    <row r="658" spans="2:7" x14ac:dyDescent="0.25">
      <c r="B658" s="48">
        <f t="shared" si="64"/>
        <v>656</v>
      </c>
      <c r="C658" s="48">
        <f t="shared" si="60"/>
        <v>2689</v>
      </c>
      <c r="D658" s="48">
        <f t="shared" si="61"/>
        <v>656</v>
      </c>
      <c r="E658" s="48">
        <f t="shared" si="62"/>
        <v>1</v>
      </c>
      <c r="F658" s="49">
        <f t="shared" si="63"/>
        <v>2.442002442002442E-4</v>
      </c>
      <c r="G658" s="49">
        <f t="shared" si="65"/>
        <v>1.5243902439024391E-3</v>
      </c>
    </row>
    <row r="659" spans="2:7" x14ac:dyDescent="0.25">
      <c r="B659" s="48">
        <f t="shared" si="64"/>
        <v>657</v>
      </c>
      <c r="C659" s="48">
        <f t="shared" si="60"/>
        <v>2693</v>
      </c>
      <c r="D659" s="48">
        <f t="shared" si="61"/>
        <v>657</v>
      </c>
      <c r="E659" s="48">
        <f t="shared" si="62"/>
        <v>1</v>
      </c>
      <c r="F659" s="49">
        <f t="shared" si="63"/>
        <v>2.442002442002442E-4</v>
      </c>
      <c r="G659" s="49">
        <f t="shared" si="65"/>
        <v>1.5220700152207001E-3</v>
      </c>
    </row>
    <row r="660" spans="2:7" x14ac:dyDescent="0.25">
      <c r="B660" s="48">
        <f t="shared" si="64"/>
        <v>658</v>
      </c>
      <c r="C660" s="48">
        <f t="shared" si="60"/>
        <v>2697</v>
      </c>
      <c r="D660" s="48">
        <f t="shared" si="61"/>
        <v>658</v>
      </c>
      <c r="E660" s="48">
        <f t="shared" si="62"/>
        <v>1</v>
      </c>
      <c r="F660" s="49">
        <f t="shared" si="63"/>
        <v>2.442002442002442E-4</v>
      </c>
      <c r="G660" s="49">
        <f t="shared" si="65"/>
        <v>1.5197568389057751E-3</v>
      </c>
    </row>
    <row r="661" spans="2:7" x14ac:dyDescent="0.25">
      <c r="B661" s="48">
        <f t="shared" si="64"/>
        <v>659</v>
      </c>
      <c r="C661" s="48">
        <f t="shared" si="60"/>
        <v>2701</v>
      </c>
      <c r="D661" s="48">
        <f t="shared" si="61"/>
        <v>659</v>
      </c>
      <c r="E661" s="48">
        <f t="shared" si="62"/>
        <v>1</v>
      </c>
      <c r="F661" s="49">
        <f t="shared" si="63"/>
        <v>2.442002442002442E-4</v>
      </c>
      <c r="G661" s="49">
        <f t="shared" si="65"/>
        <v>1.5174506828528073E-3</v>
      </c>
    </row>
    <row r="662" spans="2:7" x14ac:dyDescent="0.25">
      <c r="B662" s="48">
        <f t="shared" si="64"/>
        <v>660</v>
      </c>
      <c r="C662" s="48">
        <f t="shared" si="60"/>
        <v>2705</v>
      </c>
      <c r="D662" s="48">
        <f t="shared" si="61"/>
        <v>660</v>
      </c>
      <c r="E662" s="48">
        <f t="shared" si="62"/>
        <v>1</v>
      </c>
      <c r="F662" s="49">
        <f t="shared" si="63"/>
        <v>2.442002442002442E-4</v>
      </c>
      <c r="G662" s="49">
        <f t="shared" si="65"/>
        <v>1.5151515151515152E-3</v>
      </c>
    </row>
    <row r="663" spans="2:7" x14ac:dyDescent="0.25">
      <c r="B663" s="48">
        <f t="shared" si="64"/>
        <v>661</v>
      </c>
      <c r="C663" s="48">
        <f t="shared" si="60"/>
        <v>2710</v>
      </c>
      <c r="D663" s="48">
        <f t="shared" si="61"/>
        <v>661</v>
      </c>
      <c r="E663" s="48">
        <f t="shared" si="62"/>
        <v>1</v>
      </c>
      <c r="F663" s="49">
        <f t="shared" si="63"/>
        <v>2.442002442002442E-4</v>
      </c>
      <c r="G663" s="49">
        <f t="shared" si="65"/>
        <v>1.5128593040847202E-3</v>
      </c>
    </row>
    <row r="664" spans="2:7" x14ac:dyDescent="0.25">
      <c r="B664" s="48">
        <f t="shared" si="64"/>
        <v>662</v>
      </c>
      <c r="C664" s="48">
        <f t="shared" si="60"/>
        <v>2714</v>
      </c>
      <c r="D664" s="48">
        <f t="shared" si="61"/>
        <v>662</v>
      </c>
      <c r="E664" s="48">
        <f t="shared" si="62"/>
        <v>1</v>
      </c>
      <c r="F664" s="49">
        <f t="shared" si="63"/>
        <v>2.442002442002442E-4</v>
      </c>
      <c r="G664" s="49">
        <f t="shared" si="65"/>
        <v>1.5105740181268882E-3</v>
      </c>
    </row>
    <row r="665" spans="2:7" x14ac:dyDescent="0.25">
      <c r="B665" s="48">
        <f t="shared" si="64"/>
        <v>663</v>
      </c>
      <c r="C665" s="48">
        <f t="shared" si="60"/>
        <v>2718</v>
      </c>
      <c r="D665" s="48">
        <f t="shared" si="61"/>
        <v>663</v>
      </c>
      <c r="E665" s="48">
        <f t="shared" si="62"/>
        <v>1</v>
      </c>
      <c r="F665" s="49">
        <f t="shared" si="63"/>
        <v>2.442002442002442E-4</v>
      </c>
      <c r="G665" s="49">
        <f t="shared" si="65"/>
        <v>1.5082956259426848E-3</v>
      </c>
    </row>
    <row r="666" spans="2:7" x14ac:dyDescent="0.25">
      <c r="B666" s="48">
        <f t="shared" si="64"/>
        <v>664</v>
      </c>
      <c r="C666" s="48">
        <f t="shared" si="60"/>
        <v>2722</v>
      </c>
      <c r="D666" s="48">
        <f t="shared" si="61"/>
        <v>664</v>
      </c>
      <c r="E666" s="48">
        <f t="shared" si="62"/>
        <v>1</v>
      </c>
      <c r="F666" s="49">
        <f t="shared" si="63"/>
        <v>2.442002442002442E-4</v>
      </c>
      <c r="G666" s="49">
        <f t="shared" si="65"/>
        <v>1.5060240963855422E-3</v>
      </c>
    </row>
    <row r="667" spans="2:7" x14ac:dyDescent="0.25">
      <c r="B667" s="48">
        <f t="shared" si="64"/>
        <v>665</v>
      </c>
      <c r="C667" s="48">
        <f t="shared" si="60"/>
        <v>2726</v>
      </c>
      <c r="D667" s="48">
        <f t="shared" si="61"/>
        <v>665</v>
      </c>
      <c r="E667" s="48">
        <f t="shared" si="62"/>
        <v>1</v>
      </c>
      <c r="F667" s="49">
        <f t="shared" si="63"/>
        <v>2.442002442002442E-4</v>
      </c>
      <c r="G667" s="49">
        <f t="shared" si="65"/>
        <v>1.5037593984962407E-3</v>
      </c>
    </row>
    <row r="668" spans="2:7" x14ac:dyDescent="0.25">
      <c r="B668" s="48">
        <f t="shared" si="64"/>
        <v>666</v>
      </c>
      <c r="C668" s="48">
        <f t="shared" si="60"/>
        <v>2730</v>
      </c>
      <c r="D668" s="48">
        <f t="shared" si="61"/>
        <v>666</v>
      </c>
      <c r="E668" s="48">
        <f t="shared" si="62"/>
        <v>1</v>
      </c>
      <c r="F668" s="49">
        <f t="shared" si="63"/>
        <v>2.442002442002442E-4</v>
      </c>
      <c r="G668" s="49">
        <f t="shared" si="65"/>
        <v>1.5015015015015015E-3</v>
      </c>
    </row>
    <row r="669" spans="2:7" x14ac:dyDescent="0.25">
      <c r="B669" s="48">
        <f t="shared" si="64"/>
        <v>667</v>
      </c>
      <c r="C669" s="48">
        <f t="shared" si="60"/>
        <v>2734</v>
      </c>
      <c r="D669" s="48">
        <f t="shared" si="61"/>
        <v>667</v>
      </c>
      <c r="E669" s="48">
        <f t="shared" si="62"/>
        <v>1</v>
      </c>
      <c r="F669" s="49">
        <f t="shared" si="63"/>
        <v>2.442002442002442E-4</v>
      </c>
      <c r="G669" s="49">
        <f t="shared" si="65"/>
        <v>1.4992503748125937E-3</v>
      </c>
    </row>
    <row r="670" spans="2:7" x14ac:dyDescent="0.25">
      <c r="B670" s="48">
        <f t="shared" si="64"/>
        <v>668</v>
      </c>
      <c r="C670" s="48">
        <f t="shared" si="60"/>
        <v>2738</v>
      </c>
      <c r="D670" s="48">
        <f t="shared" si="61"/>
        <v>668</v>
      </c>
      <c r="E670" s="48">
        <f t="shared" si="62"/>
        <v>1</v>
      </c>
      <c r="F670" s="49">
        <f t="shared" si="63"/>
        <v>2.442002442002442E-4</v>
      </c>
      <c r="G670" s="49">
        <f t="shared" si="65"/>
        <v>1.4970059880239522E-3</v>
      </c>
    </row>
    <row r="671" spans="2:7" x14ac:dyDescent="0.25">
      <c r="B671" s="48">
        <f t="shared" si="64"/>
        <v>669</v>
      </c>
      <c r="C671" s="48">
        <f t="shared" si="60"/>
        <v>2742</v>
      </c>
      <c r="D671" s="48">
        <f t="shared" si="61"/>
        <v>669</v>
      </c>
      <c r="E671" s="48">
        <f t="shared" si="62"/>
        <v>1</v>
      </c>
      <c r="F671" s="49">
        <f t="shared" si="63"/>
        <v>2.442002442002442E-4</v>
      </c>
      <c r="G671" s="49">
        <f t="shared" si="65"/>
        <v>1.4947683109118087E-3</v>
      </c>
    </row>
    <row r="672" spans="2:7" x14ac:dyDescent="0.25">
      <c r="B672" s="48">
        <f t="shared" si="64"/>
        <v>670</v>
      </c>
      <c r="C672" s="48">
        <f t="shared" si="60"/>
        <v>2746</v>
      </c>
      <c r="D672" s="48">
        <f t="shared" si="61"/>
        <v>670</v>
      </c>
      <c r="E672" s="48">
        <f t="shared" si="62"/>
        <v>1</v>
      </c>
      <c r="F672" s="49">
        <f t="shared" si="63"/>
        <v>2.442002442002442E-4</v>
      </c>
      <c r="G672" s="49">
        <f t="shared" si="65"/>
        <v>1.4925373134328358E-3</v>
      </c>
    </row>
    <row r="673" spans="2:7" x14ac:dyDescent="0.25">
      <c r="B673" s="48">
        <f t="shared" si="64"/>
        <v>671</v>
      </c>
      <c r="C673" s="48">
        <f t="shared" si="60"/>
        <v>2750</v>
      </c>
      <c r="D673" s="48">
        <f t="shared" si="61"/>
        <v>671</v>
      </c>
      <c r="E673" s="48">
        <f t="shared" si="62"/>
        <v>1</v>
      </c>
      <c r="F673" s="49">
        <f t="shared" si="63"/>
        <v>2.442002442002442E-4</v>
      </c>
      <c r="G673" s="49">
        <f t="shared" si="65"/>
        <v>1.4903129657228018E-3</v>
      </c>
    </row>
    <row r="674" spans="2:7" x14ac:dyDescent="0.25">
      <c r="B674" s="48">
        <f t="shared" si="64"/>
        <v>672</v>
      </c>
      <c r="C674" s="48">
        <f t="shared" si="60"/>
        <v>2755</v>
      </c>
      <c r="D674" s="48">
        <f t="shared" si="61"/>
        <v>672</v>
      </c>
      <c r="E674" s="48">
        <f t="shared" si="62"/>
        <v>1</v>
      </c>
      <c r="F674" s="49">
        <f t="shared" si="63"/>
        <v>2.442002442002442E-4</v>
      </c>
      <c r="G674" s="49">
        <f t="shared" si="65"/>
        <v>1.488095238095238E-3</v>
      </c>
    </row>
    <row r="675" spans="2:7" x14ac:dyDescent="0.25">
      <c r="B675" s="48">
        <f t="shared" si="64"/>
        <v>673</v>
      </c>
      <c r="C675" s="48">
        <f t="shared" si="60"/>
        <v>2759</v>
      </c>
      <c r="D675" s="48">
        <f t="shared" si="61"/>
        <v>673</v>
      </c>
      <c r="E675" s="48">
        <f t="shared" si="62"/>
        <v>1</v>
      </c>
      <c r="F675" s="49">
        <f t="shared" si="63"/>
        <v>2.442002442002442E-4</v>
      </c>
      <c r="G675" s="49">
        <f t="shared" si="65"/>
        <v>1.4858841010401188E-3</v>
      </c>
    </row>
    <row r="676" spans="2:7" x14ac:dyDescent="0.25">
      <c r="B676" s="48">
        <f t="shared" si="64"/>
        <v>674</v>
      </c>
      <c r="C676" s="48">
        <f t="shared" si="60"/>
        <v>2763</v>
      </c>
      <c r="D676" s="48">
        <f t="shared" si="61"/>
        <v>674</v>
      </c>
      <c r="E676" s="48">
        <f t="shared" si="62"/>
        <v>1</v>
      </c>
      <c r="F676" s="49">
        <f t="shared" si="63"/>
        <v>2.442002442002442E-4</v>
      </c>
      <c r="G676" s="49">
        <f t="shared" si="65"/>
        <v>1.483679525222552E-3</v>
      </c>
    </row>
    <row r="677" spans="2:7" x14ac:dyDescent="0.25">
      <c r="B677" s="48">
        <f t="shared" si="64"/>
        <v>675</v>
      </c>
      <c r="C677" s="48">
        <f t="shared" si="60"/>
        <v>2767</v>
      </c>
      <c r="D677" s="48">
        <f t="shared" si="61"/>
        <v>675</v>
      </c>
      <c r="E677" s="48">
        <f t="shared" si="62"/>
        <v>1</v>
      </c>
      <c r="F677" s="49">
        <f t="shared" si="63"/>
        <v>2.442002442002442E-4</v>
      </c>
      <c r="G677" s="49">
        <f t="shared" si="65"/>
        <v>1.4814814814814814E-3</v>
      </c>
    </row>
    <row r="678" spans="2:7" x14ac:dyDescent="0.25">
      <c r="B678" s="48">
        <f t="shared" si="64"/>
        <v>676</v>
      </c>
      <c r="C678" s="48">
        <f t="shared" si="60"/>
        <v>2771</v>
      </c>
      <c r="D678" s="48">
        <f t="shared" si="61"/>
        <v>676</v>
      </c>
      <c r="E678" s="48">
        <f t="shared" si="62"/>
        <v>1</v>
      </c>
      <c r="F678" s="49">
        <f t="shared" si="63"/>
        <v>2.442002442002442E-4</v>
      </c>
      <c r="G678" s="49">
        <f t="shared" si="65"/>
        <v>1.4792899408284023E-3</v>
      </c>
    </row>
    <row r="679" spans="2:7" x14ac:dyDescent="0.25">
      <c r="B679" s="48">
        <f t="shared" si="64"/>
        <v>677</v>
      </c>
      <c r="C679" s="48">
        <f t="shared" si="60"/>
        <v>2775</v>
      </c>
      <c r="D679" s="48">
        <f t="shared" si="61"/>
        <v>677</v>
      </c>
      <c r="E679" s="48">
        <f t="shared" si="62"/>
        <v>1</v>
      </c>
      <c r="F679" s="49">
        <f t="shared" si="63"/>
        <v>2.442002442002442E-4</v>
      </c>
      <c r="G679" s="49">
        <f t="shared" si="65"/>
        <v>1.4771048744460858E-3</v>
      </c>
    </row>
    <row r="680" spans="2:7" x14ac:dyDescent="0.25">
      <c r="B680" s="48">
        <f t="shared" si="64"/>
        <v>678</v>
      </c>
      <c r="C680" s="48">
        <f t="shared" si="60"/>
        <v>2779</v>
      </c>
      <c r="D680" s="48">
        <f t="shared" si="61"/>
        <v>678</v>
      </c>
      <c r="E680" s="48">
        <f t="shared" si="62"/>
        <v>1</v>
      </c>
      <c r="F680" s="49">
        <f t="shared" si="63"/>
        <v>2.442002442002442E-4</v>
      </c>
      <c r="G680" s="49">
        <f t="shared" si="65"/>
        <v>1.4749262536873156E-3</v>
      </c>
    </row>
    <row r="681" spans="2:7" x14ac:dyDescent="0.25">
      <c r="B681" s="48">
        <f t="shared" si="64"/>
        <v>679</v>
      </c>
      <c r="C681" s="48">
        <f t="shared" si="60"/>
        <v>2783</v>
      </c>
      <c r="D681" s="48">
        <f t="shared" si="61"/>
        <v>679</v>
      </c>
      <c r="E681" s="48">
        <f t="shared" si="62"/>
        <v>1</v>
      </c>
      <c r="F681" s="49">
        <f t="shared" si="63"/>
        <v>2.442002442002442E-4</v>
      </c>
      <c r="G681" s="49">
        <f t="shared" si="65"/>
        <v>1.4727540500736377E-3</v>
      </c>
    </row>
    <row r="682" spans="2:7" x14ac:dyDescent="0.25">
      <c r="B682" s="48">
        <f t="shared" si="64"/>
        <v>680</v>
      </c>
      <c r="C682" s="48">
        <f t="shared" si="60"/>
        <v>2787</v>
      </c>
      <c r="D682" s="48">
        <f t="shared" si="61"/>
        <v>680</v>
      </c>
      <c r="E682" s="48">
        <f t="shared" si="62"/>
        <v>1</v>
      </c>
      <c r="F682" s="49">
        <f t="shared" si="63"/>
        <v>2.442002442002442E-4</v>
      </c>
      <c r="G682" s="49">
        <f t="shared" si="65"/>
        <v>1.4705882352941176E-3</v>
      </c>
    </row>
    <row r="683" spans="2:7" x14ac:dyDescent="0.25">
      <c r="B683" s="48">
        <f t="shared" si="64"/>
        <v>681</v>
      </c>
      <c r="C683" s="48">
        <f t="shared" si="60"/>
        <v>2791</v>
      </c>
      <c r="D683" s="48">
        <f t="shared" si="61"/>
        <v>681</v>
      </c>
      <c r="E683" s="48">
        <f t="shared" si="62"/>
        <v>1</v>
      </c>
      <c r="F683" s="49">
        <f t="shared" si="63"/>
        <v>2.442002442002442E-4</v>
      </c>
      <c r="G683" s="49">
        <f t="shared" si="65"/>
        <v>1.4684287812041115E-3</v>
      </c>
    </row>
    <row r="684" spans="2:7" x14ac:dyDescent="0.25">
      <c r="B684" s="48">
        <f t="shared" si="64"/>
        <v>682</v>
      </c>
      <c r="C684" s="48">
        <f t="shared" si="60"/>
        <v>2796</v>
      </c>
      <c r="D684" s="48">
        <f t="shared" si="61"/>
        <v>682</v>
      </c>
      <c r="E684" s="48">
        <f t="shared" si="62"/>
        <v>1</v>
      </c>
      <c r="F684" s="49">
        <f t="shared" si="63"/>
        <v>2.442002442002442E-4</v>
      </c>
      <c r="G684" s="49">
        <f t="shared" si="65"/>
        <v>1.4662756598240469E-3</v>
      </c>
    </row>
    <row r="685" spans="2:7" x14ac:dyDescent="0.25">
      <c r="B685" s="48">
        <f t="shared" si="64"/>
        <v>683</v>
      </c>
      <c r="C685" s="48">
        <f t="shared" si="60"/>
        <v>2800</v>
      </c>
      <c r="D685" s="48">
        <f t="shared" si="61"/>
        <v>683</v>
      </c>
      <c r="E685" s="48">
        <f t="shared" si="62"/>
        <v>1</v>
      </c>
      <c r="F685" s="49">
        <f t="shared" si="63"/>
        <v>2.442002442002442E-4</v>
      </c>
      <c r="G685" s="49">
        <f t="shared" si="65"/>
        <v>1.4641288433382138E-3</v>
      </c>
    </row>
    <row r="686" spans="2:7" x14ac:dyDescent="0.25">
      <c r="B686" s="48">
        <f t="shared" si="64"/>
        <v>684</v>
      </c>
      <c r="C686" s="48">
        <f t="shared" si="60"/>
        <v>2804</v>
      </c>
      <c r="D686" s="48">
        <f t="shared" si="61"/>
        <v>684</v>
      </c>
      <c r="E686" s="48">
        <f t="shared" si="62"/>
        <v>1</v>
      </c>
      <c r="F686" s="49">
        <f t="shared" si="63"/>
        <v>2.442002442002442E-4</v>
      </c>
      <c r="G686" s="49">
        <f t="shared" si="65"/>
        <v>1.4619883040935672E-3</v>
      </c>
    </row>
    <row r="687" spans="2:7" x14ac:dyDescent="0.25">
      <c r="B687" s="48">
        <f t="shared" si="64"/>
        <v>685</v>
      </c>
      <c r="C687" s="48">
        <f t="shared" si="60"/>
        <v>2808</v>
      </c>
      <c r="D687" s="48">
        <f t="shared" si="61"/>
        <v>685</v>
      </c>
      <c r="E687" s="48">
        <f t="shared" si="62"/>
        <v>1</v>
      </c>
      <c r="F687" s="49">
        <f t="shared" si="63"/>
        <v>2.442002442002442E-4</v>
      </c>
      <c r="G687" s="49">
        <f t="shared" si="65"/>
        <v>1.4598540145985401E-3</v>
      </c>
    </row>
    <row r="688" spans="2:7" x14ac:dyDescent="0.25">
      <c r="B688" s="48">
        <f t="shared" si="64"/>
        <v>686</v>
      </c>
      <c r="C688" s="48">
        <f t="shared" si="60"/>
        <v>2812</v>
      </c>
      <c r="D688" s="48">
        <f t="shared" si="61"/>
        <v>686</v>
      </c>
      <c r="E688" s="48">
        <f t="shared" si="62"/>
        <v>1</v>
      </c>
      <c r="F688" s="49">
        <f t="shared" si="63"/>
        <v>2.442002442002442E-4</v>
      </c>
      <c r="G688" s="49">
        <f t="shared" si="65"/>
        <v>1.4577259475218659E-3</v>
      </c>
    </row>
    <row r="689" spans="2:7" x14ac:dyDescent="0.25">
      <c r="B689" s="48">
        <f t="shared" si="64"/>
        <v>687</v>
      </c>
      <c r="C689" s="48">
        <f t="shared" si="60"/>
        <v>2816</v>
      </c>
      <c r="D689" s="48">
        <f t="shared" si="61"/>
        <v>687</v>
      </c>
      <c r="E689" s="48">
        <f t="shared" si="62"/>
        <v>1</v>
      </c>
      <c r="F689" s="49">
        <f t="shared" si="63"/>
        <v>2.442002442002442E-4</v>
      </c>
      <c r="G689" s="49">
        <f t="shared" si="65"/>
        <v>1.455604075691412E-3</v>
      </c>
    </row>
    <row r="690" spans="2:7" x14ac:dyDescent="0.25">
      <c r="B690" s="48">
        <f t="shared" si="64"/>
        <v>688</v>
      </c>
      <c r="C690" s="48">
        <f t="shared" si="60"/>
        <v>2820</v>
      </c>
      <c r="D690" s="48">
        <f t="shared" si="61"/>
        <v>688</v>
      </c>
      <c r="E690" s="48">
        <f t="shared" si="62"/>
        <v>1</v>
      </c>
      <c r="F690" s="49">
        <f t="shared" si="63"/>
        <v>2.442002442002442E-4</v>
      </c>
      <c r="G690" s="49">
        <f t="shared" si="65"/>
        <v>1.4534883720930232E-3</v>
      </c>
    </row>
    <row r="691" spans="2:7" x14ac:dyDescent="0.25">
      <c r="B691" s="48">
        <f t="shared" si="64"/>
        <v>689</v>
      </c>
      <c r="C691" s="48">
        <f t="shared" si="60"/>
        <v>2824</v>
      </c>
      <c r="D691" s="48">
        <f t="shared" si="61"/>
        <v>689</v>
      </c>
      <c r="E691" s="48">
        <f t="shared" si="62"/>
        <v>1</v>
      </c>
      <c r="F691" s="49">
        <f t="shared" si="63"/>
        <v>2.442002442002442E-4</v>
      </c>
      <c r="G691" s="49">
        <f t="shared" si="65"/>
        <v>1.4513788098693759E-3</v>
      </c>
    </row>
    <row r="692" spans="2:7" x14ac:dyDescent="0.25">
      <c r="B692" s="48">
        <f t="shared" si="64"/>
        <v>690</v>
      </c>
      <c r="C692" s="48">
        <f t="shared" si="60"/>
        <v>2828</v>
      </c>
      <c r="D692" s="48">
        <f t="shared" si="61"/>
        <v>690</v>
      </c>
      <c r="E692" s="48">
        <f t="shared" si="62"/>
        <v>1</v>
      </c>
      <c r="F692" s="49">
        <f t="shared" si="63"/>
        <v>2.442002442002442E-4</v>
      </c>
      <c r="G692" s="49">
        <f t="shared" si="65"/>
        <v>1.4492753623188406E-3</v>
      </c>
    </row>
    <row r="693" spans="2:7" x14ac:dyDescent="0.25">
      <c r="B693" s="48">
        <f t="shared" si="64"/>
        <v>691</v>
      </c>
      <c r="C693" s="48">
        <f t="shared" si="60"/>
        <v>2832</v>
      </c>
      <c r="D693" s="48">
        <f t="shared" si="61"/>
        <v>691</v>
      </c>
      <c r="E693" s="48">
        <f t="shared" si="62"/>
        <v>1</v>
      </c>
      <c r="F693" s="49">
        <f t="shared" si="63"/>
        <v>2.442002442002442E-4</v>
      </c>
      <c r="G693" s="49">
        <f t="shared" si="65"/>
        <v>1.4471780028943559E-3</v>
      </c>
    </row>
    <row r="694" spans="2:7" x14ac:dyDescent="0.25">
      <c r="B694" s="48">
        <f t="shared" si="64"/>
        <v>692</v>
      </c>
      <c r="C694" s="48">
        <f t="shared" si="60"/>
        <v>2837</v>
      </c>
      <c r="D694" s="48">
        <f t="shared" si="61"/>
        <v>692</v>
      </c>
      <c r="E694" s="48">
        <f t="shared" si="62"/>
        <v>1</v>
      </c>
      <c r="F694" s="49">
        <f t="shared" si="63"/>
        <v>2.442002442002442E-4</v>
      </c>
      <c r="G694" s="49">
        <f t="shared" si="65"/>
        <v>1.4450867052023121E-3</v>
      </c>
    </row>
    <row r="695" spans="2:7" x14ac:dyDescent="0.25">
      <c r="B695" s="48">
        <f t="shared" si="64"/>
        <v>693</v>
      </c>
      <c r="C695" s="48">
        <f t="shared" si="60"/>
        <v>2841</v>
      </c>
      <c r="D695" s="48">
        <f t="shared" si="61"/>
        <v>693</v>
      </c>
      <c r="E695" s="48">
        <f t="shared" si="62"/>
        <v>1</v>
      </c>
      <c r="F695" s="49">
        <f t="shared" si="63"/>
        <v>2.442002442002442E-4</v>
      </c>
      <c r="G695" s="49">
        <f t="shared" si="65"/>
        <v>1.443001443001443E-3</v>
      </c>
    </row>
    <row r="696" spans="2:7" x14ac:dyDescent="0.25">
      <c r="B696" s="48">
        <f t="shared" si="64"/>
        <v>694</v>
      </c>
      <c r="C696" s="48">
        <f t="shared" si="60"/>
        <v>2845</v>
      </c>
      <c r="D696" s="48">
        <f t="shared" si="61"/>
        <v>694</v>
      </c>
      <c r="E696" s="48">
        <f t="shared" si="62"/>
        <v>1</v>
      </c>
      <c r="F696" s="49">
        <f t="shared" si="63"/>
        <v>2.442002442002442E-4</v>
      </c>
      <c r="G696" s="49">
        <f t="shared" si="65"/>
        <v>1.440922190201729E-3</v>
      </c>
    </row>
    <row r="697" spans="2:7" x14ac:dyDescent="0.25">
      <c r="B697" s="48">
        <f t="shared" si="64"/>
        <v>695</v>
      </c>
      <c r="C697" s="48">
        <f t="shared" si="60"/>
        <v>2849</v>
      </c>
      <c r="D697" s="48">
        <f t="shared" si="61"/>
        <v>695</v>
      </c>
      <c r="E697" s="48">
        <f t="shared" si="62"/>
        <v>1</v>
      </c>
      <c r="F697" s="49">
        <f t="shared" si="63"/>
        <v>2.442002442002442E-4</v>
      </c>
      <c r="G697" s="49">
        <f t="shared" si="65"/>
        <v>1.4388489208633094E-3</v>
      </c>
    </row>
    <row r="698" spans="2:7" x14ac:dyDescent="0.25">
      <c r="B698" s="48">
        <f t="shared" si="64"/>
        <v>696</v>
      </c>
      <c r="C698" s="48">
        <f t="shared" si="60"/>
        <v>2853</v>
      </c>
      <c r="D698" s="48">
        <f t="shared" si="61"/>
        <v>696</v>
      </c>
      <c r="E698" s="48">
        <f t="shared" si="62"/>
        <v>1</v>
      </c>
      <c r="F698" s="49">
        <f t="shared" si="63"/>
        <v>2.442002442002442E-4</v>
      </c>
      <c r="G698" s="49">
        <f t="shared" si="65"/>
        <v>1.4367816091954023E-3</v>
      </c>
    </row>
    <row r="699" spans="2:7" x14ac:dyDescent="0.25">
      <c r="B699" s="48">
        <f t="shared" si="64"/>
        <v>697</v>
      </c>
      <c r="C699" s="48">
        <f t="shared" si="60"/>
        <v>2857</v>
      </c>
      <c r="D699" s="48">
        <f t="shared" si="61"/>
        <v>697</v>
      </c>
      <c r="E699" s="48">
        <f t="shared" si="62"/>
        <v>1</v>
      </c>
      <c r="F699" s="49">
        <f t="shared" si="63"/>
        <v>2.442002442002442E-4</v>
      </c>
      <c r="G699" s="49">
        <f t="shared" si="65"/>
        <v>1.4347202295552368E-3</v>
      </c>
    </row>
    <row r="700" spans="2:7" x14ac:dyDescent="0.25">
      <c r="B700" s="48">
        <f t="shared" si="64"/>
        <v>698</v>
      </c>
      <c r="C700" s="48">
        <f t="shared" si="60"/>
        <v>2861</v>
      </c>
      <c r="D700" s="48">
        <f t="shared" si="61"/>
        <v>698</v>
      </c>
      <c r="E700" s="48">
        <f t="shared" si="62"/>
        <v>1</v>
      </c>
      <c r="F700" s="49">
        <f t="shared" si="63"/>
        <v>2.442002442002442E-4</v>
      </c>
      <c r="G700" s="49">
        <f t="shared" si="65"/>
        <v>1.4326647564469914E-3</v>
      </c>
    </row>
    <row r="701" spans="2:7" x14ac:dyDescent="0.25">
      <c r="B701" s="48">
        <f t="shared" si="64"/>
        <v>699</v>
      </c>
      <c r="C701" s="48">
        <f t="shared" si="60"/>
        <v>2865</v>
      </c>
      <c r="D701" s="48">
        <f t="shared" si="61"/>
        <v>699</v>
      </c>
      <c r="E701" s="48">
        <f t="shared" si="62"/>
        <v>1</v>
      </c>
      <c r="F701" s="49">
        <f t="shared" si="63"/>
        <v>2.442002442002442E-4</v>
      </c>
      <c r="G701" s="49">
        <f t="shared" si="65"/>
        <v>1.4306151645207439E-3</v>
      </c>
    </row>
    <row r="702" spans="2:7" x14ac:dyDescent="0.25">
      <c r="B702" s="48">
        <f t="shared" si="64"/>
        <v>700</v>
      </c>
      <c r="C702" s="48">
        <f t="shared" si="60"/>
        <v>2869</v>
      </c>
      <c r="D702" s="48">
        <f t="shared" si="61"/>
        <v>700</v>
      </c>
      <c r="E702" s="48">
        <f t="shared" si="62"/>
        <v>1</v>
      </c>
      <c r="F702" s="49">
        <f t="shared" si="63"/>
        <v>2.442002442002442E-4</v>
      </c>
      <c r="G702" s="49">
        <f t="shared" si="65"/>
        <v>1.4285714285714286E-3</v>
      </c>
    </row>
    <row r="703" spans="2:7" x14ac:dyDescent="0.25">
      <c r="B703" s="48">
        <f t="shared" si="64"/>
        <v>701</v>
      </c>
      <c r="C703" s="48">
        <f t="shared" si="60"/>
        <v>2873</v>
      </c>
      <c r="D703" s="48">
        <f t="shared" si="61"/>
        <v>701</v>
      </c>
      <c r="E703" s="48">
        <f t="shared" si="62"/>
        <v>1</v>
      </c>
      <c r="F703" s="49">
        <f t="shared" si="63"/>
        <v>2.442002442002442E-4</v>
      </c>
      <c r="G703" s="49">
        <f t="shared" si="65"/>
        <v>1.4265335235378032E-3</v>
      </c>
    </row>
    <row r="704" spans="2:7" x14ac:dyDescent="0.25">
      <c r="B704" s="48">
        <f t="shared" si="64"/>
        <v>702</v>
      </c>
      <c r="C704" s="48">
        <f t="shared" si="60"/>
        <v>2878</v>
      </c>
      <c r="D704" s="48">
        <f t="shared" si="61"/>
        <v>702</v>
      </c>
      <c r="E704" s="48">
        <f t="shared" si="62"/>
        <v>1</v>
      </c>
      <c r="F704" s="49">
        <f t="shared" si="63"/>
        <v>2.442002442002442E-4</v>
      </c>
      <c r="G704" s="49">
        <f t="shared" si="65"/>
        <v>1.4245014245014246E-3</v>
      </c>
    </row>
    <row r="705" spans="2:7" x14ac:dyDescent="0.25">
      <c r="B705" s="48">
        <f t="shared" si="64"/>
        <v>703</v>
      </c>
      <c r="C705" s="48">
        <f t="shared" si="60"/>
        <v>2882</v>
      </c>
      <c r="D705" s="48">
        <f t="shared" si="61"/>
        <v>703</v>
      </c>
      <c r="E705" s="48">
        <f t="shared" si="62"/>
        <v>1</v>
      </c>
      <c r="F705" s="49">
        <f t="shared" si="63"/>
        <v>2.442002442002442E-4</v>
      </c>
      <c r="G705" s="49">
        <f t="shared" si="65"/>
        <v>1.4224751066856331E-3</v>
      </c>
    </row>
    <row r="706" spans="2:7" x14ac:dyDescent="0.25">
      <c r="B706" s="48">
        <f t="shared" si="64"/>
        <v>704</v>
      </c>
      <c r="C706" s="48">
        <f t="shared" si="60"/>
        <v>2886</v>
      </c>
      <c r="D706" s="48">
        <f t="shared" si="61"/>
        <v>704</v>
      </c>
      <c r="E706" s="48">
        <f t="shared" si="62"/>
        <v>1</v>
      </c>
      <c r="F706" s="49">
        <f t="shared" si="63"/>
        <v>2.442002442002442E-4</v>
      </c>
      <c r="G706" s="49">
        <f t="shared" si="65"/>
        <v>1.4204545454545455E-3</v>
      </c>
    </row>
    <row r="707" spans="2:7" x14ac:dyDescent="0.25">
      <c r="B707" s="48">
        <f t="shared" si="64"/>
        <v>705</v>
      </c>
      <c r="C707" s="48">
        <f t="shared" ref="C707:C770" si="66">ROUND(B707*C$1/(B$1-1),0)</f>
        <v>2890</v>
      </c>
      <c r="D707" s="48">
        <f t="shared" ref="D707:D770" si="67">MAX(ROUND(D$1^(B707+1),0),B707)</f>
        <v>705</v>
      </c>
      <c r="E707" s="48">
        <f t="shared" ref="E707:E770" si="68">D707-D706</f>
        <v>1</v>
      </c>
      <c r="F707" s="49">
        <f t="shared" ref="F707:F770" si="69">E707/C$1</f>
        <v>2.442002442002442E-4</v>
      </c>
      <c r="G707" s="49">
        <f t="shared" si="65"/>
        <v>1.4184397163120568E-3</v>
      </c>
    </row>
    <row r="708" spans="2:7" x14ac:dyDescent="0.25">
      <c r="B708" s="48">
        <f t="shared" ref="B708:B771" si="70">B707+1</f>
        <v>706</v>
      </c>
      <c r="C708" s="48">
        <f t="shared" si="66"/>
        <v>2894</v>
      </c>
      <c r="D708" s="48">
        <f t="shared" si="67"/>
        <v>706</v>
      </c>
      <c r="E708" s="48">
        <f t="shared" si="68"/>
        <v>1</v>
      </c>
      <c r="F708" s="49">
        <f t="shared" si="69"/>
        <v>2.442002442002442E-4</v>
      </c>
      <c r="G708" s="49">
        <f t="shared" ref="G708:G771" si="71">E708/D708</f>
        <v>1.4164305949008499E-3</v>
      </c>
    </row>
    <row r="709" spans="2:7" x14ac:dyDescent="0.25">
      <c r="B709" s="48">
        <f t="shared" si="70"/>
        <v>707</v>
      </c>
      <c r="C709" s="48">
        <f t="shared" si="66"/>
        <v>2898</v>
      </c>
      <c r="D709" s="48">
        <f t="shared" si="67"/>
        <v>707</v>
      </c>
      <c r="E709" s="48">
        <f t="shared" si="68"/>
        <v>1</v>
      </c>
      <c r="F709" s="49">
        <f t="shared" si="69"/>
        <v>2.442002442002442E-4</v>
      </c>
      <c r="G709" s="49">
        <f t="shared" si="71"/>
        <v>1.4144271570014145E-3</v>
      </c>
    </row>
    <row r="710" spans="2:7" x14ac:dyDescent="0.25">
      <c r="B710" s="48">
        <f t="shared" si="70"/>
        <v>708</v>
      </c>
      <c r="C710" s="48">
        <f t="shared" si="66"/>
        <v>2902</v>
      </c>
      <c r="D710" s="48">
        <f t="shared" si="67"/>
        <v>708</v>
      </c>
      <c r="E710" s="48">
        <f t="shared" si="68"/>
        <v>1</v>
      </c>
      <c r="F710" s="49">
        <f t="shared" si="69"/>
        <v>2.442002442002442E-4</v>
      </c>
      <c r="G710" s="49">
        <f t="shared" si="71"/>
        <v>1.4124293785310734E-3</v>
      </c>
    </row>
    <row r="711" spans="2:7" x14ac:dyDescent="0.25">
      <c r="B711" s="48">
        <f t="shared" si="70"/>
        <v>709</v>
      </c>
      <c r="C711" s="48">
        <f t="shared" si="66"/>
        <v>2906</v>
      </c>
      <c r="D711" s="48">
        <f t="shared" si="67"/>
        <v>709</v>
      </c>
      <c r="E711" s="48">
        <f t="shared" si="68"/>
        <v>1</v>
      </c>
      <c r="F711" s="49">
        <f t="shared" si="69"/>
        <v>2.442002442002442E-4</v>
      </c>
      <c r="G711" s="49">
        <f t="shared" si="71"/>
        <v>1.4104372355430183E-3</v>
      </c>
    </row>
    <row r="712" spans="2:7" x14ac:dyDescent="0.25">
      <c r="B712" s="48">
        <f t="shared" si="70"/>
        <v>710</v>
      </c>
      <c r="C712" s="48">
        <f t="shared" si="66"/>
        <v>2910</v>
      </c>
      <c r="D712" s="48">
        <f t="shared" si="67"/>
        <v>710</v>
      </c>
      <c r="E712" s="48">
        <f t="shared" si="68"/>
        <v>1</v>
      </c>
      <c r="F712" s="49">
        <f t="shared" si="69"/>
        <v>2.442002442002442E-4</v>
      </c>
      <c r="G712" s="49">
        <f t="shared" si="71"/>
        <v>1.4084507042253522E-3</v>
      </c>
    </row>
    <row r="713" spans="2:7" x14ac:dyDescent="0.25">
      <c r="B713" s="48">
        <f t="shared" si="70"/>
        <v>711</v>
      </c>
      <c r="C713" s="48">
        <f t="shared" si="66"/>
        <v>2914</v>
      </c>
      <c r="D713" s="48">
        <f t="shared" si="67"/>
        <v>711</v>
      </c>
      <c r="E713" s="48">
        <f t="shared" si="68"/>
        <v>1</v>
      </c>
      <c r="F713" s="49">
        <f t="shared" si="69"/>
        <v>2.442002442002442E-4</v>
      </c>
      <c r="G713" s="49">
        <f t="shared" si="71"/>
        <v>1.4064697609001407E-3</v>
      </c>
    </row>
    <row r="714" spans="2:7" x14ac:dyDescent="0.25">
      <c r="B714" s="48">
        <f t="shared" si="70"/>
        <v>712</v>
      </c>
      <c r="C714" s="48">
        <f t="shared" si="66"/>
        <v>2919</v>
      </c>
      <c r="D714" s="48">
        <f t="shared" si="67"/>
        <v>712</v>
      </c>
      <c r="E714" s="48">
        <f t="shared" si="68"/>
        <v>1</v>
      </c>
      <c r="F714" s="49">
        <f t="shared" si="69"/>
        <v>2.442002442002442E-4</v>
      </c>
      <c r="G714" s="49">
        <f t="shared" si="71"/>
        <v>1.4044943820224719E-3</v>
      </c>
    </row>
    <row r="715" spans="2:7" x14ac:dyDescent="0.25">
      <c r="B715" s="48">
        <f t="shared" si="70"/>
        <v>713</v>
      </c>
      <c r="C715" s="48">
        <f t="shared" si="66"/>
        <v>2923</v>
      </c>
      <c r="D715" s="48">
        <f t="shared" si="67"/>
        <v>713</v>
      </c>
      <c r="E715" s="48">
        <f t="shared" si="68"/>
        <v>1</v>
      </c>
      <c r="F715" s="49">
        <f t="shared" si="69"/>
        <v>2.442002442002442E-4</v>
      </c>
      <c r="G715" s="49">
        <f t="shared" si="71"/>
        <v>1.4025245441795231E-3</v>
      </c>
    </row>
    <row r="716" spans="2:7" x14ac:dyDescent="0.25">
      <c r="B716" s="48">
        <f t="shared" si="70"/>
        <v>714</v>
      </c>
      <c r="C716" s="48">
        <f t="shared" si="66"/>
        <v>2927</v>
      </c>
      <c r="D716" s="48">
        <f t="shared" si="67"/>
        <v>714</v>
      </c>
      <c r="E716" s="48">
        <f t="shared" si="68"/>
        <v>1</v>
      </c>
      <c r="F716" s="49">
        <f t="shared" si="69"/>
        <v>2.442002442002442E-4</v>
      </c>
      <c r="G716" s="49">
        <f t="shared" si="71"/>
        <v>1.4005602240896359E-3</v>
      </c>
    </row>
    <row r="717" spans="2:7" x14ac:dyDescent="0.25">
      <c r="B717" s="48">
        <f t="shared" si="70"/>
        <v>715</v>
      </c>
      <c r="C717" s="48">
        <f t="shared" si="66"/>
        <v>2931</v>
      </c>
      <c r="D717" s="48">
        <f t="shared" si="67"/>
        <v>715</v>
      </c>
      <c r="E717" s="48">
        <f t="shared" si="68"/>
        <v>1</v>
      </c>
      <c r="F717" s="49">
        <f t="shared" si="69"/>
        <v>2.442002442002442E-4</v>
      </c>
      <c r="G717" s="49">
        <f t="shared" si="71"/>
        <v>1.3986013986013986E-3</v>
      </c>
    </row>
    <row r="718" spans="2:7" x14ac:dyDescent="0.25">
      <c r="B718" s="48">
        <f t="shared" si="70"/>
        <v>716</v>
      </c>
      <c r="C718" s="48">
        <f t="shared" si="66"/>
        <v>2935</v>
      </c>
      <c r="D718" s="48">
        <f t="shared" si="67"/>
        <v>716</v>
      </c>
      <c r="E718" s="48">
        <f t="shared" si="68"/>
        <v>1</v>
      </c>
      <c r="F718" s="49">
        <f t="shared" si="69"/>
        <v>2.442002442002442E-4</v>
      </c>
      <c r="G718" s="49">
        <f t="shared" si="71"/>
        <v>1.3966480446927375E-3</v>
      </c>
    </row>
    <row r="719" spans="2:7" x14ac:dyDescent="0.25">
      <c r="B719" s="48">
        <f t="shared" si="70"/>
        <v>717</v>
      </c>
      <c r="C719" s="48">
        <f t="shared" si="66"/>
        <v>2939</v>
      </c>
      <c r="D719" s="48">
        <f t="shared" si="67"/>
        <v>717</v>
      </c>
      <c r="E719" s="48">
        <f t="shared" si="68"/>
        <v>1</v>
      </c>
      <c r="F719" s="49">
        <f t="shared" si="69"/>
        <v>2.442002442002442E-4</v>
      </c>
      <c r="G719" s="49">
        <f t="shared" si="71"/>
        <v>1.3947001394700139E-3</v>
      </c>
    </row>
    <row r="720" spans="2:7" x14ac:dyDescent="0.25">
      <c r="B720" s="48">
        <f t="shared" si="70"/>
        <v>718</v>
      </c>
      <c r="C720" s="48">
        <f t="shared" si="66"/>
        <v>2943</v>
      </c>
      <c r="D720" s="48">
        <f t="shared" si="67"/>
        <v>718</v>
      </c>
      <c r="E720" s="48">
        <f t="shared" si="68"/>
        <v>1</v>
      </c>
      <c r="F720" s="49">
        <f t="shared" si="69"/>
        <v>2.442002442002442E-4</v>
      </c>
      <c r="G720" s="49">
        <f t="shared" si="71"/>
        <v>1.3927576601671309E-3</v>
      </c>
    </row>
    <row r="721" spans="2:7" x14ac:dyDescent="0.25">
      <c r="B721" s="48">
        <f t="shared" si="70"/>
        <v>719</v>
      </c>
      <c r="C721" s="48">
        <f t="shared" si="66"/>
        <v>2947</v>
      </c>
      <c r="D721" s="48">
        <f t="shared" si="67"/>
        <v>719</v>
      </c>
      <c r="E721" s="48">
        <f t="shared" si="68"/>
        <v>1</v>
      </c>
      <c r="F721" s="49">
        <f t="shared" si="69"/>
        <v>2.442002442002442E-4</v>
      </c>
      <c r="G721" s="49">
        <f t="shared" si="71"/>
        <v>1.3908205841446453E-3</v>
      </c>
    </row>
    <row r="722" spans="2:7" x14ac:dyDescent="0.25">
      <c r="B722" s="48">
        <f t="shared" si="70"/>
        <v>720</v>
      </c>
      <c r="C722" s="48">
        <f t="shared" si="66"/>
        <v>2951</v>
      </c>
      <c r="D722" s="48">
        <f t="shared" si="67"/>
        <v>720</v>
      </c>
      <c r="E722" s="48">
        <f t="shared" si="68"/>
        <v>1</v>
      </c>
      <c r="F722" s="49">
        <f t="shared" si="69"/>
        <v>2.442002442002442E-4</v>
      </c>
      <c r="G722" s="49">
        <f t="shared" si="71"/>
        <v>1.3888888888888889E-3</v>
      </c>
    </row>
    <row r="723" spans="2:7" x14ac:dyDescent="0.25">
      <c r="B723" s="48">
        <f t="shared" si="70"/>
        <v>721</v>
      </c>
      <c r="C723" s="48">
        <f t="shared" si="66"/>
        <v>2955</v>
      </c>
      <c r="D723" s="48">
        <f t="shared" si="67"/>
        <v>721</v>
      </c>
      <c r="E723" s="48">
        <f t="shared" si="68"/>
        <v>1</v>
      </c>
      <c r="F723" s="49">
        <f t="shared" si="69"/>
        <v>2.442002442002442E-4</v>
      </c>
      <c r="G723" s="49">
        <f t="shared" si="71"/>
        <v>1.3869625520110957E-3</v>
      </c>
    </row>
    <row r="724" spans="2:7" x14ac:dyDescent="0.25">
      <c r="B724" s="48">
        <f t="shared" si="70"/>
        <v>722</v>
      </c>
      <c r="C724" s="48">
        <f t="shared" si="66"/>
        <v>2960</v>
      </c>
      <c r="D724" s="48">
        <f t="shared" si="67"/>
        <v>722</v>
      </c>
      <c r="E724" s="48">
        <f t="shared" si="68"/>
        <v>1</v>
      </c>
      <c r="F724" s="49">
        <f t="shared" si="69"/>
        <v>2.442002442002442E-4</v>
      </c>
      <c r="G724" s="49">
        <f t="shared" si="71"/>
        <v>1.3850415512465374E-3</v>
      </c>
    </row>
    <row r="725" spans="2:7" x14ac:dyDescent="0.25">
      <c r="B725" s="48">
        <f t="shared" si="70"/>
        <v>723</v>
      </c>
      <c r="C725" s="48">
        <f t="shared" si="66"/>
        <v>2964</v>
      </c>
      <c r="D725" s="48">
        <f t="shared" si="67"/>
        <v>723</v>
      </c>
      <c r="E725" s="48">
        <f t="shared" si="68"/>
        <v>1</v>
      </c>
      <c r="F725" s="49">
        <f t="shared" si="69"/>
        <v>2.442002442002442E-4</v>
      </c>
      <c r="G725" s="49">
        <f t="shared" si="71"/>
        <v>1.3831258644536654E-3</v>
      </c>
    </row>
    <row r="726" spans="2:7" x14ac:dyDescent="0.25">
      <c r="B726" s="48">
        <f t="shared" si="70"/>
        <v>724</v>
      </c>
      <c r="C726" s="48">
        <f t="shared" si="66"/>
        <v>2968</v>
      </c>
      <c r="D726" s="48">
        <f t="shared" si="67"/>
        <v>724</v>
      </c>
      <c r="E726" s="48">
        <f t="shared" si="68"/>
        <v>1</v>
      </c>
      <c r="F726" s="49">
        <f t="shared" si="69"/>
        <v>2.442002442002442E-4</v>
      </c>
      <c r="G726" s="49">
        <f t="shared" si="71"/>
        <v>1.3812154696132596E-3</v>
      </c>
    </row>
    <row r="727" spans="2:7" x14ac:dyDescent="0.25">
      <c r="B727" s="48">
        <f t="shared" si="70"/>
        <v>725</v>
      </c>
      <c r="C727" s="48">
        <f t="shared" si="66"/>
        <v>2972</v>
      </c>
      <c r="D727" s="48">
        <f t="shared" si="67"/>
        <v>725</v>
      </c>
      <c r="E727" s="48">
        <f t="shared" si="68"/>
        <v>1</v>
      </c>
      <c r="F727" s="49">
        <f t="shared" si="69"/>
        <v>2.442002442002442E-4</v>
      </c>
      <c r="G727" s="49">
        <f t="shared" si="71"/>
        <v>1.3793103448275861E-3</v>
      </c>
    </row>
    <row r="728" spans="2:7" x14ac:dyDescent="0.25">
      <c r="B728" s="48">
        <f t="shared" si="70"/>
        <v>726</v>
      </c>
      <c r="C728" s="48">
        <f t="shared" si="66"/>
        <v>2976</v>
      </c>
      <c r="D728" s="48">
        <f t="shared" si="67"/>
        <v>726</v>
      </c>
      <c r="E728" s="48">
        <f t="shared" si="68"/>
        <v>1</v>
      </c>
      <c r="F728" s="49">
        <f t="shared" si="69"/>
        <v>2.442002442002442E-4</v>
      </c>
      <c r="G728" s="49">
        <f t="shared" si="71"/>
        <v>1.3774104683195593E-3</v>
      </c>
    </row>
    <row r="729" spans="2:7" x14ac:dyDescent="0.25">
      <c r="B729" s="48">
        <f t="shared" si="70"/>
        <v>727</v>
      </c>
      <c r="C729" s="48">
        <f t="shared" si="66"/>
        <v>2980</v>
      </c>
      <c r="D729" s="48">
        <f t="shared" si="67"/>
        <v>727</v>
      </c>
      <c r="E729" s="48">
        <f t="shared" si="68"/>
        <v>1</v>
      </c>
      <c r="F729" s="49">
        <f t="shared" si="69"/>
        <v>2.442002442002442E-4</v>
      </c>
      <c r="G729" s="49">
        <f t="shared" si="71"/>
        <v>1.375515818431912E-3</v>
      </c>
    </row>
    <row r="730" spans="2:7" x14ac:dyDescent="0.25">
      <c r="B730" s="48">
        <f t="shared" si="70"/>
        <v>728</v>
      </c>
      <c r="C730" s="48">
        <f t="shared" si="66"/>
        <v>2984</v>
      </c>
      <c r="D730" s="48">
        <f t="shared" si="67"/>
        <v>728</v>
      </c>
      <c r="E730" s="48">
        <f t="shared" si="68"/>
        <v>1</v>
      </c>
      <c r="F730" s="49">
        <f t="shared" si="69"/>
        <v>2.442002442002442E-4</v>
      </c>
      <c r="G730" s="49">
        <f t="shared" si="71"/>
        <v>1.3736263736263737E-3</v>
      </c>
    </row>
    <row r="731" spans="2:7" x14ac:dyDescent="0.25">
      <c r="B731" s="48">
        <f t="shared" si="70"/>
        <v>729</v>
      </c>
      <c r="C731" s="48">
        <f t="shared" si="66"/>
        <v>2988</v>
      </c>
      <c r="D731" s="48">
        <f t="shared" si="67"/>
        <v>729</v>
      </c>
      <c r="E731" s="48">
        <f t="shared" si="68"/>
        <v>1</v>
      </c>
      <c r="F731" s="49">
        <f t="shared" si="69"/>
        <v>2.442002442002442E-4</v>
      </c>
      <c r="G731" s="49">
        <f t="shared" si="71"/>
        <v>1.3717421124828531E-3</v>
      </c>
    </row>
    <row r="732" spans="2:7" x14ac:dyDescent="0.25">
      <c r="B732" s="48">
        <f t="shared" si="70"/>
        <v>730</v>
      </c>
      <c r="C732" s="48">
        <f t="shared" si="66"/>
        <v>2992</v>
      </c>
      <c r="D732" s="48">
        <f t="shared" si="67"/>
        <v>730</v>
      </c>
      <c r="E732" s="48">
        <f t="shared" si="68"/>
        <v>1</v>
      </c>
      <c r="F732" s="49">
        <f t="shared" si="69"/>
        <v>2.442002442002442E-4</v>
      </c>
      <c r="G732" s="49">
        <f t="shared" si="71"/>
        <v>1.3698630136986301E-3</v>
      </c>
    </row>
    <row r="733" spans="2:7" x14ac:dyDescent="0.25">
      <c r="B733" s="48">
        <f t="shared" si="70"/>
        <v>731</v>
      </c>
      <c r="C733" s="48">
        <f t="shared" si="66"/>
        <v>2996</v>
      </c>
      <c r="D733" s="48">
        <f t="shared" si="67"/>
        <v>731</v>
      </c>
      <c r="E733" s="48">
        <f t="shared" si="68"/>
        <v>1</v>
      </c>
      <c r="F733" s="49">
        <f t="shared" si="69"/>
        <v>2.442002442002442E-4</v>
      </c>
      <c r="G733" s="49">
        <f t="shared" si="71"/>
        <v>1.3679890560875513E-3</v>
      </c>
    </row>
    <row r="734" spans="2:7" x14ac:dyDescent="0.25">
      <c r="B734" s="48">
        <f t="shared" si="70"/>
        <v>732</v>
      </c>
      <c r="C734" s="48">
        <f t="shared" si="66"/>
        <v>3001</v>
      </c>
      <c r="D734" s="48">
        <f t="shared" si="67"/>
        <v>732</v>
      </c>
      <c r="E734" s="48">
        <f t="shared" si="68"/>
        <v>1</v>
      </c>
      <c r="F734" s="49">
        <f t="shared" si="69"/>
        <v>2.442002442002442E-4</v>
      </c>
      <c r="G734" s="49">
        <f t="shared" si="71"/>
        <v>1.366120218579235E-3</v>
      </c>
    </row>
    <row r="735" spans="2:7" x14ac:dyDescent="0.25">
      <c r="B735" s="48">
        <f t="shared" si="70"/>
        <v>733</v>
      </c>
      <c r="C735" s="48">
        <f t="shared" si="66"/>
        <v>3005</v>
      </c>
      <c r="D735" s="48">
        <f t="shared" si="67"/>
        <v>733</v>
      </c>
      <c r="E735" s="48">
        <f t="shared" si="68"/>
        <v>1</v>
      </c>
      <c r="F735" s="49">
        <f t="shared" si="69"/>
        <v>2.442002442002442E-4</v>
      </c>
      <c r="G735" s="49">
        <f t="shared" si="71"/>
        <v>1.364256480218281E-3</v>
      </c>
    </row>
    <row r="736" spans="2:7" x14ac:dyDescent="0.25">
      <c r="B736" s="48">
        <f t="shared" si="70"/>
        <v>734</v>
      </c>
      <c r="C736" s="48">
        <f t="shared" si="66"/>
        <v>3009</v>
      </c>
      <c r="D736" s="48">
        <f t="shared" si="67"/>
        <v>734</v>
      </c>
      <c r="E736" s="48">
        <f t="shared" si="68"/>
        <v>1</v>
      </c>
      <c r="F736" s="49">
        <f t="shared" si="69"/>
        <v>2.442002442002442E-4</v>
      </c>
      <c r="G736" s="49">
        <f t="shared" si="71"/>
        <v>1.3623978201634877E-3</v>
      </c>
    </row>
    <row r="737" spans="2:7" x14ac:dyDescent="0.25">
      <c r="B737" s="48">
        <f t="shared" si="70"/>
        <v>735</v>
      </c>
      <c r="C737" s="48">
        <f t="shared" si="66"/>
        <v>3013</v>
      </c>
      <c r="D737" s="48">
        <f t="shared" si="67"/>
        <v>735</v>
      </c>
      <c r="E737" s="48">
        <f t="shared" si="68"/>
        <v>1</v>
      </c>
      <c r="F737" s="49">
        <f t="shared" si="69"/>
        <v>2.442002442002442E-4</v>
      </c>
      <c r="G737" s="49">
        <f t="shared" si="71"/>
        <v>1.3605442176870747E-3</v>
      </c>
    </row>
    <row r="738" spans="2:7" x14ac:dyDescent="0.25">
      <c r="B738" s="48">
        <f t="shared" si="70"/>
        <v>736</v>
      </c>
      <c r="C738" s="48">
        <f t="shared" si="66"/>
        <v>3017</v>
      </c>
      <c r="D738" s="48">
        <f t="shared" si="67"/>
        <v>736</v>
      </c>
      <c r="E738" s="48">
        <f t="shared" si="68"/>
        <v>1</v>
      </c>
      <c r="F738" s="49">
        <f t="shared" si="69"/>
        <v>2.442002442002442E-4</v>
      </c>
      <c r="G738" s="49">
        <f t="shared" si="71"/>
        <v>1.358695652173913E-3</v>
      </c>
    </row>
    <row r="739" spans="2:7" x14ac:dyDescent="0.25">
      <c r="B739" s="48">
        <f t="shared" si="70"/>
        <v>737</v>
      </c>
      <c r="C739" s="48">
        <f t="shared" si="66"/>
        <v>3021</v>
      </c>
      <c r="D739" s="48">
        <f t="shared" si="67"/>
        <v>737</v>
      </c>
      <c r="E739" s="48">
        <f t="shared" si="68"/>
        <v>1</v>
      </c>
      <c r="F739" s="49">
        <f t="shared" si="69"/>
        <v>2.442002442002442E-4</v>
      </c>
      <c r="G739" s="49">
        <f t="shared" si="71"/>
        <v>1.3568521031207597E-3</v>
      </c>
    </row>
    <row r="740" spans="2:7" x14ac:dyDescent="0.25">
      <c r="B740" s="48">
        <f t="shared" si="70"/>
        <v>738</v>
      </c>
      <c r="C740" s="48">
        <f t="shared" si="66"/>
        <v>3025</v>
      </c>
      <c r="D740" s="48">
        <f t="shared" si="67"/>
        <v>738</v>
      </c>
      <c r="E740" s="48">
        <f t="shared" si="68"/>
        <v>1</v>
      </c>
      <c r="F740" s="49">
        <f t="shared" si="69"/>
        <v>2.442002442002442E-4</v>
      </c>
      <c r="G740" s="49">
        <f t="shared" si="71"/>
        <v>1.3550135501355014E-3</v>
      </c>
    </row>
    <row r="741" spans="2:7" x14ac:dyDescent="0.25">
      <c r="B741" s="48">
        <f t="shared" si="70"/>
        <v>739</v>
      </c>
      <c r="C741" s="48">
        <f t="shared" si="66"/>
        <v>3029</v>
      </c>
      <c r="D741" s="48">
        <f t="shared" si="67"/>
        <v>739</v>
      </c>
      <c r="E741" s="48">
        <f t="shared" si="68"/>
        <v>1</v>
      </c>
      <c r="F741" s="49">
        <f t="shared" si="69"/>
        <v>2.442002442002442E-4</v>
      </c>
      <c r="G741" s="49">
        <f t="shared" si="71"/>
        <v>1.3531799729364006E-3</v>
      </c>
    </row>
    <row r="742" spans="2:7" x14ac:dyDescent="0.25">
      <c r="B742" s="48">
        <f t="shared" si="70"/>
        <v>740</v>
      </c>
      <c r="C742" s="48">
        <f t="shared" si="66"/>
        <v>3033</v>
      </c>
      <c r="D742" s="48">
        <f t="shared" si="67"/>
        <v>740</v>
      </c>
      <c r="E742" s="48">
        <f t="shared" si="68"/>
        <v>1</v>
      </c>
      <c r="F742" s="49">
        <f t="shared" si="69"/>
        <v>2.442002442002442E-4</v>
      </c>
      <c r="G742" s="49">
        <f t="shared" si="71"/>
        <v>1.3513513513513514E-3</v>
      </c>
    </row>
    <row r="743" spans="2:7" x14ac:dyDescent="0.25">
      <c r="B743" s="48">
        <f t="shared" si="70"/>
        <v>741</v>
      </c>
      <c r="C743" s="48">
        <f t="shared" si="66"/>
        <v>3037</v>
      </c>
      <c r="D743" s="48">
        <f t="shared" si="67"/>
        <v>741</v>
      </c>
      <c r="E743" s="48">
        <f t="shared" si="68"/>
        <v>1</v>
      </c>
      <c r="F743" s="49">
        <f t="shared" si="69"/>
        <v>2.442002442002442E-4</v>
      </c>
      <c r="G743" s="49">
        <f t="shared" si="71"/>
        <v>1.3495276653171389E-3</v>
      </c>
    </row>
    <row r="744" spans="2:7" x14ac:dyDescent="0.25">
      <c r="B744" s="48">
        <f t="shared" si="70"/>
        <v>742</v>
      </c>
      <c r="C744" s="48">
        <f t="shared" si="66"/>
        <v>3042</v>
      </c>
      <c r="D744" s="48">
        <f t="shared" si="67"/>
        <v>742</v>
      </c>
      <c r="E744" s="48">
        <f t="shared" si="68"/>
        <v>1</v>
      </c>
      <c r="F744" s="49">
        <f t="shared" si="69"/>
        <v>2.442002442002442E-4</v>
      </c>
      <c r="G744" s="49">
        <f t="shared" si="71"/>
        <v>1.3477088948787063E-3</v>
      </c>
    </row>
    <row r="745" spans="2:7" x14ac:dyDescent="0.25">
      <c r="B745" s="48">
        <f t="shared" si="70"/>
        <v>743</v>
      </c>
      <c r="C745" s="48">
        <f t="shared" si="66"/>
        <v>3046</v>
      </c>
      <c r="D745" s="48">
        <f t="shared" si="67"/>
        <v>743</v>
      </c>
      <c r="E745" s="48">
        <f t="shared" si="68"/>
        <v>1</v>
      </c>
      <c r="F745" s="49">
        <f t="shared" si="69"/>
        <v>2.442002442002442E-4</v>
      </c>
      <c r="G745" s="49">
        <f t="shared" si="71"/>
        <v>1.3458950201884253E-3</v>
      </c>
    </row>
    <row r="746" spans="2:7" x14ac:dyDescent="0.25">
      <c r="B746" s="48">
        <f t="shared" si="70"/>
        <v>744</v>
      </c>
      <c r="C746" s="48">
        <f t="shared" si="66"/>
        <v>3050</v>
      </c>
      <c r="D746" s="48">
        <f t="shared" si="67"/>
        <v>744</v>
      </c>
      <c r="E746" s="48">
        <f t="shared" si="68"/>
        <v>1</v>
      </c>
      <c r="F746" s="49">
        <f t="shared" si="69"/>
        <v>2.442002442002442E-4</v>
      </c>
      <c r="G746" s="49">
        <f t="shared" si="71"/>
        <v>1.3440860215053765E-3</v>
      </c>
    </row>
    <row r="747" spans="2:7" x14ac:dyDescent="0.25">
      <c r="B747" s="48">
        <f t="shared" si="70"/>
        <v>745</v>
      </c>
      <c r="C747" s="48">
        <f t="shared" si="66"/>
        <v>3054</v>
      </c>
      <c r="D747" s="48">
        <f t="shared" si="67"/>
        <v>745</v>
      </c>
      <c r="E747" s="48">
        <f t="shared" si="68"/>
        <v>1</v>
      </c>
      <c r="F747" s="49">
        <f t="shared" si="69"/>
        <v>2.442002442002442E-4</v>
      </c>
      <c r="G747" s="49">
        <f t="shared" si="71"/>
        <v>1.3422818791946308E-3</v>
      </c>
    </row>
    <row r="748" spans="2:7" x14ac:dyDescent="0.25">
      <c r="B748" s="48">
        <f t="shared" si="70"/>
        <v>746</v>
      </c>
      <c r="C748" s="48">
        <f t="shared" si="66"/>
        <v>3058</v>
      </c>
      <c r="D748" s="48">
        <f t="shared" si="67"/>
        <v>746</v>
      </c>
      <c r="E748" s="48">
        <f t="shared" si="68"/>
        <v>1</v>
      </c>
      <c r="F748" s="49">
        <f t="shared" si="69"/>
        <v>2.442002442002442E-4</v>
      </c>
      <c r="G748" s="49">
        <f t="shared" si="71"/>
        <v>1.3404825737265416E-3</v>
      </c>
    </row>
    <row r="749" spans="2:7" x14ac:dyDescent="0.25">
      <c r="B749" s="48">
        <f t="shared" si="70"/>
        <v>747</v>
      </c>
      <c r="C749" s="48">
        <f t="shared" si="66"/>
        <v>3062</v>
      </c>
      <c r="D749" s="48">
        <f t="shared" si="67"/>
        <v>747</v>
      </c>
      <c r="E749" s="48">
        <f t="shared" si="68"/>
        <v>1</v>
      </c>
      <c r="F749" s="49">
        <f t="shared" si="69"/>
        <v>2.442002442002442E-4</v>
      </c>
      <c r="G749" s="49">
        <f t="shared" si="71"/>
        <v>1.3386880856760374E-3</v>
      </c>
    </row>
    <row r="750" spans="2:7" x14ac:dyDescent="0.25">
      <c r="B750" s="48">
        <f t="shared" si="70"/>
        <v>748</v>
      </c>
      <c r="C750" s="48">
        <f t="shared" si="66"/>
        <v>3066</v>
      </c>
      <c r="D750" s="48">
        <f t="shared" si="67"/>
        <v>748</v>
      </c>
      <c r="E750" s="48">
        <f t="shared" si="68"/>
        <v>1</v>
      </c>
      <c r="F750" s="49">
        <f t="shared" si="69"/>
        <v>2.442002442002442E-4</v>
      </c>
      <c r="G750" s="49">
        <f t="shared" si="71"/>
        <v>1.3368983957219251E-3</v>
      </c>
    </row>
    <row r="751" spans="2:7" x14ac:dyDescent="0.25">
      <c r="B751" s="48">
        <f t="shared" si="70"/>
        <v>749</v>
      </c>
      <c r="C751" s="48">
        <f t="shared" si="66"/>
        <v>3070</v>
      </c>
      <c r="D751" s="48">
        <f t="shared" si="67"/>
        <v>749</v>
      </c>
      <c r="E751" s="48">
        <f t="shared" si="68"/>
        <v>1</v>
      </c>
      <c r="F751" s="49">
        <f t="shared" si="69"/>
        <v>2.442002442002442E-4</v>
      </c>
      <c r="G751" s="49">
        <f t="shared" si="71"/>
        <v>1.3351134846461949E-3</v>
      </c>
    </row>
    <row r="752" spans="2:7" x14ac:dyDescent="0.25">
      <c r="B752" s="48">
        <f t="shared" si="70"/>
        <v>750</v>
      </c>
      <c r="C752" s="48">
        <f t="shared" si="66"/>
        <v>3074</v>
      </c>
      <c r="D752" s="48">
        <f t="shared" si="67"/>
        <v>750</v>
      </c>
      <c r="E752" s="48">
        <f t="shared" si="68"/>
        <v>1</v>
      </c>
      <c r="F752" s="49">
        <f t="shared" si="69"/>
        <v>2.442002442002442E-4</v>
      </c>
      <c r="G752" s="49">
        <f t="shared" si="71"/>
        <v>1.3333333333333333E-3</v>
      </c>
    </row>
    <row r="753" spans="2:7" x14ac:dyDescent="0.25">
      <c r="B753" s="48">
        <f t="shared" si="70"/>
        <v>751</v>
      </c>
      <c r="C753" s="48">
        <f t="shared" si="66"/>
        <v>3078</v>
      </c>
      <c r="D753" s="48">
        <f t="shared" si="67"/>
        <v>751</v>
      </c>
      <c r="E753" s="48">
        <f t="shared" si="68"/>
        <v>1</v>
      </c>
      <c r="F753" s="49">
        <f t="shared" si="69"/>
        <v>2.442002442002442E-4</v>
      </c>
      <c r="G753" s="49">
        <f t="shared" si="71"/>
        <v>1.3315579227696406E-3</v>
      </c>
    </row>
    <row r="754" spans="2:7" x14ac:dyDescent="0.25">
      <c r="B754" s="48">
        <f t="shared" si="70"/>
        <v>752</v>
      </c>
      <c r="C754" s="48">
        <f t="shared" si="66"/>
        <v>3083</v>
      </c>
      <c r="D754" s="48">
        <f t="shared" si="67"/>
        <v>752</v>
      </c>
      <c r="E754" s="48">
        <f t="shared" si="68"/>
        <v>1</v>
      </c>
      <c r="F754" s="49">
        <f t="shared" si="69"/>
        <v>2.442002442002442E-4</v>
      </c>
      <c r="G754" s="49">
        <f t="shared" si="71"/>
        <v>1.3297872340425532E-3</v>
      </c>
    </row>
    <row r="755" spans="2:7" x14ac:dyDescent="0.25">
      <c r="B755" s="48">
        <f t="shared" si="70"/>
        <v>753</v>
      </c>
      <c r="C755" s="48">
        <f t="shared" si="66"/>
        <v>3087</v>
      </c>
      <c r="D755" s="48">
        <f t="shared" si="67"/>
        <v>753</v>
      </c>
      <c r="E755" s="48">
        <f t="shared" si="68"/>
        <v>1</v>
      </c>
      <c r="F755" s="49">
        <f t="shared" si="69"/>
        <v>2.442002442002442E-4</v>
      </c>
      <c r="G755" s="49">
        <f t="shared" si="71"/>
        <v>1.3280212483399733E-3</v>
      </c>
    </row>
    <row r="756" spans="2:7" x14ac:dyDescent="0.25">
      <c r="B756" s="48">
        <f t="shared" si="70"/>
        <v>754</v>
      </c>
      <c r="C756" s="48">
        <f t="shared" si="66"/>
        <v>3091</v>
      </c>
      <c r="D756" s="48">
        <f t="shared" si="67"/>
        <v>754</v>
      </c>
      <c r="E756" s="48">
        <f t="shared" si="68"/>
        <v>1</v>
      </c>
      <c r="F756" s="49">
        <f t="shared" si="69"/>
        <v>2.442002442002442E-4</v>
      </c>
      <c r="G756" s="49">
        <f t="shared" si="71"/>
        <v>1.3262599469496021E-3</v>
      </c>
    </row>
    <row r="757" spans="2:7" x14ac:dyDescent="0.25">
      <c r="B757" s="48">
        <f t="shared" si="70"/>
        <v>755</v>
      </c>
      <c r="C757" s="48">
        <f t="shared" si="66"/>
        <v>3095</v>
      </c>
      <c r="D757" s="48">
        <f t="shared" si="67"/>
        <v>755</v>
      </c>
      <c r="E757" s="48">
        <f t="shared" si="68"/>
        <v>1</v>
      </c>
      <c r="F757" s="49">
        <f t="shared" si="69"/>
        <v>2.442002442002442E-4</v>
      </c>
      <c r="G757" s="49">
        <f t="shared" si="71"/>
        <v>1.3245033112582781E-3</v>
      </c>
    </row>
    <row r="758" spans="2:7" x14ac:dyDescent="0.25">
      <c r="B758" s="48">
        <f t="shared" si="70"/>
        <v>756</v>
      </c>
      <c r="C758" s="48">
        <f t="shared" si="66"/>
        <v>3099</v>
      </c>
      <c r="D758" s="48">
        <f t="shared" si="67"/>
        <v>756</v>
      </c>
      <c r="E758" s="48">
        <f t="shared" si="68"/>
        <v>1</v>
      </c>
      <c r="F758" s="49">
        <f t="shared" si="69"/>
        <v>2.442002442002442E-4</v>
      </c>
      <c r="G758" s="49">
        <f t="shared" si="71"/>
        <v>1.3227513227513227E-3</v>
      </c>
    </row>
    <row r="759" spans="2:7" x14ac:dyDescent="0.25">
      <c r="B759" s="48">
        <f t="shared" si="70"/>
        <v>757</v>
      </c>
      <c r="C759" s="48">
        <f t="shared" si="66"/>
        <v>3103</v>
      </c>
      <c r="D759" s="48">
        <f t="shared" si="67"/>
        <v>757</v>
      </c>
      <c r="E759" s="48">
        <f t="shared" si="68"/>
        <v>1</v>
      </c>
      <c r="F759" s="49">
        <f t="shared" si="69"/>
        <v>2.442002442002442E-4</v>
      </c>
      <c r="G759" s="49">
        <f t="shared" si="71"/>
        <v>1.321003963011889E-3</v>
      </c>
    </row>
    <row r="760" spans="2:7" x14ac:dyDescent="0.25">
      <c r="B760" s="48">
        <f t="shared" si="70"/>
        <v>758</v>
      </c>
      <c r="C760" s="48">
        <f t="shared" si="66"/>
        <v>3107</v>
      </c>
      <c r="D760" s="48">
        <f t="shared" si="67"/>
        <v>758</v>
      </c>
      <c r="E760" s="48">
        <f t="shared" si="68"/>
        <v>1</v>
      </c>
      <c r="F760" s="49">
        <f t="shared" si="69"/>
        <v>2.442002442002442E-4</v>
      </c>
      <c r="G760" s="49">
        <f t="shared" si="71"/>
        <v>1.3192612137203166E-3</v>
      </c>
    </row>
    <row r="761" spans="2:7" x14ac:dyDescent="0.25">
      <c r="B761" s="48">
        <f t="shared" si="70"/>
        <v>759</v>
      </c>
      <c r="C761" s="48">
        <f t="shared" si="66"/>
        <v>3111</v>
      </c>
      <c r="D761" s="48">
        <f t="shared" si="67"/>
        <v>759</v>
      </c>
      <c r="E761" s="48">
        <f t="shared" si="68"/>
        <v>1</v>
      </c>
      <c r="F761" s="49">
        <f t="shared" si="69"/>
        <v>2.442002442002442E-4</v>
      </c>
      <c r="G761" s="49">
        <f t="shared" si="71"/>
        <v>1.3175230566534915E-3</v>
      </c>
    </row>
    <row r="762" spans="2:7" x14ac:dyDescent="0.25">
      <c r="B762" s="48">
        <f t="shared" si="70"/>
        <v>760</v>
      </c>
      <c r="C762" s="48">
        <f t="shared" si="66"/>
        <v>3115</v>
      </c>
      <c r="D762" s="48">
        <f t="shared" si="67"/>
        <v>760</v>
      </c>
      <c r="E762" s="48">
        <f t="shared" si="68"/>
        <v>1</v>
      </c>
      <c r="F762" s="49">
        <f t="shared" si="69"/>
        <v>2.442002442002442E-4</v>
      </c>
      <c r="G762" s="49">
        <f t="shared" si="71"/>
        <v>1.3157894736842105E-3</v>
      </c>
    </row>
    <row r="763" spans="2:7" x14ac:dyDescent="0.25">
      <c r="B763" s="48">
        <f t="shared" si="70"/>
        <v>761</v>
      </c>
      <c r="C763" s="48">
        <f t="shared" si="66"/>
        <v>3119</v>
      </c>
      <c r="D763" s="48">
        <f t="shared" si="67"/>
        <v>761</v>
      </c>
      <c r="E763" s="48">
        <f t="shared" si="68"/>
        <v>1</v>
      </c>
      <c r="F763" s="49">
        <f t="shared" si="69"/>
        <v>2.442002442002442E-4</v>
      </c>
      <c r="G763" s="49">
        <f t="shared" si="71"/>
        <v>1.3140604467805519E-3</v>
      </c>
    </row>
    <row r="764" spans="2:7" x14ac:dyDescent="0.25">
      <c r="B764" s="48">
        <f t="shared" si="70"/>
        <v>762</v>
      </c>
      <c r="C764" s="48">
        <f t="shared" si="66"/>
        <v>3124</v>
      </c>
      <c r="D764" s="48">
        <f t="shared" si="67"/>
        <v>762</v>
      </c>
      <c r="E764" s="48">
        <f t="shared" si="68"/>
        <v>1</v>
      </c>
      <c r="F764" s="49">
        <f t="shared" si="69"/>
        <v>2.442002442002442E-4</v>
      </c>
      <c r="G764" s="49">
        <f t="shared" si="71"/>
        <v>1.3123359580052493E-3</v>
      </c>
    </row>
    <row r="765" spans="2:7" x14ac:dyDescent="0.25">
      <c r="B765" s="48">
        <f t="shared" si="70"/>
        <v>763</v>
      </c>
      <c r="C765" s="48">
        <f t="shared" si="66"/>
        <v>3128</v>
      </c>
      <c r="D765" s="48">
        <f t="shared" si="67"/>
        <v>763</v>
      </c>
      <c r="E765" s="48">
        <f t="shared" si="68"/>
        <v>1</v>
      </c>
      <c r="F765" s="49">
        <f t="shared" si="69"/>
        <v>2.442002442002442E-4</v>
      </c>
      <c r="G765" s="49">
        <f t="shared" si="71"/>
        <v>1.3106159895150721E-3</v>
      </c>
    </row>
    <row r="766" spans="2:7" x14ac:dyDescent="0.25">
      <c r="B766" s="48">
        <f t="shared" si="70"/>
        <v>764</v>
      </c>
      <c r="C766" s="48">
        <f t="shared" si="66"/>
        <v>3132</v>
      </c>
      <c r="D766" s="48">
        <f t="shared" si="67"/>
        <v>764</v>
      </c>
      <c r="E766" s="48">
        <f t="shared" si="68"/>
        <v>1</v>
      </c>
      <c r="F766" s="49">
        <f t="shared" si="69"/>
        <v>2.442002442002442E-4</v>
      </c>
      <c r="G766" s="49">
        <f t="shared" si="71"/>
        <v>1.3089005235602095E-3</v>
      </c>
    </row>
    <row r="767" spans="2:7" x14ac:dyDescent="0.25">
      <c r="B767" s="48">
        <f t="shared" si="70"/>
        <v>765</v>
      </c>
      <c r="C767" s="48">
        <f t="shared" si="66"/>
        <v>3136</v>
      </c>
      <c r="D767" s="48">
        <f t="shared" si="67"/>
        <v>765</v>
      </c>
      <c r="E767" s="48">
        <f t="shared" si="68"/>
        <v>1</v>
      </c>
      <c r="F767" s="49">
        <f t="shared" si="69"/>
        <v>2.442002442002442E-4</v>
      </c>
      <c r="G767" s="49">
        <f t="shared" si="71"/>
        <v>1.30718954248366E-3</v>
      </c>
    </row>
    <row r="768" spans="2:7" x14ac:dyDescent="0.25">
      <c r="B768" s="48">
        <f t="shared" si="70"/>
        <v>766</v>
      </c>
      <c r="C768" s="48">
        <f t="shared" si="66"/>
        <v>3140</v>
      </c>
      <c r="D768" s="48">
        <f t="shared" si="67"/>
        <v>766</v>
      </c>
      <c r="E768" s="48">
        <f t="shared" si="68"/>
        <v>1</v>
      </c>
      <c r="F768" s="49">
        <f t="shared" si="69"/>
        <v>2.442002442002442E-4</v>
      </c>
      <c r="G768" s="49">
        <f t="shared" si="71"/>
        <v>1.3054830287206266E-3</v>
      </c>
    </row>
    <row r="769" spans="2:7" x14ac:dyDescent="0.25">
      <c r="B769" s="48">
        <f t="shared" si="70"/>
        <v>767</v>
      </c>
      <c r="C769" s="48">
        <f t="shared" si="66"/>
        <v>3144</v>
      </c>
      <c r="D769" s="48">
        <f t="shared" si="67"/>
        <v>767</v>
      </c>
      <c r="E769" s="48">
        <f t="shared" si="68"/>
        <v>1</v>
      </c>
      <c r="F769" s="49">
        <f t="shared" si="69"/>
        <v>2.442002442002442E-4</v>
      </c>
      <c r="G769" s="49">
        <f t="shared" si="71"/>
        <v>1.3037809647979139E-3</v>
      </c>
    </row>
    <row r="770" spans="2:7" x14ac:dyDescent="0.25">
      <c r="B770" s="48">
        <f t="shared" si="70"/>
        <v>768</v>
      </c>
      <c r="C770" s="48">
        <f t="shared" si="66"/>
        <v>3148</v>
      </c>
      <c r="D770" s="48">
        <f t="shared" si="67"/>
        <v>768</v>
      </c>
      <c r="E770" s="48">
        <f t="shared" si="68"/>
        <v>1</v>
      </c>
      <c r="F770" s="49">
        <f t="shared" si="69"/>
        <v>2.442002442002442E-4</v>
      </c>
      <c r="G770" s="49">
        <f t="shared" si="71"/>
        <v>1.3020833333333333E-3</v>
      </c>
    </row>
    <row r="771" spans="2:7" x14ac:dyDescent="0.25">
      <c r="B771" s="48">
        <f t="shared" si="70"/>
        <v>769</v>
      </c>
      <c r="C771" s="48">
        <f t="shared" ref="C771:C834" si="72">ROUND(B771*C$1/(B$1-1),0)</f>
        <v>3152</v>
      </c>
      <c r="D771" s="48">
        <f t="shared" ref="D771:D834" si="73">MAX(ROUND(D$1^(B771+1),0),B771)</f>
        <v>769</v>
      </c>
      <c r="E771" s="48">
        <f t="shared" ref="E771:E834" si="74">D771-D770</f>
        <v>1</v>
      </c>
      <c r="F771" s="49">
        <f t="shared" ref="F771:F834" si="75">E771/C$1</f>
        <v>2.442002442002442E-4</v>
      </c>
      <c r="G771" s="49">
        <f t="shared" si="71"/>
        <v>1.3003901170351106E-3</v>
      </c>
    </row>
    <row r="772" spans="2:7" x14ac:dyDescent="0.25">
      <c r="B772" s="48">
        <f t="shared" ref="B772:B835" si="76">B771+1</f>
        <v>770</v>
      </c>
      <c r="C772" s="48">
        <f t="shared" si="72"/>
        <v>3156</v>
      </c>
      <c r="D772" s="48">
        <f t="shared" si="73"/>
        <v>770</v>
      </c>
      <c r="E772" s="48">
        <f t="shared" si="74"/>
        <v>1</v>
      </c>
      <c r="F772" s="49">
        <f t="shared" si="75"/>
        <v>2.442002442002442E-4</v>
      </c>
      <c r="G772" s="49">
        <f t="shared" ref="G772:G835" si="77">E772/D772</f>
        <v>1.2987012987012987E-3</v>
      </c>
    </row>
    <row r="773" spans="2:7" x14ac:dyDescent="0.25">
      <c r="B773" s="48">
        <f t="shared" si="76"/>
        <v>771</v>
      </c>
      <c r="C773" s="48">
        <f t="shared" si="72"/>
        <v>3160</v>
      </c>
      <c r="D773" s="48">
        <f t="shared" si="73"/>
        <v>771</v>
      </c>
      <c r="E773" s="48">
        <f t="shared" si="74"/>
        <v>1</v>
      </c>
      <c r="F773" s="49">
        <f t="shared" si="75"/>
        <v>2.442002442002442E-4</v>
      </c>
      <c r="G773" s="49">
        <f t="shared" si="77"/>
        <v>1.2970168612191958E-3</v>
      </c>
    </row>
    <row r="774" spans="2:7" x14ac:dyDescent="0.25">
      <c r="B774" s="48">
        <f t="shared" si="76"/>
        <v>772</v>
      </c>
      <c r="C774" s="48">
        <f t="shared" si="72"/>
        <v>3165</v>
      </c>
      <c r="D774" s="48">
        <f t="shared" si="73"/>
        <v>772</v>
      </c>
      <c r="E774" s="48">
        <f t="shared" si="74"/>
        <v>1</v>
      </c>
      <c r="F774" s="49">
        <f t="shared" si="75"/>
        <v>2.442002442002442E-4</v>
      </c>
      <c r="G774" s="49">
        <f t="shared" si="77"/>
        <v>1.2953367875647669E-3</v>
      </c>
    </row>
    <row r="775" spans="2:7" x14ac:dyDescent="0.25">
      <c r="B775" s="48">
        <f t="shared" si="76"/>
        <v>773</v>
      </c>
      <c r="C775" s="48">
        <f t="shared" si="72"/>
        <v>3169</v>
      </c>
      <c r="D775" s="48">
        <f t="shared" si="73"/>
        <v>773</v>
      </c>
      <c r="E775" s="48">
        <f t="shared" si="74"/>
        <v>1</v>
      </c>
      <c r="F775" s="49">
        <f t="shared" si="75"/>
        <v>2.442002442002442E-4</v>
      </c>
      <c r="G775" s="49">
        <f t="shared" si="77"/>
        <v>1.29366106080207E-3</v>
      </c>
    </row>
    <row r="776" spans="2:7" x14ac:dyDescent="0.25">
      <c r="B776" s="48">
        <f t="shared" si="76"/>
        <v>774</v>
      </c>
      <c r="C776" s="48">
        <f t="shared" si="72"/>
        <v>3173</v>
      </c>
      <c r="D776" s="48">
        <f t="shared" si="73"/>
        <v>774</v>
      </c>
      <c r="E776" s="48">
        <f t="shared" si="74"/>
        <v>1</v>
      </c>
      <c r="F776" s="49">
        <f t="shared" si="75"/>
        <v>2.442002442002442E-4</v>
      </c>
      <c r="G776" s="49">
        <f t="shared" si="77"/>
        <v>1.2919896640826874E-3</v>
      </c>
    </row>
    <row r="777" spans="2:7" x14ac:dyDescent="0.25">
      <c r="B777" s="48">
        <f t="shared" si="76"/>
        <v>775</v>
      </c>
      <c r="C777" s="48">
        <f t="shared" si="72"/>
        <v>3177</v>
      </c>
      <c r="D777" s="48">
        <f t="shared" si="73"/>
        <v>775</v>
      </c>
      <c r="E777" s="48">
        <f t="shared" si="74"/>
        <v>1</v>
      </c>
      <c r="F777" s="49">
        <f t="shared" si="75"/>
        <v>2.442002442002442E-4</v>
      </c>
      <c r="G777" s="49">
        <f t="shared" si="77"/>
        <v>1.2903225806451613E-3</v>
      </c>
    </row>
    <row r="778" spans="2:7" x14ac:dyDescent="0.25">
      <c r="B778" s="48">
        <f t="shared" si="76"/>
        <v>776</v>
      </c>
      <c r="C778" s="48">
        <f t="shared" si="72"/>
        <v>3181</v>
      </c>
      <c r="D778" s="48">
        <f t="shared" si="73"/>
        <v>776</v>
      </c>
      <c r="E778" s="48">
        <f t="shared" si="74"/>
        <v>1</v>
      </c>
      <c r="F778" s="49">
        <f t="shared" si="75"/>
        <v>2.442002442002442E-4</v>
      </c>
      <c r="G778" s="49">
        <f t="shared" si="77"/>
        <v>1.288659793814433E-3</v>
      </c>
    </row>
    <row r="779" spans="2:7" x14ac:dyDescent="0.25">
      <c r="B779" s="48">
        <f t="shared" si="76"/>
        <v>777</v>
      </c>
      <c r="C779" s="48">
        <f t="shared" si="72"/>
        <v>3185</v>
      </c>
      <c r="D779" s="48">
        <f t="shared" si="73"/>
        <v>777</v>
      </c>
      <c r="E779" s="48">
        <f t="shared" si="74"/>
        <v>1</v>
      </c>
      <c r="F779" s="49">
        <f t="shared" si="75"/>
        <v>2.442002442002442E-4</v>
      </c>
      <c r="G779" s="49">
        <f t="shared" si="77"/>
        <v>1.287001287001287E-3</v>
      </c>
    </row>
    <row r="780" spans="2:7" x14ac:dyDescent="0.25">
      <c r="B780" s="48">
        <f t="shared" si="76"/>
        <v>778</v>
      </c>
      <c r="C780" s="48">
        <f t="shared" si="72"/>
        <v>3189</v>
      </c>
      <c r="D780" s="48">
        <f t="shared" si="73"/>
        <v>778</v>
      </c>
      <c r="E780" s="48">
        <f t="shared" si="74"/>
        <v>1</v>
      </c>
      <c r="F780" s="49">
        <f t="shared" si="75"/>
        <v>2.442002442002442E-4</v>
      </c>
      <c r="G780" s="49">
        <f t="shared" si="77"/>
        <v>1.2853470437017994E-3</v>
      </c>
    </row>
    <row r="781" spans="2:7" x14ac:dyDescent="0.25">
      <c r="B781" s="48">
        <f t="shared" si="76"/>
        <v>779</v>
      </c>
      <c r="C781" s="48">
        <f t="shared" si="72"/>
        <v>3193</v>
      </c>
      <c r="D781" s="48">
        <f t="shared" si="73"/>
        <v>779</v>
      </c>
      <c r="E781" s="48">
        <f t="shared" si="74"/>
        <v>1</v>
      </c>
      <c r="F781" s="49">
        <f t="shared" si="75"/>
        <v>2.442002442002442E-4</v>
      </c>
      <c r="G781" s="49">
        <f t="shared" si="77"/>
        <v>1.2836970474967907E-3</v>
      </c>
    </row>
    <row r="782" spans="2:7" x14ac:dyDescent="0.25">
      <c r="B782" s="48">
        <f t="shared" si="76"/>
        <v>780</v>
      </c>
      <c r="C782" s="48">
        <f t="shared" si="72"/>
        <v>3197</v>
      </c>
      <c r="D782" s="48">
        <f t="shared" si="73"/>
        <v>780</v>
      </c>
      <c r="E782" s="48">
        <f t="shared" si="74"/>
        <v>1</v>
      </c>
      <c r="F782" s="49">
        <f t="shared" si="75"/>
        <v>2.442002442002442E-4</v>
      </c>
      <c r="G782" s="49">
        <f t="shared" si="77"/>
        <v>1.2820512820512821E-3</v>
      </c>
    </row>
    <row r="783" spans="2:7" x14ac:dyDescent="0.25">
      <c r="B783" s="48">
        <f t="shared" si="76"/>
        <v>781</v>
      </c>
      <c r="C783" s="48">
        <f t="shared" si="72"/>
        <v>3201</v>
      </c>
      <c r="D783" s="48">
        <f t="shared" si="73"/>
        <v>781</v>
      </c>
      <c r="E783" s="48">
        <f t="shared" si="74"/>
        <v>1</v>
      </c>
      <c r="F783" s="49">
        <f t="shared" si="75"/>
        <v>2.442002442002442E-4</v>
      </c>
      <c r="G783" s="49">
        <f t="shared" si="77"/>
        <v>1.2804097311139564E-3</v>
      </c>
    </row>
    <row r="784" spans="2:7" x14ac:dyDescent="0.25">
      <c r="B784" s="48">
        <f t="shared" si="76"/>
        <v>782</v>
      </c>
      <c r="C784" s="48">
        <f t="shared" si="72"/>
        <v>3205</v>
      </c>
      <c r="D784" s="48">
        <f t="shared" si="73"/>
        <v>782</v>
      </c>
      <c r="E784" s="48">
        <f t="shared" si="74"/>
        <v>1</v>
      </c>
      <c r="F784" s="49">
        <f t="shared" si="75"/>
        <v>2.442002442002442E-4</v>
      </c>
      <c r="G784" s="49">
        <f t="shared" si="77"/>
        <v>1.2787723785166241E-3</v>
      </c>
    </row>
    <row r="785" spans="2:7" x14ac:dyDescent="0.25">
      <c r="B785" s="48">
        <f t="shared" si="76"/>
        <v>783</v>
      </c>
      <c r="C785" s="48">
        <f t="shared" si="72"/>
        <v>3210</v>
      </c>
      <c r="D785" s="48">
        <f t="shared" si="73"/>
        <v>783</v>
      </c>
      <c r="E785" s="48">
        <f t="shared" si="74"/>
        <v>1</v>
      </c>
      <c r="F785" s="49">
        <f t="shared" si="75"/>
        <v>2.442002442002442E-4</v>
      </c>
      <c r="G785" s="49">
        <f t="shared" si="77"/>
        <v>1.277139208173691E-3</v>
      </c>
    </row>
    <row r="786" spans="2:7" x14ac:dyDescent="0.25">
      <c r="B786" s="48">
        <f t="shared" si="76"/>
        <v>784</v>
      </c>
      <c r="C786" s="48">
        <f t="shared" si="72"/>
        <v>3214</v>
      </c>
      <c r="D786" s="48">
        <f t="shared" si="73"/>
        <v>784</v>
      </c>
      <c r="E786" s="48">
        <f t="shared" si="74"/>
        <v>1</v>
      </c>
      <c r="F786" s="49">
        <f t="shared" si="75"/>
        <v>2.442002442002442E-4</v>
      </c>
      <c r="G786" s="49">
        <f t="shared" si="77"/>
        <v>1.2755102040816326E-3</v>
      </c>
    </row>
    <row r="787" spans="2:7" x14ac:dyDescent="0.25">
      <c r="B787" s="48">
        <f t="shared" si="76"/>
        <v>785</v>
      </c>
      <c r="C787" s="48">
        <f t="shared" si="72"/>
        <v>3218</v>
      </c>
      <c r="D787" s="48">
        <f t="shared" si="73"/>
        <v>785</v>
      </c>
      <c r="E787" s="48">
        <f t="shared" si="74"/>
        <v>1</v>
      </c>
      <c r="F787" s="49">
        <f t="shared" si="75"/>
        <v>2.442002442002442E-4</v>
      </c>
      <c r="G787" s="49">
        <f t="shared" si="77"/>
        <v>1.2738853503184713E-3</v>
      </c>
    </row>
    <row r="788" spans="2:7" x14ac:dyDescent="0.25">
      <c r="B788" s="48">
        <f t="shared" si="76"/>
        <v>786</v>
      </c>
      <c r="C788" s="48">
        <f t="shared" si="72"/>
        <v>3222</v>
      </c>
      <c r="D788" s="48">
        <f t="shared" si="73"/>
        <v>786</v>
      </c>
      <c r="E788" s="48">
        <f t="shared" si="74"/>
        <v>1</v>
      </c>
      <c r="F788" s="49">
        <f t="shared" si="75"/>
        <v>2.442002442002442E-4</v>
      </c>
      <c r="G788" s="49">
        <f t="shared" si="77"/>
        <v>1.2722646310432571E-3</v>
      </c>
    </row>
    <row r="789" spans="2:7" x14ac:dyDescent="0.25">
      <c r="B789" s="48">
        <f t="shared" si="76"/>
        <v>787</v>
      </c>
      <c r="C789" s="48">
        <f t="shared" si="72"/>
        <v>3226</v>
      </c>
      <c r="D789" s="48">
        <f t="shared" si="73"/>
        <v>787</v>
      </c>
      <c r="E789" s="48">
        <f t="shared" si="74"/>
        <v>1</v>
      </c>
      <c r="F789" s="49">
        <f t="shared" si="75"/>
        <v>2.442002442002442E-4</v>
      </c>
      <c r="G789" s="49">
        <f t="shared" si="77"/>
        <v>1.2706480304955528E-3</v>
      </c>
    </row>
    <row r="790" spans="2:7" x14ac:dyDescent="0.25">
      <c r="B790" s="48">
        <f t="shared" si="76"/>
        <v>788</v>
      </c>
      <c r="C790" s="48">
        <f t="shared" si="72"/>
        <v>3230</v>
      </c>
      <c r="D790" s="48">
        <f t="shared" si="73"/>
        <v>788</v>
      </c>
      <c r="E790" s="48">
        <f t="shared" si="74"/>
        <v>1</v>
      </c>
      <c r="F790" s="49">
        <f t="shared" si="75"/>
        <v>2.442002442002442E-4</v>
      </c>
      <c r="G790" s="49">
        <f t="shared" si="77"/>
        <v>1.2690355329949238E-3</v>
      </c>
    </row>
    <row r="791" spans="2:7" x14ac:dyDescent="0.25">
      <c r="B791" s="48">
        <f t="shared" si="76"/>
        <v>789</v>
      </c>
      <c r="C791" s="48">
        <f t="shared" si="72"/>
        <v>3234</v>
      </c>
      <c r="D791" s="48">
        <f t="shared" si="73"/>
        <v>789</v>
      </c>
      <c r="E791" s="48">
        <f t="shared" si="74"/>
        <v>1</v>
      </c>
      <c r="F791" s="49">
        <f t="shared" si="75"/>
        <v>2.442002442002442E-4</v>
      </c>
      <c r="G791" s="49">
        <f t="shared" si="77"/>
        <v>1.2674271229404308E-3</v>
      </c>
    </row>
    <row r="792" spans="2:7" x14ac:dyDescent="0.25">
      <c r="B792" s="48">
        <f t="shared" si="76"/>
        <v>790</v>
      </c>
      <c r="C792" s="48">
        <f t="shared" si="72"/>
        <v>3238</v>
      </c>
      <c r="D792" s="48">
        <f t="shared" si="73"/>
        <v>790</v>
      </c>
      <c r="E792" s="48">
        <f t="shared" si="74"/>
        <v>1</v>
      </c>
      <c r="F792" s="49">
        <f t="shared" si="75"/>
        <v>2.442002442002442E-4</v>
      </c>
      <c r="G792" s="49">
        <f t="shared" si="77"/>
        <v>1.2658227848101266E-3</v>
      </c>
    </row>
    <row r="793" spans="2:7" x14ac:dyDescent="0.25">
      <c r="B793" s="48">
        <f t="shared" si="76"/>
        <v>791</v>
      </c>
      <c r="C793" s="48">
        <f t="shared" si="72"/>
        <v>3242</v>
      </c>
      <c r="D793" s="48">
        <f t="shared" si="73"/>
        <v>791</v>
      </c>
      <c r="E793" s="48">
        <f t="shared" si="74"/>
        <v>1</v>
      </c>
      <c r="F793" s="49">
        <f t="shared" si="75"/>
        <v>2.442002442002442E-4</v>
      </c>
      <c r="G793" s="49">
        <f t="shared" si="77"/>
        <v>1.2642225031605564E-3</v>
      </c>
    </row>
    <row r="794" spans="2:7" x14ac:dyDescent="0.25">
      <c r="B794" s="48">
        <f t="shared" si="76"/>
        <v>792</v>
      </c>
      <c r="C794" s="48">
        <f t="shared" si="72"/>
        <v>3246</v>
      </c>
      <c r="D794" s="48">
        <f t="shared" si="73"/>
        <v>792</v>
      </c>
      <c r="E794" s="48">
        <f t="shared" si="74"/>
        <v>1</v>
      </c>
      <c r="F794" s="49">
        <f t="shared" si="75"/>
        <v>2.442002442002442E-4</v>
      </c>
      <c r="G794" s="49">
        <f t="shared" si="77"/>
        <v>1.2626262626262627E-3</v>
      </c>
    </row>
    <row r="795" spans="2:7" x14ac:dyDescent="0.25">
      <c r="B795" s="48">
        <f t="shared" si="76"/>
        <v>793</v>
      </c>
      <c r="C795" s="48">
        <f t="shared" si="72"/>
        <v>3251</v>
      </c>
      <c r="D795" s="48">
        <f t="shared" si="73"/>
        <v>793</v>
      </c>
      <c r="E795" s="48">
        <f t="shared" si="74"/>
        <v>1</v>
      </c>
      <c r="F795" s="49">
        <f t="shared" si="75"/>
        <v>2.442002442002442E-4</v>
      </c>
      <c r="G795" s="49">
        <f t="shared" si="77"/>
        <v>1.2610340479192938E-3</v>
      </c>
    </row>
    <row r="796" spans="2:7" x14ac:dyDescent="0.25">
      <c r="B796" s="48">
        <f t="shared" si="76"/>
        <v>794</v>
      </c>
      <c r="C796" s="48">
        <f t="shared" si="72"/>
        <v>3255</v>
      </c>
      <c r="D796" s="48">
        <f t="shared" si="73"/>
        <v>794</v>
      </c>
      <c r="E796" s="48">
        <f t="shared" si="74"/>
        <v>1</v>
      </c>
      <c r="F796" s="49">
        <f t="shared" si="75"/>
        <v>2.442002442002442E-4</v>
      </c>
      <c r="G796" s="49">
        <f t="shared" si="77"/>
        <v>1.2594458438287153E-3</v>
      </c>
    </row>
    <row r="797" spans="2:7" x14ac:dyDescent="0.25">
      <c r="B797" s="48">
        <f t="shared" si="76"/>
        <v>795</v>
      </c>
      <c r="C797" s="48">
        <f t="shared" si="72"/>
        <v>3259</v>
      </c>
      <c r="D797" s="48">
        <f t="shared" si="73"/>
        <v>795</v>
      </c>
      <c r="E797" s="48">
        <f t="shared" si="74"/>
        <v>1</v>
      </c>
      <c r="F797" s="49">
        <f t="shared" si="75"/>
        <v>2.442002442002442E-4</v>
      </c>
      <c r="G797" s="49">
        <f t="shared" si="77"/>
        <v>1.2578616352201257E-3</v>
      </c>
    </row>
    <row r="798" spans="2:7" x14ac:dyDescent="0.25">
      <c r="B798" s="48">
        <f t="shared" si="76"/>
        <v>796</v>
      </c>
      <c r="C798" s="48">
        <f t="shared" si="72"/>
        <v>3263</v>
      </c>
      <c r="D798" s="48">
        <f t="shared" si="73"/>
        <v>796</v>
      </c>
      <c r="E798" s="48">
        <f t="shared" si="74"/>
        <v>1</v>
      </c>
      <c r="F798" s="49">
        <f t="shared" si="75"/>
        <v>2.442002442002442E-4</v>
      </c>
      <c r="G798" s="49">
        <f t="shared" si="77"/>
        <v>1.2562814070351759E-3</v>
      </c>
    </row>
    <row r="799" spans="2:7" x14ac:dyDescent="0.25">
      <c r="B799" s="48">
        <f t="shared" si="76"/>
        <v>797</v>
      </c>
      <c r="C799" s="48">
        <f t="shared" si="72"/>
        <v>3267</v>
      </c>
      <c r="D799" s="48">
        <f t="shared" si="73"/>
        <v>797</v>
      </c>
      <c r="E799" s="48">
        <f t="shared" si="74"/>
        <v>1</v>
      </c>
      <c r="F799" s="49">
        <f t="shared" si="75"/>
        <v>2.442002442002442E-4</v>
      </c>
      <c r="G799" s="49">
        <f t="shared" si="77"/>
        <v>1.2547051442910915E-3</v>
      </c>
    </row>
    <row r="800" spans="2:7" x14ac:dyDescent="0.25">
      <c r="B800" s="48">
        <f t="shared" si="76"/>
        <v>798</v>
      </c>
      <c r="C800" s="48">
        <f t="shared" si="72"/>
        <v>3271</v>
      </c>
      <c r="D800" s="48">
        <f t="shared" si="73"/>
        <v>798</v>
      </c>
      <c r="E800" s="48">
        <f t="shared" si="74"/>
        <v>1</v>
      </c>
      <c r="F800" s="49">
        <f t="shared" si="75"/>
        <v>2.442002442002442E-4</v>
      </c>
      <c r="G800" s="49">
        <f t="shared" si="77"/>
        <v>1.2531328320802004E-3</v>
      </c>
    </row>
    <row r="801" spans="2:7" x14ac:dyDescent="0.25">
      <c r="B801" s="48">
        <f t="shared" si="76"/>
        <v>799</v>
      </c>
      <c r="C801" s="48">
        <f t="shared" si="72"/>
        <v>3275</v>
      </c>
      <c r="D801" s="48">
        <f t="shared" si="73"/>
        <v>799</v>
      </c>
      <c r="E801" s="48">
        <f t="shared" si="74"/>
        <v>1</v>
      </c>
      <c r="F801" s="49">
        <f t="shared" si="75"/>
        <v>2.442002442002442E-4</v>
      </c>
      <c r="G801" s="49">
        <f t="shared" si="77"/>
        <v>1.2515644555694619E-3</v>
      </c>
    </row>
    <row r="802" spans="2:7" x14ac:dyDescent="0.25">
      <c r="B802" s="48">
        <f t="shared" si="76"/>
        <v>800</v>
      </c>
      <c r="C802" s="48">
        <f t="shared" si="72"/>
        <v>3279</v>
      </c>
      <c r="D802" s="48">
        <f t="shared" si="73"/>
        <v>800</v>
      </c>
      <c r="E802" s="48">
        <f t="shared" si="74"/>
        <v>1</v>
      </c>
      <c r="F802" s="49">
        <f t="shared" si="75"/>
        <v>2.442002442002442E-4</v>
      </c>
      <c r="G802" s="49">
        <f t="shared" si="77"/>
        <v>1.25E-3</v>
      </c>
    </row>
    <row r="803" spans="2:7" x14ac:dyDescent="0.25">
      <c r="B803" s="48">
        <f t="shared" si="76"/>
        <v>801</v>
      </c>
      <c r="C803" s="48">
        <f t="shared" si="72"/>
        <v>3283</v>
      </c>
      <c r="D803" s="48">
        <f t="shared" si="73"/>
        <v>801</v>
      </c>
      <c r="E803" s="48">
        <f t="shared" si="74"/>
        <v>1</v>
      </c>
      <c r="F803" s="49">
        <f t="shared" si="75"/>
        <v>2.442002442002442E-4</v>
      </c>
      <c r="G803" s="49">
        <f t="shared" si="77"/>
        <v>1.2484394506866417E-3</v>
      </c>
    </row>
    <row r="804" spans="2:7" x14ac:dyDescent="0.25">
      <c r="B804" s="48">
        <f t="shared" si="76"/>
        <v>802</v>
      </c>
      <c r="C804" s="48">
        <f t="shared" si="72"/>
        <v>3287</v>
      </c>
      <c r="D804" s="48">
        <f t="shared" si="73"/>
        <v>802</v>
      </c>
      <c r="E804" s="48">
        <f t="shared" si="74"/>
        <v>1</v>
      </c>
      <c r="F804" s="49">
        <f t="shared" si="75"/>
        <v>2.442002442002442E-4</v>
      </c>
      <c r="G804" s="49">
        <f t="shared" si="77"/>
        <v>1.2468827930174563E-3</v>
      </c>
    </row>
    <row r="805" spans="2:7" x14ac:dyDescent="0.25">
      <c r="B805" s="48">
        <f t="shared" si="76"/>
        <v>803</v>
      </c>
      <c r="C805" s="48">
        <f t="shared" si="72"/>
        <v>3292</v>
      </c>
      <c r="D805" s="48">
        <f t="shared" si="73"/>
        <v>803</v>
      </c>
      <c r="E805" s="48">
        <f t="shared" si="74"/>
        <v>1</v>
      </c>
      <c r="F805" s="49">
        <f t="shared" si="75"/>
        <v>2.442002442002442E-4</v>
      </c>
      <c r="G805" s="49">
        <f t="shared" si="77"/>
        <v>1.2453300124533001E-3</v>
      </c>
    </row>
    <row r="806" spans="2:7" x14ac:dyDescent="0.25">
      <c r="B806" s="48">
        <f t="shared" si="76"/>
        <v>804</v>
      </c>
      <c r="C806" s="48">
        <f t="shared" si="72"/>
        <v>3296</v>
      </c>
      <c r="D806" s="48">
        <f t="shared" si="73"/>
        <v>809</v>
      </c>
      <c r="E806" s="48">
        <f t="shared" si="74"/>
        <v>6</v>
      </c>
      <c r="F806" s="49">
        <f t="shared" si="75"/>
        <v>1.4652014652014652E-3</v>
      </c>
      <c r="G806" s="49">
        <f t="shared" si="77"/>
        <v>7.4165636588380719E-3</v>
      </c>
    </row>
    <row r="807" spans="2:7" x14ac:dyDescent="0.25">
      <c r="B807" s="48">
        <f t="shared" si="76"/>
        <v>805</v>
      </c>
      <c r="C807" s="48">
        <f t="shared" si="72"/>
        <v>3300</v>
      </c>
      <c r="D807" s="48">
        <f t="shared" si="73"/>
        <v>816</v>
      </c>
      <c r="E807" s="48">
        <f t="shared" si="74"/>
        <v>7</v>
      </c>
      <c r="F807" s="49">
        <f t="shared" si="75"/>
        <v>1.7094017094017094E-3</v>
      </c>
      <c r="G807" s="49">
        <f t="shared" si="77"/>
        <v>8.5784313725490204E-3</v>
      </c>
    </row>
    <row r="808" spans="2:7" x14ac:dyDescent="0.25">
      <c r="B808" s="48">
        <f t="shared" si="76"/>
        <v>806</v>
      </c>
      <c r="C808" s="48">
        <f t="shared" si="72"/>
        <v>3304</v>
      </c>
      <c r="D808" s="48">
        <f t="shared" si="73"/>
        <v>822</v>
      </c>
      <c r="E808" s="48">
        <f t="shared" si="74"/>
        <v>6</v>
      </c>
      <c r="F808" s="49">
        <f t="shared" si="75"/>
        <v>1.4652014652014652E-3</v>
      </c>
      <c r="G808" s="49">
        <f t="shared" si="77"/>
        <v>7.2992700729927005E-3</v>
      </c>
    </row>
    <row r="809" spans="2:7" x14ac:dyDescent="0.25">
      <c r="B809" s="48">
        <f t="shared" si="76"/>
        <v>807</v>
      </c>
      <c r="C809" s="48">
        <f t="shared" si="72"/>
        <v>3308</v>
      </c>
      <c r="D809" s="48">
        <f t="shared" si="73"/>
        <v>829</v>
      </c>
      <c r="E809" s="48">
        <f t="shared" si="74"/>
        <v>7</v>
      </c>
      <c r="F809" s="49">
        <f t="shared" si="75"/>
        <v>1.7094017094017094E-3</v>
      </c>
      <c r="G809" s="49">
        <f t="shared" si="77"/>
        <v>8.4439083232810616E-3</v>
      </c>
    </row>
    <row r="810" spans="2:7" x14ac:dyDescent="0.25">
      <c r="B810" s="48">
        <f t="shared" si="76"/>
        <v>808</v>
      </c>
      <c r="C810" s="48">
        <f t="shared" si="72"/>
        <v>3312</v>
      </c>
      <c r="D810" s="48">
        <f t="shared" si="73"/>
        <v>836</v>
      </c>
      <c r="E810" s="48">
        <f t="shared" si="74"/>
        <v>7</v>
      </c>
      <c r="F810" s="49">
        <f t="shared" si="75"/>
        <v>1.7094017094017094E-3</v>
      </c>
      <c r="G810" s="49">
        <f t="shared" si="77"/>
        <v>8.3732057416267946E-3</v>
      </c>
    </row>
    <row r="811" spans="2:7" x14ac:dyDescent="0.25">
      <c r="B811" s="48">
        <f t="shared" si="76"/>
        <v>809</v>
      </c>
      <c r="C811" s="48">
        <f t="shared" si="72"/>
        <v>3316</v>
      </c>
      <c r="D811" s="48">
        <f t="shared" si="73"/>
        <v>843</v>
      </c>
      <c r="E811" s="48">
        <f t="shared" si="74"/>
        <v>7</v>
      </c>
      <c r="F811" s="49">
        <f t="shared" si="75"/>
        <v>1.7094017094017094E-3</v>
      </c>
      <c r="G811" s="49">
        <f t="shared" si="77"/>
        <v>8.3036773428232496E-3</v>
      </c>
    </row>
    <row r="812" spans="2:7" x14ac:dyDescent="0.25">
      <c r="B812" s="48">
        <f t="shared" si="76"/>
        <v>810</v>
      </c>
      <c r="C812" s="48">
        <f t="shared" si="72"/>
        <v>3320</v>
      </c>
      <c r="D812" s="48">
        <f t="shared" si="73"/>
        <v>850</v>
      </c>
      <c r="E812" s="48">
        <f t="shared" si="74"/>
        <v>7</v>
      </c>
      <c r="F812" s="49">
        <f t="shared" si="75"/>
        <v>1.7094017094017094E-3</v>
      </c>
      <c r="G812" s="49">
        <f t="shared" si="77"/>
        <v>8.2352941176470594E-3</v>
      </c>
    </row>
    <row r="813" spans="2:7" x14ac:dyDescent="0.25">
      <c r="B813" s="48">
        <f t="shared" si="76"/>
        <v>811</v>
      </c>
      <c r="C813" s="48">
        <f t="shared" si="72"/>
        <v>3324</v>
      </c>
      <c r="D813" s="48">
        <f t="shared" si="73"/>
        <v>857</v>
      </c>
      <c r="E813" s="48">
        <f t="shared" si="74"/>
        <v>7</v>
      </c>
      <c r="F813" s="49">
        <f t="shared" si="75"/>
        <v>1.7094017094017094E-3</v>
      </c>
      <c r="G813" s="49">
        <f t="shared" si="77"/>
        <v>8.1680280046674443E-3</v>
      </c>
    </row>
    <row r="814" spans="2:7" x14ac:dyDescent="0.25">
      <c r="B814" s="48">
        <f t="shared" si="76"/>
        <v>812</v>
      </c>
      <c r="C814" s="48">
        <f t="shared" si="72"/>
        <v>3328</v>
      </c>
      <c r="D814" s="48">
        <f t="shared" si="73"/>
        <v>864</v>
      </c>
      <c r="E814" s="48">
        <f t="shared" si="74"/>
        <v>7</v>
      </c>
      <c r="F814" s="49">
        <f t="shared" si="75"/>
        <v>1.7094017094017094E-3</v>
      </c>
      <c r="G814" s="49">
        <f t="shared" si="77"/>
        <v>8.1018518518518514E-3</v>
      </c>
    </row>
    <row r="815" spans="2:7" x14ac:dyDescent="0.25">
      <c r="B815" s="48">
        <f t="shared" si="76"/>
        <v>813</v>
      </c>
      <c r="C815" s="48">
        <f t="shared" si="72"/>
        <v>3333</v>
      </c>
      <c r="D815" s="48">
        <f t="shared" si="73"/>
        <v>872</v>
      </c>
      <c r="E815" s="48">
        <f t="shared" si="74"/>
        <v>8</v>
      </c>
      <c r="F815" s="49">
        <f t="shared" si="75"/>
        <v>1.9536019536019536E-3</v>
      </c>
      <c r="G815" s="49">
        <f t="shared" si="77"/>
        <v>9.1743119266055051E-3</v>
      </c>
    </row>
    <row r="816" spans="2:7" x14ac:dyDescent="0.25">
      <c r="B816" s="48">
        <f t="shared" si="76"/>
        <v>814</v>
      </c>
      <c r="C816" s="48">
        <f t="shared" si="72"/>
        <v>3337</v>
      </c>
      <c r="D816" s="48">
        <f t="shared" si="73"/>
        <v>879</v>
      </c>
      <c r="E816" s="48">
        <f t="shared" si="74"/>
        <v>7</v>
      </c>
      <c r="F816" s="49">
        <f t="shared" si="75"/>
        <v>1.7094017094017094E-3</v>
      </c>
      <c r="G816" s="49">
        <f t="shared" si="77"/>
        <v>7.9635949943117172E-3</v>
      </c>
    </row>
    <row r="817" spans="2:7" x14ac:dyDescent="0.25">
      <c r="B817" s="48">
        <f t="shared" si="76"/>
        <v>815</v>
      </c>
      <c r="C817" s="48">
        <f t="shared" si="72"/>
        <v>3341</v>
      </c>
      <c r="D817" s="48">
        <f t="shared" si="73"/>
        <v>886</v>
      </c>
      <c r="E817" s="48">
        <f t="shared" si="74"/>
        <v>7</v>
      </c>
      <c r="F817" s="49">
        <f t="shared" si="75"/>
        <v>1.7094017094017094E-3</v>
      </c>
      <c r="G817" s="49">
        <f t="shared" si="77"/>
        <v>7.900677200902935E-3</v>
      </c>
    </row>
    <row r="818" spans="2:7" x14ac:dyDescent="0.25">
      <c r="B818" s="48">
        <f t="shared" si="76"/>
        <v>816</v>
      </c>
      <c r="C818" s="48">
        <f t="shared" si="72"/>
        <v>3345</v>
      </c>
      <c r="D818" s="48">
        <f t="shared" si="73"/>
        <v>894</v>
      </c>
      <c r="E818" s="48">
        <f t="shared" si="74"/>
        <v>8</v>
      </c>
      <c r="F818" s="49">
        <f t="shared" si="75"/>
        <v>1.9536019536019536E-3</v>
      </c>
      <c r="G818" s="49">
        <f t="shared" si="77"/>
        <v>8.948545861297539E-3</v>
      </c>
    </row>
    <row r="819" spans="2:7" x14ac:dyDescent="0.25">
      <c r="B819" s="48">
        <f t="shared" si="76"/>
        <v>817</v>
      </c>
      <c r="C819" s="48">
        <f t="shared" si="72"/>
        <v>3349</v>
      </c>
      <c r="D819" s="48">
        <f t="shared" si="73"/>
        <v>901</v>
      </c>
      <c r="E819" s="48">
        <f t="shared" si="74"/>
        <v>7</v>
      </c>
      <c r="F819" s="49">
        <f t="shared" si="75"/>
        <v>1.7094017094017094E-3</v>
      </c>
      <c r="G819" s="49">
        <f t="shared" si="77"/>
        <v>7.7691453940066596E-3</v>
      </c>
    </row>
    <row r="820" spans="2:7" x14ac:dyDescent="0.25">
      <c r="B820" s="48">
        <f t="shared" si="76"/>
        <v>818</v>
      </c>
      <c r="C820" s="48">
        <f t="shared" si="72"/>
        <v>3353</v>
      </c>
      <c r="D820" s="48">
        <f t="shared" si="73"/>
        <v>909</v>
      </c>
      <c r="E820" s="48">
        <f t="shared" si="74"/>
        <v>8</v>
      </c>
      <c r="F820" s="49">
        <f t="shared" si="75"/>
        <v>1.9536019536019536E-3</v>
      </c>
      <c r="G820" s="49">
        <f t="shared" si="77"/>
        <v>8.8008800880088004E-3</v>
      </c>
    </row>
    <row r="821" spans="2:7" x14ac:dyDescent="0.25">
      <c r="B821" s="48">
        <f t="shared" si="76"/>
        <v>819</v>
      </c>
      <c r="C821" s="48">
        <f t="shared" si="72"/>
        <v>3357</v>
      </c>
      <c r="D821" s="48">
        <f t="shared" si="73"/>
        <v>916</v>
      </c>
      <c r="E821" s="48">
        <f t="shared" si="74"/>
        <v>7</v>
      </c>
      <c r="F821" s="49">
        <f t="shared" si="75"/>
        <v>1.7094017094017094E-3</v>
      </c>
      <c r="G821" s="49">
        <f t="shared" si="77"/>
        <v>7.6419213973799123E-3</v>
      </c>
    </row>
    <row r="822" spans="2:7" x14ac:dyDescent="0.25">
      <c r="B822" s="48">
        <f t="shared" si="76"/>
        <v>820</v>
      </c>
      <c r="C822" s="48">
        <f t="shared" si="72"/>
        <v>3361</v>
      </c>
      <c r="D822" s="48">
        <f t="shared" si="73"/>
        <v>924</v>
      </c>
      <c r="E822" s="48">
        <f t="shared" si="74"/>
        <v>8</v>
      </c>
      <c r="F822" s="49">
        <f t="shared" si="75"/>
        <v>1.9536019536019536E-3</v>
      </c>
      <c r="G822" s="49">
        <f t="shared" si="77"/>
        <v>8.658008658008658E-3</v>
      </c>
    </row>
    <row r="823" spans="2:7" x14ac:dyDescent="0.25">
      <c r="B823" s="48">
        <f t="shared" si="76"/>
        <v>821</v>
      </c>
      <c r="C823" s="48">
        <f t="shared" si="72"/>
        <v>3365</v>
      </c>
      <c r="D823" s="48">
        <f t="shared" si="73"/>
        <v>932</v>
      </c>
      <c r="E823" s="48">
        <f t="shared" si="74"/>
        <v>8</v>
      </c>
      <c r="F823" s="49">
        <f t="shared" si="75"/>
        <v>1.9536019536019536E-3</v>
      </c>
      <c r="G823" s="49">
        <f t="shared" si="77"/>
        <v>8.5836909871244635E-3</v>
      </c>
    </row>
    <row r="824" spans="2:7" x14ac:dyDescent="0.25">
      <c r="B824" s="48">
        <f t="shared" si="76"/>
        <v>822</v>
      </c>
      <c r="C824" s="48">
        <f t="shared" si="72"/>
        <v>3369</v>
      </c>
      <c r="D824" s="48">
        <f t="shared" si="73"/>
        <v>939</v>
      </c>
      <c r="E824" s="48">
        <f t="shared" si="74"/>
        <v>7</v>
      </c>
      <c r="F824" s="49">
        <f t="shared" si="75"/>
        <v>1.7094017094017094E-3</v>
      </c>
      <c r="G824" s="49">
        <f t="shared" si="77"/>
        <v>7.4547390841320556E-3</v>
      </c>
    </row>
    <row r="825" spans="2:7" x14ac:dyDescent="0.25">
      <c r="B825" s="48">
        <f t="shared" si="76"/>
        <v>823</v>
      </c>
      <c r="C825" s="48">
        <f t="shared" si="72"/>
        <v>3374</v>
      </c>
      <c r="D825" s="48">
        <f t="shared" si="73"/>
        <v>947</v>
      </c>
      <c r="E825" s="48">
        <f t="shared" si="74"/>
        <v>8</v>
      </c>
      <c r="F825" s="49">
        <f t="shared" si="75"/>
        <v>1.9536019536019536E-3</v>
      </c>
      <c r="G825" s="49">
        <f t="shared" si="77"/>
        <v>8.4477296726504746E-3</v>
      </c>
    </row>
    <row r="826" spans="2:7" x14ac:dyDescent="0.25">
      <c r="B826" s="48">
        <f t="shared" si="76"/>
        <v>824</v>
      </c>
      <c r="C826" s="48">
        <f t="shared" si="72"/>
        <v>3378</v>
      </c>
      <c r="D826" s="48">
        <f t="shared" si="73"/>
        <v>955</v>
      </c>
      <c r="E826" s="48">
        <f t="shared" si="74"/>
        <v>8</v>
      </c>
      <c r="F826" s="49">
        <f t="shared" si="75"/>
        <v>1.9536019536019536E-3</v>
      </c>
      <c r="G826" s="49">
        <f t="shared" si="77"/>
        <v>8.3769633507853412E-3</v>
      </c>
    </row>
    <row r="827" spans="2:7" x14ac:dyDescent="0.25">
      <c r="B827" s="48">
        <f t="shared" si="76"/>
        <v>825</v>
      </c>
      <c r="C827" s="48">
        <f t="shared" si="72"/>
        <v>3382</v>
      </c>
      <c r="D827" s="48">
        <f t="shared" si="73"/>
        <v>963</v>
      </c>
      <c r="E827" s="48">
        <f t="shared" si="74"/>
        <v>8</v>
      </c>
      <c r="F827" s="49">
        <f t="shared" si="75"/>
        <v>1.9536019536019536E-3</v>
      </c>
      <c r="G827" s="49">
        <f t="shared" si="77"/>
        <v>8.3073727933541015E-3</v>
      </c>
    </row>
    <row r="828" spans="2:7" x14ac:dyDescent="0.25">
      <c r="B828" s="48">
        <f t="shared" si="76"/>
        <v>826</v>
      </c>
      <c r="C828" s="48">
        <f t="shared" si="72"/>
        <v>3386</v>
      </c>
      <c r="D828" s="48">
        <f t="shared" si="73"/>
        <v>971</v>
      </c>
      <c r="E828" s="48">
        <f t="shared" si="74"/>
        <v>8</v>
      </c>
      <c r="F828" s="49">
        <f t="shared" si="75"/>
        <v>1.9536019536019536E-3</v>
      </c>
      <c r="G828" s="49">
        <f t="shared" si="77"/>
        <v>8.2389289392378988E-3</v>
      </c>
    </row>
    <row r="829" spans="2:7" x14ac:dyDescent="0.25">
      <c r="B829" s="48">
        <f t="shared" si="76"/>
        <v>827</v>
      </c>
      <c r="C829" s="48">
        <f t="shared" si="72"/>
        <v>3390</v>
      </c>
      <c r="D829" s="48">
        <f t="shared" si="73"/>
        <v>979</v>
      </c>
      <c r="E829" s="48">
        <f t="shared" si="74"/>
        <v>8</v>
      </c>
      <c r="F829" s="49">
        <f t="shared" si="75"/>
        <v>1.9536019536019536E-3</v>
      </c>
      <c r="G829" s="49">
        <f t="shared" si="77"/>
        <v>8.171603677221655E-3</v>
      </c>
    </row>
    <row r="830" spans="2:7" x14ac:dyDescent="0.25">
      <c r="B830" s="48">
        <f t="shared" si="76"/>
        <v>828</v>
      </c>
      <c r="C830" s="48">
        <f t="shared" si="72"/>
        <v>3394</v>
      </c>
      <c r="D830" s="48">
        <f t="shared" si="73"/>
        <v>988</v>
      </c>
      <c r="E830" s="48">
        <f t="shared" si="74"/>
        <v>9</v>
      </c>
      <c r="F830" s="49">
        <f t="shared" si="75"/>
        <v>2.1978021978021978E-3</v>
      </c>
      <c r="G830" s="49">
        <f t="shared" si="77"/>
        <v>9.1093117408906875E-3</v>
      </c>
    </row>
    <row r="831" spans="2:7" x14ac:dyDescent="0.25">
      <c r="B831" s="48">
        <f t="shared" si="76"/>
        <v>829</v>
      </c>
      <c r="C831" s="48">
        <f t="shared" si="72"/>
        <v>3398</v>
      </c>
      <c r="D831" s="48">
        <f t="shared" si="73"/>
        <v>996</v>
      </c>
      <c r="E831" s="48">
        <f t="shared" si="74"/>
        <v>8</v>
      </c>
      <c r="F831" s="49">
        <f t="shared" si="75"/>
        <v>1.9536019536019536E-3</v>
      </c>
      <c r="G831" s="49">
        <f t="shared" si="77"/>
        <v>8.0321285140562242E-3</v>
      </c>
    </row>
    <row r="832" spans="2:7" x14ac:dyDescent="0.25">
      <c r="B832" s="48">
        <f t="shared" si="76"/>
        <v>830</v>
      </c>
      <c r="C832" s="48">
        <f t="shared" si="72"/>
        <v>3402</v>
      </c>
      <c r="D832" s="48">
        <f t="shared" si="73"/>
        <v>1004</v>
      </c>
      <c r="E832" s="48">
        <f t="shared" si="74"/>
        <v>8</v>
      </c>
      <c r="F832" s="49">
        <f t="shared" si="75"/>
        <v>1.9536019536019536E-3</v>
      </c>
      <c r="G832" s="49">
        <f t="shared" si="77"/>
        <v>7.9681274900398405E-3</v>
      </c>
    </row>
    <row r="833" spans="2:7" x14ac:dyDescent="0.25">
      <c r="B833" s="48">
        <f t="shared" si="76"/>
        <v>831</v>
      </c>
      <c r="C833" s="48">
        <f t="shared" si="72"/>
        <v>3406</v>
      </c>
      <c r="D833" s="48">
        <f t="shared" si="73"/>
        <v>1013</v>
      </c>
      <c r="E833" s="48">
        <f t="shared" si="74"/>
        <v>9</v>
      </c>
      <c r="F833" s="49">
        <f t="shared" si="75"/>
        <v>2.1978021978021978E-3</v>
      </c>
      <c r="G833" s="49">
        <f t="shared" si="77"/>
        <v>8.8845014807502464E-3</v>
      </c>
    </row>
    <row r="834" spans="2:7" x14ac:dyDescent="0.25">
      <c r="B834" s="48">
        <f t="shared" si="76"/>
        <v>832</v>
      </c>
      <c r="C834" s="48">
        <f t="shared" si="72"/>
        <v>3410</v>
      </c>
      <c r="D834" s="48">
        <f t="shared" si="73"/>
        <v>1021</v>
      </c>
      <c r="E834" s="48">
        <f t="shared" si="74"/>
        <v>8</v>
      </c>
      <c r="F834" s="49">
        <f t="shared" si="75"/>
        <v>1.9536019536019536E-3</v>
      </c>
      <c r="G834" s="49">
        <f t="shared" si="77"/>
        <v>7.8354554358472089E-3</v>
      </c>
    </row>
    <row r="835" spans="2:7" x14ac:dyDescent="0.25">
      <c r="B835" s="48">
        <f t="shared" si="76"/>
        <v>833</v>
      </c>
      <c r="C835" s="48">
        <f t="shared" ref="C835:C898" si="78">ROUND(B835*C$1/(B$1-1),0)</f>
        <v>3415</v>
      </c>
      <c r="D835" s="48">
        <f t="shared" ref="D835:D898" si="79">MAX(ROUND(D$1^(B835+1),0),B835)</f>
        <v>1029</v>
      </c>
      <c r="E835" s="48">
        <f t="shared" ref="E835:E898" si="80">D835-D834</f>
        <v>8</v>
      </c>
      <c r="F835" s="49">
        <f t="shared" ref="F835:F898" si="81">E835/C$1</f>
        <v>1.9536019536019536E-3</v>
      </c>
      <c r="G835" s="49">
        <f t="shared" si="77"/>
        <v>7.7745383867832843E-3</v>
      </c>
    </row>
    <row r="836" spans="2:7" x14ac:dyDescent="0.25">
      <c r="B836" s="48">
        <f t="shared" ref="B836:B899" si="82">B835+1</f>
        <v>834</v>
      </c>
      <c r="C836" s="48">
        <f t="shared" si="78"/>
        <v>3419</v>
      </c>
      <c r="D836" s="48">
        <f t="shared" si="79"/>
        <v>1038</v>
      </c>
      <c r="E836" s="48">
        <f t="shared" si="80"/>
        <v>9</v>
      </c>
      <c r="F836" s="49">
        <f t="shared" si="81"/>
        <v>2.1978021978021978E-3</v>
      </c>
      <c r="G836" s="49">
        <f t="shared" ref="G836:G899" si="83">E836/D836</f>
        <v>8.670520231213872E-3</v>
      </c>
    </row>
    <row r="837" spans="2:7" x14ac:dyDescent="0.25">
      <c r="B837" s="48">
        <f t="shared" si="82"/>
        <v>835</v>
      </c>
      <c r="C837" s="48">
        <f t="shared" si="78"/>
        <v>3423</v>
      </c>
      <c r="D837" s="48">
        <f t="shared" si="79"/>
        <v>1047</v>
      </c>
      <c r="E837" s="48">
        <f t="shared" si="80"/>
        <v>9</v>
      </c>
      <c r="F837" s="49">
        <f t="shared" si="81"/>
        <v>2.1978021978021978E-3</v>
      </c>
      <c r="G837" s="49">
        <f t="shared" si="83"/>
        <v>8.5959885386819486E-3</v>
      </c>
    </row>
    <row r="838" spans="2:7" x14ac:dyDescent="0.25">
      <c r="B838" s="48">
        <f t="shared" si="82"/>
        <v>836</v>
      </c>
      <c r="C838" s="48">
        <f t="shared" si="78"/>
        <v>3427</v>
      </c>
      <c r="D838" s="48">
        <f t="shared" si="79"/>
        <v>1055</v>
      </c>
      <c r="E838" s="48">
        <f t="shared" si="80"/>
        <v>8</v>
      </c>
      <c r="F838" s="49">
        <f t="shared" si="81"/>
        <v>1.9536019536019536E-3</v>
      </c>
      <c r="G838" s="49">
        <f t="shared" si="83"/>
        <v>7.5829383886255926E-3</v>
      </c>
    </row>
    <row r="839" spans="2:7" x14ac:dyDescent="0.25">
      <c r="B839" s="48">
        <f t="shared" si="82"/>
        <v>837</v>
      </c>
      <c r="C839" s="48">
        <f t="shared" si="78"/>
        <v>3431</v>
      </c>
      <c r="D839" s="48">
        <f t="shared" si="79"/>
        <v>1064</v>
      </c>
      <c r="E839" s="48">
        <f t="shared" si="80"/>
        <v>9</v>
      </c>
      <c r="F839" s="49">
        <f t="shared" si="81"/>
        <v>2.1978021978021978E-3</v>
      </c>
      <c r="G839" s="49">
        <f t="shared" si="83"/>
        <v>8.4586466165413529E-3</v>
      </c>
    </row>
    <row r="840" spans="2:7" x14ac:dyDescent="0.25">
      <c r="B840" s="48">
        <f t="shared" si="82"/>
        <v>838</v>
      </c>
      <c r="C840" s="48">
        <f t="shared" si="78"/>
        <v>3435</v>
      </c>
      <c r="D840" s="48">
        <f t="shared" si="79"/>
        <v>1073</v>
      </c>
      <c r="E840" s="48">
        <f t="shared" si="80"/>
        <v>9</v>
      </c>
      <c r="F840" s="49">
        <f t="shared" si="81"/>
        <v>2.1978021978021978E-3</v>
      </c>
      <c r="G840" s="49">
        <f t="shared" si="83"/>
        <v>8.3876980428704562E-3</v>
      </c>
    </row>
    <row r="841" spans="2:7" x14ac:dyDescent="0.25">
      <c r="B841" s="48">
        <f t="shared" si="82"/>
        <v>839</v>
      </c>
      <c r="C841" s="48">
        <f t="shared" si="78"/>
        <v>3439</v>
      </c>
      <c r="D841" s="48">
        <f t="shared" si="79"/>
        <v>1082</v>
      </c>
      <c r="E841" s="48">
        <f t="shared" si="80"/>
        <v>9</v>
      </c>
      <c r="F841" s="49">
        <f t="shared" si="81"/>
        <v>2.1978021978021978E-3</v>
      </c>
      <c r="G841" s="49">
        <f t="shared" si="83"/>
        <v>8.3179297597042508E-3</v>
      </c>
    </row>
    <row r="842" spans="2:7" x14ac:dyDescent="0.25">
      <c r="B842" s="48">
        <f t="shared" si="82"/>
        <v>840</v>
      </c>
      <c r="C842" s="48">
        <f t="shared" si="78"/>
        <v>3443</v>
      </c>
      <c r="D842" s="48">
        <f t="shared" si="79"/>
        <v>1091</v>
      </c>
      <c r="E842" s="48">
        <f t="shared" si="80"/>
        <v>9</v>
      </c>
      <c r="F842" s="49">
        <f t="shared" si="81"/>
        <v>2.1978021978021978E-3</v>
      </c>
      <c r="G842" s="49">
        <f t="shared" si="83"/>
        <v>8.2493125572868919E-3</v>
      </c>
    </row>
    <row r="843" spans="2:7" x14ac:dyDescent="0.25">
      <c r="B843" s="48">
        <f t="shared" si="82"/>
        <v>841</v>
      </c>
      <c r="C843" s="48">
        <f t="shared" si="78"/>
        <v>3447</v>
      </c>
      <c r="D843" s="48">
        <f t="shared" si="79"/>
        <v>1100</v>
      </c>
      <c r="E843" s="48">
        <f t="shared" si="80"/>
        <v>9</v>
      </c>
      <c r="F843" s="49">
        <f t="shared" si="81"/>
        <v>2.1978021978021978E-3</v>
      </c>
      <c r="G843" s="49">
        <f t="shared" si="83"/>
        <v>8.1818181818181825E-3</v>
      </c>
    </row>
    <row r="844" spans="2:7" x14ac:dyDescent="0.25">
      <c r="B844" s="48">
        <f t="shared" si="82"/>
        <v>842</v>
      </c>
      <c r="C844" s="48">
        <f t="shared" si="78"/>
        <v>3451</v>
      </c>
      <c r="D844" s="48">
        <f t="shared" si="79"/>
        <v>1110</v>
      </c>
      <c r="E844" s="48">
        <f t="shared" si="80"/>
        <v>10</v>
      </c>
      <c r="F844" s="49">
        <f t="shared" si="81"/>
        <v>2.442002442002442E-3</v>
      </c>
      <c r="G844" s="49">
        <f t="shared" si="83"/>
        <v>9.0090090090090089E-3</v>
      </c>
    </row>
    <row r="845" spans="2:7" x14ac:dyDescent="0.25">
      <c r="B845" s="48">
        <f t="shared" si="82"/>
        <v>843</v>
      </c>
      <c r="C845" s="48">
        <f t="shared" si="78"/>
        <v>3456</v>
      </c>
      <c r="D845" s="48">
        <f t="shared" si="79"/>
        <v>1119</v>
      </c>
      <c r="E845" s="48">
        <f t="shared" si="80"/>
        <v>9</v>
      </c>
      <c r="F845" s="49">
        <f t="shared" si="81"/>
        <v>2.1978021978021978E-3</v>
      </c>
      <c r="G845" s="49">
        <f t="shared" si="83"/>
        <v>8.0428954423592495E-3</v>
      </c>
    </row>
    <row r="846" spans="2:7" x14ac:dyDescent="0.25">
      <c r="B846" s="48">
        <f t="shared" si="82"/>
        <v>844</v>
      </c>
      <c r="C846" s="48">
        <f t="shared" si="78"/>
        <v>3460</v>
      </c>
      <c r="D846" s="48">
        <f t="shared" si="79"/>
        <v>1128</v>
      </c>
      <c r="E846" s="48">
        <f t="shared" si="80"/>
        <v>9</v>
      </c>
      <c r="F846" s="49">
        <f t="shared" si="81"/>
        <v>2.1978021978021978E-3</v>
      </c>
      <c r="G846" s="49">
        <f t="shared" si="83"/>
        <v>7.9787234042553185E-3</v>
      </c>
    </row>
    <row r="847" spans="2:7" x14ac:dyDescent="0.25">
      <c r="B847" s="48">
        <f t="shared" si="82"/>
        <v>845</v>
      </c>
      <c r="C847" s="48">
        <f t="shared" si="78"/>
        <v>3464</v>
      </c>
      <c r="D847" s="48">
        <f t="shared" si="79"/>
        <v>1138</v>
      </c>
      <c r="E847" s="48">
        <f t="shared" si="80"/>
        <v>10</v>
      </c>
      <c r="F847" s="49">
        <f t="shared" si="81"/>
        <v>2.442002442002442E-3</v>
      </c>
      <c r="G847" s="49">
        <f t="shared" si="83"/>
        <v>8.7873462214411256E-3</v>
      </c>
    </row>
    <row r="848" spans="2:7" x14ac:dyDescent="0.25">
      <c r="B848" s="48">
        <f t="shared" si="82"/>
        <v>846</v>
      </c>
      <c r="C848" s="48">
        <f t="shared" si="78"/>
        <v>3468</v>
      </c>
      <c r="D848" s="48">
        <f t="shared" si="79"/>
        <v>1147</v>
      </c>
      <c r="E848" s="48">
        <f t="shared" si="80"/>
        <v>9</v>
      </c>
      <c r="F848" s="49">
        <f t="shared" si="81"/>
        <v>2.1978021978021978E-3</v>
      </c>
      <c r="G848" s="49">
        <f t="shared" si="83"/>
        <v>7.8465562336530077E-3</v>
      </c>
    </row>
    <row r="849" spans="2:7" x14ac:dyDescent="0.25">
      <c r="B849" s="48">
        <f t="shared" si="82"/>
        <v>847</v>
      </c>
      <c r="C849" s="48">
        <f t="shared" si="78"/>
        <v>3472</v>
      </c>
      <c r="D849" s="48">
        <f t="shared" si="79"/>
        <v>1157</v>
      </c>
      <c r="E849" s="48">
        <f t="shared" si="80"/>
        <v>10</v>
      </c>
      <c r="F849" s="49">
        <f t="shared" si="81"/>
        <v>2.442002442002442E-3</v>
      </c>
      <c r="G849" s="49">
        <f t="shared" si="83"/>
        <v>8.6430423509075201E-3</v>
      </c>
    </row>
    <row r="850" spans="2:7" x14ac:dyDescent="0.25">
      <c r="B850" s="48">
        <f t="shared" si="82"/>
        <v>848</v>
      </c>
      <c r="C850" s="48">
        <f t="shared" si="78"/>
        <v>3476</v>
      </c>
      <c r="D850" s="48">
        <f t="shared" si="79"/>
        <v>1166</v>
      </c>
      <c r="E850" s="48">
        <f t="shared" si="80"/>
        <v>9</v>
      </c>
      <c r="F850" s="49">
        <f t="shared" si="81"/>
        <v>2.1978021978021978E-3</v>
      </c>
      <c r="G850" s="49">
        <f t="shared" si="83"/>
        <v>7.7186963979416811E-3</v>
      </c>
    </row>
    <row r="851" spans="2:7" x14ac:dyDescent="0.25">
      <c r="B851" s="48">
        <f t="shared" si="82"/>
        <v>849</v>
      </c>
      <c r="C851" s="48">
        <f t="shared" si="78"/>
        <v>3480</v>
      </c>
      <c r="D851" s="48">
        <f t="shared" si="79"/>
        <v>1176</v>
      </c>
      <c r="E851" s="48">
        <f t="shared" si="80"/>
        <v>10</v>
      </c>
      <c r="F851" s="49">
        <f t="shared" si="81"/>
        <v>2.442002442002442E-3</v>
      </c>
      <c r="G851" s="49">
        <f t="shared" si="83"/>
        <v>8.5034013605442185E-3</v>
      </c>
    </row>
    <row r="852" spans="2:7" x14ac:dyDescent="0.25">
      <c r="B852" s="48">
        <f t="shared" si="82"/>
        <v>850</v>
      </c>
      <c r="C852" s="48">
        <f t="shared" si="78"/>
        <v>3484</v>
      </c>
      <c r="D852" s="48">
        <f t="shared" si="79"/>
        <v>1186</v>
      </c>
      <c r="E852" s="48">
        <f t="shared" si="80"/>
        <v>10</v>
      </c>
      <c r="F852" s="49">
        <f t="shared" si="81"/>
        <v>2.442002442002442E-3</v>
      </c>
      <c r="G852" s="49">
        <f t="shared" si="83"/>
        <v>8.4317032040472171E-3</v>
      </c>
    </row>
    <row r="853" spans="2:7" x14ac:dyDescent="0.25">
      <c r="B853" s="48">
        <f t="shared" si="82"/>
        <v>851</v>
      </c>
      <c r="C853" s="48">
        <f t="shared" si="78"/>
        <v>3488</v>
      </c>
      <c r="D853" s="48">
        <f t="shared" si="79"/>
        <v>1196</v>
      </c>
      <c r="E853" s="48">
        <f t="shared" si="80"/>
        <v>10</v>
      </c>
      <c r="F853" s="49">
        <f t="shared" si="81"/>
        <v>2.442002442002442E-3</v>
      </c>
      <c r="G853" s="49">
        <f t="shared" si="83"/>
        <v>8.3612040133779261E-3</v>
      </c>
    </row>
    <row r="854" spans="2:7" x14ac:dyDescent="0.25">
      <c r="B854" s="48">
        <f t="shared" si="82"/>
        <v>852</v>
      </c>
      <c r="C854" s="48">
        <f t="shared" si="78"/>
        <v>3492</v>
      </c>
      <c r="D854" s="48">
        <f t="shared" si="79"/>
        <v>1206</v>
      </c>
      <c r="E854" s="48">
        <f t="shared" si="80"/>
        <v>10</v>
      </c>
      <c r="F854" s="49">
        <f t="shared" si="81"/>
        <v>2.442002442002442E-3</v>
      </c>
      <c r="G854" s="49">
        <f t="shared" si="83"/>
        <v>8.291873963515755E-3</v>
      </c>
    </row>
    <row r="855" spans="2:7" x14ac:dyDescent="0.25">
      <c r="B855" s="48">
        <f t="shared" si="82"/>
        <v>853</v>
      </c>
      <c r="C855" s="48">
        <f t="shared" si="78"/>
        <v>3497</v>
      </c>
      <c r="D855" s="48">
        <f t="shared" si="79"/>
        <v>1216</v>
      </c>
      <c r="E855" s="48">
        <f t="shared" si="80"/>
        <v>10</v>
      </c>
      <c r="F855" s="49">
        <f t="shared" si="81"/>
        <v>2.442002442002442E-3</v>
      </c>
      <c r="G855" s="49">
        <f t="shared" si="83"/>
        <v>8.2236842105263153E-3</v>
      </c>
    </row>
    <row r="856" spans="2:7" x14ac:dyDescent="0.25">
      <c r="B856" s="48">
        <f t="shared" si="82"/>
        <v>854</v>
      </c>
      <c r="C856" s="48">
        <f t="shared" si="78"/>
        <v>3501</v>
      </c>
      <c r="D856" s="48">
        <f t="shared" si="79"/>
        <v>1226</v>
      </c>
      <c r="E856" s="48">
        <f t="shared" si="80"/>
        <v>10</v>
      </c>
      <c r="F856" s="49">
        <f t="shared" si="81"/>
        <v>2.442002442002442E-3</v>
      </c>
      <c r="G856" s="49">
        <f t="shared" si="83"/>
        <v>8.1566068515497546E-3</v>
      </c>
    </row>
    <row r="857" spans="2:7" x14ac:dyDescent="0.25">
      <c r="B857" s="48">
        <f t="shared" si="82"/>
        <v>855</v>
      </c>
      <c r="C857" s="48">
        <f t="shared" si="78"/>
        <v>3505</v>
      </c>
      <c r="D857" s="48">
        <f t="shared" si="79"/>
        <v>1236</v>
      </c>
      <c r="E857" s="48">
        <f t="shared" si="80"/>
        <v>10</v>
      </c>
      <c r="F857" s="49">
        <f t="shared" si="81"/>
        <v>2.442002442002442E-3</v>
      </c>
      <c r="G857" s="49">
        <f t="shared" si="83"/>
        <v>8.0906148867313909E-3</v>
      </c>
    </row>
    <row r="858" spans="2:7" x14ac:dyDescent="0.25">
      <c r="B858" s="48">
        <f t="shared" si="82"/>
        <v>856</v>
      </c>
      <c r="C858" s="48">
        <f t="shared" si="78"/>
        <v>3509</v>
      </c>
      <c r="D858" s="48">
        <f t="shared" si="79"/>
        <v>1247</v>
      </c>
      <c r="E858" s="48">
        <f t="shared" si="80"/>
        <v>11</v>
      </c>
      <c r="F858" s="49">
        <f t="shared" si="81"/>
        <v>2.6862026862026862E-3</v>
      </c>
      <c r="G858" s="49">
        <f t="shared" si="83"/>
        <v>8.8211708099438652E-3</v>
      </c>
    </row>
    <row r="859" spans="2:7" x14ac:dyDescent="0.25">
      <c r="B859" s="48">
        <f t="shared" si="82"/>
        <v>857</v>
      </c>
      <c r="C859" s="48">
        <f t="shared" si="78"/>
        <v>3513</v>
      </c>
      <c r="D859" s="48">
        <f t="shared" si="79"/>
        <v>1257</v>
      </c>
      <c r="E859" s="48">
        <f t="shared" si="80"/>
        <v>10</v>
      </c>
      <c r="F859" s="49">
        <f t="shared" si="81"/>
        <v>2.442002442002442E-3</v>
      </c>
      <c r="G859" s="49">
        <f t="shared" si="83"/>
        <v>7.955449482895784E-3</v>
      </c>
    </row>
    <row r="860" spans="2:7" x14ac:dyDescent="0.25">
      <c r="B860" s="48">
        <f t="shared" si="82"/>
        <v>858</v>
      </c>
      <c r="C860" s="48">
        <f t="shared" si="78"/>
        <v>3517</v>
      </c>
      <c r="D860" s="48">
        <f t="shared" si="79"/>
        <v>1267</v>
      </c>
      <c r="E860" s="48">
        <f t="shared" si="80"/>
        <v>10</v>
      </c>
      <c r="F860" s="49">
        <f t="shared" si="81"/>
        <v>2.442002442002442E-3</v>
      </c>
      <c r="G860" s="49">
        <f t="shared" si="83"/>
        <v>7.8926598263614842E-3</v>
      </c>
    </row>
    <row r="861" spans="2:7" x14ac:dyDescent="0.25">
      <c r="B861" s="48">
        <f t="shared" si="82"/>
        <v>859</v>
      </c>
      <c r="C861" s="48">
        <f t="shared" si="78"/>
        <v>3521</v>
      </c>
      <c r="D861" s="48">
        <f t="shared" si="79"/>
        <v>1278</v>
      </c>
      <c r="E861" s="48">
        <f t="shared" si="80"/>
        <v>11</v>
      </c>
      <c r="F861" s="49">
        <f t="shared" si="81"/>
        <v>2.6862026862026862E-3</v>
      </c>
      <c r="G861" s="49">
        <f t="shared" si="83"/>
        <v>8.6071987480438178E-3</v>
      </c>
    </row>
    <row r="862" spans="2:7" x14ac:dyDescent="0.25">
      <c r="B862" s="48">
        <f t="shared" si="82"/>
        <v>860</v>
      </c>
      <c r="C862" s="48">
        <f t="shared" si="78"/>
        <v>3525</v>
      </c>
      <c r="D862" s="48">
        <f t="shared" si="79"/>
        <v>1289</v>
      </c>
      <c r="E862" s="48">
        <f t="shared" si="80"/>
        <v>11</v>
      </c>
      <c r="F862" s="49">
        <f t="shared" si="81"/>
        <v>2.6862026862026862E-3</v>
      </c>
      <c r="G862" s="49">
        <f t="shared" si="83"/>
        <v>8.5337470907680367E-3</v>
      </c>
    </row>
    <row r="863" spans="2:7" x14ac:dyDescent="0.25">
      <c r="B863" s="48">
        <f t="shared" si="82"/>
        <v>861</v>
      </c>
      <c r="C863" s="48">
        <f t="shared" si="78"/>
        <v>3529</v>
      </c>
      <c r="D863" s="48">
        <f t="shared" si="79"/>
        <v>1299</v>
      </c>
      <c r="E863" s="48">
        <f t="shared" si="80"/>
        <v>10</v>
      </c>
      <c r="F863" s="49">
        <f t="shared" si="81"/>
        <v>2.442002442002442E-3</v>
      </c>
      <c r="G863" s="49">
        <f t="shared" si="83"/>
        <v>7.6982294072363358E-3</v>
      </c>
    </row>
    <row r="864" spans="2:7" x14ac:dyDescent="0.25">
      <c r="B864" s="48">
        <f t="shared" si="82"/>
        <v>862</v>
      </c>
      <c r="C864" s="48">
        <f t="shared" si="78"/>
        <v>3533</v>
      </c>
      <c r="D864" s="48">
        <f t="shared" si="79"/>
        <v>1310</v>
      </c>
      <c r="E864" s="48">
        <f t="shared" si="80"/>
        <v>11</v>
      </c>
      <c r="F864" s="49">
        <f t="shared" si="81"/>
        <v>2.6862026862026862E-3</v>
      </c>
      <c r="G864" s="49">
        <f t="shared" si="83"/>
        <v>8.3969465648854966E-3</v>
      </c>
    </row>
    <row r="865" spans="2:7" x14ac:dyDescent="0.25">
      <c r="B865" s="48">
        <f t="shared" si="82"/>
        <v>863</v>
      </c>
      <c r="C865" s="48">
        <f t="shared" si="78"/>
        <v>3538</v>
      </c>
      <c r="D865" s="48">
        <f t="shared" si="79"/>
        <v>1321</v>
      </c>
      <c r="E865" s="48">
        <f t="shared" si="80"/>
        <v>11</v>
      </c>
      <c r="F865" s="49">
        <f t="shared" si="81"/>
        <v>2.6862026862026862E-3</v>
      </c>
      <c r="G865" s="49">
        <f t="shared" si="83"/>
        <v>8.3270249810749441E-3</v>
      </c>
    </row>
    <row r="866" spans="2:7" x14ac:dyDescent="0.25">
      <c r="B866" s="48">
        <f t="shared" si="82"/>
        <v>864</v>
      </c>
      <c r="C866" s="48">
        <f t="shared" si="78"/>
        <v>3542</v>
      </c>
      <c r="D866" s="48">
        <f t="shared" si="79"/>
        <v>1332</v>
      </c>
      <c r="E866" s="48">
        <f t="shared" si="80"/>
        <v>11</v>
      </c>
      <c r="F866" s="49">
        <f t="shared" si="81"/>
        <v>2.6862026862026862E-3</v>
      </c>
      <c r="G866" s="49">
        <f t="shared" si="83"/>
        <v>8.2582582582582578E-3</v>
      </c>
    </row>
    <row r="867" spans="2:7" x14ac:dyDescent="0.25">
      <c r="B867" s="48">
        <f t="shared" si="82"/>
        <v>865</v>
      </c>
      <c r="C867" s="48">
        <f t="shared" si="78"/>
        <v>3546</v>
      </c>
      <c r="D867" s="48">
        <f t="shared" si="79"/>
        <v>1343</v>
      </c>
      <c r="E867" s="48">
        <f t="shared" si="80"/>
        <v>11</v>
      </c>
      <c r="F867" s="49">
        <f t="shared" si="81"/>
        <v>2.6862026862026862E-3</v>
      </c>
      <c r="G867" s="49">
        <f t="shared" si="83"/>
        <v>8.1906180193596426E-3</v>
      </c>
    </row>
    <row r="868" spans="2:7" x14ac:dyDescent="0.25">
      <c r="B868" s="48">
        <f t="shared" si="82"/>
        <v>866</v>
      </c>
      <c r="C868" s="48">
        <f t="shared" si="78"/>
        <v>3550</v>
      </c>
      <c r="D868" s="48">
        <f t="shared" si="79"/>
        <v>1355</v>
      </c>
      <c r="E868" s="48">
        <f t="shared" si="80"/>
        <v>12</v>
      </c>
      <c r="F868" s="49">
        <f t="shared" si="81"/>
        <v>2.9304029304029304E-3</v>
      </c>
      <c r="G868" s="49">
        <f t="shared" si="83"/>
        <v>8.8560885608856086E-3</v>
      </c>
    </row>
    <row r="869" spans="2:7" x14ac:dyDescent="0.25">
      <c r="B869" s="48">
        <f t="shared" si="82"/>
        <v>867</v>
      </c>
      <c r="C869" s="48">
        <f t="shared" si="78"/>
        <v>3554</v>
      </c>
      <c r="D869" s="48">
        <f t="shared" si="79"/>
        <v>1366</v>
      </c>
      <c r="E869" s="48">
        <f t="shared" si="80"/>
        <v>11</v>
      </c>
      <c r="F869" s="49">
        <f t="shared" si="81"/>
        <v>2.6862026862026862E-3</v>
      </c>
      <c r="G869" s="49">
        <f t="shared" si="83"/>
        <v>8.0527086383601759E-3</v>
      </c>
    </row>
    <row r="870" spans="2:7" x14ac:dyDescent="0.25">
      <c r="B870" s="48">
        <f t="shared" si="82"/>
        <v>868</v>
      </c>
      <c r="C870" s="48">
        <f t="shared" si="78"/>
        <v>3558</v>
      </c>
      <c r="D870" s="48">
        <f t="shared" si="79"/>
        <v>1377</v>
      </c>
      <c r="E870" s="48">
        <f t="shared" si="80"/>
        <v>11</v>
      </c>
      <c r="F870" s="49">
        <f t="shared" si="81"/>
        <v>2.6862026862026862E-3</v>
      </c>
      <c r="G870" s="49">
        <f t="shared" si="83"/>
        <v>7.988380537400145E-3</v>
      </c>
    </row>
    <row r="871" spans="2:7" x14ac:dyDescent="0.25">
      <c r="B871" s="48">
        <f t="shared" si="82"/>
        <v>869</v>
      </c>
      <c r="C871" s="48">
        <f t="shared" si="78"/>
        <v>3562</v>
      </c>
      <c r="D871" s="48">
        <f t="shared" si="79"/>
        <v>1389</v>
      </c>
      <c r="E871" s="48">
        <f t="shared" si="80"/>
        <v>12</v>
      </c>
      <c r="F871" s="49">
        <f t="shared" si="81"/>
        <v>2.9304029304029304E-3</v>
      </c>
      <c r="G871" s="49">
        <f t="shared" si="83"/>
        <v>8.6393088552915772E-3</v>
      </c>
    </row>
    <row r="872" spans="2:7" x14ac:dyDescent="0.25">
      <c r="B872" s="48">
        <f t="shared" si="82"/>
        <v>870</v>
      </c>
      <c r="C872" s="48">
        <f t="shared" si="78"/>
        <v>3566</v>
      </c>
      <c r="D872" s="48">
        <f t="shared" si="79"/>
        <v>1400</v>
      </c>
      <c r="E872" s="48">
        <f t="shared" si="80"/>
        <v>11</v>
      </c>
      <c r="F872" s="49">
        <f t="shared" si="81"/>
        <v>2.6862026862026862E-3</v>
      </c>
      <c r="G872" s="49">
        <f t="shared" si="83"/>
        <v>7.8571428571428577E-3</v>
      </c>
    </row>
    <row r="873" spans="2:7" x14ac:dyDescent="0.25">
      <c r="B873" s="48">
        <f t="shared" si="82"/>
        <v>871</v>
      </c>
      <c r="C873" s="48">
        <f t="shared" si="78"/>
        <v>3570</v>
      </c>
      <c r="D873" s="48">
        <f t="shared" si="79"/>
        <v>1412</v>
      </c>
      <c r="E873" s="48">
        <f t="shared" si="80"/>
        <v>12</v>
      </c>
      <c r="F873" s="49">
        <f t="shared" si="81"/>
        <v>2.9304029304029304E-3</v>
      </c>
      <c r="G873" s="49">
        <f t="shared" si="83"/>
        <v>8.4985835694051E-3</v>
      </c>
    </row>
    <row r="874" spans="2:7" x14ac:dyDescent="0.25">
      <c r="B874" s="48">
        <f t="shared" si="82"/>
        <v>872</v>
      </c>
      <c r="C874" s="48">
        <f t="shared" si="78"/>
        <v>3574</v>
      </c>
      <c r="D874" s="48">
        <f t="shared" si="79"/>
        <v>1424</v>
      </c>
      <c r="E874" s="48">
        <f t="shared" si="80"/>
        <v>12</v>
      </c>
      <c r="F874" s="49">
        <f t="shared" si="81"/>
        <v>2.9304029304029304E-3</v>
      </c>
      <c r="G874" s="49">
        <f t="shared" si="83"/>
        <v>8.4269662921348312E-3</v>
      </c>
    </row>
    <row r="875" spans="2:7" x14ac:dyDescent="0.25">
      <c r="B875" s="48">
        <f t="shared" si="82"/>
        <v>873</v>
      </c>
      <c r="C875" s="48">
        <f t="shared" si="78"/>
        <v>3579</v>
      </c>
      <c r="D875" s="48">
        <f t="shared" si="79"/>
        <v>1436</v>
      </c>
      <c r="E875" s="48">
        <f t="shared" si="80"/>
        <v>12</v>
      </c>
      <c r="F875" s="49">
        <f t="shared" si="81"/>
        <v>2.9304029304029304E-3</v>
      </c>
      <c r="G875" s="49">
        <f t="shared" si="83"/>
        <v>8.356545961002786E-3</v>
      </c>
    </row>
    <row r="876" spans="2:7" x14ac:dyDescent="0.25">
      <c r="B876" s="48">
        <f t="shared" si="82"/>
        <v>874</v>
      </c>
      <c r="C876" s="48">
        <f t="shared" si="78"/>
        <v>3583</v>
      </c>
      <c r="D876" s="48">
        <f t="shared" si="79"/>
        <v>1448</v>
      </c>
      <c r="E876" s="48">
        <f t="shared" si="80"/>
        <v>12</v>
      </c>
      <c r="F876" s="49">
        <f t="shared" si="81"/>
        <v>2.9304029304029304E-3</v>
      </c>
      <c r="G876" s="49">
        <f t="shared" si="83"/>
        <v>8.2872928176795577E-3</v>
      </c>
    </row>
    <row r="877" spans="2:7" x14ac:dyDescent="0.25">
      <c r="B877" s="48">
        <f t="shared" si="82"/>
        <v>875</v>
      </c>
      <c r="C877" s="48">
        <f t="shared" si="78"/>
        <v>3587</v>
      </c>
      <c r="D877" s="48">
        <f t="shared" si="79"/>
        <v>1460</v>
      </c>
      <c r="E877" s="48">
        <f t="shared" si="80"/>
        <v>12</v>
      </c>
      <c r="F877" s="49">
        <f t="shared" si="81"/>
        <v>2.9304029304029304E-3</v>
      </c>
      <c r="G877" s="49">
        <f t="shared" si="83"/>
        <v>8.21917808219178E-3</v>
      </c>
    </row>
    <row r="878" spans="2:7" x14ac:dyDescent="0.25">
      <c r="B878" s="48">
        <f t="shared" si="82"/>
        <v>876</v>
      </c>
      <c r="C878" s="48">
        <f t="shared" si="78"/>
        <v>3591</v>
      </c>
      <c r="D878" s="48">
        <f t="shared" si="79"/>
        <v>1472</v>
      </c>
      <c r="E878" s="48">
        <f t="shared" si="80"/>
        <v>12</v>
      </c>
      <c r="F878" s="49">
        <f t="shared" si="81"/>
        <v>2.9304029304029304E-3</v>
      </c>
      <c r="G878" s="49">
        <f t="shared" si="83"/>
        <v>8.152173913043478E-3</v>
      </c>
    </row>
    <row r="879" spans="2:7" x14ac:dyDescent="0.25">
      <c r="B879" s="48">
        <f t="shared" si="82"/>
        <v>877</v>
      </c>
      <c r="C879" s="48">
        <f t="shared" si="78"/>
        <v>3595</v>
      </c>
      <c r="D879" s="48">
        <f t="shared" si="79"/>
        <v>1484</v>
      </c>
      <c r="E879" s="48">
        <f t="shared" si="80"/>
        <v>12</v>
      </c>
      <c r="F879" s="49">
        <f t="shared" si="81"/>
        <v>2.9304029304029304E-3</v>
      </c>
      <c r="G879" s="49">
        <f t="shared" si="83"/>
        <v>8.0862533692722376E-3</v>
      </c>
    </row>
    <row r="880" spans="2:7" x14ac:dyDescent="0.25">
      <c r="B880" s="48">
        <f t="shared" si="82"/>
        <v>878</v>
      </c>
      <c r="C880" s="48">
        <f t="shared" si="78"/>
        <v>3599</v>
      </c>
      <c r="D880" s="48">
        <f t="shared" si="79"/>
        <v>1497</v>
      </c>
      <c r="E880" s="48">
        <f t="shared" si="80"/>
        <v>13</v>
      </c>
      <c r="F880" s="49">
        <f t="shared" si="81"/>
        <v>3.1746031746031746E-3</v>
      </c>
      <c r="G880" s="49">
        <f t="shared" si="83"/>
        <v>8.6840347361389451E-3</v>
      </c>
    </row>
    <row r="881" spans="2:7" x14ac:dyDescent="0.25">
      <c r="B881" s="48">
        <f t="shared" si="82"/>
        <v>879</v>
      </c>
      <c r="C881" s="48">
        <f t="shared" si="78"/>
        <v>3603</v>
      </c>
      <c r="D881" s="48">
        <f t="shared" si="79"/>
        <v>1509</v>
      </c>
      <c r="E881" s="48">
        <f t="shared" si="80"/>
        <v>12</v>
      </c>
      <c r="F881" s="49">
        <f t="shared" si="81"/>
        <v>2.9304029304029304E-3</v>
      </c>
      <c r="G881" s="49">
        <f t="shared" si="83"/>
        <v>7.9522862823061622E-3</v>
      </c>
    </row>
    <row r="882" spans="2:7" x14ac:dyDescent="0.25">
      <c r="B882" s="48">
        <f t="shared" si="82"/>
        <v>880</v>
      </c>
      <c r="C882" s="48">
        <f t="shared" si="78"/>
        <v>3607</v>
      </c>
      <c r="D882" s="48">
        <f t="shared" si="79"/>
        <v>1522</v>
      </c>
      <c r="E882" s="48">
        <f t="shared" si="80"/>
        <v>13</v>
      </c>
      <c r="F882" s="49">
        <f t="shared" si="81"/>
        <v>3.1746031746031746E-3</v>
      </c>
      <c r="G882" s="49">
        <f t="shared" si="83"/>
        <v>8.5413929040735869E-3</v>
      </c>
    </row>
    <row r="883" spans="2:7" x14ac:dyDescent="0.25">
      <c r="B883" s="48">
        <f t="shared" si="82"/>
        <v>881</v>
      </c>
      <c r="C883" s="48">
        <f t="shared" si="78"/>
        <v>3611</v>
      </c>
      <c r="D883" s="48">
        <f t="shared" si="79"/>
        <v>1535</v>
      </c>
      <c r="E883" s="48">
        <f t="shared" si="80"/>
        <v>13</v>
      </c>
      <c r="F883" s="49">
        <f t="shared" si="81"/>
        <v>3.1746031746031746E-3</v>
      </c>
      <c r="G883" s="49">
        <f t="shared" si="83"/>
        <v>8.4690553745928338E-3</v>
      </c>
    </row>
    <row r="884" spans="2:7" x14ac:dyDescent="0.25">
      <c r="B884" s="48">
        <f t="shared" si="82"/>
        <v>882</v>
      </c>
      <c r="C884" s="48">
        <f t="shared" si="78"/>
        <v>3615</v>
      </c>
      <c r="D884" s="48">
        <f t="shared" si="79"/>
        <v>1547</v>
      </c>
      <c r="E884" s="48">
        <f t="shared" si="80"/>
        <v>12</v>
      </c>
      <c r="F884" s="49">
        <f t="shared" si="81"/>
        <v>2.9304029304029304E-3</v>
      </c>
      <c r="G884" s="49">
        <f t="shared" si="83"/>
        <v>7.7569489334195219E-3</v>
      </c>
    </row>
    <row r="885" spans="2:7" x14ac:dyDescent="0.25">
      <c r="B885" s="48">
        <f t="shared" si="82"/>
        <v>883</v>
      </c>
      <c r="C885" s="48">
        <f t="shared" si="78"/>
        <v>3620</v>
      </c>
      <c r="D885" s="48">
        <f t="shared" si="79"/>
        <v>1560</v>
      </c>
      <c r="E885" s="48">
        <f t="shared" si="80"/>
        <v>13</v>
      </c>
      <c r="F885" s="49">
        <f t="shared" si="81"/>
        <v>3.1746031746031746E-3</v>
      </c>
      <c r="G885" s="49">
        <f t="shared" si="83"/>
        <v>8.3333333333333332E-3</v>
      </c>
    </row>
    <row r="886" spans="2:7" x14ac:dyDescent="0.25">
      <c r="B886" s="48">
        <f t="shared" si="82"/>
        <v>884</v>
      </c>
      <c r="C886" s="48">
        <f t="shared" si="78"/>
        <v>3624</v>
      </c>
      <c r="D886" s="48">
        <f t="shared" si="79"/>
        <v>1573</v>
      </c>
      <c r="E886" s="48">
        <f t="shared" si="80"/>
        <v>13</v>
      </c>
      <c r="F886" s="49">
        <f t="shared" si="81"/>
        <v>3.1746031746031746E-3</v>
      </c>
      <c r="G886" s="49">
        <f t="shared" si="83"/>
        <v>8.2644628099173556E-3</v>
      </c>
    </row>
    <row r="887" spans="2:7" x14ac:dyDescent="0.25">
      <c r="B887" s="48">
        <f t="shared" si="82"/>
        <v>885</v>
      </c>
      <c r="C887" s="48">
        <f t="shared" si="78"/>
        <v>3628</v>
      </c>
      <c r="D887" s="48">
        <f t="shared" si="79"/>
        <v>1587</v>
      </c>
      <c r="E887" s="48">
        <f t="shared" si="80"/>
        <v>14</v>
      </c>
      <c r="F887" s="49">
        <f t="shared" si="81"/>
        <v>3.4188034188034188E-3</v>
      </c>
      <c r="G887" s="49">
        <f t="shared" si="83"/>
        <v>8.8216761184625077E-3</v>
      </c>
    </row>
    <row r="888" spans="2:7" x14ac:dyDescent="0.25">
      <c r="B888" s="48">
        <f t="shared" si="82"/>
        <v>886</v>
      </c>
      <c r="C888" s="48">
        <f t="shared" si="78"/>
        <v>3632</v>
      </c>
      <c r="D888" s="48">
        <f t="shared" si="79"/>
        <v>1600</v>
      </c>
      <c r="E888" s="48">
        <f t="shared" si="80"/>
        <v>13</v>
      </c>
      <c r="F888" s="49">
        <f t="shared" si="81"/>
        <v>3.1746031746031746E-3</v>
      </c>
      <c r="G888" s="49">
        <f t="shared" si="83"/>
        <v>8.1250000000000003E-3</v>
      </c>
    </row>
    <row r="889" spans="2:7" x14ac:dyDescent="0.25">
      <c r="B889" s="48">
        <f t="shared" si="82"/>
        <v>887</v>
      </c>
      <c r="C889" s="48">
        <f t="shared" si="78"/>
        <v>3636</v>
      </c>
      <c r="D889" s="48">
        <f t="shared" si="79"/>
        <v>1613</v>
      </c>
      <c r="E889" s="48">
        <f t="shared" si="80"/>
        <v>13</v>
      </c>
      <c r="F889" s="49">
        <f t="shared" si="81"/>
        <v>3.1746031746031746E-3</v>
      </c>
      <c r="G889" s="49">
        <f t="shared" si="83"/>
        <v>8.0595164290142591E-3</v>
      </c>
    </row>
    <row r="890" spans="2:7" x14ac:dyDescent="0.25">
      <c r="B890" s="48">
        <f t="shared" si="82"/>
        <v>888</v>
      </c>
      <c r="C890" s="48">
        <f t="shared" si="78"/>
        <v>3640</v>
      </c>
      <c r="D890" s="48">
        <f t="shared" si="79"/>
        <v>1627</v>
      </c>
      <c r="E890" s="48">
        <f t="shared" si="80"/>
        <v>14</v>
      </c>
      <c r="F890" s="49">
        <f t="shared" si="81"/>
        <v>3.4188034188034188E-3</v>
      </c>
      <c r="G890" s="49">
        <f t="shared" si="83"/>
        <v>8.6047940995697611E-3</v>
      </c>
    </row>
    <row r="891" spans="2:7" x14ac:dyDescent="0.25">
      <c r="B891" s="48">
        <f t="shared" si="82"/>
        <v>889</v>
      </c>
      <c r="C891" s="48">
        <f t="shared" si="78"/>
        <v>3644</v>
      </c>
      <c r="D891" s="48">
        <f t="shared" si="79"/>
        <v>1640</v>
      </c>
      <c r="E891" s="48">
        <f t="shared" si="80"/>
        <v>13</v>
      </c>
      <c r="F891" s="49">
        <f t="shared" si="81"/>
        <v>3.1746031746031746E-3</v>
      </c>
      <c r="G891" s="49">
        <f t="shared" si="83"/>
        <v>7.926829268292683E-3</v>
      </c>
    </row>
    <row r="892" spans="2:7" x14ac:dyDescent="0.25">
      <c r="B892" s="48">
        <f t="shared" si="82"/>
        <v>890</v>
      </c>
      <c r="C892" s="48">
        <f t="shared" si="78"/>
        <v>3648</v>
      </c>
      <c r="D892" s="48">
        <f t="shared" si="79"/>
        <v>1654</v>
      </c>
      <c r="E892" s="48">
        <f t="shared" si="80"/>
        <v>14</v>
      </c>
      <c r="F892" s="49">
        <f t="shared" si="81"/>
        <v>3.4188034188034188E-3</v>
      </c>
      <c r="G892" s="49">
        <f t="shared" si="83"/>
        <v>8.4643288996372433E-3</v>
      </c>
    </row>
    <row r="893" spans="2:7" x14ac:dyDescent="0.25">
      <c r="B893" s="48">
        <f t="shared" si="82"/>
        <v>891</v>
      </c>
      <c r="C893" s="48">
        <f t="shared" si="78"/>
        <v>3652</v>
      </c>
      <c r="D893" s="48">
        <f t="shared" si="79"/>
        <v>1668</v>
      </c>
      <c r="E893" s="48">
        <f t="shared" si="80"/>
        <v>14</v>
      </c>
      <c r="F893" s="49">
        <f t="shared" si="81"/>
        <v>3.4188034188034188E-3</v>
      </c>
      <c r="G893" s="49">
        <f t="shared" si="83"/>
        <v>8.3932853717026377E-3</v>
      </c>
    </row>
    <row r="894" spans="2:7" x14ac:dyDescent="0.25">
      <c r="B894" s="48">
        <f t="shared" si="82"/>
        <v>892</v>
      </c>
      <c r="C894" s="48">
        <f t="shared" si="78"/>
        <v>3656</v>
      </c>
      <c r="D894" s="48">
        <f t="shared" si="79"/>
        <v>1682</v>
      </c>
      <c r="E894" s="48">
        <f t="shared" si="80"/>
        <v>14</v>
      </c>
      <c r="F894" s="49">
        <f t="shared" si="81"/>
        <v>3.4188034188034188E-3</v>
      </c>
      <c r="G894" s="49">
        <f t="shared" si="83"/>
        <v>8.3234244946492272E-3</v>
      </c>
    </row>
    <row r="895" spans="2:7" x14ac:dyDescent="0.25">
      <c r="B895" s="48">
        <f t="shared" si="82"/>
        <v>893</v>
      </c>
      <c r="C895" s="48">
        <f t="shared" si="78"/>
        <v>3660</v>
      </c>
      <c r="D895" s="48">
        <f t="shared" si="79"/>
        <v>1696</v>
      </c>
      <c r="E895" s="48">
        <f t="shared" si="80"/>
        <v>14</v>
      </c>
      <c r="F895" s="49">
        <f t="shared" si="81"/>
        <v>3.4188034188034188E-3</v>
      </c>
      <c r="G895" s="49">
        <f t="shared" si="83"/>
        <v>8.2547169811320754E-3</v>
      </c>
    </row>
    <row r="896" spans="2:7" x14ac:dyDescent="0.25">
      <c r="B896" s="48">
        <f t="shared" si="82"/>
        <v>894</v>
      </c>
      <c r="C896" s="48">
        <f t="shared" si="78"/>
        <v>3665</v>
      </c>
      <c r="D896" s="48">
        <f t="shared" si="79"/>
        <v>1710</v>
      </c>
      <c r="E896" s="48">
        <f t="shared" si="80"/>
        <v>14</v>
      </c>
      <c r="F896" s="49">
        <f t="shared" si="81"/>
        <v>3.4188034188034188E-3</v>
      </c>
      <c r="G896" s="49">
        <f t="shared" si="83"/>
        <v>8.1871345029239772E-3</v>
      </c>
    </row>
    <row r="897" spans="2:7" x14ac:dyDescent="0.25">
      <c r="B897" s="48">
        <f t="shared" si="82"/>
        <v>895</v>
      </c>
      <c r="C897" s="48">
        <f t="shared" si="78"/>
        <v>3669</v>
      </c>
      <c r="D897" s="48">
        <f t="shared" si="79"/>
        <v>1724</v>
      </c>
      <c r="E897" s="48">
        <f t="shared" si="80"/>
        <v>14</v>
      </c>
      <c r="F897" s="49">
        <f t="shared" si="81"/>
        <v>3.4188034188034188E-3</v>
      </c>
      <c r="G897" s="49">
        <f t="shared" si="83"/>
        <v>8.1206496519721574E-3</v>
      </c>
    </row>
    <row r="898" spans="2:7" x14ac:dyDescent="0.25">
      <c r="B898" s="48">
        <f t="shared" si="82"/>
        <v>896</v>
      </c>
      <c r="C898" s="48">
        <f t="shared" si="78"/>
        <v>3673</v>
      </c>
      <c r="D898" s="48">
        <f t="shared" si="79"/>
        <v>1739</v>
      </c>
      <c r="E898" s="48">
        <f t="shared" si="80"/>
        <v>15</v>
      </c>
      <c r="F898" s="49">
        <f t="shared" si="81"/>
        <v>3.663003663003663E-3</v>
      </c>
      <c r="G898" s="49">
        <f t="shared" si="83"/>
        <v>8.6256469235192635E-3</v>
      </c>
    </row>
    <row r="899" spans="2:7" x14ac:dyDescent="0.25">
      <c r="B899" s="48">
        <f t="shared" si="82"/>
        <v>897</v>
      </c>
      <c r="C899" s="48">
        <f t="shared" ref="C899:C962" si="84">ROUND(B899*C$1/(B$1-1),0)</f>
        <v>3677</v>
      </c>
      <c r="D899" s="48">
        <f t="shared" ref="D899:D962" si="85">MAX(ROUND(D$1^(B899+1),0),B899)</f>
        <v>1753</v>
      </c>
      <c r="E899" s="48">
        <f t="shared" ref="E899:E962" si="86">D899-D898</f>
        <v>14</v>
      </c>
      <c r="F899" s="49">
        <f t="shared" ref="F899:F962" si="87">E899/C$1</f>
        <v>3.4188034188034188E-3</v>
      </c>
      <c r="G899" s="49">
        <f t="shared" si="83"/>
        <v>7.9863091842555627E-3</v>
      </c>
    </row>
    <row r="900" spans="2:7" x14ac:dyDescent="0.25">
      <c r="B900" s="48">
        <f t="shared" ref="B900:B963" si="88">B899+1</f>
        <v>898</v>
      </c>
      <c r="C900" s="48">
        <f t="shared" si="84"/>
        <v>3681</v>
      </c>
      <c r="D900" s="48">
        <f t="shared" si="85"/>
        <v>1768</v>
      </c>
      <c r="E900" s="48">
        <f t="shared" si="86"/>
        <v>15</v>
      </c>
      <c r="F900" s="49">
        <f t="shared" si="87"/>
        <v>3.663003663003663E-3</v>
      </c>
      <c r="G900" s="49">
        <f t="shared" ref="G900:G963" si="89">E900/D900</f>
        <v>8.4841628959276012E-3</v>
      </c>
    </row>
    <row r="901" spans="2:7" x14ac:dyDescent="0.25">
      <c r="B901" s="48">
        <f t="shared" si="88"/>
        <v>899</v>
      </c>
      <c r="C901" s="48">
        <f t="shared" si="84"/>
        <v>3685</v>
      </c>
      <c r="D901" s="48">
        <f t="shared" si="85"/>
        <v>1782</v>
      </c>
      <c r="E901" s="48">
        <f t="shared" si="86"/>
        <v>14</v>
      </c>
      <c r="F901" s="49">
        <f t="shared" si="87"/>
        <v>3.4188034188034188E-3</v>
      </c>
      <c r="G901" s="49">
        <f t="shared" si="89"/>
        <v>7.8563411896745237E-3</v>
      </c>
    </row>
    <row r="902" spans="2:7" x14ac:dyDescent="0.25">
      <c r="B902" s="48">
        <f t="shared" si="88"/>
        <v>900</v>
      </c>
      <c r="C902" s="48">
        <f t="shared" si="84"/>
        <v>3689</v>
      </c>
      <c r="D902" s="48">
        <f t="shared" si="85"/>
        <v>1797</v>
      </c>
      <c r="E902" s="48">
        <f t="shared" si="86"/>
        <v>15</v>
      </c>
      <c r="F902" s="49">
        <f t="shared" si="87"/>
        <v>3.663003663003663E-3</v>
      </c>
      <c r="G902" s="49">
        <f t="shared" si="89"/>
        <v>8.3472454090150246E-3</v>
      </c>
    </row>
    <row r="903" spans="2:7" x14ac:dyDescent="0.25">
      <c r="B903" s="48">
        <f t="shared" si="88"/>
        <v>901</v>
      </c>
      <c r="C903" s="48">
        <f t="shared" si="84"/>
        <v>3693</v>
      </c>
      <c r="D903" s="48">
        <f t="shared" si="85"/>
        <v>1812</v>
      </c>
      <c r="E903" s="48">
        <f t="shared" si="86"/>
        <v>15</v>
      </c>
      <c r="F903" s="49">
        <f t="shared" si="87"/>
        <v>3.663003663003663E-3</v>
      </c>
      <c r="G903" s="49">
        <f t="shared" si="89"/>
        <v>8.2781456953642391E-3</v>
      </c>
    </row>
    <row r="904" spans="2:7" x14ac:dyDescent="0.25">
      <c r="B904" s="48">
        <f t="shared" si="88"/>
        <v>902</v>
      </c>
      <c r="C904" s="48">
        <f t="shared" si="84"/>
        <v>3697</v>
      </c>
      <c r="D904" s="48">
        <f t="shared" si="85"/>
        <v>1828</v>
      </c>
      <c r="E904" s="48">
        <f t="shared" si="86"/>
        <v>16</v>
      </c>
      <c r="F904" s="49">
        <f t="shared" si="87"/>
        <v>3.9072039072039072E-3</v>
      </c>
      <c r="G904" s="49">
        <f t="shared" si="89"/>
        <v>8.7527352297592995E-3</v>
      </c>
    </row>
    <row r="905" spans="2:7" x14ac:dyDescent="0.25">
      <c r="B905" s="48">
        <f t="shared" si="88"/>
        <v>903</v>
      </c>
      <c r="C905" s="48">
        <f t="shared" si="84"/>
        <v>3701</v>
      </c>
      <c r="D905" s="48">
        <f t="shared" si="85"/>
        <v>1843</v>
      </c>
      <c r="E905" s="48">
        <f t="shared" si="86"/>
        <v>15</v>
      </c>
      <c r="F905" s="49">
        <f t="shared" si="87"/>
        <v>3.663003663003663E-3</v>
      </c>
      <c r="G905" s="49">
        <f t="shared" si="89"/>
        <v>8.1389039609332612E-3</v>
      </c>
    </row>
    <row r="906" spans="2:7" x14ac:dyDescent="0.25">
      <c r="B906" s="48">
        <f t="shared" si="88"/>
        <v>904</v>
      </c>
      <c r="C906" s="48">
        <f t="shared" si="84"/>
        <v>3706</v>
      </c>
      <c r="D906" s="48">
        <f t="shared" si="85"/>
        <v>1858</v>
      </c>
      <c r="E906" s="48">
        <f t="shared" si="86"/>
        <v>15</v>
      </c>
      <c r="F906" s="49">
        <f t="shared" si="87"/>
        <v>3.663003663003663E-3</v>
      </c>
      <c r="G906" s="49">
        <f t="shared" si="89"/>
        <v>8.0731969860064583E-3</v>
      </c>
    </row>
    <row r="907" spans="2:7" x14ac:dyDescent="0.25">
      <c r="B907" s="48">
        <f t="shared" si="88"/>
        <v>905</v>
      </c>
      <c r="C907" s="48">
        <f t="shared" si="84"/>
        <v>3710</v>
      </c>
      <c r="D907" s="48">
        <f t="shared" si="85"/>
        <v>1874</v>
      </c>
      <c r="E907" s="48">
        <f t="shared" si="86"/>
        <v>16</v>
      </c>
      <c r="F907" s="49">
        <f t="shared" si="87"/>
        <v>3.9072039072039072E-3</v>
      </c>
      <c r="G907" s="49">
        <f t="shared" si="89"/>
        <v>8.5378868729989333E-3</v>
      </c>
    </row>
    <row r="908" spans="2:7" x14ac:dyDescent="0.25">
      <c r="B908" s="48">
        <f t="shared" si="88"/>
        <v>906</v>
      </c>
      <c r="C908" s="48">
        <f t="shared" si="84"/>
        <v>3714</v>
      </c>
      <c r="D908" s="48">
        <f t="shared" si="85"/>
        <v>1889</v>
      </c>
      <c r="E908" s="48">
        <f t="shared" si="86"/>
        <v>15</v>
      </c>
      <c r="F908" s="49">
        <f t="shared" si="87"/>
        <v>3.663003663003663E-3</v>
      </c>
      <c r="G908" s="49">
        <f t="shared" si="89"/>
        <v>7.9407093700370572E-3</v>
      </c>
    </row>
    <row r="909" spans="2:7" x14ac:dyDescent="0.25">
      <c r="B909" s="48">
        <f t="shared" si="88"/>
        <v>907</v>
      </c>
      <c r="C909" s="48">
        <f t="shared" si="84"/>
        <v>3718</v>
      </c>
      <c r="D909" s="48">
        <f t="shared" si="85"/>
        <v>1905</v>
      </c>
      <c r="E909" s="48">
        <f t="shared" si="86"/>
        <v>16</v>
      </c>
      <c r="F909" s="49">
        <f t="shared" si="87"/>
        <v>3.9072039072039072E-3</v>
      </c>
      <c r="G909" s="49">
        <f t="shared" si="89"/>
        <v>8.3989501312335957E-3</v>
      </c>
    </row>
    <row r="910" spans="2:7" x14ac:dyDescent="0.25">
      <c r="B910" s="48">
        <f t="shared" si="88"/>
        <v>908</v>
      </c>
      <c r="C910" s="48">
        <f t="shared" si="84"/>
        <v>3722</v>
      </c>
      <c r="D910" s="48">
        <f t="shared" si="85"/>
        <v>1921</v>
      </c>
      <c r="E910" s="48">
        <f t="shared" si="86"/>
        <v>16</v>
      </c>
      <c r="F910" s="49">
        <f t="shared" si="87"/>
        <v>3.9072039072039072E-3</v>
      </c>
      <c r="G910" s="49">
        <f t="shared" si="89"/>
        <v>8.3289953149401352E-3</v>
      </c>
    </row>
    <row r="911" spans="2:7" x14ac:dyDescent="0.25">
      <c r="B911" s="48">
        <f t="shared" si="88"/>
        <v>909</v>
      </c>
      <c r="C911" s="48">
        <f t="shared" si="84"/>
        <v>3726</v>
      </c>
      <c r="D911" s="48">
        <f t="shared" si="85"/>
        <v>1937</v>
      </c>
      <c r="E911" s="48">
        <f t="shared" si="86"/>
        <v>16</v>
      </c>
      <c r="F911" s="49">
        <f t="shared" si="87"/>
        <v>3.9072039072039072E-3</v>
      </c>
      <c r="G911" s="49">
        <f t="shared" si="89"/>
        <v>8.2601961796592675E-3</v>
      </c>
    </row>
    <row r="912" spans="2:7" x14ac:dyDescent="0.25">
      <c r="B912" s="48">
        <f t="shared" si="88"/>
        <v>910</v>
      </c>
      <c r="C912" s="48">
        <f t="shared" si="84"/>
        <v>3730</v>
      </c>
      <c r="D912" s="48">
        <f t="shared" si="85"/>
        <v>1953</v>
      </c>
      <c r="E912" s="48">
        <f t="shared" si="86"/>
        <v>16</v>
      </c>
      <c r="F912" s="49">
        <f t="shared" si="87"/>
        <v>3.9072039072039072E-3</v>
      </c>
      <c r="G912" s="49">
        <f t="shared" si="89"/>
        <v>8.1925243215565796E-3</v>
      </c>
    </row>
    <row r="913" spans="2:7" x14ac:dyDescent="0.25">
      <c r="B913" s="48">
        <f t="shared" si="88"/>
        <v>911</v>
      </c>
      <c r="C913" s="48">
        <f t="shared" si="84"/>
        <v>3734</v>
      </c>
      <c r="D913" s="48">
        <f t="shared" si="85"/>
        <v>1970</v>
      </c>
      <c r="E913" s="48">
        <f t="shared" si="86"/>
        <v>17</v>
      </c>
      <c r="F913" s="49">
        <f t="shared" si="87"/>
        <v>4.1514041514041514E-3</v>
      </c>
      <c r="G913" s="49">
        <f t="shared" si="89"/>
        <v>8.6294416243654828E-3</v>
      </c>
    </row>
    <row r="914" spans="2:7" x14ac:dyDescent="0.25">
      <c r="B914" s="48">
        <f t="shared" si="88"/>
        <v>912</v>
      </c>
      <c r="C914" s="48">
        <f t="shared" si="84"/>
        <v>3738</v>
      </c>
      <c r="D914" s="48">
        <f t="shared" si="85"/>
        <v>1986</v>
      </c>
      <c r="E914" s="48">
        <f t="shared" si="86"/>
        <v>16</v>
      </c>
      <c r="F914" s="49">
        <f t="shared" si="87"/>
        <v>3.9072039072039072E-3</v>
      </c>
      <c r="G914" s="49">
        <f t="shared" si="89"/>
        <v>8.0563947633434038E-3</v>
      </c>
    </row>
    <row r="915" spans="2:7" x14ac:dyDescent="0.25">
      <c r="B915" s="48">
        <f t="shared" si="88"/>
        <v>913</v>
      </c>
      <c r="C915" s="48">
        <f t="shared" si="84"/>
        <v>3742</v>
      </c>
      <c r="D915" s="48">
        <f t="shared" si="85"/>
        <v>2003</v>
      </c>
      <c r="E915" s="48">
        <f t="shared" si="86"/>
        <v>17</v>
      </c>
      <c r="F915" s="49">
        <f t="shared" si="87"/>
        <v>4.1514041514041514E-3</v>
      </c>
      <c r="G915" s="49">
        <f t="shared" si="89"/>
        <v>8.4872690963554674E-3</v>
      </c>
    </row>
    <row r="916" spans="2:7" x14ac:dyDescent="0.25">
      <c r="B916" s="48">
        <f t="shared" si="88"/>
        <v>914</v>
      </c>
      <c r="C916" s="48">
        <f t="shared" si="84"/>
        <v>3747</v>
      </c>
      <c r="D916" s="48">
        <f t="shared" si="85"/>
        <v>2019</v>
      </c>
      <c r="E916" s="48">
        <f t="shared" si="86"/>
        <v>16</v>
      </c>
      <c r="F916" s="49">
        <f t="shared" si="87"/>
        <v>3.9072039072039072E-3</v>
      </c>
      <c r="G916" s="49">
        <f t="shared" si="89"/>
        <v>7.9247152055473002E-3</v>
      </c>
    </row>
    <row r="917" spans="2:7" x14ac:dyDescent="0.25">
      <c r="B917" s="48">
        <f t="shared" si="88"/>
        <v>915</v>
      </c>
      <c r="C917" s="48">
        <f t="shared" si="84"/>
        <v>3751</v>
      </c>
      <c r="D917" s="48">
        <f t="shared" si="85"/>
        <v>2036</v>
      </c>
      <c r="E917" s="48">
        <f t="shared" si="86"/>
        <v>17</v>
      </c>
      <c r="F917" s="49">
        <f t="shared" si="87"/>
        <v>4.1514041514041514E-3</v>
      </c>
      <c r="G917" s="49">
        <f t="shared" si="89"/>
        <v>8.3497053045186644E-3</v>
      </c>
    </row>
    <row r="918" spans="2:7" x14ac:dyDescent="0.25">
      <c r="B918" s="48">
        <f t="shared" si="88"/>
        <v>916</v>
      </c>
      <c r="C918" s="48">
        <f t="shared" si="84"/>
        <v>3755</v>
      </c>
      <c r="D918" s="48">
        <f t="shared" si="85"/>
        <v>2053</v>
      </c>
      <c r="E918" s="48">
        <f t="shared" si="86"/>
        <v>17</v>
      </c>
      <c r="F918" s="49">
        <f t="shared" si="87"/>
        <v>4.1514041514041514E-3</v>
      </c>
      <c r="G918" s="49">
        <f t="shared" si="89"/>
        <v>8.2805650267900634E-3</v>
      </c>
    </row>
    <row r="919" spans="2:7" x14ac:dyDescent="0.25">
      <c r="B919" s="48">
        <f t="shared" si="88"/>
        <v>917</v>
      </c>
      <c r="C919" s="48">
        <f t="shared" si="84"/>
        <v>3759</v>
      </c>
      <c r="D919" s="48">
        <f t="shared" si="85"/>
        <v>2070</v>
      </c>
      <c r="E919" s="48">
        <f t="shared" si="86"/>
        <v>17</v>
      </c>
      <c r="F919" s="49">
        <f t="shared" si="87"/>
        <v>4.1514041514041514E-3</v>
      </c>
      <c r="G919" s="49">
        <f t="shared" si="89"/>
        <v>8.2125603864734303E-3</v>
      </c>
    </row>
    <row r="920" spans="2:7" x14ac:dyDescent="0.25">
      <c r="B920" s="48">
        <f t="shared" si="88"/>
        <v>918</v>
      </c>
      <c r="C920" s="48">
        <f t="shared" si="84"/>
        <v>3763</v>
      </c>
      <c r="D920" s="48">
        <f t="shared" si="85"/>
        <v>2088</v>
      </c>
      <c r="E920" s="48">
        <f t="shared" si="86"/>
        <v>18</v>
      </c>
      <c r="F920" s="49">
        <f t="shared" si="87"/>
        <v>4.3956043956043956E-3</v>
      </c>
      <c r="G920" s="49">
        <f t="shared" si="89"/>
        <v>8.6206896551724137E-3</v>
      </c>
    </row>
    <row r="921" spans="2:7" x14ac:dyDescent="0.25">
      <c r="B921" s="48">
        <f t="shared" si="88"/>
        <v>919</v>
      </c>
      <c r="C921" s="48">
        <f t="shared" si="84"/>
        <v>3767</v>
      </c>
      <c r="D921" s="48">
        <f t="shared" si="85"/>
        <v>2105</v>
      </c>
      <c r="E921" s="48">
        <f t="shared" si="86"/>
        <v>17</v>
      </c>
      <c r="F921" s="49">
        <f t="shared" si="87"/>
        <v>4.1514041514041514E-3</v>
      </c>
      <c r="G921" s="49">
        <f t="shared" si="89"/>
        <v>8.076009501187649E-3</v>
      </c>
    </row>
    <row r="922" spans="2:7" x14ac:dyDescent="0.25">
      <c r="B922" s="48">
        <f t="shared" si="88"/>
        <v>920</v>
      </c>
      <c r="C922" s="48">
        <f t="shared" si="84"/>
        <v>3771</v>
      </c>
      <c r="D922" s="48">
        <f t="shared" si="85"/>
        <v>2123</v>
      </c>
      <c r="E922" s="48">
        <f t="shared" si="86"/>
        <v>18</v>
      </c>
      <c r="F922" s="49">
        <f t="shared" si="87"/>
        <v>4.3956043956043956E-3</v>
      </c>
      <c r="G922" s="49">
        <f t="shared" si="89"/>
        <v>8.4785680640602924E-3</v>
      </c>
    </row>
    <row r="923" spans="2:7" x14ac:dyDescent="0.25">
      <c r="B923" s="48">
        <f t="shared" si="88"/>
        <v>921</v>
      </c>
      <c r="C923" s="48">
        <f t="shared" si="84"/>
        <v>3775</v>
      </c>
      <c r="D923" s="48">
        <f t="shared" si="85"/>
        <v>2140</v>
      </c>
      <c r="E923" s="48">
        <f t="shared" si="86"/>
        <v>17</v>
      </c>
      <c r="F923" s="49">
        <f t="shared" si="87"/>
        <v>4.1514041514041514E-3</v>
      </c>
      <c r="G923" s="49">
        <f t="shared" si="89"/>
        <v>7.9439252336448597E-3</v>
      </c>
    </row>
    <row r="924" spans="2:7" x14ac:dyDescent="0.25">
      <c r="B924" s="48">
        <f t="shared" si="88"/>
        <v>922</v>
      </c>
      <c r="C924" s="48">
        <f t="shared" si="84"/>
        <v>3779</v>
      </c>
      <c r="D924" s="48">
        <f t="shared" si="85"/>
        <v>2158</v>
      </c>
      <c r="E924" s="48">
        <f t="shared" si="86"/>
        <v>18</v>
      </c>
      <c r="F924" s="49">
        <f t="shared" si="87"/>
        <v>4.3956043956043956E-3</v>
      </c>
      <c r="G924" s="49">
        <f t="shared" si="89"/>
        <v>8.3410565338276187E-3</v>
      </c>
    </row>
    <row r="925" spans="2:7" x14ac:dyDescent="0.25">
      <c r="B925" s="48">
        <f t="shared" si="88"/>
        <v>923</v>
      </c>
      <c r="C925" s="48">
        <f t="shared" si="84"/>
        <v>3783</v>
      </c>
      <c r="D925" s="48">
        <f t="shared" si="85"/>
        <v>2176</v>
      </c>
      <c r="E925" s="48">
        <f t="shared" si="86"/>
        <v>18</v>
      </c>
      <c r="F925" s="49">
        <f t="shared" si="87"/>
        <v>4.3956043956043956E-3</v>
      </c>
      <c r="G925" s="49">
        <f t="shared" si="89"/>
        <v>8.2720588235294119E-3</v>
      </c>
    </row>
    <row r="926" spans="2:7" x14ac:dyDescent="0.25">
      <c r="B926" s="48">
        <f t="shared" si="88"/>
        <v>924</v>
      </c>
      <c r="C926" s="48">
        <f t="shared" si="84"/>
        <v>3788</v>
      </c>
      <c r="D926" s="48">
        <f t="shared" si="85"/>
        <v>2194</v>
      </c>
      <c r="E926" s="48">
        <f t="shared" si="86"/>
        <v>18</v>
      </c>
      <c r="F926" s="49">
        <f t="shared" si="87"/>
        <v>4.3956043956043956E-3</v>
      </c>
      <c r="G926" s="49">
        <f t="shared" si="89"/>
        <v>8.2041932543299913E-3</v>
      </c>
    </row>
    <row r="927" spans="2:7" x14ac:dyDescent="0.25">
      <c r="B927" s="48">
        <f t="shared" si="88"/>
        <v>925</v>
      </c>
      <c r="C927" s="48">
        <f t="shared" si="84"/>
        <v>3792</v>
      </c>
      <c r="D927" s="48">
        <f t="shared" si="85"/>
        <v>2213</v>
      </c>
      <c r="E927" s="48">
        <f t="shared" si="86"/>
        <v>19</v>
      </c>
      <c r="F927" s="49">
        <f t="shared" si="87"/>
        <v>4.6398046398046398E-3</v>
      </c>
      <c r="G927" s="49">
        <f t="shared" si="89"/>
        <v>8.5856303660189794E-3</v>
      </c>
    </row>
    <row r="928" spans="2:7" x14ac:dyDescent="0.25">
      <c r="B928" s="48">
        <f t="shared" si="88"/>
        <v>926</v>
      </c>
      <c r="C928" s="48">
        <f t="shared" si="84"/>
        <v>3796</v>
      </c>
      <c r="D928" s="48">
        <f t="shared" si="85"/>
        <v>2231</v>
      </c>
      <c r="E928" s="48">
        <f t="shared" si="86"/>
        <v>18</v>
      </c>
      <c r="F928" s="49">
        <f t="shared" si="87"/>
        <v>4.3956043956043956E-3</v>
      </c>
      <c r="G928" s="49">
        <f t="shared" si="89"/>
        <v>8.0681308830121024E-3</v>
      </c>
    </row>
    <row r="929" spans="2:7" x14ac:dyDescent="0.25">
      <c r="B929" s="48">
        <f t="shared" si="88"/>
        <v>927</v>
      </c>
      <c r="C929" s="48">
        <f t="shared" si="84"/>
        <v>3800</v>
      </c>
      <c r="D929" s="48">
        <f t="shared" si="85"/>
        <v>2250</v>
      </c>
      <c r="E929" s="48">
        <f t="shared" si="86"/>
        <v>19</v>
      </c>
      <c r="F929" s="49">
        <f t="shared" si="87"/>
        <v>4.6398046398046398E-3</v>
      </c>
      <c r="G929" s="49">
        <f t="shared" si="89"/>
        <v>8.4444444444444437E-3</v>
      </c>
    </row>
    <row r="930" spans="2:7" x14ac:dyDescent="0.25">
      <c r="B930" s="48">
        <f t="shared" si="88"/>
        <v>928</v>
      </c>
      <c r="C930" s="48">
        <f t="shared" si="84"/>
        <v>3804</v>
      </c>
      <c r="D930" s="48">
        <f t="shared" si="85"/>
        <v>2269</v>
      </c>
      <c r="E930" s="48">
        <f t="shared" si="86"/>
        <v>19</v>
      </c>
      <c r="F930" s="49">
        <f t="shared" si="87"/>
        <v>4.6398046398046398E-3</v>
      </c>
      <c r="G930" s="49">
        <f t="shared" si="89"/>
        <v>8.3737329219920678E-3</v>
      </c>
    </row>
    <row r="931" spans="2:7" x14ac:dyDescent="0.25">
      <c r="B931" s="48">
        <f t="shared" si="88"/>
        <v>929</v>
      </c>
      <c r="C931" s="48">
        <f t="shared" si="84"/>
        <v>3808</v>
      </c>
      <c r="D931" s="48">
        <f t="shared" si="85"/>
        <v>2288</v>
      </c>
      <c r="E931" s="48">
        <f t="shared" si="86"/>
        <v>19</v>
      </c>
      <c r="F931" s="49">
        <f t="shared" si="87"/>
        <v>4.6398046398046398E-3</v>
      </c>
      <c r="G931" s="49">
        <f t="shared" si="89"/>
        <v>8.304195804195804E-3</v>
      </c>
    </row>
    <row r="932" spans="2:7" x14ac:dyDescent="0.25">
      <c r="B932" s="48">
        <f t="shared" si="88"/>
        <v>930</v>
      </c>
      <c r="C932" s="48">
        <f t="shared" si="84"/>
        <v>3812</v>
      </c>
      <c r="D932" s="48">
        <f t="shared" si="85"/>
        <v>2307</v>
      </c>
      <c r="E932" s="48">
        <f t="shared" si="86"/>
        <v>19</v>
      </c>
      <c r="F932" s="49">
        <f t="shared" si="87"/>
        <v>4.6398046398046398E-3</v>
      </c>
      <c r="G932" s="49">
        <f t="shared" si="89"/>
        <v>8.2358040745556995E-3</v>
      </c>
    </row>
    <row r="933" spans="2:7" x14ac:dyDescent="0.25">
      <c r="B933" s="48">
        <f t="shared" si="88"/>
        <v>931</v>
      </c>
      <c r="C933" s="48">
        <f t="shared" si="84"/>
        <v>3816</v>
      </c>
      <c r="D933" s="48">
        <f t="shared" si="85"/>
        <v>2326</v>
      </c>
      <c r="E933" s="48">
        <f t="shared" si="86"/>
        <v>19</v>
      </c>
      <c r="F933" s="49">
        <f t="shared" si="87"/>
        <v>4.6398046398046398E-3</v>
      </c>
      <c r="G933" s="49">
        <f t="shared" si="89"/>
        <v>8.1685296646603605E-3</v>
      </c>
    </row>
    <row r="934" spans="2:7" x14ac:dyDescent="0.25">
      <c r="B934" s="48">
        <f t="shared" si="88"/>
        <v>932</v>
      </c>
      <c r="C934" s="48">
        <f t="shared" si="84"/>
        <v>3820</v>
      </c>
      <c r="D934" s="48">
        <f t="shared" si="85"/>
        <v>2345</v>
      </c>
      <c r="E934" s="48">
        <f t="shared" si="86"/>
        <v>19</v>
      </c>
      <c r="F934" s="49">
        <f t="shared" si="87"/>
        <v>4.6398046398046398E-3</v>
      </c>
      <c r="G934" s="49">
        <f t="shared" si="89"/>
        <v>8.1023454157782508E-3</v>
      </c>
    </row>
    <row r="935" spans="2:7" x14ac:dyDescent="0.25">
      <c r="B935" s="48">
        <f t="shared" si="88"/>
        <v>933</v>
      </c>
      <c r="C935" s="48">
        <f t="shared" si="84"/>
        <v>3824</v>
      </c>
      <c r="D935" s="48">
        <f t="shared" si="85"/>
        <v>2365</v>
      </c>
      <c r="E935" s="48">
        <f t="shared" si="86"/>
        <v>20</v>
      </c>
      <c r="F935" s="49">
        <f t="shared" si="87"/>
        <v>4.884004884004884E-3</v>
      </c>
      <c r="G935" s="49">
        <f t="shared" si="89"/>
        <v>8.4566596194503175E-3</v>
      </c>
    </row>
    <row r="936" spans="2:7" x14ac:dyDescent="0.25">
      <c r="B936" s="48">
        <f t="shared" si="88"/>
        <v>934</v>
      </c>
      <c r="C936" s="48">
        <f t="shared" si="84"/>
        <v>3829</v>
      </c>
      <c r="D936" s="48">
        <f t="shared" si="85"/>
        <v>2385</v>
      </c>
      <c r="E936" s="48">
        <f t="shared" si="86"/>
        <v>20</v>
      </c>
      <c r="F936" s="49">
        <f t="shared" si="87"/>
        <v>4.884004884004884E-3</v>
      </c>
      <c r="G936" s="49">
        <f t="shared" si="89"/>
        <v>8.385744234800839E-3</v>
      </c>
    </row>
    <row r="937" spans="2:7" x14ac:dyDescent="0.25">
      <c r="B937" s="48">
        <f t="shared" si="88"/>
        <v>935</v>
      </c>
      <c r="C937" s="48">
        <f t="shared" si="84"/>
        <v>3833</v>
      </c>
      <c r="D937" s="48">
        <f t="shared" si="85"/>
        <v>2405</v>
      </c>
      <c r="E937" s="48">
        <f t="shared" si="86"/>
        <v>20</v>
      </c>
      <c r="F937" s="49">
        <f t="shared" si="87"/>
        <v>4.884004884004884E-3</v>
      </c>
      <c r="G937" s="49">
        <f t="shared" si="89"/>
        <v>8.3160083160083165E-3</v>
      </c>
    </row>
    <row r="938" spans="2:7" x14ac:dyDescent="0.25">
      <c r="B938" s="48">
        <f t="shared" si="88"/>
        <v>936</v>
      </c>
      <c r="C938" s="48">
        <f t="shared" si="84"/>
        <v>3837</v>
      </c>
      <c r="D938" s="48">
        <f t="shared" si="85"/>
        <v>2425</v>
      </c>
      <c r="E938" s="48">
        <f t="shared" si="86"/>
        <v>20</v>
      </c>
      <c r="F938" s="49">
        <f t="shared" si="87"/>
        <v>4.884004884004884E-3</v>
      </c>
      <c r="G938" s="49">
        <f t="shared" si="89"/>
        <v>8.2474226804123713E-3</v>
      </c>
    </row>
    <row r="939" spans="2:7" x14ac:dyDescent="0.25">
      <c r="B939" s="48">
        <f t="shared" si="88"/>
        <v>937</v>
      </c>
      <c r="C939" s="48">
        <f t="shared" si="84"/>
        <v>3841</v>
      </c>
      <c r="D939" s="48">
        <f t="shared" si="85"/>
        <v>2445</v>
      </c>
      <c r="E939" s="48">
        <f t="shared" si="86"/>
        <v>20</v>
      </c>
      <c r="F939" s="49">
        <f t="shared" si="87"/>
        <v>4.884004884004884E-3</v>
      </c>
      <c r="G939" s="49">
        <f t="shared" si="89"/>
        <v>8.1799591002044997E-3</v>
      </c>
    </row>
    <row r="940" spans="2:7" x14ac:dyDescent="0.25">
      <c r="B940" s="48">
        <f t="shared" si="88"/>
        <v>938</v>
      </c>
      <c r="C940" s="48">
        <f t="shared" si="84"/>
        <v>3845</v>
      </c>
      <c r="D940" s="48">
        <f t="shared" si="85"/>
        <v>2466</v>
      </c>
      <c r="E940" s="48">
        <f t="shared" si="86"/>
        <v>21</v>
      </c>
      <c r="F940" s="49">
        <f t="shared" si="87"/>
        <v>5.1282051282051282E-3</v>
      </c>
      <c r="G940" s="49">
        <f t="shared" si="89"/>
        <v>8.5158150851581509E-3</v>
      </c>
    </row>
    <row r="941" spans="2:7" x14ac:dyDescent="0.25">
      <c r="B941" s="48">
        <f t="shared" si="88"/>
        <v>939</v>
      </c>
      <c r="C941" s="48">
        <f t="shared" si="84"/>
        <v>3849</v>
      </c>
      <c r="D941" s="48">
        <f t="shared" si="85"/>
        <v>2486</v>
      </c>
      <c r="E941" s="48">
        <f t="shared" si="86"/>
        <v>20</v>
      </c>
      <c r="F941" s="49">
        <f t="shared" si="87"/>
        <v>4.884004884004884E-3</v>
      </c>
      <c r="G941" s="49">
        <f t="shared" si="89"/>
        <v>8.0450522928399038E-3</v>
      </c>
    </row>
    <row r="942" spans="2:7" x14ac:dyDescent="0.25">
      <c r="B942" s="48">
        <f t="shared" si="88"/>
        <v>940</v>
      </c>
      <c r="C942" s="48">
        <f t="shared" si="84"/>
        <v>3853</v>
      </c>
      <c r="D942" s="48">
        <f t="shared" si="85"/>
        <v>2507</v>
      </c>
      <c r="E942" s="48">
        <f t="shared" si="86"/>
        <v>21</v>
      </c>
      <c r="F942" s="49">
        <f t="shared" si="87"/>
        <v>5.1282051282051282E-3</v>
      </c>
      <c r="G942" s="49">
        <f t="shared" si="89"/>
        <v>8.3765456721180687E-3</v>
      </c>
    </row>
    <row r="943" spans="2:7" x14ac:dyDescent="0.25">
      <c r="B943" s="48">
        <f t="shared" si="88"/>
        <v>941</v>
      </c>
      <c r="C943" s="48">
        <f t="shared" si="84"/>
        <v>3857</v>
      </c>
      <c r="D943" s="48">
        <f t="shared" si="85"/>
        <v>2528</v>
      </c>
      <c r="E943" s="48">
        <f t="shared" si="86"/>
        <v>21</v>
      </c>
      <c r="F943" s="49">
        <f t="shared" si="87"/>
        <v>5.1282051282051282E-3</v>
      </c>
      <c r="G943" s="49">
        <f t="shared" si="89"/>
        <v>8.3069620253164549E-3</v>
      </c>
    </row>
    <row r="944" spans="2:7" x14ac:dyDescent="0.25">
      <c r="B944" s="48">
        <f t="shared" si="88"/>
        <v>942</v>
      </c>
      <c r="C944" s="48">
        <f t="shared" si="84"/>
        <v>3861</v>
      </c>
      <c r="D944" s="48">
        <f t="shared" si="85"/>
        <v>2549</v>
      </c>
      <c r="E944" s="48">
        <f t="shared" si="86"/>
        <v>21</v>
      </c>
      <c r="F944" s="49">
        <f t="shared" si="87"/>
        <v>5.1282051282051282E-3</v>
      </c>
      <c r="G944" s="49">
        <f t="shared" si="89"/>
        <v>8.2385249117300895E-3</v>
      </c>
    </row>
    <row r="945" spans="2:7" x14ac:dyDescent="0.25">
      <c r="B945" s="48">
        <f t="shared" si="88"/>
        <v>943</v>
      </c>
      <c r="C945" s="48">
        <f t="shared" si="84"/>
        <v>3865</v>
      </c>
      <c r="D945" s="48">
        <f t="shared" si="85"/>
        <v>2570</v>
      </c>
      <c r="E945" s="48">
        <f t="shared" si="86"/>
        <v>21</v>
      </c>
      <c r="F945" s="49">
        <f t="shared" si="87"/>
        <v>5.1282051282051282E-3</v>
      </c>
      <c r="G945" s="49">
        <f t="shared" si="89"/>
        <v>8.1712062256809343E-3</v>
      </c>
    </row>
    <row r="946" spans="2:7" x14ac:dyDescent="0.25">
      <c r="B946" s="48">
        <f t="shared" si="88"/>
        <v>944</v>
      </c>
      <c r="C946" s="48">
        <f t="shared" si="84"/>
        <v>3870</v>
      </c>
      <c r="D946" s="48">
        <f t="shared" si="85"/>
        <v>2592</v>
      </c>
      <c r="E946" s="48">
        <f t="shared" si="86"/>
        <v>22</v>
      </c>
      <c r="F946" s="49">
        <f t="shared" si="87"/>
        <v>5.3724053724053724E-3</v>
      </c>
      <c r="G946" s="49">
        <f t="shared" si="89"/>
        <v>8.4876543209876538E-3</v>
      </c>
    </row>
    <row r="947" spans="2:7" x14ac:dyDescent="0.25">
      <c r="B947" s="48">
        <f t="shared" si="88"/>
        <v>945</v>
      </c>
      <c r="C947" s="48">
        <f t="shared" si="84"/>
        <v>3874</v>
      </c>
      <c r="D947" s="48">
        <f t="shared" si="85"/>
        <v>2613</v>
      </c>
      <c r="E947" s="48">
        <f t="shared" si="86"/>
        <v>21</v>
      </c>
      <c r="F947" s="49">
        <f t="shared" si="87"/>
        <v>5.1282051282051282E-3</v>
      </c>
      <c r="G947" s="49">
        <f t="shared" si="89"/>
        <v>8.0367393800229621E-3</v>
      </c>
    </row>
    <row r="948" spans="2:7" x14ac:dyDescent="0.25">
      <c r="B948" s="48">
        <f t="shared" si="88"/>
        <v>946</v>
      </c>
      <c r="C948" s="48">
        <f t="shared" si="84"/>
        <v>3878</v>
      </c>
      <c r="D948" s="48">
        <f t="shared" si="85"/>
        <v>2635</v>
      </c>
      <c r="E948" s="48">
        <f t="shared" si="86"/>
        <v>22</v>
      </c>
      <c r="F948" s="49">
        <f t="shared" si="87"/>
        <v>5.3724053724053724E-3</v>
      </c>
      <c r="G948" s="49">
        <f t="shared" si="89"/>
        <v>8.3491461100569254E-3</v>
      </c>
    </row>
    <row r="949" spans="2:7" x14ac:dyDescent="0.25">
      <c r="B949" s="48">
        <f t="shared" si="88"/>
        <v>947</v>
      </c>
      <c r="C949" s="48">
        <f t="shared" si="84"/>
        <v>3882</v>
      </c>
      <c r="D949" s="48">
        <f t="shared" si="85"/>
        <v>2657</v>
      </c>
      <c r="E949" s="48">
        <f t="shared" si="86"/>
        <v>22</v>
      </c>
      <c r="F949" s="49">
        <f t="shared" si="87"/>
        <v>5.3724053724053724E-3</v>
      </c>
      <c r="G949" s="49">
        <f t="shared" si="89"/>
        <v>8.2800150545728271E-3</v>
      </c>
    </row>
    <row r="950" spans="2:7" x14ac:dyDescent="0.25">
      <c r="B950" s="48">
        <f t="shared" si="88"/>
        <v>948</v>
      </c>
      <c r="C950" s="48">
        <f t="shared" si="84"/>
        <v>3886</v>
      </c>
      <c r="D950" s="48">
        <f t="shared" si="85"/>
        <v>2679</v>
      </c>
      <c r="E950" s="48">
        <f t="shared" si="86"/>
        <v>22</v>
      </c>
      <c r="F950" s="49">
        <f t="shared" si="87"/>
        <v>5.3724053724053724E-3</v>
      </c>
      <c r="G950" s="49">
        <f t="shared" si="89"/>
        <v>8.2120194102276965E-3</v>
      </c>
    </row>
    <row r="951" spans="2:7" x14ac:dyDescent="0.25">
      <c r="B951" s="48">
        <f t="shared" si="88"/>
        <v>949</v>
      </c>
      <c r="C951" s="48">
        <f t="shared" si="84"/>
        <v>3890</v>
      </c>
      <c r="D951" s="48">
        <f t="shared" si="85"/>
        <v>2702</v>
      </c>
      <c r="E951" s="48">
        <f t="shared" si="86"/>
        <v>23</v>
      </c>
      <c r="F951" s="49">
        <f t="shared" si="87"/>
        <v>5.6166056166056166E-3</v>
      </c>
      <c r="G951" s="49">
        <f t="shared" si="89"/>
        <v>8.5122131754256109E-3</v>
      </c>
    </row>
    <row r="952" spans="2:7" x14ac:dyDescent="0.25">
      <c r="B952" s="48">
        <f t="shared" si="88"/>
        <v>950</v>
      </c>
      <c r="C952" s="48">
        <f t="shared" si="84"/>
        <v>3894</v>
      </c>
      <c r="D952" s="48">
        <f t="shared" si="85"/>
        <v>2724</v>
      </c>
      <c r="E952" s="48">
        <f t="shared" si="86"/>
        <v>22</v>
      </c>
      <c r="F952" s="49">
        <f t="shared" si="87"/>
        <v>5.3724053724053724E-3</v>
      </c>
      <c r="G952" s="49">
        <f t="shared" si="89"/>
        <v>8.0763582966226141E-3</v>
      </c>
    </row>
    <row r="953" spans="2:7" x14ac:dyDescent="0.25">
      <c r="B953" s="48">
        <f t="shared" si="88"/>
        <v>951</v>
      </c>
      <c r="C953" s="48">
        <f t="shared" si="84"/>
        <v>3898</v>
      </c>
      <c r="D953" s="48">
        <f t="shared" si="85"/>
        <v>2747</v>
      </c>
      <c r="E953" s="48">
        <f t="shared" si="86"/>
        <v>23</v>
      </c>
      <c r="F953" s="49">
        <f t="shared" si="87"/>
        <v>5.6166056166056166E-3</v>
      </c>
      <c r="G953" s="49">
        <f t="shared" si="89"/>
        <v>8.3727702948671271E-3</v>
      </c>
    </row>
    <row r="954" spans="2:7" x14ac:dyDescent="0.25">
      <c r="B954" s="48">
        <f t="shared" si="88"/>
        <v>952</v>
      </c>
      <c r="C954" s="48">
        <f t="shared" si="84"/>
        <v>3902</v>
      </c>
      <c r="D954" s="48">
        <f t="shared" si="85"/>
        <v>2770</v>
      </c>
      <c r="E954" s="48">
        <f t="shared" si="86"/>
        <v>23</v>
      </c>
      <c r="F954" s="49">
        <f t="shared" si="87"/>
        <v>5.6166056166056166E-3</v>
      </c>
      <c r="G954" s="49">
        <f t="shared" si="89"/>
        <v>8.3032490974729242E-3</v>
      </c>
    </row>
    <row r="955" spans="2:7" x14ac:dyDescent="0.25">
      <c r="B955" s="48">
        <f t="shared" si="88"/>
        <v>953</v>
      </c>
      <c r="C955" s="48">
        <f t="shared" si="84"/>
        <v>3906</v>
      </c>
      <c r="D955" s="48">
        <f t="shared" si="85"/>
        <v>2793</v>
      </c>
      <c r="E955" s="48">
        <f t="shared" si="86"/>
        <v>23</v>
      </c>
      <c r="F955" s="49">
        <f t="shared" si="87"/>
        <v>5.6166056166056166E-3</v>
      </c>
      <c r="G955" s="49">
        <f t="shared" si="89"/>
        <v>8.2348728965270322E-3</v>
      </c>
    </row>
    <row r="956" spans="2:7" x14ac:dyDescent="0.25">
      <c r="B956" s="48">
        <f t="shared" si="88"/>
        <v>954</v>
      </c>
      <c r="C956" s="48">
        <f t="shared" si="84"/>
        <v>3911</v>
      </c>
      <c r="D956" s="48">
        <f t="shared" si="85"/>
        <v>2816</v>
      </c>
      <c r="E956" s="48">
        <f t="shared" si="86"/>
        <v>23</v>
      </c>
      <c r="F956" s="49">
        <f t="shared" si="87"/>
        <v>5.6166056166056166E-3</v>
      </c>
      <c r="G956" s="49">
        <f t="shared" si="89"/>
        <v>8.167613636363636E-3</v>
      </c>
    </row>
    <row r="957" spans="2:7" x14ac:dyDescent="0.25">
      <c r="B957" s="48">
        <f t="shared" si="88"/>
        <v>955</v>
      </c>
      <c r="C957" s="48">
        <f t="shared" si="84"/>
        <v>3915</v>
      </c>
      <c r="D957" s="48">
        <f t="shared" si="85"/>
        <v>2840</v>
      </c>
      <c r="E957" s="48">
        <f t="shared" si="86"/>
        <v>24</v>
      </c>
      <c r="F957" s="49">
        <f t="shared" si="87"/>
        <v>5.8608058608058608E-3</v>
      </c>
      <c r="G957" s="49">
        <f t="shared" si="89"/>
        <v>8.4507042253521118E-3</v>
      </c>
    </row>
    <row r="958" spans="2:7" x14ac:dyDescent="0.25">
      <c r="B958" s="48">
        <f t="shared" si="88"/>
        <v>956</v>
      </c>
      <c r="C958" s="48">
        <f t="shared" si="84"/>
        <v>3919</v>
      </c>
      <c r="D958" s="48">
        <f t="shared" si="85"/>
        <v>2864</v>
      </c>
      <c r="E958" s="48">
        <f t="shared" si="86"/>
        <v>24</v>
      </c>
      <c r="F958" s="49">
        <f t="shared" si="87"/>
        <v>5.8608058608058608E-3</v>
      </c>
      <c r="G958" s="49">
        <f t="shared" si="89"/>
        <v>8.3798882681564244E-3</v>
      </c>
    </row>
    <row r="959" spans="2:7" x14ac:dyDescent="0.25">
      <c r="B959" s="48">
        <f t="shared" si="88"/>
        <v>957</v>
      </c>
      <c r="C959" s="48">
        <f t="shared" si="84"/>
        <v>3923</v>
      </c>
      <c r="D959" s="48">
        <f t="shared" si="85"/>
        <v>2888</v>
      </c>
      <c r="E959" s="48">
        <f t="shared" si="86"/>
        <v>24</v>
      </c>
      <c r="F959" s="49">
        <f t="shared" si="87"/>
        <v>5.8608058608058608E-3</v>
      </c>
      <c r="G959" s="49">
        <f t="shared" si="89"/>
        <v>8.3102493074792248E-3</v>
      </c>
    </row>
    <row r="960" spans="2:7" x14ac:dyDescent="0.25">
      <c r="B960" s="48">
        <f t="shared" si="88"/>
        <v>958</v>
      </c>
      <c r="C960" s="48">
        <f t="shared" si="84"/>
        <v>3927</v>
      </c>
      <c r="D960" s="48">
        <f t="shared" si="85"/>
        <v>2912</v>
      </c>
      <c r="E960" s="48">
        <f t="shared" si="86"/>
        <v>24</v>
      </c>
      <c r="F960" s="49">
        <f t="shared" si="87"/>
        <v>5.8608058608058608E-3</v>
      </c>
      <c r="G960" s="49">
        <f t="shared" si="89"/>
        <v>8.241758241758242E-3</v>
      </c>
    </row>
    <row r="961" spans="2:7" x14ac:dyDescent="0.25">
      <c r="B961" s="48">
        <f t="shared" si="88"/>
        <v>959</v>
      </c>
      <c r="C961" s="48">
        <f t="shared" si="84"/>
        <v>3931</v>
      </c>
      <c r="D961" s="48">
        <f t="shared" si="85"/>
        <v>2936</v>
      </c>
      <c r="E961" s="48">
        <f t="shared" si="86"/>
        <v>24</v>
      </c>
      <c r="F961" s="49">
        <f t="shared" si="87"/>
        <v>5.8608058608058608E-3</v>
      </c>
      <c r="G961" s="49">
        <f t="shared" si="89"/>
        <v>8.1743869209809257E-3</v>
      </c>
    </row>
    <row r="962" spans="2:7" x14ac:dyDescent="0.25">
      <c r="B962" s="48">
        <f t="shared" si="88"/>
        <v>960</v>
      </c>
      <c r="C962" s="48">
        <f t="shared" si="84"/>
        <v>3935</v>
      </c>
      <c r="D962" s="48">
        <f t="shared" si="85"/>
        <v>2961</v>
      </c>
      <c r="E962" s="48">
        <f t="shared" si="86"/>
        <v>25</v>
      </c>
      <c r="F962" s="49">
        <f t="shared" si="87"/>
        <v>6.105006105006105E-3</v>
      </c>
      <c r="G962" s="49">
        <f t="shared" si="89"/>
        <v>8.443093549476529E-3</v>
      </c>
    </row>
    <row r="963" spans="2:7" x14ac:dyDescent="0.25">
      <c r="B963" s="48">
        <f t="shared" si="88"/>
        <v>961</v>
      </c>
      <c r="C963" s="48">
        <f t="shared" ref="C963:C1001" si="90">ROUND(B963*C$1/(B$1-1),0)</f>
        <v>3939</v>
      </c>
      <c r="D963" s="48">
        <f t="shared" ref="D963:D1000" si="91">MAX(ROUND(D$1^(B963+1),0),B963)</f>
        <v>2985</v>
      </c>
      <c r="E963" s="48">
        <f t="shared" ref="E963:E1000" si="92">D963-D962</f>
        <v>24</v>
      </c>
      <c r="F963" s="49">
        <f t="shared" ref="F963:F1000" si="93">E963/C$1</f>
        <v>5.8608058608058608E-3</v>
      </c>
      <c r="G963" s="49">
        <f t="shared" si="89"/>
        <v>8.0402010050251264E-3</v>
      </c>
    </row>
    <row r="964" spans="2:7" x14ac:dyDescent="0.25">
      <c r="B964" s="48">
        <f t="shared" ref="B964:B1001" si="94">B963+1</f>
        <v>962</v>
      </c>
      <c r="C964" s="48">
        <f t="shared" si="90"/>
        <v>3943</v>
      </c>
      <c r="D964" s="48">
        <f t="shared" si="91"/>
        <v>3010</v>
      </c>
      <c r="E964" s="48">
        <f t="shared" si="92"/>
        <v>25</v>
      </c>
      <c r="F964" s="49">
        <f t="shared" si="93"/>
        <v>6.105006105006105E-3</v>
      </c>
      <c r="G964" s="49">
        <f t="shared" ref="G964:G1001" si="95">E964/D964</f>
        <v>8.3056478405315621E-3</v>
      </c>
    </row>
    <row r="965" spans="2:7" x14ac:dyDescent="0.25">
      <c r="B965" s="48">
        <f t="shared" si="94"/>
        <v>963</v>
      </c>
      <c r="C965" s="48">
        <f t="shared" si="90"/>
        <v>3947</v>
      </c>
      <c r="D965" s="48">
        <f t="shared" si="91"/>
        <v>3035</v>
      </c>
      <c r="E965" s="48">
        <f t="shared" si="92"/>
        <v>25</v>
      </c>
      <c r="F965" s="49">
        <f t="shared" si="93"/>
        <v>6.105006105006105E-3</v>
      </c>
      <c r="G965" s="49">
        <f t="shared" si="95"/>
        <v>8.2372322899505763E-3</v>
      </c>
    </row>
    <row r="966" spans="2:7" x14ac:dyDescent="0.25">
      <c r="B966" s="48">
        <f t="shared" si="94"/>
        <v>964</v>
      </c>
      <c r="C966" s="48">
        <f t="shared" si="90"/>
        <v>3952</v>
      </c>
      <c r="D966" s="48">
        <f t="shared" si="91"/>
        <v>3061</v>
      </c>
      <c r="E966" s="48">
        <f t="shared" si="92"/>
        <v>26</v>
      </c>
      <c r="F966" s="49">
        <f t="shared" si="93"/>
        <v>6.3492063492063492E-3</v>
      </c>
      <c r="G966" s="49">
        <f t="shared" si="95"/>
        <v>8.4939562234563875E-3</v>
      </c>
    </row>
    <row r="967" spans="2:7" x14ac:dyDescent="0.25">
      <c r="B967" s="48">
        <f t="shared" si="94"/>
        <v>965</v>
      </c>
      <c r="C967" s="48">
        <f t="shared" si="90"/>
        <v>3956</v>
      </c>
      <c r="D967" s="48">
        <f t="shared" si="91"/>
        <v>3086</v>
      </c>
      <c r="E967" s="48">
        <f t="shared" si="92"/>
        <v>25</v>
      </c>
      <c r="F967" s="49">
        <f t="shared" si="93"/>
        <v>6.105006105006105E-3</v>
      </c>
      <c r="G967" s="49">
        <f t="shared" si="95"/>
        <v>8.1011017498379776E-3</v>
      </c>
    </row>
    <row r="968" spans="2:7" x14ac:dyDescent="0.25">
      <c r="B968" s="48">
        <f t="shared" si="94"/>
        <v>966</v>
      </c>
      <c r="C968" s="48">
        <f t="shared" si="90"/>
        <v>3960</v>
      </c>
      <c r="D968" s="48">
        <f t="shared" si="91"/>
        <v>3112</v>
      </c>
      <c r="E968" s="48">
        <f t="shared" si="92"/>
        <v>26</v>
      </c>
      <c r="F968" s="49">
        <f t="shared" si="93"/>
        <v>6.3492063492063492E-3</v>
      </c>
      <c r="G968" s="49">
        <f t="shared" si="95"/>
        <v>8.3547557840616959E-3</v>
      </c>
    </row>
    <row r="969" spans="2:7" x14ac:dyDescent="0.25">
      <c r="B969" s="48">
        <f t="shared" si="94"/>
        <v>967</v>
      </c>
      <c r="C969" s="48">
        <f t="shared" si="90"/>
        <v>3964</v>
      </c>
      <c r="D969" s="48">
        <f t="shared" si="91"/>
        <v>3138</v>
      </c>
      <c r="E969" s="48">
        <f t="shared" si="92"/>
        <v>26</v>
      </c>
      <c r="F969" s="49">
        <f t="shared" si="93"/>
        <v>6.3492063492063492E-3</v>
      </c>
      <c r="G969" s="49">
        <f t="shared" si="95"/>
        <v>8.2855321861057991E-3</v>
      </c>
    </row>
    <row r="970" spans="2:7" x14ac:dyDescent="0.25">
      <c r="B970" s="48">
        <f t="shared" si="94"/>
        <v>968</v>
      </c>
      <c r="C970" s="48">
        <f t="shared" si="90"/>
        <v>3968</v>
      </c>
      <c r="D970" s="48">
        <f t="shared" si="91"/>
        <v>3164</v>
      </c>
      <c r="E970" s="48">
        <f t="shared" si="92"/>
        <v>26</v>
      </c>
      <c r="F970" s="49">
        <f t="shared" si="93"/>
        <v>6.3492063492063492E-3</v>
      </c>
      <c r="G970" s="49">
        <f t="shared" si="95"/>
        <v>8.2174462705436151E-3</v>
      </c>
    </row>
    <row r="971" spans="2:7" x14ac:dyDescent="0.25">
      <c r="B971" s="48">
        <f t="shared" si="94"/>
        <v>969</v>
      </c>
      <c r="C971" s="48">
        <f t="shared" si="90"/>
        <v>3972</v>
      </c>
      <c r="D971" s="48">
        <f t="shared" si="91"/>
        <v>3191</v>
      </c>
      <c r="E971" s="48">
        <f t="shared" si="92"/>
        <v>27</v>
      </c>
      <c r="F971" s="49">
        <f t="shared" si="93"/>
        <v>6.5934065934065934E-3</v>
      </c>
      <c r="G971" s="49">
        <f t="shared" si="95"/>
        <v>8.4612973989345031E-3</v>
      </c>
    </row>
    <row r="972" spans="2:7" x14ac:dyDescent="0.25">
      <c r="B972" s="48">
        <f t="shared" si="94"/>
        <v>970</v>
      </c>
      <c r="C972" s="48">
        <f t="shared" si="90"/>
        <v>3976</v>
      </c>
      <c r="D972" s="48">
        <f t="shared" si="91"/>
        <v>3217</v>
      </c>
      <c r="E972" s="48">
        <f t="shared" si="92"/>
        <v>26</v>
      </c>
      <c r="F972" s="49">
        <f t="shared" si="93"/>
        <v>6.3492063492063492E-3</v>
      </c>
      <c r="G972" s="49">
        <f t="shared" si="95"/>
        <v>8.0820640348150449E-3</v>
      </c>
    </row>
    <row r="973" spans="2:7" x14ac:dyDescent="0.25">
      <c r="B973" s="48">
        <f t="shared" si="94"/>
        <v>971</v>
      </c>
      <c r="C973" s="48">
        <f t="shared" si="90"/>
        <v>3980</v>
      </c>
      <c r="D973" s="48">
        <f t="shared" si="91"/>
        <v>3244</v>
      </c>
      <c r="E973" s="48">
        <f t="shared" si="92"/>
        <v>27</v>
      </c>
      <c r="F973" s="49">
        <f t="shared" si="93"/>
        <v>6.5934065934065934E-3</v>
      </c>
      <c r="G973" s="49">
        <f t="shared" si="95"/>
        <v>8.3230579531442667E-3</v>
      </c>
    </row>
    <row r="974" spans="2:7" x14ac:dyDescent="0.25">
      <c r="B974" s="48">
        <f t="shared" si="94"/>
        <v>972</v>
      </c>
      <c r="C974" s="48">
        <f t="shared" si="90"/>
        <v>3984</v>
      </c>
      <c r="D974" s="48">
        <f t="shared" si="91"/>
        <v>3271</v>
      </c>
      <c r="E974" s="48">
        <f t="shared" si="92"/>
        <v>27</v>
      </c>
      <c r="F974" s="49">
        <f t="shared" si="93"/>
        <v>6.5934065934065934E-3</v>
      </c>
      <c r="G974" s="49">
        <f t="shared" si="95"/>
        <v>8.2543564659125646E-3</v>
      </c>
    </row>
    <row r="975" spans="2:7" x14ac:dyDescent="0.25">
      <c r="B975" s="48">
        <f t="shared" si="94"/>
        <v>973</v>
      </c>
      <c r="C975" s="48">
        <f t="shared" si="90"/>
        <v>3988</v>
      </c>
      <c r="D975" s="48">
        <f t="shared" si="91"/>
        <v>3299</v>
      </c>
      <c r="E975" s="48">
        <f t="shared" si="92"/>
        <v>28</v>
      </c>
      <c r="F975" s="49">
        <f t="shared" si="93"/>
        <v>6.8376068376068376E-3</v>
      </c>
      <c r="G975" s="49">
        <f t="shared" si="95"/>
        <v>8.4874204304334639E-3</v>
      </c>
    </row>
    <row r="976" spans="2:7" x14ac:dyDescent="0.25">
      <c r="B976" s="48">
        <f t="shared" si="94"/>
        <v>974</v>
      </c>
      <c r="C976" s="48">
        <f t="shared" si="90"/>
        <v>3993</v>
      </c>
      <c r="D976" s="48">
        <f t="shared" si="91"/>
        <v>3326</v>
      </c>
      <c r="E976" s="48">
        <f t="shared" si="92"/>
        <v>27</v>
      </c>
      <c r="F976" s="49">
        <f t="shared" si="93"/>
        <v>6.5934065934065934E-3</v>
      </c>
      <c r="G976" s="49">
        <f t="shared" si="95"/>
        <v>8.1178592904389661E-3</v>
      </c>
    </row>
    <row r="977" spans="2:7" x14ac:dyDescent="0.25">
      <c r="B977" s="48">
        <f t="shared" si="94"/>
        <v>975</v>
      </c>
      <c r="C977" s="48">
        <f t="shared" si="90"/>
        <v>3997</v>
      </c>
      <c r="D977" s="48">
        <f t="shared" si="91"/>
        <v>3354</v>
      </c>
      <c r="E977" s="48">
        <f t="shared" si="92"/>
        <v>28</v>
      </c>
      <c r="F977" s="49">
        <f t="shared" si="93"/>
        <v>6.8376068376068376E-3</v>
      </c>
      <c r="G977" s="49">
        <f t="shared" si="95"/>
        <v>8.348240906380441E-3</v>
      </c>
    </row>
    <row r="978" spans="2:7" x14ac:dyDescent="0.25">
      <c r="B978" s="48">
        <f t="shared" si="94"/>
        <v>976</v>
      </c>
      <c r="C978" s="48">
        <f t="shared" si="90"/>
        <v>4001</v>
      </c>
      <c r="D978" s="48">
        <f t="shared" si="91"/>
        <v>3382</v>
      </c>
      <c r="E978" s="48">
        <f t="shared" si="92"/>
        <v>28</v>
      </c>
      <c r="F978" s="49">
        <f t="shared" si="93"/>
        <v>6.8376068376068376E-3</v>
      </c>
      <c r="G978" s="49">
        <f t="shared" si="95"/>
        <v>8.27912477823773E-3</v>
      </c>
    </row>
    <row r="979" spans="2:7" x14ac:dyDescent="0.25">
      <c r="B979" s="48">
        <f t="shared" si="94"/>
        <v>977</v>
      </c>
      <c r="C979" s="48">
        <f t="shared" si="90"/>
        <v>4005</v>
      </c>
      <c r="D979" s="48">
        <f t="shared" si="91"/>
        <v>3410</v>
      </c>
      <c r="E979" s="48">
        <f t="shared" si="92"/>
        <v>28</v>
      </c>
      <c r="F979" s="49">
        <f t="shared" si="93"/>
        <v>6.8376068376068376E-3</v>
      </c>
      <c r="G979" s="49">
        <f t="shared" si="95"/>
        <v>8.2111436950146627E-3</v>
      </c>
    </row>
    <row r="980" spans="2:7" x14ac:dyDescent="0.25">
      <c r="B980" s="48">
        <f t="shared" si="94"/>
        <v>978</v>
      </c>
      <c r="C980" s="48">
        <f t="shared" si="90"/>
        <v>4009</v>
      </c>
      <c r="D980" s="48">
        <f t="shared" si="91"/>
        <v>3439</v>
      </c>
      <c r="E980" s="48">
        <f t="shared" si="92"/>
        <v>29</v>
      </c>
      <c r="F980" s="49">
        <f t="shared" si="93"/>
        <v>7.0818070818070818E-3</v>
      </c>
      <c r="G980" s="49">
        <f t="shared" si="95"/>
        <v>8.4326839197441123E-3</v>
      </c>
    </row>
    <row r="981" spans="2:7" x14ac:dyDescent="0.25">
      <c r="B981" s="48">
        <f t="shared" si="94"/>
        <v>979</v>
      </c>
      <c r="C981" s="48">
        <f t="shared" si="90"/>
        <v>4013</v>
      </c>
      <c r="D981" s="48">
        <f t="shared" si="91"/>
        <v>3467</v>
      </c>
      <c r="E981" s="48">
        <f t="shared" si="92"/>
        <v>28</v>
      </c>
      <c r="F981" s="49">
        <f t="shared" si="93"/>
        <v>6.8376068376068376E-3</v>
      </c>
      <c r="G981" s="49">
        <f t="shared" si="95"/>
        <v>8.0761465243726557E-3</v>
      </c>
    </row>
    <row r="982" spans="2:7" x14ac:dyDescent="0.25">
      <c r="B982" s="48">
        <f t="shared" si="94"/>
        <v>980</v>
      </c>
      <c r="C982" s="48">
        <f t="shared" si="90"/>
        <v>4017</v>
      </c>
      <c r="D982" s="48">
        <f t="shared" si="91"/>
        <v>3496</v>
      </c>
      <c r="E982" s="48">
        <f t="shared" si="92"/>
        <v>29</v>
      </c>
      <c r="F982" s="49">
        <f t="shared" si="93"/>
        <v>7.0818070818070818E-3</v>
      </c>
      <c r="G982" s="49">
        <f t="shared" si="95"/>
        <v>8.2951945080091526E-3</v>
      </c>
    </row>
    <row r="983" spans="2:7" x14ac:dyDescent="0.25">
      <c r="B983" s="48">
        <f t="shared" si="94"/>
        <v>981</v>
      </c>
      <c r="C983" s="48">
        <f t="shared" si="90"/>
        <v>4021</v>
      </c>
      <c r="D983" s="48">
        <f t="shared" si="91"/>
        <v>3526</v>
      </c>
      <c r="E983" s="48">
        <f t="shared" si="92"/>
        <v>30</v>
      </c>
      <c r="F983" s="49">
        <f t="shared" si="93"/>
        <v>7.326007326007326E-3</v>
      </c>
      <c r="G983" s="49">
        <f t="shared" si="95"/>
        <v>8.5082246171298923E-3</v>
      </c>
    </row>
    <row r="984" spans="2:7" x14ac:dyDescent="0.25">
      <c r="B984" s="48">
        <f t="shared" si="94"/>
        <v>982</v>
      </c>
      <c r="C984" s="48">
        <f t="shared" si="90"/>
        <v>4025</v>
      </c>
      <c r="D984" s="48">
        <f t="shared" si="91"/>
        <v>3555</v>
      </c>
      <c r="E984" s="48">
        <f t="shared" si="92"/>
        <v>29</v>
      </c>
      <c r="F984" s="49">
        <f t="shared" si="93"/>
        <v>7.0818070818070818E-3</v>
      </c>
      <c r="G984" s="49">
        <f t="shared" si="95"/>
        <v>8.1575246132208155E-3</v>
      </c>
    </row>
    <row r="985" spans="2:7" x14ac:dyDescent="0.25">
      <c r="B985" s="48">
        <f t="shared" si="94"/>
        <v>983</v>
      </c>
      <c r="C985" s="48">
        <f t="shared" si="90"/>
        <v>4029</v>
      </c>
      <c r="D985" s="48">
        <f t="shared" si="91"/>
        <v>3585</v>
      </c>
      <c r="E985" s="48">
        <f t="shared" si="92"/>
        <v>30</v>
      </c>
      <c r="F985" s="49">
        <f t="shared" si="93"/>
        <v>7.326007326007326E-3</v>
      </c>
      <c r="G985" s="49">
        <f t="shared" si="95"/>
        <v>8.368200836820083E-3</v>
      </c>
    </row>
    <row r="986" spans="2:7" x14ac:dyDescent="0.25">
      <c r="B986" s="48">
        <f t="shared" si="94"/>
        <v>984</v>
      </c>
      <c r="C986" s="48">
        <f t="shared" si="90"/>
        <v>4034</v>
      </c>
      <c r="D986" s="48">
        <f t="shared" si="91"/>
        <v>3615</v>
      </c>
      <c r="E986" s="48">
        <f t="shared" si="92"/>
        <v>30</v>
      </c>
      <c r="F986" s="49">
        <f t="shared" si="93"/>
        <v>7.326007326007326E-3</v>
      </c>
      <c r="G986" s="49">
        <f t="shared" si="95"/>
        <v>8.2987551867219917E-3</v>
      </c>
    </row>
    <row r="987" spans="2:7" x14ac:dyDescent="0.25">
      <c r="B987" s="48">
        <f t="shared" si="94"/>
        <v>985</v>
      </c>
      <c r="C987" s="48">
        <f t="shared" si="90"/>
        <v>4038</v>
      </c>
      <c r="D987" s="48">
        <f t="shared" si="91"/>
        <v>3645</v>
      </c>
      <c r="E987" s="48">
        <f t="shared" si="92"/>
        <v>30</v>
      </c>
      <c r="F987" s="49">
        <f t="shared" si="93"/>
        <v>7.326007326007326E-3</v>
      </c>
      <c r="G987" s="49">
        <f t="shared" si="95"/>
        <v>8.23045267489712E-3</v>
      </c>
    </row>
    <row r="988" spans="2:7" x14ac:dyDescent="0.25">
      <c r="B988" s="48">
        <f t="shared" si="94"/>
        <v>986</v>
      </c>
      <c r="C988" s="48">
        <f t="shared" si="90"/>
        <v>4042</v>
      </c>
      <c r="D988" s="48">
        <f t="shared" si="91"/>
        <v>3675</v>
      </c>
      <c r="E988" s="48">
        <f t="shared" si="92"/>
        <v>30</v>
      </c>
      <c r="F988" s="49">
        <f t="shared" si="93"/>
        <v>7.326007326007326E-3</v>
      </c>
      <c r="G988" s="49">
        <f t="shared" si="95"/>
        <v>8.1632653061224497E-3</v>
      </c>
    </row>
    <row r="989" spans="2:7" x14ac:dyDescent="0.25">
      <c r="B989" s="48">
        <f t="shared" si="94"/>
        <v>987</v>
      </c>
      <c r="C989" s="48">
        <f t="shared" si="90"/>
        <v>4046</v>
      </c>
      <c r="D989" s="48">
        <f t="shared" si="91"/>
        <v>3706</v>
      </c>
      <c r="E989" s="48">
        <f t="shared" si="92"/>
        <v>31</v>
      </c>
      <c r="F989" s="49">
        <f t="shared" si="93"/>
        <v>7.5702075702075702E-3</v>
      </c>
      <c r="G989" s="49">
        <f t="shared" si="95"/>
        <v>8.3648138154344305E-3</v>
      </c>
    </row>
    <row r="990" spans="2:7" x14ac:dyDescent="0.25">
      <c r="B990" s="48">
        <f t="shared" si="94"/>
        <v>988</v>
      </c>
      <c r="C990" s="48">
        <f t="shared" si="90"/>
        <v>4050</v>
      </c>
      <c r="D990" s="48">
        <f t="shared" si="91"/>
        <v>3737</v>
      </c>
      <c r="E990" s="48">
        <f t="shared" si="92"/>
        <v>31</v>
      </c>
      <c r="F990" s="49">
        <f t="shared" si="93"/>
        <v>7.5702075702075702E-3</v>
      </c>
      <c r="G990" s="49">
        <f t="shared" si="95"/>
        <v>8.2954241370082962E-3</v>
      </c>
    </row>
    <row r="991" spans="2:7" x14ac:dyDescent="0.25">
      <c r="B991" s="48">
        <f t="shared" si="94"/>
        <v>989</v>
      </c>
      <c r="C991" s="48">
        <f t="shared" si="90"/>
        <v>4054</v>
      </c>
      <c r="D991" s="48">
        <f t="shared" si="91"/>
        <v>3768</v>
      </c>
      <c r="E991" s="48">
        <f t="shared" si="92"/>
        <v>31</v>
      </c>
      <c r="F991" s="49">
        <f t="shared" si="93"/>
        <v>7.5702075702075702E-3</v>
      </c>
      <c r="G991" s="49">
        <f t="shared" si="95"/>
        <v>8.227176220806794E-3</v>
      </c>
    </row>
    <row r="992" spans="2:7" x14ac:dyDescent="0.25">
      <c r="B992" s="48">
        <f t="shared" si="94"/>
        <v>990</v>
      </c>
      <c r="C992" s="48">
        <f t="shared" si="90"/>
        <v>4058</v>
      </c>
      <c r="D992" s="48">
        <f t="shared" si="91"/>
        <v>3800</v>
      </c>
      <c r="E992" s="48">
        <f t="shared" si="92"/>
        <v>32</v>
      </c>
      <c r="F992" s="49">
        <f t="shared" si="93"/>
        <v>7.8144078144078144E-3</v>
      </c>
      <c r="G992" s="49">
        <f t="shared" si="95"/>
        <v>8.4210526315789472E-3</v>
      </c>
    </row>
    <row r="993" spans="2:7" x14ac:dyDescent="0.25">
      <c r="B993" s="48">
        <f t="shared" si="94"/>
        <v>991</v>
      </c>
      <c r="C993" s="48">
        <f t="shared" si="90"/>
        <v>4062</v>
      </c>
      <c r="D993" s="48">
        <f t="shared" si="91"/>
        <v>3831</v>
      </c>
      <c r="E993" s="48">
        <f t="shared" si="92"/>
        <v>31</v>
      </c>
      <c r="F993" s="49">
        <f t="shared" si="93"/>
        <v>7.5702075702075702E-3</v>
      </c>
      <c r="G993" s="49">
        <f t="shared" si="95"/>
        <v>8.0918820151396498E-3</v>
      </c>
    </row>
    <row r="994" spans="2:7" x14ac:dyDescent="0.25">
      <c r="B994" s="48">
        <f t="shared" si="94"/>
        <v>992</v>
      </c>
      <c r="C994" s="48">
        <f t="shared" si="90"/>
        <v>4066</v>
      </c>
      <c r="D994" s="48">
        <f t="shared" si="91"/>
        <v>3863</v>
      </c>
      <c r="E994" s="48">
        <f t="shared" si="92"/>
        <v>32</v>
      </c>
      <c r="F994" s="49">
        <f t="shared" si="93"/>
        <v>7.8144078144078144E-3</v>
      </c>
      <c r="G994" s="49">
        <f t="shared" si="95"/>
        <v>8.283717318146519E-3</v>
      </c>
    </row>
    <row r="995" spans="2:7" x14ac:dyDescent="0.25">
      <c r="B995" s="48">
        <f t="shared" si="94"/>
        <v>993</v>
      </c>
      <c r="C995" s="48">
        <f t="shared" si="90"/>
        <v>4070</v>
      </c>
      <c r="D995" s="48">
        <f t="shared" si="91"/>
        <v>3896</v>
      </c>
      <c r="E995" s="48">
        <f t="shared" si="92"/>
        <v>33</v>
      </c>
      <c r="F995" s="49">
        <f t="shared" si="93"/>
        <v>8.0586080586080595E-3</v>
      </c>
      <c r="G995" s="49">
        <f t="shared" si="95"/>
        <v>8.470225872689939E-3</v>
      </c>
    </row>
    <row r="996" spans="2:7" x14ac:dyDescent="0.25">
      <c r="B996" s="48">
        <f t="shared" si="94"/>
        <v>994</v>
      </c>
      <c r="C996" s="48">
        <f t="shared" si="90"/>
        <v>4075</v>
      </c>
      <c r="D996" s="48">
        <f t="shared" si="91"/>
        <v>3928</v>
      </c>
      <c r="E996" s="48">
        <f t="shared" si="92"/>
        <v>32</v>
      </c>
      <c r="F996" s="49">
        <f t="shared" si="93"/>
        <v>7.8144078144078144E-3</v>
      </c>
      <c r="G996" s="49">
        <f t="shared" si="95"/>
        <v>8.1466395112016286E-3</v>
      </c>
    </row>
    <row r="997" spans="2:7" x14ac:dyDescent="0.25">
      <c r="B997" s="48">
        <f t="shared" si="94"/>
        <v>995</v>
      </c>
      <c r="C997" s="48">
        <f t="shared" si="90"/>
        <v>4079</v>
      </c>
      <c r="D997" s="48">
        <f t="shared" si="91"/>
        <v>3961</v>
      </c>
      <c r="E997" s="48">
        <f t="shared" si="92"/>
        <v>33</v>
      </c>
      <c r="F997" s="49">
        <f t="shared" si="93"/>
        <v>8.0586080586080595E-3</v>
      </c>
      <c r="G997" s="49">
        <f t="shared" si="95"/>
        <v>8.3312294875031549E-3</v>
      </c>
    </row>
    <row r="998" spans="2:7" x14ac:dyDescent="0.25">
      <c r="B998" s="48">
        <f t="shared" si="94"/>
        <v>996</v>
      </c>
      <c r="C998" s="48">
        <f t="shared" si="90"/>
        <v>4083</v>
      </c>
      <c r="D998" s="48">
        <f t="shared" si="91"/>
        <v>3994</v>
      </c>
      <c r="E998" s="48">
        <f t="shared" si="92"/>
        <v>33</v>
      </c>
      <c r="F998" s="49">
        <f t="shared" si="93"/>
        <v>8.0586080586080595E-3</v>
      </c>
      <c r="G998" s="49">
        <f t="shared" si="95"/>
        <v>8.2623935903855788E-3</v>
      </c>
    </row>
    <row r="999" spans="2:7" x14ac:dyDescent="0.25">
      <c r="B999" s="48">
        <f t="shared" si="94"/>
        <v>997</v>
      </c>
      <c r="C999" s="48">
        <f t="shared" si="90"/>
        <v>4087</v>
      </c>
      <c r="D999" s="48">
        <f t="shared" si="91"/>
        <v>4027</v>
      </c>
      <c r="E999" s="48">
        <f t="shared" si="92"/>
        <v>33</v>
      </c>
      <c r="F999" s="49">
        <f t="shared" si="93"/>
        <v>8.0586080586080595E-3</v>
      </c>
      <c r="G999" s="49">
        <f t="shared" si="95"/>
        <v>8.1946858703749684E-3</v>
      </c>
    </row>
    <row r="1000" spans="2:7" x14ac:dyDescent="0.25">
      <c r="B1000" s="48">
        <f t="shared" si="94"/>
        <v>998</v>
      </c>
      <c r="C1000" s="48">
        <f t="shared" si="90"/>
        <v>4091</v>
      </c>
      <c r="D1000" s="48">
        <f t="shared" si="91"/>
        <v>4061</v>
      </c>
      <c r="E1000" s="48">
        <f t="shared" si="92"/>
        <v>34</v>
      </c>
      <c r="F1000" s="49">
        <f t="shared" si="93"/>
        <v>8.3028083028083028E-3</v>
      </c>
      <c r="G1000" s="49">
        <f t="shared" si="95"/>
        <v>8.3723220881556266E-3</v>
      </c>
    </row>
    <row r="1001" spans="2:7" x14ac:dyDescent="0.25">
      <c r="B1001" s="48">
        <f t="shared" si="94"/>
        <v>999</v>
      </c>
      <c r="C1001" s="48">
        <f t="shared" si="90"/>
        <v>4095</v>
      </c>
      <c r="D1001" s="48">
        <f>MAX(ROUND(D$1^(B1001+1),0),B1001)</f>
        <v>4095</v>
      </c>
      <c r="E1001" s="48">
        <f>D1001-D1000</f>
        <v>34</v>
      </c>
      <c r="F1001" s="49">
        <f>E1001/C$1</f>
        <v>8.3028083028083028E-3</v>
      </c>
      <c r="G1001" s="49">
        <f t="shared" si="95"/>
        <v>8.3028083028083028E-3</v>
      </c>
    </row>
  </sheetData>
  <pageMargins left="0.7" right="0.7" top="0.75" bottom="0.75" header="0.3" footer="0.3"/>
  <pageSetup orientation="portrait" horizontalDpi="90" verticalDpi="9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26</vt:i4>
      </vt:variant>
    </vt:vector>
  </HeadingPairs>
  <TitlesOfParts>
    <vt:vector size="29" baseType="lpstr">
      <vt:lpstr>ISL29020</vt:lpstr>
      <vt:lpstr>ISL29147</vt:lpstr>
      <vt:lpstr>Log Linear</vt:lpstr>
      <vt:lpstr>DUTswpNsamp</vt:lpstr>
      <vt:lpstr>dVOS</vt:lpstr>
      <vt:lpstr>'ISL29147'!filename</vt:lpstr>
      <vt:lpstr>filename</vt:lpstr>
      <vt:lpstr>fwIdx</vt:lpstr>
      <vt:lpstr>'ISL29147'!i2cAddr</vt:lpstr>
      <vt:lpstr>i2cAddr</vt:lpstr>
      <vt:lpstr>NDcal</vt:lpstr>
      <vt:lpstr>NDcalNsamp</vt:lpstr>
      <vt:lpstr>NDtable</vt:lpstr>
      <vt:lpstr>'ISL29147'!regMap</vt:lpstr>
      <vt:lpstr>regMap</vt:lpstr>
      <vt:lpstr>'ISL29147'!samples</vt:lpstr>
      <vt:lpstr>samples</vt:lpstr>
      <vt:lpstr>sweepDUT</vt:lpstr>
      <vt:lpstr>'ISL29147'!valueIn</vt:lpstr>
      <vt:lpstr>valueIn</vt:lpstr>
      <vt:lpstr>'ISL29147'!valuesOut</vt:lpstr>
      <vt:lpstr>valuesOut</vt:lpstr>
      <vt:lpstr>VOS</vt:lpstr>
      <vt:lpstr>VOScal</vt:lpstr>
      <vt:lpstr>VOScalNsamp</vt:lpstr>
      <vt:lpstr>vosCoeff</vt:lpstr>
      <vt:lpstr>WID</vt:lpstr>
      <vt:lpstr>WIDcal</vt:lpstr>
      <vt:lpstr>WIDcalNsamp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2015-06-12T14:55:41Z</dcterms:modified>
</cp:coreProperties>
</file>