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GETCHEL\Documents\Workspaces\Libs\islTofRegDrv\excelVBA\"/>
    </mc:Choice>
  </mc:AlternateContent>
  <bookViews>
    <workbookView xWindow="0" yWindow="0" windowWidth="16170" windowHeight="9795" activeTab="1"/>
  </bookViews>
  <sheets>
    <sheet name="regList" sheetId="1" r:id="rId1"/>
    <sheet name="fields" sheetId="2" r:id="rId2"/>
    <sheet name="Datasheet" sheetId="3" r:id="rId3"/>
    <sheet name="Test" sheetId="4" r:id="rId4"/>
  </sheets>
  <definedNames>
    <definedName name="APIfields">fields!$O$6:$V$289</definedName>
    <definedName name="dataTable">fields!$A$6:$L$289</definedName>
    <definedName name="i2cAddr">Test!$D$3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2" l="1"/>
  <c r="O21" i="2"/>
  <c r="D225" i="2" s="1"/>
  <c r="O20" i="2"/>
  <c r="O19" i="2"/>
  <c r="D257" i="2" s="1"/>
  <c r="O18" i="2"/>
  <c r="O17" i="2"/>
  <c r="D273" i="2" s="1"/>
  <c r="O16" i="2"/>
  <c r="P172" i="2"/>
  <c r="O172" i="2"/>
  <c r="P161" i="2"/>
  <c r="D281" i="2" s="1"/>
  <c r="O161" i="2"/>
  <c r="Q65" i="2"/>
  <c r="D285" i="2" s="1"/>
  <c r="P65" i="2"/>
  <c r="O65" i="2"/>
  <c r="D287" i="2" s="1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28" i="2"/>
  <c r="D161" i="2"/>
  <c r="D76" i="2"/>
  <c r="D13" i="2"/>
  <c r="F289" i="2"/>
  <c r="H289" i="2" s="1"/>
  <c r="S2" i="2"/>
  <c r="R2" i="2"/>
  <c r="Q2" i="2"/>
  <c r="K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1" i="3"/>
  <c r="D22" i="3"/>
  <c r="D20" i="3"/>
  <c r="H19" i="3"/>
  <c r="D18" i="3"/>
  <c r="D17" i="3"/>
  <c r="B16" i="3"/>
  <c r="G60" i="3"/>
  <c r="H60" i="3"/>
  <c r="I60" i="3"/>
  <c r="J60" i="3"/>
  <c r="D54" i="3"/>
  <c r="H53" i="3"/>
  <c r="B52" i="3"/>
  <c r="D44" i="2" l="1"/>
  <c r="D108" i="2"/>
  <c r="D33" i="2"/>
  <c r="D27" i="2"/>
  <c r="D60" i="2"/>
  <c r="D92" i="2"/>
  <c r="D129" i="2"/>
  <c r="D193" i="2"/>
  <c r="D9" i="2"/>
  <c r="D19" i="2"/>
  <c r="D36" i="2"/>
  <c r="D52" i="2"/>
  <c r="D68" i="2"/>
  <c r="D84" i="2"/>
  <c r="D100" i="2"/>
  <c r="D116" i="2"/>
  <c r="D145" i="2"/>
  <c r="D177" i="2"/>
  <c r="D209" i="2"/>
  <c r="D241" i="2"/>
  <c r="D7" i="2"/>
  <c r="D11" i="2"/>
  <c r="D15" i="2"/>
  <c r="D23" i="2"/>
  <c r="D31" i="2"/>
  <c r="D40" i="2"/>
  <c r="D48" i="2"/>
  <c r="D56" i="2"/>
  <c r="D64" i="2"/>
  <c r="D72" i="2"/>
  <c r="D80" i="2"/>
  <c r="D88" i="2"/>
  <c r="D96" i="2"/>
  <c r="D104" i="2"/>
  <c r="D112" i="2"/>
  <c r="D121" i="2"/>
  <c r="D137" i="2"/>
  <c r="D153" i="2"/>
  <c r="D169" i="2"/>
  <c r="D185" i="2"/>
  <c r="D201" i="2"/>
  <c r="D217" i="2"/>
  <c r="D233" i="2"/>
  <c r="D249" i="2"/>
  <c r="D265" i="2"/>
  <c r="D6" i="2"/>
  <c r="D8" i="2"/>
  <c r="D10" i="2"/>
  <c r="D12" i="2"/>
  <c r="D14" i="2"/>
  <c r="D17" i="2"/>
  <c r="D21" i="2"/>
  <c r="D25" i="2"/>
  <c r="D29" i="2"/>
  <c r="D34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5" i="2"/>
  <c r="D133" i="2"/>
  <c r="D141" i="2"/>
  <c r="D149" i="2"/>
  <c r="D157" i="2"/>
  <c r="D165" i="2"/>
  <c r="D173" i="2"/>
  <c r="D181" i="2"/>
  <c r="D189" i="2"/>
  <c r="D197" i="2"/>
  <c r="D205" i="2"/>
  <c r="D213" i="2"/>
  <c r="D221" i="2"/>
  <c r="D229" i="2"/>
  <c r="D237" i="2"/>
  <c r="D245" i="2"/>
  <c r="D253" i="2"/>
  <c r="D261" i="2"/>
  <c r="D269" i="2"/>
  <c r="D277" i="2"/>
  <c r="D16" i="2"/>
  <c r="D18" i="2"/>
  <c r="D20" i="2"/>
  <c r="D22" i="2"/>
  <c r="D24" i="2"/>
  <c r="D26" i="2"/>
  <c r="D28" i="2"/>
  <c r="D30" i="2"/>
  <c r="D32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D223" i="2"/>
  <c r="D227" i="2"/>
  <c r="D231" i="2"/>
  <c r="D235" i="2"/>
  <c r="D239" i="2"/>
  <c r="D243" i="2"/>
  <c r="D247" i="2"/>
  <c r="D251" i="2"/>
  <c r="D255" i="2"/>
  <c r="D259" i="2"/>
  <c r="D263" i="2"/>
  <c r="D267" i="2"/>
  <c r="D271" i="2"/>
  <c r="D275" i="2"/>
  <c r="D279" i="2"/>
  <c r="D283" i="2"/>
  <c r="D288" i="2"/>
  <c r="D286" i="2"/>
  <c r="D284" i="2"/>
  <c r="D282" i="2"/>
  <c r="D280" i="2"/>
  <c r="D278" i="2"/>
  <c r="D276" i="2"/>
  <c r="D274" i="2"/>
  <c r="D272" i="2"/>
  <c r="D270" i="2"/>
  <c r="D268" i="2"/>
  <c r="D266" i="2"/>
  <c r="D264" i="2"/>
  <c r="D262" i="2"/>
  <c r="D260" i="2"/>
  <c r="D258" i="2"/>
  <c r="D256" i="2"/>
  <c r="D254" i="2"/>
  <c r="D252" i="2"/>
  <c r="D250" i="2"/>
  <c r="D248" i="2"/>
  <c r="D246" i="2"/>
  <c r="D244" i="2"/>
  <c r="D242" i="2"/>
  <c r="D240" i="2"/>
  <c r="D238" i="2"/>
  <c r="D236" i="2"/>
  <c r="D234" i="2"/>
  <c r="D232" i="2"/>
  <c r="D230" i="2"/>
  <c r="D228" i="2"/>
  <c r="D226" i="2"/>
  <c r="D224" i="2"/>
  <c r="D222" i="2"/>
  <c r="D220" i="2"/>
  <c r="D218" i="2"/>
  <c r="D216" i="2"/>
  <c r="D214" i="2"/>
  <c r="D212" i="2"/>
  <c r="D210" i="2"/>
  <c r="D208" i="2"/>
  <c r="D206" i="2"/>
  <c r="D204" i="2"/>
  <c r="D202" i="2"/>
  <c r="D200" i="2"/>
  <c r="D198" i="2"/>
  <c r="D196" i="2"/>
  <c r="D194" i="2"/>
  <c r="D192" i="2"/>
  <c r="D190" i="2"/>
  <c r="D188" i="2"/>
  <c r="D186" i="2"/>
  <c r="D184" i="2"/>
  <c r="D182" i="2"/>
  <c r="D180" i="2"/>
  <c r="D178" i="2"/>
  <c r="D176" i="2"/>
  <c r="D174" i="2"/>
  <c r="D172" i="2"/>
  <c r="D170" i="2"/>
  <c r="D168" i="2"/>
  <c r="D166" i="2"/>
  <c r="D164" i="2"/>
  <c r="D162" i="2"/>
  <c r="D160" i="2"/>
  <c r="D158" i="2"/>
  <c r="D156" i="2"/>
  <c r="D154" i="2"/>
  <c r="D152" i="2"/>
  <c r="D150" i="2"/>
  <c r="D148" i="2"/>
  <c r="D146" i="2"/>
  <c r="D144" i="2"/>
  <c r="D142" i="2"/>
  <c r="D140" i="2"/>
  <c r="D138" i="2"/>
  <c r="D136" i="2"/>
  <c r="D134" i="2"/>
  <c r="D132" i="2"/>
  <c r="D130" i="2"/>
  <c r="D128" i="2"/>
  <c r="D126" i="2"/>
  <c r="D124" i="2"/>
  <c r="D122" i="2"/>
  <c r="D120" i="2"/>
  <c r="D3" i="4"/>
  <c r="K204" i="2" l="1"/>
  <c r="K197" i="2"/>
  <c r="K196" i="2"/>
  <c r="K195" i="2"/>
  <c r="F198" i="2"/>
  <c r="B73" i="3" s="1"/>
  <c r="G198" i="2"/>
  <c r="C73" i="3" s="1"/>
  <c r="K198" i="2"/>
  <c r="K200" i="2"/>
  <c r="K199" i="2"/>
  <c r="K193" i="2"/>
  <c r="K192" i="2"/>
  <c r="K191" i="2"/>
  <c r="K182" i="2"/>
  <c r="K181" i="2"/>
  <c r="K179" i="2"/>
  <c r="K177" i="2"/>
  <c r="K176" i="2"/>
  <c r="K175" i="2"/>
  <c r="K173" i="2"/>
  <c r="K172" i="2"/>
  <c r="K171" i="2"/>
  <c r="K165" i="2"/>
  <c r="K164" i="2"/>
  <c r="C7" i="3"/>
  <c r="H14" i="3"/>
  <c r="H13" i="3"/>
  <c r="H12" i="3"/>
  <c r="K11" i="3"/>
  <c r="J11" i="3"/>
  <c r="H11" i="3"/>
  <c r="G11" i="3"/>
  <c r="F11" i="3"/>
  <c r="E11" i="3"/>
  <c r="D11" i="3"/>
  <c r="J10" i="3"/>
  <c r="D9" i="3"/>
  <c r="H8" i="3"/>
  <c r="D8" i="3"/>
  <c r="B7" i="3"/>
  <c r="D7" i="3"/>
  <c r="K5" i="3"/>
  <c r="J5" i="3"/>
  <c r="I5" i="3"/>
  <c r="H5" i="3"/>
  <c r="K4" i="3"/>
  <c r="D3" i="3"/>
  <c r="E2" i="3"/>
  <c r="F2" i="3" s="1"/>
  <c r="B2" i="3"/>
  <c r="S3" i="2" a="1"/>
  <c r="S3" i="2" s="1"/>
  <c r="D52" i="3" l="1"/>
  <c r="D16" i="3"/>
  <c r="C52" i="3"/>
  <c r="C16" i="3"/>
  <c r="G2" i="3"/>
  <c r="F7" i="3"/>
  <c r="E7" i="3"/>
  <c r="H4" i="2"/>
  <c r="J130" i="2"/>
  <c r="J131" i="2" s="1"/>
  <c r="I130" i="2"/>
  <c r="I131" i="2" s="1"/>
  <c r="I132" i="2" s="1"/>
  <c r="I133" i="2" s="1"/>
  <c r="I134" i="2" s="1"/>
  <c r="I135" i="2" s="1"/>
  <c r="I136" i="2" s="1"/>
  <c r="J124" i="2"/>
  <c r="K124" i="2" s="1"/>
  <c r="I124" i="2"/>
  <c r="I125" i="2" s="1"/>
  <c r="I126" i="2" s="1"/>
  <c r="I127" i="2" s="1"/>
  <c r="I128" i="2" s="1"/>
  <c r="J112" i="2"/>
  <c r="J113" i="2" s="1"/>
  <c r="J114" i="2" s="1"/>
  <c r="J115" i="2" s="1"/>
  <c r="J116" i="2" s="1"/>
  <c r="J117" i="2" s="1"/>
  <c r="J118" i="2" s="1"/>
  <c r="K118" i="2" s="1"/>
  <c r="I112" i="2"/>
  <c r="I113" i="2" s="1"/>
  <c r="I114" i="2" s="1"/>
  <c r="I115" i="2" s="1"/>
  <c r="I116" i="2" s="1"/>
  <c r="I117" i="2" s="1"/>
  <c r="I118" i="2" s="1"/>
  <c r="J104" i="2"/>
  <c r="J105" i="2" s="1"/>
  <c r="K105" i="2" s="1"/>
  <c r="I104" i="2"/>
  <c r="I105" i="2" s="1"/>
  <c r="I106" i="2" s="1"/>
  <c r="I107" i="2" s="1"/>
  <c r="I108" i="2" s="1"/>
  <c r="I109" i="2" s="1"/>
  <c r="I110" i="2" s="1"/>
  <c r="K104" i="2"/>
  <c r="K102" i="2"/>
  <c r="K101" i="2"/>
  <c r="K100" i="2"/>
  <c r="K99" i="2"/>
  <c r="C7" i="2"/>
  <c r="E7" i="2"/>
  <c r="F7" i="2"/>
  <c r="B4" i="3" s="1"/>
  <c r="G7" i="2"/>
  <c r="C4" i="3" s="1"/>
  <c r="K7" i="2"/>
  <c r="F8" i="2"/>
  <c r="B5" i="3" s="1"/>
  <c r="G8" i="2"/>
  <c r="C5" i="3" s="1"/>
  <c r="K8" i="2"/>
  <c r="G9" i="2"/>
  <c r="G10" i="2" s="1"/>
  <c r="G11" i="2" s="1"/>
  <c r="I9" i="2"/>
  <c r="J9" i="2"/>
  <c r="K9" i="2" s="1"/>
  <c r="I10" i="2"/>
  <c r="I11" i="2" s="1"/>
  <c r="F12" i="2"/>
  <c r="B8" i="3" s="1"/>
  <c r="G12" i="2"/>
  <c r="K12" i="2"/>
  <c r="E13" i="2"/>
  <c r="F13" i="2"/>
  <c r="K13" i="2"/>
  <c r="E14" i="2"/>
  <c r="F14" i="2"/>
  <c r="B9" i="3" s="1"/>
  <c r="G14" i="2"/>
  <c r="C9" i="3" s="1"/>
  <c r="K14" i="2"/>
  <c r="F15" i="2"/>
  <c r="B10" i="3" s="1"/>
  <c r="G15" i="2"/>
  <c r="C10" i="3" s="1"/>
  <c r="K15" i="2"/>
  <c r="F16" i="2"/>
  <c r="G16" i="2"/>
  <c r="K16" i="2"/>
  <c r="I17" i="2"/>
  <c r="I18" i="2" s="1"/>
  <c r="I19" i="2" s="1"/>
  <c r="J17" i="2"/>
  <c r="K17" i="2" s="1"/>
  <c r="K20" i="2"/>
  <c r="I21" i="2"/>
  <c r="K21" i="2"/>
  <c r="I22" i="2"/>
  <c r="J22" i="2"/>
  <c r="K22" i="2" s="1"/>
  <c r="F23" i="2"/>
  <c r="B12" i="3" s="1"/>
  <c r="G23" i="2"/>
  <c r="C12" i="3" s="1"/>
  <c r="K23" i="2"/>
  <c r="F24" i="2"/>
  <c r="B13" i="3" s="1"/>
  <c r="G24" i="2"/>
  <c r="C13" i="3" s="1"/>
  <c r="K24" i="2"/>
  <c r="F25" i="2"/>
  <c r="B14" i="3" s="1"/>
  <c r="G25" i="2"/>
  <c r="C14" i="3" s="1"/>
  <c r="K25" i="2"/>
  <c r="F26" i="2"/>
  <c r="G26" i="2"/>
  <c r="G27" i="2" s="1"/>
  <c r="G28" i="2" s="1"/>
  <c r="K26" i="2"/>
  <c r="E27" i="2"/>
  <c r="E28" i="2" s="1"/>
  <c r="F27" i="2"/>
  <c r="K27" i="2"/>
  <c r="K28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3" i="2"/>
  <c r="K202" i="2"/>
  <c r="K201" i="2"/>
  <c r="K194" i="2"/>
  <c r="K190" i="2"/>
  <c r="K189" i="2"/>
  <c r="K188" i="2"/>
  <c r="K187" i="2"/>
  <c r="K186" i="2"/>
  <c r="K185" i="2"/>
  <c r="K184" i="2"/>
  <c r="K183" i="2"/>
  <c r="K180" i="2"/>
  <c r="K178" i="2"/>
  <c r="K174" i="2"/>
  <c r="K170" i="2"/>
  <c r="K169" i="2"/>
  <c r="K168" i="2"/>
  <c r="K167" i="2"/>
  <c r="K166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29" i="2"/>
  <c r="K123" i="2"/>
  <c r="K122" i="2"/>
  <c r="K121" i="2"/>
  <c r="K120" i="2"/>
  <c r="K119" i="2"/>
  <c r="K111" i="2"/>
  <c r="K103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6" i="2"/>
  <c r="E95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E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C84" i="3" s="1"/>
  <c r="F213" i="2"/>
  <c r="B84" i="3" s="1"/>
  <c r="G212" i="2"/>
  <c r="C83" i="3" s="1"/>
  <c r="F212" i="2"/>
  <c r="B83" i="3" s="1"/>
  <c r="G211" i="2"/>
  <c r="C82" i="3" s="1"/>
  <c r="F211" i="2"/>
  <c r="B82" i="3" s="1"/>
  <c r="G210" i="2"/>
  <c r="C81" i="3" s="1"/>
  <c r="F210" i="2"/>
  <c r="B81" i="3" s="1"/>
  <c r="G209" i="2"/>
  <c r="C80" i="3" s="1"/>
  <c r="F209" i="2"/>
  <c r="B80" i="3" s="1"/>
  <c r="G208" i="2"/>
  <c r="C79" i="3" s="1"/>
  <c r="F208" i="2"/>
  <c r="B79" i="3" s="1"/>
  <c r="G207" i="2"/>
  <c r="C78" i="3" s="1"/>
  <c r="F207" i="2"/>
  <c r="B78" i="3" s="1"/>
  <c r="G206" i="2"/>
  <c r="C77" i="3" s="1"/>
  <c r="F206" i="2"/>
  <c r="B77" i="3" s="1"/>
  <c r="G205" i="2"/>
  <c r="C76" i="3" s="1"/>
  <c r="F205" i="2"/>
  <c r="B76" i="3" s="1"/>
  <c r="G203" i="2"/>
  <c r="F203" i="2"/>
  <c r="G202" i="2"/>
  <c r="C74" i="3" s="1"/>
  <c r="F202" i="2"/>
  <c r="B74" i="3" s="1"/>
  <c r="G201" i="2"/>
  <c r="F201" i="2"/>
  <c r="G194" i="2"/>
  <c r="C72" i="3" s="1"/>
  <c r="F194" i="2"/>
  <c r="B72" i="3" s="1"/>
  <c r="G190" i="2"/>
  <c r="F190" i="2"/>
  <c r="B71" i="3" s="1"/>
  <c r="G189" i="2"/>
  <c r="C70" i="3" s="1"/>
  <c r="F189" i="2"/>
  <c r="B70" i="3" s="1"/>
  <c r="G188" i="2"/>
  <c r="C69" i="3" s="1"/>
  <c r="F188" i="2"/>
  <c r="B69" i="3" s="1"/>
  <c r="G187" i="2"/>
  <c r="C68" i="3" s="1"/>
  <c r="F187" i="2"/>
  <c r="B68" i="3" s="1"/>
  <c r="G186" i="2"/>
  <c r="C67" i="3" s="1"/>
  <c r="F186" i="2"/>
  <c r="B67" i="3" s="1"/>
  <c r="G185" i="2"/>
  <c r="C66" i="3" s="1"/>
  <c r="F185" i="2"/>
  <c r="B66" i="3" s="1"/>
  <c r="G184" i="2"/>
  <c r="C65" i="3" s="1"/>
  <c r="F184" i="2"/>
  <c r="B65" i="3" s="1"/>
  <c r="G183" i="2"/>
  <c r="C64" i="3" s="1"/>
  <c r="F183" i="2"/>
  <c r="B64" i="3" s="1"/>
  <c r="G180" i="2"/>
  <c r="F180" i="2"/>
  <c r="B63" i="3" s="1"/>
  <c r="G178" i="2"/>
  <c r="F178" i="2"/>
  <c r="B62" i="3" s="1"/>
  <c r="G174" i="2"/>
  <c r="F174" i="2"/>
  <c r="G170" i="2"/>
  <c r="F170" i="2"/>
  <c r="B60" i="3" s="1"/>
  <c r="G169" i="2"/>
  <c r="C59" i="3" s="1"/>
  <c r="F169" i="2"/>
  <c r="B59" i="3" s="1"/>
  <c r="G168" i="2"/>
  <c r="C58" i="3" s="1"/>
  <c r="F168" i="2"/>
  <c r="B58" i="3" s="1"/>
  <c r="G167" i="2"/>
  <c r="C57" i="3" s="1"/>
  <c r="F167" i="2"/>
  <c r="B57" i="3" s="1"/>
  <c r="G166" i="2"/>
  <c r="C56" i="3" s="1"/>
  <c r="F166" i="2"/>
  <c r="B56" i="3" s="1"/>
  <c r="G163" i="2"/>
  <c r="F163" i="2"/>
  <c r="B55" i="3" s="1"/>
  <c r="G162" i="2"/>
  <c r="C54" i="3" s="1"/>
  <c r="F162" i="2"/>
  <c r="B54" i="3" s="1"/>
  <c r="G161" i="2"/>
  <c r="C53" i="3" s="1"/>
  <c r="F161" i="2"/>
  <c r="B53" i="3" s="1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29" i="2"/>
  <c r="G130" i="2" s="1"/>
  <c r="G131" i="2" s="1"/>
  <c r="G132" i="2" s="1"/>
  <c r="G133" i="2" s="1"/>
  <c r="G134" i="2" s="1"/>
  <c r="G135" i="2" s="1"/>
  <c r="G136" i="2" s="1"/>
  <c r="F129" i="2"/>
  <c r="F130" i="2" s="1"/>
  <c r="G123" i="2"/>
  <c r="G124" i="2" s="1"/>
  <c r="G125" i="2" s="1"/>
  <c r="G126" i="2" s="1"/>
  <c r="G127" i="2" s="1"/>
  <c r="G128" i="2" s="1"/>
  <c r="F123" i="2"/>
  <c r="F124" i="2" s="1"/>
  <c r="F125" i="2" s="1"/>
  <c r="F126" i="2" s="1"/>
  <c r="F127" i="2" s="1"/>
  <c r="F128" i="2" s="1"/>
  <c r="G122" i="2"/>
  <c r="F122" i="2"/>
  <c r="G121" i="2"/>
  <c r="F121" i="2"/>
  <c r="G120" i="2"/>
  <c r="F120" i="2"/>
  <c r="G119" i="2"/>
  <c r="F119" i="2"/>
  <c r="G111" i="2"/>
  <c r="G112" i="2" s="1"/>
  <c r="G113" i="2" s="1"/>
  <c r="G114" i="2" s="1"/>
  <c r="G115" i="2" s="1"/>
  <c r="G116" i="2" s="1"/>
  <c r="G117" i="2" s="1"/>
  <c r="G118" i="2" s="1"/>
  <c r="F111" i="2"/>
  <c r="F112" i="2" s="1"/>
  <c r="F113" i="2" s="1"/>
  <c r="G103" i="2"/>
  <c r="G104" i="2" s="1"/>
  <c r="G105" i="2" s="1"/>
  <c r="G106" i="2" s="1"/>
  <c r="G107" i="2" s="1"/>
  <c r="G108" i="2" s="1"/>
  <c r="G109" i="2" s="1"/>
  <c r="G110" i="2" s="1"/>
  <c r="F103" i="2"/>
  <c r="F104" i="2" s="1"/>
  <c r="F105" i="2" s="1"/>
  <c r="G99" i="2"/>
  <c r="G100" i="2" s="1"/>
  <c r="G101" i="2" s="1"/>
  <c r="G102" i="2" s="1"/>
  <c r="F99" i="2"/>
  <c r="F100" i="2" s="1"/>
  <c r="F101" i="2" s="1"/>
  <c r="F102" i="2" s="1"/>
  <c r="G98" i="2"/>
  <c r="F98" i="2"/>
  <c r="G94" i="2"/>
  <c r="G95" i="2" s="1"/>
  <c r="G96" i="2" s="1"/>
  <c r="G97" i="2" s="1"/>
  <c r="F94" i="2"/>
  <c r="F95" i="2" s="1"/>
  <c r="F96" i="2" s="1"/>
  <c r="G93" i="2"/>
  <c r="C50" i="3" s="1"/>
  <c r="F93" i="2"/>
  <c r="B50" i="3" s="1"/>
  <c r="G92" i="2"/>
  <c r="C49" i="3" s="1"/>
  <c r="F92" i="2"/>
  <c r="B49" i="3" s="1"/>
  <c r="G91" i="2"/>
  <c r="C48" i="3" s="1"/>
  <c r="F91" i="2"/>
  <c r="B48" i="3" s="1"/>
  <c r="G90" i="2"/>
  <c r="C47" i="3" s="1"/>
  <c r="F90" i="2"/>
  <c r="B47" i="3" s="1"/>
  <c r="G89" i="2"/>
  <c r="C46" i="3" s="1"/>
  <c r="F89" i="2"/>
  <c r="B46" i="3" s="1"/>
  <c r="G88" i="2"/>
  <c r="C45" i="3" s="1"/>
  <c r="F88" i="2"/>
  <c r="B45" i="3" s="1"/>
  <c r="G87" i="2"/>
  <c r="C44" i="3" s="1"/>
  <c r="F87" i="2"/>
  <c r="B44" i="3" s="1"/>
  <c r="G86" i="2"/>
  <c r="C43" i="3" s="1"/>
  <c r="F86" i="2"/>
  <c r="B43" i="3" s="1"/>
  <c r="G85" i="2"/>
  <c r="C42" i="3" s="1"/>
  <c r="F85" i="2"/>
  <c r="B42" i="3" s="1"/>
  <c r="G84" i="2"/>
  <c r="C41" i="3" s="1"/>
  <c r="F84" i="2"/>
  <c r="B41" i="3" s="1"/>
  <c r="G83" i="2"/>
  <c r="C40" i="3" s="1"/>
  <c r="F83" i="2"/>
  <c r="B40" i="3" s="1"/>
  <c r="G82" i="2"/>
  <c r="C39" i="3" s="1"/>
  <c r="F82" i="2"/>
  <c r="B39" i="3" s="1"/>
  <c r="G81" i="2"/>
  <c r="C38" i="3" s="1"/>
  <c r="F81" i="2"/>
  <c r="B38" i="3" s="1"/>
  <c r="G80" i="2"/>
  <c r="C37" i="3" s="1"/>
  <c r="F80" i="2"/>
  <c r="B37" i="3" s="1"/>
  <c r="G79" i="2"/>
  <c r="C36" i="3" s="1"/>
  <c r="F79" i="2"/>
  <c r="B36" i="3" s="1"/>
  <c r="G78" i="2"/>
  <c r="C35" i="3" s="1"/>
  <c r="F78" i="2"/>
  <c r="B35" i="3" s="1"/>
  <c r="G77" i="2"/>
  <c r="C34" i="3" s="1"/>
  <c r="F77" i="2"/>
  <c r="B34" i="3" s="1"/>
  <c r="G76" i="2"/>
  <c r="C33" i="3" s="1"/>
  <c r="F76" i="2"/>
  <c r="B33" i="3" s="1"/>
  <c r="G75" i="2"/>
  <c r="C32" i="3" s="1"/>
  <c r="F75" i="2"/>
  <c r="B32" i="3" s="1"/>
  <c r="G74" i="2"/>
  <c r="C31" i="3" s="1"/>
  <c r="F74" i="2"/>
  <c r="B31" i="3" s="1"/>
  <c r="G73" i="2"/>
  <c r="C30" i="3" s="1"/>
  <c r="F73" i="2"/>
  <c r="B30" i="3" s="1"/>
  <c r="G72" i="2"/>
  <c r="C29" i="3" s="1"/>
  <c r="F72" i="2"/>
  <c r="B29" i="3" s="1"/>
  <c r="G71" i="2"/>
  <c r="C28" i="3" s="1"/>
  <c r="F71" i="2"/>
  <c r="B28" i="3" s="1"/>
  <c r="G70" i="2"/>
  <c r="C27" i="3" s="1"/>
  <c r="F70" i="2"/>
  <c r="B27" i="3" s="1"/>
  <c r="G69" i="2"/>
  <c r="C26" i="3" s="1"/>
  <c r="F69" i="2"/>
  <c r="B26" i="3" s="1"/>
  <c r="G68" i="2"/>
  <c r="C25" i="3" s="1"/>
  <c r="F68" i="2"/>
  <c r="B25" i="3" s="1"/>
  <c r="G67" i="2"/>
  <c r="C24" i="3" s="1"/>
  <c r="F67" i="2"/>
  <c r="B24" i="3" s="1"/>
  <c r="G66" i="2"/>
  <c r="C23" i="3" s="1"/>
  <c r="F66" i="2"/>
  <c r="B23" i="3" s="1"/>
  <c r="G65" i="2"/>
  <c r="C22" i="3" s="1"/>
  <c r="F65" i="2"/>
  <c r="B22" i="3" s="1"/>
  <c r="G64" i="2"/>
  <c r="C21" i="3" s="1"/>
  <c r="F64" i="2"/>
  <c r="B21" i="3" s="1"/>
  <c r="G63" i="2"/>
  <c r="C20" i="3" s="1"/>
  <c r="F63" i="2"/>
  <c r="B20" i="3" s="1"/>
  <c r="G62" i="2"/>
  <c r="C19" i="3" s="1"/>
  <c r="F62" i="2"/>
  <c r="B19" i="3" s="1"/>
  <c r="G61" i="2"/>
  <c r="C18" i="3" s="1"/>
  <c r="F61" i="2"/>
  <c r="B18" i="3" s="1"/>
  <c r="G60" i="2"/>
  <c r="C17" i="3" s="1"/>
  <c r="F60" i="2"/>
  <c r="B17" i="3" s="1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2" i="2"/>
  <c r="G43" i="2" s="1"/>
  <c r="F42" i="2"/>
  <c r="F43" i="2" s="1"/>
  <c r="G41" i="2"/>
  <c r="F41" i="2"/>
  <c r="G40" i="2"/>
  <c r="F40" i="2"/>
  <c r="G39" i="2"/>
  <c r="F39" i="2"/>
  <c r="G38" i="2"/>
  <c r="F38" i="2"/>
  <c r="G37" i="2"/>
  <c r="F37" i="2"/>
  <c r="G33" i="2"/>
  <c r="G34" i="2" s="1"/>
  <c r="G35" i="2" s="1"/>
  <c r="G36" i="2" s="1"/>
  <c r="F33" i="2"/>
  <c r="F34" i="2" s="1"/>
  <c r="G31" i="2"/>
  <c r="G32" i="2" s="1"/>
  <c r="F31" i="2"/>
  <c r="F32" i="2" s="1"/>
  <c r="G29" i="2"/>
  <c r="G30" i="2" s="1"/>
  <c r="F29" i="2"/>
  <c r="F30" i="2" s="1"/>
  <c r="E29" i="2"/>
  <c r="E31" i="2" s="1"/>
  <c r="E33" i="2" s="1"/>
  <c r="E38" i="2" s="1"/>
  <c r="E39" i="2" s="1"/>
  <c r="E40" i="2" s="1"/>
  <c r="E41" i="2" s="1"/>
  <c r="E42" i="2" s="1"/>
  <c r="E43" i="2" s="1"/>
  <c r="G6" i="2"/>
  <c r="C3" i="3" s="1"/>
  <c r="C8" i="2" l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A7" i="2"/>
  <c r="F175" i="2"/>
  <c r="F176" i="2" s="1"/>
  <c r="F177" i="2" s="1"/>
  <c r="B61" i="3"/>
  <c r="B75" i="3"/>
  <c r="F204" i="2"/>
  <c r="G164" i="2"/>
  <c r="G165" i="2" s="1"/>
  <c r="C55" i="3"/>
  <c r="G171" i="2"/>
  <c r="G172" i="2" s="1"/>
  <c r="G173" i="2" s="1"/>
  <c r="C60" i="3"/>
  <c r="G175" i="2"/>
  <c r="G176" i="2" s="1"/>
  <c r="G177" i="2" s="1"/>
  <c r="C61" i="3"/>
  <c r="G179" i="2"/>
  <c r="C62" i="3"/>
  <c r="G181" i="2"/>
  <c r="G182" i="2" s="1"/>
  <c r="C63" i="3"/>
  <c r="G191" i="2"/>
  <c r="G192" i="2" s="1"/>
  <c r="G193" i="2" s="1"/>
  <c r="C71" i="3"/>
  <c r="C75" i="3"/>
  <c r="G204" i="2"/>
  <c r="F52" i="3"/>
  <c r="F16" i="3"/>
  <c r="E52" i="3"/>
  <c r="E16" i="3"/>
  <c r="F195" i="2"/>
  <c r="G199" i="2"/>
  <c r="G200" i="2" s="1"/>
  <c r="G195" i="2"/>
  <c r="G196" i="2" s="1"/>
  <c r="G197" i="2" s="1"/>
  <c r="K112" i="2"/>
  <c r="F191" i="2"/>
  <c r="F192" i="2" s="1"/>
  <c r="F193" i="2" s="1"/>
  <c r="F181" i="2"/>
  <c r="F179" i="2"/>
  <c r="F171" i="2"/>
  <c r="F172" i="2" s="1"/>
  <c r="F173" i="2" s="1"/>
  <c r="F164" i="2"/>
  <c r="K116" i="2"/>
  <c r="K114" i="2"/>
  <c r="F17" i="2"/>
  <c r="B11" i="3"/>
  <c r="G13" i="2"/>
  <c r="C8" i="3"/>
  <c r="J125" i="2"/>
  <c r="G17" i="2"/>
  <c r="G18" i="2" s="1"/>
  <c r="G19" i="2" s="1"/>
  <c r="G20" i="2" s="1"/>
  <c r="G21" i="2" s="1"/>
  <c r="G22" i="2" s="1"/>
  <c r="C11" i="3"/>
  <c r="K113" i="2"/>
  <c r="K115" i="2"/>
  <c r="K117" i="2"/>
  <c r="H2" i="3"/>
  <c r="G7" i="3"/>
  <c r="J132" i="2"/>
  <c r="K131" i="2"/>
  <c r="F131" i="2"/>
  <c r="K130" i="2"/>
  <c r="F114" i="2"/>
  <c r="J106" i="2"/>
  <c r="F106" i="2"/>
  <c r="J18" i="2"/>
  <c r="K18" i="2" s="1"/>
  <c r="F28" i="2"/>
  <c r="J19" i="2"/>
  <c r="K19" i="2" s="1"/>
  <c r="F18" i="2"/>
  <c r="E15" i="2"/>
  <c r="J10" i="2"/>
  <c r="F9" i="2"/>
  <c r="E8" i="2"/>
  <c r="A8" i="2" s="1"/>
  <c r="E32" i="2"/>
  <c r="E30" i="2"/>
  <c r="E34" i="2"/>
  <c r="E35" i="2" s="1"/>
  <c r="E36" i="2" s="1"/>
  <c r="F97" i="2"/>
  <c r="E96" i="2"/>
  <c r="F35" i="2"/>
  <c r="E44" i="2"/>
  <c r="E45" i="2" s="1"/>
  <c r="F6" i="2"/>
  <c r="E2" i="1"/>
  <c r="C3" i="1"/>
  <c r="C4" i="1"/>
  <c r="B5" i="1"/>
  <c r="C29" i="2" l="1"/>
  <c r="C30" i="2" s="1"/>
  <c r="C31" i="2" s="1"/>
  <c r="O28" i="2"/>
  <c r="G52" i="3"/>
  <c r="G16" i="3"/>
  <c r="F196" i="2"/>
  <c r="F197" i="2" s="1"/>
  <c r="F199" i="2"/>
  <c r="F200" i="2" s="1"/>
  <c r="F182" i="2"/>
  <c r="F165" i="2"/>
  <c r="B7" i="2"/>
  <c r="B3" i="3"/>
  <c r="J126" i="2"/>
  <c r="K125" i="2"/>
  <c r="I2" i="3"/>
  <c r="H7" i="3"/>
  <c r="F132" i="2"/>
  <c r="J133" i="2"/>
  <c r="K132" i="2"/>
  <c r="F115" i="2"/>
  <c r="J107" i="2"/>
  <c r="K106" i="2"/>
  <c r="F107" i="2"/>
  <c r="E9" i="2"/>
  <c r="A9" i="2" s="1"/>
  <c r="K10" i="2"/>
  <c r="J11" i="2"/>
  <c r="K11" i="2" s="1"/>
  <c r="F19" i="2"/>
  <c r="F10" i="2"/>
  <c r="E16" i="2"/>
  <c r="E97" i="2"/>
  <c r="F36" i="2"/>
  <c r="E46" i="2"/>
  <c r="C5" i="1"/>
  <c r="B6" i="1"/>
  <c r="C37" i="1"/>
  <c r="G2" i="1"/>
  <c r="C36" i="1"/>
  <c r="C32" i="2" l="1"/>
  <c r="O31" i="2"/>
  <c r="B8" i="2"/>
  <c r="B9" i="2" s="1"/>
  <c r="B10" i="2" s="1"/>
  <c r="H52" i="3"/>
  <c r="H16" i="3"/>
  <c r="J127" i="2"/>
  <c r="K126" i="2"/>
  <c r="J2" i="3"/>
  <c r="I7" i="3"/>
  <c r="J134" i="2"/>
  <c r="K133" i="2"/>
  <c r="F133" i="2"/>
  <c r="F116" i="2"/>
  <c r="K107" i="2"/>
  <c r="J108" i="2"/>
  <c r="F108" i="2"/>
  <c r="E10" i="2"/>
  <c r="A10" i="2" s="1"/>
  <c r="E17" i="2"/>
  <c r="E23" i="2"/>
  <c r="F11" i="2"/>
  <c r="F20" i="2"/>
  <c r="E4" i="1"/>
  <c r="I2" i="1"/>
  <c r="E5" i="1"/>
  <c r="E6" i="1"/>
  <c r="C6" i="1"/>
  <c r="B7" i="1"/>
  <c r="C38" i="1"/>
  <c r="E38" i="1"/>
  <c r="C33" i="2" l="1"/>
  <c r="O32" i="2"/>
  <c r="I52" i="3"/>
  <c r="I16" i="3"/>
  <c r="B11" i="2"/>
  <c r="B12" i="2" s="1"/>
  <c r="B13" i="2" s="1"/>
  <c r="B14" i="2" s="1"/>
  <c r="B15" i="2" s="1"/>
  <c r="B16" i="2" s="1"/>
  <c r="B17" i="2" s="1"/>
  <c r="B18" i="2" s="1"/>
  <c r="B19" i="2" s="1"/>
  <c r="B20" i="2" s="1"/>
  <c r="K127" i="2"/>
  <c r="J128" i="2"/>
  <c r="K128" i="2" s="1"/>
  <c r="K2" i="3"/>
  <c r="K7" i="3" s="1"/>
  <c r="J7" i="3"/>
  <c r="F134" i="2"/>
  <c r="J135" i="2"/>
  <c r="K134" i="2"/>
  <c r="F117" i="2"/>
  <c r="J109" i="2"/>
  <c r="K108" i="2"/>
  <c r="F109" i="2"/>
  <c r="E18" i="2"/>
  <c r="E11" i="2"/>
  <c r="A11" i="2" s="1"/>
  <c r="A12" i="2" s="1"/>
  <c r="A13" i="2" s="1"/>
  <c r="A14" i="2" s="1"/>
  <c r="A15" i="2" s="1"/>
  <c r="A16" i="2" s="1"/>
  <c r="A17" i="2" s="1"/>
  <c r="F21" i="2"/>
  <c r="E24" i="2"/>
  <c r="E48" i="2"/>
  <c r="K2" i="1"/>
  <c r="E36" i="1"/>
  <c r="E37" i="1"/>
  <c r="C7" i="1"/>
  <c r="G7" i="1"/>
  <c r="B8" i="1"/>
  <c r="C39" i="1"/>
  <c r="E7" i="1"/>
  <c r="E39" i="1"/>
  <c r="C34" i="2" l="1"/>
  <c r="O33" i="2"/>
  <c r="J52" i="3"/>
  <c r="J16" i="3"/>
  <c r="K52" i="3"/>
  <c r="K16" i="3"/>
  <c r="A18" i="2"/>
  <c r="B21" i="2"/>
  <c r="J136" i="2"/>
  <c r="K136" i="2" s="1"/>
  <c r="K135" i="2"/>
  <c r="F135" i="2"/>
  <c r="F118" i="2"/>
  <c r="K109" i="2"/>
  <c r="J110" i="2"/>
  <c r="K110" i="2" s="1"/>
  <c r="F110" i="2"/>
  <c r="E25" i="2"/>
  <c r="F22" i="2"/>
  <c r="E19" i="2"/>
  <c r="A19" i="2" s="1"/>
  <c r="E49" i="2"/>
  <c r="E8" i="1"/>
  <c r="G8" i="1"/>
  <c r="C40" i="1"/>
  <c r="B9" i="1"/>
  <c r="C8" i="1"/>
  <c r="E40" i="1"/>
  <c r="M2" i="1"/>
  <c r="G4" i="1"/>
  <c r="G5" i="1"/>
  <c r="G6" i="1"/>
  <c r="C35" i="2" l="1"/>
  <c r="O34" i="2"/>
  <c r="J4" i="2"/>
  <c r="G4" i="2" s="1"/>
  <c r="I4" i="2" s="1"/>
  <c r="B22" i="2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F136" i="2"/>
  <c r="E20" i="2"/>
  <c r="A20" i="2" s="1"/>
  <c r="E50" i="2"/>
  <c r="O2" i="1"/>
  <c r="G36" i="1"/>
  <c r="G37" i="1"/>
  <c r="G38" i="1"/>
  <c r="G39" i="1"/>
  <c r="C9" i="1"/>
  <c r="G9" i="1"/>
  <c r="B10" i="1"/>
  <c r="E9" i="1"/>
  <c r="C41" i="1"/>
  <c r="G41" i="1"/>
  <c r="I9" i="1"/>
  <c r="E41" i="1"/>
  <c r="G40" i="1"/>
  <c r="R3" i="2" l="1" a="1"/>
  <c r="R3" i="2" s="1"/>
  <c r="B136" i="2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C36" i="2"/>
  <c r="O35" i="2"/>
  <c r="B164" i="2"/>
  <c r="B165" i="2" s="1"/>
  <c r="B166" i="2" s="1"/>
  <c r="B167" i="2" s="1"/>
  <c r="B168" i="2" s="1"/>
  <c r="B169" i="2" s="1"/>
  <c r="E21" i="2"/>
  <c r="A21" i="2" s="1"/>
  <c r="E51" i="2"/>
  <c r="E10" i="1"/>
  <c r="I10" i="1"/>
  <c r="C10" i="1"/>
  <c r="B11" i="1"/>
  <c r="C42" i="1"/>
  <c r="G42" i="1"/>
  <c r="G10" i="1"/>
  <c r="I42" i="1"/>
  <c r="E42" i="1"/>
  <c r="I4" i="1"/>
  <c r="Q2" i="1"/>
  <c r="I5" i="1"/>
  <c r="I6" i="1"/>
  <c r="I7" i="1"/>
  <c r="I8" i="1"/>
  <c r="C37" i="2" l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S4" i="2" s="1"/>
  <c r="O36" i="2"/>
  <c r="B170" i="2"/>
  <c r="B171" i="2" s="1"/>
  <c r="B172" i="2" s="1"/>
  <c r="B173" i="2" s="1"/>
  <c r="E22" i="2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E52" i="2"/>
  <c r="C11" i="1"/>
  <c r="G11" i="1"/>
  <c r="B12" i="1"/>
  <c r="I11" i="1"/>
  <c r="C43" i="1"/>
  <c r="G43" i="1"/>
  <c r="I43" i="1"/>
  <c r="E11" i="1"/>
  <c r="E43" i="1"/>
  <c r="I36" i="1"/>
  <c r="I37" i="1"/>
  <c r="I38" i="1"/>
  <c r="I39" i="1"/>
  <c r="I40" i="1"/>
  <c r="I41" i="1"/>
  <c r="A52" i="2" l="1"/>
  <c r="B174" i="2"/>
  <c r="B175" i="2" s="1"/>
  <c r="B176" i="2" s="1"/>
  <c r="B177" i="2" s="1"/>
  <c r="B178" i="2" s="1"/>
  <c r="E53" i="2"/>
  <c r="A53" i="2" s="1"/>
  <c r="E12" i="1"/>
  <c r="I12" i="1"/>
  <c r="G12" i="1"/>
  <c r="C44" i="1"/>
  <c r="G44" i="1"/>
  <c r="C12" i="1"/>
  <c r="I44" i="1"/>
  <c r="B13" i="1"/>
  <c r="E44" i="1"/>
  <c r="B179" i="2" l="1"/>
  <c r="B180" i="2" s="1"/>
  <c r="E54" i="2"/>
  <c r="A54" i="2" s="1"/>
  <c r="C13" i="1"/>
  <c r="G13" i="1"/>
  <c r="B14" i="1"/>
  <c r="E13" i="1"/>
  <c r="C45" i="1"/>
  <c r="G45" i="1"/>
  <c r="I13" i="1"/>
  <c r="I45" i="1"/>
  <c r="E45" i="1"/>
  <c r="B181" i="2" l="1"/>
  <c r="B182" i="2" s="1"/>
  <c r="B183" i="2" s="1"/>
  <c r="B184" i="2" s="1"/>
  <c r="B185" i="2" s="1"/>
  <c r="B186" i="2" s="1"/>
  <c r="B187" i="2" s="1"/>
  <c r="B188" i="2" s="1"/>
  <c r="B189" i="2" s="1"/>
  <c r="B190" i="2" s="1"/>
  <c r="E55" i="2"/>
  <c r="A55" i="2" s="1"/>
  <c r="E14" i="1"/>
  <c r="I14" i="1"/>
  <c r="C14" i="1"/>
  <c r="B15" i="1"/>
  <c r="C46" i="1"/>
  <c r="G46" i="1"/>
  <c r="I46" i="1"/>
  <c r="G14" i="1"/>
  <c r="E46" i="1"/>
  <c r="B191" i="2" l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E228" i="2"/>
  <c r="E56" i="2"/>
  <c r="A56" i="2" s="1"/>
  <c r="C15" i="1"/>
  <c r="G15" i="1"/>
  <c r="B16" i="1"/>
  <c r="I15" i="1"/>
  <c r="C47" i="1"/>
  <c r="G47" i="1"/>
  <c r="E15" i="1"/>
  <c r="I47" i="1"/>
  <c r="E47" i="1"/>
  <c r="B204" i="2" l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R4" i="2" s="1"/>
  <c r="E229" i="2"/>
  <c r="E57" i="2"/>
  <c r="A57" i="2" s="1"/>
  <c r="E16" i="1"/>
  <c r="I16" i="1"/>
  <c r="G16" i="1"/>
  <c r="C48" i="1"/>
  <c r="G48" i="1"/>
  <c r="B17" i="1"/>
  <c r="I48" i="1"/>
  <c r="C16" i="1"/>
  <c r="E48" i="1"/>
  <c r="E230" i="2" l="1"/>
  <c r="E58" i="2"/>
  <c r="A58" i="2" s="1"/>
  <c r="C17" i="1"/>
  <c r="G17" i="1"/>
  <c r="B18" i="1"/>
  <c r="E17" i="1"/>
  <c r="C49" i="1"/>
  <c r="G49" i="1"/>
  <c r="I49" i="1"/>
  <c r="I17" i="1"/>
  <c r="E49" i="1"/>
  <c r="E59" i="2" l="1"/>
  <c r="A59" i="2" s="1"/>
  <c r="A60" i="2" s="1"/>
  <c r="E18" i="1"/>
  <c r="I18" i="1"/>
  <c r="C18" i="1"/>
  <c r="B19" i="1"/>
  <c r="C50" i="1"/>
  <c r="G50" i="1"/>
  <c r="G18" i="1"/>
  <c r="I50" i="1"/>
  <c r="E50" i="1"/>
  <c r="E232" i="2" l="1"/>
  <c r="C19" i="1"/>
  <c r="G19" i="1"/>
  <c r="B20" i="1"/>
  <c r="I19" i="1"/>
  <c r="C51" i="1"/>
  <c r="G51" i="1"/>
  <c r="I51" i="1"/>
  <c r="E19" i="1"/>
  <c r="E51" i="1"/>
  <c r="E233" i="2" l="1"/>
  <c r="E61" i="2"/>
  <c r="A61" i="2" s="1"/>
  <c r="E20" i="1"/>
  <c r="I20" i="1"/>
  <c r="G20" i="1"/>
  <c r="C52" i="1"/>
  <c r="G52" i="1"/>
  <c r="C20" i="1"/>
  <c r="I52" i="1"/>
  <c r="B21" i="1"/>
  <c r="E52" i="1"/>
  <c r="E234" i="2" l="1"/>
  <c r="E62" i="2"/>
  <c r="A62" i="2" s="1"/>
  <c r="C21" i="1"/>
  <c r="G21" i="1"/>
  <c r="B22" i="1"/>
  <c r="E21" i="1"/>
  <c r="C53" i="1"/>
  <c r="G53" i="1"/>
  <c r="I21" i="1"/>
  <c r="I53" i="1"/>
  <c r="E53" i="1"/>
  <c r="E235" i="2" l="1"/>
  <c r="E63" i="2"/>
  <c r="A63" i="2" s="1"/>
  <c r="E22" i="1"/>
  <c r="I22" i="1"/>
  <c r="C22" i="1"/>
  <c r="B23" i="1"/>
  <c r="C54" i="1"/>
  <c r="G54" i="1"/>
  <c r="I54" i="1"/>
  <c r="G22" i="1"/>
  <c r="E54" i="1"/>
  <c r="E236" i="2" l="1"/>
  <c r="E64" i="2"/>
  <c r="A64" i="2" s="1"/>
  <c r="C23" i="1"/>
  <c r="G23" i="1"/>
  <c r="B24" i="1"/>
  <c r="I23" i="1"/>
  <c r="C55" i="1"/>
  <c r="G55" i="1"/>
  <c r="E23" i="1"/>
  <c r="I55" i="1"/>
  <c r="E55" i="1"/>
  <c r="E237" i="2" l="1"/>
  <c r="E65" i="2"/>
  <c r="E24" i="1"/>
  <c r="I24" i="1"/>
  <c r="G24" i="1"/>
  <c r="C56" i="1"/>
  <c r="G56" i="1"/>
  <c r="B25" i="1"/>
  <c r="I56" i="1"/>
  <c r="C24" i="1"/>
  <c r="E56" i="1"/>
  <c r="A65" i="2" l="1"/>
  <c r="M65" i="2"/>
  <c r="E238" i="2"/>
  <c r="E66" i="2"/>
  <c r="C25" i="1"/>
  <c r="G25" i="1"/>
  <c r="B26" i="1"/>
  <c r="E25" i="1"/>
  <c r="C57" i="1"/>
  <c r="G57" i="1"/>
  <c r="I57" i="1"/>
  <c r="I25" i="1"/>
  <c r="E57" i="1"/>
  <c r="A66" i="2" l="1"/>
  <c r="E239" i="2"/>
  <c r="E67" i="2"/>
  <c r="A67" i="2" s="1"/>
  <c r="E26" i="1"/>
  <c r="I26" i="1"/>
  <c r="C26" i="1"/>
  <c r="B27" i="1"/>
  <c r="C58" i="1"/>
  <c r="G58" i="1"/>
  <c r="G26" i="1"/>
  <c r="I58" i="1"/>
  <c r="E58" i="1"/>
  <c r="E240" i="2" l="1"/>
  <c r="E68" i="2"/>
  <c r="A68" i="2" s="1"/>
  <c r="C27" i="1"/>
  <c r="G27" i="1"/>
  <c r="B28" i="1"/>
  <c r="I27" i="1"/>
  <c r="E59" i="1"/>
  <c r="I59" i="1"/>
  <c r="E27" i="1"/>
  <c r="C59" i="1"/>
  <c r="G59" i="1"/>
  <c r="E241" i="2" l="1"/>
  <c r="E69" i="2"/>
  <c r="A69" i="2" s="1"/>
  <c r="E28" i="1"/>
  <c r="I28" i="1"/>
  <c r="G28" i="1"/>
  <c r="C28" i="1"/>
  <c r="E60" i="1"/>
  <c r="I60" i="1"/>
  <c r="B29" i="1"/>
  <c r="C60" i="1"/>
  <c r="G60" i="1"/>
  <c r="E70" i="2" l="1"/>
  <c r="A70" i="2" s="1"/>
  <c r="C29" i="1"/>
  <c r="G29" i="1"/>
  <c r="B30" i="1"/>
  <c r="E29" i="1"/>
  <c r="I29" i="1"/>
  <c r="E61" i="1"/>
  <c r="I61" i="1"/>
  <c r="C61" i="1"/>
  <c r="G61" i="1"/>
  <c r="E271" i="2" l="1"/>
  <c r="E243" i="2"/>
  <c r="E244" i="2" s="1"/>
  <c r="E245" i="2" s="1"/>
  <c r="E246" i="2" s="1"/>
  <c r="E247" i="2" s="1"/>
  <c r="E248" i="2" s="1"/>
  <c r="E249" i="2" s="1"/>
  <c r="E250" i="2" s="1"/>
  <c r="E251" i="2" s="1"/>
  <c r="E252" i="2" s="1"/>
  <c r="E253" i="2" s="1"/>
  <c r="E254" i="2" s="1"/>
  <c r="E255" i="2" s="1"/>
  <c r="E256" i="2" s="1"/>
  <c r="E257" i="2" s="1"/>
  <c r="E258" i="2" s="1"/>
  <c r="E259" i="2" s="1"/>
  <c r="E260" i="2" s="1"/>
  <c r="E261" i="2" s="1"/>
  <c r="E262" i="2" s="1"/>
  <c r="E263" i="2" s="1"/>
  <c r="E264" i="2" s="1"/>
  <c r="E265" i="2" s="1"/>
  <c r="E266" i="2" s="1"/>
  <c r="E267" i="2" s="1"/>
  <c r="E268" i="2" s="1"/>
  <c r="E269" i="2" s="1"/>
  <c r="E71" i="2"/>
  <c r="E72" i="2" s="1"/>
  <c r="E30" i="1"/>
  <c r="I30" i="1"/>
  <c r="C30" i="1"/>
  <c r="B31" i="1"/>
  <c r="E62" i="1"/>
  <c r="I62" i="1"/>
  <c r="G30" i="1"/>
  <c r="C62" i="1"/>
  <c r="G62" i="1"/>
  <c r="A71" i="2" l="1"/>
  <c r="A72" i="2" s="1"/>
  <c r="E73" i="2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272" i="2"/>
  <c r="C31" i="1"/>
  <c r="G31" i="1"/>
  <c r="B32" i="1"/>
  <c r="I31" i="1"/>
  <c r="E31" i="1"/>
  <c r="E63" i="1"/>
  <c r="I63" i="1"/>
  <c r="C63" i="1"/>
  <c r="G63" i="1"/>
  <c r="A73" i="2" l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E273" i="2"/>
  <c r="E32" i="1"/>
  <c r="I32" i="1"/>
  <c r="G32" i="1"/>
  <c r="B33" i="1"/>
  <c r="E64" i="1"/>
  <c r="I64" i="1"/>
  <c r="C32" i="1"/>
  <c r="C64" i="1"/>
  <c r="G64" i="1"/>
  <c r="E274" i="2" l="1"/>
  <c r="C33" i="1"/>
  <c r="G33" i="1"/>
  <c r="B34" i="1"/>
  <c r="E33" i="1"/>
  <c r="E65" i="1"/>
  <c r="I65" i="1"/>
  <c r="I33" i="1"/>
  <c r="C65" i="1"/>
  <c r="G65" i="1"/>
  <c r="E275" i="2" l="1"/>
  <c r="E34" i="1"/>
  <c r="I34" i="1"/>
  <c r="C34" i="1"/>
  <c r="B35" i="1"/>
  <c r="G34" i="1"/>
  <c r="E66" i="1"/>
  <c r="I66" i="1"/>
  <c r="C66" i="1"/>
  <c r="G66" i="1"/>
  <c r="E276" i="2" l="1"/>
  <c r="C35" i="1"/>
  <c r="G35" i="1"/>
  <c r="I35" i="1"/>
  <c r="E67" i="1"/>
  <c r="I67" i="1"/>
  <c r="E35" i="1"/>
  <c r="C67" i="1"/>
  <c r="G67" i="1"/>
  <c r="E277" i="2" l="1"/>
  <c r="E278" i="2" l="1"/>
  <c r="E279" i="2" l="1"/>
  <c r="E280" i="2" l="1"/>
  <c r="E98" i="2"/>
  <c r="A98" i="2" s="1"/>
  <c r="E281" i="2" l="1"/>
  <c r="E99" i="2"/>
  <c r="A99" i="2" s="1"/>
  <c r="E100" i="2" l="1"/>
  <c r="E101" i="2" s="1"/>
  <c r="E102" i="2" s="1"/>
  <c r="E282" i="2"/>
  <c r="E103" i="2"/>
  <c r="E104" i="2" s="1"/>
  <c r="E105" i="2" s="1"/>
  <c r="E106" i="2" s="1"/>
  <c r="E107" i="2" s="1"/>
  <c r="E108" i="2" s="1"/>
  <c r="E109" i="2" s="1"/>
  <c r="E110" i="2" s="1"/>
  <c r="A100" i="2" l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E283" i="2"/>
  <c r="E111" i="2"/>
  <c r="A111" i="2" l="1"/>
  <c r="E112" i="2"/>
  <c r="E284" i="2"/>
  <c r="E286" i="2" s="1"/>
  <c r="E287" i="2" s="1"/>
  <c r="E288" i="2" s="1"/>
  <c r="E119" i="2"/>
  <c r="A112" i="2" l="1"/>
  <c r="E113" i="2"/>
  <c r="A113" i="2" s="1"/>
  <c r="E120" i="2"/>
  <c r="E114" i="2" l="1"/>
  <c r="E121" i="2"/>
  <c r="A114" i="2" l="1"/>
  <c r="E115" i="2"/>
  <c r="A115" i="2" s="1"/>
  <c r="E122" i="2"/>
  <c r="E116" i="2" l="1"/>
  <c r="E123" i="2"/>
  <c r="E124" i="2" s="1"/>
  <c r="E125" i="2" s="1"/>
  <c r="E126" i="2" s="1"/>
  <c r="E127" i="2" s="1"/>
  <c r="E128" i="2" s="1"/>
  <c r="A116" i="2" l="1"/>
  <c r="E117" i="2"/>
  <c r="A117" i="2" s="1"/>
  <c r="E129" i="2"/>
  <c r="E130" i="2" s="1"/>
  <c r="E131" i="2" s="1"/>
  <c r="E132" i="2" s="1"/>
  <c r="E133" i="2" s="1"/>
  <c r="E134" i="2" s="1"/>
  <c r="E135" i="2" s="1"/>
  <c r="E136" i="2" s="1"/>
  <c r="E118" i="2" l="1"/>
  <c r="E137" i="2"/>
  <c r="A118" i="2" l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/>
  <c r="A138" i="2" s="1"/>
  <c r="E139" i="2"/>
  <c r="A139" i="2" l="1"/>
  <c r="E140" i="2"/>
  <c r="A140" i="2" l="1"/>
  <c r="E141" i="2"/>
  <c r="A141" i="2" s="1"/>
  <c r="E142" i="2" l="1"/>
  <c r="A142" i="2" s="1"/>
  <c r="E143" i="2" l="1"/>
  <c r="A143" i="2" s="1"/>
  <c r="E144" i="2" l="1"/>
  <c r="A144" i="2" s="1"/>
  <c r="E145" i="2" l="1"/>
  <c r="A145" i="2" s="1"/>
  <c r="E146" i="2" l="1"/>
  <c r="A146" i="2" s="1"/>
  <c r="E147" i="2" l="1"/>
  <c r="A147" i="2" s="1"/>
  <c r="E148" i="2" l="1"/>
  <c r="A148" i="2" s="1"/>
  <c r="E149" i="2" l="1"/>
  <c r="A149" i="2" s="1"/>
  <c r="E150" i="2" l="1"/>
  <c r="A150" i="2" s="1"/>
  <c r="E151" i="2" l="1"/>
  <c r="A151" i="2" s="1"/>
  <c r="E152" i="2" l="1"/>
  <c r="A152" i="2" s="1"/>
  <c r="E153" i="2" l="1"/>
  <c r="A153" i="2" s="1"/>
  <c r="E154" i="2" l="1"/>
  <c r="A154" i="2" s="1"/>
  <c r="E155" i="2" l="1"/>
  <c r="A155" i="2" s="1"/>
  <c r="E156" i="2" l="1"/>
  <c r="A156" i="2" s="1"/>
  <c r="E157" i="2" l="1"/>
  <c r="A157" i="2" s="1"/>
  <c r="E158" i="2" l="1"/>
  <c r="A158" i="2" s="1"/>
  <c r="E159" i="2" l="1"/>
  <c r="A159" i="2" s="1"/>
  <c r="E160" i="2" l="1"/>
  <c r="A160" i="2" s="1"/>
  <c r="A161" i="2" s="1"/>
  <c r="E162" i="2" l="1"/>
  <c r="A162" i="2" s="1"/>
  <c r="E163" i="2" l="1"/>
  <c r="A163" i="2" l="1"/>
  <c r="E164" i="2"/>
  <c r="E166" i="2"/>
  <c r="A164" i="2" l="1"/>
  <c r="E165" i="2"/>
  <c r="E167" i="2"/>
  <c r="E168" i="2" s="1"/>
  <c r="E169" i="2" s="1"/>
  <c r="E170" i="2" s="1"/>
  <c r="E174" i="2" l="1"/>
  <c r="E171" i="2"/>
  <c r="E172" i="2" s="1"/>
  <c r="E173" i="2" s="1"/>
  <c r="A165" i="2"/>
  <c r="A166" i="2" s="1"/>
  <c r="A167" i="2" s="1"/>
  <c r="A168" i="2" s="1"/>
  <c r="A169" i="2" s="1"/>
  <c r="E178" i="2" l="1"/>
  <c r="E175" i="2"/>
  <c r="A170" i="2"/>
  <c r="A171" i="2" s="1"/>
  <c r="A172" i="2" s="1"/>
  <c r="A173" i="2" s="1"/>
  <c r="E180" i="2" l="1"/>
  <c r="E181" i="2" s="1"/>
  <c r="E179" i="2"/>
  <c r="E176" i="2"/>
  <c r="E177" i="2" s="1"/>
  <c r="A174" i="2"/>
  <c r="A175" i="2" s="1"/>
  <c r="A176" i="2" l="1"/>
  <c r="A177" i="2" s="1"/>
  <c r="A178" i="2" s="1"/>
  <c r="E182" i="2"/>
  <c r="A179" i="2"/>
  <c r="E183" i="2"/>
  <c r="E184" i="2" s="1"/>
  <c r="E185" i="2" s="1"/>
  <c r="E186" i="2" s="1"/>
  <c r="E187" i="2" s="1"/>
  <c r="E188" i="2" s="1"/>
  <c r="E189" i="2" s="1"/>
  <c r="E190" i="2" s="1"/>
  <c r="A180" i="2"/>
  <c r="A181" i="2" s="1"/>
  <c r="A182" i="2" l="1"/>
  <c r="A183" i="2" s="1"/>
  <c r="A184" i="2" s="1"/>
  <c r="E194" i="2"/>
  <c r="E195" i="2" s="1"/>
  <c r="E191" i="2"/>
  <c r="E198" i="2" s="1"/>
  <c r="A185" i="2"/>
  <c r="A186" i="2" s="1"/>
  <c r="A187" i="2" s="1"/>
  <c r="A188" i="2" s="1"/>
  <c r="A189" i="2" s="1"/>
  <c r="A190" i="2" s="1"/>
  <c r="E196" i="2" l="1"/>
  <c r="E197" i="2" s="1"/>
  <c r="E201" i="2"/>
  <c r="E202" i="2" s="1"/>
  <c r="E203" i="2" s="1"/>
  <c r="A191" i="2"/>
  <c r="E192" i="2"/>
  <c r="E205" i="2" l="1"/>
  <c r="E206" i="2" s="1"/>
  <c r="E207" i="2" s="1"/>
  <c r="E208" i="2" s="1"/>
  <c r="E209" i="2" s="1"/>
  <c r="E210" i="2" s="1"/>
  <c r="E211" i="2" s="1"/>
  <c r="E212" i="2" s="1"/>
  <c r="E213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Q3" i="2" s="1" a="1"/>
  <c r="Q3" i="2" s="1"/>
  <c r="E204" i="2"/>
  <c r="E199" i="2"/>
  <c r="E200" i="2" s="1"/>
  <c r="A192" i="2"/>
  <c r="E193" i="2"/>
  <c r="A193" i="2" l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l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Q4" i="2" s="1"/>
</calcChain>
</file>

<file path=xl/sharedStrings.xml><?xml version="1.0" encoding="utf-8"?>
<sst xmlns="http://schemas.openxmlformats.org/spreadsheetml/2006/main" count="453" uniqueCount="446">
  <si>
    <t>MagnitudeThreshold2Low</t>
  </si>
  <si>
    <t>CrosstalkIEmitterCo1</t>
  </si>
  <si>
    <t>AGCStateZP</t>
  </si>
  <si>
    <t>MagnitudeThreshold2LowExponent</t>
  </si>
  <si>
    <t>CrosstalkITempCo1</t>
  </si>
  <si>
    <t>AGCState</t>
  </si>
  <si>
    <t>MagnitudeThreshold1High</t>
  </si>
  <si>
    <t>PhaseOffsetVGA2Co2</t>
  </si>
  <si>
    <t>TempSensorRawLSB</t>
  </si>
  <si>
    <t>MagnitudeThreshold1HighExponent</t>
  </si>
  <si>
    <t>PhaseOffsetVGA1Co2</t>
  </si>
  <si>
    <t>TempSensorRawMSB</t>
  </si>
  <si>
    <t>NCOControl3</t>
  </si>
  <si>
    <t>Zone3ThresholdLowLSB</t>
  </si>
  <si>
    <t>PhaseOffsetAmbientCo2</t>
  </si>
  <si>
    <t>VGA2ZP</t>
  </si>
  <si>
    <t>NCOControl2</t>
  </si>
  <si>
    <t>Zone3ThresholdLowMSB</t>
  </si>
  <si>
    <t>PhaseOffsetEmitterCo2</t>
  </si>
  <si>
    <t>VGA1ZP</t>
  </si>
  <si>
    <t>NCOControl1</t>
  </si>
  <si>
    <t>Zone3ThresholdHighLSB</t>
  </si>
  <si>
    <t>PhaseOffsetTempCo2</t>
  </si>
  <si>
    <t>ZPMagnitudeLSB</t>
  </si>
  <si>
    <t>AnalogMonitorControl</t>
  </si>
  <si>
    <t>PhaseOffsetVGA2Co1</t>
  </si>
  <si>
    <t>ZPMagnitudeMSB</t>
  </si>
  <si>
    <t>StateMachineOverride1</t>
  </si>
  <si>
    <t>Zone2ThresholdLowLSB</t>
  </si>
  <si>
    <t>PhaseOffsetVGA1Co1</t>
  </si>
  <si>
    <t>ZPMagnitudeExp</t>
  </si>
  <si>
    <t>StateMachineOverride</t>
  </si>
  <si>
    <t>Zone2ThresholdLowMSB</t>
  </si>
  <si>
    <t>PhaseOffsetAmbientCo1</t>
  </si>
  <si>
    <t>ZeroPhaseLSB</t>
  </si>
  <si>
    <t>StateMachineControl</t>
  </si>
  <si>
    <t>Zone2ThresholdHighLSB</t>
  </si>
  <si>
    <t>PhaseOffsetEmitterCo1</t>
  </si>
  <si>
    <t>ZeroPhaseMSB</t>
  </si>
  <si>
    <t>BlockOverride</t>
  </si>
  <si>
    <t>Zone2ThresholdHighMSB</t>
  </si>
  <si>
    <t>PhaseOffsetTempCo1</t>
  </si>
  <si>
    <t>ZPCalibrationQLSB</t>
  </si>
  <si>
    <t>Zone1ThresholdLowLSB</t>
  </si>
  <si>
    <t>PhaseExponent</t>
  </si>
  <si>
    <t>ZPCalibrationQMSB</t>
  </si>
  <si>
    <t>RivisionID</t>
  </si>
  <si>
    <t>Zone1ThresholdLowMSB</t>
  </si>
  <si>
    <t>EmitterReference</t>
  </si>
  <si>
    <t>ZPCalibrationILSB</t>
  </si>
  <si>
    <t>I2CFast</t>
  </si>
  <si>
    <t>Zone1ThresholdHighLSB</t>
  </si>
  <si>
    <t>TemperatureReference</t>
  </si>
  <si>
    <t>ZPCalibrationIMSB</t>
  </si>
  <si>
    <t>Command</t>
  </si>
  <si>
    <t>Zone1ThresholdHighMSB</t>
  </si>
  <si>
    <t>PhaseOffsetLSB</t>
  </si>
  <si>
    <t>DCCalibrationQLSB</t>
  </si>
  <si>
    <t>Spares</t>
  </si>
  <si>
    <t>PhaseOffsetMSB</t>
  </si>
  <si>
    <t>DCCalibrationQMSB</t>
  </si>
  <si>
    <t>InternalRSET</t>
  </si>
  <si>
    <t>MagnitudeReferenceLSB</t>
  </si>
  <si>
    <t>DCCalibrationILSB</t>
  </si>
  <si>
    <t>OscillatorSelect</t>
  </si>
  <si>
    <t>MagnitudeReferenceMSB</t>
  </si>
  <si>
    <t>DCCalibrationIMSB</t>
  </si>
  <si>
    <t>MagnitudeReferenceExp</t>
  </si>
  <si>
    <t>QADCLSB</t>
  </si>
  <si>
    <t>BPFSelect</t>
  </si>
  <si>
    <t>DetectionFlagReference</t>
  </si>
  <si>
    <t>CrosstalkGainLSB</t>
  </si>
  <si>
    <t>QADCMSB</t>
  </si>
  <si>
    <t>TempSensorADCMode</t>
  </si>
  <si>
    <t>DetectionFlag</t>
  </si>
  <si>
    <t>CrosstalkGainMSB</t>
  </si>
  <si>
    <t>IADCLSB</t>
  </si>
  <si>
    <t>TempSensorRegC</t>
  </si>
  <si>
    <t>InterruptFlag</t>
  </si>
  <si>
    <t>CrosstalkQLSB</t>
  </si>
  <si>
    <t>IADCMSB</t>
  </si>
  <si>
    <t>TempSensorRegB</t>
  </si>
  <si>
    <t>ReferenceMagnitudeSignificand</t>
  </si>
  <si>
    <t>CrosstalkQMSB</t>
  </si>
  <si>
    <t>GainLSB</t>
  </si>
  <si>
    <t>TempSensorRegA</t>
  </si>
  <si>
    <t>ReferenceMagnitudeExponent</t>
  </si>
  <si>
    <t>CrosstalkQExponent</t>
  </si>
  <si>
    <t>GainMSB</t>
  </si>
  <si>
    <t>EmitterVoltageADCMuxSelect</t>
  </si>
  <si>
    <t>ReferenceDistanceforMotionLSB</t>
  </si>
  <si>
    <t>CrosstalkILSB</t>
  </si>
  <si>
    <t>VGA2</t>
  </si>
  <si>
    <t>EmitterVoltageADCOffset</t>
  </si>
  <si>
    <t>ReferenceDistanceforMotionMSB</t>
  </si>
  <si>
    <t>CrosstalkIMSB</t>
  </si>
  <si>
    <t>VGA1</t>
  </si>
  <si>
    <t>DetectionCondition2</t>
  </si>
  <si>
    <t>CrosstalkIExponent</t>
  </si>
  <si>
    <t>AmbientADC</t>
  </si>
  <si>
    <t>DetectionCondition1</t>
  </si>
  <si>
    <t>CollisionPeakSelect</t>
  </si>
  <si>
    <t>AFETemperature</t>
  </si>
  <si>
    <t>FixedError</t>
  </si>
  <si>
    <t>EmitterVoltageAfter</t>
  </si>
  <si>
    <t>ADCVrefCode</t>
  </si>
  <si>
    <t>NoiseGain</t>
  </si>
  <si>
    <t>EmitterVoltageBefore</t>
  </si>
  <si>
    <t>VGA2ControlforCollision</t>
  </si>
  <si>
    <t>InterruptControl</t>
  </si>
  <si>
    <t>CircuitNoise</t>
  </si>
  <si>
    <t>QRawLSB</t>
  </si>
  <si>
    <t>VGA1ControlforCollision</t>
  </si>
  <si>
    <t>MagnitudeSquelch</t>
  </si>
  <si>
    <t>QRawMSB</t>
  </si>
  <si>
    <t>VGA2ManualforZP</t>
  </si>
  <si>
    <t>MagnitudeSquelchExponent</t>
  </si>
  <si>
    <t>QRawExponent</t>
  </si>
  <si>
    <t>VGA1ManualforZP</t>
  </si>
  <si>
    <t>NoiseThresholdSlope</t>
  </si>
  <si>
    <t>IRawLSB</t>
  </si>
  <si>
    <t>VGA2ManualforLight</t>
  </si>
  <si>
    <t>NoiseThresholdOffset</t>
  </si>
  <si>
    <t>IRawMSB</t>
  </si>
  <si>
    <t>VGA1ManualforLight</t>
  </si>
  <si>
    <t>DCSaturationThreshold</t>
  </si>
  <si>
    <t>IRawExponent</t>
  </si>
  <si>
    <t>VGAOffsetCode</t>
  </si>
  <si>
    <t>DSPEnable</t>
  </si>
  <si>
    <t>PhaseReadoutLSB</t>
  </si>
  <si>
    <t>AmbientADCTestFeatures</t>
  </si>
  <si>
    <t>AGCControl3</t>
  </si>
  <si>
    <t>PhaseReadoutMSB</t>
  </si>
  <si>
    <t>AFEControlRegisters</t>
  </si>
  <si>
    <t>AGCControl2</t>
  </si>
  <si>
    <t>MagnitudeSignificandLSB</t>
  </si>
  <si>
    <t>FrontendControl</t>
  </si>
  <si>
    <t>AGCControl1</t>
  </si>
  <si>
    <t>MagnitudeSignificandMSB</t>
  </si>
  <si>
    <t>DriverChargeBalancingDAC</t>
  </si>
  <si>
    <t>CollisionIntegrationTime</t>
  </si>
  <si>
    <t>MagnitudeExponent</t>
  </si>
  <si>
    <t>DriverBoostDuration</t>
  </si>
  <si>
    <t>ZPCalIntegrationTime</t>
  </si>
  <si>
    <t>PercisionLSB</t>
  </si>
  <si>
    <t>DriverBoost</t>
  </si>
  <si>
    <t>DCCalIntegrationTime</t>
  </si>
  <si>
    <t>PrecisionMSB</t>
  </si>
  <si>
    <t>ThresholdCurrentDAC</t>
  </si>
  <si>
    <t>SampleControl</t>
  </si>
  <si>
    <t>DistanceReadoutLSB</t>
  </si>
  <si>
    <t>DriverControl</t>
  </si>
  <si>
    <t>EmitterSelectforOpenLoop</t>
  </si>
  <si>
    <t>SamplePeriodRange</t>
  </si>
  <si>
    <t>DistanceReadoutMSB</t>
  </si>
  <si>
    <t>EmitterCurrentDAC</t>
  </si>
  <si>
    <t>CrosstalkQVGA2Co2</t>
  </si>
  <si>
    <t>SamplePeriod</t>
  </si>
  <si>
    <t>DataInvalid</t>
  </si>
  <si>
    <t>DriverRange</t>
  </si>
  <si>
    <t>CrosstalkQVGA1Co2</t>
  </si>
  <si>
    <t>IntegrationTime</t>
  </si>
  <si>
    <t>testtrim4</t>
  </si>
  <si>
    <t>CrosstalkQAmbientCo2</t>
  </si>
  <si>
    <t>testtrim3</t>
  </si>
  <si>
    <t>CrosstalkQEmitterCo2</t>
  </si>
  <si>
    <t>testtrim2</t>
  </si>
  <si>
    <t>CrosstalkQTempCo2</t>
  </si>
  <si>
    <t>testtrim1</t>
  </si>
  <si>
    <t>CrosstalkQVGA2Co1</t>
  </si>
  <si>
    <t>testreadsanple</t>
  </si>
  <si>
    <t>CrosstalkQVGA1Co1</t>
  </si>
  <si>
    <t>testsample</t>
  </si>
  <si>
    <t>CrosstalkQAmbientCo1</t>
  </si>
  <si>
    <t>testmux</t>
  </si>
  <si>
    <t>CrosstalkQEmitterCo1</t>
  </si>
  <si>
    <t>testreg3</t>
  </si>
  <si>
    <t>CrosstalkQTempCo1</t>
  </si>
  <si>
    <t>CrosstalkIVGA2Co2</t>
  </si>
  <si>
    <t>testreg2</t>
  </si>
  <si>
    <t>MotionMagnitudeThreshold</t>
  </si>
  <si>
    <t>CrosstalkIVGA1Co2</t>
  </si>
  <si>
    <t>testreg1</t>
  </si>
  <si>
    <t>MotionDistanceThresholdLSB</t>
  </si>
  <si>
    <t>CrosstalkIAmbientCo2</t>
  </si>
  <si>
    <t>Fusereg4</t>
  </si>
  <si>
    <t>MotionDistanceThresholdMSB</t>
  </si>
  <si>
    <t>CrosstalkIEmitterCo2</t>
  </si>
  <si>
    <t>Fusereg3</t>
  </si>
  <si>
    <t>MagnitudeThreshold3Low</t>
  </si>
  <si>
    <t>CrosstalkITempCo2</t>
  </si>
  <si>
    <t>Fuse_reg2</t>
  </si>
  <si>
    <t>MagnitudeThreshold3LowExponent</t>
  </si>
  <si>
    <t>CrosstalkIVGA2Co1</t>
  </si>
  <si>
    <t>StatusRegisters</t>
  </si>
  <si>
    <t>Fusereg1</t>
  </si>
  <si>
    <t>MagnitudeThreshold2High</t>
  </si>
  <si>
    <t>CrosstalkIVGA1Co1</t>
  </si>
  <si>
    <t>MasterControl</t>
  </si>
  <si>
    <t>FuseOperation</t>
  </si>
  <si>
    <t>MagnitudeThreshold2HighExponent</t>
  </si>
  <si>
    <t>CrosstalkIAmbientCo1</t>
  </si>
  <si>
    <t>DeviceID</t>
  </si>
  <si>
    <t>Group</t>
  </si>
  <si>
    <t>Register</t>
  </si>
  <si>
    <t>Field</t>
  </si>
  <si>
    <t>statusRegisters</t>
  </si>
  <si>
    <t>chip_id</t>
  </si>
  <si>
    <t>Mask</t>
  </si>
  <si>
    <t>Shift</t>
  </si>
  <si>
    <t>Addr</t>
  </si>
  <si>
    <t>samplingControlRegisters</t>
  </si>
  <si>
    <t>algorithmControlRegisters</t>
  </si>
  <si>
    <t>signalIntegrityRegisters</t>
  </si>
  <si>
    <t>closedLoopCalibrationRegisters</t>
  </si>
  <si>
    <t>interruptRegisters</t>
  </si>
  <si>
    <t xml:space="preserve">detectionModeControlRegisters </t>
  </si>
  <si>
    <t>analogControlRegisters</t>
  </si>
  <si>
    <t>DftRegisters</t>
  </si>
  <si>
    <t>fuseRegisters</t>
  </si>
  <si>
    <t xml:space="preserve">digitalTestReg </t>
  </si>
  <si>
    <t>lightSampleStatusRegisters</t>
  </si>
  <si>
    <t>calibrationStatusRegisters</t>
  </si>
  <si>
    <t>debuggingRegisters</t>
  </si>
  <si>
    <t>c_en</t>
  </si>
  <si>
    <t>sleeping</t>
  </si>
  <si>
    <t>vddok</t>
  </si>
  <si>
    <t>ready</t>
  </si>
  <si>
    <t>enout</t>
  </si>
  <si>
    <t>sample_len</t>
  </si>
  <si>
    <t>sample_num</t>
  </si>
  <si>
    <t>F</t>
  </si>
  <si>
    <t>sample_period</t>
  </si>
  <si>
    <t>noise_gain</t>
  </si>
  <si>
    <t>fixed_error</t>
  </si>
  <si>
    <t>sample_skip</t>
  </si>
  <si>
    <t>collision_det_en</t>
  </si>
  <si>
    <t>zp_cal_en</t>
  </si>
  <si>
    <t>dc_cal_en</t>
  </si>
  <si>
    <t>light_en</t>
  </si>
  <si>
    <t>cali_freq</t>
  </si>
  <si>
    <t>cali_mode</t>
  </si>
  <si>
    <t>adc_mode</t>
  </si>
  <si>
    <t>R</t>
  </si>
  <si>
    <t>G</t>
  </si>
  <si>
    <t>Indexes</t>
  </si>
  <si>
    <t>dc_cal_len</t>
  </si>
  <si>
    <t>zp_cal_len</t>
  </si>
  <si>
    <t>collision_len</t>
  </si>
  <si>
    <t>agc_max_iter</t>
  </si>
  <si>
    <t>agc_cal_en</t>
  </si>
  <si>
    <t>dsp_cal_en</t>
  </si>
  <si>
    <t>agc_en</t>
  </si>
  <si>
    <t>nBits</t>
  </si>
  <si>
    <t>agc_acc_thld</t>
  </si>
  <si>
    <t>agc_persistance_thld</t>
  </si>
  <si>
    <t>min_vga2_exp</t>
  </si>
  <si>
    <t>min_vga1_exp</t>
  </si>
  <si>
    <t>dsp_light_en</t>
  </si>
  <si>
    <t>dsp_ts_en</t>
  </si>
  <si>
    <t>dsp_ol_en</t>
  </si>
  <si>
    <t>threshhold_dc</t>
  </si>
  <si>
    <t>noise_thld_os</t>
  </si>
  <si>
    <t>noise_thld_slope</t>
  </si>
  <si>
    <t>mag_squelch</t>
  </si>
  <si>
    <t>mag_squelch_exp</t>
  </si>
  <si>
    <t>ckt_noise</t>
  </si>
  <si>
    <t>ckt_noise_conn</t>
  </si>
  <si>
    <t>coll_pk_sel</t>
  </si>
  <si>
    <t>i_xtalk_exp</t>
  </si>
  <si>
    <t>q_xtalk_exp</t>
  </si>
  <si>
    <t>i_xtalk</t>
  </si>
  <si>
    <t>q_xtalk</t>
  </si>
  <si>
    <t>gain_xtalk</t>
  </si>
  <si>
    <t>mag_ref_exp</t>
  </si>
  <si>
    <t>mag_ref</t>
  </si>
  <si>
    <t>phase_offset</t>
  </si>
  <si>
    <t>ol_temp_ref</t>
  </si>
  <si>
    <t>ol_emit_ref</t>
  </si>
  <si>
    <t>ol_phase_co_exp</t>
  </si>
  <si>
    <t>ol_phase_temp_co1</t>
  </si>
  <si>
    <t>ol_phase_temp_co2</t>
  </si>
  <si>
    <t>ol_phase_amb_co1</t>
  </si>
  <si>
    <t>ol_phase_amb_co2</t>
  </si>
  <si>
    <t>ol_phase_emit_co1</t>
  </si>
  <si>
    <t>ol_phase_vga1_co1</t>
  </si>
  <si>
    <t>ol_phase_vga1_co2</t>
  </si>
  <si>
    <t>ol_phase_vga2_co2</t>
  </si>
  <si>
    <t>ol_phase_vga2_co1</t>
  </si>
  <si>
    <t>ol_phase_emit_co2</t>
  </si>
  <si>
    <t>ol_i_temp_co1</t>
  </si>
  <si>
    <t>ol_i_emit_co1</t>
  </si>
  <si>
    <t>ol_i_amb_co1</t>
  </si>
  <si>
    <t>ol_i_vga1_co1</t>
  </si>
  <si>
    <t>ol_i_vga2_co1</t>
  </si>
  <si>
    <t>ol_i_temp_co2</t>
  </si>
  <si>
    <t>ol_i_emit_co2</t>
  </si>
  <si>
    <t>ol_i_amb_co2</t>
  </si>
  <si>
    <t>ol_i_vga1_co2</t>
  </si>
  <si>
    <t>ol_i_vga2_co2</t>
  </si>
  <si>
    <t>ol_q_temp_co1</t>
  </si>
  <si>
    <t>ol_q_emit_co1</t>
  </si>
  <si>
    <t>ol_q_amb_co1</t>
  </si>
  <si>
    <t>ol_q_vga1_co1</t>
  </si>
  <si>
    <t>ol_q_vga2_co1</t>
  </si>
  <si>
    <t>ol_q_temp_co2</t>
  </si>
  <si>
    <t>ol_q_emit_co2</t>
  </si>
  <si>
    <t>ol_q_amb_co2</t>
  </si>
  <si>
    <t>ol_q_vga1_co2</t>
  </si>
  <si>
    <t>ol_q_vga2_co2</t>
  </si>
  <si>
    <t>emitter_ol_sel</t>
  </si>
  <si>
    <t>ro_irq</t>
  </si>
  <si>
    <t>change_en</t>
  </si>
  <si>
    <t>interrrupt_data_invalid</t>
  </si>
  <si>
    <t>interrupt_ctrl</t>
  </si>
  <si>
    <t>Detection</t>
  </si>
  <si>
    <t>data_invalid_mask</t>
  </si>
  <si>
    <t>persistance</t>
  </si>
  <si>
    <t>noise_buffer_enable</t>
  </si>
  <si>
    <t>noise_buffer_sign</t>
  </si>
  <si>
    <t>noise_buffer_ctrl</t>
  </si>
  <si>
    <t>c1_mag3_en</t>
  </si>
  <si>
    <t>c2_mag3_en</t>
  </si>
  <si>
    <t>c1_mag2_en</t>
  </si>
  <si>
    <t>c1_mag1_en</t>
  </si>
  <si>
    <t>c1_zone3_en</t>
  </si>
  <si>
    <t>c1_zone2_en</t>
  </si>
  <si>
    <t>c1_zone1_en</t>
  </si>
  <si>
    <t>c1_motion_magnitude_en</t>
  </si>
  <si>
    <t>c1_motion_distance_en</t>
  </si>
  <si>
    <t>c2_mag2_en</t>
  </si>
  <si>
    <t>c2_mag1_en</t>
  </si>
  <si>
    <t>c2_zone3_en</t>
  </si>
  <si>
    <t>c2_zone2_en</t>
  </si>
  <si>
    <t>c2_zone1_en</t>
  </si>
  <si>
    <t>c2_motion_magnitude_en</t>
  </si>
  <si>
    <t>c2_motion_distance_en</t>
  </si>
  <si>
    <t>motion_dist_ref</t>
  </si>
  <si>
    <t>motion_mag_exp</t>
  </si>
  <si>
    <t>motion_mag_ref</t>
  </si>
  <si>
    <t>brownout_flag</t>
  </si>
  <si>
    <t>change_flag</t>
  </si>
  <si>
    <t>event_flag</t>
  </si>
  <si>
    <t>condition_2_flag</t>
  </si>
  <si>
    <t>condition_1_flag</t>
  </si>
  <si>
    <t>data_ready</t>
  </si>
  <si>
    <t>detect_ref</t>
  </si>
  <si>
    <t>mag3_flag</t>
  </si>
  <si>
    <t>mag2_flag</t>
  </si>
  <si>
    <t>mag1_flag</t>
  </si>
  <si>
    <t>zone3_flag</t>
  </si>
  <si>
    <t>zone2_flag</t>
  </si>
  <si>
    <t>zone1_flag</t>
  </si>
  <si>
    <t>motion_magnitude_flag</t>
  </si>
  <si>
    <t>motion_distance_flag</t>
  </si>
  <si>
    <t>dist1_high</t>
  </si>
  <si>
    <t>dist1_low</t>
  </si>
  <si>
    <t>dist2_high</t>
  </si>
  <si>
    <t>dist2_low</t>
  </si>
  <si>
    <t>Zone3ThresholdHighMSB</t>
  </si>
  <si>
    <t>dist3_high</t>
  </si>
  <si>
    <t>dist3_low</t>
  </si>
  <si>
    <t>mag1_high_exp</t>
  </si>
  <si>
    <t>mag1_high</t>
  </si>
  <si>
    <t>mag2_low_exp</t>
  </si>
  <si>
    <t>mag2_high_exp</t>
  </si>
  <si>
    <t>mag3_low_exp</t>
  </si>
  <si>
    <t>mag2_low</t>
  </si>
  <si>
    <t>mag2_high</t>
  </si>
  <si>
    <t>mag3_low</t>
  </si>
  <si>
    <t>motion_dist_thld</t>
  </si>
  <si>
    <t>motion_mag_thld</t>
  </si>
  <si>
    <t>emitter_current</t>
  </si>
  <si>
    <t>driver_enbal</t>
  </si>
  <si>
    <t>driver_nboost_en</t>
  </si>
  <si>
    <t>driver_thresh_en</t>
  </si>
  <si>
    <t>driver_t</t>
  </si>
  <si>
    <t>driver_boost</t>
  </si>
  <si>
    <t>driver_d</t>
  </si>
  <si>
    <t>driver_p</t>
  </si>
  <si>
    <t>afe_pd_dc</t>
  </si>
  <si>
    <t>afe_lowcap_mode</t>
  </si>
  <si>
    <t>lna_gain</t>
  </si>
  <si>
    <t>afe_gain</t>
  </si>
  <si>
    <t>afe_bypass</t>
  </si>
  <si>
    <t>afe_xtlk_en</t>
  </si>
  <si>
    <t>afe_dac_hi</t>
  </si>
  <si>
    <t>afe_dac_lo</t>
  </si>
  <si>
    <t>amb_fast</t>
  </si>
  <si>
    <t>amb_dac_test</t>
  </si>
  <si>
    <t>X</t>
  </si>
  <si>
    <t>zp_control</t>
  </si>
  <si>
    <t>sel_256_255b</t>
  </si>
  <si>
    <t>vga1_light_manual</t>
  </si>
  <si>
    <t>vga2_light_manual</t>
  </si>
  <si>
    <t>vga1_zp_manual</t>
  </si>
  <si>
    <t>vga2_zp_manual</t>
  </si>
  <si>
    <t>vga1_coll</t>
  </si>
  <si>
    <t>vga2_coll</t>
  </si>
  <si>
    <t>adc_vref</t>
  </si>
  <si>
    <t>vtpk_vga2_0_lo</t>
  </si>
  <si>
    <t>vtpk_vga2_1_hi</t>
  </si>
  <si>
    <t>vtpk_vga2_1_lo</t>
  </si>
  <si>
    <t>vtpk_vga2_0_hi</t>
  </si>
  <si>
    <t>PeakDetectorThresholds0</t>
  </si>
  <si>
    <t>PeakDetectorThresholds1</t>
  </si>
  <si>
    <t>PeakDetectorThresholds2</t>
  </si>
  <si>
    <t>vtpk_vga2_3_hi</t>
  </si>
  <si>
    <t>vtpk_vga2_3_lo</t>
  </si>
  <si>
    <t>vtpk_vga2_2_hi</t>
  </si>
  <si>
    <t>vtpk_vga2_2_lo</t>
  </si>
  <si>
    <t>vtpk_vga2_4_hi</t>
  </si>
  <si>
    <t>vtpk_vga2_4_lo</t>
  </si>
  <si>
    <t>vtpk_iq_hi</t>
  </si>
  <si>
    <t>vtpk_iq_lo</t>
  </si>
  <si>
    <t>emit_adc_b</t>
  </si>
  <si>
    <t>temp_reg_b</t>
  </si>
  <si>
    <t>temp_reg_a</t>
  </si>
  <si>
    <t>temp_reg_c</t>
  </si>
  <si>
    <t>temp_adc_mode</t>
  </si>
  <si>
    <t>bf_sel</t>
  </si>
  <si>
    <t>osc_aaf_dof</t>
  </si>
  <si>
    <t>osc_select</t>
  </si>
  <si>
    <t>rint</t>
  </si>
  <si>
    <t>X0</t>
  </si>
  <si>
    <t>emit_adc_s_after</t>
  </si>
  <si>
    <t>emit_adc_s_before</t>
  </si>
  <si>
    <t>AE</t>
  </si>
  <si>
    <t>Hex</t>
  </si>
  <si>
    <t>Dec</t>
  </si>
  <si>
    <t>Oscillator_AAFOffset</t>
  </si>
  <si>
    <t>driver_s</t>
  </si>
  <si>
    <t>API</t>
  </si>
  <si>
    <t>IRDR</t>
  </si>
  <si>
    <t>AfeGain</t>
  </si>
  <si>
    <t>Names Lengths</t>
  </si>
  <si>
    <t>#/items</t>
  </si>
  <si>
    <t>AGCen</t>
  </si>
  <si>
    <t>Fields used (list)</t>
  </si>
  <si>
    <t>VGAmin</t>
  </si>
  <si>
    <t>DSPen</t>
  </si>
  <si>
    <t>LAST ENTRY</t>
  </si>
  <si>
    <t>U</t>
  </si>
  <si>
    <t>PhaseOffsetAmbientCoef</t>
  </si>
  <si>
    <t>openLoopCorrectionRegisters</t>
  </si>
  <si>
    <t>SmpCtrlEn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</si>
</sst>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8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4" fillId="0" borderId="1" xfId="1" applyFont="1" applyFill="1" applyBorder="1" applyAlignment="1">
      <alignment horizontal="left" vertical="top"/>
    </xf>
    <xf numFmtId="49" fontId="4" fillId="0" borderId="1" xfId="1" applyNumberFormat="1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9" fontId="0" fillId="0" borderId="7" xfId="0" applyNumberFormat="1" applyBorder="1"/>
    <xf numFmtId="0" fontId="0" fillId="0" borderId="8" xfId="0" applyBorder="1" applyAlignment="1">
      <alignment horizontal="center"/>
    </xf>
    <xf numFmtId="49" fontId="0" fillId="0" borderId="9" xfId="0" applyNumberForma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12" xfId="0" applyFont="1" applyBorder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/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49" fontId="0" fillId="0" borderId="4" xfId="0" applyNumberFormat="1" applyBorder="1"/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/>
    <xf numFmtId="49" fontId="0" fillId="0" borderId="0" xfId="0" applyNumberFormat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20" xfId="0" applyNumberFormat="1" applyBorder="1"/>
    <xf numFmtId="49" fontId="0" fillId="0" borderId="2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8" xfId="0" applyFont="1" applyBorder="1"/>
    <xf numFmtId="0" fontId="6" fillId="0" borderId="29" xfId="0" applyFont="1" applyBorder="1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left"/>
    </xf>
    <xf numFmtId="164" fontId="5" fillId="0" borderId="2" xfId="0" applyNumberFormat="1" applyFont="1" applyBorder="1" applyAlignment="1">
      <alignment horizontal="center" vertical="center"/>
    </xf>
    <xf numFmtId="0" fontId="1" fillId="0" borderId="1" xfId="0" applyFont="1" applyFill="1" applyBorder="1" applyAlignment="1">
      <alignment horizontal="left"/>
    </xf>
    <xf numFmtId="0" fontId="6" fillId="0" borderId="7" xfId="0" applyFont="1" applyBorder="1" applyAlignment="1">
      <alignment horizontal="left"/>
    </xf>
    <xf numFmtId="0" fontId="6" fillId="0" borderId="23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26" xfId="0" applyFont="1" applyBorder="1" applyAlignment="1">
      <alignment horizontal="left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21" xfId="0" applyFill="1" applyBorder="1" applyAlignment="1">
      <alignment horizont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3</xdr:col>
          <xdr:colOff>295275</xdr:colOff>
          <xdr:row>2</xdr:row>
          <xdr:rowOff>180975</xdr:rowOff>
        </xdr:to>
        <xdr:sp macro="" textlink="">
          <xdr:nvSpPr>
            <xdr:cNvPr id="1025" name="cbAutoGe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600075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S76"/>
  <sheetViews>
    <sheetView zoomScale="60" zoomScaleNormal="60" workbookViewId="0">
      <selection activeCell="L31" sqref="L31"/>
    </sheetView>
  </sheetViews>
  <sheetFormatPr defaultRowHeight="15" customHeight="1" x14ac:dyDescent="0.25"/>
  <cols>
    <col min="1" max="1" width="3.28515625" style="1" customWidth="1"/>
    <col min="2" max="2" width="0" style="1" hidden="1" customWidth="1"/>
    <col min="3" max="3" width="4" style="3" bestFit="1" customWidth="1"/>
    <col min="4" max="4" width="31.140625" style="2" bestFit="1" customWidth="1"/>
    <col min="5" max="5" width="4.42578125" style="3" bestFit="1" customWidth="1"/>
    <col min="6" max="6" width="39.7109375" style="2" bestFit="1" customWidth="1"/>
    <col min="7" max="7" width="4.85546875" style="3" bestFit="1" customWidth="1"/>
    <col min="8" max="8" width="40.140625" style="2" bestFit="1" customWidth="1"/>
    <col min="9" max="9" width="4.85546875" style="3" bestFit="1" customWidth="1"/>
    <col min="10" max="10" width="29.7109375" style="2" bestFit="1" customWidth="1"/>
    <col min="11" max="11" width="4.42578125" style="1" bestFit="1" customWidth="1"/>
    <col min="12" max="12" width="40.140625" style="1" bestFit="1" customWidth="1"/>
    <col min="13" max="13" width="4.85546875" style="1" bestFit="1" customWidth="1"/>
    <col min="14" max="14" width="34.7109375" style="1" bestFit="1" customWidth="1"/>
    <col min="15" max="15" width="4.85546875" style="1" bestFit="1" customWidth="1"/>
    <col min="16" max="16" width="29.7109375" style="1" bestFit="1" customWidth="1"/>
    <col min="17" max="17" width="4.7109375" style="1" bestFit="1" customWidth="1"/>
    <col min="18" max="18" width="26.140625" style="1" bestFit="1" customWidth="1"/>
    <col min="19" max="19" width="30.140625" style="2" bestFit="1" customWidth="1"/>
    <col min="20" max="16384" width="9.140625" style="1"/>
  </cols>
  <sheetData>
    <row r="2" spans="2:17" ht="15" hidden="1" customHeight="1" thickBot="1" x14ac:dyDescent="0.3">
      <c r="C2" s="3">
        <v>0</v>
      </c>
      <c r="E2" s="3">
        <f>C2+1</f>
        <v>1</v>
      </c>
      <c r="G2" s="3">
        <f>E2+1</f>
        <v>2</v>
      </c>
      <c r="I2" s="3">
        <f>G2+1</f>
        <v>3</v>
      </c>
      <c r="K2" s="1">
        <f>I2+1</f>
        <v>4</v>
      </c>
      <c r="M2" s="1">
        <f>K2+1</f>
        <v>5</v>
      </c>
      <c r="O2" s="1">
        <f>M2+1</f>
        <v>6</v>
      </c>
      <c r="Q2" s="1">
        <f>O2+1</f>
        <v>7</v>
      </c>
    </row>
    <row r="3" spans="2:17" ht="30" customHeight="1" thickBot="1" x14ac:dyDescent="0.3">
      <c r="C3" s="56">
        <f ca="1">TODAY()</f>
        <v>42187</v>
      </c>
      <c r="D3" s="56"/>
      <c r="E3" s="56"/>
      <c r="F3" s="56"/>
      <c r="G3" s="56"/>
      <c r="H3" s="56"/>
      <c r="I3" s="56"/>
      <c r="J3" s="56"/>
    </row>
    <row r="4" spans="2:17" ht="15" customHeight="1" thickBot="1" x14ac:dyDescent="0.3">
      <c r="B4" s="1">
        <v>0</v>
      </c>
      <c r="C4" s="5" t="str">
        <f t="shared" ref="C4:C35" si="0">DEC2HEX($B4+32*C$2)</f>
        <v>0</v>
      </c>
      <c r="D4" s="7" t="s">
        <v>202</v>
      </c>
      <c r="E4" s="5" t="str">
        <f t="shared" ref="E4:E35" si="1">DEC2HEX($B4+32*G$2)</f>
        <v>40</v>
      </c>
      <c r="F4" s="4" t="s">
        <v>201</v>
      </c>
      <c r="G4" s="5" t="str">
        <f t="shared" ref="G4:G35" si="2">DEC2HEX($B4+32*K$2)</f>
        <v>80</v>
      </c>
      <c r="H4" s="4" t="s">
        <v>200</v>
      </c>
      <c r="I4" s="5" t="str">
        <f t="shared" ref="I4:I35" si="3">DEC2HEX($B4+32*O$2)</f>
        <v>C0</v>
      </c>
      <c r="J4" s="4" t="s">
        <v>199</v>
      </c>
    </row>
    <row r="5" spans="2:17" ht="15" customHeight="1" thickBot="1" x14ac:dyDescent="0.3">
      <c r="B5" s="1">
        <f t="shared" ref="B5:B35" si="4">B4+1</f>
        <v>1</v>
      </c>
      <c r="C5" s="5" t="str">
        <f t="shared" si="0"/>
        <v>1</v>
      </c>
      <c r="D5" s="7" t="s">
        <v>198</v>
      </c>
      <c r="E5" s="5" t="str">
        <f t="shared" si="1"/>
        <v>41</v>
      </c>
      <c r="F5" s="6" t="s">
        <v>197</v>
      </c>
      <c r="G5" s="5" t="str">
        <f t="shared" si="2"/>
        <v>81</v>
      </c>
      <c r="H5" s="4" t="s">
        <v>196</v>
      </c>
      <c r="I5" s="5" t="str">
        <f t="shared" si="3"/>
        <v>C1</v>
      </c>
      <c r="J5" s="4" t="s">
        <v>195</v>
      </c>
      <c r="L5" s="2"/>
    </row>
    <row r="6" spans="2:17" ht="15" customHeight="1" thickBot="1" x14ac:dyDescent="0.3">
      <c r="B6" s="1">
        <f t="shared" si="4"/>
        <v>2</v>
      </c>
      <c r="C6" s="5" t="str">
        <f t="shared" si="0"/>
        <v>2</v>
      </c>
      <c r="D6" s="7" t="s">
        <v>194</v>
      </c>
      <c r="E6" s="5" t="str">
        <f t="shared" si="1"/>
        <v>42</v>
      </c>
      <c r="F6" s="4" t="s">
        <v>193</v>
      </c>
      <c r="G6" s="5" t="str">
        <f t="shared" si="2"/>
        <v>82</v>
      </c>
      <c r="H6" s="4" t="s">
        <v>192</v>
      </c>
      <c r="I6" s="5" t="str">
        <f t="shared" si="3"/>
        <v>C2</v>
      </c>
      <c r="J6" s="4" t="s">
        <v>191</v>
      </c>
      <c r="L6" s="2"/>
    </row>
    <row r="7" spans="2:17" ht="15" customHeight="1" thickBot="1" x14ac:dyDescent="0.3">
      <c r="B7" s="1">
        <f t="shared" si="4"/>
        <v>3</v>
      </c>
      <c r="C7" s="5" t="str">
        <f t="shared" si="0"/>
        <v>3</v>
      </c>
      <c r="D7" s="55"/>
      <c r="E7" s="5" t="str">
        <f t="shared" si="1"/>
        <v>43</v>
      </c>
      <c r="F7" s="4" t="s">
        <v>190</v>
      </c>
      <c r="G7" s="5" t="str">
        <f t="shared" si="2"/>
        <v>83</v>
      </c>
      <c r="H7" s="4" t="s">
        <v>189</v>
      </c>
      <c r="I7" s="5" t="str">
        <f t="shared" si="3"/>
        <v>C3</v>
      </c>
      <c r="J7" s="4" t="s">
        <v>188</v>
      </c>
      <c r="L7" s="2"/>
    </row>
    <row r="8" spans="2:17" ht="15" customHeight="1" thickBot="1" x14ac:dyDescent="0.3">
      <c r="B8" s="1">
        <f t="shared" si="4"/>
        <v>4</v>
      </c>
      <c r="C8" s="5" t="str">
        <f t="shared" si="0"/>
        <v>4</v>
      </c>
      <c r="D8" s="55"/>
      <c r="E8" s="5" t="str">
        <f t="shared" si="1"/>
        <v>44</v>
      </c>
      <c r="F8" s="4" t="s">
        <v>187</v>
      </c>
      <c r="G8" s="5" t="str">
        <f t="shared" si="2"/>
        <v>84</v>
      </c>
      <c r="H8" s="4" t="s">
        <v>186</v>
      </c>
      <c r="I8" s="5" t="str">
        <f t="shared" si="3"/>
        <v>C4</v>
      </c>
      <c r="J8" s="4" t="s">
        <v>185</v>
      </c>
    </row>
    <row r="9" spans="2:17" ht="15" customHeight="1" thickBot="1" x14ac:dyDescent="0.3">
      <c r="B9" s="1">
        <f t="shared" si="4"/>
        <v>5</v>
      </c>
      <c r="C9" s="5" t="str">
        <f t="shared" si="0"/>
        <v>5</v>
      </c>
      <c r="D9" s="55"/>
      <c r="E9" s="5" t="str">
        <f t="shared" si="1"/>
        <v>45</v>
      </c>
      <c r="F9" s="4" t="s">
        <v>184</v>
      </c>
      <c r="G9" s="5" t="str">
        <f t="shared" si="2"/>
        <v>85</v>
      </c>
      <c r="H9" s="4" t="s">
        <v>183</v>
      </c>
      <c r="I9" s="5" t="str">
        <f t="shared" si="3"/>
        <v>C5</v>
      </c>
      <c r="J9" s="4" t="s">
        <v>182</v>
      </c>
      <c r="L9" s="2"/>
    </row>
    <row r="10" spans="2:17" ht="15" customHeight="1" thickBot="1" x14ac:dyDescent="0.3">
      <c r="B10" s="1">
        <f t="shared" si="4"/>
        <v>6</v>
      </c>
      <c r="C10" s="5" t="str">
        <f t="shared" si="0"/>
        <v>6</v>
      </c>
      <c r="D10" s="55"/>
      <c r="E10" s="5" t="str">
        <f t="shared" si="1"/>
        <v>46</v>
      </c>
      <c r="F10" s="4" t="s">
        <v>181</v>
      </c>
      <c r="G10" s="5" t="str">
        <f t="shared" si="2"/>
        <v>86</v>
      </c>
      <c r="H10" s="4" t="s">
        <v>180</v>
      </c>
      <c r="I10" s="5" t="str">
        <f t="shared" si="3"/>
        <v>C6</v>
      </c>
      <c r="J10" s="4" t="s">
        <v>179</v>
      </c>
      <c r="L10" s="2"/>
    </row>
    <row r="11" spans="2:17" ht="15" customHeight="1" thickBot="1" x14ac:dyDescent="0.3">
      <c r="B11" s="1">
        <f t="shared" si="4"/>
        <v>7</v>
      </c>
      <c r="C11" s="5" t="str">
        <f t="shared" si="0"/>
        <v>7</v>
      </c>
      <c r="D11" s="55"/>
      <c r="E11" s="5" t="str">
        <f t="shared" si="1"/>
        <v>47</v>
      </c>
      <c r="F11" s="4" t="s">
        <v>178</v>
      </c>
      <c r="G11" s="8" t="str">
        <f t="shared" si="2"/>
        <v>87</v>
      </c>
      <c r="H11" s="57"/>
      <c r="I11" s="8" t="str">
        <f t="shared" si="3"/>
        <v>C7</v>
      </c>
      <c r="J11" s="9" t="s">
        <v>176</v>
      </c>
      <c r="L11" s="2"/>
    </row>
    <row r="12" spans="2:17" ht="15" customHeight="1" thickBot="1" x14ac:dyDescent="0.3">
      <c r="B12" s="1">
        <f t="shared" si="4"/>
        <v>8</v>
      </c>
      <c r="C12" s="5" t="str">
        <f t="shared" si="0"/>
        <v>8</v>
      </c>
      <c r="D12" s="55"/>
      <c r="E12" s="5" t="str">
        <f t="shared" si="1"/>
        <v>48</v>
      </c>
      <c r="F12" s="4" t="s">
        <v>177</v>
      </c>
      <c r="G12" s="8" t="str">
        <f t="shared" si="2"/>
        <v>88</v>
      </c>
      <c r="H12" s="57"/>
      <c r="I12" s="8" t="str">
        <f t="shared" si="3"/>
        <v>C8</v>
      </c>
      <c r="J12" s="9" t="s">
        <v>176</v>
      </c>
    </row>
    <row r="13" spans="2:17" ht="15" customHeight="1" thickBot="1" x14ac:dyDescent="0.3">
      <c r="B13" s="1">
        <f t="shared" si="4"/>
        <v>9</v>
      </c>
      <c r="C13" s="5" t="str">
        <f t="shared" si="0"/>
        <v>9</v>
      </c>
      <c r="D13" s="55"/>
      <c r="E13" s="5" t="str">
        <f t="shared" si="1"/>
        <v>49</v>
      </c>
      <c r="F13" s="4" t="s">
        <v>175</v>
      </c>
      <c r="G13" s="8" t="str">
        <f t="shared" si="2"/>
        <v>89</v>
      </c>
      <c r="H13" s="57"/>
      <c r="I13" s="8" t="str">
        <f t="shared" si="3"/>
        <v>C9</v>
      </c>
      <c r="J13" s="9" t="s">
        <v>174</v>
      </c>
      <c r="L13" s="2"/>
    </row>
    <row r="14" spans="2:17" ht="15" customHeight="1" thickBot="1" x14ac:dyDescent="0.3">
      <c r="B14" s="1">
        <f t="shared" si="4"/>
        <v>10</v>
      </c>
      <c r="C14" s="5" t="str">
        <f t="shared" si="0"/>
        <v>A</v>
      </c>
      <c r="D14" s="55"/>
      <c r="E14" s="5" t="str">
        <f t="shared" si="1"/>
        <v>4A</v>
      </c>
      <c r="F14" s="4" t="s">
        <v>173</v>
      </c>
      <c r="G14" s="8" t="str">
        <f t="shared" si="2"/>
        <v>8A</v>
      </c>
      <c r="H14" s="57"/>
      <c r="I14" s="8" t="str">
        <f t="shared" si="3"/>
        <v>CA</v>
      </c>
      <c r="J14" s="9" t="s">
        <v>172</v>
      </c>
      <c r="L14" s="2"/>
    </row>
    <row r="15" spans="2:17" ht="15" customHeight="1" thickBot="1" x14ac:dyDescent="0.3">
      <c r="B15" s="1">
        <f t="shared" si="4"/>
        <v>11</v>
      </c>
      <c r="C15" s="5" t="str">
        <f t="shared" si="0"/>
        <v>B</v>
      </c>
      <c r="D15" s="55"/>
      <c r="E15" s="5" t="str">
        <f t="shared" si="1"/>
        <v>4B</v>
      </c>
      <c r="F15" s="4" t="s">
        <v>171</v>
      </c>
      <c r="G15" s="8" t="str">
        <f t="shared" si="2"/>
        <v>8B</v>
      </c>
      <c r="H15" s="57"/>
      <c r="I15" s="8" t="str">
        <f t="shared" si="3"/>
        <v>CB</v>
      </c>
      <c r="J15" s="9" t="s">
        <v>170</v>
      </c>
    </row>
    <row r="16" spans="2:17" ht="15" customHeight="1" thickBot="1" x14ac:dyDescent="0.3">
      <c r="B16" s="1">
        <f t="shared" si="4"/>
        <v>12</v>
      </c>
      <c r="C16" s="5" t="str">
        <f t="shared" si="0"/>
        <v>C</v>
      </c>
      <c r="D16" s="55"/>
      <c r="E16" s="5" t="str">
        <f t="shared" si="1"/>
        <v>4C</v>
      </c>
      <c r="F16" s="4" t="s">
        <v>169</v>
      </c>
      <c r="G16" s="8" t="str">
        <f t="shared" si="2"/>
        <v>8C</v>
      </c>
      <c r="H16" s="57"/>
      <c r="I16" s="8" t="str">
        <f t="shared" si="3"/>
        <v>CC</v>
      </c>
      <c r="J16" s="9" t="s">
        <v>168</v>
      </c>
      <c r="L16" s="2"/>
    </row>
    <row r="17" spans="2:12" ht="15" customHeight="1" thickBot="1" x14ac:dyDescent="0.3">
      <c r="B17" s="1">
        <f t="shared" si="4"/>
        <v>13</v>
      </c>
      <c r="C17" s="5" t="str">
        <f t="shared" si="0"/>
        <v>D</v>
      </c>
      <c r="D17" s="55"/>
      <c r="E17" s="5" t="str">
        <f t="shared" si="1"/>
        <v>4D</v>
      </c>
      <c r="F17" s="4" t="s">
        <v>167</v>
      </c>
      <c r="G17" s="8" t="str">
        <f t="shared" si="2"/>
        <v>8D</v>
      </c>
      <c r="H17" s="57"/>
      <c r="I17" s="8" t="str">
        <f t="shared" si="3"/>
        <v>CD</v>
      </c>
      <c r="J17" s="9" t="s">
        <v>166</v>
      </c>
      <c r="L17" s="2"/>
    </row>
    <row r="18" spans="2:12" ht="15" customHeight="1" thickBot="1" x14ac:dyDescent="0.3">
      <c r="B18" s="1">
        <f t="shared" si="4"/>
        <v>14</v>
      </c>
      <c r="C18" s="5" t="str">
        <f t="shared" si="0"/>
        <v>E</v>
      </c>
      <c r="D18" s="55"/>
      <c r="E18" s="5" t="str">
        <f t="shared" si="1"/>
        <v>4E</v>
      </c>
      <c r="F18" s="4" t="s">
        <v>165</v>
      </c>
      <c r="G18" s="8" t="str">
        <f t="shared" si="2"/>
        <v>8E</v>
      </c>
      <c r="H18" s="57"/>
      <c r="I18" s="8" t="str">
        <f t="shared" si="3"/>
        <v>CE</v>
      </c>
      <c r="J18" s="9" t="s">
        <v>164</v>
      </c>
    </row>
    <row r="19" spans="2:12" ht="15" customHeight="1" thickBot="1" x14ac:dyDescent="0.3">
      <c r="B19" s="1">
        <f t="shared" si="4"/>
        <v>15</v>
      </c>
      <c r="C19" s="5" t="str">
        <f t="shared" si="0"/>
        <v>F</v>
      </c>
      <c r="D19" s="55"/>
      <c r="E19" s="5" t="str">
        <f t="shared" si="1"/>
        <v>4F</v>
      </c>
      <c r="F19" s="4" t="s">
        <v>163</v>
      </c>
      <c r="G19" s="8" t="str">
        <f t="shared" si="2"/>
        <v>8F</v>
      </c>
      <c r="H19" s="57"/>
      <c r="I19" s="8" t="str">
        <f t="shared" si="3"/>
        <v>CF</v>
      </c>
      <c r="J19" s="9" t="s">
        <v>162</v>
      </c>
      <c r="L19" s="2"/>
    </row>
    <row r="20" spans="2:12" ht="15" customHeight="1" thickBot="1" x14ac:dyDescent="0.3">
      <c r="B20" s="1">
        <f t="shared" si="4"/>
        <v>16</v>
      </c>
      <c r="C20" s="5" t="str">
        <f t="shared" si="0"/>
        <v>10</v>
      </c>
      <c r="D20" s="6" t="s">
        <v>161</v>
      </c>
      <c r="E20" s="5" t="str">
        <f t="shared" si="1"/>
        <v>50</v>
      </c>
      <c r="F20" s="4" t="s">
        <v>160</v>
      </c>
      <c r="G20" s="8" t="str">
        <f t="shared" si="2"/>
        <v>90</v>
      </c>
      <c r="H20" s="9" t="s">
        <v>159</v>
      </c>
      <c r="I20" s="8" t="str">
        <f t="shared" si="3"/>
        <v>D0</v>
      </c>
      <c r="J20" s="9" t="s">
        <v>158</v>
      </c>
      <c r="L20" s="2"/>
    </row>
    <row r="21" spans="2:12" ht="15" customHeight="1" thickBot="1" x14ac:dyDescent="0.3">
      <c r="B21" s="1">
        <f t="shared" si="4"/>
        <v>17</v>
      </c>
      <c r="C21" s="5" t="str">
        <f t="shared" si="0"/>
        <v>11</v>
      </c>
      <c r="D21" s="4" t="s">
        <v>157</v>
      </c>
      <c r="E21" s="5" t="str">
        <f t="shared" si="1"/>
        <v>51</v>
      </c>
      <c r="F21" s="4" t="s">
        <v>156</v>
      </c>
      <c r="G21" s="8" t="str">
        <f t="shared" si="2"/>
        <v>91</v>
      </c>
      <c r="H21" s="9" t="s">
        <v>155</v>
      </c>
      <c r="I21" s="8" t="str">
        <f t="shared" si="3"/>
        <v>D1</v>
      </c>
      <c r="J21" s="9" t="s">
        <v>154</v>
      </c>
      <c r="L21" s="2"/>
    </row>
    <row r="22" spans="2:12" ht="15" customHeight="1" thickBot="1" x14ac:dyDescent="0.3">
      <c r="B22" s="1">
        <f t="shared" si="4"/>
        <v>18</v>
      </c>
      <c r="C22" s="5" t="str">
        <f t="shared" si="0"/>
        <v>12</v>
      </c>
      <c r="D22" s="4" t="s">
        <v>153</v>
      </c>
      <c r="E22" s="5" t="str">
        <f t="shared" si="1"/>
        <v>52</v>
      </c>
      <c r="F22" s="4" t="s">
        <v>152</v>
      </c>
      <c r="G22" s="8" t="str">
        <f t="shared" si="2"/>
        <v>92</v>
      </c>
      <c r="H22" s="9" t="s">
        <v>151</v>
      </c>
      <c r="I22" s="8" t="str">
        <f t="shared" si="3"/>
        <v>D2</v>
      </c>
      <c r="J22" s="9" t="s">
        <v>150</v>
      </c>
      <c r="L22" s="2"/>
    </row>
    <row r="23" spans="2:12" ht="15" customHeight="1" thickBot="1" x14ac:dyDescent="0.3">
      <c r="B23" s="1">
        <f t="shared" si="4"/>
        <v>19</v>
      </c>
      <c r="C23" s="5" t="str">
        <f t="shared" si="0"/>
        <v>13</v>
      </c>
      <c r="D23" s="4" t="s">
        <v>149</v>
      </c>
      <c r="E23" s="5" t="str">
        <f t="shared" si="1"/>
        <v>53</v>
      </c>
      <c r="F23" s="55"/>
      <c r="G23" s="8" t="str">
        <f t="shared" si="2"/>
        <v>93</v>
      </c>
      <c r="H23" s="9" t="s">
        <v>148</v>
      </c>
      <c r="I23" s="8" t="str">
        <f t="shared" si="3"/>
        <v>D3</v>
      </c>
      <c r="J23" s="9" t="s">
        <v>147</v>
      </c>
      <c r="L23" s="2"/>
    </row>
    <row r="24" spans="2:12" ht="15" customHeight="1" thickBot="1" x14ac:dyDescent="0.3">
      <c r="B24" s="1">
        <f t="shared" si="4"/>
        <v>20</v>
      </c>
      <c r="C24" s="5" t="str">
        <f t="shared" si="0"/>
        <v>14</v>
      </c>
      <c r="D24" s="4" t="s">
        <v>146</v>
      </c>
      <c r="E24" s="5" t="str">
        <f t="shared" si="1"/>
        <v>54</v>
      </c>
      <c r="F24" s="55"/>
      <c r="G24" s="8" t="str">
        <f t="shared" si="2"/>
        <v>94</v>
      </c>
      <c r="H24" s="9" t="s">
        <v>145</v>
      </c>
      <c r="I24" s="8" t="str">
        <f t="shared" si="3"/>
        <v>D4</v>
      </c>
      <c r="J24" s="9" t="s">
        <v>144</v>
      </c>
    </row>
    <row r="25" spans="2:12" ht="15" customHeight="1" thickBot="1" x14ac:dyDescent="0.3">
      <c r="B25" s="1">
        <f t="shared" si="4"/>
        <v>21</v>
      </c>
      <c r="C25" s="5" t="str">
        <f t="shared" si="0"/>
        <v>15</v>
      </c>
      <c r="D25" s="4" t="s">
        <v>143</v>
      </c>
      <c r="E25" s="5" t="str">
        <f t="shared" si="1"/>
        <v>55</v>
      </c>
      <c r="F25" s="55"/>
      <c r="G25" s="8" t="str">
        <f t="shared" si="2"/>
        <v>95</v>
      </c>
      <c r="H25" s="9" t="s">
        <v>142</v>
      </c>
      <c r="I25" s="8" t="str">
        <f t="shared" si="3"/>
        <v>D5</v>
      </c>
      <c r="J25" s="9" t="s">
        <v>141</v>
      </c>
      <c r="L25" s="2"/>
    </row>
    <row r="26" spans="2:12" ht="15" customHeight="1" thickBot="1" x14ac:dyDescent="0.3">
      <c r="B26" s="1">
        <f t="shared" si="4"/>
        <v>22</v>
      </c>
      <c r="C26" s="5" t="str">
        <f t="shared" si="0"/>
        <v>16</v>
      </c>
      <c r="D26" s="4" t="s">
        <v>140</v>
      </c>
      <c r="E26" s="5" t="str">
        <f t="shared" si="1"/>
        <v>56</v>
      </c>
      <c r="F26" s="55"/>
      <c r="G26" s="8" t="str">
        <f t="shared" si="2"/>
        <v>96</v>
      </c>
      <c r="H26" s="9" t="s">
        <v>139</v>
      </c>
      <c r="I26" s="8" t="str">
        <f t="shared" si="3"/>
        <v>D6</v>
      </c>
      <c r="J26" s="9" t="s">
        <v>138</v>
      </c>
    </row>
    <row r="27" spans="2:12" ht="15" customHeight="1" thickBot="1" x14ac:dyDescent="0.3">
      <c r="B27" s="1">
        <f t="shared" si="4"/>
        <v>23</v>
      </c>
      <c r="C27" s="5" t="str">
        <f t="shared" si="0"/>
        <v>17</v>
      </c>
      <c r="D27" s="4" t="s">
        <v>137</v>
      </c>
      <c r="E27" s="5" t="str">
        <f t="shared" si="1"/>
        <v>57</v>
      </c>
      <c r="F27" s="55"/>
      <c r="G27" s="8" t="str">
        <f t="shared" si="2"/>
        <v>97</v>
      </c>
      <c r="H27" s="9" t="s">
        <v>136</v>
      </c>
      <c r="I27" s="8" t="str">
        <f t="shared" si="3"/>
        <v>D7</v>
      </c>
      <c r="J27" s="9" t="s">
        <v>135</v>
      </c>
      <c r="L27" s="2"/>
    </row>
    <row r="28" spans="2:12" ht="15" customHeight="1" thickBot="1" x14ac:dyDescent="0.3">
      <c r="B28" s="1">
        <f t="shared" si="4"/>
        <v>24</v>
      </c>
      <c r="C28" s="5" t="str">
        <f t="shared" si="0"/>
        <v>18</v>
      </c>
      <c r="D28" s="4" t="s">
        <v>134</v>
      </c>
      <c r="E28" s="5" t="str">
        <f t="shared" si="1"/>
        <v>58</v>
      </c>
      <c r="F28" s="55"/>
      <c r="G28" s="8" t="str">
        <f t="shared" si="2"/>
        <v>98</v>
      </c>
      <c r="H28" s="9" t="s">
        <v>133</v>
      </c>
      <c r="I28" s="8" t="str">
        <f t="shared" si="3"/>
        <v>D8</v>
      </c>
      <c r="J28" s="9" t="s">
        <v>132</v>
      </c>
    </row>
    <row r="29" spans="2:12" ht="15" customHeight="1" thickBot="1" x14ac:dyDescent="0.3">
      <c r="B29" s="1">
        <f t="shared" si="4"/>
        <v>25</v>
      </c>
      <c r="C29" s="5" t="str">
        <f t="shared" si="0"/>
        <v>19</v>
      </c>
      <c r="D29" s="4" t="s">
        <v>131</v>
      </c>
      <c r="E29" s="5" t="str">
        <f t="shared" si="1"/>
        <v>59</v>
      </c>
      <c r="F29" s="55"/>
      <c r="G29" s="8" t="str">
        <f t="shared" si="2"/>
        <v>99</v>
      </c>
      <c r="H29" s="9" t="s">
        <v>130</v>
      </c>
      <c r="I29" s="8" t="str">
        <f t="shared" si="3"/>
        <v>D9</v>
      </c>
      <c r="J29" s="9" t="s">
        <v>129</v>
      </c>
      <c r="L29" s="2"/>
    </row>
    <row r="30" spans="2:12" ht="15" customHeight="1" thickBot="1" x14ac:dyDescent="0.3">
      <c r="B30" s="1">
        <f t="shared" si="4"/>
        <v>26</v>
      </c>
      <c r="C30" s="5" t="str">
        <f t="shared" si="0"/>
        <v>1A</v>
      </c>
      <c r="D30" s="4" t="s">
        <v>128</v>
      </c>
      <c r="E30" s="5" t="str">
        <f t="shared" si="1"/>
        <v>5A</v>
      </c>
      <c r="F30" s="55"/>
      <c r="G30" s="8" t="str">
        <f t="shared" si="2"/>
        <v>9A</v>
      </c>
      <c r="H30" s="9" t="s">
        <v>127</v>
      </c>
      <c r="I30" s="8" t="str">
        <f t="shared" si="3"/>
        <v>DA</v>
      </c>
      <c r="J30" s="9" t="s">
        <v>126</v>
      </c>
    </row>
    <row r="31" spans="2:12" ht="15" customHeight="1" thickBot="1" x14ac:dyDescent="0.3">
      <c r="B31" s="1">
        <f t="shared" si="4"/>
        <v>27</v>
      </c>
      <c r="C31" s="5" t="str">
        <f t="shared" si="0"/>
        <v>1B</v>
      </c>
      <c r="D31" s="4" t="s">
        <v>125</v>
      </c>
      <c r="E31" s="5" t="str">
        <f t="shared" si="1"/>
        <v>5B</v>
      </c>
      <c r="F31" s="55"/>
      <c r="G31" s="8" t="str">
        <f t="shared" si="2"/>
        <v>9B</v>
      </c>
      <c r="H31" s="9" t="s">
        <v>124</v>
      </c>
      <c r="I31" s="8" t="str">
        <f t="shared" si="3"/>
        <v>DB</v>
      </c>
      <c r="J31" s="9" t="s">
        <v>123</v>
      </c>
      <c r="L31" s="2"/>
    </row>
    <row r="32" spans="2:12" ht="15" customHeight="1" thickBot="1" x14ac:dyDescent="0.3">
      <c r="B32" s="1">
        <f t="shared" si="4"/>
        <v>28</v>
      </c>
      <c r="C32" s="5" t="str">
        <f t="shared" si="0"/>
        <v>1C</v>
      </c>
      <c r="D32" s="4" t="s">
        <v>122</v>
      </c>
      <c r="E32" s="5" t="str">
        <f t="shared" si="1"/>
        <v>5C</v>
      </c>
      <c r="F32" s="55"/>
      <c r="G32" s="8" t="str">
        <f t="shared" si="2"/>
        <v>9C</v>
      </c>
      <c r="H32" s="9" t="s">
        <v>121</v>
      </c>
      <c r="I32" s="8" t="str">
        <f t="shared" si="3"/>
        <v>DC</v>
      </c>
      <c r="J32" s="9" t="s">
        <v>120</v>
      </c>
    </row>
    <row r="33" spans="2:19" ht="15" customHeight="1" thickBot="1" x14ac:dyDescent="0.3">
      <c r="B33" s="1">
        <f t="shared" si="4"/>
        <v>29</v>
      </c>
      <c r="C33" s="5" t="str">
        <f t="shared" si="0"/>
        <v>1D</v>
      </c>
      <c r="D33" s="4" t="s">
        <v>119</v>
      </c>
      <c r="E33" s="5" t="str">
        <f t="shared" si="1"/>
        <v>5D</v>
      </c>
      <c r="F33" s="55"/>
      <c r="G33" s="8" t="str">
        <f t="shared" si="2"/>
        <v>9D</v>
      </c>
      <c r="H33" s="9" t="s">
        <v>118</v>
      </c>
      <c r="I33" s="8" t="str">
        <f t="shared" si="3"/>
        <v>DD</v>
      </c>
      <c r="J33" s="9" t="s">
        <v>117</v>
      </c>
      <c r="L33" s="2"/>
    </row>
    <row r="34" spans="2:19" ht="15" customHeight="1" thickBot="1" x14ac:dyDescent="0.3">
      <c r="B34" s="1">
        <f t="shared" si="4"/>
        <v>30</v>
      </c>
      <c r="C34" s="5" t="str">
        <f t="shared" si="0"/>
        <v>1E</v>
      </c>
      <c r="D34" s="4" t="s">
        <v>116</v>
      </c>
      <c r="E34" s="5" t="str">
        <f t="shared" si="1"/>
        <v>5E</v>
      </c>
      <c r="F34" s="55"/>
      <c r="G34" s="8" t="str">
        <f t="shared" si="2"/>
        <v>9E</v>
      </c>
      <c r="H34" s="9" t="s">
        <v>115</v>
      </c>
      <c r="I34" s="8" t="str">
        <f t="shared" si="3"/>
        <v>DE</v>
      </c>
      <c r="J34" s="9" t="s">
        <v>114</v>
      </c>
      <c r="L34" s="2"/>
    </row>
    <row r="35" spans="2:19" ht="15" customHeight="1" thickBot="1" x14ac:dyDescent="0.3">
      <c r="B35" s="1">
        <f t="shared" si="4"/>
        <v>31</v>
      </c>
      <c r="C35" s="5" t="str">
        <f t="shared" si="0"/>
        <v>1F</v>
      </c>
      <c r="D35" s="4" t="s">
        <v>113</v>
      </c>
      <c r="E35" s="5" t="str">
        <f t="shared" si="1"/>
        <v>5F</v>
      </c>
      <c r="F35" s="55"/>
      <c r="G35" s="8" t="str">
        <f t="shared" si="2"/>
        <v>9F</v>
      </c>
      <c r="H35" s="9" t="s">
        <v>112</v>
      </c>
      <c r="I35" s="8" t="str">
        <f t="shared" si="3"/>
        <v>DF</v>
      </c>
      <c r="J35" s="9" t="s">
        <v>111</v>
      </c>
      <c r="L35" s="2"/>
    </row>
    <row r="36" spans="2:19" ht="15" customHeight="1" thickBot="1" x14ac:dyDescent="0.3">
      <c r="C36" s="5" t="str">
        <f t="shared" ref="C36:C67" si="5">DEC2HEX($B4+32*E$2)</f>
        <v>20</v>
      </c>
      <c r="D36" s="4" t="s">
        <v>110</v>
      </c>
      <c r="E36" s="5" t="str">
        <f t="shared" ref="E36:E67" si="6">DEC2HEX($B4+32*I$2)</f>
        <v>60</v>
      </c>
      <c r="F36" s="4" t="s">
        <v>109</v>
      </c>
      <c r="G36" s="8" t="str">
        <f t="shared" ref="G36:G67" si="7">DEC2HEX($B4+32*M$2)</f>
        <v>A0</v>
      </c>
      <c r="H36" s="9" t="s">
        <v>108</v>
      </c>
      <c r="I36" s="8" t="str">
        <f t="shared" ref="I36:I67" si="8">DEC2HEX($B4+32*Q$2)</f>
        <v>E0</v>
      </c>
      <c r="J36" s="9" t="s">
        <v>107</v>
      </c>
      <c r="N36" s="2"/>
      <c r="P36" s="2"/>
      <c r="S36" s="1"/>
    </row>
    <row r="37" spans="2:19" ht="15" customHeight="1" thickBot="1" x14ac:dyDescent="0.3">
      <c r="C37" s="5" t="str">
        <f t="shared" si="5"/>
        <v>21</v>
      </c>
      <c r="D37" s="4" t="s">
        <v>106</v>
      </c>
      <c r="E37" s="5" t="str">
        <f t="shared" si="6"/>
        <v>61</v>
      </c>
      <c r="F37" s="4" t="s">
        <v>158</v>
      </c>
      <c r="G37" s="8" t="str">
        <f t="shared" si="7"/>
        <v>A1</v>
      </c>
      <c r="H37" s="9" t="s">
        <v>105</v>
      </c>
      <c r="I37" s="8" t="str">
        <f t="shared" si="8"/>
        <v>E1</v>
      </c>
      <c r="J37" s="9" t="s">
        <v>104</v>
      </c>
      <c r="L37" s="2"/>
      <c r="N37" s="2"/>
      <c r="R37" s="2"/>
    </row>
    <row r="38" spans="2:19" ht="15" customHeight="1" thickBot="1" x14ac:dyDescent="0.3">
      <c r="C38" s="5" t="str">
        <f t="shared" si="5"/>
        <v>22</v>
      </c>
      <c r="D38" s="4" t="s">
        <v>103</v>
      </c>
      <c r="E38" s="5" t="str">
        <f t="shared" si="6"/>
        <v>62</v>
      </c>
      <c r="F38" s="4" t="s">
        <v>315</v>
      </c>
      <c r="G38" s="8" t="str">
        <f t="shared" si="7"/>
        <v>A2</v>
      </c>
      <c r="H38" s="9" t="s">
        <v>404</v>
      </c>
      <c r="I38" s="8" t="str">
        <f t="shared" si="8"/>
        <v>E2</v>
      </c>
      <c r="J38" s="9" t="s">
        <v>102</v>
      </c>
      <c r="L38" s="2"/>
      <c r="N38" s="2"/>
      <c r="P38" s="2"/>
    </row>
    <row r="39" spans="2:19" ht="15" customHeight="1" thickBot="1" x14ac:dyDescent="0.3">
      <c r="C39" s="5" t="str">
        <f t="shared" si="5"/>
        <v>23</v>
      </c>
      <c r="D39" s="4" t="s">
        <v>101</v>
      </c>
      <c r="E39" s="5" t="str">
        <f t="shared" si="6"/>
        <v>63</v>
      </c>
      <c r="F39" s="4" t="s">
        <v>100</v>
      </c>
      <c r="G39" s="8" t="str">
        <f t="shared" si="7"/>
        <v>A3</v>
      </c>
      <c r="H39" s="9" t="s">
        <v>405</v>
      </c>
      <c r="I39" s="8" t="str">
        <f t="shared" si="8"/>
        <v>E3</v>
      </c>
      <c r="J39" s="9" t="s">
        <v>99</v>
      </c>
      <c r="L39" s="2"/>
      <c r="N39" s="2"/>
      <c r="R39" s="2"/>
    </row>
    <row r="40" spans="2:19" ht="15" customHeight="1" thickBot="1" x14ac:dyDescent="0.3">
      <c r="C40" s="5" t="str">
        <f t="shared" si="5"/>
        <v>24</v>
      </c>
      <c r="D40" s="4" t="s">
        <v>98</v>
      </c>
      <c r="E40" s="5" t="str">
        <f t="shared" si="6"/>
        <v>64</v>
      </c>
      <c r="F40" s="4" t="s">
        <v>97</v>
      </c>
      <c r="G40" s="8" t="str">
        <f t="shared" si="7"/>
        <v>A4</v>
      </c>
      <c r="H40" s="9" t="s">
        <v>406</v>
      </c>
      <c r="I40" s="8" t="str">
        <f t="shared" si="8"/>
        <v>E4</v>
      </c>
      <c r="J40" s="9" t="s">
        <v>96</v>
      </c>
      <c r="L40" s="2"/>
      <c r="N40" s="2"/>
      <c r="P40" s="2"/>
    </row>
    <row r="41" spans="2:19" ht="15" customHeight="1" thickBot="1" x14ac:dyDescent="0.3">
      <c r="C41" s="5" t="str">
        <f t="shared" si="5"/>
        <v>25</v>
      </c>
      <c r="D41" s="4" t="s">
        <v>95</v>
      </c>
      <c r="E41" s="5" t="str">
        <f t="shared" si="6"/>
        <v>65</v>
      </c>
      <c r="F41" s="4" t="s">
        <v>94</v>
      </c>
      <c r="G41" s="8" t="str">
        <f t="shared" si="7"/>
        <v>A5</v>
      </c>
      <c r="H41" s="9" t="s">
        <v>93</v>
      </c>
      <c r="I41" s="8" t="str">
        <f t="shared" si="8"/>
        <v>E5</v>
      </c>
      <c r="J41" s="9" t="s">
        <v>92</v>
      </c>
      <c r="N41" s="2"/>
      <c r="R41" s="2"/>
    </row>
    <row r="42" spans="2:19" ht="15" customHeight="1" thickBot="1" x14ac:dyDescent="0.3">
      <c r="C42" s="5" t="str">
        <f t="shared" si="5"/>
        <v>26</v>
      </c>
      <c r="D42" s="4" t="s">
        <v>91</v>
      </c>
      <c r="E42" s="5" t="str">
        <f t="shared" si="6"/>
        <v>66</v>
      </c>
      <c r="F42" s="4" t="s">
        <v>90</v>
      </c>
      <c r="G42" s="8" t="str">
        <f t="shared" si="7"/>
        <v>A6</v>
      </c>
      <c r="H42" s="9" t="s">
        <v>89</v>
      </c>
      <c r="I42" s="8" t="str">
        <f t="shared" si="8"/>
        <v>E6</v>
      </c>
      <c r="J42" s="9" t="s">
        <v>88</v>
      </c>
      <c r="L42" s="2"/>
      <c r="N42" s="2"/>
      <c r="P42" s="2"/>
      <c r="R42" s="2"/>
    </row>
    <row r="43" spans="2:19" ht="15" customHeight="1" thickBot="1" x14ac:dyDescent="0.3">
      <c r="C43" s="5" t="str">
        <f t="shared" si="5"/>
        <v>27</v>
      </c>
      <c r="D43" s="4" t="s">
        <v>87</v>
      </c>
      <c r="E43" s="5" t="str">
        <f t="shared" si="6"/>
        <v>67</v>
      </c>
      <c r="F43" s="4" t="s">
        <v>86</v>
      </c>
      <c r="G43" s="8" t="str">
        <f t="shared" si="7"/>
        <v>A7</v>
      </c>
      <c r="H43" s="9" t="s">
        <v>85</v>
      </c>
      <c r="I43" s="8" t="str">
        <f t="shared" si="8"/>
        <v>E7</v>
      </c>
      <c r="J43" s="9" t="s">
        <v>84</v>
      </c>
      <c r="L43" s="2"/>
    </row>
    <row r="44" spans="2:19" ht="15" customHeight="1" thickBot="1" x14ac:dyDescent="0.3">
      <c r="C44" s="5" t="str">
        <f t="shared" si="5"/>
        <v>28</v>
      </c>
      <c r="D44" s="4" t="s">
        <v>83</v>
      </c>
      <c r="E44" s="5" t="str">
        <f t="shared" si="6"/>
        <v>68</v>
      </c>
      <c r="F44" s="4" t="s">
        <v>82</v>
      </c>
      <c r="G44" s="8" t="str">
        <f t="shared" si="7"/>
        <v>A8</v>
      </c>
      <c r="H44" s="9" t="s">
        <v>81</v>
      </c>
      <c r="I44" s="8" t="str">
        <f t="shared" si="8"/>
        <v>E8</v>
      </c>
      <c r="J44" s="9" t="s">
        <v>80</v>
      </c>
      <c r="L44" s="2"/>
      <c r="N44" s="2"/>
      <c r="P44" s="2"/>
      <c r="R44" s="2"/>
    </row>
    <row r="45" spans="2:19" ht="15" customHeight="1" thickBot="1" x14ac:dyDescent="0.3">
      <c r="C45" s="5" t="str">
        <f t="shared" si="5"/>
        <v>29</v>
      </c>
      <c r="D45" s="4" t="s">
        <v>79</v>
      </c>
      <c r="E45" s="5" t="str">
        <f t="shared" si="6"/>
        <v>69</v>
      </c>
      <c r="F45" s="4" t="s">
        <v>78</v>
      </c>
      <c r="G45" s="8" t="str">
        <f t="shared" si="7"/>
        <v>A9</v>
      </c>
      <c r="H45" s="9" t="s">
        <v>77</v>
      </c>
      <c r="I45" s="8" t="str">
        <f t="shared" si="8"/>
        <v>E9</v>
      </c>
      <c r="J45" s="9" t="s">
        <v>76</v>
      </c>
      <c r="N45" s="2"/>
    </row>
    <row r="46" spans="2:19" ht="15" customHeight="1" thickBot="1" x14ac:dyDescent="0.3">
      <c r="C46" s="5" t="str">
        <f t="shared" si="5"/>
        <v>2A</v>
      </c>
      <c r="D46" s="4" t="s">
        <v>75</v>
      </c>
      <c r="E46" s="5" t="str">
        <f t="shared" si="6"/>
        <v>6A</v>
      </c>
      <c r="F46" s="4" t="s">
        <v>74</v>
      </c>
      <c r="G46" s="8" t="str">
        <f t="shared" si="7"/>
        <v>AA</v>
      </c>
      <c r="H46" s="9" t="s">
        <v>73</v>
      </c>
      <c r="I46" s="8" t="str">
        <f t="shared" si="8"/>
        <v>EA</v>
      </c>
      <c r="J46" s="9" t="s">
        <v>72</v>
      </c>
      <c r="L46" s="2"/>
      <c r="N46" s="2"/>
      <c r="P46" s="2"/>
      <c r="R46" s="2"/>
    </row>
    <row r="47" spans="2:19" ht="15" customHeight="1" thickBot="1" x14ac:dyDescent="0.3">
      <c r="C47" s="5" t="str">
        <f t="shared" si="5"/>
        <v>2B</v>
      </c>
      <c r="D47" s="4" t="s">
        <v>71</v>
      </c>
      <c r="E47" s="5" t="str">
        <f t="shared" si="6"/>
        <v>6B</v>
      </c>
      <c r="F47" s="4" t="s">
        <v>70</v>
      </c>
      <c r="G47" s="8" t="str">
        <f t="shared" si="7"/>
        <v>AB</v>
      </c>
      <c r="H47" s="9" t="s">
        <v>69</v>
      </c>
      <c r="I47" s="8" t="str">
        <f t="shared" si="8"/>
        <v>EB</v>
      </c>
      <c r="J47" s="9" t="s">
        <v>68</v>
      </c>
      <c r="L47" s="2"/>
      <c r="N47" s="2"/>
    </row>
    <row r="48" spans="2:19" ht="15" customHeight="1" thickBot="1" x14ac:dyDescent="0.3">
      <c r="C48" s="5" t="str">
        <f t="shared" si="5"/>
        <v>2C</v>
      </c>
      <c r="D48" s="4" t="s">
        <v>67</v>
      </c>
      <c r="E48" s="5" t="str">
        <f t="shared" si="6"/>
        <v>6C</v>
      </c>
      <c r="F48" s="55"/>
      <c r="G48" s="5" t="str">
        <f t="shared" si="7"/>
        <v>AC</v>
      </c>
      <c r="H48" s="4" t="s">
        <v>430</v>
      </c>
      <c r="I48" s="5" t="str">
        <f t="shared" si="8"/>
        <v>EC</v>
      </c>
      <c r="J48" s="4" t="s">
        <v>66</v>
      </c>
      <c r="L48" s="2"/>
      <c r="P48" s="2"/>
      <c r="R48" s="2"/>
    </row>
    <row r="49" spans="3:16" ht="15" customHeight="1" thickBot="1" x14ac:dyDescent="0.3">
      <c r="C49" s="5" t="str">
        <f t="shared" si="5"/>
        <v>2D</v>
      </c>
      <c r="D49" s="4" t="s">
        <v>65</v>
      </c>
      <c r="E49" s="5" t="str">
        <f t="shared" si="6"/>
        <v>6D</v>
      </c>
      <c r="F49" s="55"/>
      <c r="G49" s="5" t="str">
        <f t="shared" si="7"/>
        <v>AD</v>
      </c>
      <c r="H49" s="4" t="s">
        <v>64</v>
      </c>
      <c r="I49" s="5" t="str">
        <f t="shared" si="8"/>
        <v>ED</v>
      </c>
      <c r="J49" s="4" t="s">
        <v>63</v>
      </c>
    </row>
    <row r="50" spans="3:16" ht="15" customHeight="1" thickBot="1" x14ac:dyDescent="0.3">
      <c r="C50" s="5" t="str">
        <f t="shared" si="5"/>
        <v>2E</v>
      </c>
      <c r="D50" s="4" t="s">
        <v>62</v>
      </c>
      <c r="E50" s="5" t="str">
        <f t="shared" si="6"/>
        <v>6E</v>
      </c>
      <c r="F50" s="55"/>
      <c r="G50" s="5" t="str">
        <f t="shared" si="7"/>
        <v>AE</v>
      </c>
      <c r="H50" s="4" t="s">
        <v>61</v>
      </c>
      <c r="I50" s="5" t="str">
        <f t="shared" si="8"/>
        <v>EE</v>
      </c>
      <c r="J50" s="4" t="s">
        <v>60</v>
      </c>
      <c r="L50" s="2"/>
      <c r="P50" s="2"/>
    </row>
    <row r="51" spans="3:16" ht="15" customHeight="1" thickBot="1" x14ac:dyDescent="0.3">
      <c r="C51" s="5" t="str">
        <f t="shared" si="5"/>
        <v>2F</v>
      </c>
      <c r="D51" s="4" t="s">
        <v>59</v>
      </c>
      <c r="E51" s="5" t="str">
        <f t="shared" si="6"/>
        <v>6F</v>
      </c>
      <c r="F51" s="55"/>
      <c r="G51" s="5" t="str">
        <f t="shared" si="7"/>
        <v>AF</v>
      </c>
      <c r="H51" s="4" t="s">
        <v>58</v>
      </c>
      <c r="I51" s="5" t="str">
        <f t="shared" si="8"/>
        <v>EF</v>
      </c>
      <c r="J51" s="4" t="s">
        <v>57</v>
      </c>
      <c r="L51" s="2"/>
    </row>
    <row r="52" spans="3:16" ht="15" customHeight="1" thickBot="1" x14ac:dyDescent="0.3">
      <c r="C52" s="5" t="str">
        <f t="shared" si="5"/>
        <v>30</v>
      </c>
      <c r="D52" s="4" t="s">
        <v>56</v>
      </c>
      <c r="E52" s="5" t="str">
        <f t="shared" si="6"/>
        <v>70</v>
      </c>
      <c r="F52" s="4" t="s">
        <v>55</v>
      </c>
      <c r="G52" s="5" t="str">
        <f t="shared" si="7"/>
        <v>B0</v>
      </c>
      <c r="H52" s="4" t="s">
        <v>54</v>
      </c>
      <c r="I52" s="5" t="str">
        <f t="shared" si="8"/>
        <v>F0</v>
      </c>
      <c r="J52" s="4" t="s">
        <v>53</v>
      </c>
      <c r="P52" s="2"/>
    </row>
    <row r="53" spans="3:16" ht="15" customHeight="1" thickBot="1" x14ac:dyDescent="0.3">
      <c r="C53" s="5" t="str">
        <f t="shared" si="5"/>
        <v>31</v>
      </c>
      <c r="D53" s="4" t="s">
        <v>52</v>
      </c>
      <c r="E53" s="5" t="str">
        <f t="shared" si="6"/>
        <v>71</v>
      </c>
      <c r="F53" s="4" t="s">
        <v>51</v>
      </c>
      <c r="G53" s="5" t="str">
        <f t="shared" si="7"/>
        <v>B1</v>
      </c>
      <c r="H53" s="4" t="s">
        <v>50</v>
      </c>
      <c r="I53" s="5" t="str">
        <f t="shared" si="8"/>
        <v>F1</v>
      </c>
      <c r="J53" s="4" t="s">
        <v>49</v>
      </c>
      <c r="L53" s="2"/>
    </row>
    <row r="54" spans="3:16" ht="15" customHeight="1" thickBot="1" x14ac:dyDescent="0.3">
      <c r="C54" s="5" t="str">
        <f t="shared" si="5"/>
        <v>32</v>
      </c>
      <c r="D54" s="4" t="s">
        <v>48</v>
      </c>
      <c r="E54" s="5" t="str">
        <f t="shared" si="6"/>
        <v>72</v>
      </c>
      <c r="F54" s="4" t="s">
        <v>47</v>
      </c>
      <c r="G54" s="5" t="str">
        <f t="shared" si="7"/>
        <v>B2</v>
      </c>
      <c r="H54" s="4" t="s">
        <v>46</v>
      </c>
      <c r="I54" s="5" t="str">
        <f t="shared" si="8"/>
        <v>F2</v>
      </c>
      <c r="J54" s="4" t="s">
        <v>45</v>
      </c>
      <c r="L54" s="2"/>
      <c r="P54" s="2"/>
    </row>
    <row r="55" spans="3:16" ht="15" customHeight="1" thickBot="1" x14ac:dyDescent="0.3">
      <c r="C55" s="5" t="str">
        <f t="shared" si="5"/>
        <v>33</v>
      </c>
      <c r="D55" s="4" t="s">
        <v>44</v>
      </c>
      <c r="E55" s="5" t="str">
        <f t="shared" si="6"/>
        <v>73</v>
      </c>
      <c r="F55" s="4" t="s">
        <v>43</v>
      </c>
      <c r="G55" s="5" t="str">
        <f t="shared" si="7"/>
        <v>B3</v>
      </c>
      <c r="H55" s="4" t="s">
        <v>39</v>
      </c>
      <c r="I55" s="5" t="str">
        <f t="shared" si="8"/>
        <v>F3</v>
      </c>
      <c r="J55" s="4" t="s">
        <v>42</v>
      </c>
    </row>
    <row r="56" spans="3:16" ht="15" customHeight="1" thickBot="1" x14ac:dyDescent="0.3">
      <c r="C56" s="5" t="str">
        <f t="shared" si="5"/>
        <v>34</v>
      </c>
      <c r="D56" s="4" t="s">
        <v>41</v>
      </c>
      <c r="E56" s="5" t="str">
        <f t="shared" si="6"/>
        <v>74</v>
      </c>
      <c r="F56" s="4" t="s">
        <v>40</v>
      </c>
      <c r="G56" s="5" t="str">
        <f t="shared" si="7"/>
        <v>B4</v>
      </c>
      <c r="H56" s="4" t="s">
        <v>39</v>
      </c>
      <c r="I56" s="5" t="str">
        <f t="shared" si="8"/>
        <v>F4</v>
      </c>
      <c r="J56" s="4" t="s">
        <v>38</v>
      </c>
      <c r="P56" s="2"/>
    </row>
    <row r="57" spans="3:16" ht="15" customHeight="1" thickBot="1" x14ac:dyDescent="0.3">
      <c r="C57" s="5" t="str">
        <f t="shared" si="5"/>
        <v>35</v>
      </c>
      <c r="D57" s="4" t="s">
        <v>37</v>
      </c>
      <c r="E57" s="5" t="str">
        <f t="shared" si="6"/>
        <v>75</v>
      </c>
      <c r="F57" s="4" t="s">
        <v>36</v>
      </c>
      <c r="G57" s="5" t="str">
        <f t="shared" si="7"/>
        <v>B5</v>
      </c>
      <c r="H57" s="4" t="s">
        <v>35</v>
      </c>
      <c r="I57" s="5" t="str">
        <f t="shared" si="8"/>
        <v>F5</v>
      </c>
      <c r="J57" s="4" t="s">
        <v>34</v>
      </c>
    </row>
    <row r="58" spans="3:16" ht="15" customHeight="1" thickBot="1" x14ac:dyDescent="0.3">
      <c r="C58" s="5" t="str">
        <f t="shared" si="5"/>
        <v>36</v>
      </c>
      <c r="D58" s="4" t="s">
        <v>33</v>
      </c>
      <c r="E58" s="5" t="str">
        <f t="shared" si="6"/>
        <v>76</v>
      </c>
      <c r="F58" s="4" t="s">
        <v>32</v>
      </c>
      <c r="G58" s="5" t="str">
        <f t="shared" si="7"/>
        <v>B6</v>
      </c>
      <c r="H58" s="4" t="s">
        <v>31</v>
      </c>
      <c r="I58" s="5" t="str">
        <f t="shared" si="8"/>
        <v>F6</v>
      </c>
      <c r="J58" s="4" t="s">
        <v>30</v>
      </c>
    </row>
    <row r="59" spans="3:16" ht="15" customHeight="1" thickBot="1" x14ac:dyDescent="0.3">
      <c r="C59" s="5" t="str">
        <f t="shared" si="5"/>
        <v>37</v>
      </c>
      <c r="D59" s="4" t="s">
        <v>29</v>
      </c>
      <c r="E59" s="5" t="str">
        <f t="shared" si="6"/>
        <v>77</v>
      </c>
      <c r="F59" s="4" t="s">
        <v>28</v>
      </c>
      <c r="G59" s="5" t="str">
        <f t="shared" si="7"/>
        <v>B7</v>
      </c>
      <c r="H59" s="4" t="s">
        <v>27</v>
      </c>
      <c r="I59" s="5" t="str">
        <f t="shared" si="8"/>
        <v>F7</v>
      </c>
      <c r="J59" s="4" t="s">
        <v>26</v>
      </c>
      <c r="L59" s="2"/>
    </row>
    <row r="60" spans="3:16" ht="15" customHeight="1" thickBot="1" x14ac:dyDescent="0.3">
      <c r="C60" s="5" t="str">
        <f t="shared" si="5"/>
        <v>38</v>
      </c>
      <c r="D60" s="4" t="s">
        <v>25</v>
      </c>
      <c r="E60" s="5" t="str">
        <f t="shared" si="6"/>
        <v>78</v>
      </c>
      <c r="F60" s="4" t="s">
        <v>359</v>
      </c>
      <c r="G60" s="5" t="str">
        <f t="shared" si="7"/>
        <v>B8</v>
      </c>
      <c r="H60" s="4" t="s">
        <v>24</v>
      </c>
      <c r="I60" s="5" t="str">
        <f t="shared" si="8"/>
        <v>F8</v>
      </c>
      <c r="J60" s="4" t="s">
        <v>23</v>
      </c>
      <c r="L60" s="2"/>
    </row>
    <row r="61" spans="3:16" ht="15" customHeight="1" thickBot="1" x14ac:dyDescent="0.3">
      <c r="C61" s="5" t="str">
        <f t="shared" si="5"/>
        <v>39</v>
      </c>
      <c r="D61" s="4" t="s">
        <v>22</v>
      </c>
      <c r="E61" s="5" t="str">
        <f t="shared" si="6"/>
        <v>79</v>
      </c>
      <c r="F61" s="4" t="s">
        <v>21</v>
      </c>
      <c r="G61" s="5" t="str">
        <f t="shared" si="7"/>
        <v>B9</v>
      </c>
      <c r="H61" s="4" t="s">
        <v>20</v>
      </c>
      <c r="I61" s="5" t="str">
        <f t="shared" si="8"/>
        <v>F9</v>
      </c>
      <c r="J61" s="4" t="s">
        <v>19</v>
      </c>
      <c r="L61" s="2"/>
    </row>
    <row r="62" spans="3:16" ht="15" customHeight="1" thickBot="1" x14ac:dyDescent="0.3">
      <c r="C62" s="5" t="str">
        <f t="shared" si="5"/>
        <v>3A</v>
      </c>
      <c r="D62" s="4" t="s">
        <v>18</v>
      </c>
      <c r="E62" s="5" t="str">
        <f t="shared" si="6"/>
        <v>7A</v>
      </c>
      <c r="F62" s="4" t="s">
        <v>17</v>
      </c>
      <c r="G62" s="5" t="str">
        <f t="shared" si="7"/>
        <v>BA</v>
      </c>
      <c r="H62" s="4" t="s">
        <v>16</v>
      </c>
      <c r="I62" s="5" t="str">
        <f t="shared" si="8"/>
        <v>FA</v>
      </c>
      <c r="J62" s="4" t="s">
        <v>15</v>
      </c>
      <c r="L62" s="2"/>
    </row>
    <row r="63" spans="3:16" ht="15" customHeight="1" thickBot="1" x14ac:dyDescent="0.3">
      <c r="C63" s="5" t="str">
        <f t="shared" si="5"/>
        <v>3B</v>
      </c>
      <c r="D63" s="4" t="s">
        <v>14</v>
      </c>
      <c r="E63" s="5" t="str">
        <f t="shared" si="6"/>
        <v>7B</v>
      </c>
      <c r="F63" s="4" t="s">
        <v>13</v>
      </c>
      <c r="G63" s="5" t="str">
        <f t="shared" si="7"/>
        <v>BB</v>
      </c>
      <c r="H63" s="4" t="s">
        <v>12</v>
      </c>
      <c r="I63" s="5" t="str">
        <f t="shared" si="8"/>
        <v>FB</v>
      </c>
      <c r="J63" s="4" t="s">
        <v>11</v>
      </c>
      <c r="L63" s="2"/>
    </row>
    <row r="64" spans="3:16" ht="15" customHeight="1" thickBot="1" x14ac:dyDescent="0.3">
      <c r="C64" s="5" t="str">
        <f t="shared" si="5"/>
        <v>3C</v>
      </c>
      <c r="D64" s="4" t="s">
        <v>10</v>
      </c>
      <c r="E64" s="5" t="str">
        <f t="shared" si="6"/>
        <v>7C</v>
      </c>
      <c r="F64" s="4" t="s">
        <v>9</v>
      </c>
      <c r="G64" s="5" t="str">
        <f t="shared" si="7"/>
        <v>BC</v>
      </c>
      <c r="H64" s="55"/>
      <c r="I64" s="5" t="str">
        <f t="shared" si="8"/>
        <v>FC</v>
      </c>
      <c r="J64" s="4" t="s">
        <v>8</v>
      </c>
      <c r="L64" s="2"/>
    </row>
    <row r="65" spans="3:12" ht="15" customHeight="1" thickBot="1" x14ac:dyDescent="0.3">
      <c r="C65" s="5" t="str">
        <f t="shared" si="5"/>
        <v>3D</v>
      </c>
      <c r="D65" s="4" t="s">
        <v>7</v>
      </c>
      <c r="E65" s="5" t="str">
        <f t="shared" si="6"/>
        <v>7D</v>
      </c>
      <c r="F65" s="4" t="s">
        <v>6</v>
      </c>
      <c r="G65" s="5" t="str">
        <f t="shared" si="7"/>
        <v>BD</v>
      </c>
      <c r="H65" s="55"/>
      <c r="I65" s="5" t="str">
        <f t="shared" si="8"/>
        <v>FD</v>
      </c>
      <c r="J65" s="4" t="s">
        <v>5</v>
      </c>
      <c r="L65" s="2"/>
    </row>
    <row r="66" spans="3:12" ht="15" customHeight="1" thickBot="1" x14ac:dyDescent="0.3">
      <c r="C66" s="5" t="str">
        <f t="shared" si="5"/>
        <v>3E</v>
      </c>
      <c r="D66" s="4" t="s">
        <v>4</v>
      </c>
      <c r="E66" s="5" t="str">
        <f t="shared" si="6"/>
        <v>7E</v>
      </c>
      <c r="F66" s="4" t="s">
        <v>3</v>
      </c>
      <c r="G66" s="5" t="str">
        <f t="shared" si="7"/>
        <v>BE</v>
      </c>
      <c r="H66" s="55"/>
      <c r="I66" s="5" t="str">
        <f t="shared" si="8"/>
        <v>FE</v>
      </c>
      <c r="J66" s="4" t="s">
        <v>2</v>
      </c>
    </row>
    <row r="67" spans="3:12" ht="15" customHeight="1" thickBot="1" x14ac:dyDescent="0.3">
      <c r="C67" s="5" t="str">
        <f t="shared" si="5"/>
        <v>3F</v>
      </c>
      <c r="D67" s="4" t="s">
        <v>1</v>
      </c>
      <c r="E67" s="5" t="str">
        <f t="shared" si="6"/>
        <v>7F</v>
      </c>
      <c r="F67" s="4" t="s">
        <v>0</v>
      </c>
      <c r="G67" s="5" t="str">
        <f t="shared" si="7"/>
        <v>BF</v>
      </c>
      <c r="H67" s="55"/>
      <c r="I67" s="5" t="str">
        <f t="shared" si="8"/>
        <v>FF</v>
      </c>
      <c r="J67" s="4"/>
      <c r="L67" s="2"/>
    </row>
    <row r="68" spans="3:12" ht="15" customHeight="1" x14ac:dyDescent="0.25">
      <c r="L68" s="2"/>
    </row>
    <row r="69" spans="3:12" ht="15" customHeight="1" x14ac:dyDescent="0.25">
      <c r="L69" s="2"/>
    </row>
    <row r="70" spans="3:12" ht="15" customHeight="1" x14ac:dyDescent="0.25">
      <c r="L70" s="2"/>
    </row>
    <row r="72" spans="3:12" ht="15" customHeight="1" x14ac:dyDescent="0.25">
      <c r="L72" s="2"/>
    </row>
    <row r="74" spans="3:12" ht="15" customHeight="1" x14ac:dyDescent="0.25">
      <c r="L74" s="2"/>
    </row>
    <row r="76" spans="3:12" ht="15" customHeight="1" x14ac:dyDescent="0.25">
      <c r="L76" s="2"/>
    </row>
  </sheetData>
  <dataConsolidate link="1"/>
  <mergeCells count="6">
    <mergeCell ref="H64:H67"/>
    <mergeCell ref="C3:J3"/>
    <mergeCell ref="D7:D19"/>
    <mergeCell ref="F23:F35"/>
    <mergeCell ref="H11:H19"/>
    <mergeCell ref="F48:F5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9"/>
  <sheetViews>
    <sheetView tabSelected="1" topLeftCell="F1" zoomScale="70" zoomScaleNormal="70" workbookViewId="0">
      <pane ySplit="1290" topLeftCell="A145"/>
      <selection activeCell="I4" sqref="I4"/>
      <selection pane="bottomLeft" activeCell="M161" sqref="M161"/>
    </sheetView>
  </sheetViews>
  <sheetFormatPr defaultRowHeight="15" x14ac:dyDescent="0.25"/>
  <cols>
    <col min="1" max="1" width="3.85546875" style="11" customWidth="1"/>
    <col min="2" max="2" width="5" style="11" customWidth="1"/>
    <col min="3" max="3" width="5" style="11" bestFit="1" customWidth="1"/>
    <col min="4" max="4" width="5" style="35" customWidth="1"/>
    <col min="5" max="5" width="32.42578125" bestFit="1" customWidth="1"/>
    <col min="6" max="6" width="36" bestFit="1" customWidth="1"/>
    <col min="7" max="7" width="5.85546875" style="11" bestFit="1" customWidth="1"/>
    <col min="8" max="8" width="26.85546875" bestFit="1" customWidth="1"/>
    <col min="9" max="9" width="7.42578125" style="11" bestFit="1" customWidth="1"/>
    <col min="10" max="10" width="6" style="11" bestFit="1" customWidth="1"/>
    <col min="11" max="11" width="6.28515625" bestFit="1" customWidth="1"/>
    <col min="12" max="12" width="3" customWidth="1"/>
    <col min="13" max="13" width="46.28515625" bestFit="1" customWidth="1"/>
    <col min="14" max="14" width="25.85546875" style="35" bestFit="1" customWidth="1"/>
    <col min="15" max="16" width="9.140625" style="35"/>
    <col min="17" max="18" width="11.140625" style="35" bestFit="1" customWidth="1"/>
    <col min="20" max="20" width="11.140625" bestFit="1" customWidth="1"/>
  </cols>
  <sheetData>
    <row r="1" spans="1:21" ht="15.75" thickBot="1" x14ac:dyDescent="0.3">
      <c r="A1" s="35"/>
      <c r="B1" s="35"/>
      <c r="C1" s="35"/>
      <c r="G1" s="35"/>
      <c r="I1" s="35"/>
      <c r="J1" s="35"/>
    </row>
    <row r="2" spans="1:21" ht="15.75" thickBot="1" x14ac:dyDescent="0.3">
      <c r="A2" s="35"/>
      <c r="B2" s="35"/>
      <c r="C2" s="35"/>
      <c r="G2" s="35"/>
      <c r="I2" s="35"/>
      <c r="J2" s="35"/>
      <c r="O2" s="62"/>
      <c r="P2" s="63"/>
      <c r="Q2" s="27" t="str">
        <f>E5</f>
        <v>Group</v>
      </c>
      <c r="R2" s="27" t="str">
        <f>F5</f>
        <v>Register</v>
      </c>
      <c r="S2" s="28" t="str">
        <f>H5</f>
        <v>Field</v>
      </c>
    </row>
    <row r="3" spans="1:21" x14ac:dyDescent="0.25">
      <c r="A3" s="35"/>
      <c r="B3" s="35"/>
      <c r="C3" s="35"/>
      <c r="G3" s="35"/>
      <c r="I3" s="35"/>
      <c r="J3" s="35"/>
      <c r="O3" s="58" t="s">
        <v>435</v>
      </c>
      <c r="P3" s="59"/>
      <c r="Q3" s="48">
        <f t="array" ref="Q3">MAX(LEN(E6:E65559))</f>
        <v>30</v>
      </c>
      <c r="R3" s="38">
        <f t="array" ref="R3">MAX(LEN(F6:F65559))</f>
        <v>31</v>
      </c>
      <c r="S3" s="39">
        <f t="array" ref="S3">MAX(LEN(H6:H65559))</f>
        <v>23</v>
      </c>
    </row>
    <row r="4" spans="1:21" ht="15.75" thickBot="1" x14ac:dyDescent="0.3">
      <c r="A4" s="65" t="s">
        <v>245</v>
      </c>
      <c r="B4" s="65"/>
      <c r="C4" s="65"/>
      <c r="D4" s="65"/>
      <c r="G4" s="11">
        <f>COUNTA(G6:G65606)-J4</f>
        <v>270</v>
      </c>
      <c r="H4" s="11">
        <f>COUNTA(H6:H65606)</f>
        <v>196</v>
      </c>
      <c r="I4" s="12">
        <f>H4/G4</f>
        <v>0.72592592592592597</v>
      </c>
      <c r="J4" s="11">
        <f>COUNTIF(J6:J65559,16)</f>
        <v>13</v>
      </c>
      <c r="O4" s="60" t="s">
        <v>436</v>
      </c>
      <c r="P4" s="61"/>
      <c r="Q4" s="49">
        <f>MAX(A6:A65538)</f>
        <v>15</v>
      </c>
      <c r="R4" s="36">
        <f>MAX(B6:B65538)</f>
        <v>210</v>
      </c>
      <c r="S4" s="37">
        <f>MAX(C6:C65538)</f>
        <v>195</v>
      </c>
    </row>
    <row r="5" spans="1:21" s="41" customFormat="1" x14ac:dyDescent="0.25">
      <c r="A5" s="41" t="s">
        <v>244</v>
      </c>
      <c r="B5" s="41" t="s">
        <v>243</v>
      </c>
      <c r="C5" s="41" t="s">
        <v>231</v>
      </c>
      <c r="D5" s="41" t="s">
        <v>442</v>
      </c>
      <c r="E5" s="41" t="s">
        <v>203</v>
      </c>
      <c r="F5" s="41" t="s">
        <v>204</v>
      </c>
      <c r="G5" s="41" t="s">
        <v>210</v>
      </c>
      <c r="H5" s="41" t="s">
        <v>205</v>
      </c>
      <c r="I5" s="41" t="s">
        <v>209</v>
      </c>
      <c r="J5" s="41" t="s">
        <v>253</v>
      </c>
      <c r="K5" s="41" t="s">
        <v>208</v>
      </c>
      <c r="N5" s="41" t="s">
        <v>432</v>
      </c>
      <c r="O5" s="64" t="s">
        <v>438</v>
      </c>
      <c r="P5" s="64"/>
      <c r="S5" s="42"/>
    </row>
    <row r="6" spans="1:21" x14ac:dyDescent="0.25">
      <c r="A6" s="11">
        <v>0</v>
      </c>
      <c r="B6" s="11">
        <v>0</v>
      </c>
      <c r="C6" s="11">
        <v>0</v>
      </c>
      <c r="D6" s="35">
        <f t="shared" ref="D6:D69" si="0">COUNTIF(APIfields,C6)</f>
        <v>0</v>
      </c>
      <c r="E6" t="s">
        <v>206</v>
      </c>
      <c r="F6" s="10" t="str">
        <f>regList!D4</f>
        <v>DeviceID</v>
      </c>
      <c r="G6" s="11" t="str">
        <f>regList!C4</f>
        <v>0</v>
      </c>
      <c r="H6" t="s">
        <v>207</v>
      </c>
      <c r="I6" s="11">
        <v>0</v>
      </c>
      <c r="J6" s="11">
        <v>8</v>
      </c>
      <c r="K6" s="11" t="str">
        <f>IF(J6&lt;&gt;"",DEC2HEX(2^J6-1),"")</f>
        <v>FF</v>
      </c>
      <c r="M6" t="str">
        <f t="shared" ref="M6:M27" si="1">IF(N6&lt;&gt;"",MID(E6,1,LEN(E6)-9)&amp;N6,"")</f>
        <v/>
      </c>
    </row>
    <row r="7" spans="1:21" x14ac:dyDescent="0.25">
      <c r="A7" s="11">
        <f>IF(E7=E6,A6,A6+1)</f>
        <v>0</v>
      </c>
      <c r="B7" s="11">
        <f>IF(F6=F7,B6,B6+1)</f>
        <v>1</v>
      </c>
      <c r="C7" s="11">
        <f>IF(H7&lt;&gt;"",C6+1,C6)</f>
        <v>1</v>
      </c>
      <c r="D7" s="35">
        <f t="shared" si="0"/>
        <v>0</v>
      </c>
      <c r="E7" t="str">
        <f>E6</f>
        <v>statusRegisters</v>
      </c>
      <c r="F7" s="10" t="str">
        <f>regList!D5</f>
        <v>MasterControl</v>
      </c>
      <c r="G7" s="11" t="str">
        <f>regList!C5</f>
        <v>1</v>
      </c>
      <c r="H7" t="s">
        <v>224</v>
      </c>
      <c r="I7" s="11">
        <v>0</v>
      </c>
      <c r="J7" s="11">
        <v>1</v>
      </c>
      <c r="K7" s="11" t="str">
        <f t="shared" ref="K7:K70" si="2">IF(J7&lt;&gt;"",DEC2HEX(2^J7-1),"")</f>
        <v>1</v>
      </c>
      <c r="M7" t="str">
        <f t="shared" si="1"/>
        <v/>
      </c>
    </row>
    <row r="8" spans="1:21" x14ac:dyDescent="0.25">
      <c r="A8" s="11">
        <f t="shared" ref="A8:A71" si="3">IF(E8=E7,A7,A7+1)</f>
        <v>0</v>
      </c>
      <c r="B8" s="11">
        <f t="shared" ref="B8:B71" si="4">IF(F7=F8,B7,B7+1)</f>
        <v>2</v>
      </c>
      <c r="C8" s="11">
        <f t="shared" ref="C8:C71" si="5">IF(H8&lt;&gt;"",C7+1,C7)</f>
        <v>2</v>
      </c>
      <c r="D8" s="35">
        <f t="shared" si="0"/>
        <v>0</v>
      </c>
      <c r="E8" t="str">
        <f>E7</f>
        <v>statusRegisters</v>
      </c>
      <c r="F8" s="10" t="str">
        <f>regList!D6</f>
        <v>StatusRegisters</v>
      </c>
      <c r="G8" s="11" t="str">
        <f>regList!C6</f>
        <v>2</v>
      </c>
      <c r="H8" t="s">
        <v>225</v>
      </c>
      <c r="I8" s="11">
        <v>3</v>
      </c>
      <c r="J8" s="11">
        <v>1</v>
      </c>
      <c r="K8" s="11" t="str">
        <f t="shared" si="2"/>
        <v>1</v>
      </c>
      <c r="M8" t="str">
        <f t="shared" si="1"/>
        <v/>
      </c>
    </row>
    <row r="9" spans="1:21" x14ac:dyDescent="0.25">
      <c r="A9" s="11">
        <f t="shared" si="3"/>
        <v>0</v>
      </c>
      <c r="B9" s="11">
        <f t="shared" si="4"/>
        <v>2</v>
      </c>
      <c r="C9" s="11">
        <f t="shared" si="5"/>
        <v>3</v>
      </c>
      <c r="D9" s="35">
        <f t="shared" si="0"/>
        <v>0</v>
      </c>
      <c r="E9" t="str">
        <f>E8</f>
        <v>statusRegisters</v>
      </c>
      <c r="F9" s="10" t="str">
        <f>F8</f>
        <v>StatusRegisters</v>
      </c>
      <c r="G9" s="11" t="str">
        <f>G8</f>
        <v>2</v>
      </c>
      <c r="H9" t="s">
        <v>226</v>
      </c>
      <c r="I9" s="11">
        <f>I8-1</f>
        <v>2</v>
      </c>
      <c r="J9" s="11">
        <f>J8</f>
        <v>1</v>
      </c>
      <c r="K9" s="11" t="str">
        <f t="shared" si="2"/>
        <v>1</v>
      </c>
      <c r="M9" t="str">
        <f t="shared" si="1"/>
        <v/>
      </c>
    </row>
    <row r="10" spans="1:21" x14ac:dyDescent="0.25">
      <c r="A10" s="11">
        <f t="shared" si="3"/>
        <v>0</v>
      </c>
      <c r="B10" s="11">
        <f t="shared" si="4"/>
        <v>2</v>
      </c>
      <c r="C10" s="11">
        <f t="shared" si="5"/>
        <v>4</v>
      </c>
      <c r="D10" s="35">
        <f t="shared" si="0"/>
        <v>0</v>
      </c>
      <c r="E10" t="str">
        <f t="shared" ref="E10:E11" si="6">E9</f>
        <v>statusRegisters</v>
      </c>
      <c r="F10" s="10" t="str">
        <f t="shared" ref="F10:F11" si="7">F9</f>
        <v>StatusRegisters</v>
      </c>
      <c r="G10" s="11" t="str">
        <f t="shared" ref="G10:G11" si="8">G9</f>
        <v>2</v>
      </c>
      <c r="H10" t="s">
        <v>227</v>
      </c>
      <c r="I10" s="11">
        <f t="shared" ref="I10:I11" si="9">I9-1</f>
        <v>1</v>
      </c>
      <c r="J10" s="11">
        <f t="shared" ref="J10:J11" si="10">J9</f>
        <v>1</v>
      </c>
      <c r="K10" s="11" t="str">
        <f t="shared" si="2"/>
        <v>1</v>
      </c>
      <c r="M10" t="str">
        <f t="shared" si="1"/>
        <v/>
      </c>
    </row>
    <row r="11" spans="1:21" x14ac:dyDescent="0.25">
      <c r="A11" s="11">
        <f t="shared" si="3"/>
        <v>0</v>
      </c>
      <c r="B11" s="11">
        <f t="shared" si="4"/>
        <v>2</v>
      </c>
      <c r="C11" s="11">
        <f t="shared" si="5"/>
        <v>5</v>
      </c>
      <c r="D11" s="35">
        <f t="shared" si="0"/>
        <v>0</v>
      </c>
      <c r="E11" t="str">
        <f t="shared" si="6"/>
        <v>statusRegisters</v>
      </c>
      <c r="F11" s="10" t="str">
        <f t="shared" si="7"/>
        <v>StatusRegisters</v>
      </c>
      <c r="G11" s="11" t="str">
        <f t="shared" si="8"/>
        <v>2</v>
      </c>
      <c r="H11" t="s">
        <v>228</v>
      </c>
      <c r="I11" s="11">
        <f t="shared" si="9"/>
        <v>0</v>
      </c>
      <c r="J11" s="11">
        <f t="shared" si="10"/>
        <v>1</v>
      </c>
      <c r="K11" s="11" t="str">
        <f t="shared" si="2"/>
        <v>1</v>
      </c>
      <c r="M11" t="str">
        <f t="shared" si="1"/>
        <v/>
      </c>
      <c r="U11" s="35"/>
    </row>
    <row r="12" spans="1:21" x14ac:dyDescent="0.25">
      <c r="A12" s="11">
        <f t="shared" si="3"/>
        <v>1</v>
      </c>
      <c r="B12" s="11">
        <f t="shared" si="4"/>
        <v>3</v>
      </c>
      <c r="C12" s="11">
        <f t="shared" si="5"/>
        <v>6</v>
      </c>
      <c r="D12" s="35">
        <f t="shared" si="0"/>
        <v>0</v>
      </c>
      <c r="E12" t="s">
        <v>211</v>
      </c>
      <c r="F12" s="10" t="str">
        <f>regList!D20</f>
        <v>IntegrationTime</v>
      </c>
      <c r="G12" s="11" t="str">
        <f>regList!C20</f>
        <v>10</v>
      </c>
      <c r="H12" t="s">
        <v>230</v>
      </c>
      <c r="I12" s="11">
        <v>4</v>
      </c>
      <c r="J12" s="11">
        <v>4</v>
      </c>
      <c r="K12" s="11" t="str">
        <f t="shared" si="2"/>
        <v>F</v>
      </c>
      <c r="M12" t="str">
        <f t="shared" si="1"/>
        <v/>
      </c>
    </row>
    <row r="13" spans="1:21" x14ac:dyDescent="0.25">
      <c r="A13" s="11">
        <f t="shared" si="3"/>
        <v>1</v>
      </c>
      <c r="B13" s="11">
        <f t="shared" si="4"/>
        <v>3</v>
      </c>
      <c r="C13" s="11">
        <f t="shared" si="5"/>
        <v>7</v>
      </c>
      <c r="D13" s="35">
        <f t="shared" si="0"/>
        <v>0</v>
      </c>
      <c r="E13" t="str">
        <f>E12</f>
        <v>samplingControlRegisters</v>
      </c>
      <c r="F13" s="10" t="str">
        <f t="shared" ref="F13:G13" si="11">F12</f>
        <v>IntegrationTime</v>
      </c>
      <c r="G13" s="11" t="str">
        <f t="shared" si="11"/>
        <v>10</v>
      </c>
      <c r="H13" t="s">
        <v>229</v>
      </c>
      <c r="I13" s="11">
        <v>0</v>
      </c>
      <c r="J13" s="11">
        <v>4</v>
      </c>
      <c r="K13" s="11" t="str">
        <f t="shared" si="2"/>
        <v>F</v>
      </c>
      <c r="M13" t="str">
        <f t="shared" si="1"/>
        <v/>
      </c>
    </row>
    <row r="14" spans="1:21" x14ac:dyDescent="0.25">
      <c r="A14" s="11">
        <f t="shared" si="3"/>
        <v>1</v>
      </c>
      <c r="B14" s="11">
        <f t="shared" si="4"/>
        <v>4</v>
      </c>
      <c r="C14" s="11">
        <f t="shared" si="5"/>
        <v>8</v>
      </c>
      <c r="D14" s="35">
        <f t="shared" si="0"/>
        <v>0</v>
      </c>
      <c r="E14" t="str">
        <f>E12</f>
        <v>samplingControlRegisters</v>
      </c>
      <c r="F14" s="10" t="str">
        <f>regList!D21</f>
        <v>SamplePeriod</v>
      </c>
      <c r="G14" s="11" t="str">
        <f>regList!C21</f>
        <v>11</v>
      </c>
      <c r="H14" t="s">
        <v>232</v>
      </c>
      <c r="I14" s="11">
        <v>0</v>
      </c>
      <c r="J14" s="11">
        <v>8</v>
      </c>
      <c r="K14" s="11" t="str">
        <f t="shared" si="2"/>
        <v>FF</v>
      </c>
      <c r="M14" t="str">
        <f t="shared" si="1"/>
        <v/>
      </c>
    </row>
    <row r="15" spans="1:21" x14ac:dyDescent="0.25">
      <c r="A15" s="11">
        <f t="shared" si="3"/>
        <v>1</v>
      </c>
      <c r="B15" s="11">
        <f t="shared" si="4"/>
        <v>5</v>
      </c>
      <c r="C15" s="11">
        <f t="shared" si="5"/>
        <v>9</v>
      </c>
      <c r="D15" s="35">
        <f t="shared" si="0"/>
        <v>0</v>
      </c>
      <c r="E15" t="str">
        <f t="shared" ref="E15:E25" si="12">E14</f>
        <v>samplingControlRegisters</v>
      </c>
      <c r="F15" s="10" t="str">
        <f>regList!D22</f>
        <v>SamplePeriodRange</v>
      </c>
      <c r="G15" s="11" t="str">
        <f>regList!C22</f>
        <v>12</v>
      </c>
      <c r="H15" t="s">
        <v>235</v>
      </c>
      <c r="I15" s="11">
        <v>0</v>
      </c>
      <c r="J15" s="11">
        <v>2</v>
      </c>
      <c r="K15" s="11" t="str">
        <f t="shared" si="2"/>
        <v>3</v>
      </c>
      <c r="M15" t="str">
        <f t="shared" si="1"/>
        <v/>
      </c>
    </row>
    <row r="16" spans="1:21" x14ac:dyDescent="0.25">
      <c r="A16" s="11">
        <f t="shared" si="3"/>
        <v>1</v>
      </c>
      <c r="B16" s="11">
        <f t="shared" si="4"/>
        <v>6</v>
      </c>
      <c r="C16" s="11">
        <f t="shared" si="5"/>
        <v>10</v>
      </c>
      <c r="D16" s="35">
        <f t="shared" si="0"/>
        <v>1</v>
      </c>
      <c r="E16" t="str">
        <f t="shared" si="12"/>
        <v>samplingControlRegisters</v>
      </c>
      <c r="F16" s="10" t="str">
        <f>regList!D23</f>
        <v>SampleControl</v>
      </c>
      <c r="G16" s="11" t="str">
        <f>regList!C23</f>
        <v>13</v>
      </c>
      <c r="H16" t="s">
        <v>236</v>
      </c>
      <c r="I16" s="11">
        <v>7</v>
      </c>
      <c r="J16" s="11">
        <v>1</v>
      </c>
      <c r="K16" s="11" t="str">
        <f t="shared" si="2"/>
        <v>1</v>
      </c>
      <c r="M16" t="str">
        <f t="shared" si="1"/>
        <v>samplingControlSmpCtrlEn</v>
      </c>
      <c r="N16" s="35" t="s">
        <v>445</v>
      </c>
      <c r="O16" s="35">
        <f>C16</f>
        <v>10</v>
      </c>
    </row>
    <row r="17" spans="1:15" x14ac:dyDescent="0.25">
      <c r="A17" s="11">
        <f t="shared" si="3"/>
        <v>1</v>
      </c>
      <c r="B17" s="11">
        <f t="shared" si="4"/>
        <v>6</v>
      </c>
      <c r="C17" s="11">
        <f t="shared" si="5"/>
        <v>11</v>
      </c>
      <c r="D17" s="35">
        <f t="shared" si="0"/>
        <v>1</v>
      </c>
      <c r="E17" t="str">
        <f>E16</f>
        <v>samplingControlRegisters</v>
      </c>
      <c r="F17" s="10" t="str">
        <f t="shared" ref="F17:G17" si="13">F16</f>
        <v>SampleControl</v>
      </c>
      <c r="G17" s="11" t="str">
        <f t="shared" si="13"/>
        <v>13</v>
      </c>
      <c r="H17" t="s">
        <v>237</v>
      </c>
      <c r="I17" s="11">
        <f>I16-1</f>
        <v>6</v>
      </c>
      <c r="J17" s="11">
        <f>J16</f>
        <v>1</v>
      </c>
      <c r="K17" s="11" t="str">
        <f t="shared" si="2"/>
        <v>1</v>
      </c>
      <c r="M17" t="str">
        <f t="shared" si="1"/>
        <v/>
      </c>
      <c r="O17" s="35">
        <f>C17</f>
        <v>11</v>
      </c>
    </row>
    <row r="18" spans="1:15" x14ac:dyDescent="0.25">
      <c r="A18" s="11">
        <f t="shared" si="3"/>
        <v>1</v>
      </c>
      <c r="B18" s="11">
        <f t="shared" si="4"/>
        <v>6</v>
      </c>
      <c r="C18" s="11">
        <f t="shared" si="5"/>
        <v>12</v>
      </c>
      <c r="D18" s="35">
        <f t="shared" si="0"/>
        <v>1</v>
      </c>
      <c r="E18" t="str">
        <f t="shared" ref="E18:E22" si="14">E17</f>
        <v>samplingControlRegisters</v>
      </c>
      <c r="F18" s="10" t="str">
        <f t="shared" ref="F18:F22" si="15">F17</f>
        <v>SampleControl</v>
      </c>
      <c r="G18" s="11" t="str">
        <f t="shared" ref="G18:G22" si="16">G17</f>
        <v>13</v>
      </c>
      <c r="H18" t="s">
        <v>238</v>
      </c>
      <c r="I18" s="11">
        <f t="shared" ref="I18:I22" si="17">I17-1</f>
        <v>5</v>
      </c>
      <c r="J18" s="11">
        <f t="shared" ref="J18:J22" si="18">J17</f>
        <v>1</v>
      </c>
      <c r="K18" s="11" t="str">
        <f t="shared" si="2"/>
        <v>1</v>
      </c>
      <c r="M18" t="str">
        <f t="shared" si="1"/>
        <v/>
      </c>
      <c r="O18" s="35">
        <f>C18</f>
        <v>12</v>
      </c>
    </row>
    <row r="19" spans="1:15" x14ac:dyDescent="0.25">
      <c r="A19" s="11">
        <f t="shared" si="3"/>
        <v>1</v>
      </c>
      <c r="B19" s="11">
        <f t="shared" si="4"/>
        <v>6</v>
      </c>
      <c r="C19" s="11">
        <f t="shared" si="5"/>
        <v>13</v>
      </c>
      <c r="D19" s="35">
        <f t="shared" si="0"/>
        <v>1</v>
      </c>
      <c r="E19" t="str">
        <f t="shared" si="14"/>
        <v>samplingControlRegisters</v>
      </c>
      <c r="F19" s="10" t="str">
        <f t="shared" si="15"/>
        <v>SampleControl</v>
      </c>
      <c r="G19" s="11" t="str">
        <f t="shared" si="16"/>
        <v>13</v>
      </c>
      <c r="H19" t="s">
        <v>239</v>
      </c>
      <c r="I19" s="11">
        <f t="shared" si="17"/>
        <v>4</v>
      </c>
      <c r="J19" s="11">
        <f t="shared" si="18"/>
        <v>1</v>
      </c>
      <c r="K19" s="11" t="str">
        <f t="shared" si="2"/>
        <v>1</v>
      </c>
      <c r="M19" t="str">
        <f t="shared" si="1"/>
        <v/>
      </c>
      <c r="O19" s="35">
        <f>C19</f>
        <v>13</v>
      </c>
    </row>
    <row r="20" spans="1:15" x14ac:dyDescent="0.25">
      <c r="A20" s="11">
        <f t="shared" si="3"/>
        <v>1</v>
      </c>
      <c r="B20" s="11">
        <f t="shared" si="4"/>
        <v>6</v>
      </c>
      <c r="C20" s="11">
        <f t="shared" si="5"/>
        <v>14</v>
      </c>
      <c r="D20" s="35">
        <f t="shared" si="0"/>
        <v>1</v>
      </c>
      <c r="E20" t="str">
        <f t="shared" si="14"/>
        <v>samplingControlRegisters</v>
      </c>
      <c r="F20" s="10" t="str">
        <f t="shared" si="15"/>
        <v>SampleControl</v>
      </c>
      <c r="G20" s="11" t="str">
        <f t="shared" si="16"/>
        <v>13</v>
      </c>
      <c r="H20" t="s">
        <v>240</v>
      </c>
      <c r="I20" s="11">
        <v>2</v>
      </c>
      <c r="J20" s="11">
        <v>2</v>
      </c>
      <c r="K20" s="11" t="str">
        <f t="shared" si="2"/>
        <v>3</v>
      </c>
      <c r="M20" t="str">
        <f t="shared" si="1"/>
        <v/>
      </c>
      <c r="O20" s="35">
        <f t="shared" ref="O20:O22" si="19">C20</f>
        <v>14</v>
      </c>
    </row>
    <row r="21" spans="1:15" x14ac:dyDescent="0.25">
      <c r="A21" s="11">
        <f t="shared" si="3"/>
        <v>1</v>
      </c>
      <c r="B21" s="11">
        <f t="shared" si="4"/>
        <v>6</v>
      </c>
      <c r="C21" s="11">
        <f t="shared" si="5"/>
        <v>15</v>
      </c>
      <c r="D21" s="35">
        <f t="shared" si="0"/>
        <v>1</v>
      </c>
      <c r="E21" t="str">
        <f t="shared" si="14"/>
        <v>samplingControlRegisters</v>
      </c>
      <c r="F21" s="10" t="str">
        <f t="shared" si="15"/>
        <v>SampleControl</v>
      </c>
      <c r="G21" s="11" t="str">
        <f t="shared" si="16"/>
        <v>13</v>
      </c>
      <c r="H21" t="s">
        <v>241</v>
      </c>
      <c r="I21" s="11">
        <f t="shared" si="17"/>
        <v>1</v>
      </c>
      <c r="J21" s="11">
        <v>1</v>
      </c>
      <c r="K21" s="11" t="str">
        <f t="shared" si="2"/>
        <v>1</v>
      </c>
      <c r="M21" t="str">
        <f t="shared" si="1"/>
        <v/>
      </c>
      <c r="O21" s="35">
        <f t="shared" si="19"/>
        <v>15</v>
      </c>
    </row>
    <row r="22" spans="1:15" x14ac:dyDescent="0.25">
      <c r="A22" s="11">
        <f t="shared" si="3"/>
        <v>1</v>
      </c>
      <c r="B22" s="11">
        <f t="shared" si="4"/>
        <v>6</v>
      </c>
      <c r="C22" s="11">
        <f t="shared" si="5"/>
        <v>16</v>
      </c>
      <c r="D22" s="35">
        <f t="shared" si="0"/>
        <v>1</v>
      </c>
      <c r="E22" t="str">
        <f t="shared" si="14"/>
        <v>samplingControlRegisters</v>
      </c>
      <c r="F22" s="10" t="str">
        <f t="shared" si="15"/>
        <v>SampleControl</v>
      </c>
      <c r="G22" s="11" t="str">
        <f t="shared" si="16"/>
        <v>13</v>
      </c>
      <c r="H22" t="s">
        <v>242</v>
      </c>
      <c r="I22" s="11">
        <f t="shared" si="17"/>
        <v>0</v>
      </c>
      <c r="J22" s="11">
        <f t="shared" si="18"/>
        <v>1</v>
      </c>
      <c r="K22" s="11" t="str">
        <f t="shared" si="2"/>
        <v>1</v>
      </c>
      <c r="M22" t="str">
        <f t="shared" si="1"/>
        <v/>
      </c>
      <c r="O22" s="35">
        <f t="shared" si="19"/>
        <v>16</v>
      </c>
    </row>
    <row r="23" spans="1:15" x14ac:dyDescent="0.25">
      <c r="A23" s="11">
        <f t="shared" si="3"/>
        <v>1</v>
      </c>
      <c r="B23" s="11">
        <f t="shared" si="4"/>
        <v>7</v>
      </c>
      <c r="C23" s="11">
        <f t="shared" si="5"/>
        <v>17</v>
      </c>
      <c r="D23" s="35">
        <f t="shared" si="0"/>
        <v>0</v>
      </c>
      <c r="E23" t="str">
        <f>E16</f>
        <v>samplingControlRegisters</v>
      </c>
      <c r="F23" s="10" t="str">
        <f>regList!D24</f>
        <v>DCCalIntegrationTime</v>
      </c>
      <c r="G23" s="11" t="str">
        <f>regList!C24</f>
        <v>14</v>
      </c>
      <c r="H23" t="s">
        <v>246</v>
      </c>
      <c r="I23" s="11">
        <v>0</v>
      </c>
      <c r="J23" s="11">
        <v>4</v>
      </c>
      <c r="K23" s="11" t="str">
        <f t="shared" si="2"/>
        <v>F</v>
      </c>
      <c r="M23" t="str">
        <f t="shared" si="1"/>
        <v/>
      </c>
    </row>
    <row r="24" spans="1:15" x14ac:dyDescent="0.25">
      <c r="A24" s="11">
        <f t="shared" si="3"/>
        <v>1</v>
      </c>
      <c r="B24" s="11">
        <f t="shared" si="4"/>
        <v>8</v>
      </c>
      <c r="C24" s="11">
        <f t="shared" si="5"/>
        <v>18</v>
      </c>
      <c r="D24" s="35">
        <f t="shared" si="0"/>
        <v>0</v>
      </c>
      <c r="E24" t="str">
        <f t="shared" si="12"/>
        <v>samplingControlRegisters</v>
      </c>
      <c r="F24" s="10" t="str">
        <f>regList!D25</f>
        <v>ZPCalIntegrationTime</v>
      </c>
      <c r="G24" s="11" t="str">
        <f>regList!C25</f>
        <v>15</v>
      </c>
      <c r="H24" t="s">
        <v>247</v>
      </c>
      <c r="I24" s="11">
        <v>0</v>
      </c>
      <c r="J24" s="11">
        <v>4</v>
      </c>
      <c r="K24" s="11" t="str">
        <f t="shared" si="2"/>
        <v>F</v>
      </c>
      <c r="M24" t="str">
        <f t="shared" si="1"/>
        <v/>
      </c>
    </row>
    <row r="25" spans="1:15" x14ac:dyDescent="0.25">
      <c r="A25" s="11">
        <f t="shared" si="3"/>
        <v>1</v>
      </c>
      <c r="B25" s="11">
        <f t="shared" si="4"/>
        <v>9</v>
      </c>
      <c r="C25" s="11">
        <f t="shared" si="5"/>
        <v>19</v>
      </c>
      <c r="D25" s="35">
        <f t="shared" si="0"/>
        <v>0</v>
      </c>
      <c r="E25" t="str">
        <f t="shared" si="12"/>
        <v>samplingControlRegisters</v>
      </c>
      <c r="F25" s="10" t="str">
        <f>regList!D26</f>
        <v>CollisionIntegrationTime</v>
      </c>
      <c r="G25" s="11" t="str">
        <f>regList!C26</f>
        <v>16</v>
      </c>
      <c r="H25" t="s">
        <v>248</v>
      </c>
      <c r="I25" s="11">
        <v>0</v>
      </c>
      <c r="J25" s="11">
        <v>4</v>
      </c>
      <c r="K25" s="11" t="str">
        <f t="shared" si="2"/>
        <v>F</v>
      </c>
      <c r="M25" t="str">
        <f t="shared" si="1"/>
        <v/>
      </c>
    </row>
    <row r="26" spans="1:15" x14ac:dyDescent="0.25">
      <c r="A26" s="11">
        <f t="shared" si="3"/>
        <v>2</v>
      </c>
      <c r="B26" s="11">
        <f t="shared" si="4"/>
        <v>10</v>
      </c>
      <c r="C26" s="11">
        <f t="shared" si="5"/>
        <v>20</v>
      </c>
      <c r="D26" s="35">
        <f t="shared" si="0"/>
        <v>0</v>
      </c>
      <c r="E26" t="s">
        <v>212</v>
      </c>
      <c r="F26" s="10" t="str">
        <f>regList!D27</f>
        <v>AGCControl1</v>
      </c>
      <c r="G26" s="11" t="str">
        <f>regList!C27</f>
        <v>17</v>
      </c>
      <c r="H26" t="s">
        <v>249</v>
      </c>
      <c r="I26" s="11">
        <v>4</v>
      </c>
      <c r="J26" s="11">
        <v>4</v>
      </c>
      <c r="K26" s="11" t="str">
        <f t="shared" si="2"/>
        <v>F</v>
      </c>
      <c r="M26" t="str">
        <f t="shared" si="1"/>
        <v/>
      </c>
    </row>
    <row r="27" spans="1:15" x14ac:dyDescent="0.25">
      <c r="A27" s="11">
        <f t="shared" si="3"/>
        <v>2</v>
      </c>
      <c r="B27" s="11">
        <f t="shared" si="4"/>
        <v>10</v>
      </c>
      <c r="C27" s="11">
        <f t="shared" si="5"/>
        <v>21</v>
      </c>
      <c r="D27" s="35">
        <f t="shared" si="0"/>
        <v>0</v>
      </c>
      <c r="E27" t="str">
        <f>E26</f>
        <v>algorithmControlRegisters</v>
      </c>
      <c r="F27" s="10" t="str">
        <f t="shared" ref="F27:G27" si="20">F26</f>
        <v>AGCControl1</v>
      </c>
      <c r="G27" s="11" t="str">
        <f t="shared" si="20"/>
        <v>17</v>
      </c>
      <c r="H27" t="s">
        <v>250</v>
      </c>
      <c r="I27" s="11">
        <v>1</v>
      </c>
      <c r="J27" s="11">
        <v>1</v>
      </c>
      <c r="K27" s="11" t="str">
        <f t="shared" si="2"/>
        <v>1</v>
      </c>
      <c r="M27" t="str">
        <f t="shared" si="1"/>
        <v/>
      </c>
    </row>
    <row r="28" spans="1:15" x14ac:dyDescent="0.25">
      <c r="A28" s="11">
        <f t="shared" si="3"/>
        <v>2</v>
      </c>
      <c r="B28" s="11">
        <f t="shared" si="4"/>
        <v>10</v>
      </c>
      <c r="C28" s="11">
        <f t="shared" si="5"/>
        <v>22</v>
      </c>
      <c r="D28" s="35">
        <f t="shared" si="0"/>
        <v>1</v>
      </c>
      <c r="E28" t="str">
        <f>E27</f>
        <v>algorithmControlRegisters</v>
      </c>
      <c r="F28" s="10" t="str">
        <f t="shared" ref="F28" si="21">F27</f>
        <v>AGCControl1</v>
      </c>
      <c r="G28" s="11" t="str">
        <f t="shared" ref="G28" si="22">G27</f>
        <v>17</v>
      </c>
      <c r="H28" t="s">
        <v>252</v>
      </c>
      <c r="I28" s="11">
        <v>0</v>
      </c>
      <c r="J28" s="11">
        <v>1</v>
      </c>
      <c r="K28" s="11" t="str">
        <f t="shared" si="2"/>
        <v>1</v>
      </c>
      <c r="M28" t="str">
        <f>IF(N28&lt;&gt;"",MID(E28,1,LEN(E28)-9)&amp;N28,"")</f>
        <v>algorithmControlAGCen</v>
      </c>
      <c r="N28" s="35" t="s">
        <v>437</v>
      </c>
      <c r="O28" s="35">
        <f>C28</f>
        <v>22</v>
      </c>
    </row>
    <row r="29" spans="1:15" x14ac:dyDescent="0.25">
      <c r="A29" s="11">
        <f t="shared" si="3"/>
        <v>2</v>
      </c>
      <c r="B29" s="11">
        <f t="shared" si="4"/>
        <v>11</v>
      </c>
      <c r="C29" s="11">
        <f t="shared" si="5"/>
        <v>23</v>
      </c>
      <c r="D29" s="35">
        <f t="shared" si="0"/>
        <v>0</v>
      </c>
      <c r="E29" t="str">
        <f>E26</f>
        <v>algorithmControlRegisters</v>
      </c>
      <c r="F29" s="10" t="str">
        <f>regList!D28</f>
        <v>AGCControl2</v>
      </c>
      <c r="G29" s="11" t="str">
        <f>regList!C28</f>
        <v>18</v>
      </c>
      <c r="H29" t="s">
        <v>254</v>
      </c>
      <c r="I29" s="11">
        <v>3</v>
      </c>
      <c r="J29" s="11">
        <v>3</v>
      </c>
      <c r="K29" s="11" t="str">
        <f t="shared" si="2"/>
        <v>7</v>
      </c>
      <c r="M29" t="str">
        <f t="shared" ref="M29:M92" si="23">IF(N29&lt;&gt;"",MID(E29,1,LEN(E29)-9)&amp;N29,"")</f>
        <v/>
      </c>
    </row>
    <row r="30" spans="1:15" x14ac:dyDescent="0.25">
      <c r="A30" s="11">
        <f t="shared" si="3"/>
        <v>2</v>
      </c>
      <c r="B30" s="11">
        <f t="shared" si="4"/>
        <v>11</v>
      </c>
      <c r="C30" s="11">
        <f t="shared" si="5"/>
        <v>24</v>
      </c>
      <c r="D30" s="35">
        <f t="shared" si="0"/>
        <v>0</v>
      </c>
      <c r="E30" t="str">
        <f>E29</f>
        <v>algorithmControlRegisters</v>
      </c>
      <c r="F30" s="10" t="str">
        <f t="shared" ref="F30" si="24">F29</f>
        <v>AGCControl2</v>
      </c>
      <c r="G30" s="11" t="str">
        <f t="shared" ref="G30" si="25">G29</f>
        <v>18</v>
      </c>
      <c r="H30" t="s">
        <v>255</v>
      </c>
      <c r="I30" s="11">
        <v>0</v>
      </c>
      <c r="J30" s="11">
        <v>3</v>
      </c>
      <c r="K30" s="11" t="str">
        <f t="shared" si="2"/>
        <v>7</v>
      </c>
      <c r="M30" t="str">
        <f t="shared" si="23"/>
        <v/>
      </c>
    </row>
    <row r="31" spans="1:15" x14ac:dyDescent="0.25">
      <c r="A31" s="11">
        <f t="shared" si="3"/>
        <v>2</v>
      </c>
      <c r="B31" s="11">
        <f t="shared" si="4"/>
        <v>12</v>
      </c>
      <c r="C31" s="11">
        <f t="shared" si="5"/>
        <v>25</v>
      </c>
      <c r="D31" s="35">
        <f t="shared" si="0"/>
        <v>1</v>
      </c>
      <c r="E31" t="str">
        <f>E29</f>
        <v>algorithmControlRegisters</v>
      </c>
      <c r="F31" s="10" t="str">
        <f>regList!D29</f>
        <v>AGCControl3</v>
      </c>
      <c r="G31" s="11" t="str">
        <f>regList!C29</f>
        <v>19</v>
      </c>
      <c r="H31" t="s">
        <v>256</v>
      </c>
      <c r="I31" s="11">
        <v>3</v>
      </c>
      <c r="J31" s="11">
        <v>3</v>
      </c>
      <c r="K31" s="11" t="str">
        <f t="shared" si="2"/>
        <v>7</v>
      </c>
      <c r="M31" t="str">
        <f t="shared" si="23"/>
        <v>algorithmControlVGAmin</v>
      </c>
      <c r="N31" s="35" t="s">
        <v>439</v>
      </c>
      <c r="O31" s="35">
        <f t="shared" ref="O31:O36" si="26">C31</f>
        <v>25</v>
      </c>
    </row>
    <row r="32" spans="1:15" x14ac:dyDescent="0.25">
      <c r="A32" s="11">
        <f t="shared" si="3"/>
        <v>2</v>
      </c>
      <c r="B32" s="11">
        <f t="shared" si="4"/>
        <v>12</v>
      </c>
      <c r="C32" s="11">
        <f t="shared" si="5"/>
        <v>26</v>
      </c>
      <c r="D32" s="35">
        <f t="shared" si="0"/>
        <v>1</v>
      </c>
      <c r="E32" t="str">
        <f>E31</f>
        <v>algorithmControlRegisters</v>
      </c>
      <c r="F32" s="10" t="str">
        <f t="shared" ref="F32" si="27">F31</f>
        <v>AGCControl3</v>
      </c>
      <c r="G32" s="11" t="str">
        <f t="shared" ref="G32" si="28">G31</f>
        <v>19</v>
      </c>
      <c r="H32" t="s">
        <v>257</v>
      </c>
      <c r="I32" s="11">
        <v>0</v>
      </c>
      <c r="J32" s="11">
        <v>3</v>
      </c>
      <c r="K32" s="11" t="str">
        <f t="shared" si="2"/>
        <v>7</v>
      </c>
      <c r="M32" t="str">
        <f t="shared" si="23"/>
        <v/>
      </c>
      <c r="O32" s="35">
        <f t="shared" si="26"/>
        <v>26</v>
      </c>
    </row>
    <row r="33" spans="1:15" x14ac:dyDescent="0.25">
      <c r="A33" s="11">
        <f t="shared" si="3"/>
        <v>2</v>
      </c>
      <c r="B33" s="11">
        <f t="shared" si="4"/>
        <v>13</v>
      </c>
      <c r="C33" s="11">
        <f t="shared" si="5"/>
        <v>27</v>
      </c>
      <c r="D33" s="35">
        <f t="shared" si="0"/>
        <v>1</v>
      </c>
      <c r="E33" t="str">
        <f>E31</f>
        <v>algorithmControlRegisters</v>
      </c>
      <c r="F33" s="10" t="str">
        <f>regList!D30</f>
        <v>DSPEnable</v>
      </c>
      <c r="G33" s="11" t="str">
        <f>regList!C30</f>
        <v>1A</v>
      </c>
      <c r="H33" t="s">
        <v>258</v>
      </c>
      <c r="I33" s="11">
        <v>3</v>
      </c>
      <c r="J33" s="11">
        <v>1</v>
      </c>
      <c r="K33" s="11" t="str">
        <f t="shared" si="2"/>
        <v>1</v>
      </c>
      <c r="M33" t="str">
        <f t="shared" si="23"/>
        <v>algorithmControlDSPen</v>
      </c>
      <c r="N33" s="35" t="s">
        <v>440</v>
      </c>
      <c r="O33" s="35">
        <f t="shared" si="26"/>
        <v>27</v>
      </c>
    </row>
    <row r="34" spans="1:15" x14ac:dyDescent="0.25">
      <c r="A34" s="11">
        <f t="shared" si="3"/>
        <v>2</v>
      </c>
      <c r="B34" s="11">
        <f t="shared" si="4"/>
        <v>13</v>
      </c>
      <c r="C34" s="11">
        <f t="shared" si="5"/>
        <v>28</v>
      </c>
      <c r="D34" s="35">
        <f t="shared" si="0"/>
        <v>1</v>
      </c>
      <c r="E34" t="str">
        <f t="shared" ref="E34:E36" si="29">E33</f>
        <v>algorithmControlRegisters</v>
      </c>
      <c r="F34" s="10" t="str">
        <f t="shared" ref="F34:F36" si="30">F33</f>
        <v>DSPEnable</v>
      </c>
      <c r="G34" s="11" t="str">
        <f t="shared" ref="G34:G36" si="31">G33</f>
        <v>1A</v>
      </c>
      <c r="H34" t="s">
        <v>251</v>
      </c>
      <c r="I34" s="11">
        <v>2</v>
      </c>
      <c r="J34" s="11">
        <v>1</v>
      </c>
      <c r="K34" s="11" t="str">
        <f t="shared" si="2"/>
        <v>1</v>
      </c>
      <c r="M34" t="str">
        <f t="shared" si="23"/>
        <v/>
      </c>
      <c r="O34" s="35">
        <f t="shared" si="26"/>
        <v>28</v>
      </c>
    </row>
    <row r="35" spans="1:15" x14ac:dyDescent="0.25">
      <c r="A35" s="11">
        <f t="shared" si="3"/>
        <v>2</v>
      </c>
      <c r="B35" s="11">
        <f t="shared" si="4"/>
        <v>13</v>
      </c>
      <c r="C35" s="11">
        <f t="shared" si="5"/>
        <v>29</v>
      </c>
      <c r="D35" s="35">
        <f t="shared" si="0"/>
        <v>1</v>
      </c>
      <c r="E35" t="str">
        <f t="shared" si="29"/>
        <v>algorithmControlRegisters</v>
      </c>
      <c r="F35" s="10" t="str">
        <f t="shared" si="30"/>
        <v>DSPEnable</v>
      </c>
      <c r="G35" s="11" t="str">
        <f t="shared" si="31"/>
        <v>1A</v>
      </c>
      <c r="H35" t="s">
        <v>259</v>
      </c>
      <c r="I35" s="11">
        <v>1</v>
      </c>
      <c r="J35" s="11">
        <v>1</v>
      </c>
      <c r="K35" s="11" t="str">
        <f t="shared" si="2"/>
        <v>1</v>
      </c>
      <c r="M35" t="str">
        <f t="shared" si="23"/>
        <v/>
      </c>
      <c r="O35" s="35">
        <f t="shared" si="26"/>
        <v>29</v>
      </c>
    </row>
    <row r="36" spans="1:15" x14ac:dyDescent="0.25">
      <c r="A36" s="11">
        <f t="shared" si="3"/>
        <v>2</v>
      </c>
      <c r="B36" s="11">
        <f t="shared" si="4"/>
        <v>13</v>
      </c>
      <c r="C36" s="11">
        <f t="shared" si="5"/>
        <v>30</v>
      </c>
      <c r="D36" s="35">
        <f t="shared" si="0"/>
        <v>1</v>
      </c>
      <c r="E36" t="str">
        <f t="shared" si="29"/>
        <v>algorithmControlRegisters</v>
      </c>
      <c r="F36" s="10" t="str">
        <f t="shared" si="30"/>
        <v>DSPEnable</v>
      </c>
      <c r="G36" s="11" t="str">
        <f t="shared" si="31"/>
        <v>1A</v>
      </c>
      <c r="H36" t="s">
        <v>260</v>
      </c>
      <c r="I36" s="11">
        <v>0</v>
      </c>
      <c r="J36" s="11">
        <v>1</v>
      </c>
      <c r="K36" s="11" t="str">
        <f t="shared" si="2"/>
        <v>1</v>
      </c>
      <c r="M36" t="str">
        <f t="shared" si="23"/>
        <v/>
      </c>
      <c r="O36" s="35">
        <f t="shared" si="26"/>
        <v>30</v>
      </c>
    </row>
    <row r="37" spans="1:15" x14ac:dyDescent="0.25">
      <c r="A37" s="11">
        <f t="shared" si="3"/>
        <v>3</v>
      </c>
      <c r="B37" s="11">
        <f t="shared" si="4"/>
        <v>14</v>
      </c>
      <c r="C37" s="11">
        <f t="shared" si="5"/>
        <v>31</v>
      </c>
      <c r="D37" s="35">
        <f t="shared" si="0"/>
        <v>0</v>
      </c>
      <c r="E37" t="s">
        <v>213</v>
      </c>
      <c r="F37" s="10" t="str">
        <f>regList!D31</f>
        <v>DCSaturationThreshold</v>
      </c>
      <c r="G37" s="11" t="str">
        <f>regList!C31</f>
        <v>1B</v>
      </c>
      <c r="H37" t="s">
        <v>261</v>
      </c>
      <c r="I37" s="11">
        <v>0</v>
      </c>
      <c r="J37" s="11">
        <v>8</v>
      </c>
      <c r="K37" s="11" t="str">
        <f t="shared" si="2"/>
        <v>FF</v>
      </c>
      <c r="M37" t="str">
        <f t="shared" si="23"/>
        <v/>
      </c>
    </row>
    <row r="38" spans="1:15" x14ac:dyDescent="0.25">
      <c r="A38" s="11">
        <f t="shared" si="3"/>
        <v>3</v>
      </c>
      <c r="B38" s="11">
        <f t="shared" si="4"/>
        <v>15</v>
      </c>
      <c r="C38" s="11">
        <f t="shared" si="5"/>
        <v>32</v>
      </c>
      <c r="D38" s="35">
        <f t="shared" si="0"/>
        <v>0</v>
      </c>
      <c r="E38" t="str">
        <f t="shared" ref="E38:E41" si="32">E37</f>
        <v>signalIntegrityRegisters</v>
      </c>
      <c r="F38" s="10" t="str">
        <f>regList!D32</f>
        <v>NoiseThresholdOffset</v>
      </c>
      <c r="G38" s="11" t="str">
        <f>regList!C32</f>
        <v>1C</v>
      </c>
      <c r="H38" t="s">
        <v>262</v>
      </c>
      <c r="I38" s="11">
        <v>0</v>
      </c>
      <c r="J38" s="11">
        <v>6</v>
      </c>
      <c r="K38" s="11" t="str">
        <f t="shared" si="2"/>
        <v>3F</v>
      </c>
      <c r="M38" t="str">
        <f t="shared" si="23"/>
        <v/>
      </c>
    </row>
    <row r="39" spans="1:15" x14ac:dyDescent="0.25">
      <c r="A39" s="11">
        <f t="shared" si="3"/>
        <v>3</v>
      </c>
      <c r="B39" s="11">
        <f t="shared" si="4"/>
        <v>16</v>
      </c>
      <c r="C39" s="11">
        <f t="shared" si="5"/>
        <v>33</v>
      </c>
      <c r="D39" s="35">
        <f t="shared" si="0"/>
        <v>0</v>
      </c>
      <c r="E39" t="str">
        <f t="shared" si="32"/>
        <v>signalIntegrityRegisters</v>
      </c>
      <c r="F39" s="10" t="str">
        <f>regList!D33</f>
        <v>NoiseThresholdSlope</v>
      </c>
      <c r="G39" s="11" t="str">
        <f>regList!C33</f>
        <v>1D</v>
      </c>
      <c r="H39" t="s">
        <v>263</v>
      </c>
      <c r="I39" s="11">
        <v>0</v>
      </c>
      <c r="J39" s="11">
        <v>3</v>
      </c>
      <c r="K39" s="11" t="str">
        <f t="shared" si="2"/>
        <v>7</v>
      </c>
      <c r="M39" t="str">
        <f t="shared" si="23"/>
        <v/>
      </c>
    </row>
    <row r="40" spans="1:15" x14ac:dyDescent="0.25">
      <c r="A40" s="11">
        <f t="shared" si="3"/>
        <v>3</v>
      </c>
      <c r="B40" s="11">
        <f t="shared" si="4"/>
        <v>17</v>
      </c>
      <c r="C40" s="11">
        <f t="shared" si="5"/>
        <v>34</v>
      </c>
      <c r="D40" s="35">
        <f t="shared" si="0"/>
        <v>0</v>
      </c>
      <c r="E40" t="str">
        <f t="shared" si="32"/>
        <v>signalIntegrityRegisters</v>
      </c>
      <c r="F40" s="10" t="str">
        <f>regList!D34</f>
        <v>MagnitudeSquelchExponent</v>
      </c>
      <c r="G40" s="11" t="str">
        <f>regList!C34</f>
        <v>1E</v>
      </c>
      <c r="H40" t="s">
        <v>265</v>
      </c>
      <c r="I40" s="11">
        <v>0</v>
      </c>
      <c r="J40" s="11">
        <v>4</v>
      </c>
      <c r="K40" s="11" t="str">
        <f t="shared" si="2"/>
        <v>F</v>
      </c>
      <c r="M40" t="str">
        <f t="shared" si="23"/>
        <v/>
      </c>
    </row>
    <row r="41" spans="1:15" x14ac:dyDescent="0.25">
      <c r="A41" s="11">
        <f t="shared" si="3"/>
        <v>3</v>
      </c>
      <c r="B41" s="11">
        <f t="shared" si="4"/>
        <v>18</v>
      </c>
      <c r="C41" s="11">
        <f t="shared" si="5"/>
        <v>35</v>
      </c>
      <c r="D41" s="35">
        <f t="shared" si="0"/>
        <v>0</v>
      </c>
      <c r="E41" t="str">
        <f t="shared" si="32"/>
        <v>signalIntegrityRegisters</v>
      </c>
      <c r="F41" s="10" t="str">
        <f>regList!D35</f>
        <v>MagnitudeSquelch</v>
      </c>
      <c r="G41" s="11" t="str">
        <f>regList!C35</f>
        <v>1F</v>
      </c>
      <c r="H41" t="s">
        <v>264</v>
      </c>
      <c r="I41" s="11">
        <v>0</v>
      </c>
      <c r="J41" s="11">
        <v>8</v>
      </c>
      <c r="K41" s="11" t="str">
        <f t="shared" si="2"/>
        <v>FF</v>
      </c>
      <c r="M41" t="str">
        <f t="shared" si="23"/>
        <v/>
      </c>
    </row>
    <row r="42" spans="1:15" x14ac:dyDescent="0.25">
      <c r="A42" s="11">
        <f t="shared" si="3"/>
        <v>3</v>
      </c>
      <c r="B42" s="11">
        <f t="shared" si="4"/>
        <v>19</v>
      </c>
      <c r="C42" s="11">
        <f t="shared" si="5"/>
        <v>36</v>
      </c>
      <c r="D42" s="35">
        <f t="shared" si="0"/>
        <v>0</v>
      </c>
      <c r="E42" t="str">
        <f t="shared" ref="E42:E71" si="33">E41</f>
        <v>signalIntegrityRegisters</v>
      </c>
      <c r="F42" s="10" t="str">
        <f>regList!D36</f>
        <v>CircuitNoise</v>
      </c>
      <c r="G42" s="11" t="str">
        <f>regList!C36</f>
        <v>20</v>
      </c>
      <c r="H42" t="s">
        <v>266</v>
      </c>
      <c r="I42" s="11">
        <v>1</v>
      </c>
      <c r="J42" s="11">
        <v>7</v>
      </c>
      <c r="K42" s="11" t="str">
        <f t="shared" si="2"/>
        <v>7F</v>
      </c>
      <c r="M42" t="str">
        <f t="shared" si="23"/>
        <v/>
      </c>
    </row>
    <row r="43" spans="1:15" x14ac:dyDescent="0.25">
      <c r="A43" s="11">
        <f t="shared" si="3"/>
        <v>3</v>
      </c>
      <c r="B43" s="11">
        <f t="shared" si="4"/>
        <v>19</v>
      </c>
      <c r="C43" s="11">
        <f t="shared" si="5"/>
        <v>37</v>
      </c>
      <c r="D43" s="35">
        <f t="shared" si="0"/>
        <v>0</v>
      </c>
      <c r="E43" t="str">
        <f t="shared" si="33"/>
        <v>signalIntegrityRegisters</v>
      </c>
      <c r="F43" s="10" t="str">
        <f t="shared" ref="F43" si="34">F42</f>
        <v>CircuitNoise</v>
      </c>
      <c r="G43" s="11" t="str">
        <f t="shared" ref="G43" si="35">G42</f>
        <v>20</v>
      </c>
      <c r="H43" t="s">
        <v>267</v>
      </c>
      <c r="I43" s="11">
        <v>0</v>
      </c>
      <c r="J43" s="11">
        <v>1</v>
      </c>
      <c r="K43" s="11" t="str">
        <f t="shared" si="2"/>
        <v>1</v>
      </c>
      <c r="M43" t="str">
        <f t="shared" si="23"/>
        <v/>
      </c>
    </row>
    <row r="44" spans="1:15" x14ac:dyDescent="0.25">
      <c r="A44" s="11">
        <f t="shared" si="3"/>
        <v>3</v>
      </c>
      <c r="B44" s="11">
        <f t="shared" si="4"/>
        <v>20</v>
      </c>
      <c r="C44" s="11">
        <f t="shared" si="5"/>
        <v>38</v>
      </c>
      <c r="D44" s="35">
        <f t="shared" si="0"/>
        <v>0</v>
      </c>
      <c r="E44" t="str">
        <f>E42</f>
        <v>signalIntegrityRegisters</v>
      </c>
      <c r="F44" s="10" t="str">
        <f>regList!D37</f>
        <v>NoiseGain</v>
      </c>
      <c r="G44" s="11" t="str">
        <f>regList!C37</f>
        <v>21</v>
      </c>
      <c r="H44" t="s">
        <v>233</v>
      </c>
      <c r="I44" s="11">
        <v>0</v>
      </c>
      <c r="J44" s="11">
        <v>8</v>
      </c>
      <c r="K44" s="11" t="str">
        <f t="shared" si="2"/>
        <v>FF</v>
      </c>
      <c r="M44" t="str">
        <f t="shared" si="23"/>
        <v/>
      </c>
    </row>
    <row r="45" spans="1:15" x14ac:dyDescent="0.25">
      <c r="A45" s="11">
        <f t="shared" si="3"/>
        <v>3</v>
      </c>
      <c r="B45" s="11">
        <f t="shared" si="4"/>
        <v>21</v>
      </c>
      <c r="C45" s="11">
        <f t="shared" si="5"/>
        <v>39</v>
      </c>
      <c r="D45" s="35">
        <f t="shared" si="0"/>
        <v>0</v>
      </c>
      <c r="E45" t="str">
        <f t="shared" si="33"/>
        <v>signalIntegrityRegisters</v>
      </c>
      <c r="F45" s="10" t="str">
        <f>regList!D38</f>
        <v>FixedError</v>
      </c>
      <c r="G45" s="11" t="str">
        <f>regList!C38</f>
        <v>22</v>
      </c>
      <c r="H45" t="s">
        <v>234</v>
      </c>
      <c r="I45" s="11">
        <v>0</v>
      </c>
      <c r="J45" s="11">
        <v>8</v>
      </c>
      <c r="K45" s="11" t="str">
        <f t="shared" si="2"/>
        <v>FF</v>
      </c>
      <c r="M45" t="str">
        <f t="shared" si="23"/>
        <v/>
      </c>
    </row>
    <row r="46" spans="1:15" x14ac:dyDescent="0.25">
      <c r="A46" s="11">
        <f t="shared" si="3"/>
        <v>3</v>
      </c>
      <c r="B46" s="11">
        <f t="shared" si="4"/>
        <v>22</v>
      </c>
      <c r="C46" s="11">
        <f t="shared" si="5"/>
        <v>40</v>
      </c>
      <c r="D46" s="35">
        <f t="shared" si="0"/>
        <v>0</v>
      </c>
      <c r="E46" t="str">
        <f t="shared" si="33"/>
        <v>signalIntegrityRegisters</v>
      </c>
      <c r="F46" s="10" t="str">
        <f>regList!D39</f>
        <v>CollisionPeakSelect</v>
      </c>
      <c r="G46" s="11" t="str">
        <f>regList!C39</f>
        <v>23</v>
      </c>
      <c r="H46" t="s">
        <v>268</v>
      </c>
      <c r="I46" s="11">
        <v>0</v>
      </c>
      <c r="J46" s="11">
        <v>3</v>
      </c>
      <c r="K46" s="11" t="str">
        <f t="shared" si="2"/>
        <v>7</v>
      </c>
      <c r="M46" t="str">
        <f t="shared" si="23"/>
        <v/>
      </c>
    </row>
    <row r="47" spans="1:15" x14ac:dyDescent="0.25">
      <c r="A47" s="11">
        <f t="shared" si="3"/>
        <v>4</v>
      </c>
      <c r="B47" s="11">
        <f t="shared" si="4"/>
        <v>23</v>
      </c>
      <c r="C47" s="11">
        <f t="shared" si="5"/>
        <v>41</v>
      </c>
      <c r="D47" s="35">
        <f t="shared" si="0"/>
        <v>0</v>
      </c>
      <c r="E47" t="s">
        <v>214</v>
      </c>
      <c r="F47" s="10" t="str">
        <f>regList!D40</f>
        <v>CrosstalkIExponent</v>
      </c>
      <c r="G47" s="11" t="str">
        <f>regList!C40</f>
        <v>24</v>
      </c>
      <c r="H47" t="s">
        <v>269</v>
      </c>
      <c r="I47" s="11">
        <v>0</v>
      </c>
      <c r="J47" s="11">
        <v>8</v>
      </c>
      <c r="K47" s="11" t="str">
        <f t="shared" si="2"/>
        <v>FF</v>
      </c>
      <c r="M47" t="str">
        <f t="shared" si="23"/>
        <v/>
      </c>
    </row>
    <row r="48" spans="1:15" x14ac:dyDescent="0.25">
      <c r="A48" s="11">
        <f t="shared" si="3"/>
        <v>4</v>
      </c>
      <c r="B48" s="11">
        <f t="shared" si="4"/>
        <v>24</v>
      </c>
      <c r="C48" s="11">
        <f t="shared" si="5"/>
        <v>42</v>
      </c>
      <c r="D48" s="35">
        <f t="shared" si="0"/>
        <v>0</v>
      </c>
      <c r="E48" t="str">
        <f t="shared" si="33"/>
        <v>closedLoopCalibrationRegisters</v>
      </c>
      <c r="F48" s="10" t="str">
        <f>regList!D41</f>
        <v>CrosstalkIMSB</v>
      </c>
      <c r="G48" s="11" t="str">
        <f>regList!C41</f>
        <v>25</v>
      </c>
      <c r="H48" t="s">
        <v>271</v>
      </c>
      <c r="I48" s="11">
        <v>0</v>
      </c>
      <c r="J48" s="11">
        <v>16</v>
      </c>
      <c r="K48" s="11" t="str">
        <f t="shared" si="2"/>
        <v>FFFF</v>
      </c>
      <c r="M48" t="str">
        <f t="shared" si="23"/>
        <v/>
      </c>
    </row>
    <row r="49" spans="1:13" x14ac:dyDescent="0.25">
      <c r="A49" s="11">
        <f t="shared" si="3"/>
        <v>4</v>
      </c>
      <c r="B49" s="11">
        <f t="shared" si="4"/>
        <v>25</v>
      </c>
      <c r="C49" s="11">
        <f t="shared" si="5"/>
        <v>42</v>
      </c>
      <c r="D49" s="35">
        <f t="shared" si="0"/>
        <v>0</v>
      </c>
      <c r="E49" t="str">
        <f t="shared" si="33"/>
        <v>closedLoopCalibrationRegisters</v>
      </c>
      <c r="F49" s="10" t="str">
        <f>regList!D42</f>
        <v>CrosstalkILSB</v>
      </c>
      <c r="G49" s="11" t="str">
        <f>regList!C42</f>
        <v>26</v>
      </c>
      <c r="K49" s="11" t="str">
        <f t="shared" si="2"/>
        <v/>
      </c>
      <c r="M49" t="str">
        <f t="shared" si="23"/>
        <v/>
      </c>
    </row>
    <row r="50" spans="1:13" x14ac:dyDescent="0.25">
      <c r="A50" s="11">
        <f t="shared" si="3"/>
        <v>4</v>
      </c>
      <c r="B50" s="11">
        <f t="shared" si="4"/>
        <v>26</v>
      </c>
      <c r="C50" s="11">
        <f t="shared" si="5"/>
        <v>43</v>
      </c>
      <c r="D50" s="35">
        <f t="shared" si="0"/>
        <v>0</v>
      </c>
      <c r="E50" t="str">
        <f t="shared" si="33"/>
        <v>closedLoopCalibrationRegisters</v>
      </c>
      <c r="F50" s="10" t="str">
        <f>regList!D43</f>
        <v>CrosstalkQExponent</v>
      </c>
      <c r="G50" s="11" t="str">
        <f>regList!C43</f>
        <v>27</v>
      </c>
      <c r="H50" t="s">
        <v>270</v>
      </c>
      <c r="I50" s="11">
        <v>0</v>
      </c>
      <c r="J50" s="11">
        <v>8</v>
      </c>
      <c r="K50" s="11" t="str">
        <f t="shared" si="2"/>
        <v>FF</v>
      </c>
      <c r="M50" t="str">
        <f t="shared" si="23"/>
        <v/>
      </c>
    </row>
    <row r="51" spans="1:13" x14ac:dyDescent="0.25">
      <c r="A51" s="11">
        <f t="shared" si="3"/>
        <v>4</v>
      </c>
      <c r="B51" s="11">
        <f t="shared" si="4"/>
        <v>27</v>
      </c>
      <c r="C51" s="11">
        <f t="shared" si="5"/>
        <v>44</v>
      </c>
      <c r="D51" s="35">
        <f t="shared" si="0"/>
        <v>0</v>
      </c>
      <c r="E51" t="str">
        <f t="shared" si="33"/>
        <v>closedLoopCalibrationRegisters</v>
      </c>
      <c r="F51" s="10" t="str">
        <f>regList!D44</f>
        <v>CrosstalkQMSB</v>
      </c>
      <c r="G51" s="11" t="str">
        <f>regList!C44</f>
        <v>28</v>
      </c>
      <c r="H51" t="s">
        <v>272</v>
      </c>
      <c r="I51" s="11">
        <v>0</v>
      </c>
      <c r="J51" s="11">
        <v>16</v>
      </c>
      <c r="K51" s="11" t="str">
        <f t="shared" si="2"/>
        <v>FFFF</v>
      </c>
      <c r="M51" t="str">
        <f t="shared" si="23"/>
        <v/>
      </c>
    </row>
    <row r="52" spans="1:13" x14ac:dyDescent="0.25">
      <c r="A52" s="11">
        <f t="shared" si="3"/>
        <v>4</v>
      </c>
      <c r="B52" s="11">
        <f t="shared" si="4"/>
        <v>28</v>
      </c>
      <c r="C52" s="11">
        <f t="shared" si="5"/>
        <v>44</v>
      </c>
      <c r="D52" s="35">
        <f t="shared" si="0"/>
        <v>0</v>
      </c>
      <c r="E52" t="str">
        <f t="shared" si="33"/>
        <v>closedLoopCalibrationRegisters</v>
      </c>
      <c r="F52" s="10" t="str">
        <f>regList!D45</f>
        <v>CrosstalkQLSB</v>
      </c>
      <c r="G52" s="11" t="str">
        <f>regList!C45</f>
        <v>29</v>
      </c>
      <c r="K52" s="11" t="str">
        <f t="shared" si="2"/>
        <v/>
      </c>
      <c r="M52" t="str">
        <f t="shared" si="23"/>
        <v/>
      </c>
    </row>
    <row r="53" spans="1:13" x14ac:dyDescent="0.25">
      <c r="A53" s="11">
        <f t="shared" si="3"/>
        <v>4</v>
      </c>
      <c r="B53" s="11">
        <f t="shared" si="4"/>
        <v>29</v>
      </c>
      <c r="C53" s="11">
        <f t="shared" si="5"/>
        <v>45</v>
      </c>
      <c r="D53" s="35">
        <f t="shared" si="0"/>
        <v>0</v>
      </c>
      <c r="E53" t="str">
        <f t="shared" si="33"/>
        <v>closedLoopCalibrationRegisters</v>
      </c>
      <c r="F53" s="10" t="str">
        <f>regList!D46</f>
        <v>CrosstalkGainMSB</v>
      </c>
      <c r="G53" s="11" t="str">
        <f>regList!C46</f>
        <v>2A</v>
      </c>
      <c r="H53" t="s">
        <v>273</v>
      </c>
      <c r="I53" s="11">
        <v>0</v>
      </c>
      <c r="J53" s="11">
        <v>16</v>
      </c>
      <c r="K53" s="11" t="str">
        <f t="shared" si="2"/>
        <v>FFFF</v>
      </c>
      <c r="M53" t="str">
        <f t="shared" si="23"/>
        <v/>
      </c>
    </row>
    <row r="54" spans="1:13" x14ac:dyDescent="0.25">
      <c r="A54" s="11">
        <f t="shared" si="3"/>
        <v>4</v>
      </c>
      <c r="B54" s="11">
        <f t="shared" si="4"/>
        <v>30</v>
      </c>
      <c r="C54" s="11">
        <f t="shared" si="5"/>
        <v>45</v>
      </c>
      <c r="D54" s="35">
        <f t="shared" si="0"/>
        <v>0</v>
      </c>
      <c r="E54" t="str">
        <f t="shared" si="33"/>
        <v>closedLoopCalibrationRegisters</v>
      </c>
      <c r="F54" s="10" t="str">
        <f>regList!D47</f>
        <v>CrosstalkGainLSB</v>
      </c>
      <c r="G54" s="11" t="str">
        <f>regList!C47</f>
        <v>2B</v>
      </c>
      <c r="K54" s="11" t="str">
        <f t="shared" si="2"/>
        <v/>
      </c>
      <c r="M54" t="str">
        <f t="shared" si="23"/>
        <v/>
      </c>
    </row>
    <row r="55" spans="1:13" x14ac:dyDescent="0.25">
      <c r="A55" s="11">
        <f t="shared" si="3"/>
        <v>4</v>
      </c>
      <c r="B55" s="11">
        <f t="shared" si="4"/>
        <v>31</v>
      </c>
      <c r="C55" s="11">
        <f t="shared" si="5"/>
        <v>46</v>
      </c>
      <c r="D55" s="35">
        <f t="shared" si="0"/>
        <v>0</v>
      </c>
      <c r="E55" t="str">
        <f t="shared" si="33"/>
        <v>closedLoopCalibrationRegisters</v>
      </c>
      <c r="F55" s="10" t="str">
        <f>regList!D48</f>
        <v>MagnitudeReferenceExp</v>
      </c>
      <c r="G55" s="11" t="str">
        <f>regList!C48</f>
        <v>2C</v>
      </c>
      <c r="H55" t="s">
        <v>274</v>
      </c>
      <c r="I55" s="11">
        <v>0</v>
      </c>
      <c r="J55" s="11">
        <v>4</v>
      </c>
      <c r="K55" s="11" t="str">
        <f t="shared" si="2"/>
        <v>F</v>
      </c>
      <c r="M55" t="str">
        <f t="shared" si="23"/>
        <v/>
      </c>
    </row>
    <row r="56" spans="1:13" x14ac:dyDescent="0.25">
      <c r="A56" s="11">
        <f t="shared" si="3"/>
        <v>4</v>
      </c>
      <c r="B56" s="11">
        <f t="shared" si="4"/>
        <v>32</v>
      </c>
      <c r="C56" s="11">
        <f t="shared" si="5"/>
        <v>47</v>
      </c>
      <c r="D56" s="35">
        <f t="shared" si="0"/>
        <v>0</v>
      </c>
      <c r="E56" t="str">
        <f t="shared" si="33"/>
        <v>closedLoopCalibrationRegisters</v>
      </c>
      <c r="F56" s="10" t="str">
        <f>regList!D49</f>
        <v>MagnitudeReferenceMSB</v>
      </c>
      <c r="G56" s="11" t="str">
        <f>regList!C49</f>
        <v>2D</v>
      </c>
      <c r="H56" t="s">
        <v>275</v>
      </c>
      <c r="I56" s="11">
        <v>0</v>
      </c>
      <c r="J56" s="11">
        <v>16</v>
      </c>
      <c r="K56" s="11" t="str">
        <f t="shared" si="2"/>
        <v>FFFF</v>
      </c>
      <c r="M56" t="str">
        <f t="shared" si="23"/>
        <v/>
      </c>
    </row>
    <row r="57" spans="1:13" x14ac:dyDescent="0.25">
      <c r="A57" s="11">
        <f t="shared" si="3"/>
        <v>4</v>
      </c>
      <c r="B57" s="11">
        <f t="shared" si="4"/>
        <v>33</v>
      </c>
      <c r="C57" s="11">
        <f t="shared" si="5"/>
        <v>47</v>
      </c>
      <c r="D57" s="35">
        <f t="shared" si="0"/>
        <v>0</v>
      </c>
      <c r="E57" t="str">
        <f t="shared" si="33"/>
        <v>closedLoopCalibrationRegisters</v>
      </c>
      <c r="F57" s="10" t="str">
        <f>regList!D50</f>
        <v>MagnitudeReferenceLSB</v>
      </c>
      <c r="G57" s="11" t="str">
        <f>regList!C50</f>
        <v>2E</v>
      </c>
      <c r="K57" s="11" t="str">
        <f t="shared" si="2"/>
        <v/>
      </c>
      <c r="M57" t="str">
        <f t="shared" si="23"/>
        <v/>
      </c>
    </row>
    <row r="58" spans="1:13" x14ac:dyDescent="0.25">
      <c r="A58" s="11">
        <f t="shared" si="3"/>
        <v>4</v>
      </c>
      <c r="B58" s="11">
        <f t="shared" si="4"/>
        <v>34</v>
      </c>
      <c r="C58" s="11">
        <f t="shared" si="5"/>
        <v>48</v>
      </c>
      <c r="D58" s="35">
        <f t="shared" si="0"/>
        <v>0</v>
      </c>
      <c r="E58" t="str">
        <f t="shared" si="33"/>
        <v>closedLoopCalibrationRegisters</v>
      </c>
      <c r="F58" s="10" t="str">
        <f>regList!D51</f>
        <v>PhaseOffsetMSB</v>
      </c>
      <c r="G58" s="11" t="str">
        <f>regList!C51</f>
        <v>2F</v>
      </c>
      <c r="H58" t="s">
        <v>276</v>
      </c>
      <c r="I58" s="11">
        <v>0</v>
      </c>
      <c r="J58" s="11">
        <v>16</v>
      </c>
      <c r="K58" s="11" t="str">
        <f t="shared" si="2"/>
        <v>FFFF</v>
      </c>
      <c r="M58" t="str">
        <f t="shared" si="23"/>
        <v/>
      </c>
    </row>
    <row r="59" spans="1:13" x14ac:dyDescent="0.25">
      <c r="A59" s="11">
        <f t="shared" si="3"/>
        <v>4</v>
      </c>
      <c r="B59" s="11">
        <f t="shared" si="4"/>
        <v>35</v>
      </c>
      <c r="C59" s="11">
        <f t="shared" si="5"/>
        <v>48</v>
      </c>
      <c r="D59" s="35">
        <f t="shared" si="0"/>
        <v>0</v>
      </c>
      <c r="E59" t="str">
        <f t="shared" si="33"/>
        <v>closedLoopCalibrationRegisters</v>
      </c>
      <c r="F59" s="10" t="str">
        <f>regList!D52</f>
        <v>PhaseOffsetLSB</v>
      </c>
      <c r="G59" s="11" t="str">
        <f>regList!C52</f>
        <v>30</v>
      </c>
      <c r="K59" s="11" t="str">
        <f t="shared" si="2"/>
        <v/>
      </c>
      <c r="M59" t="str">
        <f t="shared" si="23"/>
        <v/>
      </c>
    </row>
    <row r="60" spans="1:13" x14ac:dyDescent="0.25">
      <c r="A60" s="11">
        <f t="shared" si="3"/>
        <v>5</v>
      </c>
      <c r="B60" s="11">
        <f t="shared" si="4"/>
        <v>36</v>
      </c>
      <c r="C60" s="11">
        <f t="shared" si="5"/>
        <v>49</v>
      </c>
      <c r="D60" s="35">
        <f t="shared" si="0"/>
        <v>0</v>
      </c>
      <c r="E60" t="s">
        <v>444</v>
      </c>
      <c r="F60" s="10" t="str">
        <f>regList!D53</f>
        <v>TemperatureReference</v>
      </c>
      <c r="G60" s="11" t="str">
        <f>regList!C53</f>
        <v>31</v>
      </c>
      <c r="H60" t="s">
        <v>277</v>
      </c>
      <c r="I60" s="11">
        <v>0</v>
      </c>
      <c r="J60" s="11">
        <v>8</v>
      </c>
      <c r="K60" s="11" t="str">
        <f t="shared" si="2"/>
        <v>FF</v>
      </c>
      <c r="M60" t="str">
        <f t="shared" si="23"/>
        <v/>
      </c>
    </row>
    <row r="61" spans="1:13" x14ac:dyDescent="0.25">
      <c r="A61" s="11">
        <f t="shared" si="3"/>
        <v>5</v>
      </c>
      <c r="B61" s="11">
        <f t="shared" si="4"/>
        <v>37</v>
      </c>
      <c r="C61" s="11">
        <f t="shared" si="5"/>
        <v>50</v>
      </c>
      <c r="D61" s="35">
        <f t="shared" si="0"/>
        <v>0</v>
      </c>
      <c r="E61" t="str">
        <f t="shared" si="33"/>
        <v>openLoopCorrectionRegisters</v>
      </c>
      <c r="F61" s="10" t="str">
        <f>regList!D54</f>
        <v>EmitterReference</v>
      </c>
      <c r="G61" s="11" t="str">
        <f>regList!C54</f>
        <v>32</v>
      </c>
      <c r="H61" t="s">
        <v>278</v>
      </c>
      <c r="I61" s="11">
        <v>0</v>
      </c>
      <c r="J61" s="11">
        <v>8</v>
      </c>
      <c r="K61" s="11" t="str">
        <f t="shared" si="2"/>
        <v>FF</v>
      </c>
      <c r="M61" t="str">
        <f t="shared" si="23"/>
        <v/>
      </c>
    </row>
    <row r="62" spans="1:13" x14ac:dyDescent="0.25">
      <c r="A62" s="11">
        <f t="shared" si="3"/>
        <v>5</v>
      </c>
      <c r="B62" s="11">
        <f t="shared" si="4"/>
        <v>38</v>
      </c>
      <c r="C62" s="11">
        <f t="shared" si="5"/>
        <v>51</v>
      </c>
      <c r="D62" s="35">
        <f t="shared" si="0"/>
        <v>1</v>
      </c>
      <c r="E62" t="str">
        <f t="shared" si="33"/>
        <v>openLoopCorrectionRegisters</v>
      </c>
      <c r="F62" s="10" t="str">
        <f>regList!D55</f>
        <v>PhaseExponent</v>
      </c>
      <c r="G62" s="11" t="str">
        <f>regList!C55</f>
        <v>33</v>
      </c>
      <c r="H62" t="s">
        <v>279</v>
      </c>
      <c r="I62" s="11">
        <v>0</v>
      </c>
      <c r="J62" s="11">
        <v>4</v>
      </c>
      <c r="K62" s="11" t="str">
        <f t="shared" si="2"/>
        <v>F</v>
      </c>
      <c r="M62" t="str">
        <f t="shared" si="23"/>
        <v/>
      </c>
    </row>
    <row r="63" spans="1:13" x14ac:dyDescent="0.25">
      <c r="A63" s="11">
        <f t="shared" si="3"/>
        <v>5</v>
      </c>
      <c r="B63" s="11">
        <f t="shared" si="4"/>
        <v>39</v>
      </c>
      <c r="C63" s="11">
        <f t="shared" si="5"/>
        <v>52</v>
      </c>
      <c r="D63" s="35">
        <f t="shared" si="0"/>
        <v>0</v>
      </c>
      <c r="E63" t="str">
        <f t="shared" si="33"/>
        <v>openLoopCorrectionRegisters</v>
      </c>
      <c r="F63" s="10" t="str">
        <f>regList!D56</f>
        <v>PhaseOffsetTempCo1</v>
      </c>
      <c r="G63" s="11" t="str">
        <f>regList!C56</f>
        <v>34</v>
      </c>
      <c r="H63" t="s">
        <v>280</v>
      </c>
      <c r="I63" s="11">
        <v>0</v>
      </c>
      <c r="J63" s="11">
        <v>8</v>
      </c>
      <c r="K63" s="11" t="str">
        <f t="shared" si="2"/>
        <v>FF</v>
      </c>
      <c r="M63" t="str">
        <f t="shared" si="23"/>
        <v/>
      </c>
    </row>
    <row r="64" spans="1:13" x14ac:dyDescent="0.25">
      <c r="A64" s="11">
        <f t="shared" si="3"/>
        <v>5</v>
      </c>
      <c r="B64" s="11">
        <f t="shared" si="4"/>
        <v>40</v>
      </c>
      <c r="C64" s="11">
        <f t="shared" si="5"/>
        <v>53</v>
      </c>
      <c r="D64" s="35">
        <f t="shared" si="0"/>
        <v>0</v>
      </c>
      <c r="E64" t="str">
        <f t="shared" si="33"/>
        <v>openLoopCorrectionRegisters</v>
      </c>
      <c r="F64" s="10" t="str">
        <f>regList!D57</f>
        <v>PhaseOffsetEmitterCo1</v>
      </c>
      <c r="G64" s="11" t="str">
        <f>regList!C57</f>
        <v>35</v>
      </c>
      <c r="H64" t="s">
        <v>284</v>
      </c>
      <c r="I64" s="11">
        <v>0</v>
      </c>
      <c r="J64" s="11">
        <v>8</v>
      </c>
      <c r="K64" s="11" t="str">
        <f t="shared" si="2"/>
        <v>FF</v>
      </c>
      <c r="M64" t="str">
        <f t="shared" si="23"/>
        <v/>
      </c>
    </row>
    <row r="65" spans="1:17" x14ac:dyDescent="0.25">
      <c r="A65" s="11">
        <f t="shared" si="3"/>
        <v>5</v>
      </c>
      <c r="B65" s="11">
        <f t="shared" si="4"/>
        <v>41</v>
      </c>
      <c r="C65" s="11">
        <f t="shared" si="5"/>
        <v>54</v>
      </c>
      <c r="D65" s="35">
        <f t="shared" si="0"/>
        <v>1</v>
      </c>
      <c r="E65" t="str">
        <f t="shared" si="33"/>
        <v>openLoopCorrectionRegisters</v>
      </c>
      <c r="F65" s="10" t="str">
        <f>regList!D58</f>
        <v>PhaseOffsetAmbientCo1</v>
      </c>
      <c r="G65" s="11" t="str">
        <f>regList!C58</f>
        <v>36</v>
      </c>
      <c r="H65" t="s">
        <v>282</v>
      </c>
      <c r="I65" s="11">
        <v>0</v>
      </c>
      <c r="J65" s="11">
        <v>8</v>
      </c>
      <c r="K65" s="11" t="str">
        <f t="shared" si="2"/>
        <v>FF</v>
      </c>
      <c r="M65" t="str">
        <f>IF(N65&lt;&gt;"",MID(E65,1,LEN(E65)-9)&amp;N65,"")</f>
        <v>openLoopCorrectionPhaseOffsetAmbientCoef</v>
      </c>
      <c r="N65" s="35" t="s">
        <v>443</v>
      </c>
      <c r="O65" s="35">
        <f>C62</f>
        <v>51</v>
      </c>
      <c r="P65" s="35">
        <f>C65</f>
        <v>54</v>
      </c>
      <c r="Q65" s="35">
        <f>C70</f>
        <v>59</v>
      </c>
    </row>
    <row r="66" spans="1:17" x14ac:dyDescent="0.25">
      <c r="A66" s="11">
        <f t="shared" si="3"/>
        <v>5</v>
      </c>
      <c r="B66" s="11">
        <f t="shared" si="4"/>
        <v>42</v>
      </c>
      <c r="C66" s="11">
        <f t="shared" si="5"/>
        <v>55</v>
      </c>
      <c r="D66" s="35">
        <f t="shared" si="0"/>
        <v>0</v>
      </c>
      <c r="E66" t="str">
        <f t="shared" si="33"/>
        <v>openLoopCorrectionRegisters</v>
      </c>
      <c r="F66" s="10" t="str">
        <f>regList!D59</f>
        <v>PhaseOffsetVGA1Co1</v>
      </c>
      <c r="G66" s="11" t="str">
        <f>regList!C59</f>
        <v>37</v>
      </c>
      <c r="H66" t="s">
        <v>285</v>
      </c>
      <c r="I66" s="11">
        <v>0</v>
      </c>
      <c r="J66" s="11">
        <v>8</v>
      </c>
      <c r="K66" s="11" t="str">
        <f t="shared" si="2"/>
        <v>FF</v>
      </c>
      <c r="M66" t="str">
        <f t="shared" si="23"/>
        <v/>
      </c>
    </row>
    <row r="67" spans="1:17" x14ac:dyDescent="0.25">
      <c r="A67" s="11">
        <f t="shared" si="3"/>
        <v>5</v>
      </c>
      <c r="B67" s="11">
        <f t="shared" si="4"/>
        <v>43</v>
      </c>
      <c r="C67" s="11">
        <f t="shared" si="5"/>
        <v>56</v>
      </c>
      <c r="D67" s="35">
        <f t="shared" si="0"/>
        <v>0</v>
      </c>
      <c r="E67" t="str">
        <f t="shared" si="33"/>
        <v>openLoopCorrectionRegisters</v>
      </c>
      <c r="F67" s="10" t="str">
        <f>regList!D60</f>
        <v>PhaseOffsetVGA2Co1</v>
      </c>
      <c r="G67" s="11" t="str">
        <f>regList!C60</f>
        <v>38</v>
      </c>
      <c r="H67" t="s">
        <v>288</v>
      </c>
      <c r="I67" s="11">
        <v>0</v>
      </c>
      <c r="J67" s="11">
        <v>8</v>
      </c>
      <c r="K67" s="11" t="str">
        <f t="shared" si="2"/>
        <v>FF</v>
      </c>
      <c r="M67" t="str">
        <f t="shared" si="23"/>
        <v/>
      </c>
    </row>
    <row r="68" spans="1:17" x14ac:dyDescent="0.25">
      <c r="A68" s="11">
        <f t="shared" si="3"/>
        <v>5</v>
      </c>
      <c r="B68" s="11">
        <f t="shared" si="4"/>
        <v>44</v>
      </c>
      <c r="C68" s="11">
        <f t="shared" si="5"/>
        <v>57</v>
      </c>
      <c r="D68" s="35">
        <f t="shared" si="0"/>
        <v>0</v>
      </c>
      <c r="E68" t="str">
        <f t="shared" si="33"/>
        <v>openLoopCorrectionRegisters</v>
      </c>
      <c r="F68" s="10" t="str">
        <f>regList!D61</f>
        <v>PhaseOffsetTempCo2</v>
      </c>
      <c r="G68" s="11" t="str">
        <f>regList!C61</f>
        <v>39</v>
      </c>
      <c r="H68" t="s">
        <v>281</v>
      </c>
      <c r="I68" s="11">
        <v>0</v>
      </c>
      <c r="J68" s="11">
        <v>8</v>
      </c>
      <c r="K68" s="11" t="str">
        <f t="shared" si="2"/>
        <v>FF</v>
      </c>
      <c r="M68" t="str">
        <f t="shared" si="23"/>
        <v/>
      </c>
    </row>
    <row r="69" spans="1:17" x14ac:dyDescent="0.25">
      <c r="A69" s="11">
        <f t="shared" si="3"/>
        <v>5</v>
      </c>
      <c r="B69" s="11">
        <f t="shared" si="4"/>
        <v>45</v>
      </c>
      <c r="C69" s="11">
        <f t="shared" si="5"/>
        <v>58</v>
      </c>
      <c r="D69" s="35">
        <f t="shared" si="0"/>
        <v>0</v>
      </c>
      <c r="E69" t="str">
        <f t="shared" si="33"/>
        <v>openLoopCorrectionRegisters</v>
      </c>
      <c r="F69" s="10" t="str">
        <f>regList!D62</f>
        <v>PhaseOffsetEmitterCo2</v>
      </c>
      <c r="G69" s="11" t="str">
        <f>regList!C62</f>
        <v>3A</v>
      </c>
      <c r="H69" t="s">
        <v>289</v>
      </c>
      <c r="I69" s="11">
        <v>0</v>
      </c>
      <c r="J69" s="11">
        <v>8</v>
      </c>
      <c r="K69" s="11" t="str">
        <f t="shared" si="2"/>
        <v>FF</v>
      </c>
      <c r="M69" t="str">
        <f t="shared" si="23"/>
        <v/>
      </c>
    </row>
    <row r="70" spans="1:17" x14ac:dyDescent="0.25">
      <c r="A70" s="11">
        <f t="shared" si="3"/>
        <v>5</v>
      </c>
      <c r="B70" s="11">
        <f t="shared" si="4"/>
        <v>46</v>
      </c>
      <c r="C70" s="11">
        <f t="shared" si="5"/>
        <v>59</v>
      </c>
      <c r="D70" s="35">
        <f t="shared" ref="D70:D133" si="36">COUNTIF(APIfields,C70)</f>
        <v>1</v>
      </c>
      <c r="E70" t="str">
        <f t="shared" si="33"/>
        <v>openLoopCorrectionRegisters</v>
      </c>
      <c r="F70" s="10" t="str">
        <f>regList!D63</f>
        <v>PhaseOffsetAmbientCo2</v>
      </c>
      <c r="G70" s="11" t="str">
        <f>regList!C63</f>
        <v>3B</v>
      </c>
      <c r="H70" t="s">
        <v>283</v>
      </c>
      <c r="I70" s="11">
        <v>0</v>
      </c>
      <c r="J70" s="11">
        <v>8</v>
      </c>
      <c r="K70" s="11" t="str">
        <f t="shared" si="2"/>
        <v>FF</v>
      </c>
      <c r="M70" t="str">
        <f t="shared" si="23"/>
        <v/>
      </c>
    </row>
    <row r="71" spans="1:17" x14ac:dyDescent="0.25">
      <c r="A71" s="11">
        <f t="shared" si="3"/>
        <v>5</v>
      </c>
      <c r="B71" s="11">
        <f t="shared" si="4"/>
        <v>47</v>
      </c>
      <c r="C71" s="11">
        <f t="shared" si="5"/>
        <v>60</v>
      </c>
      <c r="D71" s="35">
        <f t="shared" si="36"/>
        <v>0</v>
      </c>
      <c r="E71" t="str">
        <f t="shared" si="33"/>
        <v>openLoopCorrectionRegisters</v>
      </c>
      <c r="F71" s="10" t="str">
        <f>regList!D64</f>
        <v>PhaseOffsetVGA1Co2</v>
      </c>
      <c r="G71" s="11" t="str">
        <f>regList!C64</f>
        <v>3C</v>
      </c>
      <c r="H71" t="s">
        <v>286</v>
      </c>
      <c r="I71" s="11">
        <v>0</v>
      </c>
      <c r="J71" s="11">
        <v>8</v>
      </c>
      <c r="K71" s="11" t="str">
        <f t="shared" ref="K71:K163" si="37">IF(J71&lt;&gt;"",DEC2HEX(2^J71-1),"")</f>
        <v>FF</v>
      </c>
      <c r="M71" t="str">
        <f t="shared" si="23"/>
        <v/>
      </c>
    </row>
    <row r="72" spans="1:17" x14ac:dyDescent="0.25">
      <c r="A72" s="11">
        <f t="shared" ref="A72:A135" si="38">IF(E72=E71,A71,A71+1)</f>
        <v>5</v>
      </c>
      <c r="B72" s="11">
        <f t="shared" ref="B72:B135" si="39">IF(F71=F72,B71,B71+1)</f>
        <v>48</v>
      </c>
      <c r="C72" s="11">
        <f t="shared" ref="C72:C135" si="40">IF(H72&lt;&gt;"",C71+1,C71)</f>
        <v>61</v>
      </c>
      <c r="D72" s="35">
        <f t="shared" si="36"/>
        <v>0</v>
      </c>
      <c r="E72" t="str">
        <f t="shared" ref="E72:E150" si="41">E71</f>
        <v>openLoopCorrectionRegisters</v>
      </c>
      <c r="F72" s="10" t="str">
        <f>regList!D65</f>
        <v>PhaseOffsetVGA2Co2</v>
      </c>
      <c r="G72" s="11" t="str">
        <f>regList!C65</f>
        <v>3D</v>
      </c>
      <c r="H72" t="s">
        <v>287</v>
      </c>
      <c r="I72" s="11">
        <v>0</v>
      </c>
      <c r="J72" s="11">
        <v>8</v>
      </c>
      <c r="K72" s="11" t="str">
        <f t="shared" si="37"/>
        <v>FF</v>
      </c>
      <c r="M72" t="str">
        <f t="shared" si="23"/>
        <v/>
      </c>
    </row>
    <row r="73" spans="1:17" x14ac:dyDescent="0.25">
      <c r="A73" s="11">
        <f t="shared" si="38"/>
        <v>5</v>
      </c>
      <c r="B73" s="11">
        <f t="shared" si="39"/>
        <v>49</v>
      </c>
      <c r="C73" s="11">
        <f t="shared" si="40"/>
        <v>62</v>
      </c>
      <c r="D73" s="35">
        <f t="shared" si="36"/>
        <v>0</v>
      </c>
      <c r="E73" t="str">
        <f t="shared" si="41"/>
        <v>openLoopCorrectionRegisters</v>
      </c>
      <c r="F73" s="10" t="str">
        <f>regList!D66</f>
        <v>CrosstalkITempCo1</v>
      </c>
      <c r="G73" s="11" t="str">
        <f>regList!C66</f>
        <v>3E</v>
      </c>
      <c r="H73" t="s">
        <v>290</v>
      </c>
      <c r="I73" s="11">
        <v>0</v>
      </c>
      <c r="J73" s="11">
        <v>8</v>
      </c>
      <c r="K73" s="11" t="str">
        <f t="shared" si="37"/>
        <v>FF</v>
      </c>
      <c r="M73" t="str">
        <f t="shared" si="23"/>
        <v/>
      </c>
    </row>
    <row r="74" spans="1:17" x14ac:dyDescent="0.25">
      <c r="A74" s="11">
        <f t="shared" si="38"/>
        <v>5</v>
      </c>
      <c r="B74" s="11">
        <f t="shared" si="39"/>
        <v>50</v>
      </c>
      <c r="C74" s="11">
        <f t="shared" si="40"/>
        <v>63</v>
      </c>
      <c r="D74" s="35">
        <f t="shared" si="36"/>
        <v>0</v>
      </c>
      <c r="E74" t="str">
        <f t="shared" si="41"/>
        <v>openLoopCorrectionRegisters</v>
      </c>
      <c r="F74" s="10" t="str">
        <f>regList!D67</f>
        <v>CrosstalkIEmitterCo1</v>
      </c>
      <c r="G74" s="11" t="str">
        <f>regList!C67</f>
        <v>3F</v>
      </c>
      <c r="H74" t="s">
        <v>291</v>
      </c>
      <c r="I74" s="11">
        <v>0</v>
      </c>
      <c r="J74" s="11">
        <v>8</v>
      </c>
      <c r="K74" s="11" t="str">
        <f t="shared" si="37"/>
        <v>FF</v>
      </c>
      <c r="M74" t="str">
        <f t="shared" si="23"/>
        <v/>
      </c>
    </row>
    <row r="75" spans="1:17" x14ac:dyDescent="0.25">
      <c r="A75" s="11">
        <f t="shared" si="38"/>
        <v>5</v>
      </c>
      <c r="B75" s="11">
        <f t="shared" si="39"/>
        <v>51</v>
      </c>
      <c r="C75" s="11">
        <f t="shared" si="40"/>
        <v>64</v>
      </c>
      <c r="D75" s="35">
        <f t="shared" si="36"/>
        <v>0</v>
      </c>
      <c r="E75" t="str">
        <f t="shared" si="41"/>
        <v>openLoopCorrectionRegisters</v>
      </c>
      <c r="F75" s="10" t="str">
        <f>regList!F4</f>
        <v>CrosstalkIAmbientCo1</v>
      </c>
      <c r="G75" s="11" t="str">
        <f>regList!E4</f>
        <v>40</v>
      </c>
      <c r="H75" t="s">
        <v>292</v>
      </c>
      <c r="I75" s="11">
        <v>0</v>
      </c>
      <c r="J75" s="11">
        <v>8</v>
      </c>
      <c r="K75" s="11" t="str">
        <f t="shared" si="37"/>
        <v>FF</v>
      </c>
      <c r="M75" t="str">
        <f t="shared" si="23"/>
        <v/>
      </c>
    </row>
    <row r="76" spans="1:17" x14ac:dyDescent="0.25">
      <c r="A76" s="11">
        <f t="shared" si="38"/>
        <v>5</v>
      </c>
      <c r="B76" s="11">
        <f t="shared" si="39"/>
        <v>52</v>
      </c>
      <c r="C76" s="11">
        <f t="shared" si="40"/>
        <v>65</v>
      </c>
      <c r="D76" s="35">
        <f t="shared" si="36"/>
        <v>0</v>
      </c>
      <c r="E76" t="str">
        <f t="shared" si="41"/>
        <v>openLoopCorrectionRegisters</v>
      </c>
      <c r="F76" s="10" t="str">
        <f>regList!F5</f>
        <v>CrosstalkIVGA1Co1</v>
      </c>
      <c r="G76" s="11" t="str">
        <f>regList!E5</f>
        <v>41</v>
      </c>
      <c r="H76" t="s">
        <v>293</v>
      </c>
      <c r="I76" s="11">
        <v>0</v>
      </c>
      <c r="J76" s="11">
        <v>8</v>
      </c>
      <c r="K76" s="11" t="str">
        <f t="shared" si="37"/>
        <v>FF</v>
      </c>
      <c r="M76" t="str">
        <f t="shared" si="23"/>
        <v/>
      </c>
    </row>
    <row r="77" spans="1:17" x14ac:dyDescent="0.25">
      <c r="A77" s="11">
        <f t="shared" si="38"/>
        <v>5</v>
      </c>
      <c r="B77" s="11">
        <f t="shared" si="39"/>
        <v>53</v>
      </c>
      <c r="C77" s="11">
        <f t="shared" si="40"/>
        <v>66</v>
      </c>
      <c r="D77" s="35">
        <f t="shared" si="36"/>
        <v>0</v>
      </c>
      <c r="E77" t="str">
        <f t="shared" si="41"/>
        <v>openLoopCorrectionRegisters</v>
      </c>
      <c r="F77" s="10" t="str">
        <f>regList!F6</f>
        <v>CrosstalkIVGA2Co1</v>
      </c>
      <c r="G77" s="11" t="str">
        <f>regList!E6</f>
        <v>42</v>
      </c>
      <c r="H77" t="s">
        <v>294</v>
      </c>
      <c r="I77" s="11">
        <v>0</v>
      </c>
      <c r="J77" s="11">
        <v>8</v>
      </c>
      <c r="K77" s="11" t="str">
        <f t="shared" si="37"/>
        <v>FF</v>
      </c>
      <c r="M77" t="str">
        <f t="shared" si="23"/>
        <v/>
      </c>
    </row>
    <row r="78" spans="1:17" x14ac:dyDescent="0.25">
      <c r="A78" s="11">
        <f t="shared" si="38"/>
        <v>5</v>
      </c>
      <c r="B78" s="11">
        <f t="shared" si="39"/>
        <v>54</v>
      </c>
      <c r="C78" s="11">
        <f t="shared" si="40"/>
        <v>67</v>
      </c>
      <c r="D78" s="35">
        <f t="shared" si="36"/>
        <v>0</v>
      </c>
      <c r="E78" t="str">
        <f t="shared" si="41"/>
        <v>openLoopCorrectionRegisters</v>
      </c>
      <c r="F78" s="10" t="str">
        <f>regList!F7</f>
        <v>CrosstalkITempCo2</v>
      </c>
      <c r="G78" s="11" t="str">
        <f>regList!E7</f>
        <v>43</v>
      </c>
      <c r="H78" t="s">
        <v>295</v>
      </c>
      <c r="I78" s="11">
        <v>0</v>
      </c>
      <c r="J78" s="11">
        <v>8</v>
      </c>
      <c r="K78" s="11" t="str">
        <f t="shared" si="37"/>
        <v>FF</v>
      </c>
      <c r="M78" t="str">
        <f t="shared" si="23"/>
        <v/>
      </c>
    </row>
    <row r="79" spans="1:17" x14ac:dyDescent="0.25">
      <c r="A79" s="11">
        <f t="shared" si="38"/>
        <v>5</v>
      </c>
      <c r="B79" s="11">
        <f t="shared" si="39"/>
        <v>55</v>
      </c>
      <c r="C79" s="11">
        <f t="shared" si="40"/>
        <v>68</v>
      </c>
      <c r="D79" s="35">
        <f t="shared" si="36"/>
        <v>0</v>
      </c>
      <c r="E79" t="str">
        <f t="shared" si="41"/>
        <v>openLoopCorrectionRegisters</v>
      </c>
      <c r="F79" s="10" t="str">
        <f>regList!F8</f>
        <v>CrosstalkIEmitterCo2</v>
      </c>
      <c r="G79" s="11" t="str">
        <f>regList!E8</f>
        <v>44</v>
      </c>
      <c r="H79" t="s">
        <v>296</v>
      </c>
      <c r="I79" s="11">
        <v>0</v>
      </c>
      <c r="J79" s="11">
        <v>8</v>
      </c>
      <c r="K79" s="11" t="str">
        <f t="shared" si="37"/>
        <v>FF</v>
      </c>
      <c r="M79" t="str">
        <f t="shared" si="23"/>
        <v/>
      </c>
    </row>
    <row r="80" spans="1:17" x14ac:dyDescent="0.25">
      <c r="A80" s="11">
        <f t="shared" si="38"/>
        <v>5</v>
      </c>
      <c r="B80" s="11">
        <f t="shared" si="39"/>
        <v>56</v>
      </c>
      <c r="C80" s="11">
        <f t="shared" si="40"/>
        <v>69</v>
      </c>
      <c r="D80" s="35">
        <f t="shared" si="36"/>
        <v>0</v>
      </c>
      <c r="E80" t="str">
        <f t="shared" si="41"/>
        <v>openLoopCorrectionRegisters</v>
      </c>
      <c r="F80" s="10" t="str">
        <f>regList!F9</f>
        <v>CrosstalkIAmbientCo2</v>
      </c>
      <c r="G80" s="11" t="str">
        <f>regList!E9</f>
        <v>45</v>
      </c>
      <c r="H80" t="s">
        <v>297</v>
      </c>
      <c r="I80" s="11">
        <v>0</v>
      </c>
      <c r="J80" s="11">
        <v>8</v>
      </c>
      <c r="K80" s="11" t="str">
        <f t="shared" si="37"/>
        <v>FF</v>
      </c>
      <c r="M80" t="str">
        <f t="shared" si="23"/>
        <v/>
      </c>
    </row>
    <row r="81" spans="1:13" x14ac:dyDescent="0.25">
      <c r="A81" s="11">
        <f t="shared" si="38"/>
        <v>5</v>
      </c>
      <c r="B81" s="11">
        <f t="shared" si="39"/>
        <v>57</v>
      </c>
      <c r="C81" s="11">
        <f t="shared" si="40"/>
        <v>70</v>
      </c>
      <c r="D81" s="35">
        <f t="shared" si="36"/>
        <v>0</v>
      </c>
      <c r="E81" t="str">
        <f t="shared" si="41"/>
        <v>openLoopCorrectionRegisters</v>
      </c>
      <c r="F81" s="10" t="str">
        <f>regList!F10</f>
        <v>CrosstalkIVGA1Co2</v>
      </c>
      <c r="G81" s="11" t="str">
        <f>regList!E10</f>
        <v>46</v>
      </c>
      <c r="H81" t="s">
        <v>298</v>
      </c>
      <c r="I81" s="11">
        <v>0</v>
      </c>
      <c r="J81" s="11">
        <v>8</v>
      </c>
      <c r="K81" s="11" t="str">
        <f t="shared" si="37"/>
        <v>FF</v>
      </c>
      <c r="M81" t="str">
        <f t="shared" si="23"/>
        <v/>
      </c>
    </row>
    <row r="82" spans="1:13" x14ac:dyDescent="0.25">
      <c r="A82" s="11">
        <f t="shared" si="38"/>
        <v>5</v>
      </c>
      <c r="B82" s="11">
        <f t="shared" si="39"/>
        <v>58</v>
      </c>
      <c r="C82" s="11">
        <f t="shared" si="40"/>
        <v>71</v>
      </c>
      <c r="D82" s="35">
        <f t="shared" si="36"/>
        <v>0</v>
      </c>
      <c r="E82" t="str">
        <f t="shared" si="41"/>
        <v>openLoopCorrectionRegisters</v>
      </c>
      <c r="F82" s="10" t="str">
        <f>regList!F11</f>
        <v>CrosstalkIVGA2Co2</v>
      </c>
      <c r="G82" s="11" t="str">
        <f>regList!E11</f>
        <v>47</v>
      </c>
      <c r="H82" t="s">
        <v>299</v>
      </c>
      <c r="I82" s="11">
        <v>0</v>
      </c>
      <c r="J82" s="11">
        <v>8</v>
      </c>
      <c r="K82" s="11" t="str">
        <f t="shared" si="37"/>
        <v>FF</v>
      </c>
      <c r="M82" t="str">
        <f t="shared" si="23"/>
        <v/>
      </c>
    </row>
    <row r="83" spans="1:13" x14ac:dyDescent="0.25">
      <c r="A83" s="11">
        <f t="shared" si="38"/>
        <v>5</v>
      </c>
      <c r="B83" s="11">
        <f t="shared" si="39"/>
        <v>59</v>
      </c>
      <c r="C83" s="11">
        <f t="shared" si="40"/>
        <v>72</v>
      </c>
      <c r="D83" s="35">
        <f t="shared" si="36"/>
        <v>0</v>
      </c>
      <c r="E83" t="str">
        <f t="shared" si="41"/>
        <v>openLoopCorrectionRegisters</v>
      </c>
      <c r="F83" s="10" t="str">
        <f>regList!F12</f>
        <v>CrosstalkQTempCo1</v>
      </c>
      <c r="G83" s="11" t="str">
        <f>regList!E12</f>
        <v>48</v>
      </c>
      <c r="H83" t="s">
        <v>300</v>
      </c>
      <c r="I83" s="11">
        <v>0</v>
      </c>
      <c r="J83" s="11">
        <v>8</v>
      </c>
      <c r="K83" s="11" t="str">
        <f t="shared" si="37"/>
        <v>FF</v>
      </c>
      <c r="M83" t="str">
        <f t="shared" si="23"/>
        <v/>
      </c>
    </row>
    <row r="84" spans="1:13" x14ac:dyDescent="0.25">
      <c r="A84" s="11">
        <f t="shared" si="38"/>
        <v>5</v>
      </c>
      <c r="B84" s="11">
        <f t="shared" si="39"/>
        <v>60</v>
      </c>
      <c r="C84" s="11">
        <f t="shared" si="40"/>
        <v>73</v>
      </c>
      <c r="D84" s="35">
        <f t="shared" si="36"/>
        <v>0</v>
      </c>
      <c r="E84" t="str">
        <f t="shared" si="41"/>
        <v>openLoopCorrectionRegisters</v>
      </c>
      <c r="F84" s="10" t="str">
        <f>regList!F13</f>
        <v>CrosstalkQEmitterCo1</v>
      </c>
      <c r="G84" s="11" t="str">
        <f>regList!E13</f>
        <v>49</v>
      </c>
      <c r="H84" t="s">
        <v>301</v>
      </c>
      <c r="I84" s="11">
        <v>0</v>
      </c>
      <c r="J84" s="11">
        <v>8</v>
      </c>
      <c r="K84" s="11" t="str">
        <f t="shared" si="37"/>
        <v>FF</v>
      </c>
      <c r="M84" t="str">
        <f t="shared" si="23"/>
        <v/>
      </c>
    </row>
    <row r="85" spans="1:13" x14ac:dyDescent="0.25">
      <c r="A85" s="11">
        <f t="shared" si="38"/>
        <v>5</v>
      </c>
      <c r="B85" s="11">
        <f t="shared" si="39"/>
        <v>61</v>
      </c>
      <c r="C85" s="11">
        <f t="shared" si="40"/>
        <v>74</v>
      </c>
      <c r="D85" s="35">
        <f t="shared" si="36"/>
        <v>0</v>
      </c>
      <c r="E85" t="str">
        <f t="shared" si="41"/>
        <v>openLoopCorrectionRegisters</v>
      </c>
      <c r="F85" s="10" t="str">
        <f>regList!F14</f>
        <v>CrosstalkQAmbientCo1</v>
      </c>
      <c r="G85" s="11" t="str">
        <f>regList!E14</f>
        <v>4A</v>
      </c>
      <c r="H85" t="s">
        <v>302</v>
      </c>
      <c r="I85" s="11">
        <v>0</v>
      </c>
      <c r="J85" s="11">
        <v>8</v>
      </c>
      <c r="K85" s="11" t="str">
        <f t="shared" si="37"/>
        <v>FF</v>
      </c>
      <c r="M85" t="str">
        <f t="shared" si="23"/>
        <v/>
      </c>
    </row>
    <row r="86" spans="1:13" x14ac:dyDescent="0.25">
      <c r="A86" s="11">
        <f t="shared" si="38"/>
        <v>5</v>
      </c>
      <c r="B86" s="11">
        <f t="shared" si="39"/>
        <v>62</v>
      </c>
      <c r="C86" s="11">
        <f t="shared" si="40"/>
        <v>75</v>
      </c>
      <c r="D86" s="35">
        <f t="shared" si="36"/>
        <v>0</v>
      </c>
      <c r="E86" t="str">
        <f t="shared" si="41"/>
        <v>openLoopCorrectionRegisters</v>
      </c>
      <c r="F86" s="10" t="str">
        <f>regList!F15</f>
        <v>CrosstalkQVGA1Co1</v>
      </c>
      <c r="G86" s="11" t="str">
        <f>regList!E15</f>
        <v>4B</v>
      </c>
      <c r="H86" t="s">
        <v>303</v>
      </c>
      <c r="I86" s="11">
        <v>0</v>
      </c>
      <c r="J86" s="11">
        <v>8</v>
      </c>
      <c r="K86" s="11" t="str">
        <f t="shared" si="37"/>
        <v>FF</v>
      </c>
      <c r="M86" t="str">
        <f t="shared" si="23"/>
        <v/>
      </c>
    </row>
    <row r="87" spans="1:13" x14ac:dyDescent="0.25">
      <c r="A87" s="11">
        <f t="shared" si="38"/>
        <v>5</v>
      </c>
      <c r="B87" s="11">
        <f t="shared" si="39"/>
        <v>63</v>
      </c>
      <c r="C87" s="11">
        <f t="shared" si="40"/>
        <v>76</v>
      </c>
      <c r="D87" s="35">
        <f t="shared" si="36"/>
        <v>0</v>
      </c>
      <c r="E87" t="str">
        <f t="shared" si="41"/>
        <v>openLoopCorrectionRegisters</v>
      </c>
      <c r="F87" s="10" t="str">
        <f>regList!F16</f>
        <v>CrosstalkQVGA2Co1</v>
      </c>
      <c r="G87" s="11" t="str">
        <f>regList!E16</f>
        <v>4C</v>
      </c>
      <c r="H87" t="s">
        <v>304</v>
      </c>
      <c r="I87" s="11">
        <v>0</v>
      </c>
      <c r="J87" s="11">
        <v>8</v>
      </c>
      <c r="K87" s="11" t="str">
        <f t="shared" si="37"/>
        <v>FF</v>
      </c>
      <c r="M87" t="str">
        <f t="shared" si="23"/>
        <v/>
      </c>
    </row>
    <row r="88" spans="1:13" x14ac:dyDescent="0.25">
      <c r="A88" s="11">
        <f t="shared" si="38"/>
        <v>5</v>
      </c>
      <c r="B88" s="11">
        <f t="shared" si="39"/>
        <v>64</v>
      </c>
      <c r="C88" s="11">
        <f t="shared" si="40"/>
        <v>77</v>
      </c>
      <c r="D88" s="35">
        <f t="shared" si="36"/>
        <v>0</v>
      </c>
      <c r="E88" t="str">
        <f t="shared" si="41"/>
        <v>openLoopCorrectionRegisters</v>
      </c>
      <c r="F88" s="10" t="str">
        <f>regList!F17</f>
        <v>CrosstalkQTempCo2</v>
      </c>
      <c r="G88" s="11" t="str">
        <f>regList!E17</f>
        <v>4D</v>
      </c>
      <c r="H88" t="s">
        <v>305</v>
      </c>
      <c r="I88" s="11">
        <v>0</v>
      </c>
      <c r="J88" s="11">
        <v>8</v>
      </c>
      <c r="K88" s="11" t="str">
        <f t="shared" si="37"/>
        <v>FF</v>
      </c>
      <c r="M88" t="str">
        <f t="shared" si="23"/>
        <v/>
      </c>
    </row>
    <row r="89" spans="1:13" x14ac:dyDescent="0.25">
      <c r="A89" s="11">
        <f t="shared" si="38"/>
        <v>5</v>
      </c>
      <c r="B89" s="11">
        <f t="shared" si="39"/>
        <v>65</v>
      </c>
      <c r="C89" s="11">
        <f t="shared" si="40"/>
        <v>78</v>
      </c>
      <c r="D89" s="35">
        <f t="shared" si="36"/>
        <v>0</v>
      </c>
      <c r="E89" t="str">
        <f t="shared" si="41"/>
        <v>openLoopCorrectionRegisters</v>
      </c>
      <c r="F89" s="10" t="str">
        <f>regList!F18</f>
        <v>CrosstalkQEmitterCo2</v>
      </c>
      <c r="G89" s="11" t="str">
        <f>regList!E18</f>
        <v>4E</v>
      </c>
      <c r="H89" t="s">
        <v>306</v>
      </c>
      <c r="I89" s="11">
        <v>0</v>
      </c>
      <c r="J89" s="11">
        <v>8</v>
      </c>
      <c r="K89" s="11" t="str">
        <f t="shared" si="37"/>
        <v>FF</v>
      </c>
      <c r="M89" t="str">
        <f t="shared" si="23"/>
        <v/>
      </c>
    </row>
    <row r="90" spans="1:13" x14ac:dyDescent="0.25">
      <c r="A90" s="11">
        <f t="shared" si="38"/>
        <v>5</v>
      </c>
      <c r="B90" s="11">
        <f t="shared" si="39"/>
        <v>66</v>
      </c>
      <c r="C90" s="11">
        <f t="shared" si="40"/>
        <v>79</v>
      </c>
      <c r="D90" s="35">
        <f t="shared" si="36"/>
        <v>0</v>
      </c>
      <c r="E90" t="str">
        <f t="shared" si="41"/>
        <v>openLoopCorrectionRegisters</v>
      </c>
      <c r="F90" s="10" t="str">
        <f>regList!F19</f>
        <v>CrosstalkQAmbientCo2</v>
      </c>
      <c r="G90" s="11" t="str">
        <f>regList!E19</f>
        <v>4F</v>
      </c>
      <c r="H90" t="s">
        <v>307</v>
      </c>
      <c r="I90" s="11">
        <v>0</v>
      </c>
      <c r="J90" s="11">
        <v>8</v>
      </c>
      <c r="K90" s="11" t="str">
        <f t="shared" si="37"/>
        <v>FF</v>
      </c>
      <c r="M90" t="str">
        <f t="shared" si="23"/>
        <v/>
      </c>
    </row>
    <row r="91" spans="1:13" x14ac:dyDescent="0.25">
      <c r="A91" s="11">
        <f t="shared" si="38"/>
        <v>5</v>
      </c>
      <c r="B91" s="11">
        <f t="shared" si="39"/>
        <v>67</v>
      </c>
      <c r="C91" s="11">
        <f t="shared" si="40"/>
        <v>80</v>
      </c>
      <c r="D91" s="35">
        <f t="shared" si="36"/>
        <v>0</v>
      </c>
      <c r="E91" t="str">
        <f t="shared" si="41"/>
        <v>openLoopCorrectionRegisters</v>
      </c>
      <c r="F91" s="10" t="str">
        <f>regList!F20</f>
        <v>CrosstalkQVGA1Co2</v>
      </c>
      <c r="G91" s="11" t="str">
        <f>regList!E20</f>
        <v>50</v>
      </c>
      <c r="H91" t="s">
        <v>308</v>
      </c>
      <c r="I91" s="11">
        <v>0</v>
      </c>
      <c r="J91" s="11">
        <v>8</v>
      </c>
      <c r="K91" s="11" t="str">
        <f t="shared" si="37"/>
        <v>FF</v>
      </c>
      <c r="M91" t="str">
        <f t="shared" si="23"/>
        <v/>
      </c>
    </row>
    <row r="92" spans="1:13" x14ac:dyDescent="0.25">
      <c r="A92" s="11">
        <f t="shared" si="38"/>
        <v>5</v>
      </c>
      <c r="B92" s="11">
        <f t="shared" si="39"/>
        <v>68</v>
      </c>
      <c r="C92" s="11">
        <f t="shared" si="40"/>
        <v>81</v>
      </c>
      <c r="D92" s="35">
        <f t="shared" si="36"/>
        <v>0</v>
      </c>
      <c r="E92" t="str">
        <f t="shared" si="41"/>
        <v>openLoopCorrectionRegisters</v>
      </c>
      <c r="F92" s="10" t="str">
        <f>regList!F21</f>
        <v>CrosstalkQVGA2Co2</v>
      </c>
      <c r="G92" s="11" t="str">
        <f>regList!E21</f>
        <v>51</v>
      </c>
      <c r="H92" t="s">
        <v>309</v>
      </c>
      <c r="I92" s="11">
        <v>0</v>
      </c>
      <c r="J92" s="11">
        <v>8</v>
      </c>
      <c r="K92" s="11" t="str">
        <f t="shared" si="37"/>
        <v>FF</v>
      </c>
      <c r="M92" t="str">
        <f t="shared" si="23"/>
        <v/>
      </c>
    </row>
    <row r="93" spans="1:13" x14ac:dyDescent="0.25">
      <c r="A93" s="11">
        <f t="shared" si="38"/>
        <v>5</v>
      </c>
      <c r="B93" s="11">
        <f t="shared" si="39"/>
        <v>69</v>
      </c>
      <c r="C93" s="11">
        <f t="shared" si="40"/>
        <v>82</v>
      </c>
      <c r="D93" s="35">
        <f t="shared" si="36"/>
        <v>0</v>
      </c>
      <c r="E93" t="str">
        <f t="shared" si="41"/>
        <v>openLoopCorrectionRegisters</v>
      </c>
      <c r="F93" s="10" t="str">
        <f>regList!F22</f>
        <v>EmitterSelectforOpenLoop</v>
      </c>
      <c r="G93" s="11" t="str">
        <f>regList!E22</f>
        <v>52</v>
      </c>
      <c r="H93" t="s">
        <v>310</v>
      </c>
      <c r="I93" s="11">
        <v>0</v>
      </c>
      <c r="J93" s="11">
        <v>1</v>
      </c>
      <c r="K93" s="11" t="str">
        <f t="shared" si="37"/>
        <v>1</v>
      </c>
      <c r="M93" t="str">
        <f t="shared" ref="M93:M156" si="42">IF(N93&lt;&gt;"",MID(E93,1,LEN(E93)-9)&amp;N93,"")</f>
        <v/>
      </c>
    </row>
    <row r="94" spans="1:13" x14ac:dyDescent="0.25">
      <c r="A94" s="11">
        <f t="shared" si="38"/>
        <v>6</v>
      </c>
      <c r="B94" s="11">
        <f t="shared" si="39"/>
        <v>70</v>
      </c>
      <c r="C94" s="11">
        <f t="shared" si="40"/>
        <v>83</v>
      </c>
      <c r="D94" s="35">
        <f t="shared" si="36"/>
        <v>0</v>
      </c>
      <c r="E94" t="s">
        <v>215</v>
      </c>
      <c r="F94" s="10" t="str">
        <f>regList!F36</f>
        <v>InterruptControl</v>
      </c>
      <c r="G94" s="11" t="str">
        <f>regList!E36</f>
        <v>60</v>
      </c>
      <c r="H94" t="s">
        <v>311</v>
      </c>
      <c r="I94" s="11">
        <v>5</v>
      </c>
      <c r="J94" s="11">
        <v>1</v>
      </c>
      <c r="K94" s="11" t="str">
        <f t="shared" si="37"/>
        <v>1</v>
      </c>
      <c r="M94" t="str">
        <f t="shared" si="42"/>
        <v/>
      </c>
    </row>
    <row r="95" spans="1:13" x14ac:dyDescent="0.25">
      <c r="A95" s="11">
        <f t="shared" si="38"/>
        <v>6</v>
      </c>
      <c r="B95" s="11">
        <f t="shared" si="39"/>
        <v>70</v>
      </c>
      <c r="C95" s="11">
        <f t="shared" si="40"/>
        <v>84</v>
      </c>
      <c r="D95" s="35">
        <f t="shared" si="36"/>
        <v>0</v>
      </c>
      <c r="E95" t="str">
        <f t="shared" ref="E95:E97" si="43">E94</f>
        <v>interruptRegisters</v>
      </c>
      <c r="F95" s="10" t="str">
        <f t="shared" ref="F95:F97" si="44">F94</f>
        <v>InterruptControl</v>
      </c>
      <c r="G95" s="11" t="str">
        <f t="shared" ref="G95:G97" si="45">G94</f>
        <v>60</v>
      </c>
      <c r="H95" t="s">
        <v>312</v>
      </c>
      <c r="I95" s="11">
        <v>4</v>
      </c>
      <c r="J95" s="11">
        <v>1</v>
      </c>
      <c r="K95" s="11" t="str">
        <f t="shared" si="37"/>
        <v>1</v>
      </c>
      <c r="M95" t="str">
        <f t="shared" si="42"/>
        <v/>
      </c>
    </row>
    <row r="96" spans="1:13" x14ac:dyDescent="0.25">
      <c r="A96" s="11">
        <f t="shared" si="38"/>
        <v>6</v>
      </c>
      <c r="B96" s="11">
        <f t="shared" si="39"/>
        <v>70</v>
      </c>
      <c r="C96" s="11">
        <f t="shared" si="40"/>
        <v>85</v>
      </c>
      <c r="D96" s="35">
        <f t="shared" si="36"/>
        <v>0</v>
      </c>
      <c r="E96" t="str">
        <f t="shared" si="43"/>
        <v>interruptRegisters</v>
      </c>
      <c r="F96" s="10" t="str">
        <f t="shared" si="44"/>
        <v>InterruptControl</v>
      </c>
      <c r="G96" s="11" t="str">
        <f t="shared" si="45"/>
        <v>60</v>
      </c>
      <c r="H96" t="s">
        <v>313</v>
      </c>
      <c r="I96" s="11">
        <v>3</v>
      </c>
      <c r="J96" s="11">
        <v>1</v>
      </c>
      <c r="K96" s="11" t="str">
        <f t="shared" si="37"/>
        <v>1</v>
      </c>
      <c r="M96" t="str">
        <f t="shared" si="42"/>
        <v/>
      </c>
    </row>
    <row r="97" spans="1:13" x14ac:dyDescent="0.25">
      <c r="A97" s="11">
        <f t="shared" si="38"/>
        <v>6</v>
      </c>
      <c r="B97" s="11">
        <f t="shared" si="39"/>
        <v>70</v>
      </c>
      <c r="C97" s="11">
        <f t="shared" si="40"/>
        <v>86</v>
      </c>
      <c r="D97" s="35">
        <f t="shared" si="36"/>
        <v>0</v>
      </c>
      <c r="E97" t="str">
        <f t="shared" si="43"/>
        <v>interruptRegisters</v>
      </c>
      <c r="F97" s="10" t="str">
        <f t="shared" si="44"/>
        <v>InterruptControl</v>
      </c>
      <c r="G97" s="11" t="str">
        <f t="shared" si="45"/>
        <v>60</v>
      </c>
      <c r="H97" t="s">
        <v>314</v>
      </c>
      <c r="I97" s="11">
        <v>0</v>
      </c>
      <c r="J97" s="11">
        <v>3</v>
      </c>
      <c r="K97" s="11" t="str">
        <f t="shared" si="37"/>
        <v>7</v>
      </c>
      <c r="M97" t="str">
        <f t="shared" si="42"/>
        <v/>
      </c>
    </row>
    <row r="98" spans="1:13" x14ac:dyDescent="0.25">
      <c r="A98" s="11">
        <f t="shared" si="38"/>
        <v>6</v>
      </c>
      <c r="B98" s="11">
        <f t="shared" si="39"/>
        <v>71</v>
      </c>
      <c r="C98" s="11">
        <f t="shared" si="40"/>
        <v>87</v>
      </c>
      <c r="D98" s="35">
        <f t="shared" si="36"/>
        <v>0</v>
      </c>
      <c r="E98" t="str">
        <f>E94</f>
        <v>interruptRegisters</v>
      </c>
      <c r="F98" s="10" t="str">
        <f>regList!F37</f>
        <v>DataInvalid</v>
      </c>
      <c r="G98" s="11" t="str">
        <f>regList!E37</f>
        <v>61</v>
      </c>
      <c r="H98" t="s">
        <v>316</v>
      </c>
      <c r="I98" s="11">
        <v>0</v>
      </c>
      <c r="J98" s="11">
        <v>8</v>
      </c>
      <c r="K98" s="11" t="str">
        <f t="shared" si="37"/>
        <v>FF</v>
      </c>
      <c r="M98" t="str">
        <f t="shared" si="42"/>
        <v/>
      </c>
    </row>
    <row r="99" spans="1:13" x14ac:dyDescent="0.25">
      <c r="A99" s="11">
        <f t="shared" si="38"/>
        <v>6</v>
      </c>
      <c r="B99" s="11">
        <f t="shared" si="39"/>
        <v>72</v>
      </c>
      <c r="C99" s="11">
        <f t="shared" si="40"/>
        <v>88</v>
      </c>
      <c r="D99" s="35">
        <f t="shared" si="36"/>
        <v>0</v>
      </c>
      <c r="E99" t="str">
        <f t="shared" si="41"/>
        <v>interruptRegisters</v>
      </c>
      <c r="F99" s="10" t="str">
        <f>regList!F38</f>
        <v>Detection</v>
      </c>
      <c r="G99" s="11" t="str">
        <f>regList!E38</f>
        <v>62</v>
      </c>
      <c r="H99" t="s">
        <v>317</v>
      </c>
      <c r="I99" s="11">
        <v>4</v>
      </c>
      <c r="J99" s="11">
        <v>2</v>
      </c>
      <c r="K99" s="11" t="str">
        <f t="shared" si="37"/>
        <v>3</v>
      </c>
      <c r="M99" t="str">
        <f t="shared" si="42"/>
        <v/>
      </c>
    </row>
    <row r="100" spans="1:13" x14ac:dyDescent="0.25">
      <c r="A100" s="11">
        <f t="shared" si="38"/>
        <v>6</v>
      </c>
      <c r="B100" s="11">
        <f t="shared" si="39"/>
        <v>72</v>
      </c>
      <c r="C100" s="11">
        <f t="shared" si="40"/>
        <v>89</v>
      </c>
      <c r="D100" s="35">
        <f t="shared" si="36"/>
        <v>0</v>
      </c>
      <c r="E100" t="str">
        <f t="shared" si="41"/>
        <v>interruptRegisters</v>
      </c>
      <c r="F100" s="10" t="str">
        <f t="shared" ref="F100:F102" si="46">F99</f>
        <v>Detection</v>
      </c>
      <c r="G100" s="11" t="str">
        <f t="shared" ref="G100:G102" si="47">G99</f>
        <v>62</v>
      </c>
      <c r="H100" t="s">
        <v>318</v>
      </c>
      <c r="I100" s="11">
        <v>3</v>
      </c>
      <c r="J100" s="11">
        <v>1</v>
      </c>
      <c r="K100" s="11" t="str">
        <f t="shared" si="37"/>
        <v>1</v>
      </c>
      <c r="M100" t="str">
        <f t="shared" si="42"/>
        <v/>
      </c>
    </row>
    <row r="101" spans="1:13" x14ac:dyDescent="0.25">
      <c r="A101" s="11">
        <f t="shared" si="38"/>
        <v>6</v>
      </c>
      <c r="B101" s="11">
        <f t="shared" si="39"/>
        <v>72</v>
      </c>
      <c r="C101" s="11">
        <f t="shared" si="40"/>
        <v>90</v>
      </c>
      <c r="D101" s="35">
        <f t="shared" si="36"/>
        <v>0</v>
      </c>
      <c r="E101" t="str">
        <f t="shared" si="41"/>
        <v>interruptRegisters</v>
      </c>
      <c r="F101" s="10" t="str">
        <f t="shared" si="46"/>
        <v>Detection</v>
      </c>
      <c r="G101" s="11" t="str">
        <f t="shared" si="47"/>
        <v>62</v>
      </c>
      <c r="H101" t="s">
        <v>319</v>
      </c>
      <c r="I101" s="11">
        <v>2</v>
      </c>
      <c r="J101" s="11">
        <v>1</v>
      </c>
      <c r="K101" s="11" t="str">
        <f t="shared" si="37"/>
        <v>1</v>
      </c>
      <c r="M101" t="str">
        <f t="shared" si="42"/>
        <v/>
      </c>
    </row>
    <row r="102" spans="1:13" x14ac:dyDescent="0.25">
      <c r="A102" s="11">
        <f t="shared" si="38"/>
        <v>6</v>
      </c>
      <c r="B102" s="11">
        <f t="shared" si="39"/>
        <v>72</v>
      </c>
      <c r="C102" s="11">
        <f t="shared" si="40"/>
        <v>91</v>
      </c>
      <c r="D102" s="35">
        <f t="shared" si="36"/>
        <v>0</v>
      </c>
      <c r="E102" t="str">
        <f t="shared" si="41"/>
        <v>interruptRegisters</v>
      </c>
      <c r="F102" s="10" t="str">
        <f t="shared" si="46"/>
        <v>Detection</v>
      </c>
      <c r="G102" s="11" t="str">
        <f t="shared" si="47"/>
        <v>62</v>
      </c>
      <c r="H102" t="s">
        <v>320</v>
      </c>
      <c r="I102" s="11">
        <v>0</v>
      </c>
      <c r="J102" s="11">
        <v>2</v>
      </c>
      <c r="K102" s="11" t="str">
        <f t="shared" si="37"/>
        <v>3</v>
      </c>
      <c r="M102" t="str">
        <f t="shared" si="42"/>
        <v/>
      </c>
    </row>
    <row r="103" spans="1:13" x14ac:dyDescent="0.25">
      <c r="A103" s="11">
        <f t="shared" si="38"/>
        <v>6</v>
      </c>
      <c r="B103" s="11">
        <f t="shared" si="39"/>
        <v>73</v>
      </c>
      <c r="C103" s="11">
        <f t="shared" si="40"/>
        <v>92</v>
      </c>
      <c r="D103" s="35">
        <f t="shared" si="36"/>
        <v>0</v>
      </c>
      <c r="E103" t="str">
        <f>E99</f>
        <v>interruptRegisters</v>
      </c>
      <c r="F103" s="10" t="str">
        <f>regList!F39</f>
        <v>DetectionCondition1</v>
      </c>
      <c r="G103" s="11" t="str">
        <f>regList!E39</f>
        <v>63</v>
      </c>
      <c r="H103" t="s">
        <v>321</v>
      </c>
      <c r="I103" s="11">
        <v>7</v>
      </c>
      <c r="J103" s="11">
        <v>1</v>
      </c>
      <c r="K103" s="11" t="str">
        <f t="shared" si="37"/>
        <v>1</v>
      </c>
      <c r="M103" t="str">
        <f t="shared" si="42"/>
        <v/>
      </c>
    </row>
    <row r="104" spans="1:13" x14ac:dyDescent="0.25">
      <c r="A104" s="11">
        <f t="shared" si="38"/>
        <v>6</v>
      </c>
      <c r="B104" s="11">
        <f t="shared" si="39"/>
        <v>73</v>
      </c>
      <c r="C104" s="11">
        <f t="shared" si="40"/>
        <v>93</v>
      </c>
      <c r="D104" s="35">
        <f t="shared" si="36"/>
        <v>0</v>
      </c>
      <c r="E104" t="str">
        <f t="shared" ref="E104:E110" si="48">E103</f>
        <v>interruptRegisters</v>
      </c>
      <c r="F104" s="10" t="str">
        <f t="shared" ref="F104:F110" si="49">F103</f>
        <v>DetectionCondition1</v>
      </c>
      <c r="G104" s="11" t="str">
        <f t="shared" ref="G104:G110" si="50">G103</f>
        <v>63</v>
      </c>
      <c r="H104" t="s">
        <v>323</v>
      </c>
      <c r="I104" s="11">
        <f>I103-1</f>
        <v>6</v>
      </c>
      <c r="J104" s="11">
        <f>J103</f>
        <v>1</v>
      </c>
      <c r="K104" s="11" t="str">
        <f t="shared" si="37"/>
        <v>1</v>
      </c>
      <c r="M104" t="str">
        <f t="shared" si="42"/>
        <v/>
      </c>
    </row>
    <row r="105" spans="1:13" x14ac:dyDescent="0.25">
      <c r="A105" s="11">
        <f t="shared" si="38"/>
        <v>6</v>
      </c>
      <c r="B105" s="11">
        <f t="shared" si="39"/>
        <v>73</v>
      </c>
      <c r="C105" s="11">
        <f t="shared" si="40"/>
        <v>94</v>
      </c>
      <c r="D105" s="35">
        <f t="shared" si="36"/>
        <v>0</v>
      </c>
      <c r="E105" t="str">
        <f t="shared" si="48"/>
        <v>interruptRegisters</v>
      </c>
      <c r="F105" s="10" t="str">
        <f t="shared" si="49"/>
        <v>DetectionCondition1</v>
      </c>
      <c r="G105" s="11" t="str">
        <f t="shared" si="50"/>
        <v>63</v>
      </c>
      <c r="H105" t="s">
        <v>324</v>
      </c>
      <c r="I105" s="11">
        <f t="shared" ref="I105:I110" si="51">I104-1</f>
        <v>5</v>
      </c>
      <c r="J105" s="11">
        <f t="shared" ref="J105:J110" si="52">J104</f>
        <v>1</v>
      </c>
      <c r="K105" s="11" t="str">
        <f t="shared" si="37"/>
        <v>1</v>
      </c>
      <c r="M105" t="str">
        <f t="shared" si="42"/>
        <v/>
      </c>
    </row>
    <row r="106" spans="1:13" x14ac:dyDescent="0.25">
      <c r="A106" s="11">
        <f t="shared" si="38"/>
        <v>6</v>
      </c>
      <c r="B106" s="11">
        <f t="shared" si="39"/>
        <v>73</v>
      </c>
      <c r="C106" s="11">
        <f t="shared" si="40"/>
        <v>95</v>
      </c>
      <c r="D106" s="35">
        <f t="shared" si="36"/>
        <v>0</v>
      </c>
      <c r="E106" t="str">
        <f t="shared" si="48"/>
        <v>interruptRegisters</v>
      </c>
      <c r="F106" s="10" t="str">
        <f t="shared" si="49"/>
        <v>DetectionCondition1</v>
      </c>
      <c r="G106" s="11" t="str">
        <f t="shared" si="50"/>
        <v>63</v>
      </c>
      <c r="H106" t="s">
        <v>325</v>
      </c>
      <c r="I106" s="11">
        <f t="shared" si="51"/>
        <v>4</v>
      </c>
      <c r="J106" s="11">
        <f t="shared" si="52"/>
        <v>1</v>
      </c>
      <c r="K106" s="11" t="str">
        <f t="shared" si="37"/>
        <v>1</v>
      </c>
      <c r="M106" t="str">
        <f t="shared" si="42"/>
        <v/>
      </c>
    </row>
    <row r="107" spans="1:13" x14ac:dyDescent="0.25">
      <c r="A107" s="11">
        <f t="shared" si="38"/>
        <v>6</v>
      </c>
      <c r="B107" s="11">
        <f t="shared" si="39"/>
        <v>73</v>
      </c>
      <c r="C107" s="11">
        <f t="shared" si="40"/>
        <v>96</v>
      </c>
      <c r="D107" s="35">
        <f t="shared" si="36"/>
        <v>0</v>
      </c>
      <c r="E107" t="str">
        <f t="shared" si="48"/>
        <v>interruptRegisters</v>
      </c>
      <c r="F107" s="10" t="str">
        <f t="shared" si="49"/>
        <v>DetectionCondition1</v>
      </c>
      <c r="G107" s="11" t="str">
        <f t="shared" si="50"/>
        <v>63</v>
      </c>
      <c r="H107" t="s">
        <v>326</v>
      </c>
      <c r="I107" s="11">
        <f t="shared" si="51"/>
        <v>3</v>
      </c>
      <c r="J107" s="11">
        <f t="shared" si="52"/>
        <v>1</v>
      </c>
      <c r="K107" s="11" t="str">
        <f t="shared" si="37"/>
        <v>1</v>
      </c>
      <c r="M107" t="str">
        <f t="shared" si="42"/>
        <v/>
      </c>
    </row>
    <row r="108" spans="1:13" x14ac:dyDescent="0.25">
      <c r="A108" s="11">
        <f t="shared" si="38"/>
        <v>6</v>
      </c>
      <c r="B108" s="11">
        <f t="shared" si="39"/>
        <v>73</v>
      </c>
      <c r="C108" s="11">
        <f t="shared" si="40"/>
        <v>97</v>
      </c>
      <c r="D108" s="35">
        <f t="shared" si="36"/>
        <v>0</v>
      </c>
      <c r="E108" t="str">
        <f t="shared" si="48"/>
        <v>interruptRegisters</v>
      </c>
      <c r="F108" s="10" t="str">
        <f t="shared" si="49"/>
        <v>DetectionCondition1</v>
      </c>
      <c r="G108" s="11" t="str">
        <f t="shared" si="50"/>
        <v>63</v>
      </c>
      <c r="H108" t="s">
        <v>327</v>
      </c>
      <c r="I108" s="11">
        <f t="shared" si="51"/>
        <v>2</v>
      </c>
      <c r="J108" s="11">
        <f t="shared" si="52"/>
        <v>1</v>
      </c>
      <c r="K108" s="11" t="str">
        <f t="shared" si="37"/>
        <v>1</v>
      </c>
      <c r="M108" t="str">
        <f t="shared" si="42"/>
        <v/>
      </c>
    </row>
    <row r="109" spans="1:13" x14ac:dyDescent="0.25">
      <c r="A109" s="11">
        <f t="shared" si="38"/>
        <v>6</v>
      </c>
      <c r="B109" s="11">
        <f t="shared" si="39"/>
        <v>73</v>
      </c>
      <c r="C109" s="11">
        <f t="shared" si="40"/>
        <v>98</v>
      </c>
      <c r="D109" s="35">
        <f t="shared" si="36"/>
        <v>0</v>
      </c>
      <c r="E109" t="str">
        <f t="shared" si="48"/>
        <v>interruptRegisters</v>
      </c>
      <c r="F109" s="10" t="str">
        <f t="shared" si="49"/>
        <v>DetectionCondition1</v>
      </c>
      <c r="G109" s="11" t="str">
        <f t="shared" si="50"/>
        <v>63</v>
      </c>
      <c r="H109" t="s">
        <v>328</v>
      </c>
      <c r="I109" s="11">
        <f t="shared" si="51"/>
        <v>1</v>
      </c>
      <c r="J109" s="11">
        <f t="shared" si="52"/>
        <v>1</v>
      </c>
      <c r="K109" s="11" t="str">
        <f t="shared" si="37"/>
        <v>1</v>
      </c>
      <c r="M109" t="str">
        <f t="shared" si="42"/>
        <v/>
      </c>
    </row>
    <row r="110" spans="1:13" x14ac:dyDescent="0.25">
      <c r="A110" s="11">
        <f t="shared" si="38"/>
        <v>6</v>
      </c>
      <c r="B110" s="11">
        <f t="shared" si="39"/>
        <v>73</v>
      </c>
      <c r="C110" s="11">
        <f t="shared" si="40"/>
        <v>99</v>
      </c>
      <c r="D110" s="35">
        <f t="shared" si="36"/>
        <v>0</v>
      </c>
      <c r="E110" t="str">
        <f t="shared" si="48"/>
        <v>interruptRegisters</v>
      </c>
      <c r="F110" s="10" t="str">
        <f t="shared" si="49"/>
        <v>DetectionCondition1</v>
      </c>
      <c r="G110" s="11" t="str">
        <f t="shared" si="50"/>
        <v>63</v>
      </c>
      <c r="H110" t="s">
        <v>329</v>
      </c>
      <c r="I110" s="11">
        <f t="shared" si="51"/>
        <v>0</v>
      </c>
      <c r="J110" s="11">
        <f t="shared" si="52"/>
        <v>1</v>
      </c>
      <c r="K110" s="11" t="str">
        <f t="shared" si="37"/>
        <v>1</v>
      </c>
      <c r="M110" t="str">
        <f t="shared" si="42"/>
        <v/>
      </c>
    </row>
    <row r="111" spans="1:13" x14ac:dyDescent="0.25">
      <c r="A111" s="11">
        <f t="shared" si="38"/>
        <v>6</v>
      </c>
      <c r="B111" s="11">
        <f t="shared" si="39"/>
        <v>74</v>
      </c>
      <c r="C111" s="11">
        <f t="shared" si="40"/>
        <v>100</v>
      </c>
      <c r="D111" s="35">
        <f t="shared" si="36"/>
        <v>0</v>
      </c>
      <c r="E111" t="str">
        <f>E103</f>
        <v>interruptRegisters</v>
      </c>
      <c r="F111" s="10" t="str">
        <f>regList!F40</f>
        <v>DetectionCondition2</v>
      </c>
      <c r="G111" s="11" t="str">
        <f>regList!E40</f>
        <v>64</v>
      </c>
      <c r="H111" t="s">
        <v>322</v>
      </c>
      <c r="I111" s="11">
        <v>7</v>
      </c>
      <c r="J111" s="11">
        <v>1</v>
      </c>
      <c r="K111" s="11" t="str">
        <f t="shared" si="37"/>
        <v>1</v>
      </c>
      <c r="M111" t="str">
        <f t="shared" si="42"/>
        <v/>
      </c>
    </row>
    <row r="112" spans="1:13" x14ac:dyDescent="0.25">
      <c r="A112" s="11">
        <f t="shared" si="38"/>
        <v>6</v>
      </c>
      <c r="B112" s="11">
        <f t="shared" si="39"/>
        <v>74</v>
      </c>
      <c r="C112" s="11">
        <f t="shared" si="40"/>
        <v>101</v>
      </c>
      <c r="D112" s="35">
        <f t="shared" si="36"/>
        <v>0</v>
      </c>
      <c r="E112" t="str">
        <f t="shared" ref="E112:E118" si="53">E111</f>
        <v>interruptRegisters</v>
      </c>
      <c r="F112" s="10" t="str">
        <f t="shared" ref="F112:F118" si="54">F111</f>
        <v>DetectionCondition2</v>
      </c>
      <c r="G112" s="11" t="str">
        <f t="shared" ref="G112:G118" si="55">G111</f>
        <v>64</v>
      </c>
      <c r="H112" t="s">
        <v>330</v>
      </c>
      <c r="I112" s="11">
        <f>I111-1</f>
        <v>6</v>
      </c>
      <c r="J112" s="11">
        <f>J111</f>
        <v>1</v>
      </c>
      <c r="K112" s="11" t="str">
        <f t="shared" si="37"/>
        <v>1</v>
      </c>
      <c r="M112" t="str">
        <f t="shared" si="42"/>
        <v/>
      </c>
    </row>
    <row r="113" spans="1:13" x14ac:dyDescent="0.25">
      <c r="A113" s="11">
        <f t="shared" si="38"/>
        <v>6</v>
      </c>
      <c r="B113" s="11">
        <f t="shared" si="39"/>
        <v>74</v>
      </c>
      <c r="C113" s="11">
        <f t="shared" si="40"/>
        <v>102</v>
      </c>
      <c r="D113" s="35">
        <f t="shared" si="36"/>
        <v>0</v>
      </c>
      <c r="E113" t="str">
        <f t="shared" si="53"/>
        <v>interruptRegisters</v>
      </c>
      <c r="F113" s="10" t="str">
        <f t="shared" si="54"/>
        <v>DetectionCondition2</v>
      </c>
      <c r="G113" s="11" t="str">
        <f t="shared" si="55"/>
        <v>64</v>
      </c>
      <c r="H113" t="s">
        <v>331</v>
      </c>
      <c r="I113" s="11">
        <f t="shared" ref="I113:I118" si="56">I112-1</f>
        <v>5</v>
      </c>
      <c r="J113" s="11">
        <f t="shared" ref="J113:J118" si="57">J112</f>
        <v>1</v>
      </c>
      <c r="K113" s="11" t="str">
        <f t="shared" si="37"/>
        <v>1</v>
      </c>
      <c r="M113" t="str">
        <f t="shared" si="42"/>
        <v/>
      </c>
    </row>
    <row r="114" spans="1:13" x14ac:dyDescent="0.25">
      <c r="A114" s="11">
        <f t="shared" si="38"/>
        <v>6</v>
      </c>
      <c r="B114" s="11">
        <f t="shared" si="39"/>
        <v>74</v>
      </c>
      <c r="C114" s="11">
        <f t="shared" si="40"/>
        <v>103</v>
      </c>
      <c r="D114" s="35">
        <f t="shared" si="36"/>
        <v>0</v>
      </c>
      <c r="E114" t="str">
        <f t="shared" si="53"/>
        <v>interruptRegisters</v>
      </c>
      <c r="F114" s="10" t="str">
        <f t="shared" si="54"/>
        <v>DetectionCondition2</v>
      </c>
      <c r="G114" s="11" t="str">
        <f t="shared" si="55"/>
        <v>64</v>
      </c>
      <c r="H114" t="s">
        <v>332</v>
      </c>
      <c r="I114" s="11">
        <f t="shared" si="56"/>
        <v>4</v>
      </c>
      <c r="J114" s="11">
        <f t="shared" si="57"/>
        <v>1</v>
      </c>
      <c r="K114" s="11" t="str">
        <f t="shared" si="37"/>
        <v>1</v>
      </c>
      <c r="M114" t="str">
        <f t="shared" si="42"/>
        <v/>
      </c>
    </row>
    <row r="115" spans="1:13" x14ac:dyDescent="0.25">
      <c r="A115" s="11">
        <f t="shared" si="38"/>
        <v>6</v>
      </c>
      <c r="B115" s="11">
        <f t="shared" si="39"/>
        <v>74</v>
      </c>
      <c r="C115" s="11">
        <f t="shared" si="40"/>
        <v>104</v>
      </c>
      <c r="D115" s="35">
        <f t="shared" si="36"/>
        <v>0</v>
      </c>
      <c r="E115" t="str">
        <f t="shared" si="53"/>
        <v>interruptRegisters</v>
      </c>
      <c r="F115" s="10" t="str">
        <f t="shared" si="54"/>
        <v>DetectionCondition2</v>
      </c>
      <c r="G115" s="11" t="str">
        <f t="shared" si="55"/>
        <v>64</v>
      </c>
      <c r="H115" t="s">
        <v>333</v>
      </c>
      <c r="I115" s="11">
        <f t="shared" si="56"/>
        <v>3</v>
      </c>
      <c r="J115" s="11">
        <f t="shared" si="57"/>
        <v>1</v>
      </c>
      <c r="K115" s="11" t="str">
        <f t="shared" si="37"/>
        <v>1</v>
      </c>
      <c r="M115" t="str">
        <f t="shared" si="42"/>
        <v/>
      </c>
    </row>
    <row r="116" spans="1:13" x14ac:dyDescent="0.25">
      <c r="A116" s="11">
        <f t="shared" si="38"/>
        <v>6</v>
      </c>
      <c r="B116" s="11">
        <f t="shared" si="39"/>
        <v>74</v>
      </c>
      <c r="C116" s="11">
        <f t="shared" si="40"/>
        <v>105</v>
      </c>
      <c r="D116" s="35">
        <f t="shared" si="36"/>
        <v>0</v>
      </c>
      <c r="E116" t="str">
        <f t="shared" si="53"/>
        <v>interruptRegisters</v>
      </c>
      <c r="F116" s="10" t="str">
        <f t="shared" si="54"/>
        <v>DetectionCondition2</v>
      </c>
      <c r="G116" s="11" t="str">
        <f t="shared" si="55"/>
        <v>64</v>
      </c>
      <c r="H116" t="s">
        <v>334</v>
      </c>
      <c r="I116" s="11">
        <f t="shared" si="56"/>
        <v>2</v>
      </c>
      <c r="J116" s="11">
        <f t="shared" si="57"/>
        <v>1</v>
      </c>
      <c r="K116" s="11" t="str">
        <f t="shared" si="37"/>
        <v>1</v>
      </c>
      <c r="M116" t="str">
        <f t="shared" si="42"/>
        <v/>
      </c>
    </row>
    <row r="117" spans="1:13" x14ac:dyDescent="0.25">
      <c r="A117" s="11">
        <f t="shared" si="38"/>
        <v>6</v>
      </c>
      <c r="B117" s="11">
        <f t="shared" si="39"/>
        <v>74</v>
      </c>
      <c r="C117" s="11">
        <f t="shared" si="40"/>
        <v>106</v>
      </c>
      <c r="D117" s="35">
        <f t="shared" si="36"/>
        <v>0</v>
      </c>
      <c r="E117" t="str">
        <f t="shared" si="53"/>
        <v>interruptRegisters</v>
      </c>
      <c r="F117" s="10" t="str">
        <f t="shared" si="54"/>
        <v>DetectionCondition2</v>
      </c>
      <c r="G117" s="11" t="str">
        <f t="shared" si="55"/>
        <v>64</v>
      </c>
      <c r="H117" t="s">
        <v>335</v>
      </c>
      <c r="I117" s="11">
        <f t="shared" si="56"/>
        <v>1</v>
      </c>
      <c r="J117" s="11">
        <f t="shared" si="57"/>
        <v>1</v>
      </c>
      <c r="K117" s="11" t="str">
        <f t="shared" si="37"/>
        <v>1</v>
      </c>
      <c r="M117" t="str">
        <f t="shared" si="42"/>
        <v/>
      </c>
    </row>
    <row r="118" spans="1:13" x14ac:dyDescent="0.25">
      <c r="A118" s="11">
        <f t="shared" si="38"/>
        <v>6</v>
      </c>
      <c r="B118" s="11">
        <f t="shared" si="39"/>
        <v>74</v>
      </c>
      <c r="C118" s="11">
        <f t="shared" si="40"/>
        <v>107</v>
      </c>
      <c r="D118" s="35">
        <f t="shared" si="36"/>
        <v>0</v>
      </c>
      <c r="E118" t="str">
        <f t="shared" si="53"/>
        <v>interruptRegisters</v>
      </c>
      <c r="F118" s="10" t="str">
        <f t="shared" si="54"/>
        <v>DetectionCondition2</v>
      </c>
      <c r="G118" s="11" t="str">
        <f t="shared" si="55"/>
        <v>64</v>
      </c>
      <c r="H118" t="s">
        <v>336</v>
      </c>
      <c r="I118" s="11">
        <f t="shared" si="56"/>
        <v>0</v>
      </c>
      <c r="J118" s="11">
        <f t="shared" si="57"/>
        <v>1</v>
      </c>
      <c r="K118" s="11" t="str">
        <f t="shared" si="37"/>
        <v>1</v>
      </c>
      <c r="M118" t="str">
        <f t="shared" si="42"/>
        <v/>
      </c>
    </row>
    <row r="119" spans="1:13" x14ac:dyDescent="0.25">
      <c r="A119" s="11">
        <f t="shared" si="38"/>
        <v>6</v>
      </c>
      <c r="B119" s="11">
        <f t="shared" si="39"/>
        <v>75</v>
      </c>
      <c r="C119" s="11">
        <f t="shared" si="40"/>
        <v>108</v>
      </c>
      <c r="D119" s="35">
        <f t="shared" si="36"/>
        <v>0</v>
      </c>
      <c r="E119" t="str">
        <f>E111</f>
        <v>interruptRegisters</v>
      </c>
      <c r="F119" s="10" t="str">
        <f>regList!F41</f>
        <v>ReferenceDistanceforMotionMSB</v>
      </c>
      <c r="G119" s="11" t="str">
        <f>regList!E41</f>
        <v>65</v>
      </c>
      <c r="H119" t="s">
        <v>337</v>
      </c>
      <c r="I119" s="11">
        <v>0</v>
      </c>
      <c r="J119" s="11">
        <v>16</v>
      </c>
      <c r="K119" s="11" t="str">
        <f t="shared" si="37"/>
        <v>FFFF</v>
      </c>
      <c r="M119" t="str">
        <f t="shared" si="42"/>
        <v/>
      </c>
    </row>
    <row r="120" spans="1:13" x14ac:dyDescent="0.25">
      <c r="A120" s="11">
        <f t="shared" si="38"/>
        <v>6</v>
      </c>
      <c r="B120" s="11">
        <f t="shared" si="39"/>
        <v>76</v>
      </c>
      <c r="C120" s="11">
        <f t="shared" si="40"/>
        <v>108</v>
      </c>
      <c r="D120" s="35">
        <f t="shared" si="36"/>
        <v>0</v>
      </c>
      <c r="E120" t="str">
        <f t="shared" si="41"/>
        <v>interruptRegisters</v>
      </c>
      <c r="F120" s="10" t="str">
        <f>regList!F42</f>
        <v>ReferenceDistanceforMotionLSB</v>
      </c>
      <c r="G120" s="11" t="str">
        <f>regList!E42</f>
        <v>66</v>
      </c>
      <c r="K120" s="11" t="str">
        <f t="shared" si="37"/>
        <v/>
      </c>
      <c r="M120" t="str">
        <f t="shared" si="42"/>
        <v/>
      </c>
    </row>
    <row r="121" spans="1:13" x14ac:dyDescent="0.25">
      <c r="A121" s="11">
        <f t="shared" si="38"/>
        <v>6</v>
      </c>
      <c r="B121" s="11">
        <f t="shared" si="39"/>
        <v>77</v>
      </c>
      <c r="C121" s="11">
        <f t="shared" si="40"/>
        <v>109</v>
      </c>
      <c r="D121" s="35">
        <f t="shared" si="36"/>
        <v>0</v>
      </c>
      <c r="E121" t="str">
        <f t="shared" si="41"/>
        <v>interruptRegisters</v>
      </c>
      <c r="F121" s="10" t="str">
        <f>regList!F43</f>
        <v>ReferenceMagnitudeExponent</v>
      </c>
      <c r="G121" s="11" t="str">
        <f>regList!E43</f>
        <v>67</v>
      </c>
      <c r="H121" t="s">
        <v>338</v>
      </c>
      <c r="I121" s="11">
        <v>0</v>
      </c>
      <c r="J121" s="11">
        <v>4</v>
      </c>
      <c r="K121" s="11" t="str">
        <f t="shared" si="37"/>
        <v>F</v>
      </c>
      <c r="M121" t="str">
        <f t="shared" si="42"/>
        <v/>
      </c>
    </row>
    <row r="122" spans="1:13" x14ac:dyDescent="0.25">
      <c r="A122" s="11">
        <f t="shared" si="38"/>
        <v>6</v>
      </c>
      <c r="B122" s="11">
        <f t="shared" si="39"/>
        <v>78</v>
      </c>
      <c r="C122" s="11">
        <f t="shared" si="40"/>
        <v>110</v>
      </c>
      <c r="D122" s="35">
        <f t="shared" si="36"/>
        <v>0</v>
      </c>
      <c r="E122" t="str">
        <f t="shared" si="41"/>
        <v>interruptRegisters</v>
      </c>
      <c r="F122" s="10" t="str">
        <f>regList!F44</f>
        <v>ReferenceMagnitudeSignificand</v>
      </c>
      <c r="G122" s="11" t="str">
        <f>regList!E44</f>
        <v>68</v>
      </c>
      <c r="H122" t="s">
        <v>339</v>
      </c>
      <c r="I122" s="11">
        <v>0</v>
      </c>
      <c r="J122" s="11">
        <v>8</v>
      </c>
      <c r="K122" s="11" t="str">
        <f t="shared" si="37"/>
        <v>FF</v>
      </c>
      <c r="M122" t="str">
        <f t="shared" si="42"/>
        <v/>
      </c>
    </row>
    <row r="123" spans="1:13" x14ac:dyDescent="0.25">
      <c r="A123" s="11">
        <f t="shared" si="38"/>
        <v>6</v>
      </c>
      <c r="B123" s="11">
        <f t="shared" si="39"/>
        <v>79</v>
      </c>
      <c r="C123" s="11">
        <f t="shared" si="40"/>
        <v>111</v>
      </c>
      <c r="D123" s="35">
        <f t="shared" si="36"/>
        <v>0</v>
      </c>
      <c r="E123" t="str">
        <f t="shared" si="41"/>
        <v>interruptRegisters</v>
      </c>
      <c r="F123" s="10" t="str">
        <f>regList!F45</f>
        <v>InterruptFlag</v>
      </c>
      <c r="G123" s="11" t="str">
        <f>regList!E45</f>
        <v>69</v>
      </c>
      <c r="H123" t="s">
        <v>340</v>
      </c>
      <c r="I123" s="11">
        <v>5</v>
      </c>
      <c r="J123" s="11">
        <v>1</v>
      </c>
      <c r="K123" s="11" t="str">
        <f t="shared" si="37"/>
        <v>1</v>
      </c>
      <c r="M123" t="str">
        <f t="shared" si="42"/>
        <v/>
      </c>
    </row>
    <row r="124" spans="1:13" x14ac:dyDescent="0.25">
      <c r="A124" s="11">
        <f t="shared" si="38"/>
        <v>6</v>
      </c>
      <c r="B124" s="11">
        <f t="shared" si="39"/>
        <v>79</v>
      </c>
      <c r="C124" s="11">
        <f t="shared" si="40"/>
        <v>112</v>
      </c>
      <c r="D124" s="35">
        <f t="shared" si="36"/>
        <v>0</v>
      </c>
      <c r="E124" t="str">
        <f t="shared" ref="E124:E128" si="58">E123</f>
        <v>interruptRegisters</v>
      </c>
      <c r="F124" s="10" t="str">
        <f t="shared" ref="F124:F128" si="59">F123</f>
        <v>InterruptFlag</v>
      </c>
      <c r="G124" s="11" t="str">
        <f t="shared" ref="G124:G128" si="60">G123</f>
        <v>69</v>
      </c>
      <c r="H124" t="s">
        <v>341</v>
      </c>
      <c r="I124" s="11">
        <f>I123-1</f>
        <v>4</v>
      </c>
      <c r="J124" s="11">
        <f>J123</f>
        <v>1</v>
      </c>
      <c r="K124" s="11" t="str">
        <f t="shared" si="37"/>
        <v>1</v>
      </c>
      <c r="M124" t="str">
        <f t="shared" si="42"/>
        <v/>
      </c>
    </row>
    <row r="125" spans="1:13" x14ac:dyDescent="0.25">
      <c r="A125" s="11">
        <f t="shared" si="38"/>
        <v>6</v>
      </c>
      <c r="B125" s="11">
        <f t="shared" si="39"/>
        <v>79</v>
      </c>
      <c r="C125" s="11">
        <f t="shared" si="40"/>
        <v>113</v>
      </c>
      <c r="D125" s="35">
        <f t="shared" si="36"/>
        <v>0</v>
      </c>
      <c r="E125" t="str">
        <f t="shared" si="58"/>
        <v>interruptRegisters</v>
      </c>
      <c r="F125" s="10" t="str">
        <f t="shared" si="59"/>
        <v>InterruptFlag</v>
      </c>
      <c r="G125" s="11" t="str">
        <f t="shared" si="60"/>
        <v>69</v>
      </c>
      <c r="H125" t="s">
        <v>342</v>
      </c>
      <c r="I125" s="11">
        <f t="shared" ref="I125:I128" si="61">I124-1</f>
        <v>3</v>
      </c>
      <c r="J125" s="11">
        <f t="shared" ref="J125:J128" si="62">J124</f>
        <v>1</v>
      </c>
      <c r="K125" s="11" t="str">
        <f t="shared" si="37"/>
        <v>1</v>
      </c>
      <c r="M125" t="str">
        <f t="shared" si="42"/>
        <v/>
      </c>
    </row>
    <row r="126" spans="1:13" x14ac:dyDescent="0.25">
      <c r="A126" s="11">
        <f t="shared" si="38"/>
        <v>6</v>
      </c>
      <c r="B126" s="11">
        <f t="shared" si="39"/>
        <v>79</v>
      </c>
      <c r="C126" s="11">
        <f t="shared" si="40"/>
        <v>114</v>
      </c>
      <c r="D126" s="35">
        <f t="shared" si="36"/>
        <v>0</v>
      </c>
      <c r="E126" t="str">
        <f t="shared" si="58"/>
        <v>interruptRegisters</v>
      </c>
      <c r="F126" s="10" t="str">
        <f t="shared" si="59"/>
        <v>InterruptFlag</v>
      </c>
      <c r="G126" s="11" t="str">
        <f t="shared" si="60"/>
        <v>69</v>
      </c>
      <c r="H126" t="s">
        <v>343</v>
      </c>
      <c r="I126" s="11">
        <f t="shared" si="61"/>
        <v>2</v>
      </c>
      <c r="J126" s="11">
        <f t="shared" si="62"/>
        <v>1</v>
      </c>
      <c r="K126" s="11" t="str">
        <f t="shared" si="37"/>
        <v>1</v>
      </c>
      <c r="M126" t="str">
        <f t="shared" si="42"/>
        <v/>
      </c>
    </row>
    <row r="127" spans="1:13" x14ac:dyDescent="0.25">
      <c r="A127" s="11">
        <f t="shared" si="38"/>
        <v>6</v>
      </c>
      <c r="B127" s="11">
        <f t="shared" si="39"/>
        <v>79</v>
      </c>
      <c r="C127" s="11">
        <f t="shared" si="40"/>
        <v>115</v>
      </c>
      <c r="D127" s="35">
        <f t="shared" si="36"/>
        <v>0</v>
      </c>
      <c r="E127" t="str">
        <f t="shared" si="58"/>
        <v>interruptRegisters</v>
      </c>
      <c r="F127" s="10" t="str">
        <f t="shared" si="59"/>
        <v>InterruptFlag</v>
      </c>
      <c r="G127" s="11" t="str">
        <f t="shared" si="60"/>
        <v>69</v>
      </c>
      <c r="H127" t="s">
        <v>344</v>
      </c>
      <c r="I127" s="11">
        <f t="shared" si="61"/>
        <v>1</v>
      </c>
      <c r="J127" s="11">
        <f t="shared" si="62"/>
        <v>1</v>
      </c>
      <c r="K127" s="11" t="str">
        <f t="shared" si="37"/>
        <v>1</v>
      </c>
      <c r="M127" t="str">
        <f t="shared" si="42"/>
        <v/>
      </c>
    </row>
    <row r="128" spans="1:13" x14ac:dyDescent="0.25">
      <c r="A128" s="11">
        <f t="shared" si="38"/>
        <v>6</v>
      </c>
      <c r="B128" s="11">
        <f t="shared" si="39"/>
        <v>79</v>
      </c>
      <c r="C128" s="11">
        <f t="shared" si="40"/>
        <v>116</v>
      </c>
      <c r="D128" s="35">
        <f t="shared" si="36"/>
        <v>0</v>
      </c>
      <c r="E128" t="str">
        <f t="shared" si="58"/>
        <v>interruptRegisters</v>
      </c>
      <c r="F128" s="10" t="str">
        <f t="shared" si="59"/>
        <v>InterruptFlag</v>
      </c>
      <c r="G128" s="11" t="str">
        <f t="shared" si="60"/>
        <v>69</v>
      </c>
      <c r="H128" t="s">
        <v>345</v>
      </c>
      <c r="I128" s="11">
        <f t="shared" si="61"/>
        <v>0</v>
      </c>
      <c r="J128" s="11">
        <f t="shared" si="62"/>
        <v>1</v>
      </c>
      <c r="K128" s="11" t="str">
        <f t="shared" si="37"/>
        <v>1</v>
      </c>
      <c r="M128" t="str">
        <f t="shared" si="42"/>
        <v/>
      </c>
    </row>
    <row r="129" spans="1:13" x14ac:dyDescent="0.25">
      <c r="A129" s="11">
        <f t="shared" si="38"/>
        <v>6</v>
      </c>
      <c r="B129" s="11">
        <f t="shared" si="39"/>
        <v>80</v>
      </c>
      <c r="C129" s="11">
        <f t="shared" si="40"/>
        <v>117</v>
      </c>
      <c r="D129" s="35">
        <f t="shared" si="36"/>
        <v>0</v>
      </c>
      <c r="E129" t="str">
        <f>E123</f>
        <v>interruptRegisters</v>
      </c>
      <c r="F129" s="10" t="str">
        <f>regList!F46</f>
        <v>DetectionFlag</v>
      </c>
      <c r="G129" s="11" t="str">
        <f>regList!E46</f>
        <v>6A</v>
      </c>
      <c r="H129" t="s">
        <v>347</v>
      </c>
      <c r="I129" s="11">
        <v>7</v>
      </c>
      <c r="J129" s="11">
        <v>1</v>
      </c>
      <c r="K129" s="11" t="str">
        <f t="shared" si="37"/>
        <v>1</v>
      </c>
      <c r="M129" t="str">
        <f t="shared" si="42"/>
        <v/>
      </c>
    </row>
    <row r="130" spans="1:13" x14ac:dyDescent="0.25">
      <c r="A130" s="11">
        <f t="shared" si="38"/>
        <v>6</v>
      </c>
      <c r="B130" s="11">
        <f t="shared" si="39"/>
        <v>80</v>
      </c>
      <c r="C130" s="11">
        <f t="shared" si="40"/>
        <v>118</v>
      </c>
      <c r="D130" s="35">
        <f t="shared" si="36"/>
        <v>0</v>
      </c>
      <c r="E130" t="str">
        <f t="shared" ref="E130:E136" si="63">E129</f>
        <v>interruptRegisters</v>
      </c>
      <c r="F130" s="10" t="str">
        <f t="shared" ref="F130:F136" si="64">F129</f>
        <v>DetectionFlag</v>
      </c>
      <c r="G130" s="11" t="str">
        <f t="shared" ref="G130:G136" si="65">G129</f>
        <v>6A</v>
      </c>
      <c r="H130" t="s">
        <v>348</v>
      </c>
      <c r="I130" s="11">
        <f t="shared" ref="I130:I136" si="66">I129-1</f>
        <v>6</v>
      </c>
      <c r="J130" s="11">
        <f t="shared" ref="J130:J136" si="67">J129</f>
        <v>1</v>
      </c>
      <c r="K130" s="11" t="str">
        <f t="shared" si="37"/>
        <v>1</v>
      </c>
      <c r="M130" t="str">
        <f t="shared" si="42"/>
        <v/>
      </c>
    </row>
    <row r="131" spans="1:13" x14ac:dyDescent="0.25">
      <c r="A131" s="11">
        <f t="shared" si="38"/>
        <v>6</v>
      </c>
      <c r="B131" s="11">
        <f t="shared" si="39"/>
        <v>80</v>
      </c>
      <c r="C131" s="11">
        <f t="shared" si="40"/>
        <v>119</v>
      </c>
      <c r="D131" s="35">
        <f t="shared" si="36"/>
        <v>0</v>
      </c>
      <c r="E131" t="str">
        <f t="shared" si="63"/>
        <v>interruptRegisters</v>
      </c>
      <c r="F131" s="10" t="str">
        <f t="shared" si="64"/>
        <v>DetectionFlag</v>
      </c>
      <c r="G131" s="11" t="str">
        <f t="shared" si="65"/>
        <v>6A</v>
      </c>
      <c r="H131" t="s">
        <v>349</v>
      </c>
      <c r="I131" s="11">
        <f t="shared" si="66"/>
        <v>5</v>
      </c>
      <c r="J131" s="11">
        <f t="shared" si="67"/>
        <v>1</v>
      </c>
      <c r="K131" s="11" t="str">
        <f t="shared" si="37"/>
        <v>1</v>
      </c>
      <c r="M131" t="str">
        <f t="shared" si="42"/>
        <v/>
      </c>
    </row>
    <row r="132" spans="1:13" x14ac:dyDescent="0.25">
      <c r="A132" s="11">
        <f t="shared" si="38"/>
        <v>6</v>
      </c>
      <c r="B132" s="11">
        <f t="shared" si="39"/>
        <v>80</v>
      </c>
      <c r="C132" s="11">
        <f t="shared" si="40"/>
        <v>120</v>
      </c>
      <c r="D132" s="35">
        <f t="shared" si="36"/>
        <v>0</v>
      </c>
      <c r="E132" t="str">
        <f t="shared" si="63"/>
        <v>interruptRegisters</v>
      </c>
      <c r="F132" s="10" t="str">
        <f t="shared" si="64"/>
        <v>DetectionFlag</v>
      </c>
      <c r="G132" s="11" t="str">
        <f t="shared" si="65"/>
        <v>6A</v>
      </c>
      <c r="H132" t="s">
        <v>350</v>
      </c>
      <c r="I132" s="11">
        <f t="shared" si="66"/>
        <v>4</v>
      </c>
      <c r="J132" s="11">
        <f t="shared" si="67"/>
        <v>1</v>
      </c>
      <c r="K132" s="11" t="str">
        <f t="shared" si="37"/>
        <v>1</v>
      </c>
      <c r="M132" t="str">
        <f t="shared" si="42"/>
        <v/>
      </c>
    </row>
    <row r="133" spans="1:13" x14ac:dyDescent="0.25">
      <c r="A133" s="11">
        <f t="shared" si="38"/>
        <v>6</v>
      </c>
      <c r="B133" s="11">
        <f t="shared" si="39"/>
        <v>80</v>
      </c>
      <c r="C133" s="11">
        <f t="shared" si="40"/>
        <v>121</v>
      </c>
      <c r="D133" s="35">
        <f t="shared" si="36"/>
        <v>0</v>
      </c>
      <c r="E133" t="str">
        <f t="shared" si="63"/>
        <v>interruptRegisters</v>
      </c>
      <c r="F133" s="10" t="str">
        <f t="shared" si="64"/>
        <v>DetectionFlag</v>
      </c>
      <c r="G133" s="11" t="str">
        <f t="shared" si="65"/>
        <v>6A</v>
      </c>
      <c r="H133" t="s">
        <v>351</v>
      </c>
      <c r="I133" s="11">
        <f t="shared" si="66"/>
        <v>3</v>
      </c>
      <c r="J133" s="11">
        <f t="shared" si="67"/>
        <v>1</v>
      </c>
      <c r="K133" s="11" t="str">
        <f t="shared" si="37"/>
        <v>1</v>
      </c>
      <c r="M133" t="str">
        <f t="shared" si="42"/>
        <v/>
      </c>
    </row>
    <row r="134" spans="1:13" x14ac:dyDescent="0.25">
      <c r="A134" s="11">
        <f t="shared" si="38"/>
        <v>6</v>
      </c>
      <c r="B134" s="11">
        <f t="shared" si="39"/>
        <v>80</v>
      </c>
      <c r="C134" s="11">
        <f t="shared" si="40"/>
        <v>122</v>
      </c>
      <c r="D134" s="35">
        <f t="shared" ref="D134:D197" si="68">COUNTIF(APIfields,C134)</f>
        <v>0</v>
      </c>
      <c r="E134" t="str">
        <f t="shared" si="63"/>
        <v>interruptRegisters</v>
      </c>
      <c r="F134" s="10" t="str">
        <f t="shared" si="64"/>
        <v>DetectionFlag</v>
      </c>
      <c r="G134" s="11" t="str">
        <f t="shared" si="65"/>
        <v>6A</v>
      </c>
      <c r="H134" t="s">
        <v>352</v>
      </c>
      <c r="I134" s="11">
        <f t="shared" si="66"/>
        <v>2</v>
      </c>
      <c r="J134" s="11">
        <f t="shared" si="67"/>
        <v>1</v>
      </c>
      <c r="K134" s="11" t="str">
        <f t="shared" si="37"/>
        <v>1</v>
      </c>
      <c r="M134" t="str">
        <f t="shared" si="42"/>
        <v/>
      </c>
    </row>
    <row r="135" spans="1:13" x14ac:dyDescent="0.25">
      <c r="A135" s="11">
        <f t="shared" si="38"/>
        <v>6</v>
      </c>
      <c r="B135" s="11">
        <f t="shared" si="39"/>
        <v>80</v>
      </c>
      <c r="C135" s="11">
        <f t="shared" si="40"/>
        <v>123</v>
      </c>
      <c r="D135" s="35">
        <f t="shared" si="68"/>
        <v>0</v>
      </c>
      <c r="E135" t="str">
        <f t="shared" si="63"/>
        <v>interruptRegisters</v>
      </c>
      <c r="F135" s="10" t="str">
        <f t="shared" si="64"/>
        <v>DetectionFlag</v>
      </c>
      <c r="G135" s="11" t="str">
        <f t="shared" si="65"/>
        <v>6A</v>
      </c>
      <c r="H135" t="s">
        <v>353</v>
      </c>
      <c r="I135" s="11">
        <f t="shared" si="66"/>
        <v>1</v>
      </c>
      <c r="J135" s="11">
        <f t="shared" si="67"/>
        <v>1</v>
      </c>
      <c r="K135" s="11" t="str">
        <f t="shared" si="37"/>
        <v>1</v>
      </c>
      <c r="M135" t="str">
        <f t="shared" si="42"/>
        <v/>
      </c>
    </row>
    <row r="136" spans="1:13" x14ac:dyDescent="0.25">
      <c r="A136" s="11">
        <f t="shared" ref="A136:A220" si="69">IF(E136=E135,A135,A135+1)</f>
        <v>6</v>
      </c>
      <c r="B136" s="11">
        <f t="shared" ref="B136:B220" si="70">IF(F135=F136,B135,B135+1)</f>
        <v>80</v>
      </c>
      <c r="C136" s="11">
        <f t="shared" ref="C136:C220" si="71">IF(H136&lt;&gt;"",C135+1,C135)</f>
        <v>124</v>
      </c>
      <c r="D136" s="35">
        <f t="shared" si="68"/>
        <v>0</v>
      </c>
      <c r="E136" t="str">
        <f t="shared" si="63"/>
        <v>interruptRegisters</v>
      </c>
      <c r="F136" s="10" t="str">
        <f t="shared" si="64"/>
        <v>DetectionFlag</v>
      </c>
      <c r="G136" s="11" t="str">
        <f t="shared" si="65"/>
        <v>6A</v>
      </c>
      <c r="H136" t="s">
        <v>354</v>
      </c>
      <c r="I136" s="11">
        <f t="shared" si="66"/>
        <v>0</v>
      </c>
      <c r="J136" s="11">
        <f t="shared" si="67"/>
        <v>1</v>
      </c>
      <c r="K136" s="11" t="str">
        <f t="shared" si="37"/>
        <v>1</v>
      </c>
      <c r="M136" t="str">
        <f t="shared" si="42"/>
        <v/>
      </c>
    </row>
    <row r="137" spans="1:13" x14ac:dyDescent="0.25">
      <c r="A137" s="11">
        <f t="shared" si="69"/>
        <v>6</v>
      </c>
      <c r="B137" s="11">
        <f t="shared" si="70"/>
        <v>81</v>
      </c>
      <c r="C137" s="11">
        <f t="shared" si="71"/>
        <v>125</v>
      </c>
      <c r="D137" s="35">
        <f t="shared" si="68"/>
        <v>0</v>
      </c>
      <c r="E137" t="str">
        <f>E129</f>
        <v>interruptRegisters</v>
      </c>
      <c r="F137" s="10" t="str">
        <f>regList!F47</f>
        <v>DetectionFlagReference</v>
      </c>
      <c r="G137" s="11" t="str">
        <f>regList!E47</f>
        <v>6B</v>
      </c>
      <c r="H137" t="s">
        <v>346</v>
      </c>
      <c r="I137" s="11">
        <v>0</v>
      </c>
      <c r="J137" s="11">
        <v>8</v>
      </c>
      <c r="K137" s="11" t="str">
        <f t="shared" si="37"/>
        <v>FF</v>
      </c>
      <c r="M137" t="str">
        <f t="shared" si="42"/>
        <v/>
      </c>
    </row>
    <row r="138" spans="1:13" x14ac:dyDescent="0.25">
      <c r="A138" s="11">
        <f t="shared" si="69"/>
        <v>7</v>
      </c>
      <c r="B138" s="11">
        <f t="shared" si="70"/>
        <v>82</v>
      </c>
      <c r="C138" s="11">
        <f t="shared" si="71"/>
        <v>126</v>
      </c>
      <c r="D138" s="35">
        <f t="shared" si="68"/>
        <v>0</v>
      </c>
      <c r="E138" t="s">
        <v>216</v>
      </c>
      <c r="F138" s="10" t="str">
        <f>regList!F52</f>
        <v>Zone1ThresholdHighMSB</v>
      </c>
      <c r="G138" s="11" t="str">
        <f>regList!E52</f>
        <v>70</v>
      </c>
      <c r="H138" t="s">
        <v>355</v>
      </c>
      <c r="I138" s="11">
        <v>0</v>
      </c>
      <c r="J138" s="11">
        <v>16</v>
      </c>
      <c r="K138" s="11" t="str">
        <f t="shared" si="37"/>
        <v>FFFF</v>
      </c>
      <c r="M138" t="str">
        <f t="shared" si="42"/>
        <v/>
      </c>
    </row>
    <row r="139" spans="1:13" x14ac:dyDescent="0.25">
      <c r="A139" s="11">
        <f t="shared" si="69"/>
        <v>7</v>
      </c>
      <c r="B139" s="11">
        <f t="shared" si="70"/>
        <v>83</v>
      </c>
      <c r="C139" s="11">
        <f t="shared" si="71"/>
        <v>126</v>
      </c>
      <c r="D139" s="35">
        <f t="shared" si="68"/>
        <v>0</v>
      </c>
      <c r="E139" t="str">
        <f t="shared" si="41"/>
        <v xml:space="preserve">detectionModeControlRegisters </v>
      </c>
      <c r="F139" s="10" t="str">
        <f>regList!F53</f>
        <v>Zone1ThresholdHighLSB</v>
      </c>
      <c r="G139" s="11" t="str">
        <f>regList!E53</f>
        <v>71</v>
      </c>
      <c r="K139" s="11" t="str">
        <f t="shared" si="37"/>
        <v/>
      </c>
      <c r="M139" t="str">
        <f t="shared" si="42"/>
        <v/>
      </c>
    </row>
    <row r="140" spans="1:13" x14ac:dyDescent="0.25">
      <c r="A140" s="11">
        <f t="shared" si="69"/>
        <v>7</v>
      </c>
      <c r="B140" s="11">
        <f t="shared" si="70"/>
        <v>84</v>
      </c>
      <c r="C140" s="11">
        <f t="shared" si="71"/>
        <v>127</v>
      </c>
      <c r="D140" s="35">
        <f t="shared" si="68"/>
        <v>0</v>
      </c>
      <c r="E140" t="str">
        <f t="shared" si="41"/>
        <v xml:space="preserve">detectionModeControlRegisters </v>
      </c>
      <c r="F140" s="10" t="str">
        <f>regList!F54</f>
        <v>Zone1ThresholdLowMSB</v>
      </c>
      <c r="G140" s="11" t="str">
        <f>regList!E54</f>
        <v>72</v>
      </c>
      <c r="H140" t="s">
        <v>356</v>
      </c>
      <c r="I140" s="11">
        <v>0</v>
      </c>
      <c r="J140" s="11">
        <v>16</v>
      </c>
      <c r="K140" s="11" t="str">
        <f t="shared" si="37"/>
        <v>FFFF</v>
      </c>
      <c r="M140" t="str">
        <f t="shared" si="42"/>
        <v/>
      </c>
    </row>
    <row r="141" spans="1:13" x14ac:dyDescent="0.25">
      <c r="A141" s="11">
        <f t="shared" si="69"/>
        <v>7</v>
      </c>
      <c r="B141" s="11">
        <f t="shared" si="70"/>
        <v>85</v>
      </c>
      <c r="C141" s="11">
        <f t="shared" si="71"/>
        <v>127</v>
      </c>
      <c r="D141" s="35">
        <f t="shared" si="68"/>
        <v>0</v>
      </c>
      <c r="E141" t="str">
        <f t="shared" si="41"/>
        <v xml:space="preserve">detectionModeControlRegisters </v>
      </c>
      <c r="F141" s="10" t="str">
        <f>regList!F55</f>
        <v>Zone1ThresholdLowLSB</v>
      </c>
      <c r="G141" s="11" t="str">
        <f>regList!E55</f>
        <v>73</v>
      </c>
      <c r="K141" s="11" t="str">
        <f t="shared" si="37"/>
        <v/>
      </c>
      <c r="M141" t="str">
        <f t="shared" si="42"/>
        <v/>
      </c>
    </row>
    <row r="142" spans="1:13" x14ac:dyDescent="0.25">
      <c r="A142" s="11">
        <f t="shared" si="69"/>
        <v>7</v>
      </c>
      <c r="B142" s="11">
        <f t="shared" si="70"/>
        <v>86</v>
      </c>
      <c r="C142" s="11">
        <f t="shared" si="71"/>
        <v>128</v>
      </c>
      <c r="D142" s="35">
        <f t="shared" si="68"/>
        <v>0</v>
      </c>
      <c r="E142" t="str">
        <f t="shared" si="41"/>
        <v xml:space="preserve">detectionModeControlRegisters </v>
      </c>
      <c r="F142" s="10" t="str">
        <f>regList!F56</f>
        <v>Zone2ThresholdHighMSB</v>
      </c>
      <c r="G142" s="11" t="str">
        <f>regList!E56</f>
        <v>74</v>
      </c>
      <c r="H142" t="s">
        <v>357</v>
      </c>
      <c r="I142" s="11">
        <v>0</v>
      </c>
      <c r="J142" s="11">
        <v>16</v>
      </c>
      <c r="K142" s="11" t="str">
        <f t="shared" si="37"/>
        <v>FFFF</v>
      </c>
      <c r="M142" t="str">
        <f t="shared" si="42"/>
        <v/>
      </c>
    </row>
    <row r="143" spans="1:13" x14ac:dyDescent="0.25">
      <c r="A143" s="11">
        <f t="shared" si="69"/>
        <v>7</v>
      </c>
      <c r="B143" s="11">
        <f t="shared" si="70"/>
        <v>87</v>
      </c>
      <c r="C143" s="11">
        <f t="shared" si="71"/>
        <v>128</v>
      </c>
      <c r="D143" s="35">
        <f t="shared" si="68"/>
        <v>0</v>
      </c>
      <c r="E143" t="str">
        <f t="shared" si="41"/>
        <v xml:space="preserve">detectionModeControlRegisters </v>
      </c>
      <c r="F143" s="10" t="str">
        <f>regList!F57</f>
        <v>Zone2ThresholdHighLSB</v>
      </c>
      <c r="G143" s="11" t="str">
        <f>regList!E57</f>
        <v>75</v>
      </c>
      <c r="K143" s="11" t="str">
        <f t="shared" si="37"/>
        <v/>
      </c>
      <c r="M143" t="str">
        <f t="shared" si="42"/>
        <v/>
      </c>
    </row>
    <row r="144" spans="1:13" x14ac:dyDescent="0.25">
      <c r="A144" s="11">
        <f t="shared" si="69"/>
        <v>7</v>
      </c>
      <c r="B144" s="11">
        <f t="shared" si="70"/>
        <v>88</v>
      </c>
      <c r="C144" s="11">
        <f t="shared" si="71"/>
        <v>129</v>
      </c>
      <c r="D144" s="35">
        <f t="shared" si="68"/>
        <v>0</v>
      </c>
      <c r="E144" t="str">
        <f t="shared" si="41"/>
        <v xml:space="preserve">detectionModeControlRegisters </v>
      </c>
      <c r="F144" s="10" t="str">
        <f>regList!F58</f>
        <v>Zone2ThresholdLowMSB</v>
      </c>
      <c r="G144" s="11" t="str">
        <f>regList!E58</f>
        <v>76</v>
      </c>
      <c r="H144" t="s">
        <v>358</v>
      </c>
      <c r="I144" s="11">
        <v>0</v>
      </c>
      <c r="J144" s="11">
        <v>16</v>
      </c>
      <c r="K144" s="11" t="str">
        <f t="shared" si="37"/>
        <v>FFFF</v>
      </c>
      <c r="M144" t="str">
        <f t="shared" si="42"/>
        <v/>
      </c>
    </row>
    <row r="145" spans="1:13" x14ac:dyDescent="0.25">
      <c r="A145" s="11">
        <f t="shared" si="69"/>
        <v>7</v>
      </c>
      <c r="B145" s="11">
        <f t="shared" si="70"/>
        <v>89</v>
      </c>
      <c r="C145" s="11">
        <f t="shared" si="71"/>
        <v>129</v>
      </c>
      <c r="D145" s="35">
        <f t="shared" si="68"/>
        <v>0</v>
      </c>
      <c r="E145" t="str">
        <f t="shared" si="41"/>
        <v xml:space="preserve">detectionModeControlRegisters </v>
      </c>
      <c r="F145" s="10" t="str">
        <f>regList!F59</f>
        <v>Zone2ThresholdLowLSB</v>
      </c>
      <c r="G145" s="11" t="str">
        <f>regList!E59</f>
        <v>77</v>
      </c>
      <c r="K145" s="11" t="str">
        <f t="shared" si="37"/>
        <v/>
      </c>
      <c r="M145" t="str">
        <f t="shared" si="42"/>
        <v/>
      </c>
    </row>
    <row r="146" spans="1:13" x14ac:dyDescent="0.25">
      <c r="A146" s="11">
        <f t="shared" si="69"/>
        <v>7</v>
      </c>
      <c r="B146" s="11">
        <f t="shared" si="70"/>
        <v>90</v>
      </c>
      <c r="C146" s="11">
        <f t="shared" si="71"/>
        <v>130</v>
      </c>
      <c r="D146" s="35">
        <f t="shared" si="68"/>
        <v>0</v>
      </c>
      <c r="E146" t="str">
        <f t="shared" si="41"/>
        <v xml:space="preserve">detectionModeControlRegisters </v>
      </c>
      <c r="F146" s="10" t="str">
        <f>regList!F60</f>
        <v>Zone3ThresholdHighMSB</v>
      </c>
      <c r="G146" s="11" t="str">
        <f>regList!E60</f>
        <v>78</v>
      </c>
      <c r="H146" t="s">
        <v>360</v>
      </c>
      <c r="I146" s="11">
        <v>0</v>
      </c>
      <c r="J146" s="11">
        <v>16</v>
      </c>
      <c r="K146" s="11" t="str">
        <f t="shared" si="37"/>
        <v>FFFF</v>
      </c>
      <c r="M146" t="str">
        <f t="shared" si="42"/>
        <v/>
      </c>
    </row>
    <row r="147" spans="1:13" x14ac:dyDescent="0.25">
      <c r="A147" s="11">
        <f t="shared" si="69"/>
        <v>7</v>
      </c>
      <c r="B147" s="11">
        <f t="shared" si="70"/>
        <v>91</v>
      </c>
      <c r="C147" s="11">
        <f t="shared" si="71"/>
        <v>130</v>
      </c>
      <c r="D147" s="35">
        <f t="shared" si="68"/>
        <v>0</v>
      </c>
      <c r="E147" t="str">
        <f t="shared" si="41"/>
        <v xml:space="preserve">detectionModeControlRegisters </v>
      </c>
      <c r="F147" s="10" t="str">
        <f>regList!F61</f>
        <v>Zone3ThresholdHighLSB</v>
      </c>
      <c r="G147" s="11" t="str">
        <f>regList!E61</f>
        <v>79</v>
      </c>
      <c r="K147" s="11" t="str">
        <f t="shared" si="37"/>
        <v/>
      </c>
      <c r="M147" t="str">
        <f t="shared" si="42"/>
        <v/>
      </c>
    </row>
    <row r="148" spans="1:13" x14ac:dyDescent="0.25">
      <c r="A148" s="11">
        <f t="shared" si="69"/>
        <v>7</v>
      </c>
      <c r="B148" s="11">
        <f t="shared" si="70"/>
        <v>92</v>
      </c>
      <c r="C148" s="11">
        <f t="shared" si="71"/>
        <v>131</v>
      </c>
      <c r="D148" s="35">
        <f t="shared" si="68"/>
        <v>0</v>
      </c>
      <c r="E148" t="str">
        <f t="shared" si="41"/>
        <v xml:space="preserve">detectionModeControlRegisters </v>
      </c>
      <c r="F148" s="10" t="str">
        <f>regList!F62</f>
        <v>Zone3ThresholdLowMSB</v>
      </c>
      <c r="G148" s="11" t="str">
        <f>regList!E62</f>
        <v>7A</v>
      </c>
      <c r="H148" t="s">
        <v>361</v>
      </c>
      <c r="I148" s="11">
        <v>0</v>
      </c>
      <c r="J148" s="11">
        <v>16</v>
      </c>
      <c r="K148" s="11" t="str">
        <f t="shared" si="37"/>
        <v>FFFF</v>
      </c>
      <c r="M148" t="str">
        <f t="shared" si="42"/>
        <v/>
      </c>
    </row>
    <row r="149" spans="1:13" x14ac:dyDescent="0.25">
      <c r="A149" s="11">
        <f t="shared" si="69"/>
        <v>7</v>
      </c>
      <c r="B149" s="11">
        <f t="shared" si="70"/>
        <v>93</v>
      </c>
      <c r="C149" s="11">
        <f t="shared" si="71"/>
        <v>131</v>
      </c>
      <c r="D149" s="35">
        <f t="shared" si="68"/>
        <v>0</v>
      </c>
      <c r="E149" t="str">
        <f t="shared" si="41"/>
        <v xml:space="preserve">detectionModeControlRegisters </v>
      </c>
      <c r="F149" s="10" t="str">
        <f>regList!F63</f>
        <v>Zone3ThresholdLowLSB</v>
      </c>
      <c r="G149" s="11" t="str">
        <f>regList!E63</f>
        <v>7B</v>
      </c>
      <c r="K149" s="11" t="str">
        <f t="shared" si="37"/>
        <v/>
      </c>
      <c r="M149" t="str">
        <f t="shared" si="42"/>
        <v/>
      </c>
    </row>
    <row r="150" spans="1:13" x14ac:dyDescent="0.25">
      <c r="A150" s="11">
        <f t="shared" si="69"/>
        <v>7</v>
      </c>
      <c r="B150" s="11">
        <f t="shared" si="70"/>
        <v>94</v>
      </c>
      <c r="C150" s="11">
        <f t="shared" si="71"/>
        <v>132</v>
      </c>
      <c r="D150" s="35">
        <f t="shared" si="68"/>
        <v>0</v>
      </c>
      <c r="E150" t="str">
        <f t="shared" si="41"/>
        <v xml:space="preserve">detectionModeControlRegisters </v>
      </c>
      <c r="F150" s="10" t="str">
        <f>regList!F64</f>
        <v>MagnitudeThreshold1HighExponent</v>
      </c>
      <c r="G150" s="11" t="str">
        <f>regList!E64</f>
        <v>7C</v>
      </c>
      <c r="H150" t="s">
        <v>362</v>
      </c>
      <c r="I150" s="11">
        <v>0</v>
      </c>
      <c r="J150" s="11">
        <v>4</v>
      </c>
      <c r="K150" s="11" t="str">
        <f t="shared" si="37"/>
        <v>F</v>
      </c>
      <c r="M150" t="str">
        <f t="shared" si="42"/>
        <v/>
      </c>
    </row>
    <row r="151" spans="1:13" x14ac:dyDescent="0.25">
      <c r="A151" s="11">
        <f t="shared" si="69"/>
        <v>7</v>
      </c>
      <c r="B151" s="11">
        <f t="shared" si="70"/>
        <v>95</v>
      </c>
      <c r="C151" s="11">
        <f t="shared" si="71"/>
        <v>133</v>
      </c>
      <c r="D151" s="35">
        <f t="shared" si="68"/>
        <v>0</v>
      </c>
      <c r="E151" t="str">
        <f t="shared" ref="E151:G165" si="72">E150</f>
        <v xml:space="preserve">detectionModeControlRegisters </v>
      </c>
      <c r="F151" s="10" t="str">
        <f>regList!F65</f>
        <v>MagnitudeThreshold1High</v>
      </c>
      <c r="G151" s="11" t="str">
        <f>regList!E65</f>
        <v>7D</v>
      </c>
      <c r="H151" t="s">
        <v>363</v>
      </c>
      <c r="I151" s="11">
        <v>0</v>
      </c>
      <c r="J151" s="11">
        <v>8</v>
      </c>
      <c r="K151" s="11" t="str">
        <f t="shared" si="37"/>
        <v>FF</v>
      </c>
      <c r="M151" t="str">
        <f t="shared" si="42"/>
        <v/>
      </c>
    </row>
    <row r="152" spans="1:13" x14ac:dyDescent="0.25">
      <c r="A152" s="11">
        <f t="shared" si="69"/>
        <v>7</v>
      </c>
      <c r="B152" s="11">
        <f t="shared" si="70"/>
        <v>96</v>
      </c>
      <c r="C152" s="11">
        <f t="shared" si="71"/>
        <v>134</v>
      </c>
      <c r="D152" s="35">
        <f t="shared" si="68"/>
        <v>0</v>
      </c>
      <c r="E152" t="str">
        <f t="shared" si="72"/>
        <v xml:space="preserve">detectionModeControlRegisters </v>
      </c>
      <c r="F152" s="10" t="str">
        <f>regList!F66</f>
        <v>MagnitudeThreshold2LowExponent</v>
      </c>
      <c r="G152" s="11" t="str">
        <f>regList!E66</f>
        <v>7E</v>
      </c>
      <c r="H152" t="s">
        <v>364</v>
      </c>
      <c r="I152" s="11">
        <v>0</v>
      </c>
      <c r="J152" s="11">
        <v>4</v>
      </c>
      <c r="K152" s="11" t="str">
        <f t="shared" si="37"/>
        <v>F</v>
      </c>
      <c r="M152" t="str">
        <f t="shared" si="42"/>
        <v/>
      </c>
    </row>
    <row r="153" spans="1:13" x14ac:dyDescent="0.25">
      <c r="A153" s="11">
        <f t="shared" si="69"/>
        <v>7</v>
      </c>
      <c r="B153" s="11">
        <f t="shared" si="70"/>
        <v>97</v>
      </c>
      <c r="C153" s="11">
        <f t="shared" si="71"/>
        <v>135</v>
      </c>
      <c r="D153" s="35">
        <f t="shared" si="68"/>
        <v>0</v>
      </c>
      <c r="E153" t="str">
        <f t="shared" si="72"/>
        <v xml:space="preserve">detectionModeControlRegisters </v>
      </c>
      <c r="F153" s="10" t="str">
        <f>regList!F67</f>
        <v>MagnitudeThreshold2Low</v>
      </c>
      <c r="G153" s="11" t="str">
        <f>regList!E67</f>
        <v>7F</v>
      </c>
      <c r="H153" t="s">
        <v>367</v>
      </c>
      <c r="I153" s="11">
        <v>0</v>
      </c>
      <c r="J153" s="11">
        <v>8</v>
      </c>
      <c r="K153" s="11" t="str">
        <f t="shared" si="37"/>
        <v>FF</v>
      </c>
      <c r="M153" t="str">
        <f t="shared" si="42"/>
        <v/>
      </c>
    </row>
    <row r="154" spans="1:13" x14ac:dyDescent="0.25">
      <c r="A154" s="11">
        <f t="shared" si="69"/>
        <v>7</v>
      </c>
      <c r="B154" s="11">
        <f t="shared" si="70"/>
        <v>98</v>
      </c>
      <c r="C154" s="11">
        <f t="shared" si="71"/>
        <v>136</v>
      </c>
      <c r="D154" s="35">
        <f t="shared" si="68"/>
        <v>0</v>
      </c>
      <c r="E154" t="str">
        <f t="shared" si="72"/>
        <v xml:space="preserve">detectionModeControlRegisters </v>
      </c>
      <c r="F154" s="10" t="str">
        <f>regList!H4</f>
        <v>MagnitudeThreshold2HighExponent</v>
      </c>
      <c r="G154" s="11" t="str">
        <f>regList!G4</f>
        <v>80</v>
      </c>
      <c r="H154" t="s">
        <v>365</v>
      </c>
      <c r="I154" s="11">
        <v>0</v>
      </c>
      <c r="J154" s="11">
        <v>4</v>
      </c>
      <c r="K154" s="11" t="str">
        <f t="shared" si="37"/>
        <v>F</v>
      </c>
      <c r="M154" t="str">
        <f t="shared" si="42"/>
        <v/>
      </c>
    </row>
    <row r="155" spans="1:13" x14ac:dyDescent="0.25">
      <c r="A155" s="11">
        <f t="shared" si="69"/>
        <v>7</v>
      </c>
      <c r="B155" s="11">
        <f t="shared" si="70"/>
        <v>99</v>
      </c>
      <c r="C155" s="11">
        <f t="shared" si="71"/>
        <v>137</v>
      </c>
      <c r="D155" s="35">
        <f t="shared" si="68"/>
        <v>0</v>
      </c>
      <c r="E155" t="str">
        <f t="shared" si="72"/>
        <v xml:space="preserve">detectionModeControlRegisters </v>
      </c>
      <c r="F155" s="10" t="str">
        <f>regList!H5</f>
        <v>MagnitudeThreshold2High</v>
      </c>
      <c r="G155" s="11" t="str">
        <f>regList!G5</f>
        <v>81</v>
      </c>
      <c r="H155" t="s">
        <v>368</v>
      </c>
      <c r="I155" s="11">
        <v>0</v>
      </c>
      <c r="J155" s="11">
        <v>8</v>
      </c>
      <c r="K155" s="11" t="str">
        <f t="shared" si="37"/>
        <v>FF</v>
      </c>
      <c r="M155" t="str">
        <f t="shared" si="42"/>
        <v/>
      </c>
    </row>
    <row r="156" spans="1:13" x14ac:dyDescent="0.25">
      <c r="A156" s="11">
        <f t="shared" si="69"/>
        <v>7</v>
      </c>
      <c r="B156" s="11">
        <f t="shared" si="70"/>
        <v>100</v>
      </c>
      <c r="C156" s="11">
        <f t="shared" si="71"/>
        <v>138</v>
      </c>
      <c r="D156" s="35">
        <f t="shared" si="68"/>
        <v>0</v>
      </c>
      <c r="E156" t="str">
        <f t="shared" si="72"/>
        <v xml:space="preserve">detectionModeControlRegisters </v>
      </c>
      <c r="F156" s="10" t="str">
        <f>regList!H6</f>
        <v>MagnitudeThreshold3LowExponent</v>
      </c>
      <c r="G156" s="11" t="str">
        <f>regList!G6</f>
        <v>82</v>
      </c>
      <c r="H156" t="s">
        <v>366</v>
      </c>
      <c r="I156" s="11">
        <v>0</v>
      </c>
      <c r="J156" s="11">
        <v>4</v>
      </c>
      <c r="K156" s="11" t="str">
        <f t="shared" si="37"/>
        <v>F</v>
      </c>
      <c r="M156" t="str">
        <f t="shared" si="42"/>
        <v/>
      </c>
    </row>
    <row r="157" spans="1:13" x14ac:dyDescent="0.25">
      <c r="A157" s="11">
        <f t="shared" si="69"/>
        <v>7</v>
      </c>
      <c r="B157" s="11">
        <f t="shared" si="70"/>
        <v>101</v>
      </c>
      <c r="C157" s="11">
        <f t="shared" si="71"/>
        <v>139</v>
      </c>
      <c r="D157" s="35">
        <f t="shared" si="68"/>
        <v>0</v>
      </c>
      <c r="E157" t="str">
        <f t="shared" si="72"/>
        <v xml:space="preserve">detectionModeControlRegisters </v>
      </c>
      <c r="F157" s="10" t="str">
        <f>regList!H7</f>
        <v>MagnitudeThreshold3Low</v>
      </c>
      <c r="G157" s="11" t="str">
        <f>regList!G7</f>
        <v>83</v>
      </c>
      <c r="H157" t="s">
        <v>369</v>
      </c>
      <c r="I157" s="11">
        <v>0</v>
      </c>
      <c r="J157" s="11">
        <v>8</v>
      </c>
      <c r="K157" s="11" t="str">
        <f t="shared" si="37"/>
        <v>FF</v>
      </c>
      <c r="M157" t="str">
        <f t="shared" ref="M157:M220" si="73">IF(N157&lt;&gt;"",MID(E157,1,LEN(E157)-9)&amp;N157,"")</f>
        <v/>
      </c>
    </row>
    <row r="158" spans="1:13" x14ac:dyDescent="0.25">
      <c r="A158" s="11">
        <f t="shared" si="69"/>
        <v>7</v>
      </c>
      <c r="B158" s="11">
        <f t="shared" si="70"/>
        <v>102</v>
      </c>
      <c r="C158" s="11">
        <f t="shared" si="71"/>
        <v>140</v>
      </c>
      <c r="D158" s="35">
        <f t="shared" si="68"/>
        <v>0</v>
      </c>
      <c r="E158" t="str">
        <f t="shared" si="72"/>
        <v xml:space="preserve">detectionModeControlRegisters </v>
      </c>
      <c r="F158" s="10" t="str">
        <f>regList!H8</f>
        <v>MotionDistanceThresholdMSB</v>
      </c>
      <c r="G158" s="11" t="str">
        <f>regList!G8</f>
        <v>84</v>
      </c>
      <c r="H158" t="s">
        <v>370</v>
      </c>
      <c r="I158" s="11">
        <v>0</v>
      </c>
      <c r="J158" s="11">
        <v>16</v>
      </c>
      <c r="K158" s="11" t="str">
        <f t="shared" si="37"/>
        <v>FFFF</v>
      </c>
      <c r="M158" t="str">
        <f t="shared" si="73"/>
        <v/>
      </c>
    </row>
    <row r="159" spans="1:13" x14ac:dyDescent="0.25">
      <c r="A159" s="11">
        <f t="shared" si="69"/>
        <v>7</v>
      </c>
      <c r="B159" s="11">
        <f t="shared" si="70"/>
        <v>103</v>
      </c>
      <c r="C159" s="11">
        <f t="shared" si="71"/>
        <v>140</v>
      </c>
      <c r="D159" s="35">
        <f t="shared" si="68"/>
        <v>0</v>
      </c>
      <c r="E159" t="str">
        <f t="shared" si="72"/>
        <v xml:space="preserve">detectionModeControlRegisters </v>
      </c>
      <c r="F159" s="10" t="str">
        <f>regList!H9</f>
        <v>MotionDistanceThresholdLSB</v>
      </c>
      <c r="G159" s="11" t="str">
        <f>regList!G9</f>
        <v>85</v>
      </c>
      <c r="K159" s="11" t="str">
        <f t="shared" si="37"/>
        <v/>
      </c>
      <c r="M159" t="str">
        <f t="shared" si="73"/>
        <v/>
      </c>
    </row>
    <row r="160" spans="1:13" x14ac:dyDescent="0.25">
      <c r="A160" s="11">
        <f t="shared" si="69"/>
        <v>7</v>
      </c>
      <c r="B160" s="11">
        <f t="shared" si="70"/>
        <v>104</v>
      </c>
      <c r="C160" s="11">
        <f t="shared" si="71"/>
        <v>141</v>
      </c>
      <c r="D160" s="35">
        <f t="shared" si="68"/>
        <v>0</v>
      </c>
      <c r="E160" t="str">
        <f t="shared" si="72"/>
        <v xml:space="preserve">detectionModeControlRegisters </v>
      </c>
      <c r="F160" s="10" t="str">
        <f>regList!H10</f>
        <v>MotionMagnitudeThreshold</v>
      </c>
      <c r="G160" s="11" t="str">
        <f>regList!G10</f>
        <v>86</v>
      </c>
      <c r="H160" t="s">
        <v>371</v>
      </c>
      <c r="I160" s="11">
        <v>0</v>
      </c>
      <c r="J160" s="11">
        <v>8</v>
      </c>
      <c r="K160" s="11" t="str">
        <f t="shared" si="37"/>
        <v>FF</v>
      </c>
      <c r="M160" t="str">
        <f t="shared" si="73"/>
        <v/>
      </c>
    </row>
    <row r="161" spans="1:16" x14ac:dyDescent="0.25">
      <c r="A161" s="11">
        <f t="shared" si="69"/>
        <v>8</v>
      </c>
      <c r="B161" s="11">
        <f t="shared" si="70"/>
        <v>105</v>
      </c>
      <c r="C161" s="11">
        <f>IF(H161&lt;&gt;"",C160+1,C160)</f>
        <v>142</v>
      </c>
      <c r="D161" s="35">
        <f t="shared" si="68"/>
        <v>1</v>
      </c>
      <c r="E161" t="s">
        <v>217</v>
      </c>
      <c r="F161" s="10" t="str">
        <f>regList!H20</f>
        <v>DriverRange</v>
      </c>
      <c r="G161" s="11" t="str">
        <f>regList!G20</f>
        <v>90</v>
      </c>
      <c r="H161" t="s">
        <v>431</v>
      </c>
      <c r="I161" s="11">
        <v>0</v>
      </c>
      <c r="J161" s="11">
        <v>4</v>
      </c>
      <c r="K161" s="11" t="str">
        <f t="shared" si="37"/>
        <v>F</v>
      </c>
      <c r="M161" t="str">
        <f t="shared" si="73"/>
        <v>analogControlIRDR</v>
      </c>
      <c r="N161" s="54" t="s">
        <v>433</v>
      </c>
      <c r="O161" s="35">
        <f>C161</f>
        <v>142</v>
      </c>
      <c r="P161" s="35">
        <f>C162</f>
        <v>143</v>
      </c>
    </row>
    <row r="162" spans="1:16" x14ac:dyDescent="0.25">
      <c r="A162" s="11">
        <f t="shared" si="69"/>
        <v>8</v>
      </c>
      <c r="B162" s="11">
        <f t="shared" si="70"/>
        <v>106</v>
      </c>
      <c r="C162" s="11">
        <f>IF(H162&lt;&gt;"",C161+1,C161)</f>
        <v>143</v>
      </c>
      <c r="D162" s="35">
        <f t="shared" si="68"/>
        <v>1</v>
      </c>
      <c r="E162" t="str">
        <f t="shared" si="72"/>
        <v>analogControlRegisters</v>
      </c>
      <c r="F162" s="10" t="str">
        <f>regList!H21</f>
        <v>EmitterCurrentDAC</v>
      </c>
      <c r="G162" s="11" t="str">
        <f>regList!G21</f>
        <v>91</v>
      </c>
      <c r="H162" t="s">
        <v>372</v>
      </c>
      <c r="I162" s="11">
        <v>0</v>
      </c>
      <c r="J162" s="11">
        <v>8</v>
      </c>
      <c r="K162" s="11" t="str">
        <f t="shared" si="37"/>
        <v>FF</v>
      </c>
      <c r="M162" t="str">
        <f t="shared" si="73"/>
        <v/>
      </c>
      <c r="N162" s="54"/>
    </row>
    <row r="163" spans="1:16" x14ac:dyDescent="0.25">
      <c r="A163" s="11">
        <f t="shared" si="69"/>
        <v>8</v>
      </c>
      <c r="B163" s="11">
        <f t="shared" si="70"/>
        <v>107</v>
      </c>
      <c r="C163" s="11">
        <f t="shared" si="71"/>
        <v>144</v>
      </c>
      <c r="D163" s="35">
        <f t="shared" si="68"/>
        <v>0</v>
      </c>
      <c r="E163" t="str">
        <f t="shared" si="72"/>
        <v>analogControlRegisters</v>
      </c>
      <c r="F163" s="10" t="str">
        <f>regList!H22</f>
        <v>DriverControl</v>
      </c>
      <c r="G163" s="11" t="str">
        <f>regList!G22</f>
        <v>92</v>
      </c>
      <c r="H163" t="s">
        <v>373</v>
      </c>
      <c r="I163" s="11">
        <v>2</v>
      </c>
      <c r="J163" s="11">
        <v>1</v>
      </c>
      <c r="K163" s="11" t="str">
        <f t="shared" si="37"/>
        <v>1</v>
      </c>
      <c r="M163" t="str">
        <f t="shared" si="73"/>
        <v/>
      </c>
    </row>
    <row r="164" spans="1:16" x14ac:dyDescent="0.25">
      <c r="A164" s="13">
        <f t="shared" ref="A164:A167" si="74">IF(E164=E163,A163,A163+1)</f>
        <v>8</v>
      </c>
      <c r="B164" s="13">
        <f t="shared" ref="B164:B167" si="75">IF(F163=F164,B163,B163+1)</f>
        <v>107</v>
      </c>
      <c r="C164" s="13">
        <f t="shared" ref="C164:C167" si="76">IF(H164&lt;&gt;"",C163+1,C163)</f>
        <v>145</v>
      </c>
      <c r="D164" s="35">
        <f t="shared" si="68"/>
        <v>0</v>
      </c>
      <c r="E164" t="str">
        <f t="shared" si="72"/>
        <v>analogControlRegisters</v>
      </c>
      <c r="F164" s="10" t="str">
        <f t="shared" si="72"/>
        <v>DriverControl</v>
      </c>
      <c r="G164" s="13" t="str">
        <f t="shared" si="72"/>
        <v>92</v>
      </c>
      <c r="H164" t="s">
        <v>374</v>
      </c>
      <c r="I164" s="13">
        <v>1</v>
      </c>
      <c r="J164" s="13">
        <v>1</v>
      </c>
      <c r="K164" s="13" t="str">
        <f t="shared" ref="K164:K165" si="77">IF(J164&lt;&gt;"",DEC2HEX(2^J164-1),"")</f>
        <v>1</v>
      </c>
      <c r="M164" t="str">
        <f t="shared" si="73"/>
        <v/>
      </c>
    </row>
    <row r="165" spans="1:16" x14ac:dyDescent="0.25">
      <c r="A165" s="13">
        <f t="shared" si="74"/>
        <v>8</v>
      </c>
      <c r="B165" s="13">
        <f t="shared" si="75"/>
        <v>107</v>
      </c>
      <c r="C165" s="13">
        <f t="shared" si="76"/>
        <v>146</v>
      </c>
      <c r="D165" s="35">
        <f t="shared" si="68"/>
        <v>0</v>
      </c>
      <c r="E165" t="str">
        <f t="shared" si="72"/>
        <v>analogControlRegisters</v>
      </c>
      <c r="F165" s="10" t="str">
        <f t="shared" si="72"/>
        <v>DriverControl</v>
      </c>
      <c r="G165" s="13" t="str">
        <f t="shared" si="72"/>
        <v>92</v>
      </c>
      <c r="H165" t="s">
        <v>375</v>
      </c>
      <c r="I165" s="13">
        <v>0</v>
      </c>
      <c r="J165" s="13">
        <v>1</v>
      </c>
      <c r="K165" s="13" t="str">
        <f t="shared" si="77"/>
        <v>1</v>
      </c>
      <c r="M165" t="str">
        <f t="shared" si="73"/>
        <v/>
      </c>
    </row>
    <row r="166" spans="1:16" x14ac:dyDescent="0.25">
      <c r="A166" s="13">
        <f t="shared" si="74"/>
        <v>8</v>
      </c>
      <c r="B166" s="13">
        <f t="shared" si="75"/>
        <v>108</v>
      </c>
      <c r="C166" s="13">
        <f t="shared" si="76"/>
        <v>147</v>
      </c>
      <c r="D166" s="35">
        <f t="shared" si="68"/>
        <v>0</v>
      </c>
      <c r="E166" t="str">
        <f>E163</f>
        <v>analogControlRegisters</v>
      </c>
      <c r="F166" s="10" t="str">
        <f>regList!H23</f>
        <v>ThresholdCurrentDAC</v>
      </c>
      <c r="G166" s="11" t="str">
        <f>regList!G23</f>
        <v>93</v>
      </c>
      <c r="H166" t="s">
        <v>376</v>
      </c>
      <c r="I166" s="11">
        <v>0</v>
      </c>
      <c r="J166" s="11">
        <v>8</v>
      </c>
      <c r="K166" s="11" t="str">
        <f t="shared" ref="K166:K248" si="78">IF(J166&lt;&gt;"",DEC2HEX(2^J166-1),"")</f>
        <v>FF</v>
      </c>
      <c r="M166" t="str">
        <f t="shared" si="73"/>
        <v/>
      </c>
    </row>
    <row r="167" spans="1:16" x14ac:dyDescent="0.25">
      <c r="A167" s="13">
        <f t="shared" si="74"/>
        <v>8</v>
      </c>
      <c r="B167" s="13">
        <f t="shared" si="75"/>
        <v>109</v>
      </c>
      <c r="C167" s="13">
        <f t="shared" si="76"/>
        <v>148</v>
      </c>
      <c r="D167" s="35">
        <f t="shared" si="68"/>
        <v>0</v>
      </c>
      <c r="E167" t="str">
        <f t="shared" ref="E167:G243" si="79">E166</f>
        <v>analogControlRegisters</v>
      </c>
      <c r="F167" s="10" t="str">
        <f>regList!H24</f>
        <v>DriverBoost</v>
      </c>
      <c r="G167" s="11" t="str">
        <f>regList!G24</f>
        <v>94</v>
      </c>
      <c r="H167" t="s">
        <v>377</v>
      </c>
      <c r="I167" s="11">
        <v>0</v>
      </c>
      <c r="J167" s="11">
        <v>4</v>
      </c>
      <c r="K167" s="11" t="str">
        <f t="shared" si="78"/>
        <v>F</v>
      </c>
      <c r="M167" t="str">
        <f t="shared" si="73"/>
        <v/>
      </c>
    </row>
    <row r="168" spans="1:16" x14ac:dyDescent="0.25">
      <c r="A168" s="11">
        <f t="shared" si="69"/>
        <v>8</v>
      </c>
      <c r="B168" s="11">
        <f t="shared" si="70"/>
        <v>110</v>
      </c>
      <c r="C168" s="11">
        <f t="shared" si="71"/>
        <v>149</v>
      </c>
      <c r="D168" s="35">
        <f t="shared" si="68"/>
        <v>0</v>
      </c>
      <c r="E168" t="str">
        <f t="shared" si="79"/>
        <v>analogControlRegisters</v>
      </c>
      <c r="F168" s="10" t="str">
        <f>regList!H25</f>
        <v>DriverBoostDuration</v>
      </c>
      <c r="G168" s="11" t="str">
        <f>regList!G25</f>
        <v>95</v>
      </c>
      <c r="H168" t="s">
        <v>378</v>
      </c>
      <c r="I168" s="11">
        <v>0</v>
      </c>
      <c r="J168" s="11">
        <v>6</v>
      </c>
      <c r="K168" s="11" t="str">
        <f t="shared" si="78"/>
        <v>3F</v>
      </c>
      <c r="M168" t="str">
        <f t="shared" si="73"/>
        <v/>
      </c>
    </row>
    <row r="169" spans="1:16" x14ac:dyDescent="0.25">
      <c r="A169" s="11">
        <f t="shared" si="69"/>
        <v>8</v>
      </c>
      <c r="B169" s="11">
        <f t="shared" si="70"/>
        <v>111</v>
      </c>
      <c r="C169" s="11">
        <f t="shared" si="71"/>
        <v>150</v>
      </c>
      <c r="D169" s="35">
        <f t="shared" si="68"/>
        <v>0</v>
      </c>
      <c r="E169" t="str">
        <f t="shared" si="79"/>
        <v>analogControlRegisters</v>
      </c>
      <c r="F169" s="10" t="str">
        <f>regList!H26</f>
        <v>DriverChargeBalancingDAC</v>
      </c>
      <c r="G169" s="11" t="str">
        <f>regList!G26</f>
        <v>96</v>
      </c>
      <c r="H169" t="s">
        <v>379</v>
      </c>
      <c r="I169" s="11">
        <v>0</v>
      </c>
      <c r="J169" s="11">
        <v>8</v>
      </c>
      <c r="K169" s="11" t="str">
        <f t="shared" si="78"/>
        <v>FF</v>
      </c>
      <c r="M169" t="str">
        <f t="shared" si="73"/>
        <v/>
      </c>
    </row>
    <row r="170" spans="1:16" x14ac:dyDescent="0.25">
      <c r="A170" s="13">
        <f t="shared" ref="A170:A189" si="80">IF(E170=E169,A169,A169+1)</f>
        <v>8</v>
      </c>
      <c r="B170" s="13">
        <f t="shared" ref="B170:B189" si="81">IF(F169=F170,B169,B169+1)</f>
        <v>112</v>
      </c>
      <c r="C170" s="13">
        <f t="shared" ref="C170:C189" si="82">IF(H170&lt;&gt;"",C169+1,C169)</f>
        <v>151</v>
      </c>
      <c r="D170" s="35">
        <f t="shared" si="68"/>
        <v>0</v>
      </c>
      <c r="E170" t="str">
        <f t="shared" si="79"/>
        <v>analogControlRegisters</v>
      </c>
      <c r="F170" s="10" t="str">
        <f>regList!H27</f>
        <v>FrontendControl</v>
      </c>
      <c r="G170" s="11" t="str">
        <f>regList!G27</f>
        <v>97</v>
      </c>
      <c r="H170" t="s">
        <v>380</v>
      </c>
      <c r="I170" s="11">
        <v>4</v>
      </c>
      <c r="J170" s="11">
        <v>1</v>
      </c>
      <c r="K170" s="11" t="str">
        <f t="shared" si="78"/>
        <v>1</v>
      </c>
      <c r="M170" t="str">
        <f t="shared" si="73"/>
        <v/>
      </c>
    </row>
    <row r="171" spans="1:16" x14ac:dyDescent="0.25">
      <c r="A171" s="13">
        <f t="shared" si="80"/>
        <v>8</v>
      </c>
      <c r="B171" s="13">
        <f t="shared" si="81"/>
        <v>112</v>
      </c>
      <c r="C171" s="13">
        <f t="shared" si="82"/>
        <v>152</v>
      </c>
      <c r="D171" s="35">
        <f t="shared" si="68"/>
        <v>0</v>
      </c>
      <c r="E171" t="str">
        <f t="shared" si="79"/>
        <v>analogControlRegisters</v>
      </c>
      <c r="F171" s="10" t="str">
        <f t="shared" si="79"/>
        <v>FrontendControl</v>
      </c>
      <c r="G171" s="13" t="str">
        <f t="shared" si="79"/>
        <v>97</v>
      </c>
      <c r="H171" t="s">
        <v>381</v>
      </c>
      <c r="I171" s="13">
        <v>3</v>
      </c>
      <c r="J171" s="13">
        <v>1</v>
      </c>
      <c r="K171" s="13" t="str">
        <f t="shared" si="78"/>
        <v>1</v>
      </c>
      <c r="M171" t="str">
        <f t="shared" si="73"/>
        <v/>
      </c>
    </row>
    <row r="172" spans="1:16" x14ac:dyDescent="0.25">
      <c r="A172" s="13">
        <f t="shared" si="80"/>
        <v>8</v>
      </c>
      <c r="B172" s="13">
        <f t="shared" si="81"/>
        <v>112</v>
      </c>
      <c r="C172" s="13">
        <f t="shared" si="82"/>
        <v>153</v>
      </c>
      <c r="D172" s="35">
        <f t="shared" si="68"/>
        <v>1</v>
      </c>
      <c r="E172" t="str">
        <f t="shared" si="79"/>
        <v>analogControlRegisters</v>
      </c>
      <c r="F172" s="10" t="str">
        <f t="shared" si="79"/>
        <v>FrontendControl</v>
      </c>
      <c r="G172" s="13" t="str">
        <f t="shared" si="79"/>
        <v>97</v>
      </c>
      <c r="H172" t="s">
        <v>382</v>
      </c>
      <c r="I172" s="13">
        <v>2</v>
      </c>
      <c r="J172" s="13">
        <v>1</v>
      </c>
      <c r="K172" s="13" t="str">
        <f t="shared" si="78"/>
        <v>1</v>
      </c>
      <c r="M172" t="str">
        <f t="shared" si="73"/>
        <v>analogControlAfeGain</v>
      </c>
      <c r="N172" s="54" t="s">
        <v>434</v>
      </c>
      <c r="O172" s="35">
        <f>C172</f>
        <v>153</v>
      </c>
      <c r="P172" s="35">
        <f>C173</f>
        <v>154</v>
      </c>
    </row>
    <row r="173" spans="1:16" x14ac:dyDescent="0.25">
      <c r="A173" s="13">
        <f t="shared" si="80"/>
        <v>8</v>
      </c>
      <c r="B173" s="13">
        <f t="shared" si="81"/>
        <v>112</v>
      </c>
      <c r="C173" s="13">
        <f t="shared" si="82"/>
        <v>154</v>
      </c>
      <c r="D173" s="35">
        <f t="shared" si="68"/>
        <v>1</v>
      </c>
      <c r="E173" t="str">
        <f t="shared" si="79"/>
        <v>analogControlRegisters</v>
      </c>
      <c r="F173" s="10" t="str">
        <f t="shared" si="79"/>
        <v>FrontendControl</v>
      </c>
      <c r="G173" s="13" t="str">
        <f t="shared" si="79"/>
        <v>97</v>
      </c>
      <c r="H173" t="s">
        <v>383</v>
      </c>
      <c r="I173" s="13">
        <v>0</v>
      </c>
      <c r="J173" s="13">
        <v>2</v>
      </c>
      <c r="K173" s="13" t="str">
        <f t="shared" si="78"/>
        <v>3</v>
      </c>
      <c r="M173" t="str">
        <f t="shared" si="73"/>
        <v/>
      </c>
      <c r="N173" s="54"/>
    </row>
    <row r="174" spans="1:16" x14ac:dyDescent="0.25">
      <c r="A174" s="13">
        <f t="shared" ref="A174:A185" si="83">IF(E174=E173,A173,A173+1)</f>
        <v>8</v>
      </c>
      <c r="B174" s="13">
        <f t="shared" ref="B174:B185" si="84">IF(F173=F174,B173,B173+1)</f>
        <v>113</v>
      </c>
      <c r="C174" s="13">
        <f t="shared" ref="C174:C185" si="85">IF(H174&lt;&gt;"",C173+1,C173)</f>
        <v>155</v>
      </c>
      <c r="D174" s="35">
        <f t="shared" si="68"/>
        <v>0</v>
      </c>
      <c r="E174" t="str">
        <f>E170</f>
        <v>analogControlRegisters</v>
      </c>
      <c r="F174" s="10" t="str">
        <f>regList!H28</f>
        <v>AFEControlRegisters</v>
      </c>
      <c r="G174" s="11" t="str">
        <f>regList!G28</f>
        <v>98</v>
      </c>
      <c r="H174" t="s">
        <v>384</v>
      </c>
      <c r="I174" s="11">
        <v>7</v>
      </c>
      <c r="J174" s="11">
        <v>1</v>
      </c>
      <c r="K174" s="11" t="str">
        <f t="shared" si="78"/>
        <v>1</v>
      </c>
      <c r="M174" t="str">
        <f t="shared" si="73"/>
        <v/>
      </c>
    </row>
    <row r="175" spans="1:16" x14ac:dyDescent="0.25">
      <c r="A175" s="13">
        <f t="shared" si="83"/>
        <v>8</v>
      </c>
      <c r="B175" s="13">
        <f t="shared" si="84"/>
        <v>113</v>
      </c>
      <c r="C175" s="13">
        <f t="shared" si="85"/>
        <v>156</v>
      </c>
      <c r="D175" s="35">
        <f t="shared" si="68"/>
        <v>0</v>
      </c>
      <c r="E175" t="str">
        <f t="shared" si="79"/>
        <v>analogControlRegisters</v>
      </c>
      <c r="F175" s="10" t="str">
        <f t="shared" si="79"/>
        <v>AFEControlRegisters</v>
      </c>
      <c r="G175" s="13" t="str">
        <f t="shared" si="79"/>
        <v>98</v>
      </c>
      <c r="H175" t="s">
        <v>385</v>
      </c>
      <c r="I175" s="13">
        <v>6</v>
      </c>
      <c r="J175" s="13">
        <v>1</v>
      </c>
      <c r="K175" s="13" t="str">
        <f t="shared" ref="K175:K177" si="86">IF(J175&lt;&gt;"",DEC2HEX(2^J175-1),"")</f>
        <v>1</v>
      </c>
      <c r="M175" t="str">
        <f t="shared" si="73"/>
        <v/>
      </c>
    </row>
    <row r="176" spans="1:16" x14ac:dyDescent="0.25">
      <c r="A176" s="13">
        <f t="shared" si="83"/>
        <v>8</v>
      </c>
      <c r="B176" s="13">
        <f t="shared" si="84"/>
        <v>113</v>
      </c>
      <c r="C176" s="13">
        <f t="shared" si="85"/>
        <v>157</v>
      </c>
      <c r="D176" s="35">
        <f t="shared" si="68"/>
        <v>0</v>
      </c>
      <c r="E176" t="str">
        <f t="shared" si="79"/>
        <v>analogControlRegisters</v>
      </c>
      <c r="F176" s="10" t="str">
        <f t="shared" si="79"/>
        <v>AFEControlRegisters</v>
      </c>
      <c r="G176" s="13" t="str">
        <f t="shared" si="79"/>
        <v>98</v>
      </c>
      <c r="H176" t="s">
        <v>386</v>
      </c>
      <c r="I176" s="13">
        <v>3</v>
      </c>
      <c r="J176" s="13">
        <v>3</v>
      </c>
      <c r="K176" s="13" t="str">
        <f t="shared" si="86"/>
        <v>7</v>
      </c>
      <c r="M176" t="str">
        <f t="shared" si="73"/>
        <v/>
      </c>
    </row>
    <row r="177" spans="1:13" x14ac:dyDescent="0.25">
      <c r="A177" s="13">
        <f t="shared" si="83"/>
        <v>8</v>
      </c>
      <c r="B177" s="13">
        <f t="shared" si="84"/>
        <v>113</v>
      </c>
      <c r="C177" s="13">
        <f t="shared" si="85"/>
        <v>158</v>
      </c>
      <c r="D177" s="35">
        <f t="shared" si="68"/>
        <v>0</v>
      </c>
      <c r="E177" t="str">
        <f t="shared" si="79"/>
        <v>analogControlRegisters</v>
      </c>
      <c r="F177" s="10" t="str">
        <f t="shared" si="79"/>
        <v>AFEControlRegisters</v>
      </c>
      <c r="G177" s="13" t="str">
        <f t="shared" si="79"/>
        <v>98</v>
      </c>
      <c r="H177" t="s">
        <v>387</v>
      </c>
      <c r="I177" s="13">
        <v>0</v>
      </c>
      <c r="J177" s="13">
        <v>3</v>
      </c>
      <c r="K177" s="13" t="str">
        <f t="shared" si="86"/>
        <v>7</v>
      </c>
      <c r="M177" t="str">
        <f t="shared" si="73"/>
        <v/>
      </c>
    </row>
    <row r="178" spans="1:13" x14ac:dyDescent="0.25">
      <c r="A178" s="13">
        <f t="shared" si="83"/>
        <v>8</v>
      </c>
      <c r="B178" s="13">
        <f t="shared" si="84"/>
        <v>114</v>
      </c>
      <c r="C178" s="13">
        <f t="shared" si="85"/>
        <v>159</v>
      </c>
      <c r="D178" s="35">
        <f t="shared" si="68"/>
        <v>0</v>
      </c>
      <c r="E178" t="str">
        <f>E174</f>
        <v>analogControlRegisters</v>
      </c>
      <c r="F178" s="10" t="str">
        <f>regList!H29</f>
        <v>AmbientADCTestFeatures</v>
      </c>
      <c r="G178" s="11" t="str">
        <f>regList!G29</f>
        <v>99</v>
      </c>
      <c r="H178" t="s">
        <v>388</v>
      </c>
      <c r="I178" s="11">
        <v>5</v>
      </c>
      <c r="J178" s="11">
        <v>1</v>
      </c>
      <c r="K178" s="11" t="str">
        <f t="shared" si="78"/>
        <v>1</v>
      </c>
      <c r="M178" t="str">
        <f t="shared" si="73"/>
        <v/>
      </c>
    </row>
    <row r="179" spans="1:13" x14ac:dyDescent="0.25">
      <c r="A179" s="13">
        <f t="shared" ref="A179:A180" si="87">IF(E179=E178,A178,A178+1)</f>
        <v>8</v>
      </c>
      <c r="B179" s="13">
        <f t="shared" ref="B179:B180" si="88">IF(F178=F179,B178,B178+1)</f>
        <v>114</v>
      </c>
      <c r="C179" s="13">
        <f t="shared" ref="C179:C180" si="89">IF(H179&lt;&gt;"",C178+1,C178)</f>
        <v>160</v>
      </c>
      <c r="D179" s="35">
        <f t="shared" si="68"/>
        <v>0</v>
      </c>
      <c r="E179" t="str">
        <f t="shared" si="79"/>
        <v>analogControlRegisters</v>
      </c>
      <c r="F179" s="10" t="str">
        <f t="shared" si="79"/>
        <v>AmbientADCTestFeatures</v>
      </c>
      <c r="G179" s="13" t="str">
        <f t="shared" si="79"/>
        <v>99</v>
      </c>
      <c r="H179" t="s">
        <v>389</v>
      </c>
      <c r="I179" s="13">
        <v>0</v>
      </c>
      <c r="J179" s="13">
        <v>5</v>
      </c>
      <c r="K179" s="13" t="str">
        <f t="shared" si="78"/>
        <v>1F</v>
      </c>
      <c r="M179" t="str">
        <f t="shared" si="73"/>
        <v/>
      </c>
    </row>
    <row r="180" spans="1:13" x14ac:dyDescent="0.25">
      <c r="A180" s="13">
        <f t="shared" si="87"/>
        <v>8</v>
      </c>
      <c r="B180" s="13">
        <f t="shared" si="88"/>
        <v>115</v>
      </c>
      <c r="C180" s="13">
        <f t="shared" si="89"/>
        <v>161</v>
      </c>
      <c r="D180" s="35">
        <f t="shared" si="68"/>
        <v>0</v>
      </c>
      <c r="E180" t="str">
        <f>E178</f>
        <v>analogControlRegisters</v>
      </c>
      <c r="F180" s="10" t="str">
        <f>regList!H30</f>
        <v>VGAOffsetCode</v>
      </c>
      <c r="G180" s="11" t="str">
        <f>regList!G30</f>
        <v>9A</v>
      </c>
      <c r="H180" t="s">
        <v>390</v>
      </c>
      <c r="I180" s="11">
        <v>6</v>
      </c>
      <c r="J180" s="11">
        <v>2</v>
      </c>
      <c r="K180" s="11" t="str">
        <f t="shared" si="78"/>
        <v>3</v>
      </c>
      <c r="M180" t="str">
        <f t="shared" si="73"/>
        <v/>
      </c>
    </row>
    <row r="181" spans="1:13" x14ac:dyDescent="0.25">
      <c r="A181" s="13">
        <f t="shared" ref="A181:A184" si="90">IF(E181=E180,A180,A180+1)</f>
        <v>8</v>
      </c>
      <c r="B181" s="13">
        <f t="shared" ref="B181:B184" si="91">IF(F180=F181,B180,B180+1)</f>
        <v>115</v>
      </c>
      <c r="C181" s="13">
        <f t="shared" ref="C181:C184" si="92">IF(H181&lt;&gt;"",C180+1,C180)</f>
        <v>162</v>
      </c>
      <c r="D181" s="35">
        <f t="shared" si="68"/>
        <v>0</v>
      </c>
      <c r="E181" t="str">
        <f t="shared" si="79"/>
        <v>analogControlRegisters</v>
      </c>
      <c r="F181" s="10" t="str">
        <f t="shared" si="79"/>
        <v>VGAOffsetCode</v>
      </c>
      <c r="G181" s="13" t="str">
        <f t="shared" si="79"/>
        <v>9A</v>
      </c>
      <c r="H181" t="s">
        <v>391</v>
      </c>
      <c r="I181" s="13">
        <v>2</v>
      </c>
      <c r="J181" s="13">
        <v>4</v>
      </c>
      <c r="K181" s="13" t="str">
        <f t="shared" si="78"/>
        <v>F</v>
      </c>
      <c r="M181" t="str">
        <f t="shared" si="73"/>
        <v/>
      </c>
    </row>
    <row r="182" spans="1:13" x14ac:dyDescent="0.25">
      <c r="A182" s="13">
        <f t="shared" si="90"/>
        <v>8</v>
      </c>
      <c r="B182" s="13">
        <f t="shared" si="91"/>
        <v>115</v>
      </c>
      <c r="C182" s="13">
        <f t="shared" si="92"/>
        <v>163</v>
      </c>
      <c r="D182" s="35">
        <f t="shared" si="68"/>
        <v>0</v>
      </c>
      <c r="E182" t="str">
        <f t="shared" si="79"/>
        <v>analogControlRegisters</v>
      </c>
      <c r="F182" s="10" t="str">
        <f t="shared" si="79"/>
        <v>VGAOffsetCode</v>
      </c>
      <c r="G182" s="13" t="str">
        <f t="shared" si="79"/>
        <v>9A</v>
      </c>
      <c r="H182" t="s">
        <v>392</v>
      </c>
      <c r="I182" s="13">
        <v>0</v>
      </c>
      <c r="J182" s="13">
        <v>2</v>
      </c>
      <c r="K182" s="13" t="str">
        <f t="shared" si="78"/>
        <v>3</v>
      </c>
      <c r="M182" t="str">
        <f t="shared" si="73"/>
        <v/>
      </c>
    </row>
    <row r="183" spans="1:13" x14ac:dyDescent="0.25">
      <c r="A183" s="13">
        <f t="shared" si="90"/>
        <v>8</v>
      </c>
      <c r="B183" s="13">
        <f t="shared" si="91"/>
        <v>116</v>
      </c>
      <c r="C183" s="13">
        <f t="shared" si="92"/>
        <v>164</v>
      </c>
      <c r="D183" s="35">
        <f t="shared" si="68"/>
        <v>0</v>
      </c>
      <c r="E183" t="str">
        <f>E180</f>
        <v>analogControlRegisters</v>
      </c>
      <c r="F183" s="10" t="str">
        <f>regList!H31</f>
        <v>VGA1ManualforLight</v>
      </c>
      <c r="G183" s="11" t="str">
        <f>regList!G31</f>
        <v>9B</v>
      </c>
      <c r="H183" t="s">
        <v>393</v>
      </c>
      <c r="I183" s="11">
        <v>0</v>
      </c>
      <c r="J183" s="11">
        <v>8</v>
      </c>
      <c r="K183" s="11" t="str">
        <f t="shared" si="78"/>
        <v>FF</v>
      </c>
      <c r="M183" t="str">
        <f t="shared" si="73"/>
        <v/>
      </c>
    </row>
    <row r="184" spans="1:13" x14ac:dyDescent="0.25">
      <c r="A184" s="13">
        <f t="shared" si="90"/>
        <v>8</v>
      </c>
      <c r="B184" s="13">
        <f t="shared" si="91"/>
        <v>117</v>
      </c>
      <c r="C184" s="13">
        <f t="shared" si="92"/>
        <v>165</v>
      </c>
      <c r="D184" s="35">
        <f t="shared" si="68"/>
        <v>0</v>
      </c>
      <c r="E184" t="str">
        <f t="shared" si="79"/>
        <v>analogControlRegisters</v>
      </c>
      <c r="F184" s="10" t="str">
        <f>regList!H32</f>
        <v>VGA2ManualforLight</v>
      </c>
      <c r="G184" s="11" t="str">
        <f>regList!G32</f>
        <v>9C</v>
      </c>
      <c r="H184" t="s">
        <v>394</v>
      </c>
      <c r="I184" s="13">
        <v>0</v>
      </c>
      <c r="J184" s="13">
        <v>8</v>
      </c>
      <c r="K184" s="11" t="str">
        <f t="shared" si="78"/>
        <v>FF</v>
      </c>
      <c r="M184" t="str">
        <f t="shared" si="73"/>
        <v/>
      </c>
    </row>
    <row r="185" spans="1:13" x14ac:dyDescent="0.25">
      <c r="A185" s="13">
        <f t="shared" si="83"/>
        <v>8</v>
      </c>
      <c r="B185" s="13">
        <f t="shared" si="84"/>
        <v>118</v>
      </c>
      <c r="C185" s="13">
        <f t="shared" si="85"/>
        <v>166</v>
      </c>
      <c r="D185" s="35">
        <f t="shared" si="68"/>
        <v>0</v>
      </c>
      <c r="E185" t="str">
        <f t="shared" si="79"/>
        <v>analogControlRegisters</v>
      </c>
      <c r="F185" s="10" t="str">
        <f>regList!H33</f>
        <v>VGA1ManualforZP</v>
      </c>
      <c r="G185" s="11" t="str">
        <f>regList!G33</f>
        <v>9D</v>
      </c>
      <c r="H185" t="s">
        <v>395</v>
      </c>
      <c r="I185" s="13">
        <v>0</v>
      </c>
      <c r="J185" s="13">
        <v>8</v>
      </c>
      <c r="K185" s="11" t="str">
        <f t="shared" si="78"/>
        <v>FF</v>
      </c>
      <c r="M185" t="str">
        <f t="shared" si="73"/>
        <v/>
      </c>
    </row>
    <row r="186" spans="1:13" x14ac:dyDescent="0.25">
      <c r="A186" s="13">
        <f t="shared" si="80"/>
        <v>8</v>
      </c>
      <c r="B186" s="13">
        <f t="shared" si="81"/>
        <v>119</v>
      </c>
      <c r="C186" s="13">
        <f t="shared" si="82"/>
        <v>167</v>
      </c>
      <c r="D186" s="35">
        <f t="shared" si="68"/>
        <v>0</v>
      </c>
      <c r="E186" t="str">
        <f t="shared" si="79"/>
        <v>analogControlRegisters</v>
      </c>
      <c r="F186" s="10" t="str">
        <f>regList!H34</f>
        <v>VGA2ManualforZP</v>
      </c>
      <c r="G186" s="11" t="str">
        <f>regList!G34</f>
        <v>9E</v>
      </c>
      <c r="H186" t="s">
        <v>396</v>
      </c>
      <c r="I186" s="13">
        <v>0</v>
      </c>
      <c r="J186" s="13">
        <v>8</v>
      </c>
      <c r="K186" s="11" t="str">
        <f t="shared" si="78"/>
        <v>FF</v>
      </c>
      <c r="M186" t="str">
        <f t="shared" si="73"/>
        <v/>
      </c>
    </row>
    <row r="187" spans="1:13" x14ac:dyDescent="0.25">
      <c r="A187" s="13">
        <f t="shared" si="80"/>
        <v>8</v>
      </c>
      <c r="B187" s="13">
        <f t="shared" si="81"/>
        <v>120</v>
      </c>
      <c r="C187" s="13">
        <f t="shared" si="82"/>
        <v>168</v>
      </c>
      <c r="D187" s="35">
        <f t="shared" si="68"/>
        <v>0</v>
      </c>
      <c r="E187" t="str">
        <f t="shared" si="79"/>
        <v>analogControlRegisters</v>
      </c>
      <c r="F187" s="10" t="str">
        <f>regList!H35</f>
        <v>VGA1ControlforCollision</v>
      </c>
      <c r="G187" s="11" t="str">
        <f>regList!G35</f>
        <v>9F</v>
      </c>
      <c r="H187" t="s">
        <v>397</v>
      </c>
      <c r="I187" s="13">
        <v>0</v>
      </c>
      <c r="J187" s="13">
        <v>8</v>
      </c>
      <c r="K187" s="11" t="str">
        <f t="shared" si="78"/>
        <v>FF</v>
      </c>
      <c r="M187" t="str">
        <f t="shared" si="73"/>
        <v/>
      </c>
    </row>
    <row r="188" spans="1:13" x14ac:dyDescent="0.25">
      <c r="A188" s="13">
        <f t="shared" si="80"/>
        <v>8</v>
      </c>
      <c r="B188" s="13">
        <f t="shared" si="81"/>
        <v>121</v>
      </c>
      <c r="C188" s="13">
        <f t="shared" si="82"/>
        <v>169</v>
      </c>
      <c r="D188" s="35">
        <f t="shared" si="68"/>
        <v>0</v>
      </c>
      <c r="E188" t="str">
        <f t="shared" si="79"/>
        <v>analogControlRegisters</v>
      </c>
      <c r="F188" s="10" t="str">
        <f>regList!H36</f>
        <v>VGA2ControlforCollision</v>
      </c>
      <c r="G188" s="11" t="str">
        <f>regList!G36</f>
        <v>A0</v>
      </c>
      <c r="H188" t="s">
        <v>398</v>
      </c>
      <c r="I188" s="13">
        <v>0</v>
      </c>
      <c r="J188" s="13">
        <v>8</v>
      </c>
      <c r="K188" s="11" t="str">
        <f t="shared" si="78"/>
        <v>FF</v>
      </c>
      <c r="M188" t="str">
        <f t="shared" si="73"/>
        <v/>
      </c>
    </row>
    <row r="189" spans="1:13" x14ac:dyDescent="0.25">
      <c r="A189" s="13">
        <f t="shared" si="80"/>
        <v>8</v>
      </c>
      <c r="B189" s="13">
        <f t="shared" si="81"/>
        <v>122</v>
      </c>
      <c r="C189" s="13">
        <f t="shared" si="82"/>
        <v>170</v>
      </c>
      <c r="D189" s="35">
        <f t="shared" si="68"/>
        <v>0</v>
      </c>
      <c r="E189" t="str">
        <f t="shared" si="79"/>
        <v>analogControlRegisters</v>
      </c>
      <c r="F189" s="10" t="str">
        <f>regList!H37</f>
        <v>ADCVrefCode</v>
      </c>
      <c r="G189" s="11" t="str">
        <f>regList!G37</f>
        <v>A1</v>
      </c>
      <c r="H189" t="s">
        <v>399</v>
      </c>
      <c r="I189" s="11">
        <v>0</v>
      </c>
      <c r="J189" s="11">
        <v>5</v>
      </c>
      <c r="K189" s="11" t="str">
        <f t="shared" si="78"/>
        <v>1F</v>
      </c>
      <c r="M189" t="str">
        <f t="shared" si="73"/>
        <v/>
      </c>
    </row>
    <row r="190" spans="1:13" x14ac:dyDescent="0.25">
      <c r="A190" s="11">
        <f t="shared" si="69"/>
        <v>8</v>
      </c>
      <c r="B190" s="11">
        <f t="shared" si="70"/>
        <v>123</v>
      </c>
      <c r="C190" s="11">
        <f t="shared" si="71"/>
        <v>171</v>
      </c>
      <c r="D190" s="35">
        <f t="shared" si="68"/>
        <v>0</v>
      </c>
      <c r="E190" t="str">
        <f t="shared" si="79"/>
        <v>analogControlRegisters</v>
      </c>
      <c r="F190" s="10" t="str">
        <f>regList!H38</f>
        <v>PeakDetectorThresholds0</v>
      </c>
      <c r="G190" s="11" t="str">
        <f>regList!G38</f>
        <v>A2</v>
      </c>
      <c r="H190" t="s">
        <v>401</v>
      </c>
      <c r="I190" s="11">
        <v>6</v>
      </c>
      <c r="J190" s="11">
        <v>2</v>
      </c>
      <c r="K190" s="11" t="str">
        <f t="shared" si="78"/>
        <v>3</v>
      </c>
      <c r="M190" t="str">
        <f t="shared" si="73"/>
        <v/>
      </c>
    </row>
    <row r="191" spans="1:13" x14ac:dyDescent="0.25">
      <c r="A191" s="13">
        <f t="shared" ref="A191:A194" si="93">IF(E191=E190,A190,A190+1)</f>
        <v>8</v>
      </c>
      <c r="B191" s="13">
        <f t="shared" ref="B191:B194" si="94">IF(F190=F191,B190,B190+1)</f>
        <v>123</v>
      </c>
      <c r="C191" s="13">
        <f t="shared" ref="C191:C194" si="95">IF(H191&lt;&gt;"",C190+1,C190)</f>
        <v>172</v>
      </c>
      <c r="D191" s="35">
        <f t="shared" si="68"/>
        <v>0</v>
      </c>
      <c r="E191" t="str">
        <f t="shared" si="79"/>
        <v>analogControlRegisters</v>
      </c>
      <c r="F191" s="10" t="str">
        <f t="shared" si="79"/>
        <v>PeakDetectorThresholds0</v>
      </c>
      <c r="G191" s="13" t="str">
        <f t="shared" si="79"/>
        <v>A2</v>
      </c>
      <c r="H191" t="s">
        <v>402</v>
      </c>
      <c r="I191" s="13">
        <v>4</v>
      </c>
      <c r="J191" s="13">
        <v>2</v>
      </c>
      <c r="K191" s="13" t="str">
        <f t="shared" ref="K191:K193" si="96">IF(J191&lt;&gt;"",DEC2HEX(2^J191-1),"")</f>
        <v>3</v>
      </c>
      <c r="M191" t="str">
        <f t="shared" si="73"/>
        <v/>
      </c>
    </row>
    <row r="192" spans="1:13" x14ac:dyDescent="0.25">
      <c r="A192" s="13">
        <f t="shared" si="93"/>
        <v>8</v>
      </c>
      <c r="B192" s="13">
        <f t="shared" si="94"/>
        <v>123</v>
      </c>
      <c r="C192" s="13">
        <f t="shared" si="95"/>
        <v>173</v>
      </c>
      <c r="D192" s="35">
        <f t="shared" si="68"/>
        <v>0</v>
      </c>
      <c r="E192" t="str">
        <f t="shared" si="79"/>
        <v>analogControlRegisters</v>
      </c>
      <c r="F192" s="10" t="str">
        <f t="shared" si="79"/>
        <v>PeakDetectorThresholds0</v>
      </c>
      <c r="G192" s="13" t="str">
        <f t="shared" si="79"/>
        <v>A2</v>
      </c>
      <c r="H192" t="s">
        <v>403</v>
      </c>
      <c r="I192" s="13">
        <v>2</v>
      </c>
      <c r="J192" s="13">
        <v>2</v>
      </c>
      <c r="K192" s="13" t="str">
        <f t="shared" si="96"/>
        <v>3</v>
      </c>
      <c r="M192" t="str">
        <f t="shared" si="73"/>
        <v/>
      </c>
    </row>
    <row r="193" spans="1:13" x14ac:dyDescent="0.25">
      <c r="A193" s="13">
        <f t="shared" si="93"/>
        <v>8</v>
      </c>
      <c r="B193" s="13">
        <f t="shared" si="94"/>
        <v>123</v>
      </c>
      <c r="C193" s="13">
        <f t="shared" si="95"/>
        <v>174</v>
      </c>
      <c r="D193" s="35">
        <f t="shared" si="68"/>
        <v>0</v>
      </c>
      <c r="E193" t="str">
        <f t="shared" si="79"/>
        <v>analogControlRegisters</v>
      </c>
      <c r="F193" s="10" t="str">
        <f t="shared" si="79"/>
        <v>PeakDetectorThresholds0</v>
      </c>
      <c r="G193" s="13" t="str">
        <f t="shared" si="79"/>
        <v>A2</v>
      </c>
      <c r="H193" t="s">
        <v>400</v>
      </c>
      <c r="I193" s="13">
        <v>0</v>
      </c>
      <c r="J193" s="13">
        <v>2</v>
      </c>
      <c r="K193" s="13" t="str">
        <f t="shared" si="96"/>
        <v>3</v>
      </c>
      <c r="M193" t="str">
        <f t="shared" si="73"/>
        <v/>
      </c>
    </row>
    <row r="194" spans="1:13" x14ac:dyDescent="0.25">
      <c r="A194" s="13">
        <f t="shared" si="93"/>
        <v>8</v>
      </c>
      <c r="B194" s="13">
        <f t="shared" si="94"/>
        <v>124</v>
      </c>
      <c r="C194" s="13">
        <f t="shared" si="95"/>
        <v>175</v>
      </c>
      <c r="D194" s="35">
        <f t="shared" si="68"/>
        <v>0</v>
      </c>
      <c r="E194" t="str">
        <f>E190</f>
        <v>analogControlRegisters</v>
      </c>
      <c r="F194" s="10" t="str">
        <f>regList!H39</f>
        <v>PeakDetectorThresholds1</v>
      </c>
      <c r="G194" s="11" t="str">
        <f>regList!G39</f>
        <v>A3</v>
      </c>
      <c r="H194" t="s">
        <v>407</v>
      </c>
      <c r="I194" s="13">
        <v>6</v>
      </c>
      <c r="J194" s="13">
        <v>2</v>
      </c>
      <c r="K194" s="11" t="str">
        <f t="shared" si="78"/>
        <v>3</v>
      </c>
      <c r="M194" t="str">
        <f t="shared" si="73"/>
        <v/>
      </c>
    </row>
    <row r="195" spans="1:13" x14ac:dyDescent="0.25">
      <c r="A195" s="13">
        <f t="shared" ref="A195:A207" si="97">IF(E195=E194,A194,A194+1)</f>
        <v>8</v>
      </c>
      <c r="B195" s="13">
        <f t="shared" ref="B195:B207" si="98">IF(F194=F195,B194,B194+1)</f>
        <v>124</v>
      </c>
      <c r="C195" s="13">
        <f t="shared" ref="C195:C207" si="99">IF(H195&lt;&gt;"",C194+1,C194)</f>
        <v>176</v>
      </c>
      <c r="D195" s="35">
        <f t="shared" si="68"/>
        <v>0</v>
      </c>
      <c r="E195" t="str">
        <f t="shared" si="79"/>
        <v>analogControlRegisters</v>
      </c>
      <c r="F195" s="10" t="str">
        <f t="shared" si="79"/>
        <v>PeakDetectorThresholds1</v>
      </c>
      <c r="G195" s="13" t="str">
        <f t="shared" si="79"/>
        <v>A3</v>
      </c>
      <c r="H195" t="s">
        <v>408</v>
      </c>
      <c r="I195" s="13">
        <v>4</v>
      </c>
      <c r="J195" s="13">
        <v>2</v>
      </c>
      <c r="K195" s="13" t="str">
        <f t="shared" ref="K195:K197" si="100">IF(J195&lt;&gt;"",DEC2HEX(2^J195-1),"")</f>
        <v>3</v>
      </c>
      <c r="M195" t="str">
        <f t="shared" si="73"/>
        <v/>
      </c>
    </row>
    <row r="196" spans="1:13" x14ac:dyDescent="0.25">
      <c r="A196" s="13">
        <f t="shared" si="97"/>
        <v>8</v>
      </c>
      <c r="B196" s="13">
        <f t="shared" si="98"/>
        <v>124</v>
      </c>
      <c r="C196" s="13">
        <f t="shared" si="99"/>
        <v>177</v>
      </c>
      <c r="D196" s="35">
        <f t="shared" si="68"/>
        <v>0</v>
      </c>
      <c r="E196" t="str">
        <f t="shared" si="79"/>
        <v>analogControlRegisters</v>
      </c>
      <c r="F196" s="10" t="str">
        <f t="shared" si="79"/>
        <v>PeakDetectorThresholds1</v>
      </c>
      <c r="G196" s="13" t="str">
        <f t="shared" si="79"/>
        <v>A3</v>
      </c>
      <c r="H196" t="s">
        <v>409</v>
      </c>
      <c r="I196" s="13">
        <v>2</v>
      </c>
      <c r="J196" s="13">
        <v>2</v>
      </c>
      <c r="K196" s="13" t="str">
        <f t="shared" si="100"/>
        <v>3</v>
      </c>
      <c r="M196" t="str">
        <f t="shared" si="73"/>
        <v/>
      </c>
    </row>
    <row r="197" spans="1:13" x14ac:dyDescent="0.25">
      <c r="A197" s="13">
        <f t="shared" si="97"/>
        <v>8</v>
      </c>
      <c r="B197" s="13">
        <f t="shared" si="98"/>
        <v>124</v>
      </c>
      <c r="C197" s="13">
        <f t="shared" si="99"/>
        <v>178</v>
      </c>
      <c r="D197" s="35">
        <f t="shared" si="68"/>
        <v>0</v>
      </c>
      <c r="E197" t="str">
        <f t="shared" si="79"/>
        <v>analogControlRegisters</v>
      </c>
      <c r="F197" s="10" t="str">
        <f t="shared" si="79"/>
        <v>PeakDetectorThresholds1</v>
      </c>
      <c r="G197" s="13" t="str">
        <f t="shared" si="79"/>
        <v>A3</v>
      </c>
      <c r="H197" t="s">
        <v>410</v>
      </c>
      <c r="I197" s="13">
        <v>0</v>
      </c>
      <c r="J197" s="13">
        <v>2</v>
      </c>
      <c r="K197" s="13" t="str">
        <f t="shared" si="100"/>
        <v>3</v>
      </c>
      <c r="M197" t="str">
        <f t="shared" si="73"/>
        <v/>
      </c>
    </row>
    <row r="198" spans="1:13" x14ac:dyDescent="0.25">
      <c r="A198" s="13">
        <f t="shared" si="97"/>
        <v>8</v>
      </c>
      <c r="B198" s="13">
        <f t="shared" si="98"/>
        <v>125</v>
      </c>
      <c r="C198" s="13">
        <f t="shared" si="99"/>
        <v>179</v>
      </c>
      <c r="D198" s="35">
        <f t="shared" ref="D198:D261" si="101">COUNTIF(APIfields,C198)</f>
        <v>0</v>
      </c>
      <c r="E198" t="str">
        <f>E191</f>
        <v>analogControlRegisters</v>
      </c>
      <c r="F198" s="10" t="str">
        <f>regList!H40</f>
        <v>PeakDetectorThresholds2</v>
      </c>
      <c r="G198" s="13" t="str">
        <f>regList!G40</f>
        <v>A4</v>
      </c>
      <c r="H198" t="s">
        <v>413</v>
      </c>
      <c r="I198" s="13">
        <v>6</v>
      </c>
      <c r="J198" s="13">
        <v>2</v>
      </c>
      <c r="K198" s="13" t="str">
        <f t="shared" ref="K198" si="102">IF(J198&lt;&gt;"",DEC2HEX(2^J198-1),"")</f>
        <v>3</v>
      </c>
      <c r="M198" t="str">
        <f t="shared" si="73"/>
        <v/>
      </c>
    </row>
    <row r="199" spans="1:13" x14ac:dyDescent="0.25">
      <c r="A199" s="13">
        <f t="shared" si="97"/>
        <v>8</v>
      </c>
      <c r="B199" s="13">
        <f t="shared" si="98"/>
        <v>125</v>
      </c>
      <c r="C199" s="13">
        <f t="shared" si="99"/>
        <v>180</v>
      </c>
      <c r="D199" s="35">
        <f t="shared" si="101"/>
        <v>0</v>
      </c>
      <c r="E199" t="str">
        <f t="shared" si="79"/>
        <v>analogControlRegisters</v>
      </c>
      <c r="F199" s="10" t="str">
        <f t="shared" si="79"/>
        <v>PeakDetectorThresholds2</v>
      </c>
      <c r="G199" s="13" t="str">
        <f t="shared" si="79"/>
        <v>A4</v>
      </c>
      <c r="H199" t="s">
        <v>414</v>
      </c>
      <c r="I199" s="13">
        <v>4</v>
      </c>
      <c r="J199" s="13">
        <v>2</v>
      </c>
      <c r="K199" s="13" t="str">
        <f t="shared" si="78"/>
        <v>3</v>
      </c>
      <c r="M199" t="str">
        <f t="shared" si="73"/>
        <v/>
      </c>
    </row>
    <row r="200" spans="1:13" x14ac:dyDescent="0.25">
      <c r="A200" s="13">
        <f t="shared" si="97"/>
        <v>8</v>
      </c>
      <c r="B200" s="13">
        <f t="shared" si="98"/>
        <v>125</v>
      </c>
      <c r="C200" s="13">
        <f t="shared" si="99"/>
        <v>181</v>
      </c>
      <c r="D200" s="35">
        <f t="shared" si="101"/>
        <v>0</v>
      </c>
      <c r="E200" t="str">
        <f t="shared" si="79"/>
        <v>analogControlRegisters</v>
      </c>
      <c r="F200" s="10" t="str">
        <f t="shared" si="79"/>
        <v>PeakDetectorThresholds2</v>
      </c>
      <c r="G200" s="13" t="str">
        <f t="shared" si="79"/>
        <v>A4</v>
      </c>
      <c r="H200" t="s">
        <v>411</v>
      </c>
      <c r="I200" s="13">
        <v>2</v>
      </c>
      <c r="J200" s="13">
        <v>2</v>
      </c>
      <c r="K200" s="13" t="str">
        <f t="shared" si="78"/>
        <v>3</v>
      </c>
      <c r="M200" t="str">
        <f t="shared" si="73"/>
        <v/>
      </c>
    </row>
    <row r="201" spans="1:13" x14ac:dyDescent="0.25">
      <c r="A201" s="13">
        <f t="shared" si="97"/>
        <v>8</v>
      </c>
      <c r="B201" s="13">
        <f t="shared" si="98"/>
        <v>125</v>
      </c>
      <c r="C201" s="13">
        <f t="shared" si="99"/>
        <v>182</v>
      </c>
      <c r="D201" s="35">
        <f t="shared" si="101"/>
        <v>0</v>
      </c>
      <c r="E201" t="str">
        <f>E194</f>
        <v>analogControlRegisters</v>
      </c>
      <c r="F201" s="10" t="str">
        <f>regList!H40</f>
        <v>PeakDetectorThresholds2</v>
      </c>
      <c r="G201" s="11" t="str">
        <f>regList!G40</f>
        <v>A4</v>
      </c>
      <c r="H201" t="s">
        <v>412</v>
      </c>
      <c r="I201" s="13">
        <v>0</v>
      </c>
      <c r="J201" s="13">
        <v>2</v>
      </c>
      <c r="K201" s="11" t="str">
        <f t="shared" si="78"/>
        <v>3</v>
      </c>
      <c r="M201" t="str">
        <f t="shared" si="73"/>
        <v/>
      </c>
    </row>
    <row r="202" spans="1:13" x14ac:dyDescent="0.25">
      <c r="A202" s="13">
        <f t="shared" si="97"/>
        <v>8</v>
      </c>
      <c r="B202" s="13">
        <f t="shared" si="98"/>
        <v>126</v>
      </c>
      <c r="C202" s="13">
        <f t="shared" si="99"/>
        <v>183</v>
      </c>
      <c r="D202" s="35">
        <f t="shared" si="101"/>
        <v>0</v>
      </c>
      <c r="E202" t="str">
        <f>E201</f>
        <v>analogControlRegisters</v>
      </c>
      <c r="F202" s="10" t="str">
        <f>regList!H41</f>
        <v>EmitterVoltageADCOffset</v>
      </c>
      <c r="G202" s="11" t="str">
        <f>regList!G41</f>
        <v>A5</v>
      </c>
      <c r="H202" t="s">
        <v>415</v>
      </c>
      <c r="I202" s="11">
        <v>0</v>
      </c>
      <c r="J202" s="11">
        <v>4</v>
      </c>
      <c r="K202" s="11" t="str">
        <f t="shared" si="78"/>
        <v>F</v>
      </c>
      <c r="M202" t="str">
        <f t="shared" si="73"/>
        <v/>
      </c>
    </row>
    <row r="203" spans="1:13" x14ac:dyDescent="0.25">
      <c r="A203" s="13">
        <f t="shared" si="97"/>
        <v>8</v>
      </c>
      <c r="B203" s="13">
        <f t="shared" si="98"/>
        <v>127</v>
      </c>
      <c r="C203" s="13">
        <f t="shared" si="99"/>
        <v>184</v>
      </c>
      <c r="D203" s="35">
        <f t="shared" si="101"/>
        <v>0</v>
      </c>
      <c r="E203" t="str">
        <f t="shared" si="79"/>
        <v>analogControlRegisters</v>
      </c>
      <c r="F203" s="10" t="str">
        <f>regList!H42</f>
        <v>EmitterVoltageADCMuxSelect</v>
      </c>
      <c r="G203" s="11" t="str">
        <f>regList!G42</f>
        <v>A6</v>
      </c>
      <c r="H203" t="s">
        <v>425</v>
      </c>
      <c r="I203" s="11">
        <v>4</v>
      </c>
      <c r="J203" s="11">
        <v>3</v>
      </c>
      <c r="K203" s="11" t="str">
        <f t="shared" si="78"/>
        <v>7</v>
      </c>
      <c r="M203" t="str">
        <f t="shared" si="73"/>
        <v/>
      </c>
    </row>
    <row r="204" spans="1:13" x14ac:dyDescent="0.25">
      <c r="A204" s="13">
        <f t="shared" ref="A204:A205" si="103">IF(E204=E203,A203,A203+1)</f>
        <v>8</v>
      </c>
      <c r="B204" s="13">
        <f t="shared" ref="B204:B205" si="104">IF(F203=F204,B203,B203+1)</f>
        <v>127</v>
      </c>
      <c r="C204" s="13">
        <f t="shared" ref="C204:C205" si="105">IF(H204&lt;&gt;"",C203+1,C203)</f>
        <v>185</v>
      </c>
      <c r="D204" s="35">
        <f t="shared" si="101"/>
        <v>0</v>
      </c>
      <c r="E204" t="str">
        <f t="shared" si="79"/>
        <v>analogControlRegisters</v>
      </c>
      <c r="F204" s="10" t="str">
        <f t="shared" si="79"/>
        <v>EmitterVoltageADCMuxSelect</v>
      </c>
      <c r="G204" s="13" t="str">
        <f t="shared" si="79"/>
        <v>A6</v>
      </c>
      <c r="H204" t="s">
        <v>426</v>
      </c>
      <c r="I204" s="13">
        <v>0</v>
      </c>
      <c r="J204" s="13">
        <v>3</v>
      </c>
      <c r="K204" s="13" t="str">
        <f t="shared" si="78"/>
        <v>7</v>
      </c>
      <c r="M204" t="str">
        <f t="shared" si="73"/>
        <v/>
      </c>
    </row>
    <row r="205" spans="1:13" x14ac:dyDescent="0.25">
      <c r="A205" s="13">
        <f t="shared" si="103"/>
        <v>8</v>
      </c>
      <c r="B205" s="13">
        <f t="shared" si="104"/>
        <v>128</v>
      </c>
      <c r="C205" s="13">
        <f t="shared" si="105"/>
        <v>186</v>
      </c>
      <c r="D205" s="35">
        <f t="shared" si="101"/>
        <v>0</v>
      </c>
      <c r="E205" t="str">
        <f>E203</f>
        <v>analogControlRegisters</v>
      </c>
      <c r="F205" s="10" t="str">
        <f>regList!H43</f>
        <v>TempSensorRegA</v>
      </c>
      <c r="G205" s="11" t="str">
        <f>regList!G43</f>
        <v>A7</v>
      </c>
      <c r="H205" t="s">
        <v>417</v>
      </c>
      <c r="I205" s="11">
        <v>0</v>
      </c>
      <c r="J205" s="11">
        <v>8</v>
      </c>
      <c r="K205" s="11" t="str">
        <f t="shared" si="78"/>
        <v>FF</v>
      </c>
      <c r="M205" t="str">
        <f t="shared" si="73"/>
        <v/>
      </c>
    </row>
    <row r="206" spans="1:13" x14ac:dyDescent="0.25">
      <c r="A206" s="13">
        <f t="shared" si="97"/>
        <v>8</v>
      </c>
      <c r="B206" s="13">
        <f t="shared" si="98"/>
        <v>129</v>
      </c>
      <c r="C206" s="13">
        <f t="shared" si="99"/>
        <v>187</v>
      </c>
      <c r="D206" s="35">
        <f t="shared" si="101"/>
        <v>0</v>
      </c>
      <c r="E206" t="str">
        <f t="shared" si="79"/>
        <v>analogControlRegisters</v>
      </c>
      <c r="F206" s="10" t="str">
        <f>regList!H44</f>
        <v>TempSensorRegB</v>
      </c>
      <c r="G206" s="11" t="str">
        <f>regList!G44</f>
        <v>A8</v>
      </c>
      <c r="H206" t="s">
        <v>416</v>
      </c>
      <c r="I206" s="13">
        <v>0</v>
      </c>
      <c r="J206" s="13">
        <v>8</v>
      </c>
      <c r="K206" s="11" t="str">
        <f t="shared" si="78"/>
        <v>FF</v>
      </c>
      <c r="M206" t="str">
        <f t="shared" si="73"/>
        <v/>
      </c>
    </row>
    <row r="207" spans="1:13" x14ac:dyDescent="0.25">
      <c r="A207" s="13">
        <f t="shared" si="97"/>
        <v>8</v>
      </c>
      <c r="B207" s="13">
        <f t="shared" si="98"/>
        <v>130</v>
      </c>
      <c r="C207" s="13">
        <f t="shared" si="99"/>
        <v>188</v>
      </c>
      <c r="D207" s="35">
        <f t="shared" si="101"/>
        <v>0</v>
      </c>
      <c r="E207" t="str">
        <f t="shared" si="79"/>
        <v>analogControlRegisters</v>
      </c>
      <c r="F207" s="10" t="str">
        <f>regList!H45</f>
        <v>TempSensorRegC</v>
      </c>
      <c r="G207" s="11" t="str">
        <f>regList!G45</f>
        <v>A9</v>
      </c>
      <c r="H207" t="s">
        <v>418</v>
      </c>
      <c r="I207" s="13">
        <v>0</v>
      </c>
      <c r="J207" s="13">
        <v>8</v>
      </c>
      <c r="K207" s="11" t="str">
        <f t="shared" si="78"/>
        <v>FF</v>
      </c>
      <c r="M207" t="str">
        <f t="shared" si="73"/>
        <v/>
      </c>
    </row>
    <row r="208" spans="1:13" x14ac:dyDescent="0.25">
      <c r="A208" s="11">
        <f t="shared" si="69"/>
        <v>8</v>
      </c>
      <c r="B208" s="11">
        <f t="shared" si="70"/>
        <v>131</v>
      </c>
      <c r="C208" s="11">
        <f t="shared" si="71"/>
        <v>189</v>
      </c>
      <c r="D208" s="35">
        <f t="shared" si="101"/>
        <v>0</v>
      </c>
      <c r="E208" t="str">
        <f t="shared" si="79"/>
        <v>analogControlRegisters</v>
      </c>
      <c r="F208" s="10" t="str">
        <f>regList!H46</f>
        <v>TempSensorADCMode</v>
      </c>
      <c r="G208" s="11" t="str">
        <f>regList!G46</f>
        <v>AA</v>
      </c>
      <c r="H208" t="s">
        <v>419</v>
      </c>
      <c r="I208" s="11">
        <v>0</v>
      </c>
      <c r="J208" s="11">
        <v>5</v>
      </c>
      <c r="K208" s="11" t="str">
        <f t="shared" si="78"/>
        <v>1F</v>
      </c>
      <c r="M208" t="str">
        <f t="shared" si="73"/>
        <v/>
      </c>
    </row>
    <row r="209" spans="1:13" x14ac:dyDescent="0.25">
      <c r="A209" s="11">
        <f t="shared" si="69"/>
        <v>8</v>
      </c>
      <c r="B209" s="11">
        <f t="shared" si="70"/>
        <v>132</v>
      </c>
      <c r="C209" s="11">
        <f t="shared" si="71"/>
        <v>190</v>
      </c>
      <c r="D209" s="35">
        <f t="shared" si="101"/>
        <v>0</v>
      </c>
      <c r="E209" t="str">
        <f t="shared" si="79"/>
        <v>analogControlRegisters</v>
      </c>
      <c r="F209" s="10" t="str">
        <f>regList!H47</f>
        <v>BPFSelect</v>
      </c>
      <c r="G209" s="11" t="str">
        <f>regList!G47</f>
        <v>AB</v>
      </c>
      <c r="H209" t="s">
        <v>420</v>
      </c>
      <c r="I209" s="11">
        <v>0</v>
      </c>
      <c r="J209" s="11">
        <v>2</v>
      </c>
      <c r="K209" s="11" t="str">
        <f t="shared" si="78"/>
        <v>3</v>
      </c>
      <c r="M209" t="str">
        <f t="shared" si="73"/>
        <v/>
      </c>
    </row>
    <row r="210" spans="1:13" x14ac:dyDescent="0.25">
      <c r="A210" s="11">
        <f t="shared" si="69"/>
        <v>8</v>
      </c>
      <c r="B210" s="11">
        <f t="shared" si="70"/>
        <v>133</v>
      </c>
      <c r="C210" s="11">
        <f t="shared" si="71"/>
        <v>191</v>
      </c>
      <c r="D210" s="35">
        <f t="shared" si="101"/>
        <v>0</v>
      </c>
      <c r="E210" t="str">
        <f t="shared" si="79"/>
        <v>analogControlRegisters</v>
      </c>
      <c r="F210" s="10" t="str">
        <f>regList!H48</f>
        <v>Oscillator_AAFOffset</v>
      </c>
      <c r="G210" s="11" t="str">
        <f>regList!G48</f>
        <v>AC</v>
      </c>
      <c r="H210" t="s">
        <v>421</v>
      </c>
      <c r="I210" s="11">
        <v>0</v>
      </c>
      <c r="J210" s="11">
        <v>4</v>
      </c>
      <c r="K210" s="11" t="str">
        <f t="shared" si="78"/>
        <v>F</v>
      </c>
      <c r="M210" t="str">
        <f t="shared" si="73"/>
        <v/>
      </c>
    </row>
    <row r="211" spans="1:13" x14ac:dyDescent="0.25">
      <c r="A211" s="11">
        <f t="shared" si="69"/>
        <v>8</v>
      </c>
      <c r="B211" s="11">
        <f t="shared" si="70"/>
        <v>134</v>
      </c>
      <c r="C211" s="11">
        <f t="shared" si="71"/>
        <v>192</v>
      </c>
      <c r="D211" s="35">
        <f t="shared" si="101"/>
        <v>0</v>
      </c>
      <c r="E211" t="str">
        <f t="shared" si="79"/>
        <v>analogControlRegisters</v>
      </c>
      <c r="F211" s="10" t="str">
        <f>regList!H49</f>
        <v>OscillatorSelect</v>
      </c>
      <c r="G211" s="11" t="str">
        <f>regList!G49</f>
        <v>AD</v>
      </c>
      <c r="H211" t="s">
        <v>422</v>
      </c>
      <c r="I211" s="11">
        <v>0</v>
      </c>
      <c r="J211" s="11">
        <v>1</v>
      </c>
      <c r="K211" s="11" t="str">
        <f t="shared" si="78"/>
        <v>1</v>
      </c>
      <c r="M211" t="str">
        <f t="shared" si="73"/>
        <v/>
      </c>
    </row>
    <row r="212" spans="1:13" x14ac:dyDescent="0.25">
      <c r="A212" s="11">
        <f t="shared" si="69"/>
        <v>8</v>
      </c>
      <c r="B212" s="11">
        <f t="shared" si="70"/>
        <v>135</v>
      </c>
      <c r="C212" s="11">
        <f t="shared" si="71"/>
        <v>193</v>
      </c>
      <c r="D212" s="35">
        <f t="shared" si="101"/>
        <v>0</v>
      </c>
      <c r="E212" t="str">
        <f t="shared" si="79"/>
        <v>analogControlRegisters</v>
      </c>
      <c r="F212" s="10" t="str">
        <f>regList!H50</f>
        <v>InternalRSET</v>
      </c>
      <c r="G212" s="11" t="str">
        <f>regList!G50</f>
        <v>AE</v>
      </c>
      <c r="H212" t="s">
        <v>423</v>
      </c>
      <c r="I212" s="11">
        <v>0</v>
      </c>
      <c r="J212" s="11">
        <v>1</v>
      </c>
      <c r="K212" s="11" t="str">
        <f t="shared" si="78"/>
        <v>1</v>
      </c>
      <c r="M212" t="str">
        <f t="shared" si="73"/>
        <v/>
      </c>
    </row>
    <row r="213" spans="1:13" x14ac:dyDescent="0.25">
      <c r="A213" s="11">
        <f t="shared" si="69"/>
        <v>8</v>
      </c>
      <c r="B213" s="11">
        <f t="shared" si="70"/>
        <v>136</v>
      </c>
      <c r="C213" s="11">
        <f t="shared" si="71"/>
        <v>194</v>
      </c>
      <c r="D213" s="35">
        <f t="shared" si="101"/>
        <v>0</v>
      </c>
      <c r="E213" t="str">
        <f t="shared" si="79"/>
        <v>analogControlRegisters</v>
      </c>
      <c r="F213" s="10" t="str">
        <f>regList!H51</f>
        <v>Spares</v>
      </c>
      <c r="G213" s="11" t="str">
        <f>regList!G51</f>
        <v>AF</v>
      </c>
      <c r="H213" t="s">
        <v>424</v>
      </c>
      <c r="I213" s="11">
        <v>0</v>
      </c>
      <c r="J213" s="11">
        <v>8</v>
      </c>
      <c r="K213" s="11" t="str">
        <f t="shared" si="78"/>
        <v>FF</v>
      </c>
      <c r="M213" t="str">
        <f t="shared" si="73"/>
        <v/>
      </c>
    </row>
    <row r="214" spans="1:13" x14ac:dyDescent="0.25">
      <c r="A214" s="11">
        <f t="shared" si="69"/>
        <v>9</v>
      </c>
      <c r="B214" s="11">
        <f t="shared" si="70"/>
        <v>137</v>
      </c>
      <c r="C214" s="11">
        <f t="shared" si="71"/>
        <v>194</v>
      </c>
      <c r="D214" s="35">
        <f t="shared" si="101"/>
        <v>0</v>
      </c>
      <c r="E214" t="s">
        <v>218</v>
      </c>
      <c r="F214" s="10" t="str">
        <f>regList!H52</f>
        <v>Command</v>
      </c>
      <c r="G214" s="11" t="str">
        <f>regList!G52</f>
        <v>B0</v>
      </c>
      <c r="K214" s="11" t="str">
        <f t="shared" si="78"/>
        <v/>
      </c>
      <c r="M214" t="str">
        <f t="shared" si="73"/>
        <v/>
      </c>
    </row>
    <row r="215" spans="1:13" x14ac:dyDescent="0.25">
      <c r="A215" s="11">
        <f t="shared" si="69"/>
        <v>9</v>
      </c>
      <c r="B215" s="11">
        <f t="shared" si="70"/>
        <v>138</v>
      </c>
      <c r="C215" s="11">
        <f t="shared" si="71"/>
        <v>194</v>
      </c>
      <c r="D215" s="35">
        <f t="shared" si="101"/>
        <v>0</v>
      </c>
      <c r="E215" t="str">
        <f t="shared" si="79"/>
        <v>DftRegisters</v>
      </c>
      <c r="F215" s="10" t="str">
        <f>regList!H53</f>
        <v>I2CFast</v>
      </c>
      <c r="G215" s="11" t="str">
        <f>regList!G53</f>
        <v>B1</v>
      </c>
      <c r="K215" s="11" t="str">
        <f t="shared" si="78"/>
        <v/>
      </c>
      <c r="M215" t="str">
        <f t="shared" si="73"/>
        <v/>
      </c>
    </row>
    <row r="216" spans="1:13" x14ac:dyDescent="0.25">
      <c r="A216" s="11">
        <f t="shared" si="69"/>
        <v>9</v>
      </c>
      <c r="B216" s="11">
        <f t="shared" si="70"/>
        <v>139</v>
      </c>
      <c r="C216" s="11">
        <f t="shared" si="71"/>
        <v>194</v>
      </c>
      <c r="D216" s="35">
        <f t="shared" si="101"/>
        <v>0</v>
      </c>
      <c r="E216" t="str">
        <f t="shared" si="79"/>
        <v>DftRegisters</v>
      </c>
      <c r="F216" s="10" t="str">
        <f>regList!H54</f>
        <v>RivisionID</v>
      </c>
      <c r="G216" s="11" t="str">
        <f>regList!G54</f>
        <v>B2</v>
      </c>
      <c r="K216" s="11" t="str">
        <f t="shared" si="78"/>
        <v/>
      </c>
      <c r="M216" t="str">
        <f t="shared" si="73"/>
        <v/>
      </c>
    </row>
    <row r="217" spans="1:13" x14ac:dyDescent="0.25">
      <c r="A217" s="11">
        <f t="shared" si="69"/>
        <v>9</v>
      </c>
      <c r="B217" s="11">
        <f t="shared" si="70"/>
        <v>140</v>
      </c>
      <c r="C217" s="11">
        <f t="shared" si="71"/>
        <v>194</v>
      </c>
      <c r="D217" s="35">
        <f t="shared" si="101"/>
        <v>0</v>
      </c>
      <c r="E217" t="str">
        <f t="shared" si="79"/>
        <v>DftRegisters</v>
      </c>
      <c r="F217" s="10" t="str">
        <f>regList!H55</f>
        <v>BlockOverride</v>
      </c>
      <c r="G217" s="11" t="str">
        <f>regList!G55</f>
        <v>B3</v>
      </c>
      <c r="K217" s="11" t="str">
        <f t="shared" si="78"/>
        <v/>
      </c>
      <c r="M217" t="str">
        <f t="shared" si="73"/>
        <v/>
      </c>
    </row>
    <row r="218" spans="1:13" x14ac:dyDescent="0.25">
      <c r="A218" s="11">
        <f t="shared" si="69"/>
        <v>9</v>
      </c>
      <c r="B218" s="11">
        <f t="shared" si="70"/>
        <v>140</v>
      </c>
      <c r="C218" s="11">
        <f t="shared" si="71"/>
        <v>194</v>
      </c>
      <c r="D218" s="35">
        <f t="shared" si="101"/>
        <v>0</v>
      </c>
      <c r="E218" t="str">
        <f t="shared" si="79"/>
        <v>DftRegisters</v>
      </c>
      <c r="F218" s="10" t="str">
        <f>regList!H56</f>
        <v>BlockOverride</v>
      </c>
      <c r="G218" s="11" t="str">
        <f>regList!G56</f>
        <v>B4</v>
      </c>
      <c r="K218" s="11" t="str">
        <f t="shared" si="78"/>
        <v/>
      </c>
      <c r="M218" t="str">
        <f t="shared" si="73"/>
        <v/>
      </c>
    </row>
    <row r="219" spans="1:13" x14ac:dyDescent="0.25">
      <c r="A219" s="11">
        <f t="shared" si="69"/>
        <v>9</v>
      </c>
      <c r="B219" s="11">
        <f t="shared" si="70"/>
        <v>141</v>
      </c>
      <c r="C219" s="11">
        <f t="shared" si="71"/>
        <v>194</v>
      </c>
      <c r="D219" s="35">
        <f t="shared" si="101"/>
        <v>0</v>
      </c>
      <c r="E219" t="str">
        <f t="shared" si="79"/>
        <v>DftRegisters</v>
      </c>
      <c r="F219" s="10" t="str">
        <f>regList!H57</f>
        <v>StateMachineControl</v>
      </c>
      <c r="G219" s="11" t="str">
        <f>regList!G57</f>
        <v>B5</v>
      </c>
      <c r="K219" s="11" t="str">
        <f t="shared" si="78"/>
        <v/>
      </c>
      <c r="M219" t="str">
        <f t="shared" si="73"/>
        <v/>
      </c>
    </row>
    <row r="220" spans="1:13" x14ac:dyDescent="0.25">
      <c r="A220" s="11">
        <f t="shared" si="69"/>
        <v>9</v>
      </c>
      <c r="B220" s="11">
        <f t="shared" si="70"/>
        <v>142</v>
      </c>
      <c r="C220" s="11">
        <f t="shared" si="71"/>
        <v>194</v>
      </c>
      <c r="D220" s="35">
        <f t="shared" si="101"/>
        <v>0</v>
      </c>
      <c r="E220" t="str">
        <f t="shared" si="79"/>
        <v>DftRegisters</v>
      </c>
      <c r="F220" s="10" t="str">
        <f>regList!H58</f>
        <v>StateMachineOverride</v>
      </c>
      <c r="G220" s="11" t="str">
        <f>regList!G58</f>
        <v>B6</v>
      </c>
      <c r="K220" s="11" t="str">
        <f t="shared" si="78"/>
        <v/>
      </c>
      <c r="M220" t="str">
        <f t="shared" si="73"/>
        <v/>
      </c>
    </row>
    <row r="221" spans="1:13" x14ac:dyDescent="0.25">
      <c r="A221" s="11">
        <f t="shared" ref="A221:A284" si="106">IF(E221=E220,A220,A220+1)</f>
        <v>9</v>
      </c>
      <c r="B221" s="11">
        <f t="shared" ref="B221:B284" si="107">IF(F220=F221,B220,B220+1)</f>
        <v>143</v>
      </c>
      <c r="C221" s="11">
        <f t="shared" ref="C221:C284" si="108">IF(H221&lt;&gt;"",C220+1,C220)</f>
        <v>194</v>
      </c>
      <c r="D221" s="35">
        <f t="shared" si="101"/>
        <v>0</v>
      </c>
      <c r="E221" t="str">
        <f t="shared" si="79"/>
        <v>DftRegisters</v>
      </c>
      <c r="F221" s="10" t="str">
        <f>regList!H59</f>
        <v>StateMachineOverride1</v>
      </c>
      <c r="G221" s="11" t="str">
        <f>regList!G59</f>
        <v>B7</v>
      </c>
      <c r="K221" s="11" t="str">
        <f t="shared" si="78"/>
        <v/>
      </c>
      <c r="M221" t="str">
        <f t="shared" ref="M221:M284" si="109">IF(N221&lt;&gt;"",MID(E221,1,LEN(E221)-9)&amp;N221,"")</f>
        <v/>
      </c>
    </row>
    <row r="222" spans="1:13" x14ac:dyDescent="0.25">
      <c r="A222" s="11">
        <f t="shared" si="106"/>
        <v>9</v>
      </c>
      <c r="B222" s="11">
        <f t="shared" si="107"/>
        <v>144</v>
      </c>
      <c r="C222" s="11">
        <f t="shared" si="108"/>
        <v>194</v>
      </c>
      <c r="D222" s="35">
        <f t="shared" si="101"/>
        <v>0</v>
      </c>
      <c r="E222" t="str">
        <f t="shared" si="79"/>
        <v>DftRegisters</v>
      </c>
      <c r="F222" s="10" t="str">
        <f>regList!H60</f>
        <v>AnalogMonitorControl</v>
      </c>
      <c r="G222" s="11" t="str">
        <f>regList!G60</f>
        <v>B8</v>
      </c>
      <c r="K222" s="11" t="str">
        <f t="shared" si="78"/>
        <v/>
      </c>
      <c r="M222" t="str">
        <f t="shared" si="109"/>
        <v/>
      </c>
    </row>
    <row r="223" spans="1:13" x14ac:dyDescent="0.25">
      <c r="A223" s="11">
        <f t="shared" si="106"/>
        <v>9</v>
      </c>
      <c r="B223" s="11">
        <f t="shared" si="107"/>
        <v>145</v>
      </c>
      <c r="C223" s="11">
        <f t="shared" si="108"/>
        <v>194</v>
      </c>
      <c r="D223" s="35">
        <f t="shared" si="101"/>
        <v>0</v>
      </c>
      <c r="E223" t="str">
        <f t="shared" si="79"/>
        <v>DftRegisters</v>
      </c>
      <c r="F223" s="10" t="str">
        <f>regList!H61</f>
        <v>NCOControl1</v>
      </c>
      <c r="G223" s="11" t="str">
        <f>regList!G61</f>
        <v>B9</v>
      </c>
      <c r="K223" s="11" t="str">
        <f t="shared" si="78"/>
        <v/>
      </c>
      <c r="M223" t="str">
        <f t="shared" si="109"/>
        <v/>
      </c>
    </row>
    <row r="224" spans="1:13" x14ac:dyDescent="0.25">
      <c r="A224" s="11">
        <f t="shared" si="106"/>
        <v>9</v>
      </c>
      <c r="B224" s="11">
        <f t="shared" si="107"/>
        <v>146</v>
      </c>
      <c r="C224" s="11">
        <f t="shared" si="108"/>
        <v>194</v>
      </c>
      <c r="D224" s="35">
        <f t="shared" si="101"/>
        <v>0</v>
      </c>
      <c r="E224" t="str">
        <f t="shared" si="79"/>
        <v>DftRegisters</v>
      </c>
      <c r="F224" s="10" t="str">
        <f>regList!H62</f>
        <v>NCOControl2</v>
      </c>
      <c r="G224" s="11" t="str">
        <f>regList!G62</f>
        <v>BA</v>
      </c>
      <c r="K224" s="11" t="str">
        <f t="shared" si="78"/>
        <v/>
      </c>
      <c r="M224" t="str">
        <f t="shared" si="109"/>
        <v/>
      </c>
    </row>
    <row r="225" spans="1:13" x14ac:dyDescent="0.25">
      <c r="A225" s="11">
        <f t="shared" si="106"/>
        <v>9</v>
      </c>
      <c r="B225" s="11">
        <f t="shared" si="107"/>
        <v>147</v>
      </c>
      <c r="C225" s="11">
        <f t="shared" si="108"/>
        <v>194</v>
      </c>
      <c r="D225" s="35">
        <f t="shared" si="101"/>
        <v>0</v>
      </c>
      <c r="E225" t="str">
        <f t="shared" si="79"/>
        <v>DftRegisters</v>
      </c>
      <c r="F225" s="10" t="str">
        <f>regList!H63</f>
        <v>NCOControl3</v>
      </c>
      <c r="G225" s="11" t="str">
        <f>regList!G63</f>
        <v>BB</v>
      </c>
      <c r="K225" s="11" t="str">
        <f t="shared" si="78"/>
        <v/>
      </c>
      <c r="M225" t="str">
        <f t="shared" si="109"/>
        <v/>
      </c>
    </row>
    <row r="226" spans="1:13" x14ac:dyDescent="0.25">
      <c r="A226" s="11">
        <f t="shared" si="106"/>
        <v>10</v>
      </c>
      <c r="B226" s="11">
        <f t="shared" si="107"/>
        <v>148</v>
      </c>
      <c r="C226" s="11">
        <f t="shared" si="108"/>
        <v>194</v>
      </c>
      <c r="D226" s="35">
        <f t="shared" si="101"/>
        <v>0</v>
      </c>
      <c r="E226" t="s">
        <v>219</v>
      </c>
      <c r="F226" s="10" t="str">
        <f>regList!J4</f>
        <v>FuseOperation</v>
      </c>
      <c r="G226" s="11" t="str">
        <f>regList!I4</f>
        <v>C0</v>
      </c>
      <c r="K226" s="11" t="str">
        <f t="shared" si="78"/>
        <v/>
      </c>
      <c r="M226" t="str">
        <f t="shared" si="109"/>
        <v/>
      </c>
    </row>
    <row r="227" spans="1:13" x14ac:dyDescent="0.25">
      <c r="A227" s="11">
        <f t="shared" si="106"/>
        <v>10</v>
      </c>
      <c r="B227" s="11">
        <f t="shared" si="107"/>
        <v>149</v>
      </c>
      <c r="C227" s="11">
        <f t="shared" si="108"/>
        <v>194</v>
      </c>
      <c r="D227" s="35">
        <f t="shared" si="101"/>
        <v>0</v>
      </c>
      <c r="E227" t="str">
        <f t="shared" si="79"/>
        <v>fuseRegisters</v>
      </c>
      <c r="F227" s="10" t="str">
        <f>regList!J5</f>
        <v>Fusereg1</v>
      </c>
      <c r="G227" s="11" t="str">
        <f>regList!I5</f>
        <v>C1</v>
      </c>
      <c r="K227" s="11" t="str">
        <f t="shared" si="78"/>
        <v/>
      </c>
      <c r="M227" t="str">
        <f t="shared" si="109"/>
        <v/>
      </c>
    </row>
    <row r="228" spans="1:13" x14ac:dyDescent="0.25">
      <c r="A228" s="11">
        <f t="shared" si="106"/>
        <v>10</v>
      </c>
      <c r="B228" s="11">
        <f t="shared" si="107"/>
        <v>150</v>
      </c>
      <c r="C228" s="11">
        <f t="shared" si="108"/>
        <v>194</v>
      </c>
      <c r="D228" s="35">
        <f t="shared" si="101"/>
        <v>0</v>
      </c>
      <c r="E228" t="str">
        <f t="shared" si="79"/>
        <v>fuseRegisters</v>
      </c>
      <c r="F228" s="10" t="str">
        <f>regList!J6</f>
        <v>Fuse_reg2</v>
      </c>
      <c r="G228" s="11" t="str">
        <f>regList!I6</f>
        <v>C2</v>
      </c>
      <c r="K228" s="11" t="str">
        <f t="shared" si="78"/>
        <v/>
      </c>
      <c r="M228" t="str">
        <f t="shared" si="109"/>
        <v/>
      </c>
    </row>
    <row r="229" spans="1:13" x14ac:dyDescent="0.25">
      <c r="A229" s="11">
        <f t="shared" si="106"/>
        <v>10</v>
      </c>
      <c r="B229" s="11">
        <f t="shared" si="107"/>
        <v>151</v>
      </c>
      <c r="C229" s="11">
        <f t="shared" si="108"/>
        <v>194</v>
      </c>
      <c r="D229" s="35">
        <f t="shared" si="101"/>
        <v>0</v>
      </c>
      <c r="E229" t="str">
        <f t="shared" si="79"/>
        <v>fuseRegisters</v>
      </c>
      <c r="F229" s="10" t="str">
        <f>regList!J7</f>
        <v>Fusereg3</v>
      </c>
      <c r="G229" s="11" t="str">
        <f>regList!I7</f>
        <v>C3</v>
      </c>
      <c r="K229" s="11" t="str">
        <f t="shared" si="78"/>
        <v/>
      </c>
      <c r="M229" t="str">
        <f t="shared" si="109"/>
        <v/>
      </c>
    </row>
    <row r="230" spans="1:13" x14ac:dyDescent="0.25">
      <c r="A230" s="11">
        <f t="shared" si="106"/>
        <v>10</v>
      </c>
      <c r="B230" s="11">
        <f t="shared" si="107"/>
        <v>152</v>
      </c>
      <c r="C230" s="11">
        <f t="shared" si="108"/>
        <v>194</v>
      </c>
      <c r="D230" s="35">
        <f t="shared" si="101"/>
        <v>0</v>
      </c>
      <c r="E230" t="str">
        <f t="shared" si="79"/>
        <v>fuseRegisters</v>
      </c>
      <c r="F230" s="10" t="str">
        <f>regList!J8</f>
        <v>Fusereg4</v>
      </c>
      <c r="G230" s="11" t="str">
        <f>regList!I8</f>
        <v>C4</v>
      </c>
      <c r="K230" s="11" t="str">
        <f t="shared" si="78"/>
        <v/>
      </c>
      <c r="M230" t="str">
        <f t="shared" si="109"/>
        <v/>
      </c>
    </row>
    <row r="231" spans="1:13" x14ac:dyDescent="0.25">
      <c r="A231" s="11">
        <f t="shared" si="106"/>
        <v>11</v>
      </c>
      <c r="B231" s="11">
        <f t="shared" si="107"/>
        <v>153</v>
      </c>
      <c r="C231" s="11">
        <f t="shared" si="108"/>
        <v>194</v>
      </c>
      <c r="D231" s="35">
        <f t="shared" si="101"/>
        <v>0</v>
      </c>
      <c r="E231" t="s">
        <v>220</v>
      </c>
      <c r="F231" s="10" t="str">
        <f>regList!J9</f>
        <v>testreg1</v>
      </c>
      <c r="G231" s="11" t="str">
        <f>regList!I9</f>
        <v>C5</v>
      </c>
      <c r="K231" s="11" t="str">
        <f t="shared" si="78"/>
        <v/>
      </c>
      <c r="M231" t="str">
        <f t="shared" si="109"/>
        <v/>
      </c>
    </row>
    <row r="232" spans="1:13" x14ac:dyDescent="0.25">
      <c r="A232" s="11">
        <f t="shared" si="106"/>
        <v>11</v>
      </c>
      <c r="B232" s="11">
        <f t="shared" si="107"/>
        <v>154</v>
      </c>
      <c r="C232" s="11">
        <f t="shared" si="108"/>
        <v>194</v>
      </c>
      <c r="D232" s="35">
        <f t="shared" si="101"/>
        <v>0</v>
      </c>
      <c r="E232" t="str">
        <f t="shared" si="79"/>
        <v xml:space="preserve">digitalTestReg </v>
      </c>
      <c r="F232" s="10" t="str">
        <f>regList!J10</f>
        <v>testreg2</v>
      </c>
      <c r="G232" s="11" t="str">
        <f>regList!I10</f>
        <v>C6</v>
      </c>
      <c r="K232" s="11" t="str">
        <f t="shared" si="78"/>
        <v/>
      </c>
      <c r="M232" t="str">
        <f t="shared" si="109"/>
        <v/>
      </c>
    </row>
    <row r="233" spans="1:13" x14ac:dyDescent="0.25">
      <c r="A233" s="11">
        <f t="shared" si="106"/>
        <v>11</v>
      </c>
      <c r="B233" s="11">
        <f t="shared" si="107"/>
        <v>155</v>
      </c>
      <c r="C233" s="11">
        <f t="shared" si="108"/>
        <v>194</v>
      </c>
      <c r="D233" s="35">
        <f t="shared" si="101"/>
        <v>0</v>
      </c>
      <c r="E233" t="str">
        <f t="shared" si="79"/>
        <v xml:space="preserve">digitalTestReg </v>
      </c>
      <c r="F233" s="10" t="str">
        <f>regList!J11</f>
        <v>testreg3</v>
      </c>
      <c r="G233" s="11" t="str">
        <f>regList!I11</f>
        <v>C7</v>
      </c>
      <c r="K233" s="11" t="str">
        <f t="shared" si="78"/>
        <v/>
      </c>
      <c r="M233" t="str">
        <f t="shared" si="109"/>
        <v/>
      </c>
    </row>
    <row r="234" spans="1:13" x14ac:dyDescent="0.25">
      <c r="A234" s="11">
        <f t="shared" si="106"/>
        <v>11</v>
      </c>
      <c r="B234" s="11">
        <f t="shared" si="107"/>
        <v>155</v>
      </c>
      <c r="C234" s="11">
        <f t="shared" si="108"/>
        <v>194</v>
      </c>
      <c r="D234" s="35">
        <f t="shared" si="101"/>
        <v>0</v>
      </c>
      <c r="E234" t="str">
        <f t="shared" si="79"/>
        <v xml:space="preserve">digitalTestReg </v>
      </c>
      <c r="F234" s="10" t="str">
        <f>regList!J12</f>
        <v>testreg3</v>
      </c>
      <c r="G234" s="11" t="str">
        <f>regList!I12</f>
        <v>C8</v>
      </c>
      <c r="K234" s="11" t="str">
        <f t="shared" si="78"/>
        <v/>
      </c>
      <c r="M234" t="str">
        <f t="shared" si="109"/>
        <v/>
      </c>
    </row>
    <row r="235" spans="1:13" x14ac:dyDescent="0.25">
      <c r="A235" s="11">
        <f t="shared" si="106"/>
        <v>11</v>
      </c>
      <c r="B235" s="11">
        <f t="shared" si="107"/>
        <v>156</v>
      </c>
      <c r="C235" s="11">
        <f t="shared" si="108"/>
        <v>194</v>
      </c>
      <c r="D235" s="35">
        <f t="shared" si="101"/>
        <v>0</v>
      </c>
      <c r="E235" t="str">
        <f t="shared" si="79"/>
        <v xml:space="preserve">digitalTestReg </v>
      </c>
      <c r="F235" s="10" t="str">
        <f>regList!J13</f>
        <v>testmux</v>
      </c>
      <c r="G235" s="11" t="str">
        <f>regList!I13</f>
        <v>C9</v>
      </c>
      <c r="K235" s="11" t="str">
        <f t="shared" si="78"/>
        <v/>
      </c>
      <c r="M235" t="str">
        <f t="shared" si="109"/>
        <v/>
      </c>
    </row>
    <row r="236" spans="1:13" x14ac:dyDescent="0.25">
      <c r="A236" s="11">
        <f t="shared" si="106"/>
        <v>11</v>
      </c>
      <c r="B236" s="11">
        <f t="shared" si="107"/>
        <v>157</v>
      </c>
      <c r="C236" s="11">
        <f t="shared" si="108"/>
        <v>194</v>
      </c>
      <c r="D236" s="35">
        <f t="shared" si="101"/>
        <v>0</v>
      </c>
      <c r="E236" t="str">
        <f t="shared" si="79"/>
        <v xml:space="preserve">digitalTestReg </v>
      </c>
      <c r="F236" s="10" t="str">
        <f>regList!J14</f>
        <v>testsample</v>
      </c>
      <c r="G236" s="11" t="str">
        <f>regList!I14</f>
        <v>CA</v>
      </c>
      <c r="K236" s="11" t="str">
        <f t="shared" si="78"/>
        <v/>
      </c>
      <c r="M236" t="str">
        <f t="shared" si="109"/>
        <v/>
      </c>
    </row>
    <row r="237" spans="1:13" x14ac:dyDescent="0.25">
      <c r="A237" s="11">
        <f t="shared" si="106"/>
        <v>11</v>
      </c>
      <c r="B237" s="11">
        <f t="shared" si="107"/>
        <v>158</v>
      </c>
      <c r="C237" s="11">
        <f t="shared" si="108"/>
        <v>194</v>
      </c>
      <c r="D237" s="35">
        <f t="shared" si="101"/>
        <v>0</v>
      </c>
      <c r="E237" t="str">
        <f t="shared" si="79"/>
        <v xml:space="preserve">digitalTestReg </v>
      </c>
      <c r="F237" s="10" t="str">
        <f>regList!J15</f>
        <v>testreadsanple</v>
      </c>
      <c r="G237" s="11" t="str">
        <f>regList!I15</f>
        <v>CB</v>
      </c>
      <c r="K237" s="11" t="str">
        <f t="shared" si="78"/>
        <v/>
      </c>
      <c r="M237" t="str">
        <f t="shared" si="109"/>
        <v/>
      </c>
    </row>
    <row r="238" spans="1:13" x14ac:dyDescent="0.25">
      <c r="A238" s="11">
        <f t="shared" si="106"/>
        <v>11</v>
      </c>
      <c r="B238" s="11">
        <f t="shared" si="107"/>
        <v>159</v>
      </c>
      <c r="C238" s="11">
        <f t="shared" si="108"/>
        <v>194</v>
      </c>
      <c r="D238" s="35">
        <f t="shared" si="101"/>
        <v>0</v>
      </c>
      <c r="E238" t="str">
        <f t="shared" si="79"/>
        <v xml:space="preserve">digitalTestReg </v>
      </c>
      <c r="F238" s="10" t="str">
        <f>regList!J16</f>
        <v>testtrim1</v>
      </c>
      <c r="G238" s="11" t="str">
        <f>regList!I16</f>
        <v>CC</v>
      </c>
      <c r="K238" s="11" t="str">
        <f t="shared" si="78"/>
        <v/>
      </c>
      <c r="M238" t="str">
        <f t="shared" si="109"/>
        <v/>
      </c>
    </row>
    <row r="239" spans="1:13" x14ac:dyDescent="0.25">
      <c r="A239" s="11">
        <f t="shared" si="106"/>
        <v>11</v>
      </c>
      <c r="B239" s="11">
        <f t="shared" si="107"/>
        <v>160</v>
      </c>
      <c r="C239" s="11">
        <f t="shared" si="108"/>
        <v>194</v>
      </c>
      <c r="D239" s="35">
        <f t="shared" si="101"/>
        <v>0</v>
      </c>
      <c r="E239" t="str">
        <f t="shared" si="79"/>
        <v xml:space="preserve">digitalTestReg </v>
      </c>
      <c r="F239" s="10" t="str">
        <f>regList!J17</f>
        <v>testtrim2</v>
      </c>
      <c r="G239" s="11" t="str">
        <f>regList!I17</f>
        <v>CD</v>
      </c>
      <c r="K239" s="11" t="str">
        <f t="shared" si="78"/>
        <v/>
      </c>
      <c r="M239" t="str">
        <f t="shared" si="109"/>
        <v/>
      </c>
    </row>
    <row r="240" spans="1:13" x14ac:dyDescent="0.25">
      <c r="A240" s="11">
        <f t="shared" si="106"/>
        <v>11</v>
      </c>
      <c r="B240" s="11">
        <f t="shared" si="107"/>
        <v>161</v>
      </c>
      <c r="C240" s="11">
        <f t="shared" si="108"/>
        <v>194</v>
      </c>
      <c r="D240" s="35">
        <f t="shared" si="101"/>
        <v>0</v>
      </c>
      <c r="E240" t="str">
        <f t="shared" si="79"/>
        <v xml:space="preserve">digitalTestReg </v>
      </c>
      <c r="F240" s="10" t="str">
        <f>regList!J18</f>
        <v>testtrim3</v>
      </c>
      <c r="G240" s="11" t="str">
        <f>regList!I18</f>
        <v>CE</v>
      </c>
      <c r="K240" s="11" t="str">
        <f t="shared" si="78"/>
        <v/>
      </c>
      <c r="M240" t="str">
        <f t="shared" si="109"/>
        <v/>
      </c>
    </row>
    <row r="241" spans="1:13" x14ac:dyDescent="0.25">
      <c r="A241" s="11">
        <f t="shared" si="106"/>
        <v>11</v>
      </c>
      <c r="B241" s="11">
        <f t="shared" si="107"/>
        <v>162</v>
      </c>
      <c r="C241" s="11">
        <f t="shared" si="108"/>
        <v>194</v>
      </c>
      <c r="D241" s="35">
        <f t="shared" si="101"/>
        <v>0</v>
      </c>
      <c r="E241" t="str">
        <f t="shared" si="79"/>
        <v xml:space="preserve">digitalTestReg </v>
      </c>
      <c r="F241" s="10" t="str">
        <f>regList!J19</f>
        <v>testtrim4</v>
      </c>
      <c r="G241" s="11" t="str">
        <f>regList!I19</f>
        <v>CF</v>
      </c>
      <c r="K241" s="11" t="str">
        <f t="shared" si="78"/>
        <v/>
      </c>
      <c r="M241" t="str">
        <f t="shared" si="109"/>
        <v/>
      </c>
    </row>
    <row r="242" spans="1:13" x14ac:dyDescent="0.25">
      <c r="A242" s="11">
        <f t="shared" si="106"/>
        <v>12</v>
      </c>
      <c r="B242" s="11">
        <f t="shared" si="107"/>
        <v>163</v>
      </c>
      <c r="C242" s="11">
        <f t="shared" si="108"/>
        <v>194</v>
      </c>
      <c r="D242" s="35">
        <f t="shared" si="101"/>
        <v>0</v>
      </c>
      <c r="E242" t="s">
        <v>221</v>
      </c>
      <c r="F242" s="10" t="str">
        <f>regList!J20</f>
        <v>DataInvalid</v>
      </c>
      <c r="G242" s="11" t="str">
        <f>regList!I20</f>
        <v>D0</v>
      </c>
      <c r="K242" s="11" t="str">
        <f t="shared" si="78"/>
        <v/>
      </c>
      <c r="M242" t="str">
        <f t="shared" si="109"/>
        <v/>
      </c>
    </row>
    <row r="243" spans="1:13" x14ac:dyDescent="0.25">
      <c r="A243" s="11">
        <f t="shared" si="106"/>
        <v>12</v>
      </c>
      <c r="B243" s="11">
        <f t="shared" si="107"/>
        <v>164</v>
      </c>
      <c r="C243" s="11">
        <f t="shared" si="108"/>
        <v>194</v>
      </c>
      <c r="D243" s="35">
        <f t="shared" si="101"/>
        <v>0</v>
      </c>
      <c r="E243" t="str">
        <f t="shared" si="79"/>
        <v>lightSampleStatusRegisters</v>
      </c>
      <c r="F243" s="10" t="str">
        <f>regList!J21</f>
        <v>DistanceReadoutMSB</v>
      </c>
      <c r="G243" s="11" t="str">
        <f>regList!I21</f>
        <v>D1</v>
      </c>
      <c r="K243" s="11" t="str">
        <f t="shared" si="78"/>
        <v/>
      </c>
      <c r="M243" t="str">
        <f t="shared" si="109"/>
        <v/>
      </c>
    </row>
    <row r="244" spans="1:13" x14ac:dyDescent="0.25">
      <c r="A244" s="11">
        <f t="shared" si="106"/>
        <v>12</v>
      </c>
      <c r="B244" s="11">
        <f t="shared" si="107"/>
        <v>165</v>
      </c>
      <c r="C244" s="11">
        <f t="shared" si="108"/>
        <v>194</v>
      </c>
      <c r="D244" s="35">
        <f t="shared" si="101"/>
        <v>0</v>
      </c>
      <c r="E244" t="str">
        <f t="shared" ref="E244:E284" si="110">E243</f>
        <v>lightSampleStatusRegisters</v>
      </c>
      <c r="F244" s="10" t="str">
        <f>regList!J22</f>
        <v>DistanceReadoutLSB</v>
      </c>
      <c r="G244" s="11" t="str">
        <f>regList!I22</f>
        <v>D2</v>
      </c>
      <c r="K244" s="11" t="str">
        <f t="shared" si="78"/>
        <v/>
      </c>
      <c r="M244" t="str">
        <f t="shared" si="109"/>
        <v/>
      </c>
    </row>
    <row r="245" spans="1:13" x14ac:dyDescent="0.25">
      <c r="A245" s="11">
        <f t="shared" si="106"/>
        <v>12</v>
      </c>
      <c r="B245" s="11">
        <f t="shared" si="107"/>
        <v>166</v>
      </c>
      <c r="C245" s="11">
        <f t="shared" si="108"/>
        <v>194</v>
      </c>
      <c r="D245" s="35">
        <f t="shared" si="101"/>
        <v>0</v>
      </c>
      <c r="E245" t="str">
        <f t="shared" si="110"/>
        <v>lightSampleStatusRegisters</v>
      </c>
      <c r="F245" s="10" t="str">
        <f>regList!J23</f>
        <v>PrecisionMSB</v>
      </c>
      <c r="G245" s="11" t="str">
        <f>regList!I23</f>
        <v>D3</v>
      </c>
      <c r="K245" s="11" t="str">
        <f t="shared" si="78"/>
        <v/>
      </c>
      <c r="M245" t="str">
        <f t="shared" si="109"/>
        <v/>
      </c>
    </row>
    <row r="246" spans="1:13" x14ac:dyDescent="0.25">
      <c r="A246" s="11">
        <f t="shared" si="106"/>
        <v>12</v>
      </c>
      <c r="B246" s="11">
        <f t="shared" si="107"/>
        <v>167</v>
      </c>
      <c r="C246" s="11">
        <f t="shared" si="108"/>
        <v>194</v>
      </c>
      <c r="D246" s="35">
        <f t="shared" si="101"/>
        <v>0</v>
      </c>
      <c r="E246" t="str">
        <f t="shared" si="110"/>
        <v>lightSampleStatusRegisters</v>
      </c>
      <c r="F246" s="10" t="str">
        <f>regList!J24</f>
        <v>PercisionLSB</v>
      </c>
      <c r="G246" s="11" t="str">
        <f>regList!I24</f>
        <v>D4</v>
      </c>
      <c r="K246" s="11" t="str">
        <f t="shared" si="78"/>
        <v/>
      </c>
      <c r="M246" t="str">
        <f t="shared" si="109"/>
        <v/>
      </c>
    </row>
    <row r="247" spans="1:13" x14ac:dyDescent="0.25">
      <c r="A247" s="11">
        <f t="shared" si="106"/>
        <v>12</v>
      </c>
      <c r="B247" s="11">
        <f t="shared" si="107"/>
        <v>168</v>
      </c>
      <c r="C247" s="11">
        <f t="shared" si="108"/>
        <v>194</v>
      </c>
      <c r="D247" s="35">
        <f t="shared" si="101"/>
        <v>0</v>
      </c>
      <c r="E247" t="str">
        <f t="shared" si="110"/>
        <v>lightSampleStatusRegisters</v>
      </c>
      <c r="F247" s="10" t="str">
        <f>regList!J25</f>
        <v>MagnitudeExponent</v>
      </c>
      <c r="G247" s="11" t="str">
        <f>regList!I25</f>
        <v>D5</v>
      </c>
      <c r="K247" s="11" t="str">
        <f t="shared" si="78"/>
        <v/>
      </c>
      <c r="M247" t="str">
        <f t="shared" si="109"/>
        <v/>
      </c>
    </row>
    <row r="248" spans="1:13" x14ac:dyDescent="0.25">
      <c r="A248" s="11">
        <f t="shared" si="106"/>
        <v>12</v>
      </c>
      <c r="B248" s="11">
        <f t="shared" si="107"/>
        <v>169</v>
      </c>
      <c r="C248" s="11">
        <f t="shared" si="108"/>
        <v>194</v>
      </c>
      <c r="D248" s="35">
        <f t="shared" si="101"/>
        <v>0</v>
      </c>
      <c r="E248" t="str">
        <f t="shared" si="110"/>
        <v>lightSampleStatusRegisters</v>
      </c>
      <c r="F248" s="10" t="str">
        <f>regList!J26</f>
        <v>MagnitudeSignificandMSB</v>
      </c>
      <c r="G248" s="11" t="str">
        <f>regList!I26</f>
        <v>D6</v>
      </c>
      <c r="K248" s="11" t="str">
        <f t="shared" si="78"/>
        <v/>
      </c>
      <c r="M248" t="str">
        <f t="shared" si="109"/>
        <v/>
      </c>
    </row>
    <row r="249" spans="1:13" x14ac:dyDescent="0.25">
      <c r="A249" s="11">
        <f t="shared" si="106"/>
        <v>12</v>
      </c>
      <c r="B249" s="11">
        <f t="shared" si="107"/>
        <v>170</v>
      </c>
      <c r="C249" s="11">
        <f t="shared" si="108"/>
        <v>194</v>
      </c>
      <c r="D249" s="35">
        <f t="shared" si="101"/>
        <v>0</v>
      </c>
      <c r="E249" t="str">
        <f t="shared" si="110"/>
        <v>lightSampleStatusRegisters</v>
      </c>
      <c r="F249" s="10" t="str">
        <f>regList!J27</f>
        <v>MagnitudeSignificandLSB</v>
      </c>
      <c r="G249" s="11" t="str">
        <f>regList!I27</f>
        <v>D7</v>
      </c>
      <c r="K249" s="11" t="str">
        <f t="shared" ref="K249:K288" si="111">IF(J249&lt;&gt;"",DEC2HEX(2^J249-1),"")</f>
        <v/>
      </c>
      <c r="M249" t="str">
        <f t="shared" si="109"/>
        <v/>
      </c>
    </row>
    <row r="250" spans="1:13" x14ac:dyDescent="0.25">
      <c r="A250" s="11">
        <f t="shared" si="106"/>
        <v>12</v>
      </c>
      <c r="B250" s="11">
        <f t="shared" si="107"/>
        <v>171</v>
      </c>
      <c r="C250" s="11">
        <f t="shared" si="108"/>
        <v>194</v>
      </c>
      <c r="D250" s="35">
        <f t="shared" si="101"/>
        <v>0</v>
      </c>
      <c r="E250" t="str">
        <f t="shared" si="110"/>
        <v>lightSampleStatusRegisters</v>
      </c>
      <c r="F250" s="10" t="str">
        <f>regList!J28</f>
        <v>PhaseReadoutMSB</v>
      </c>
      <c r="G250" s="11" t="str">
        <f>regList!I28</f>
        <v>D8</v>
      </c>
      <c r="K250" s="11" t="str">
        <f t="shared" si="111"/>
        <v/>
      </c>
      <c r="M250" t="str">
        <f t="shared" si="109"/>
        <v/>
      </c>
    </row>
    <row r="251" spans="1:13" x14ac:dyDescent="0.25">
      <c r="A251" s="11">
        <f t="shared" si="106"/>
        <v>12</v>
      </c>
      <c r="B251" s="11">
        <f t="shared" si="107"/>
        <v>172</v>
      </c>
      <c r="C251" s="11">
        <f t="shared" si="108"/>
        <v>194</v>
      </c>
      <c r="D251" s="35">
        <f t="shared" si="101"/>
        <v>0</v>
      </c>
      <c r="E251" t="str">
        <f t="shared" si="110"/>
        <v>lightSampleStatusRegisters</v>
      </c>
      <c r="F251" s="10" t="str">
        <f>regList!J29</f>
        <v>PhaseReadoutLSB</v>
      </c>
      <c r="G251" s="11" t="str">
        <f>regList!I29</f>
        <v>D9</v>
      </c>
      <c r="K251" s="11" t="str">
        <f t="shared" si="111"/>
        <v/>
      </c>
      <c r="M251" t="str">
        <f t="shared" si="109"/>
        <v/>
      </c>
    </row>
    <row r="252" spans="1:13" x14ac:dyDescent="0.25">
      <c r="A252" s="11">
        <f t="shared" si="106"/>
        <v>12</v>
      </c>
      <c r="B252" s="11">
        <f t="shared" si="107"/>
        <v>173</v>
      </c>
      <c r="C252" s="11">
        <f t="shared" si="108"/>
        <v>194</v>
      </c>
      <c r="D252" s="35">
        <f t="shared" si="101"/>
        <v>0</v>
      </c>
      <c r="E252" t="str">
        <f t="shared" si="110"/>
        <v>lightSampleStatusRegisters</v>
      </c>
      <c r="F252" s="10" t="str">
        <f>regList!J30</f>
        <v>IRawExponent</v>
      </c>
      <c r="G252" s="11" t="str">
        <f>regList!I30</f>
        <v>DA</v>
      </c>
      <c r="K252" s="11" t="str">
        <f t="shared" si="111"/>
        <v/>
      </c>
      <c r="M252" t="str">
        <f t="shared" si="109"/>
        <v/>
      </c>
    </row>
    <row r="253" spans="1:13" x14ac:dyDescent="0.25">
      <c r="A253" s="11">
        <f t="shared" si="106"/>
        <v>12</v>
      </c>
      <c r="B253" s="11">
        <f t="shared" si="107"/>
        <v>174</v>
      </c>
      <c r="C253" s="11">
        <f t="shared" si="108"/>
        <v>194</v>
      </c>
      <c r="D253" s="35">
        <f t="shared" si="101"/>
        <v>0</v>
      </c>
      <c r="E253" t="str">
        <f t="shared" si="110"/>
        <v>lightSampleStatusRegisters</v>
      </c>
      <c r="F253" s="10" t="str">
        <f>regList!J31</f>
        <v>IRawMSB</v>
      </c>
      <c r="G253" s="11" t="str">
        <f>regList!I31</f>
        <v>DB</v>
      </c>
      <c r="K253" s="11" t="str">
        <f t="shared" si="111"/>
        <v/>
      </c>
      <c r="M253" t="str">
        <f t="shared" si="109"/>
        <v/>
      </c>
    </row>
    <row r="254" spans="1:13" x14ac:dyDescent="0.25">
      <c r="A254" s="11">
        <f t="shared" si="106"/>
        <v>12</v>
      </c>
      <c r="B254" s="11">
        <f t="shared" si="107"/>
        <v>175</v>
      </c>
      <c r="C254" s="11">
        <f t="shared" si="108"/>
        <v>194</v>
      </c>
      <c r="D254" s="35">
        <f t="shared" si="101"/>
        <v>0</v>
      </c>
      <c r="E254" t="str">
        <f t="shared" si="110"/>
        <v>lightSampleStatusRegisters</v>
      </c>
      <c r="F254" s="10" t="str">
        <f>regList!J32</f>
        <v>IRawLSB</v>
      </c>
      <c r="G254" s="11" t="str">
        <f>regList!I32</f>
        <v>DC</v>
      </c>
      <c r="K254" s="11" t="str">
        <f t="shared" si="111"/>
        <v/>
      </c>
      <c r="M254" t="str">
        <f t="shared" si="109"/>
        <v/>
      </c>
    </row>
    <row r="255" spans="1:13" x14ac:dyDescent="0.25">
      <c r="A255" s="11">
        <f t="shared" si="106"/>
        <v>12</v>
      </c>
      <c r="B255" s="11">
        <f t="shared" si="107"/>
        <v>176</v>
      </c>
      <c r="C255" s="11">
        <f t="shared" si="108"/>
        <v>194</v>
      </c>
      <c r="D255" s="35">
        <f t="shared" si="101"/>
        <v>0</v>
      </c>
      <c r="E255" t="str">
        <f t="shared" si="110"/>
        <v>lightSampleStatusRegisters</v>
      </c>
      <c r="F255" s="10" t="str">
        <f>regList!J33</f>
        <v>QRawExponent</v>
      </c>
      <c r="G255" s="11" t="str">
        <f>regList!I33</f>
        <v>DD</v>
      </c>
      <c r="K255" s="11" t="str">
        <f t="shared" si="111"/>
        <v/>
      </c>
      <c r="M255" t="str">
        <f t="shared" si="109"/>
        <v/>
      </c>
    </row>
    <row r="256" spans="1:13" x14ac:dyDescent="0.25">
      <c r="A256" s="11">
        <f t="shared" si="106"/>
        <v>12</v>
      </c>
      <c r="B256" s="11">
        <f t="shared" si="107"/>
        <v>177</v>
      </c>
      <c r="C256" s="11">
        <f t="shared" si="108"/>
        <v>194</v>
      </c>
      <c r="D256" s="35">
        <f t="shared" si="101"/>
        <v>0</v>
      </c>
      <c r="E256" t="str">
        <f t="shared" si="110"/>
        <v>lightSampleStatusRegisters</v>
      </c>
      <c r="F256" s="10" t="str">
        <f>regList!J34</f>
        <v>QRawMSB</v>
      </c>
      <c r="G256" s="11" t="str">
        <f>regList!I34</f>
        <v>DE</v>
      </c>
      <c r="K256" s="11" t="str">
        <f t="shared" si="111"/>
        <v/>
      </c>
      <c r="M256" t="str">
        <f t="shared" si="109"/>
        <v/>
      </c>
    </row>
    <row r="257" spans="1:13" x14ac:dyDescent="0.25">
      <c r="A257" s="11">
        <f t="shared" si="106"/>
        <v>12</v>
      </c>
      <c r="B257" s="11">
        <f t="shared" si="107"/>
        <v>178</v>
      </c>
      <c r="C257" s="11">
        <f t="shared" si="108"/>
        <v>194</v>
      </c>
      <c r="D257" s="35">
        <f t="shared" si="101"/>
        <v>0</v>
      </c>
      <c r="E257" t="str">
        <f t="shared" si="110"/>
        <v>lightSampleStatusRegisters</v>
      </c>
      <c r="F257" s="10" t="str">
        <f>regList!J35</f>
        <v>QRawLSB</v>
      </c>
      <c r="G257" s="11" t="str">
        <f>regList!I35</f>
        <v>DF</v>
      </c>
      <c r="K257" s="11" t="str">
        <f t="shared" si="111"/>
        <v/>
      </c>
      <c r="M257" t="str">
        <f t="shared" si="109"/>
        <v/>
      </c>
    </row>
    <row r="258" spans="1:13" x14ac:dyDescent="0.25">
      <c r="A258" s="11">
        <f t="shared" si="106"/>
        <v>12</v>
      </c>
      <c r="B258" s="11">
        <f t="shared" si="107"/>
        <v>179</v>
      </c>
      <c r="C258" s="11">
        <f t="shared" si="108"/>
        <v>194</v>
      </c>
      <c r="D258" s="35">
        <f t="shared" si="101"/>
        <v>0</v>
      </c>
      <c r="E258" t="str">
        <f t="shared" si="110"/>
        <v>lightSampleStatusRegisters</v>
      </c>
      <c r="F258" s="10" t="str">
        <f>regList!J36</f>
        <v>EmitterVoltageBefore</v>
      </c>
      <c r="G258" s="11" t="str">
        <f>regList!I36</f>
        <v>E0</v>
      </c>
      <c r="K258" s="11" t="str">
        <f t="shared" si="111"/>
        <v/>
      </c>
      <c r="M258" t="str">
        <f t="shared" si="109"/>
        <v/>
      </c>
    </row>
    <row r="259" spans="1:13" x14ac:dyDescent="0.25">
      <c r="A259" s="11">
        <f t="shared" si="106"/>
        <v>12</v>
      </c>
      <c r="B259" s="11">
        <f t="shared" si="107"/>
        <v>180</v>
      </c>
      <c r="C259" s="11">
        <f t="shared" si="108"/>
        <v>194</v>
      </c>
      <c r="D259" s="35">
        <f t="shared" si="101"/>
        <v>0</v>
      </c>
      <c r="E259" t="str">
        <f t="shared" si="110"/>
        <v>lightSampleStatusRegisters</v>
      </c>
      <c r="F259" s="10" t="str">
        <f>regList!J37</f>
        <v>EmitterVoltageAfter</v>
      </c>
      <c r="G259" s="11" t="str">
        <f>regList!I37</f>
        <v>E1</v>
      </c>
      <c r="K259" s="11" t="str">
        <f t="shared" si="111"/>
        <v/>
      </c>
      <c r="M259" t="str">
        <f t="shared" si="109"/>
        <v/>
      </c>
    </row>
    <row r="260" spans="1:13" x14ac:dyDescent="0.25">
      <c r="A260" s="11">
        <f t="shared" si="106"/>
        <v>12</v>
      </c>
      <c r="B260" s="11">
        <f t="shared" si="107"/>
        <v>181</v>
      </c>
      <c r="C260" s="11">
        <f t="shared" si="108"/>
        <v>194</v>
      </c>
      <c r="D260" s="35">
        <f t="shared" si="101"/>
        <v>0</v>
      </c>
      <c r="E260" t="str">
        <f t="shared" si="110"/>
        <v>lightSampleStatusRegisters</v>
      </c>
      <c r="F260" s="10" t="str">
        <f>regList!J38</f>
        <v>AFETemperature</v>
      </c>
      <c r="G260" s="11" t="str">
        <f>regList!I38</f>
        <v>E2</v>
      </c>
      <c r="K260" s="11" t="str">
        <f t="shared" si="111"/>
        <v/>
      </c>
      <c r="M260" t="str">
        <f t="shared" si="109"/>
        <v/>
      </c>
    </row>
    <row r="261" spans="1:13" x14ac:dyDescent="0.25">
      <c r="A261" s="11">
        <f t="shared" si="106"/>
        <v>12</v>
      </c>
      <c r="B261" s="11">
        <f t="shared" si="107"/>
        <v>182</v>
      </c>
      <c r="C261" s="11">
        <f t="shared" si="108"/>
        <v>194</v>
      </c>
      <c r="D261" s="35">
        <f t="shared" si="101"/>
        <v>0</v>
      </c>
      <c r="E261" t="str">
        <f t="shared" si="110"/>
        <v>lightSampleStatusRegisters</v>
      </c>
      <c r="F261" s="10" t="str">
        <f>regList!J39</f>
        <v>AmbientADC</v>
      </c>
      <c r="G261" s="11" t="str">
        <f>regList!I39</f>
        <v>E3</v>
      </c>
      <c r="K261" s="11" t="str">
        <f t="shared" si="111"/>
        <v/>
      </c>
      <c r="M261" t="str">
        <f t="shared" si="109"/>
        <v/>
      </c>
    </row>
    <row r="262" spans="1:13" x14ac:dyDescent="0.25">
      <c r="A262" s="11">
        <f t="shared" si="106"/>
        <v>12</v>
      </c>
      <c r="B262" s="11">
        <f t="shared" si="107"/>
        <v>183</v>
      </c>
      <c r="C262" s="11">
        <f t="shared" si="108"/>
        <v>194</v>
      </c>
      <c r="D262" s="35">
        <f t="shared" ref="D262:D288" si="112">COUNTIF(APIfields,C262)</f>
        <v>0</v>
      </c>
      <c r="E262" t="str">
        <f t="shared" si="110"/>
        <v>lightSampleStatusRegisters</v>
      </c>
      <c r="F262" s="10" t="str">
        <f>regList!J40</f>
        <v>VGA1</v>
      </c>
      <c r="G262" s="11" t="str">
        <f>regList!I40</f>
        <v>E4</v>
      </c>
      <c r="K262" s="11" t="str">
        <f t="shared" si="111"/>
        <v/>
      </c>
      <c r="M262" t="str">
        <f t="shared" si="109"/>
        <v/>
      </c>
    </row>
    <row r="263" spans="1:13" x14ac:dyDescent="0.25">
      <c r="A263" s="11">
        <f t="shared" si="106"/>
        <v>12</v>
      </c>
      <c r="B263" s="11">
        <f t="shared" si="107"/>
        <v>184</v>
      </c>
      <c r="C263" s="11">
        <f t="shared" si="108"/>
        <v>194</v>
      </c>
      <c r="D263" s="35">
        <f t="shared" si="112"/>
        <v>0</v>
      </c>
      <c r="E263" t="str">
        <f t="shared" si="110"/>
        <v>lightSampleStatusRegisters</v>
      </c>
      <c r="F263" s="10" t="str">
        <f>regList!J41</f>
        <v>VGA2</v>
      </c>
      <c r="G263" s="11" t="str">
        <f>regList!I41</f>
        <v>E5</v>
      </c>
      <c r="K263" s="11" t="str">
        <f t="shared" si="111"/>
        <v/>
      </c>
      <c r="M263" t="str">
        <f t="shared" si="109"/>
        <v/>
      </c>
    </row>
    <row r="264" spans="1:13" x14ac:dyDescent="0.25">
      <c r="A264" s="11">
        <f t="shared" si="106"/>
        <v>12</v>
      </c>
      <c r="B264" s="11">
        <f t="shared" si="107"/>
        <v>185</v>
      </c>
      <c r="C264" s="11">
        <f t="shared" si="108"/>
        <v>194</v>
      </c>
      <c r="D264" s="35">
        <f t="shared" si="112"/>
        <v>0</v>
      </c>
      <c r="E264" t="str">
        <f t="shared" si="110"/>
        <v>lightSampleStatusRegisters</v>
      </c>
      <c r="F264" s="10" t="str">
        <f>regList!J42</f>
        <v>GainMSB</v>
      </c>
      <c r="G264" s="11" t="str">
        <f>regList!I42</f>
        <v>E6</v>
      </c>
      <c r="K264" s="11" t="str">
        <f t="shared" si="111"/>
        <v/>
      </c>
      <c r="M264" t="str">
        <f t="shared" si="109"/>
        <v/>
      </c>
    </row>
    <row r="265" spans="1:13" x14ac:dyDescent="0.25">
      <c r="A265" s="11">
        <f t="shared" si="106"/>
        <v>12</v>
      </c>
      <c r="B265" s="11">
        <f t="shared" si="107"/>
        <v>186</v>
      </c>
      <c r="C265" s="11">
        <f t="shared" si="108"/>
        <v>194</v>
      </c>
      <c r="D265" s="35">
        <f t="shared" si="112"/>
        <v>0</v>
      </c>
      <c r="E265" t="str">
        <f t="shared" si="110"/>
        <v>lightSampleStatusRegisters</v>
      </c>
      <c r="F265" s="10" t="str">
        <f>regList!J43</f>
        <v>GainLSB</v>
      </c>
      <c r="G265" s="11" t="str">
        <f>regList!I43</f>
        <v>E7</v>
      </c>
      <c r="K265" s="11" t="str">
        <f t="shared" si="111"/>
        <v/>
      </c>
      <c r="M265" t="str">
        <f t="shared" si="109"/>
        <v/>
      </c>
    </row>
    <row r="266" spans="1:13" x14ac:dyDescent="0.25">
      <c r="A266" s="11">
        <f t="shared" si="106"/>
        <v>12</v>
      </c>
      <c r="B266" s="11">
        <f t="shared" si="107"/>
        <v>187</v>
      </c>
      <c r="C266" s="11">
        <f t="shared" si="108"/>
        <v>194</v>
      </c>
      <c r="D266" s="35">
        <f t="shared" si="112"/>
        <v>0</v>
      </c>
      <c r="E266" t="str">
        <f t="shared" si="110"/>
        <v>lightSampleStatusRegisters</v>
      </c>
      <c r="F266" s="10" t="str">
        <f>regList!J44</f>
        <v>IADCMSB</v>
      </c>
      <c r="G266" s="11" t="str">
        <f>regList!I44</f>
        <v>E8</v>
      </c>
      <c r="K266" s="11" t="str">
        <f t="shared" si="111"/>
        <v/>
      </c>
      <c r="M266" t="str">
        <f t="shared" si="109"/>
        <v/>
      </c>
    </row>
    <row r="267" spans="1:13" x14ac:dyDescent="0.25">
      <c r="A267" s="11">
        <f t="shared" si="106"/>
        <v>12</v>
      </c>
      <c r="B267" s="11">
        <f t="shared" si="107"/>
        <v>188</v>
      </c>
      <c r="C267" s="11">
        <f t="shared" si="108"/>
        <v>194</v>
      </c>
      <c r="D267" s="35">
        <f t="shared" si="112"/>
        <v>0</v>
      </c>
      <c r="E267" t="str">
        <f t="shared" si="110"/>
        <v>lightSampleStatusRegisters</v>
      </c>
      <c r="F267" s="10" t="str">
        <f>regList!J45</f>
        <v>IADCLSB</v>
      </c>
      <c r="G267" s="11" t="str">
        <f>regList!I45</f>
        <v>E9</v>
      </c>
      <c r="K267" s="11" t="str">
        <f t="shared" si="111"/>
        <v/>
      </c>
      <c r="M267" t="str">
        <f t="shared" si="109"/>
        <v/>
      </c>
    </row>
    <row r="268" spans="1:13" x14ac:dyDescent="0.25">
      <c r="A268" s="11">
        <f t="shared" si="106"/>
        <v>12</v>
      </c>
      <c r="B268" s="11">
        <f t="shared" si="107"/>
        <v>189</v>
      </c>
      <c r="C268" s="11">
        <f t="shared" si="108"/>
        <v>194</v>
      </c>
      <c r="D268" s="35">
        <f t="shared" si="112"/>
        <v>0</v>
      </c>
      <c r="E268" t="str">
        <f t="shared" si="110"/>
        <v>lightSampleStatusRegisters</v>
      </c>
      <c r="F268" s="10" t="str">
        <f>regList!J46</f>
        <v>QADCMSB</v>
      </c>
      <c r="G268" s="11" t="str">
        <f>regList!I46</f>
        <v>EA</v>
      </c>
      <c r="K268" s="11" t="str">
        <f t="shared" si="111"/>
        <v/>
      </c>
      <c r="M268" t="str">
        <f t="shared" si="109"/>
        <v/>
      </c>
    </row>
    <row r="269" spans="1:13" x14ac:dyDescent="0.25">
      <c r="A269" s="11">
        <f t="shared" si="106"/>
        <v>12</v>
      </c>
      <c r="B269" s="11">
        <f t="shared" si="107"/>
        <v>190</v>
      </c>
      <c r="C269" s="11">
        <f t="shared" si="108"/>
        <v>194</v>
      </c>
      <c r="D269" s="35">
        <f t="shared" si="112"/>
        <v>0</v>
      </c>
      <c r="E269" t="str">
        <f t="shared" si="110"/>
        <v>lightSampleStatusRegisters</v>
      </c>
      <c r="F269" s="10" t="str">
        <f>regList!J47</f>
        <v>QADCLSB</v>
      </c>
      <c r="G269" s="11" t="str">
        <f>regList!I47</f>
        <v>EB</v>
      </c>
      <c r="K269" s="11" t="str">
        <f t="shared" si="111"/>
        <v/>
      </c>
      <c r="M269" t="str">
        <f t="shared" si="109"/>
        <v/>
      </c>
    </row>
    <row r="270" spans="1:13" x14ac:dyDescent="0.25">
      <c r="A270" s="11">
        <f t="shared" si="106"/>
        <v>13</v>
      </c>
      <c r="B270" s="11">
        <f t="shared" si="107"/>
        <v>191</v>
      </c>
      <c r="C270" s="11">
        <f t="shared" si="108"/>
        <v>194</v>
      </c>
      <c r="D270" s="35">
        <f t="shared" si="112"/>
        <v>0</v>
      </c>
      <c r="E270" t="s">
        <v>222</v>
      </c>
      <c r="F270" s="10" t="str">
        <f>regList!J48</f>
        <v>DCCalibrationIMSB</v>
      </c>
      <c r="G270" s="11" t="str">
        <f>regList!I48</f>
        <v>EC</v>
      </c>
      <c r="K270" s="11" t="str">
        <f t="shared" si="111"/>
        <v/>
      </c>
      <c r="M270" t="str">
        <f t="shared" si="109"/>
        <v/>
      </c>
    </row>
    <row r="271" spans="1:13" x14ac:dyDescent="0.25">
      <c r="A271" s="11">
        <f t="shared" si="106"/>
        <v>13</v>
      </c>
      <c r="B271" s="11">
        <f t="shared" si="107"/>
        <v>192</v>
      </c>
      <c r="C271" s="11">
        <f t="shared" si="108"/>
        <v>194</v>
      </c>
      <c r="D271" s="35">
        <f t="shared" si="112"/>
        <v>0</v>
      </c>
      <c r="E271" t="str">
        <f t="shared" si="110"/>
        <v>calibrationStatusRegisters</v>
      </c>
      <c r="F271" s="10" t="str">
        <f>regList!J49</f>
        <v>DCCalibrationILSB</v>
      </c>
      <c r="G271" s="11" t="str">
        <f>regList!I49</f>
        <v>ED</v>
      </c>
      <c r="K271" s="11" t="str">
        <f t="shared" si="111"/>
        <v/>
      </c>
      <c r="M271" t="str">
        <f t="shared" si="109"/>
        <v/>
      </c>
    </row>
    <row r="272" spans="1:13" x14ac:dyDescent="0.25">
      <c r="A272" s="11">
        <f t="shared" si="106"/>
        <v>13</v>
      </c>
      <c r="B272" s="11">
        <f t="shared" si="107"/>
        <v>193</v>
      </c>
      <c r="C272" s="11">
        <f t="shared" si="108"/>
        <v>194</v>
      </c>
      <c r="D272" s="35">
        <f t="shared" si="112"/>
        <v>0</v>
      </c>
      <c r="E272" t="str">
        <f t="shared" si="110"/>
        <v>calibrationStatusRegisters</v>
      </c>
      <c r="F272" s="10" t="str">
        <f>regList!J50</f>
        <v>DCCalibrationQMSB</v>
      </c>
      <c r="G272" s="11" t="str">
        <f>regList!I50</f>
        <v>EE</v>
      </c>
      <c r="K272" s="11" t="str">
        <f t="shared" si="111"/>
        <v/>
      </c>
      <c r="M272" t="str">
        <f t="shared" si="109"/>
        <v/>
      </c>
    </row>
    <row r="273" spans="1:13" x14ac:dyDescent="0.25">
      <c r="A273" s="11">
        <f t="shared" si="106"/>
        <v>13</v>
      </c>
      <c r="B273" s="11">
        <f t="shared" si="107"/>
        <v>194</v>
      </c>
      <c r="C273" s="11">
        <f t="shared" si="108"/>
        <v>194</v>
      </c>
      <c r="D273" s="35">
        <f t="shared" si="112"/>
        <v>0</v>
      </c>
      <c r="E273" t="str">
        <f t="shared" si="110"/>
        <v>calibrationStatusRegisters</v>
      </c>
      <c r="F273" s="10" t="str">
        <f>regList!J51</f>
        <v>DCCalibrationQLSB</v>
      </c>
      <c r="G273" s="11" t="str">
        <f>regList!I51</f>
        <v>EF</v>
      </c>
      <c r="K273" s="11" t="str">
        <f t="shared" si="111"/>
        <v/>
      </c>
      <c r="M273" t="str">
        <f t="shared" si="109"/>
        <v/>
      </c>
    </row>
    <row r="274" spans="1:13" x14ac:dyDescent="0.25">
      <c r="A274" s="11">
        <f t="shared" si="106"/>
        <v>13</v>
      </c>
      <c r="B274" s="11">
        <f t="shared" si="107"/>
        <v>195</v>
      </c>
      <c r="C274" s="11">
        <f t="shared" si="108"/>
        <v>194</v>
      </c>
      <c r="D274" s="35">
        <f t="shared" si="112"/>
        <v>0</v>
      </c>
      <c r="E274" t="str">
        <f t="shared" si="110"/>
        <v>calibrationStatusRegisters</v>
      </c>
      <c r="F274" s="10" t="str">
        <f>regList!J52</f>
        <v>ZPCalibrationIMSB</v>
      </c>
      <c r="G274" s="11" t="str">
        <f>regList!I52</f>
        <v>F0</v>
      </c>
      <c r="K274" s="11" t="str">
        <f t="shared" si="111"/>
        <v/>
      </c>
      <c r="M274" t="str">
        <f t="shared" si="109"/>
        <v/>
      </c>
    </row>
    <row r="275" spans="1:13" x14ac:dyDescent="0.25">
      <c r="A275" s="11">
        <f t="shared" si="106"/>
        <v>13</v>
      </c>
      <c r="B275" s="11">
        <f t="shared" si="107"/>
        <v>196</v>
      </c>
      <c r="C275" s="11">
        <f t="shared" si="108"/>
        <v>194</v>
      </c>
      <c r="D275" s="35">
        <f t="shared" si="112"/>
        <v>0</v>
      </c>
      <c r="E275" t="str">
        <f t="shared" si="110"/>
        <v>calibrationStatusRegisters</v>
      </c>
      <c r="F275" s="10" t="str">
        <f>regList!J53</f>
        <v>ZPCalibrationILSB</v>
      </c>
      <c r="G275" s="11" t="str">
        <f>regList!I53</f>
        <v>F1</v>
      </c>
      <c r="K275" s="11" t="str">
        <f t="shared" si="111"/>
        <v/>
      </c>
      <c r="M275" t="str">
        <f t="shared" si="109"/>
        <v/>
      </c>
    </row>
    <row r="276" spans="1:13" x14ac:dyDescent="0.25">
      <c r="A276" s="11">
        <f t="shared" si="106"/>
        <v>13</v>
      </c>
      <c r="B276" s="11">
        <f t="shared" si="107"/>
        <v>197</v>
      </c>
      <c r="C276" s="11">
        <f t="shared" si="108"/>
        <v>194</v>
      </c>
      <c r="D276" s="35">
        <f t="shared" si="112"/>
        <v>0</v>
      </c>
      <c r="E276" t="str">
        <f t="shared" si="110"/>
        <v>calibrationStatusRegisters</v>
      </c>
      <c r="F276" s="10" t="str">
        <f>regList!J54</f>
        <v>ZPCalibrationQMSB</v>
      </c>
      <c r="G276" s="11" t="str">
        <f>regList!I54</f>
        <v>F2</v>
      </c>
      <c r="K276" s="11" t="str">
        <f t="shared" si="111"/>
        <v/>
      </c>
      <c r="M276" t="str">
        <f t="shared" si="109"/>
        <v/>
      </c>
    </row>
    <row r="277" spans="1:13" x14ac:dyDescent="0.25">
      <c r="A277" s="11">
        <f t="shared" si="106"/>
        <v>13</v>
      </c>
      <c r="B277" s="11">
        <f t="shared" si="107"/>
        <v>198</v>
      </c>
      <c r="C277" s="11">
        <f t="shared" si="108"/>
        <v>194</v>
      </c>
      <c r="D277" s="35">
        <f t="shared" si="112"/>
        <v>0</v>
      </c>
      <c r="E277" t="str">
        <f t="shared" si="110"/>
        <v>calibrationStatusRegisters</v>
      </c>
      <c r="F277" s="10" t="str">
        <f>regList!J55</f>
        <v>ZPCalibrationQLSB</v>
      </c>
      <c r="G277" s="11" t="str">
        <f>regList!I55</f>
        <v>F3</v>
      </c>
      <c r="K277" s="11" t="str">
        <f t="shared" si="111"/>
        <v/>
      </c>
      <c r="M277" t="str">
        <f t="shared" si="109"/>
        <v/>
      </c>
    </row>
    <row r="278" spans="1:13" x14ac:dyDescent="0.25">
      <c r="A278" s="11">
        <f t="shared" si="106"/>
        <v>13</v>
      </c>
      <c r="B278" s="11">
        <f t="shared" si="107"/>
        <v>199</v>
      </c>
      <c r="C278" s="11">
        <f t="shared" si="108"/>
        <v>194</v>
      </c>
      <c r="D278" s="35">
        <f t="shared" si="112"/>
        <v>0</v>
      </c>
      <c r="E278" t="str">
        <f t="shared" si="110"/>
        <v>calibrationStatusRegisters</v>
      </c>
      <c r="F278" s="10" t="str">
        <f>regList!J56</f>
        <v>ZeroPhaseMSB</v>
      </c>
      <c r="G278" s="11" t="str">
        <f>regList!I56</f>
        <v>F4</v>
      </c>
      <c r="K278" s="11" t="str">
        <f t="shared" si="111"/>
        <v/>
      </c>
      <c r="M278" t="str">
        <f t="shared" si="109"/>
        <v/>
      </c>
    </row>
    <row r="279" spans="1:13" x14ac:dyDescent="0.25">
      <c r="A279" s="11">
        <f t="shared" si="106"/>
        <v>13</v>
      </c>
      <c r="B279" s="11">
        <f t="shared" si="107"/>
        <v>200</v>
      </c>
      <c r="C279" s="11">
        <f t="shared" si="108"/>
        <v>194</v>
      </c>
      <c r="D279" s="35">
        <f t="shared" si="112"/>
        <v>0</v>
      </c>
      <c r="E279" t="str">
        <f t="shared" si="110"/>
        <v>calibrationStatusRegisters</v>
      </c>
      <c r="F279" s="10" t="str">
        <f>regList!J57</f>
        <v>ZeroPhaseLSB</v>
      </c>
      <c r="G279" s="11" t="str">
        <f>regList!I57</f>
        <v>F5</v>
      </c>
      <c r="K279" s="11" t="str">
        <f t="shared" si="111"/>
        <v/>
      </c>
      <c r="M279" t="str">
        <f t="shared" si="109"/>
        <v/>
      </c>
    </row>
    <row r="280" spans="1:13" x14ac:dyDescent="0.25">
      <c r="A280" s="11">
        <f t="shared" si="106"/>
        <v>13</v>
      </c>
      <c r="B280" s="11">
        <f t="shared" si="107"/>
        <v>201</v>
      </c>
      <c r="C280" s="11">
        <f t="shared" si="108"/>
        <v>194</v>
      </c>
      <c r="D280" s="35">
        <f t="shared" si="112"/>
        <v>0</v>
      </c>
      <c r="E280" t="str">
        <f t="shared" si="110"/>
        <v>calibrationStatusRegisters</v>
      </c>
      <c r="F280" s="10" t="str">
        <f>regList!J58</f>
        <v>ZPMagnitudeExp</v>
      </c>
      <c r="G280" s="11" t="str">
        <f>regList!I58</f>
        <v>F6</v>
      </c>
      <c r="K280" s="11" t="str">
        <f t="shared" si="111"/>
        <v/>
      </c>
      <c r="M280" t="str">
        <f t="shared" si="109"/>
        <v/>
      </c>
    </row>
    <row r="281" spans="1:13" x14ac:dyDescent="0.25">
      <c r="A281" s="11">
        <f t="shared" si="106"/>
        <v>13</v>
      </c>
      <c r="B281" s="11">
        <f t="shared" si="107"/>
        <v>202</v>
      </c>
      <c r="C281" s="11">
        <f t="shared" si="108"/>
        <v>194</v>
      </c>
      <c r="D281" s="35">
        <f t="shared" si="112"/>
        <v>0</v>
      </c>
      <c r="E281" t="str">
        <f t="shared" si="110"/>
        <v>calibrationStatusRegisters</v>
      </c>
      <c r="F281" s="10" t="str">
        <f>regList!J59</f>
        <v>ZPMagnitudeMSB</v>
      </c>
      <c r="G281" s="11" t="str">
        <f>regList!I59</f>
        <v>F7</v>
      </c>
      <c r="K281" s="11" t="str">
        <f t="shared" si="111"/>
        <v/>
      </c>
      <c r="M281" t="str">
        <f t="shared" si="109"/>
        <v/>
      </c>
    </row>
    <row r="282" spans="1:13" x14ac:dyDescent="0.25">
      <c r="A282" s="11">
        <f t="shared" si="106"/>
        <v>13</v>
      </c>
      <c r="B282" s="11">
        <f t="shared" si="107"/>
        <v>203</v>
      </c>
      <c r="C282" s="11">
        <f t="shared" si="108"/>
        <v>194</v>
      </c>
      <c r="D282" s="35">
        <f t="shared" si="112"/>
        <v>0</v>
      </c>
      <c r="E282" t="str">
        <f t="shared" si="110"/>
        <v>calibrationStatusRegisters</v>
      </c>
      <c r="F282" s="10" t="str">
        <f>regList!J60</f>
        <v>ZPMagnitudeLSB</v>
      </c>
      <c r="G282" s="11" t="str">
        <f>regList!I60</f>
        <v>F8</v>
      </c>
      <c r="K282" s="11" t="str">
        <f t="shared" si="111"/>
        <v/>
      </c>
      <c r="M282" t="str">
        <f t="shared" si="109"/>
        <v/>
      </c>
    </row>
    <row r="283" spans="1:13" x14ac:dyDescent="0.25">
      <c r="A283" s="11">
        <f t="shared" si="106"/>
        <v>13</v>
      </c>
      <c r="B283" s="11">
        <f t="shared" si="107"/>
        <v>204</v>
      </c>
      <c r="C283" s="11">
        <f t="shared" si="108"/>
        <v>194</v>
      </c>
      <c r="D283" s="35">
        <f t="shared" si="112"/>
        <v>0</v>
      </c>
      <c r="E283" t="str">
        <f t="shared" si="110"/>
        <v>calibrationStatusRegisters</v>
      </c>
      <c r="F283" s="10" t="str">
        <f>regList!J61</f>
        <v>VGA1ZP</v>
      </c>
      <c r="G283" s="11" t="str">
        <f>regList!I61</f>
        <v>F9</v>
      </c>
      <c r="K283" s="11" t="str">
        <f t="shared" si="111"/>
        <v/>
      </c>
      <c r="M283" t="str">
        <f t="shared" si="109"/>
        <v/>
      </c>
    </row>
    <row r="284" spans="1:13" x14ac:dyDescent="0.25">
      <c r="A284" s="11">
        <f t="shared" si="106"/>
        <v>13</v>
      </c>
      <c r="B284" s="11">
        <f t="shared" si="107"/>
        <v>205</v>
      </c>
      <c r="C284" s="11">
        <f t="shared" si="108"/>
        <v>194</v>
      </c>
      <c r="D284" s="35">
        <f t="shared" si="112"/>
        <v>0</v>
      </c>
      <c r="E284" t="str">
        <f t="shared" si="110"/>
        <v>calibrationStatusRegisters</v>
      </c>
      <c r="F284" s="10" t="str">
        <f>regList!J62</f>
        <v>VGA2ZP</v>
      </c>
      <c r="G284" s="11" t="str">
        <f>regList!I62</f>
        <v>FA</v>
      </c>
      <c r="K284" s="11" t="str">
        <f t="shared" si="111"/>
        <v/>
      </c>
      <c r="M284" t="str">
        <f t="shared" si="109"/>
        <v/>
      </c>
    </row>
    <row r="285" spans="1:13" x14ac:dyDescent="0.25">
      <c r="A285" s="11">
        <f t="shared" ref="A285:A288" si="113">IF(E285=E284,A284,A284+1)</f>
        <v>14</v>
      </c>
      <c r="B285" s="11">
        <f t="shared" ref="B285:B288" si="114">IF(F284=F285,B284,B284+1)</f>
        <v>206</v>
      </c>
      <c r="C285" s="11">
        <f t="shared" ref="C285:C288" si="115">IF(H285&lt;&gt;"",C284+1,C284)</f>
        <v>194</v>
      </c>
      <c r="D285" s="35">
        <f t="shared" si="112"/>
        <v>0</v>
      </c>
      <c r="E285" t="s">
        <v>223</v>
      </c>
      <c r="F285" s="10" t="str">
        <f>regList!J63</f>
        <v>TempSensorRawMSB</v>
      </c>
      <c r="G285" s="11" t="str">
        <f>regList!I63</f>
        <v>FB</v>
      </c>
      <c r="K285" s="11" t="str">
        <f t="shared" si="111"/>
        <v/>
      </c>
      <c r="M285" t="str">
        <f t="shared" ref="M285:M288" si="116">IF(N285&lt;&gt;"",MID(E285,1,LEN(E285)-9)&amp;N285,"")</f>
        <v/>
      </c>
    </row>
    <row r="286" spans="1:13" x14ac:dyDescent="0.25">
      <c r="A286" s="11">
        <f t="shared" si="113"/>
        <v>14</v>
      </c>
      <c r="B286" s="11">
        <f t="shared" si="114"/>
        <v>207</v>
      </c>
      <c r="C286" s="11">
        <f t="shared" si="115"/>
        <v>194</v>
      </c>
      <c r="D286" s="35">
        <f t="shared" si="112"/>
        <v>0</v>
      </c>
      <c r="E286" t="str">
        <f t="shared" ref="E286:E288" si="117">E285</f>
        <v>debuggingRegisters</v>
      </c>
      <c r="F286" s="10" t="str">
        <f>regList!J64</f>
        <v>TempSensorRawLSB</v>
      </c>
      <c r="G286" s="11" t="str">
        <f>regList!I64</f>
        <v>FC</v>
      </c>
      <c r="K286" s="11" t="str">
        <f t="shared" si="111"/>
        <v/>
      </c>
      <c r="M286" t="str">
        <f t="shared" si="116"/>
        <v/>
      </c>
    </row>
    <row r="287" spans="1:13" x14ac:dyDescent="0.25">
      <c r="A287" s="11">
        <f t="shared" si="113"/>
        <v>14</v>
      </c>
      <c r="B287" s="11">
        <f t="shared" si="114"/>
        <v>208</v>
      </c>
      <c r="C287" s="11">
        <f t="shared" si="115"/>
        <v>194</v>
      </c>
      <c r="D287" s="35">
        <f t="shared" si="112"/>
        <v>0</v>
      </c>
      <c r="E287" t="str">
        <f t="shared" si="117"/>
        <v>debuggingRegisters</v>
      </c>
      <c r="F287" s="10" t="str">
        <f>regList!J65</f>
        <v>AGCState</v>
      </c>
      <c r="G287" s="11" t="str">
        <f>regList!I65</f>
        <v>FD</v>
      </c>
      <c r="K287" s="11" t="str">
        <f t="shared" si="111"/>
        <v/>
      </c>
      <c r="M287" t="str">
        <f t="shared" si="116"/>
        <v/>
      </c>
    </row>
    <row r="288" spans="1:13" ht="15.75" thickBot="1" x14ac:dyDescent="0.3">
      <c r="A288" s="11">
        <f t="shared" si="113"/>
        <v>14</v>
      </c>
      <c r="B288" s="11">
        <f t="shared" si="114"/>
        <v>209</v>
      </c>
      <c r="C288" s="11">
        <f t="shared" si="115"/>
        <v>194</v>
      </c>
      <c r="D288" s="35">
        <f t="shared" si="112"/>
        <v>0</v>
      </c>
      <c r="E288" t="str">
        <f t="shared" si="117"/>
        <v>debuggingRegisters</v>
      </c>
      <c r="F288" s="10" t="str">
        <f>regList!J66</f>
        <v>AGCStateZP</v>
      </c>
      <c r="G288" s="11" t="str">
        <f>regList!I66</f>
        <v>FE</v>
      </c>
      <c r="K288" s="11" t="str">
        <f t="shared" si="111"/>
        <v/>
      </c>
      <c r="M288" t="str">
        <f t="shared" si="116"/>
        <v/>
      </c>
    </row>
    <row r="289" spans="1:8" ht="15.75" thickBot="1" x14ac:dyDescent="0.3">
      <c r="A289" s="50">
        <f t="shared" ref="A289" si="118">IF(E289=E288,A288,A288+1)</f>
        <v>15</v>
      </c>
      <c r="B289" s="51">
        <f t="shared" ref="B289" si="119">IF(F288=F289,B288,B288+1)</f>
        <v>210</v>
      </c>
      <c r="C289" s="51">
        <f t="shared" ref="C289" si="120">IF(H289&lt;&gt;"",C288+1,C288)</f>
        <v>195</v>
      </c>
      <c r="D289" s="51"/>
      <c r="E289" s="52" t="s">
        <v>441</v>
      </c>
      <c r="F289" s="52" t="str">
        <f>E289</f>
        <v>LAST ENTRY</v>
      </c>
      <c r="G289" s="51"/>
      <c r="H289" s="53" t="str">
        <f>F289</f>
        <v>LAST ENTRY</v>
      </c>
    </row>
  </sheetData>
  <mergeCells count="5">
    <mergeCell ref="O3:P3"/>
    <mergeCell ref="O4:P4"/>
    <mergeCell ref="O2:P2"/>
    <mergeCell ref="O5:P5"/>
    <mergeCell ref="A4:D4"/>
  </mergeCells>
  <conditionalFormatting sqref="A6:M288">
    <cfRule type="expression" dxfId="1" priority="2">
      <formula>(_xlfn.BITAND($A6,1)=1)</formula>
    </cfRule>
  </conditionalFormatting>
  <conditionalFormatting sqref="A289:D289">
    <cfRule type="expression" dxfId="0" priority="1">
      <formula>(_xlfn.BITAND($A289,1)=1)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25" r:id="rId4" name="cbAutoGen">
          <controlPr defaultSize="0" autoLine="0" r:id="rId5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3</xdr:col>
                <xdr:colOff>295275</xdr:colOff>
                <xdr:row>2</xdr:row>
                <xdr:rowOff>180975</xdr:rowOff>
              </to>
            </anchor>
          </controlPr>
        </control>
      </mc:Choice>
      <mc:Fallback>
        <control shapeId="1025" r:id="rId4" name="cbAutoG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M95"/>
  <sheetViews>
    <sheetView topLeftCell="A14" zoomScale="70" zoomScaleNormal="70" workbookViewId="0">
      <selection activeCell="D25" sqref="D25:K25"/>
    </sheetView>
  </sheetViews>
  <sheetFormatPr defaultRowHeight="15" x14ac:dyDescent="0.25"/>
  <cols>
    <col min="2" max="2" width="37.28515625" bestFit="1" customWidth="1"/>
    <col min="3" max="3" width="7.140625" style="35" bestFit="1" customWidth="1"/>
    <col min="4" max="7" width="17.140625" style="13" customWidth="1"/>
    <col min="8" max="8" width="19.140625" style="13" customWidth="1"/>
    <col min="9" max="11" width="17.140625" style="13" customWidth="1"/>
  </cols>
  <sheetData>
    <row r="1" spans="2:11" ht="15.75" thickBot="1" x14ac:dyDescent="0.3"/>
    <row r="2" spans="2:11" ht="15.75" thickBot="1" x14ac:dyDescent="0.3">
      <c r="B2" s="26" t="str">
        <f>fields!E6</f>
        <v>statusRegisters</v>
      </c>
      <c r="C2" s="25" t="s">
        <v>210</v>
      </c>
      <c r="D2" s="27">
        <v>7</v>
      </c>
      <c r="E2" s="27">
        <f>D2-1</f>
        <v>6</v>
      </c>
      <c r="F2" s="27">
        <f t="shared" ref="F2:K2" si="0">E2-1</f>
        <v>5</v>
      </c>
      <c r="G2" s="27">
        <f t="shared" si="0"/>
        <v>4</v>
      </c>
      <c r="H2" s="27">
        <f t="shared" si="0"/>
        <v>3</v>
      </c>
      <c r="I2" s="27">
        <f t="shared" si="0"/>
        <v>2</v>
      </c>
      <c r="J2" s="27">
        <f t="shared" si="0"/>
        <v>1</v>
      </c>
      <c r="K2" s="28">
        <f t="shared" si="0"/>
        <v>0</v>
      </c>
    </row>
    <row r="3" spans="2:11" x14ac:dyDescent="0.25">
      <c r="B3" s="29" t="str">
        <f>fields!F6</f>
        <v>DeviceID</v>
      </c>
      <c r="C3" s="38" t="str">
        <f>fields!G6</f>
        <v>0</v>
      </c>
      <c r="D3" s="68" t="str">
        <f>fields!H6</f>
        <v>chip_id</v>
      </c>
      <c r="E3" s="68"/>
      <c r="F3" s="68"/>
      <c r="G3" s="68"/>
      <c r="H3" s="68"/>
      <c r="I3" s="68"/>
      <c r="J3" s="68"/>
      <c r="K3" s="69"/>
    </row>
    <row r="4" spans="2:11" x14ac:dyDescent="0.25">
      <c r="B4" s="15" t="str">
        <f>fields!F7</f>
        <v>MasterControl</v>
      </c>
      <c r="C4" s="40" t="str">
        <f>fields!G7</f>
        <v>1</v>
      </c>
      <c r="D4" s="66"/>
      <c r="E4" s="66"/>
      <c r="F4" s="66"/>
      <c r="G4" s="66"/>
      <c r="H4" s="66"/>
      <c r="I4" s="66"/>
      <c r="J4" s="66"/>
      <c r="K4" s="16" t="str">
        <f>fields!H7</f>
        <v>c_en</v>
      </c>
    </row>
    <row r="5" spans="2:11" ht="15.75" thickBot="1" x14ac:dyDescent="0.3">
      <c r="B5" s="17" t="str">
        <f>fields!F8</f>
        <v>StatusRegisters</v>
      </c>
      <c r="C5" s="36" t="str">
        <f>fields!G8</f>
        <v>2</v>
      </c>
      <c r="D5" s="67"/>
      <c r="E5" s="67"/>
      <c r="F5" s="67"/>
      <c r="G5" s="67"/>
      <c r="H5" s="18" t="str">
        <f>fields!H8</f>
        <v>sleeping</v>
      </c>
      <c r="I5" s="18" t="str">
        <f>fields!H9</f>
        <v>vddok</v>
      </c>
      <c r="J5" s="18" t="str">
        <f>fields!H10</f>
        <v>ready</v>
      </c>
      <c r="K5" s="19" t="str">
        <f>fields!H11</f>
        <v>enout</v>
      </c>
    </row>
    <row r="6" spans="2:11" ht="15.75" thickBot="1" x14ac:dyDescent="0.3"/>
    <row r="7" spans="2:11" ht="15.75" thickBot="1" x14ac:dyDescent="0.3">
      <c r="B7" s="20" t="str">
        <f>fields!E12</f>
        <v>samplingControlRegisters</v>
      </c>
      <c r="C7" s="23" t="str">
        <f>C2</f>
        <v>Addr</v>
      </c>
      <c r="D7" s="21">
        <f>D2</f>
        <v>7</v>
      </c>
      <c r="E7" s="21">
        <f t="shared" ref="E7:K7" si="1">E2</f>
        <v>6</v>
      </c>
      <c r="F7" s="21">
        <f t="shared" si="1"/>
        <v>5</v>
      </c>
      <c r="G7" s="21">
        <f t="shared" si="1"/>
        <v>4</v>
      </c>
      <c r="H7" s="21">
        <f t="shared" si="1"/>
        <v>3</v>
      </c>
      <c r="I7" s="21">
        <f t="shared" si="1"/>
        <v>2</v>
      </c>
      <c r="J7" s="21">
        <f t="shared" si="1"/>
        <v>1</v>
      </c>
      <c r="K7" s="22">
        <f t="shared" si="1"/>
        <v>0</v>
      </c>
    </row>
    <row r="8" spans="2:11" x14ac:dyDescent="0.25">
      <c r="B8" s="29" t="str">
        <f>fields!F12</f>
        <v>IntegrationTime</v>
      </c>
      <c r="C8" s="38" t="str">
        <f>fields!G12</f>
        <v>10</v>
      </c>
      <c r="D8" s="68" t="str">
        <f>fields!H12</f>
        <v>sample_num</v>
      </c>
      <c r="E8" s="68"/>
      <c r="F8" s="68"/>
      <c r="G8" s="68"/>
      <c r="H8" s="68" t="str">
        <f>fields!H13</f>
        <v>sample_len</v>
      </c>
      <c r="I8" s="68"/>
      <c r="J8" s="68"/>
      <c r="K8" s="69"/>
    </row>
    <row r="9" spans="2:11" x14ac:dyDescent="0.25">
      <c r="B9" s="15" t="str">
        <f>fields!F14</f>
        <v>SamplePeriod</v>
      </c>
      <c r="C9" s="40" t="str">
        <f>fields!G14</f>
        <v>11</v>
      </c>
      <c r="D9" s="70" t="str">
        <f>fields!H14</f>
        <v>sample_period</v>
      </c>
      <c r="E9" s="70"/>
      <c r="F9" s="70"/>
      <c r="G9" s="70"/>
      <c r="H9" s="70"/>
      <c r="I9" s="70"/>
      <c r="J9" s="70"/>
      <c r="K9" s="71"/>
    </row>
    <row r="10" spans="2:11" x14ac:dyDescent="0.25">
      <c r="B10" s="15" t="str">
        <f>fields!F15</f>
        <v>SamplePeriodRange</v>
      </c>
      <c r="C10" s="40" t="str">
        <f>fields!G15</f>
        <v>12</v>
      </c>
      <c r="D10" s="66"/>
      <c r="E10" s="66"/>
      <c r="F10" s="66"/>
      <c r="G10" s="66"/>
      <c r="H10" s="66"/>
      <c r="I10" s="66"/>
      <c r="J10" s="70" t="str">
        <f>fields!H15</f>
        <v>sample_skip</v>
      </c>
      <c r="K10" s="71"/>
    </row>
    <row r="11" spans="2:11" x14ac:dyDescent="0.25">
      <c r="B11" s="15" t="str">
        <f>fields!F16</f>
        <v>SampleControl</v>
      </c>
      <c r="C11" s="40" t="str">
        <f>fields!G16</f>
        <v>13</v>
      </c>
      <c r="D11" s="14" t="str">
        <f>fields!H16</f>
        <v>collision_det_en</v>
      </c>
      <c r="E11" s="14" t="str">
        <f>fields!H17</f>
        <v>zp_cal_en</v>
      </c>
      <c r="F11" s="14" t="str">
        <f>fields!H18</f>
        <v>dc_cal_en</v>
      </c>
      <c r="G11" s="14" t="str">
        <f>fields!H19</f>
        <v>light_en</v>
      </c>
      <c r="H11" s="70" t="str">
        <f>fields!H20</f>
        <v>cali_freq</v>
      </c>
      <c r="I11" s="70"/>
      <c r="J11" s="14" t="str">
        <f>fields!H21</f>
        <v>cali_mode</v>
      </c>
      <c r="K11" s="16" t="str">
        <f>fields!H22</f>
        <v>adc_mode</v>
      </c>
    </row>
    <row r="12" spans="2:11" x14ac:dyDescent="0.25">
      <c r="B12" s="15" t="str">
        <f>fields!F23</f>
        <v>DCCalIntegrationTime</v>
      </c>
      <c r="C12" s="24" t="str">
        <f>fields!G23</f>
        <v>14</v>
      </c>
      <c r="D12" s="66"/>
      <c r="E12" s="66"/>
      <c r="F12" s="66"/>
      <c r="G12" s="66"/>
      <c r="H12" s="70" t="str">
        <f>fields!H23</f>
        <v>dc_cal_len</v>
      </c>
      <c r="I12" s="70"/>
      <c r="J12" s="70"/>
      <c r="K12" s="71"/>
    </row>
    <row r="13" spans="2:11" x14ac:dyDescent="0.25">
      <c r="B13" s="15" t="str">
        <f>fields!F24</f>
        <v>ZPCalIntegrationTime</v>
      </c>
      <c r="C13" s="40" t="str">
        <f>fields!G24</f>
        <v>15</v>
      </c>
      <c r="D13" s="66"/>
      <c r="E13" s="66"/>
      <c r="F13" s="66"/>
      <c r="G13" s="66"/>
      <c r="H13" s="70" t="str">
        <f>fields!H24</f>
        <v>zp_cal_len</v>
      </c>
      <c r="I13" s="70"/>
      <c r="J13" s="70"/>
      <c r="K13" s="71"/>
    </row>
    <row r="14" spans="2:11" ht="15.75" thickBot="1" x14ac:dyDescent="0.3">
      <c r="B14" s="17" t="str">
        <f>fields!F25</f>
        <v>CollisionIntegrationTime</v>
      </c>
      <c r="C14" s="36" t="str">
        <f>fields!G25</f>
        <v>16</v>
      </c>
      <c r="D14" s="67"/>
      <c r="E14" s="67"/>
      <c r="F14" s="67"/>
      <c r="G14" s="67"/>
      <c r="H14" s="72" t="str">
        <f>fields!H25</f>
        <v>collision_len</v>
      </c>
      <c r="I14" s="72"/>
      <c r="J14" s="72"/>
      <c r="K14" s="73"/>
    </row>
    <row r="15" spans="2:11" ht="15.75" thickBot="1" x14ac:dyDescent="0.3"/>
    <row r="16" spans="2:11" ht="15.75" thickBot="1" x14ac:dyDescent="0.3">
      <c r="B16" s="20" t="str">
        <f>fields!E60</f>
        <v>openLoopCorrectionRegisters</v>
      </c>
      <c r="C16" s="21" t="str">
        <f>C7</f>
        <v>Addr</v>
      </c>
      <c r="D16" s="21">
        <f t="shared" ref="D16:K16" si="2">D7</f>
        <v>7</v>
      </c>
      <c r="E16" s="21">
        <f t="shared" si="2"/>
        <v>6</v>
      </c>
      <c r="F16" s="21">
        <f t="shared" si="2"/>
        <v>5</v>
      </c>
      <c r="G16" s="21">
        <f t="shared" si="2"/>
        <v>4</v>
      </c>
      <c r="H16" s="21">
        <f t="shared" si="2"/>
        <v>3</v>
      </c>
      <c r="I16" s="21">
        <f t="shared" si="2"/>
        <v>2</v>
      </c>
      <c r="J16" s="21">
        <f t="shared" si="2"/>
        <v>1</v>
      </c>
      <c r="K16" s="22">
        <f t="shared" si="2"/>
        <v>0</v>
      </c>
    </row>
    <row r="17" spans="2:11" x14ac:dyDescent="0.25">
      <c r="B17" s="46" t="str">
        <f>fields!F60</f>
        <v>TemperatureReference</v>
      </c>
      <c r="C17" s="47" t="str">
        <f>fields!G60</f>
        <v>31</v>
      </c>
      <c r="D17" s="77" t="str">
        <f>fields!H60</f>
        <v>ol_temp_ref</v>
      </c>
      <c r="E17" s="77"/>
      <c r="F17" s="77"/>
      <c r="G17" s="77"/>
      <c r="H17" s="77"/>
      <c r="I17" s="77"/>
      <c r="J17" s="77"/>
      <c r="K17" s="78"/>
    </row>
    <row r="18" spans="2:11" x14ac:dyDescent="0.25">
      <c r="B18" s="15" t="str">
        <f>fields!F61</f>
        <v>EmitterReference</v>
      </c>
      <c r="C18" s="44" t="str">
        <f>fields!G61</f>
        <v>32</v>
      </c>
      <c r="D18" s="70" t="str">
        <f>fields!H61</f>
        <v>ol_emit_ref</v>
      </c>
      <c r="E18" s="70"/>
      <c r="F18" s="70"/>
      <c r="G18" s="70"/>
      <c r="H18" s="70"/>
      <c r="I18" s="70"/>
      <c r="J18" s="70"/>
      <c r="K18" s="71"/>
    </row>
    <row r="19" spans="2:11" x14ac:dyDescent="0.25">
      <c r="B19" s="15" t="str">
        <f>fields!F62</f>
        <v>PhaseExponent</v>
      </c>
      <c r="C19" s="44" t="str">
        <f>fields!G62</f>
        <v>33</v>
      </c>
      <c r="D19" s="66"/>
      <c r="E19" s="66"/>
      <c r="F19" s="66"/>
      <c r="G19" s="66"/>
      <c r="H19" s="70" t="str">
        <f>fields!H62</f>
        <v>ol_phase_co_exp</v>
      </c>
      <c r="I19" s="70"/>
      <c r="J19" s="70"/>
      <c r="K19" s="71"/>
    </row>
    <row r="20" spans="2:11" x14ac:dyDescent="0.25">
      <c r="B20" s="15" t="str">
        <f>fields!F63</f>
        <v>PhaseOffsetTempCo1</v>
      </c>
      <c r="C20" s="44" t="str">
        <f>fields!G63</f>
        <v>34</v>
      </c>
      <c r="D20" s="74" t="str">
        <f>fields!H63</f>
        <v>ol_phase_temp_co1</v>
      </c>
      <c r="E20" s="75"/>
      <c r="F20" s="75"/>
      <c r="G20" s="75"/>
      <c r="H20" s="75"/>
      <c r="I20" s="75"/>
      <c r="J20" s="75"/>
      <c r="K20" s="76"/>
    </row>
    <row r="21" spans="2:11" x14ac:dyDescent="0.25">
      <c r="B21" s="15" t="str">
        <f>fields!F64</f>
        <v>PhaseOffsetEmitterCo1</v>
      </c>
      <c r="C21" s="44" t="str">
        <f>fields!G64</f>
        <v>35</v>
      </c>
      <c r="D21" s="74" t="str">
        <f>fields!H64</f>
        <v>ol_phase_emit_co1</v>
      </c>
      <c r="E21" s="75"/>
      <c r="F21" s="75"/>
      <c r="G21" s="75"/>
      <c r="H21" s="75"/>
      <c r="I21" s="75"/>
      <c r="J21" s="75"/>
      <c r="K21" s="76"/>
    </row>
    <row r="22" spans="2:11" x14ac:dyDescent="0.25">
      <c r="B22" s="15" t="str">
        <f>fields!F65</f>
        <v>PhaseOffsetAmbientCo1</v>
      </c>
      <c r="C22" s="44" t="str">
        <f>fields!G65</f>
        <v>36</v>
      </c>
      <c r="D22" s="74" t="str">
        <f>fields!H65</f>
        <v>ol_phase_amb_co1</v>
      </c>
      <c r="E22" s="75"/>
      <c r="F22" s="75"/>
      <c r="G22" s="75"/>
      <c r="H22" s="75"/>
      <c r="I22" s="75"/>
      <c r="J22" s="75"/>
      <c r="K22" s="76"/>
    </row>
    <row r="23" spans="2:11" x14ac:dyDescent="0.25">
      <c r="B23" s="15" t="str">
        <f>fields!F66</f>
        <v>PhaseOffsetVGA1Co1</v>
      </c>
      <c r="C23" s="44" t="str">
        <f>fields!G66</f>
        <v>37</v>
      </c>
      <c r="D23" s="74" t="str">
        <f>fields!H66</f>
        <v>ol_phase_vga1_co1</v>
      </c>
      <c r="E23" s="75"/>
      <c r="F23" s="75"/>
      <c r="G23" s="75"/>
      <c r="H23" s="75"/>
      <c r="I23" s="75"/>
      <c r="J23" s="75"/>
      <c r="K23" s="76"/>
    </row>
    <row r="24" spans="2:11" x14ac:dyDescent="0.25">
      <c r="B24" s="15" t="str">
        <f>fields!F67</f>
        <v>PhaseOffsetVGA2Co1</v>
      </c>
      <c r="C24" s="44" t="str">
        <f>fields!G67</f>
        <v>38</v>
      </c>
      <c r="D24" s="74" t="str">
        <f>fields!H67</f>
        <v>ol_phase_vga2_co1</v>
      </c>
      <c r="E24" s="75"/>
      <c r="F24" s="75"/>
      <c r="G24" s="75"/>
      <c r="H24" s="75"/>
      <c r="I24" s="75"/>
      <c r="J24" s="75"/>
      <c r="K24" s="76"/>
    </row>
    <row r="25" spans="2:11" x14ac:dyDescent="0.25">
      <c r="B25" s="15" t="str">
        <f>fields!F68</f>
        <v>PhaseOffsetTempCo2</v>
      </c>
      <c r="C25" s="44" t="str">
        <f>fields!G68</f>
        <v>39</v>
      </c>
      <c r="D25" s="74" t="str">
        <f>fields!H68</f>
        <v>ol_phase_temp_co2</v>
      </c>
      <c r="E25" s="75"/>
      <c r="F25" s="75"/>
      <c r="G25" s="75"/>
      <c r="H25" s="75"/>
      <c r="I25" s="75"/>
      <c r="J25" s="75"/>
      <c r="K25" s="76"/>
    </row>
    <row r="26" spans="2:11" x14ac:dyDescent="0.25">
      <c r="B26" s="15" t="str">
        <f>fields!F69</f>
        <v>PhaseOffsetEmitterCo2</v>
      </c>
      <c r="C26" s="44" t="str">
        <f>fields!G69</f>
        <v>3A</v>
      </c>
      <c r="D26" s="74" t="str">
        <f>fields!H69</f>
        <v>ol_phase_emit_co2</v>
      </c>
      <c r="E26" s="75"/>
      <c r="F26" s="75"/>
      <c r="G26" s="75"/>
      <c r="H26" s="75"/>
      <c r="I26" s="75"/>
      <c r="J26" s="75"/>
      <c r="K26" s="76"/>
    </row>
    <row r="27" spans="2:11" x14ac:dyDescent="0.25">
      <c r="B27" s="15" t="str">
        <f>fields!F70</f>
        <v>PhaseOffsetAmbientCo2</v>
      </c>
      <c r="C27" s="44" t="str">
        <f>fields!G70</f>
        <v>3B</v>
      </c>
      <c r="D27" s="74" t="str">
        <f>fields!H70</f>
        <v>ol_phase_amb_co2</v>
      </c>
      <c r="E27" s="75"/>
      <c r="F27" s="75"/>
      <c r="G27" s="75"/>
      <c r="H27" s="75"/>
      <c r="I27" s="75"/>
      <c r="J27" s="75"/>
      <c r="K27" s="76"/>
    </row>
    <row r="28" spans="2:11" x14ac:dyDescent="0.25">
      <c r="B28" s="15" t="str">
        <f>fields!F71</f>
        <v>PhaseOffsetVGA1Co2</v>
      </c>
      <c r="C28" s="44" t="str">
        <f>fields!G71</f>
        <v>3C</v>
      </c>
      <c r="D28" s="74" t="str">
        <f>fields!H71</f>
        <v>ol_phase_vga1_co2</v>
      </c>
      <c r="E28" s="75"/>
      <c r="F28" s="75"/>
      <c r="G28" s="75"/>
      <c r="H28" s="75"/>
      <c r="I28" s="75"/>
      <c r="J28" s="75"/>
      <c r="K28" s="76"/>
    </row>
    <row r="29" spans="2:11" x14ac:dyDescent="0.25">
      <c r="B29" s="15" t="str">
        <f>fields!F72</f>
        <v>PhaseOffsetVGA2Co2</v>
      </c>
      <c r="C29" s="44" t="str">
        <f>fields!G72</f>
        <v>3D</v>
      </c>
      <c r="D29" s="74" t="str">
        <f>fields!H72</f>
        <v>ol_phase_vga2_co2</v>
      </c>
      <c r="E29" s="75"/>
      <c r="F29" s="75"/>
      <c r="G29" s="75"/>
      <c r="H29" s="75"/>
      <c r="I29" s="75"/>
      <c r="J29" s="75"/>
      <c r="K29" s="76"/>
    </row>
    <row r="30" spans="2:11" x14ac:dyDescent="0.25">
      <c r="B30" s="15" t="str">
        <f>fields!F73</f>
        <v>CrosstalkITempCo1</v>
      </c>
      <c r="C30" s="44" t="str">
        <f>fields!G73</f>
        <v>3E</v>
      </c>
      <c r="D30" s="74" t="str">
        <f>fields!H73</f>
        <v>ol_i_temp_co1</v>
      </c>
      <c r="E30" s="75"/>
      <c r="F30" s="75"/>
      <c r="G30" s="75"/>
      <c r="H30" s="75"/>
      <c r="I30" s="75"/>
      <c r="J30" s="75"/>
      <c r="K30" s="76"/>
    </row>
    <row r="31" spans="2:11" x14ac:dyDescent="0.25">
      <c r="B31" s="15" t="str">
        <f>fields!F74</f>
        <v>CrosstalkIEmitterCo1</v>
      </c>
      <c r="C31" s="44" t="str">
        <f>fields!G74</f>
        <v>3F</v>
      </c>
      <c r="D31" s="74" t="str">
        <f>fields!H74</f>
        <v>ol_i_emit_co1</v>
      </c>
      <c r="E31" s="75"/>
      <c r="F31" s="75"/>
      <c r="G31" s="75"/>
      <c r="H31" s="75"/>
      <c r="I31" s="75"/>
      <c r="J31" s="75"/>
      <c r="K31" s="76"/>
    </row>
    <row r="32" spans="2:11" x14ac:dyDescent="0.25">
      <c r="B32" s="15" t="str">
        <f>fields!F75</f>
        <v>CrosstalkIAmbientCo1</v>
      </c>
      <c r="C32" s="44" t="str">
        <f>fields!G75</f>
        <v>40</v>
      </c>
      <c r="D32" s="74" t="str">
        <f>fields!H75</f>
        <v>ol_i_amb_co1</v>
      </c>
      <c r="E32" s="75"/>
      <c r="F32" s="75"/>
      <c r="G32" s="75"/>
      <c r="H32" s="75"/>
      <c r="I32" s="75"/>
      <c r="J32" s="75"/>
      <c r="K32" s="76"/>
    </row>
    <row r="33" spans="2:11" x14ac:dyDescent="0.25">
      <c r="B33" s="15" t="str">
        <f>fields!F76</f>
        <v>CrosstalkIVGA1Co1</v>
      </c>
      <c r="C33" s="44" t="str">
        <f>fields!G76</f>
        <v>41</v>
      </c>
      <c r="D33" s="74" t="str">
        <f>fields!H76</f>
        <v>ol_i_vga1_co1</v>
      </c>
      <c r="E33" s="75"/>
      <c r="F33" s="75"/>
      <c r="G33" s="75"/>
      <c r="H33" s="75"/>
      <c r="I33" s="75"/>
      <c r="J33" s="75"/>
      <c r="K33" s="76"/>
    </row>
    <row r="34" spans="2:11" x14ac:dyDescent="0.25">
      <c r="B34" s="15" t="str">
        <f>fields!F77</f>
        <v>CrosstalkIVGA2Co1</v>
      </c>
      <c r="C34" s="44" t="str">
        <f>fields!G77</f>
        <v>42</v>
      </c>
      <c r="D34" s="74" t="str">
        <f>fields!H77</f>
        <v>ol_i_vga2_co1</v>
      </c>
      <c r="E34" s="75"/>
      <c r="F34" s="75"/>
      <c r="G34" s="75"/>
      <c r="H34" s="75"/>
      <c r="I34" s="75"/>
      <c r="J34" s="75"/>
      <c r="K34" s="76"/>
    </row>
    <row r="35" spans="2:11" x14ac:dyDescent="0.25">
      <c r="B35" s="15" t="str">
        <f>fields!F78</f>
        <v>CrosstalkITempCo2</v>
      </c>
      <c r="C35" s="44" t="str">
        <f>fields!G78</f>
        <v>43</v>
      </c>
      <c r="D35" s="74" t="str">
        <f>fields!H78</f>
        <v>ol_i_temp_co2</v>
      </c>
      <c r="E35" s="75"/>
      <c r="F35" s="75"/>
      <c r="G35" s="75"/>
      <c r="H35" s="75"/>
      <c r="I35" s="75"/>
      <c r="J35" s="75"/>
      <c r="K35" s="76"/>
    </row>
    <row r="36" spans="2:11" x14ac:dyDescent="0.25">
      <c r="B36" s="15" t="str">
        <f>fields!F79</f>
        <v>CrosstalkIEmitterCo2</v>
      </c>
      <c r="C36" s="44" t="str">
        <f>fields!G79</f>
        <v>44</v>
      </c>
      <c r="D36" s="74" t="str">
        <f>fields!H79</f>
        <v>ol_i_emit_co2</v>
      </c>
      <c r="E36" s="75"/>
      <c r="F36" s="75"/>
      <c r="G36" s="75"/>
      <c r="H36" s="75"/>
      <c r="I36" s="75"/>
      <c r="J36" s="75"/>
      <c r="K36" s="76"/>
    </row>
    <row r="37" spans="2:11" x14ac:dyDescent="0.25">
      <c r="B37" s="15" t="str">
        <f>fields!F80</f>
        <v>CrosstalkIAmbientCo2</v>
      </c>
      <c r="C37" s="44" t="str">
        <f>fields!G80</f>
        <v>45</v>
      </c>
      <c r="D37" s="74" t="str">
        <f>fields!H80</f>
        <v>ol_i_amb_co2</v>
      </c>
      <c r="E37" s="75"/>
      <c r="F37" s="75"/>
      <c r="G37" s="75"/>
      <c r="H37" s="75"/>
      <c r="I37" s="75"/>
      <c r="J37" s="75"/>
      <c r="K37" s="76"/>
    </row>
    <row r="38" spans="2:11" x14ac:dyDescent="0.25">
      <c r="B38" s="15" t="str">
        <f>fields!F81</f>
        <v>CrosstalkIVGA1Co2</v>
      </c>
      <c r="C38" s="44" t="str">
        <f>fields!G81</f>
        <v>46</v>
      </c>
      <c r="D38" s="74" t="str">
        <f>fields!H81</f>
        <v>ol_i_vga1_co2</v>
      </c>
      <c r="E38" s="75"/>
      <c r="F38" s="75"/>
      <c r="G38" s="75"/>
      <c r="H38" s="75"/>
      <c r="I38" s="75"/>
      <c r="J38" s="75"/>
      <c r="K38" s="76"/>
    </row>
    <row r="39" spans="2:11" x14ac:dyDescent="0.25">
      <c r="B39" s="15" t="str">
        <f>fields!F82</f>
        <v>CrosstalkIVGA2Co2</v>
      </c>
      <c r="C39" s="44" t="str">
        <f>fields!G82</f>
        <v>47</v>
      </c>
      <c r="D39" s="74" t="str">
        <f>fields!H82</f>
        <v>ol_i_vga2_co2</v>
      </c>
      <c r="E39" s="75"/>
      <c r="F39" s="75"/>
      <c r="G39" s="75"/>
      <c r="H39" s="75"/>
      <c r="I39" s="75"/>
      <c r="J39" s="75"/>
      <c r="K39" s="76"/>
    </row>
    <row r="40" spans="2:11" x14ac:dyDescent="0.25">
      <c r="B40" s="15" t="str">
        <f>fields!F83</f>
        <v>CrosstalkQTempCo1</v>
      </c>
      <c r="C40" s="44" t="str">
        <f>fields!G83</f>
        <v>48</v>
      </c>
      <c r="D40" s="74" t="str">
        <f>fields!H83</f>
        <v>ol_q_temp_co1</v>
      </c>
      <c r="E40" s="75"/>
      <c r="F40" s="75"/>
      <c r="G40" s="75"/>
      <c r="H40" s="75"/>
      <c r="I40" s="75"/>
      <c r="J40" s="75"/>
      <c r="K40" s="76"/>
    </row>
    <row r="41" spans="2:11" x14ac:dyDescent="0.25">
      <c r="B41" s="15" t="str">
        <f>fields!F84</f>
        <v>CrosstalkQEmitterCo1</v>
      </c>
      <c r="C41" s="44" t="str">
        <f>fields!G84</f>
        <v>49</v>
      </c>
      <c r="D41" s="74" t="str">
        <f>fields!H84</f>
        <v>ol_q_emit_co1</v>
      </c>
      <c r="E41" s="75"/>
      <c r="F41" s="75"/>
      <c r="G41" s="75"/>
      <c r="H41" s="75"/>
      <c r="I41" s="75"/>
      <c r="J41" s="75"/>
      <c r="K41" s="76"/>
    </row>
    <row r="42" spans="2:11" x14ac:dyDescent="0.25">
      <c r="B42" s="15" t="str">
        <f>fields!F85</f>
        <v>CrosstalkQAmbientCo1</v>
      </c>
      <c r="C42" s="44" t="str">
        <f>fields!G85</f>
        <v>4A</v>
      </c>
      <c r="D42" s="74" t="str">
        <f>fields!H85</f>
        <v>ol_q_amb_co1</v>
      </c>
      <c r="E42" s="75"/>
      <c r="F42" s="75"/>
      <c r="G42" s="75"/>
      <c r="H42" s="75"/>
      <c r="I42" s="75"/>
      <c r="J42" s="75"/>
      <c r="K42" s="76"/>
    </row>
    <row r="43" spans="2:11" x14ac:dyDescent="0.25">
      <c r="B43" s="15" t="str">
        <f>fields!F86</f>
        <v>CrosstalkQVGA1Co1</v>
      </c>
      <c r="C43" s="44" t="str">
        <f>fields!G86</f>
        <v>4B</v>
      </c>
      <c r="D43" s="74" t="str">
        <f>fields!H86</f>
        <v>ol_q_vga1_co1</v>
      </c>
      <c r="E43" s="75"/>
      <c r="F43" s="75"/>
      <c r="G43" s="75"/>
      <c r="H43" s="75"/>
      <c r="I43" s="75"/>
      <c r="J43" s="75"/>
      <c r="K43" s="76"/>
    </row>
    <row r="44" spans="2:11" x14ac:dyDescent="0.25">
      <c r="B44" s="15" t="str">
        <f>fields!F87</f>
        <v>CrosstalkQVGA2Co1</v>
      </c>
      <c r="C44" s="44" t="str">
        <f>fields!G87</f>
        <v>4C</v>
      </c>
      <c r="D44" s="74" t="str">
        <f>fields!H87</f>
        <v>ol_q_vga2_co1</v>
      </c>
      <c r="E44" s="75"/>
      <c r="F44" s="75"/>
      <c r="G44" s="75"/>
      <c r="H44" s="75"/>
      <c r="I44" s="75"/>
      <c r="J44" s="75"/>
      <c r="K44" s="76"/>
    </row>
    <row r="45" spans="2:11" x14ac:dyDescent="0.25">
      <c r="B45" s="15" t="str">
        <f>fields!F88</f>
        <v>CrosstalkQTempCo2</v>
      </c>
      <c r="C45" s="44" t="str">
        <f>fields!G88</f>
        <v>4D</v>
      </c>
      <c r="D45" s="74" t="str">
        <f>fields!H88</f>
        <v>ol_q_temp_co2</v>
      </c>
      <c r="E45" s="75"/>
      <c r="F45" s="75"/>
      <c r="G45" s="75"/>
      <c r="H45" s="75"/>
      <c r="I45" s="75"/>
      <c r="J45" s="75"/>
      <c r="K45" s="76"/>
    </row>
    <row r="46" spans="2:11" x14ac:dyDescent="0.25">
      <c r="B46" s="15" t="str">
        <f>fields!F89</f>
        <v>CrosstalkQEmitterCo2</v>
      </c>
      <c r="C46" s="44" t="str">
        <f>fields!G89</f>
        <v>4E</v>
      </c>
      <c r="D46" s="74" t="str">
        <f>fields!H89</f>
        <v>ol_q_emit_co2</v>
      </c>
      <c r="E46" s="75"/>
      <c r="F46" s="75"/>
      <c r="G46" s="75"/>
      <c r="H46" s="75"/>
      <c r="I46" s="75"/>
      <c r="J46" s="75"/>
      <c r="K46" s="76"/>
    </row>
    <row r="47" spans="2:11" x14ac:dyDescent="0.25">
      <c r="B47" s="15" t="str">
        <f>fields!F90</f>
        <v>CrosstalkQAmbientCo2</v>
      </c>
      <c r="C47" s="44" t="str">
        <f>fields!G90</f>
        <v>4F</v>
      </c>
      <c r="D47" s="74" t="str">
        <f>fields!H90</f>
        <v>ol_q_amb_co2</v>
      </c>
      <c r="E47" s="75"/>
      <c r="F47" s="75"/>
      <c r="G47" s="75"/>
      <c r="H47" s="75"/>
      <c r="I47" s="75"/>
      <c r="J47" s="75"/>
      <c r="K47" s="76"/>
    </row>
    <row r="48" spans="2:11" x14ac:dyDescent="0.25">
      <c r="B48" s="15" t="str">
        <f>fields!F91</f>
        <v>CrosstalkQVGA1Co2</v>
      </c>
      <c r="C48" s="44" t="str">
        <f>fields!G91</f>
        <v>50</v>
      </c>
      <c r="D48" s="74" t="str">
        <f>fields!H91</f>
        <v>ol_q_vga1_co2</v>
      </c>
      <c r="E48" s="75"/>
      <c r="F48" s="75"/>
      <c r="G48" s="75"/>
      <c r="H48" s="75"/>
      <c r="I48" s="75"/>
      <c r="J48" s="75"/>
      <c r="K48" s="76"/>
    </row>
    <row r="49" spans="2:13" x14ac:dyDescent="0.25">
      <c r="B49" s="15" t="str">
        <f>fields!F92</f>
        <v>CrosstalkQVGA2Co2</v>
      </c>
      <c r="C49" s="44" t="str">
        <f>fields!G92</f>
        <v>51</v>
      </c>
      <c r="D49" s="74" t="str">
        <f>fields!H92</f>
        <v>ol_q_vga2_co2</v>
      </c>
      <c r="E49" s="75"/>
      <c r="F49" s="75"/>
      <c r="G49" s="75"/>
      <c r="H49" s="75"/>
      <c r="I49" s="75"/>
      <c r="J49" s="75"/>
      <c r="K49" s="76"/>
    </row>
    <row r="50" spans="2:13" ht="15.75" thickBot="1" x14ac:dyDescent="0.3">
      <c r="B50" s="17" t="str">
        <f>fields!F93</f>
        <v>EmitterSelectforOpenLoop</v>
      </c>
      <c r="C50" s="45" t="str">
        <f>fields!G93</f>
        <v>52</v>
      </c>
      <c r="D50" s="67"/>
      <c r="E50" s="67"/>
      <c r="F50" s="67"/>
      <c r="G50" s="67"/>
      <c r="H50" s="67"/>
      <c r="I50" s="67"/>
      <c r="J50" s="67"/>
      <c r="K50" s="37" t="str">
        <f>fields!H93</f>
        <v>emitter_ol_sel</v>
      </c>
    </row>
    <row r="51" spans="2:13" ht="15.75" thickBot="1" x14ac:dyDescent="0.3">
      <c r="D51" s="35"/>
      <c r="E51" s="35"/>
      <c r="F51" s="35"/>
      <c r="G51" s="35"/>
      <c r="H51" s="35"/>
      <c r="I51" s="35"/>
      <c r="J51" s="35"/>
      <c r="K51" s="35"/>
    </row>
    <row r="52" spans="2:13" ht="15.75" thickBot="1" x14ac:dyDescent="0.3">
      <c r="B52" s="20" t="str">
        <f>fields!E161</f>
        <v>analogControlRegisters</v>
      </c>
      <c r="C52" s="21" t="str">
        <f>C7</f>
        <v>Addr</v>
      </c>
      <c r="D52" s="21">
        <f>D7</f>
        <v>7</v>
      </c>
      <c r="E52" s="21">
        <f t="shared" ref="E52:K52" si="3">E7</f>
        <v>6</v>
      </c>
      <c r="F52" s="21">
        <f t="shared" si="3"/>
        <v>5</v>
      </c>
      <c r="G52" s="21">
        <f t="shared" si="3"/>
        <v>4</v>
      </c>
      <c r="H52" s="21">
        <f t="shared" si="3"/>
        <v>3</v>
      </c>
      <c r="I52" s="21">
        <f t="shared" si="3"/>
        <v>2</v>
      </c>
      <c r="J52" s="21">
        <f t="shared" si="3"/>
        <v>1</v>
      </c>
      <c r="K52" s="22">
        <f t="shared" si="3"/>
        <v>0</v>
      </c>
    </row>
    <row r="53" spans="2:13" x14ac:dyDescent="0.25">
      <c r="B53" s="46" t="str">
        <f>fields!F161</f>
        <v>DriverRange</v>
      </c>
      <c r="C53" s="47" t="str">
        <f>fields!G161</f>
        <v>90</v>
      </c>
      <c r="D53" s="80"/>
      <c r="E53" s="80"/>
      <c r="F53" s="80"/>
      <c r="G53" s="80"/>
      <c r="H53" s="77" t="str">
        <f>fields!H161</f>
        <v>driver_s</v>
      </c>
      <c r="I53" s="77"/>
      <c r="J53" s="77"/>
      <c r="K53" s="78"/>
      <c r="L53" s="79" t="s">
        <v>433</v>
      </c>
      <c r="M53" s="79"/>
    </row>
    <row r="54" spans="2:13" x14ac:dyDescent="0.25">
      <c r="B54" s="15" t="str">
        <f>fields!F162</f>
        <v>EmitterCurrentDAC</v>
      </c>
      <c r="C54" s="44" t="str">
        <f>fields!G162</f>
        <v>91</v>
      </c>
      <c r="D54" s="70" t="str">
        <f>fields!H162</f>
        <v>emitter_current</v>
      </c>
      <c r="E54" s="70"/>
      <c r="F54" s="70"/>
      <c r="G54" s="70"/>
      <c r="H54" s="70"/>
      <c r="I54" s="70"/>
      <c r="J54" s="70"/>
      <c r="K54" s="71"/>
      <c r="L54" s="79"/>
      <c r="M54" s="79"/>
    </row>
    <row r="55" spans="2:13" x14ac:dyDescent="0.25">
      <c r="B55" s="15" t="str">
        <f>fields!F163</f>
        <v>DriverControl</v>
      </c>
      <c r="C55" s="44" t="str">
        <f>fields!G163</f>
        <v>92</v>
      </c>
      <c r="D55" s="70"/>
      <c r="E55" s="70"/>
      <c r="F55" s="70"/>
      <c r="G55" s="70"/>
      <c r="H55" s="70"/>
      <c r="I55" s="70"/>
      <c r="J55" s="70"/>
      <c r="K55" s="71"/>
    </row>
    <row r="56" spans="2:13" x14ac:dyDescent="0.25">
      <c r="B56" s="15" t="str">
        <f>fields!F166</f>
        <v>ThresholdCurrentDAC</v>
      </c>
      <c r="C56" s="44" t="str">
        <f>fields!G166</f>
        <v>93</v>
      </c>
      <c r="D56" s="70"/>
      <c r="E56" s="70"/>
      <c r="F56" s="70"/>
      <c r="G56" s="70"/>
      <c r="H56" s="70"/>
      <c r="I56" s="70"/>
      <c r="J56" s="70"/>
      <c r="K56" s="71"/>
    </row>
    <row r="57" spans="2:13" x14ac:dyDescent="0.25">
      <c r="B57" s="15" t="str">
        <f>fields!F167</f>
        <v>DriverBoost</v>
      </c>
      <c r="C57" s="44" t="str">
        <f>fields!G167</f>
        <v>94</v>
      </c>
      <c r="D57" s="70"/>
      <c r="E57" s="70"/>
      <c r="F57" s="70"/>
      <c r="G57" s="70"/>
      <c r="H57" s="70"/>
      <c r="I57" s="70"/>
      <c r="J57" s="70"/>
      <c r="K57" s="71"/>
    </row>
    <row r="58" spans="2:13" x14ac:dyDescent="0.25">
      <c r="B58" s="15" t="str">
        <f>fields!F168</f>
        <v>DriverBoostDuration</v>
      </c>
      <c r="C58" s="44" t="str">
        <f>fields!G168</f>
        <v>95</v>
      </c>
      <c r="D58" s="70"/>
      <c r="E58" s="70"/>
      <c r="F58" s="70"/>
      <c r="G58" s="70"/>
      <c r="H58" s="70"/>
      <c r="I58" s="70"/>
      <c r="J58" s="70"/>
      <c r="K58" s="71"/>
    </row>
    <row r="59" spans="2:13" x14ac:dyDescent="0.25">
      <c r="B59" s="15" t="str">
        <f>fields!F169</f>
        <v>DriverChargeBalancingDAC</v>
      </c>
      <c r="C59" s="44" t="str">
        <f>fields!G169</f>
        <v>96</v>
      </c>
      <c r="D59" s="70"/>
      <c r="E59" s="70"/>
      <c r="F59" s="70"/>
      <c r="G59" s="70"/>
      <c r="H59" s="70"/>
      <c r="I59" s="70"/>
      <c r="J59" s="70"/>
      <c r="K59" s="71"/>
    </row>
    <row r="60" spans="2:13" x14ac:dyDescent="0.25">
      <c r="B60" s="15" t="str">
        <f>fields!F170</f>
        <v>FrontendControl</v>
      </c>
      <c r="C60" s="44" t="str">
        <f>fields!G170</f>
        <v>97</v>
      </c>
      <c r="D60" s="66"/>
      <c r="E60" s="66"/>
      <c r="F60" s="66"/>
      <c r="G60" s="40" t="str">
        <f>fields!H170</f>
        <v>afe_pd_dc</v>
      </c>
      <c r="H60" s="40" t="str">
        <f>fields!H171</f>
        <v>afe_lowcap_mode</v>
      </c>
      <c r="I60" s="40" t="str">
        <f>fields!H172</f>
        <v>lna_gain</v>
      </c>
      <c r="J60" s="70" t="str">
        <f>fields!H173</f>
        <v>afe_gain</v>
      </c>
      <c r="K60" s="71"/>
      <c r="M60" t="s">
        <v>434</v>
      </c>
    </row>
    <row r="61" spans="2:13" x14ac:dyDescent="0.25">
      <c r="B61" s="15" t="str">
        <f>fields!F174</f>
        <v>AFEControlRegisters</v>
      </c>
      <c r="C61" s="44" t="str">
        <f>fields!G174</f>
        <v>98</v>
      </c>
      <c r="D61" s="70"/>
      <c r="E61" s="70"/>
      <c r="F61" s="70"/>
      <c r="G61" s="70"/>
      <c r="H61" s="70"/>
      <c r="I61" s="70"/>
      <c r="J61" s="70"/>
      <c r="K61" s="71"/>
    </row>
    <row r="62" spans="2:13" x14ac:dyDescent="0.25">
      <c r="B62" s="15" t="str">
        <f>fields!F178</f>
        <v>AmbientADCTestFeatures</v>
      </c>
      <c r="C62" s="44" t="str">
        <f>fields!G178</f>
        <v>99</v>
      </c>
      <c r="D62" s="70"/>
      <c r="E62" s="70"/>
      <c r="F62" s="70"/>
      <c r="G62" s="70"/>
      <c r="H62" s="70"/>
      <c r="I62" s="70"/>
      <c r="J62" s="70"/>
      <c r="K62" s="71"/>
    </row>
    <row r="63" spans="2:13" x14ac:dyDescent="0.25">
      <c r="B63" s="15" t="str">
        <f>fields!F180</f>
        <v>VGAOffsetCode</v>
      </c>
      <c r="C63" s="44" t="str">
        <f>fields!G180</f>
        <v>9A</v>
      </c>
      <c r="D63" s="70"/>
      <c r="E63" s="70"/>
      <c r="F63" s="70"/>
      <c r="G63" s="70"/>
      <c r="H63" s="70"/>
      <c r="I63" s="70"/>
      <c r="J63" s="70"/>
      <c r="K63" s="71"/>
    </row>
    <row r="64" spans="2:13" x14ac:dyDescent="0.25">
      <c r="B64" s="15" t="str">
        <f>fields!F183</f>
        <v>VGA1ManualforLight</v>
      </c>
      <c r="C64" s="44" t="str">
        <f>fields!G183</f>
        <v>9B</v>
      </c>
      <c r="D64" s="70"/>
      <c r="E64" s="70"/>
      <c r="F64" s="70"/>
      <c r="G64" s="70"/>
      <c r="H64" s="70"/>
      <c r="I64" s="70"/>
      <c r="J64" s="70"/>
      <c r="K64" s="71"/>
    </row>
    <row r="65" spans="2:11" x14ac:dyDescent="0.25">
      <c r="B65" s="15" t="str">
        <f>fields!F184</f>
        <v>VGA2ManualforLight</v>
      </c>
      <c r="C65" s="44" t="str">
        <f>fields!G184</f>
        <v>9C</v>
      </c>
      <c r="D65" s="70"/>
      <c r="E65" s="70"/>
      <c r="F65" s="70"/>
      <c r="G65" s="70"/>
      <c r="H65" s="70"/>
      <c r="I65" s="70"/>
      <c r="J65" s="70"/>
      <c r="K65" s="71"/>
    </row>
    <row r="66" spans="2:11" x14ac:dyDescent="0.25">
      <c r="B66" s="15" t="str">
        <f>fields!F185</f>
        <v>VGA1ManualforZP</v>
      </c>
      <c r="C66" s="44" t="str">
        <f>fields!G185</f>
        <v>9D</v>
      </c>
      <c r="D66" s="70"/>
      <c r="E66" s="70"/>
      <c r="F66" s="70"/>
      <c r="G66" s="70"/>
      <c r="H66" s="70"/>
      <c r="I66" s="70"/>
      <c r="J66" s="70"/>
      <c r="K66" s="71"/>
    </row>
    <row r="67" spans="2:11" x14ac:dyDescent="0.25">
      <c r="B67" s="15" t="str">
        <f>fields!F186</f>
        <v>VGA2ManualforZP</v>
      </c>
      <c r="C67" s="44" t="str">
        <f>fields!G186</f>
        <v>9E</v>
      </c>
      <c r="D67" s="70"/>
      <c r="E67" s="70"/>
      <c r="F67" s="70"/>
      <c r="G67" s="70"/>
      <c r="H67" s="70"/>
      <c r="I67" s="70"/>
      <c r="J67" s="70"/>
      <c r="K67" s="71"/>
    </row>
    <row r="68" spans="2:11" x14ac:dyDescent="0.25">
      <c r="B68" s="15" t="str">
        <f>fields!F187</f>
        <v>VGA1ControlforCollision</v>
      </c>
      <c r="C68" s="44" t="str">
        <f>fields!G187</f>
        <v>9F</v>
      </c>
      <c r="D68" s="70"/>
      <c r="E68" s="70"/>
      <c r="F68" s="70"/>
      <c r="G68" s="70"/>
      <c r="H68" s="70"/>
      <c r="I68" s="70"/>
      <c r="J68" s="70"/>
      <c r="K68" s="71"/>
    </row>
    <row r="69" spans="2:11" x14ac:dyDescent="0.25">
      <c r="B69" s="15" t="str">
        <f>fields!F188</f>
        <v>VGA2ControlforCollision</v>
      </c>
      <c r="C69" s="44" t="str">
        <f>fields!G188</f>
        <v>A0</v>
      </c>
      <c r="D69" s="70"/>
      <c r="E69" s="70"/>
      <c r="F69" s="70"/>
      <c r="G69" s="70"/>
      <c r="H69" s="70"/>
      <c r="I69" s="70"/>
      <c r="J69" s="70"/>
      <c r="K69" s="71"/>
    </row>
    <row r="70" spans="2:11" x14ac:dyDescent="0.25">
      <c r="B70" s="15" t="str">
        <f>fields!F189</f>
        <v>ADCVrefCode</v>
      </c>
      <c r="C70" s="44" t="str">
        <f>fields!G189</f>
        <v>A1</v>
      </c>
      <c r="D70" s="70"/>
      <c r="E70" s="70"/>
      <c r="F70" s="70"/>
      <c r="G70" s="70"/>
      <c r="H70" s="70"/>
      <c r="I70" s="70"/>
      <c r="J70" s="70"/>
      <c r="K70" s="71"/>
    </row>
    <row r="71" spans="2:11" x14ac:dyDescent="0.25">
      <c r="B71" s="15" t="str">
        <f>fields!F190</f>
        <v>PeakDetectorThresholds0</v>
      </c>
      <c r="C71" s="44" t="str">
        <f>fields!G190</f>
        <v>A2</v>
      </c>
      <c r="D71" s="70"/>
      <c r="E71" s="70"/>
      <c r="F71" s="70"/>
      <c r="G71" s="70"/>
      <c r="H71" s="70"/>
      <c r="I71" s="70"/>
      <c r="J71" s="70"/>
      <c r="K71" s="71"/>
    </row>
    <row r="72" spans="2:11" x14ac:dyDescent="0.25">
      <c r="B72" s="15" t="str">
        <f>fields!F194</f>
        <v>PeakDetectorThresholds1</v>
      </c>
      <c r="C72" s="44" t="str">
        <f>fields!G194</f>
        <v>A3</v>
      </c>
      <c r="D72" s="70"/>
      <c r="E72" s="70"/>
      <c r="F72" s="70"/>
      <c r="G72" s="70"/>
      <c r="H72" s="70"/>
      <c r="I72" s="70"/>
      <c r="J72" s="70"/>
      <c r="K72" s="71"/>
    </row>
    <row r="73" spans="2:11" x14ac:dyDescent="0.25">
      <c r="B73" s="15" t="str">
        <f>fields!F198</f>
        <v>PeakDetectorThresholds2</v>
      </c>
      <c r="C73" s="44" t="str">
        <f>fields!G198</f>
        <v>A4</v>
      </c>
      <c r="D73" s="70"/>
      <c r="E73" s="70"/>
      <c r="F73" s="70"/>
      <c r="G73" s="70"/>
      <c r="H73" s="70"/>
      <c r="I73" s="70"/>
      <c r="J73" s="70"/>
      <c r="K73" s="71"/>
    </row>
    <row r="74" spans="2:11" x14ac:dyDescent="0.25">
      <c r="B74" s="15" t="str">
        <f>fields!F202</f>
        <v>EmitterVoltageADCOffset</v>
      </c>
      <c r="C74" s="44" t="str">
        <f>fields!G202</f>
        <v>A5</v>
      </c>
      <c r="D74" s="70"/>
      <c r="E74" s="70"/>
      <c r="F74" s="70"/>
      <c r="G74" s="70"/>
      <c r="H74" s="70"/>
      <c r="I74" s="70"/>
      <c r="J74" s="70"/>
      <c r="K74" s="71"/>
    </row>
    <row r="75" spans="2:11" x14ac:dyDescent="0.25">
      <c r="B75" s="15" t="str">
        <f>fields!F203</f>
        <v>EmitterVoltageADCMuxSelect</v>
      </c>
      <c r="C75" s="44" t="str">
        <f>fields!G203</f>
        <v>A6</v>
      </c>
      <c r="D75" s="70"/>
      <c r="E75" s="70"/>
      <c r="F75" s="70"/>
      <c r="G75" s="70"/>
      <c r="H75" s="70"/>
      <c r="I75" s="70"/>
      <c r="J75" s="70"/>
      <c r="K75" s="71"/>
    </row>
    <row r="76" spans="2:11" x14ac:dyDescent="0.25">
      <c r="B76" s="15" t="str">
        <f>fields!F205</f>
        <v>TempSensorRegA</v>
      </c>
      <c r="C76" s="44" t="str">
        <f>fields!G205</f>
        <v>A7</v>
      </c>
      <c r="D76" s="70"/>
      <c r="E76" s="70"/>
      <c r="F76" s="70"/>
      <c r="G76" s="70"/>
      <c r="H76" s="70"/>
      <c r="I76" s="70"/>
      <c r="J76" s="70"/>
      <c r="K76" s="71"/>
    </row>
    <row r="77" spans="2:11" x14ac:dyDescent="0.25">
      <c r="B77" s="15" t="str">
        <f>fields!F206</f>
        <v>TempSensorRegB</v>
      </c>
      <c r="C77" s="44" t="str">
        <f>fields!G206</f>
        <v>A8</v>
      </c>
      <c r="D77" s="70"/>
      <c r="E77" s="70"/>
      <c r="F77" s="70"/>
      <c r="G77" s="70"/>
      <c r="H77" s="70"/>
      <c r="I77" s="70"/>
      <c r="J77" s="70"/>
      <c r="K77" s="71"/>
    </row>
    <row r="78" spans="2:11" x14ac:dyDescent="0.25">
      <c r="B78" s="15" t="str">
        <f>fields!F207</f>
        <v>TempSensorRegC</v>
      </c>
      <c r="C78" s="44" t="str">
        <f>fields!G207</f>
        <v>A9</v>
      </c>
      <c r="D78" s="70"/>
      <c r="E78" s="70"/>
      <c r="F78" s="70"/>
      <c r="G78" s="70"/>
      <c r="H78" s="70"/>
      <c r="I78" s="70"/>
      <c r="J78" s="70"/>
      <c r="K78" s="71"/>
    </row>
    <row r="79" spans="2:11" x14ac:dyDescent="0.25">
      <c r="B79" s="15" t="str">
        <f>fields!F208</f>
        <v>TempSensorADCMode</v>
      </c>
      <c r="C79" s="44" t="str">
        <f>fields!G208</f>
        <v>AA</v>
      </c>
      <c r="D79" s="70"/>
      <c r="E79" s="70"/>
      <c r="F79" s="70"/>
      <c r="G79" s="70"/>
      <c r="H79" s="70"/>
      <c r="I79" s="70"/>
      <c r="J79" s="70"/>
      <c r="K79" s="71"/>
    </row>
    <row r="80" spans="2:11" x14ac:dyDescent="0.25">
      <c r="B80" s="15" t="str">
        <f>fields!F209</f>
        <v>BPFSelect</v>
      </c>
      <c r="C80" s="44" t="str">
        <f>fields!G209</f>
        <v>AB</v>
      </c>
      <c r="D80" s="70"/>
      <c r="E80" s="70"/>
      <c r="F80" s="70"/>
      <c r="G80" s="70"/>
      <c r="H80" s="70"/>
      <c r="I80" s="70"/>
      <c r="J80" s="70"/>
      <c r="K80" s="71"/>
    </row>
    <row r="81" spans="2:11" x14ac:dyDescent="0.25">
      <c r="B81" s="15" t="str">
        <f>fields!F210</f>
        <v>Oscillator_AAFOffset</v>
      </c>
      <c r="C81" s="44" t="str">
        <f>fields!G210</f>
        <v>AC</v>
      </c>
      <c r="D81" s="70"/>
      <c r="E81" s="70"/>
      <c r="F81" s="70"/>
      <c r="G81" s="70"/>
      <c r="H81" s="70"/>
      <c r="I81" s="70"/>
      <c r="J81" s="70"/>
      <c r="K81" s="71"/>
    </row>
    <row r="82" spans="2:11" x14ac:dyDescent="0.25">
      <c r="B82" s="15" t="str">
        <f>fields!F211</f>
        <v>OscillatorSelect</v>
      </c>
      <c r="C82" s="44" t="str">
        <f>fields!G211</f>
        <v>AD</v>
      </c>
      <c r="D82" s="70"/>
      <c r="E82" s="70"/>
      <c r="F82" s="70"/>
      <c r="G82" s="70"/>
      <c r="H82" s="70"/>
      <c r="I82" s="70"/>
      <c r="J82" s="70"/>
      <c r="K82" s="71"/>
    </row>
    <row r="83" spans="2:11" x14ac:dyDescent="0.25">
      <c r="B83" s="15" t="str">
        <f>fields!F212</f>
        <v>InternalRSET</v>
      </c>
      <c r="C83" s="44" t="str">
        <f>fields!G212</f>
        <v>AE</v>
      </c>
      <c r="D83" s="70"/>
      <c r="E83" s="70"/>
      <c r="F83" s="70"/>
      <c r="G83" s="70"/>
      <c r="H83" s="70"/>
      <c r="I83" s="70"/>
      <c r="J83" s="70"/>
      <c r="K83" s="71"/>
    </row>
    <row r="84" spans="2:11" ht="15.75" thickBot="1" x14ac:dyDescent="0.3">
      <c r="B84" s="17" t="str">
        <f>fields!F213</f>
        <v>Spares</v>
      </c>
      <c r="C84" s="45" t="str">
        <f>fields!G213</f>
        <v>AF</v>
      </c>
      <c r="D84" s="72"/>
      <c r="E84" s="72"/>
      <c r="F84" s="72"/>
      <c r="G84" s="72"/>
      <c r="H84" s="72"/>
      <c r="I84" s="72"/>
      <c r="J84" s="72"/>
      <c r="K84" s="73"/>
    </row>
    <row r="85" spans="2:11" x14ac:dyDescent="0.25">
      <c r="B85" s="10"/>
      <c r="C85" s="43"/>
    </row>
    <row r="86" spans="2:11" x14ac:dyDescent="0.25">
      <c r="B86" s="10"/>
      <c r="C86" s="43"/>
    </row>
    <row r="87" spans="2:11" x14ac:dyDescent="0.25">
      <c r="B87" s="10"/>
      <c r="C87" s="43"/>
    </row>
    <row r="88" spans="2:11" x14ac:dyDescent="0.25">
      <c r="B88" s="10"/>
      <c r="C88" s="43"/>
    </row>
    <row r="89" spans="2:11" x14ac:dyDescent="0.25">
      <c r="B89" s="10"/>
      <c r="C89" s="43"/>
    </row>
    <row r="90" spans="2:11" x14ac:dyDescent="0.25">
      <c r="B90" s="10"/>
      <c r="C90" s="43"/>
    </row>
    <row r="91" spans="2:11" x14ac:dyDescent="0.25">
      <c r="B91" s="10"/>
      <c r="C91" s="43"/>
    </row>
    <row r="92" spans="2:11" x14ac:dyDescent="0.25">
      <c r="B92" s="10"/>
      <c r="C92" s="43"/>
    </row>
    <row r="93" spans="2:11" x14ac:dyDescent="0.25">
      <c r="B93" s="10"/>
      <c r="C93" s="43"/>
    </row>
    <row r="94" spans="2:11" x14ac:dyDescent="0.25">
      <c r="B94" s="10"/>
      <c r="C94" s="43"/>
    </row>
    <row r="95" spans="2:11" x14ac:dyDescent="0.25">
      <c r="B95" s="10"/>
      <c r="C95" s="43"/>
    </row>
  </sheetData>
  <mergeCells count="58">
    <mergeCell ref="D37:K37"/>
    <mergeCell ref="D38:K38"/>
    <mergeCell ref="D39:K39"/>
    <mergeCell ref="D40:K40"/>
    <mergeCell ref="D41:K41"/>
    <mergeCell ref="D34:K34"/>
    <mergeCell ref="D35:K35"/>
    <mergeCell ref="D36:K36"/>
    <mergeCell ref="L53:M54"/>
    <mergeCell ref="H53:K53"/>
    <mergeCell ref="D54:K54"/>
    <mergeCell ref="D53:G53"/>
    <mergeCell ref="D47:K47"/>
    <mergeCell ref="D48:K48"/>
    <mergeCell ref="D49:K49"/>
    <mergeCell ref="D50:J50"/>
    <mergeCell ref="D42:K42"/>
    <mergeCell ref="D43:K43"/>
    <mergeCell ref="D44:K44"/>
    <mergeCell ref="D45:K45"/>
    <mergeCell ref="D46:K46"/>
    <mergeCell ref="D17:K17"/>
    <mergeCell ref="D18:K18"/>
    <mergeCell ref="D20:K20"/>
    <mergeCell ref="D21:K21"/>
    <mergeCell ref="D33:K33"/>
    <mergeCell ref="D19:G19"/>
    <mergeCell ref="D32:K32"/>
    <mergeCell ref="D55:K59"/>
    <mergeCell ref="D61:K84"/>
    <mergeCell ref="J60:K60"/>
    <mergeCell ref="D60:F60"/>
    <mergeCell ref="H14:K14"/>
    <mergeCell ref="D27:K27"/>
    <mergeCell ref="D28:K28"/>
    <mergeCell ref="D29:K29"/>
    <mergeCell ref="D30:K30"/>
    <mergeCell ref="D31:K31"/>
    <mergeCell ref="D22:K22"/>
    <mergeCell ref="D23:K23"/>
    <mergeCell ref="D24:K24"/>
    <mergeCell ref="D25:K25"/>
    <mergeCell ref="D26:K26"/>
    <mergeCell ref="H19:K19"/>
    <mergeCell ref="D12:G12"/>
    <mergeCell ref="D13:G13"/>
    <mergeCell ref="D14:G14"/>
    <mergeCell ref="D3:K3"/>
    <mergeCell ref="D4:J4"/>
    <mergeCell ref="D5:G5"/>
    <mergeCell ref="D8:G8"/>
    <mergeCell ref="H8:K8"/>
    <mergeCell ref="D9:K9"/>
    <mergeCell ref="J10:K10"/>
    <mergeCell ref="D10:I10"/>
    <mergeCell ref="H11:I11"/>
    <mergeCell ref="H12:K12"/>
    <mergeCell ref="H13:K13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D3"/>
  <sheetViews>
    <sheetView workbookViewId="0">
      <pane ySplit="5430" topLeftCell="A4084"/>
      <selection activeCell="G7" sqref="G7"/>
      <selection pane="bottomLeft" activeCell="K4093" sqref="K4093"/>
    </sheetView>
  </sheetViews>
  <sheetFormatPr defaultRowHeight="15" x14ac:dyDescent="0.25"/>
  <cols>
    <col min="1" max="16384" width="9.140625" style="30"/>
  </cols>
  <sheetData>
    <row r="1" spans="2:4" ht="15.75" thickBot="1" x14ac:dyDescent="0.3"/>
    <row r="2" spans="2:4" x14ac:dyDescent="0.25">
      <c r="B2" s="81" t="s">
        <v>210</v>
      </c>
      <c r="C2" s="31" t="s">
        <v>428</v>
      </c>
      <c r="D2" s="32" t="s">
        <v>429</v>
      </c>
    </row>
    <row r="3" spans="2:4" ht="15.75" thickBot="1" x14ac:dyDescent="0.3">
      <c r="B3" s="82"/>
      <c r="C3" s="33" t="s">
        <v>427</v>
      </c>
      <c r="D3" s="34">
        <f>HEX2DEC(C3)</f>
        <v>174</v>
      </c>
    </row>
  </sheetData>
  <sortState ref="F3:I4098">
    <sortCondition ref="G3:G4098"/>
  </sortState>
  <mergeCells count="1">
    <mergeCell ref="B2:B3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tes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regList</vt:lpstr>
      <vt:lpstr>fields</vt:lpstr>
      <vt:lpstr>Datasheet</vt:lpstr>
      <vt:lpstr>Test</vt:lpstr>
      <vt:lpstr>APIfields</vt:lpstr>
      <vt:lpstr>dataTable</vt:lpstr>
      <vt:lpstr>i2cAddr</vt:lpstr>
    </vt:vector>
  </TitlesOfParts>
  <Company>Intersil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Getchell</dc:creator>
  <cp:lastModifiedBy>Jim Getchell</cp:lastModifiedBy>
  <dcterms:created xsi:type="dcterms:W3CDTF">2015-06-17T21:21:54Z</dcterms:created>
  <dcterms:modified xsi:type="dcterms:W3CDTF">2015-07-02T21:13:05Z</dcterms:modified>
</cp:coreProperties>
</file>