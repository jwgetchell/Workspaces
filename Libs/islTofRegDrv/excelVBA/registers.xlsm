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GETCHEL\Documents\Workspaces\Libs\islTofRegDrv\excelVBA\"/>
    </mc:Choice>
  </mc:AlternateContent>
  <bookViews>
    <workbookView xWindow="0" yWindow="0" windowWidth="18570" windowHeight="9795" activeTab="1"/>
  </bookViews>
  <sheets>
    <sheet name="regList" sheetId="1" r:id="rId1"/>
    <sheet name="fields" sheetId="2" r:id="rId2"/>
  </sheets>
  <definedNames>
    <definedName name="dataTable">fields!$A$3:$K$265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A6" i="2"/>
  <c r="A7" i="2" s="1"/>
  <c r="C5" i="2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A5" i="2"/>
  <c r="F1" i="2"/>
  <c r="G1" i="2"/>
  <c r="H1" i="2" s="1"/>
  <c r="I1" i="2"/>
  <c r="I127" i="2"/>
  <c r="I128" i="2" s="1"/>
  <c r="H127" i="2"/>
  <c r="H128" i="2" s="1"/>
  <c r="H129" i="2" s="1"/>
  <c r="H130" i="2" s="1"/>
  <c r="H131" i="2" s="1"/>
  <c r="H132" i="2" s="1"/>
  <c r="H133" i="2" s="1"/>
  <c r="F127" i="2"/>
  <c r="F128" i="2" s="1"/>
  <c r="F129" i="2" s="1"/>
  <c r="F130" i="2" s="1"/>
  <c r="F131" i="2" s="1"/>
  <c r="F132" i="2" s="1"/>
  <c r="F133" i="2" s="1"/>
  <c r="E127" i="2"/>
  <c r="D127" i="2"/>
  <c r="D128" i="2" s="1"/>
  <c r="I122" i="2"/>
  <c r="I123" i="2" s="1"/>
  <c r="H122" i="2"/>
  <c r="H123" i="2" s="1"/>
  <c r="H124" i="2" s="1"/>
  <c r="H125" i="2" s="1"/>
  <c r="J122" i="2"/>
  <c r="J121" i="2"/>
  <c r="I121" i="2"/>
  <c r="H121" i="2"/>
  <c r="J115" i="2"/>
  <c r="J114" i="2"/>
  <c r="J113" i="2"/>
  <c r="J112" i="2"/>
  <c r="J111" i="2"/>
  <c r="J110" i="2"/>
  <c r="J109" i="2"/>
  <c r="I109" i="2"/>
  <c r="I110" i="2" s="1"/>
  <c r="I111" i="2" s="1"/>
  <c r="I112" i="2" s="1"/>
  <c r="I113" i="2" s="1"/>
  <c r="I114" i="2" s="1"/>
  <c r="I115" i="2" s="1"/>
  <c r="H109" i="2"/>
  <c r="H110" i="2" s="1"/>
  <c r="H111" i="2" s="1"/>
  <c r="H112" i="2" s="1"/>
  <c r="H113" i="2" s="1"/>
  <c r="H114" i="2" s="1"/>
  <c r="H115" i="2" s="1"/>
  <c r="E109" i="2"/>
  <c r="E110" i="2" s="1"/>
  <c r="I102" i="2"/>
  <c r="J102" i="2" s="1"/>
  <c r="H102" i="2"/>
  <c r="H103" i="2" s="1"/>
  <c r="H104" i="2" s="1"/>
  <c r="H105" i="2" s="1"/>
  <c r="H106" i="2" s="1"/>
  <c r="H107" i="2" s="1"/>
  <c r="I101" i="2"/>
  <c r="H101" i="2"/>
  <c r="J101" i="2"/>
  <c r="J99" i="2"/>
  <c r="J98" i="2"/>
  <c r="J97" i="2"/>
  <c r="J96" i="2"/>
  <c r="C4" i="2"/>
  <c r="D4" i="2"/>
  <c r="A4" i="2" s="1"/>
  <c r="E4" i="2"/>
  <c r="F4" i="2"/>
  <c r="J4" i="2"/>
  <c r="E5" i="2"/>
  <c r="F5" i="2"/>
  <c r="J5" i="2"/>
  <c r="F6" i="2"/>
  <c r="F7" i="2" s="1"/>
  <c r="F8" i="2" s="1"/>
  <c r="H6" i="2"/>
  <c r="I6" i="2"/>
  <c r="J6" i="2" s="1"/>
  <c r="H7" i="2"/>
  <c r="H8" i="2" s="1"/>
  <c r="E9" i="2"/>
  <c r="F9" i="2"/>
  <c r="F10" i="2" s="1"/>
  <c r="J9" i="2"/>
  <c r="D10" i="2"/>
  <c r="E10" i="2"/>
  <c r="J10" i="2"/>
  <c r="D11" i="2"/>
  <c r="E11" i="2"/>
  <c r="F11" i="2"/>
  <c r="J11" i="2"/>
  <c r="E12" i="2"/>
  <c r="F12" i="2"/>
  <c r="J12" i="2"/>
  <c r="E13" i="2"/>
  <c r="E14" i="2" s="1"/>
  <c r="F13" i="2"/>
  <c r="F14" i="2" s="1"/>
  <c r="F15" i="2" s="1"/>
  <c r="F16" i="2" s="1"/>
  <c r="F17" i="2" s="1"/>
  <c r="F18" i="2" s="1"/>
  <c r="F19" i="2" s="1"/>
  <c r="J13" i="2"/>
  <c r="H14" i="2"/>
  <c r="H15" i="2" s="1"/>
  <c r="H16" i="2" s="1"/>
  <c r="I14" i="2"/>
  <c r="J14" i="2" s="1"/>
  <c r="J17" i="2"/>
  <c r="H18" i="2"/>
  <c r="J18" i="2"/>
  <c r="H19" i="2"/>
  <c r="I19" i="2"/>
  <c r="J19" i="2" s="1"/>
  <c r="E20" i="2"/>
  <c r="F20" i="2"/>
  <c r="J20" i="2"/>
  <c r="E21" i="2"/>
  <c r="F21" i="2"/>
  <c r="J21" i="2"/>
  <c r="E22" i="2"/>
  <c r="F22" i="2"/>
  <c r="J22" i="2"/>
  <c r="E23" i="2"/>
  <c r="F23" i="2"/>
  <c r="F24" i="2" s="1"/>
  <c r="F25" i="2" s="1"/>
  <c r="J23" i="2"/>
  <c r="D24" i="2"/>
  <c r="D25" i="2" s="1"/>
  <c r="E24" i="2"/>
  <c r="J24" i="2"/>
  <c r="J2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26" i="2"/>
  <c r="J120" i="2"/>
  <c r="J119" i="2"/>
  <c r="J118" i="2"/>
  <c r="J117" i="2"/>
  <c r="J116" i="2"/>
  <c r="J108" i="2"/>
  <c r="J100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3" i="2"/>
  <c r="D92" i="2"/>
  <c r="F264" i="2"/>
  <c r="E264" i="2"/>
  <c r="F263" i="2"/>
  <c r="E263" i="2"/>
  <c r="F262" i="2"/>
  <c r="E262" i="2"/>
  <c r="F261" i="2"/>
  <c r="E261" i="2"/>
  <c r="F260" i="2"/>
  <c r="E260" i="2"/>
  <c r="F259" i="2"/>
  <c r="E259" i="2"/>
  <c r="F258" i="2"/>
  <c r="E258" i="2"/>
  <c r="F257" i="2"/>
  <c r="E257" i="2"/>
  <c r="F256" i="2"/>
  <c r="E256" i="2"/>
  <c r="F255" i="2"/>
  <c r="E255" i="2"/>
  <c r="F254" i="2"/>
  <c r="E254" i="2"/>
  <c r="F253" i="2"/>
  <c r="E253" i="2"/>
  <c r="F252" i="2"/>
  <c r="E252" i="2"/>
  <c r="F251" i="2"/>
  <c r="E251" i="2"/>
  <c r="F250" i="2"/>
  <c r="E250" i="2"/>
  <c r="F249" i="2"/>
  <c r="E249" i="2"/>
  <c r="F248" i="2"/>
  <c r="E248" i="2"/>
  <c r="F247" i="2"/>
  <c r="E247" i="2"/>
  <c r="F246" i="2"/>
  <c r="E246" i="2"/>
  <c r="F245" i="2"/>
  <c r="E245" i="2"/>
  <c r="F244" i="2"/>
  <c r="E244" i="2"/>
  <c r="F243" i="2"/>
  <c r="E243" i="2"/>
  <c r="F242" i="2"/>
  <c r="E242" i="2"/>
  <c r="F241" i="2"/>
  <c r="E241" i="2"/>
  <c r="F240" i="2"/>
  <c r="E240" i="2"/>
  <c r="F239" i="2"/>
  <c r="E239" i="2"/>
  <c r="F238" i="2"/>
  <c r="E238" i="2"/>
  <c r="F237" i="2"/>
  <c r="E237" i="2"/>
  <c r="F236" i="2"/>
  <c r="E236" i="2"/>
  <c r="F235" i="2"/>
  <c r="E235" i="2"/>
  <c r="F234" i="2"/>
  <c r="E234" i="2"/>
  <c r="F233" i="2"/>
  <c r="E233" i="2"/>
  <c r="F232" i="2"/>
  <c r="E232" i="2"/>
  <c r="F231" i="2"/>
  <c r="E231" i="2"/>
  <c r="F230" i="2"/>
  <c r="E230" i="2"/>
  <c r="F229" i="2"/>
  <c r="E229" i="2"/>
  <c r="F228" i="2"/>
  <c r="E228" i="2"/>
  <c r="F227" i="2"/>
  <c r="E227" i="2"/>
  <c r="F226" i="2"/>
  <c r="E226" i="2"/>
  <c r="F225" i="2"/>
  <c r="E225" i="2"/>
  <c r="F224" i="2"/>
  <c r="E224" i="2"/>
  <c r="F223" i="2"/>
  <c r="E223" i="2"/>
  <c r="F222" i="2"/>
  <c r="E222" i="2"/>
  <c r="F221" i="2"/>
  <c r="E221" i="2"/>
  <c r="F220" i="2"/>
  <c r="E220" i="2"/>
  <c r="F219" i="2"/>
  <c r="E219" i="2"/>
  <c r="F218" i="2"/>
  <c r="E218" i="2"/>
  <c r="F217" i="2"/>
  <c r="E217" i="2"/>
  <c r="F216" i="2"/>
  <c r="E216" i="2"/>
  <c r="F215" i="2"/>
  <c r="E215" i="2"/>
  <c r="F214" i="2"/>
  <c r="E214" i="2"/>
  <c r="F213" i="2"/>
  <c r="E213" i="2"/>
  <c r="F212" i="2"/>
  <c r="E212" i="2"/>
  <c r="F211" i="2"/>
  <c r="E211" i="2"/>
  <c r="F210" i="2"/>
  <c r="E210" i="2"/>
  <c r="F209" i="2"/>
  <c r="E209" i="2"/>
  <c r="F208" i="2"/>
  <c r="E208" i="2"/>
  <c r="F207" i="2"/>
  <c r="E207" i="2"/>
  <c r="F206" i="2"/>
  <c r="E206" i="2"/>
  <c r="F205" i="2"/>
  <c r="E205" i="2"/>
  <c r="F204" i="2"/>
  <c r="E204" i="2"/>
  <c r="F203" i="2"/>
  <c r="E203" i="2"/>
  <c r="D203" i="2"/>
  <c r="F202" i="2"/>
  <c r="E202" i="2"/>
  <c r="F201" i="2"/>
  <c r="E201" i="2"/>
  <c r="F200" i="2"/>
  <c r="E200" i="2"/>
  <c r="F199" i="2"/>
  <c r="E199" i="2"/>
  <c r="F198" i="2"/>
  <c r="E198" i="2"/>
  <c r="F197" i="2"/>
  <c r="E197" i="2"/>
  <c r="F196" i="2"/>
  <c r="E196" i="2"/>
  <c r="F195" i="2"/>
  <c r="E195" i="2"/>
  <c r="F194" i="2"/>
  <c r="E194" i="2"/>
  <c r="F193" i="2"/>
  <c r="E193" i="2"/>
  <c r="F192" i="2"/>
  <c r="E192" i="2"/>
  <c r="F191" i="2"/>
  <c r="E191" i="2"/>
  <c r="F190" i="2"/>
  <c r="E190" i="2"/>
  <c r="F189" i="2"/>
  <c r="E189" i="2"/>
  <c r="F188" i="2"/>
  <c r="E188" i="2"/>
  <c r="F187" i="2"/>
  <c r="E187" i="2"/>
  <c r="F186" i="2"/>
  <c r="E186" i="2"/>
  <c r="F185" i="2"/>
  <c r="E185" i="2"/>
  <c r="F184" i="2"/>
  <c r="E184" i="2"/>
  <c r="F183" i="2"/>
  <c r="E183" i="2"/>
  <c r="F182" i="2"/>
  <c r="E182" i="2"/>
  <c r="F181" i="2"/>
  <c r="E181" i="2"/>
  <c r="F180" i="2"/>
  <c r="E180" i="2"/>
  <c r="F179" i="2"/>
  <c r="E179" i="2"/>
  <c r="F178" i="2"/>
  <c r="E178" i="2"/>
  <c r="F177" i="2"/>
  <c r="E177" i="2"/>
  <c r="F176" i="2"/>
  <c r="E176" i="2"/>
  <c r="F175" i="2"/>
  <c r="E175" i="2"/>
  <c r="F174" i="2"/>
  <c r="E174" i="2"/>
  <c r="F173" i="2"/>
  <c r="E173" i="2"/>
  <c r="F172" i="2"/>
  <c r="E172" i="2"/>
  <c r="F171" i="2"/>
  <c r="E171" i="2"/>
  <c r="F170" i="2"/>
  <c r="E170" i="2"/>
  <c r="F169" i="2"/>
  <c r="E169" i="2"/>
  <c r="F168" i="2"/>
  <c r="E168" i="2"/>
  <c r="F167" i="2"/>
  <c r="E167" i="2"/>
  <c r="F166" i="2"/>
  <c r="E166" i="2"/>
  <c r="F165" i="2"/>
  <c r="E165" i="2"/>
  <c r="F164" i="2"/>
  <c r="E164" i="2"/>
  <c r="F163" i="2"/>
  <c r="E163" i="2"/>
  <c r="F162" i="2"/>
  <c r="E162" i="2"/>
  <c r="F161" i="2"/>
  <c r="E161" i="2"/>
  <c r="F160" i="2"/>
  <c r="E160" i="2"/>
  <c r="F159" i="2"/>
  <c r="E159" i="2"/>
  <c r="F158" i="2"/>
  <c r="E158" i="2"/>
  <c r="F157" i="2"/>
  <c r="E157" i="2"/>
  <c r="F156" i="2"/>
  <c r="E156" i="2"/>
  <c r="F155" i="2"/>
  <c r="E155" i="2"/>
  <c r="F154" i="2"/>
  <c r="E154" i="2"/>
  <c r="F153" i="2"/>
  <c r="E153" i="2"/>
  <c r="F152" i="2"/>
  <c r="E152" i="2"/>
  <c r="F151" i="2"/>
  <c r="E151" i="2"/>
  <c r="F150" i="2"/>
  <c r="E150" i="2"/>
  <c r="F149" i="2"/>
  <c r="E149" i="2"/>
  <c r="F148" i="2"/>
  <c r="E148" i="2"/>
  <c r="F147" i="2"/>
  <c r="E147" i="2"/>
  <c r="F146" i="2"/>
  <c r="E146" i="2"/>
  <c r="F145" i="2"/>
  <c r="E145" i="2"/>
  <c r="F144" i="2"/>
  <c r="E144" i="2"/>
  <c r="F143" i="2"/>
  <c r="E143" i="2"/>
  <c r="F142" i="2"/>
  <c r="E142" i="2"/>
  <c r="F141" i="2"/>
  <c r="E141" i="2"/>
  <c r="F140" i="2"/>
  <c r="E140" i="2"/>
  <c r="F139" i="2"/>
  <c r="E139" i="2"/>
  <c r="F138" i="2"/>
  <c r="E138" i="2"/>
  <c r="F137" i="2"/>
  <c r="E137" i="2"/>
  <c r="F136" i="2"/>
  <c r="E136" i="2"/>
  <c r="F135" i="2"/>
  <c r="E135" i="2"/>
  <c r="F134" i="2"/>
  <c r="E134" i="2"/>
  <c r="F126" i="2"/>
  <c r="E126" i="2"/>
  <c r="F120" i="2"/>
  <c r="F121" i="2" s="1"/>
  <c r="F122" i="2" s="1"/>
  <c r="F123" i="2" s="1"/>
  <c r="F124" i="2" s="1"/>
  <c r="F125" i="2" s="1"/>
  <c r="E120" i="2"/>
  <c r="E121" i="2" s="1"/>
  <c r="E122" i="2" s="1"/>
  <c r="E123" i="2" s="1"/>
  <c r="E124" i="2" s="1"/>
  <c r="E125" i="2" s="1"/>
  <c r="F119" i="2"/>
  <c r="E119" i="2"/>
  <c r="F118" i="2"/>
  <c r="E118" i="2"/>
  <c r="F117" i="2"/>
  <c r="E117" i="2"/>
  <c r="F116" i="2"/>
  <c r="E116" i="2"/>
  <c r="F108" i="2"/>
  <c r="F109" i="2" s="1"/>
  <c r="F110" i="2" s="1"/>
  <c r="F111" i="2" s="1"/>
  <c r="F112" i="2" s="1"/>
  <c r="F113" i="2" s="1"/>
  <c r="F114" i="2" s="1"/>
  <c r="F115" i="2" s="1"/>
  <c r="E108" i="2"/>
  <c r="F100" i="2"/>
  <c r="F101" i="2" s="1"/>
  <c r="F102" i="2" s="1"/>
  <c r="F103" i="2" s="1"/>
  <c r="F104" i="2" s="1"/>
  <c r="F105" i="2" s="1"/>
  <c r="F106" i="2" s="1"/>
  <c r="F107" i="2" s="1"/>
  <c r="E100" i="2"/>
  <c r="E101" i="2" s="1"/>
  <c r="E102" i="2" s="1"/>
  <c r="F96" i="2"/>
  <c r="F97" i="2" s="1"/>
  <c r="F98" i="2" s="1"/>
  <c r="F99" i="2" s="1"/>
  <c r="E96" i="2"/>
  <c r="E97" i="2" s="1"/>
  <c r="E98" i="2" s="1"/>
  <c r="E99" i="2" s="1"/>
  <c r="F95" i="2"/>
  <c r="E95" i="2"/>
  <c r="F91" i="2"/>
  <c r="F92" i="2" s="1"/>
  <c r="F93" i="2" s="1"/>
  <c r="F94" i="2" s="1"/>
  <c r="E91" i="2"/>
  <c r="E92" i="2" s="1"/>
  <c r="E93" i="2" s="1"/>
  <c r="F90" i="2"/>
  <c r="E90" i="2"/>
  <c r="F89" i="2"/>
  <c r="E89" i="2"/>
  <c r="F88" i="2"/>
  <c r="E88" i="2"/>
  <c r="F87" i="2"/>
  <c r="E87" i="2"/>
  <c r="F86" i="2"/>
  <c r="E86" i="2"/>
  <c r="F85" i="2"/>
  <c r="E85" i="2"/>
  <c r="F84" i="2"/>
  <c r="E84" i="2"/>
  <c r="F83" i="2"/>
  <c r="E83" i="2"/>
  <c r="F82" i="2"/>
  <c r="E82" i="2"/>
  <c r="F81" i="2"/>
  <c r="E81" i="2"/>
  <c r="F80" i="2"/>
  <c r="E80" i="2"/>
  <c r="F79" i="2"/>
  <c r="E79" i="2"/>
  <c r="F78" i="2"/>
  <c r="E78" i="2"/>
  <c r="F77" i="2"/>
  <c r="E77" i="2"/>
  <c r="F76" i="2"/>
  <c r="E76" i="2"/>
  <c r="F75" i="2"/>
  <c r="E75" i="2"/>
  <c r="F74" i="2"/>
  <c r="E74" i="2"/>
  <c r="F73" i="2"/>
  <c r="E73" i="2"/>
  <c r="F72" i="2"/>
  <c r="E72" i="2"/>
  <c r="F71" i="2"/>
  <c r="E71" i="2"/>
  <c r="F70" i="2"/>
  <c r="E70" i="2"/>
  <c r="F69" i="2"/>
  <c r="E69" i="2"/>
  <c r="F68" i="2"/>
  <c r="E68" i="2"/>
  <c r="F67" i="2"/>
  <c r="E67" i="2"/>
  <c r="F66" i="2"/>
  <c r="E66" i="2"/>
  <c r="F65" i="2"/>
  <c r="E65" i="2"/>
  <c r="F64" i="2"/>
  <c r="E64" i="2"/>
  <c r="F63" i="2"/>
  <c r="E63" i="2"/>
  <c r="F62" i="2"/>
  <c r="E62" i="2"/>
  <c r="F61" i="2"/>
  <c r="E61" i="2"/>
  <c r="F60" i="2"/>
  <c r="E60" i="2"/>
  <c r="F59" i="2"/>
  <c r="E59" i="2"/>
  <c r="F58" i="2"/>
  <c r="E58" i="2"/>
  <c r="F57" i="2"/>
  <c r="E57" i="2"/>
  <c r="F56" i="2"/>
  <c r="E56" i="2"/>
  <c r="F55" i="2"/>
  <c r="E55" i="2"/>
  <c r="F54" i="2"/>
  <c r="E54" i="2"/>
  <c r="F53" i="2"/>
  <c r="E53" i="2"/>
  <c r="F52" i="2"/>
  <c r="E52" i="2"/>
  <c r="F51" i="2"/>
  <c r="E51" i="2"/>
  <c r="F50" i="2"/>
  <c r="E50" i="2"/>
  <c r="F49" i="2"/>
  <c r="E49" i="2"/>
  <c r="F48" i="2"/>
  <c r="E48" i="2"/>
  <c r="F47" i="2"/>
  <c r="E47" i="2"/>
  <c r="F46" i="2"/>
  <c r="E46" i="2"/>
  <c r="F45" i="2"/>
  <c r="E45" i="2"/>
  <c r="F44" i="2"/>
  <c r="E44" i="2"/>
  <c r="F43" i="2"/>
  <c r="E43" i="2"/>
  <c r="F42" i="2"/>
  <c r="E42" i="2"/>
  <c r="F41" i="2"/>
  <c r="E41" i="2"/>
  <c r="F39" i="2"/>
  <c r="F40" i="2" s="1"/>
  <c r="E39" i="2"/>
  <c r="E40" i="2" s="1"/>
  <c r="F38" i="2"/>
  <c r="E38" i="2"/>
  <c r="F37" i="2"/>
  <c r="E37" i="2"/>
  <c r="F36" i="2"/>
  <c r="E36" i="2"/>
  <c r="F35" i="2"/>
  <c r="E35" i="2"/>
  <c r="F34" i="2"/>
  <c r="E34" i="2"/>
  <c r="F30" i="2"/>
  <c r="F31" i="2" s="1"/>
  <c r="F32" i="2" s="1"/>
  <c r="F33" i="2" s="1"/>
  <c r="E30" i="2"/>
  <c r="E31" i="2" s="1"/>
  <c r="F28" i="2"/>
  <c r="F29" i="2" s="1"/>
  <c r="E28" i="2"/>
  <c r="E29" i="2" s="1"/>
  <c r="F26" i="2"/>
  <c r="F27" i="2" s="1"/>
  <c r="E26" i="2"/>
  <c r="E27" i="2" s="1"/>
  <c r="D26" i="2"/>
  <c r="D28" i="2" s="1"/>
  <c r="D30" i="2" s="1"/>
  <c r="D35" i="2" s="1"/>
  <c r="D36" i="2" s="1"/>
  <c r="D37" i="2" s="1"/>
  <c r="D38" i="2" s="1"/>
  <c r="D39" i="2" s="1"/>
  <c r="D40" i="2" s="1"/>
  <c r="F3" i="2"/>
  <c r="D129" i="2" l="1"/>
  <c r="I129" i="2"/>
  <c r="J128" i="2"/>
  <c r="E128" i="2"/>
  <c r="J127" i="2"/>
  <c r="I124" i="2"/>
  <c r="J123" i="2"/>
  <c r="E111" i="2"/>
  <c r="I103" i="2"/>
  <c r="E103" i="2"/>
  <c r="I15" i="2"/>
  <c r="J15" i="2" s="1"/>
  <c r="E25" i="2"/>
  <c r="I16" i="2"/>
  <c r="J16" i="2" s="1"/>
  <c r="E15" i="2"/>
  <c r="D12" i="2"/>
  <c r="I7" i="2"/>
  <c r="E6" i="2"/>
  <c r="D5" i="2"/>
  <c r="D29" i="2"/>
  <c r="D27" i="2"/>
  <c r="D31" i="2"/>
  <c r="D32" i="2" s="1"/>
  <c r="D33" i="2" s="1"/>
  <c r="E94" i="2"/>
  <c r="D93" i="2"/>
  <c r="E32" i="2"/>
  <c r="D41" i="2"/>
  <c r="D42" i="2" s="1"/>
  <c r="E3" i="2"/>
  <c r="B4" i="2" s="1"/>
  <c r="E2" i="1"/>
  <c r="C3" i="1"/>
  <c r="C4" i="1"/>
  <c r="B5" i="1"/>
  <c r="E129" i="2" l="1"/>
  <c r="I130" i="2"/>
  <c r="J129" i="2"/>
  <c r="D130" i="2"/>
  <c r="I125" i="2"/>
  <c r="J125" i="2" s="1"/>
  <c r="J124" i="2"/>
  <c r="E112" i="2"/>
  <c r="I104" i="2"/>
  <c r="J103" i="2"/>
  <c r="E104" i="2"/>
  <c r="D6" i="2"/>
  <c r="J7" i="2"/>
  <c r="I8" i="2"/>
  <c r="J8" i="2" s="1"/>
  <c r="E16" i="2"/>
  <c r="E7" i="2"/>
  <c r="D13" i="2"/>
  <c r="D94" i="2"/>
  <c r="E33" i="2"/>
  <c r="D43" i="2"/>
  <c r="C5" i="1"/>
  <c r="B6" i="1"/>
  <c r="C37" i="1"/>
  <c r="G2" i="1"/>
  <c r="C36" i="1"/>
  <c r="D131" i="2" l="1"/>
  <c r="I131" i="2"/>
  <c r="J130" i="2"/>
  <c r="E130" i="2"/>
  <c r="E113" i="2"/>
  <c r="J104" i="2"/>
  <c r="I105" i="2"/>
  <c r="E105" i="2"/>
  <c r="D7" i="2"/>
  <c r="D14" i="2"/>
  <c r="D20" i="2"/>
  <c r="E8" i="2"/>
  <c r="E17" i="2"/>
  <c r="E4" i="1"/>
  <c r="I2" i="1"/>
  <c r="E5" i="1"/>
  <c r="E6" i="1"/>
  <c r="C6" i="1"/>
  <c r="B7" i="1"/>
  <c r="C38" i="1"/>
  <c r="E38" i="1"/>
  <c r="E131" i="2" l="1"/>
  <c r="I132" i="2"/>
  <c r="J131" i="2"/>
  <c r="D132" i="2"/>
  <c r="E114" i="2"/>
  <c r="I106" i="2"/>
  <c r="J105" i="2"/>
  <c r="E106" i="2"/>
  <c r="D15" i="2"/>
  <c r="D8" i="2"/>
  <c r="E18" i="2"/>
  <c r="D21" i="2"/>
  <c r="D45" i="2"/>
  <c r="K2" i="1"/>
  <c r="E36" i="1"/>
  <c r="E37" i="1"/>
  <c r="C7" i="1"/>
  <c r="G7" i="1"/>
  <c r="B8" i="1"/>
  <c r="C39" i="1"/>
  <c r="E7" i="1"/>
  <c r="E39" i="1"/>
  <c r="D133" i="2" l="1"/>
  <c r="I133" i="2"/>
  <c r="J133" i="2" s="1"/>
  <c r="J132" i="2"/>
  <c r="E132" i="2"/>
  <c r="E115" i="2"/>
  <c r="J106" i="2"/>
  <c r="I107" i="2"/>
  <c r="J107" i="2" s="1"/>
  <c r="E107" i="2"/>
  <c r="D22" i="2"/>
  <c r="E19" i="2"/>
  <c r="D16" i="2"/>
  <c r="D46" i="2"/>
  <c r="E8" i="1"/>
  <c r="G8" i="1"/>
  <c r="C40" i="1"/>
  <c r="B9" i="1"/>
  <c r="C8" i="1"/>
  <c r="E40" i="1"/>
  <c r="M2" i="1"/>
  <c r="G4" i="1"/>
  <c r="G5" i="1"/>
  <c r="G6" i="1"/>
  <c r="E133" i="2" l="1"/>
  <c r="D17" i="2"/>
  <c r="D47" i="2"/>
  <c r="O2" i="1"/>
  <c r="G36" i="1"/>
  <c r="G37" i="1"/>
  <c r="G38" i="1"/>
  <c r="G39" i="1"/>
  <c r="C9" i="1"/>
  <c r="G9" i="1"/>
  <c r="B10" i="1"/>
  <c r="E9" i="1"/>
  <c r="C41" i="1"/>
  <c r="G41" i="1"/>
  <c r="I9" i="1"/>
  <c r="E41" i="1"/>
  <c r="G40" i="1"/>
  <c r="D18" i="2" l="1"/>
  <c r="D48" i="2"/>
  <c r="E10" i="1"/>
  <c r="I10" i="1"/>
  <c r="C10" i="1"/>
  <c r="B11" i="1"/>
  <c r="C42" i="1"/>
  <c r="G42" i="1"/>
  <c r="G10" i="1"/>
  <c r="I42" i="1"/>
  <c r="E42" i="1"/>
  <c r="I4" i="1"/>
  <c r="Q2" i="1"/>
  <c r="I5" i="1"/>
  <c r="I6" i="1"/>
  <c r="I7" i="1"/>
  <c r="I8" i="1"/>
  <c r="D19" i="2" l="1"/>
  <c r="D49" i="2"/>
  <c r="C11" i="1"/>
  <c r="G11" i="1"/>
  <c r="B12" i="1"/>
  <c r="I11" i="1"/>
  <c r="C43" i="1"/>
  <c r="G43" i="1"/>
  <c r="I43" i="1"/>
  <c r="E11" i="1"/>
  <c r="E43" i="1"/>
  <c r="I36" i="1"/>
  <c r="I37" i="1"/>
  <c r="I38" i="1"/>
  <c r="I39" i="1"/>
  <c r="I40" i="1"/>
  <c r="I41" i="1"/>
  <c r="D50" i="2" l="1"/>
  <c r="E12" i="1"/>
  <c r="I12" i="1"/>
  <c r="G12" i="1"/>
  <c r="C44" i="1"/>
  <c r="G44" i="1"/>
  <c r="C12" i="1"/>
  <c r="I44" i="1"/>
  <c r="B13" i="1"/>
  <c r="E44" i="1"/>
  <c r="D51" i="2" l="1"/>
  <c r="C13" i="1"/>
  <c r="G13" i="1"/>
  <c r="B14" i="1"/>
  <c r="E13" i="1"/>
  <c r="C45" i="1"/>
  <c r="G45" i="1"/>
  <c r="I13" i="1"/>
  <c r="I45" i="1"/>
  <c r="E45" i="1"/>
  <c r="D52" i="2" l="1"/>
  <c r="E14" i="1"/>
  <c r="I14" i="1"/>
  <c r="C14" i="1"/>
  <c r="B15" i="1"/>
  <c r="C46" i="1"/>
  <c r="G46" i="1"/>
  <c r="I46" i="1"/>
  <c r="G14" i="1"/>
  <c r="E46" i="1"/>
  <c r="D204" i="2" l="1"/>
  <c r="D53" i="2"/>
  <c r="C15" i="1"/>
  <c r="G15" i="1"/>
  <c r="B16" i="1"/>
  <c r="I15" i="1"/>
  <c r="C47" i="1"/>
  <c r="G47" i="1"/>
  <c r="E15" i="1"/>
  <c r="I47" i="1"/>
  <c r="E47" i="1"/>
  <c r="D205" i="2" l="1"/>
  <c r="D54" i="2"/>
  <c r="E16" i="1"/>
  <c r="I16" i="1"/>
  <c r="G16" i="1"/>
  <c r="C48" i="1"/>
  <c r="G48" i="1"/>
  <c r="B17" i="1"/>
  <c r="I48" i="1"/>
  <c r="C16" i="1"/>
  <c r="E48" i="1"/>
  <c r="D206" i="2" l="1"/>
  <c r="D55" i="2"/>
  <c r="C17" i="1"/>
  <c r="G17" i="1"/>
  <c r="B18" i="1"/>
  <c r="E17" i="1"/>
  <c r="C49" i="1"/>
  <c r="G49" i="1"/>
  <c r="I49" i="1"/>
  <c r="I17" i="1"/>
  <c r="E49" i="1"/>
  <c r="D56" i="2" l="1"/>
  <c r="E18" i="1"/>
  <c r="I18" i="1"/>
  <c r="C18" i="1"/>
  <c r="B19" i="1"/>
  <c r="C50" i="1"/>
  <c r="G50" i="1"/>
  <c r="G18" i="1"/>
  <c r="I50" i="1"/>
  <c r="E50" i="1"/>
  <c r="D208" i="2" l="1"/>
  <c r="C19" i="1"/>
  <c r="G19" i="1"/>
  <c r="B20" i="1"/>
  <c r="I19" i="1"/>
  <c r="C51" i="1"/>
  <c r="G51" i="1"/>
  <c r="I51" i="1"/>
  <c r="E19" i="1"/>
  <c r="E51" i="1"/>
  <c r="D209" i="2" l="1"/>
  <c r="D58" i="2"/>
  <c r="E20" i="1"/>
  <c r="I20" i="1"/>
  <c r="G20" i="1"/>
  <c r="C52" i="1"/>
  <c r="G52" i="1"/>
  <c r="C20" i="1"/>
  <c r="I52" i="1"/>
  <c r="B21" i="1"/>
  <c r="E52" i="1"/>
  <c r="D210" i="2" l="1"/>
  <c r="D59" i="2"/>
  <c r="C21" i="1"/>
  <c r="G21" i="1"/>
  <c r="B22" i="1"/>
  <c r="E21" i="1"/>
  <c r="C53" i="1"/>
  <c r="G53" i="1"/>
  <c r="I21" i="1"/>
  <c r="I53" i="1"/>
  <c r="E53" i="1"/>
  <c r="D211" i="2" l="1"/>
  <c r="D60" i="2"/>
  <c r="E22" i="1"/>
  <c r="I22" i="1"/>
  <c r="C22" i="1"/>
  <c r="B23" i="1"/>
  <c r="C54" i="1"/>
  <c r="G54" i="1"/>
  <c r="I54" i="1"/>
  <c r="G22" i="1"/>
  <c r="E54" i="1"/>
  <c r="D212" i="2" l="1"/>
  <c r="D61" i="2"/>
  <c r="C23" i="1"/>
  <c r="G23" i="1"/>
  <c r="B24" i="1"/>
  <c r="I23" i="1"/>
  <c r="C55" i="1"/>
  <c r="G55" i="1"/>
  <c r="E23" i="1"/>
  <c r="I55" i="1"/>
  <c r="E55" i="1"/>
  <c r="D213" i="2" l="1"/>
  <c r="D62" i="2"/>
  <c r="E24" i="1"/>
  <c r="I24" i="1"/>
  <c r="G24" i="1"/>
  <c r="C56" i="1"/>
  <c r="G56" i="1"/>
  <c r="B25" i="1"/>
  <c r="I56" i="1"/>
  <c r="C24" i="1"/>
  <c r="E56" i="1"/>
  <c r="D214" i="2" l="1"/>
  <c r="D63" i="2"/>
  <c r="C25" i="1"/>
  <c r="G25" i="1"/>
  <c r="B26" i="1"/>
  <c r="E25" i="1"/>
  <c r="C57" i="1"/>
  <c r="G57" i="1"/>
  <c r="I57" i="1"/>
  <c r="I25" i="1"/>
  <c r="E57" i="1"/>
  <c r="D215" i="2" l="1"/>
  <c r="D64" i="2"/>
  <c r="E26" i="1"/>
  <c r="I26" i="1"/>
  <c r="C26" i="1"/>
  <c r="B27" i="1"/>
  <c r="C58" i="1"/>
  <c r="G58" i="1"/>
  <c r="G26" i="1"/>
  <c r="I58" i="1"/>
  <c r="E58" i="1"/>
  <c r="D216" i="2" l="1"/>
  <c r="D65" i="2"/>
  <c r="C27" i="1"/>
  <c r="G27" i="1"/>
  <c r="B28" i="1"/>
  <c r="I27" i="1"/>
  <c r="E59" i="1"/>
  <c r="I59" i="1"/>
  <c r="E27" i="1"/>
  <c r="C59" i="1"/>
  <c r="G59" i="1"/>
  <c r="D217" i="2" l="1"/>
  <c r="D66" i="2"/>
  <c r="E28" i="1"/>
  <c r="I28" i="1"/>
  <c r="G28" i="1"/>
  <c r="C28" i="1"/>
  <c r="E60" i="1"/>
  <c r="I60" i="1"/>
  <c r="B29" i="1"/>
  <c r="C60" i="1"/>
  <c r="G60" i="1"/>
  <c r="D67" i="2" l="1"/>
  <c r="C29" i="1"/>
  <c r="G29" i="1"/>
  <c r="B30" i="1"/>
  <c r="E29" i="1"/>
  <c r="I29" i="1"/>
  <c r="E61" i="1"/>
  <c r="I61" i="1"/>
  <c r="C61" i="1"/>
  <c r="G61" i="1"/>
  <c r="D247" i="2" l="1"/>
  <c r="D219" i="2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68" i="2"/>
  <c r="D69" i="2" s="1"/>
  <c r="E30" i="1"/>
  <c r="I30" i="1"/>
  <c r="C30" i="1"/>
  <c r="B31" i="1"/>
  <c r="E62" i="1"/>
  <c r="I62" i="1"/>
  <c r="G30" i="1"/>
  <c r="C62" i="1"/>
  <c r="G62" i="1"/>
  <c r="D70" i="2" l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248" i="2"/>
  <c r="C31" i="1"/>
  <c r="G31" i="1"/>
  <c r="B32" i="1"/>
  <c r="I31" i="1"/>
  <c r="E31" i="1"/>
  <c r="E63" i="1"/>
  <c r="I63" i="1"/>
  <c r="C63" i="1"/>
  <c r="G63" i="1"/>
  <c r="D249" i="2" l="1"/>
  <c r="E32" i="1"/>
  <c r="I32" i="1"/>
  <c r="G32" i="1"/>
  <c r="B33" i="1"/>
  <c r="E64" i="1"/>
  <c r="I64" i="1"/>
  <c r="C32" i="1"/>
  <c r="C64" i="1"/>
  <c r="G64" i="1"/>
  <c r="D250" i="2" l="1"/>
  <c r="C33" i="1"/>
  <c r="G33" i="1"/>
  <c r="B34" i="1"/>
  <c r="E33" i="1"/>
  <c r="E65" i="1"/>
  <c r="I65" i="1"/>
  <c r="I33" i="1"/>
  <c r="C65" i="1"/>
  <c r="G65" i="1"/>
  <c r="D251" i="2" l="1"/>
  <c r="E34" i="1"/>
  <c r="I34" i="1"/>
  <c r="C34" i="1"/>
  <c r="B35" i="1"/>
  <c r="G34" i="1"/>
  <c r="E66" i="1"/>
  <c r="I66" i="1"/>
  <c r="C66" i="1"/>
  <c r="G66" i="1"/>
  <c r="D252" i="2" l="1"/>
  <c r="C35" i="1"/>
  <c r="G35" i="1"/>
  <c r="I35" i="1"/>
  <c r="E67" i="1"/>
  <c r="I67" i="1"/>
  <c r="E35" i="1"/>
  <c r="C67" i="1"/>
  <c r="G67" i="1"/>
  <c r="D253" i="2" l="1"/>
  <c r="D254" i="2" l="1"/>
  <c r="D255" i="2" l="1"/>
  <c r="D256" i="2" l="1"/>
  <c r="D95" i="2"/>
  <c r="D257" i="2" l="1"/>
  <c r="D96" i="2"/>
  <c r="D97" i="2" l="1"/>
  <c r="D98" i="2" s="1"/>
  <c r="D99" i="2" s="1"/>
  <c r="D258" i="2"/>
  <c r="D100" i="2"/>
  <c r="D101" i="2" s="1"/>
  <c r="D102" i="2" s="1"/>
  <c r="D103" i="2" s="1"/>
  <c r="D104" i="2" s="1"/>
  <c r="D105" i="2" s="1"/>
  <c r="D106" i="2" s="1"/>
  <c r="D107" i="2" s="1"/>
  <c r="D259" i="2" l="1"/>
  <c r="D108" i="2"/>
  <c r="D109" i="2" l="1"/>
  <c r="D260" i="2"/>
  <c r="D262" i="2" s="1"/>
  <c r="D263" i="2" s="1"/>
  <c r="D264" i="2" s="1"/>
  <c r="D116" i="2"/>
  <c r="D110" i="2" l="1"/>
  <c r="D117" i="2"/>
  <c r="D111" i="2" l="1"/>
  <c r="D118" i="2"/>
  <c r="D112" i="2" l="1"/>
  <c r="D119" i="2"/>
  <c r="D113" i="2" l="1"/>
  <c r="D120" i="2"/>
  <c r="D121" i="2" s="1"/>
  <c r="D122" i="2" s="1"/>
  <c r="D123" i="2" s="1"/>
  <c r="D124" i="2" s="1"/>
  <c r="D125" i="2" s="1"/>
  <c r="D114" i="2" l="1"/>
  <c r="D126" i="2"/>
  <c r="D115" i="2" l="1"/>
  <c r="D134" i="2"/>
  <c r="D136" i="2" l="1"/>
  <c r="D137" i="2" l="1"/>
  <c r="D138" i="2" l="1"/>
  <c r="D139" i="2" l="1"/>
  <c r="D140" i="2" l="1"/>
  <c r="D141" i="2" l="1"/>
  <c r="D142" i="2" l="1"/>
  <c r="D143" i="2" l="1"/>
  <c r="D144" i="2" l="1"/>
  <c r="D145" i="2" l="1"/>
  <c r="D146" i="2" l="1"/>
  <c r="D147" i="2" l="1"/>
  <c r="D148" i="2" l="1"/>
  <c r="D149" i="2" l="1"/>
  <c r="D150" i="2" l="1"/>
  <c r="D151" i="2" l="1"/>
  <c r="D152" i="2" l="1"/>
  <c r="D153" i="2" l="1"/>
  <c r="D154" i="2" l="1"/>
  <c r="D155" i="2" l="1"/>
  <c r="D156" i="2" l="1"/>
  <c r="D157" i="2" l="1"/>
  <c r="D159" i="2" l="1"/>
  <c r="D160" i="2" l="1"/>
  <c r="D161" i="2" l="1"/>
  <c r="D162" i="2" l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</calcChain>
</file>

<file path=xl/sharedStrings.xml><?xml version="1.0" encoding="utf-8"?>
<sst xmlns="http://schemas.openxmlformats.org/spreadsheetml/2006/main" count="380" uniqueCount="375">
  <si>
    <t>MagnitudeThreshold2Low</t>
  </si>
  <si>
    <t>CrosstalkIEmitterCo1</t>
  </si>
  <si>
    <t>AGCStateZP</t>
  </si>
  <si>
    <t>MagnitudeThreshold2LowExponent</t>
  </si>
  <si>
    <t>CrosstalkITempCo1</t>
  </si>
  <si>
    <t>AGCState</t>
  </si>
  <si>
    <t>MagnitudeThreshold1High</t>
  </si>
  <si>
    <t>PhaseOffsetVGA2Co2</t>
  </si>
  <si>
    <t>TempSensorRawLSB</t>
  </si>
  <si>
    <t>MagnitudeThreshold1HighExponent</t>
  </si>
  <si>
    <t>PhaseOffsetVGA1Co2</t>
  </si>
  <si>
    <t>TempSensorRawMSB</t>
  </si>
  <si>
    <t>NCOControl3</t>
  </si>
  <si>
    <t>Zone3ThresholdLowLSB</t>
  </si>
  <si>
    <t>PhaseOffsetAmbientCo2</t>
  </si>
  <si>
    <t>VGA2ZP</t>
  </si>
  <si>
    <t>NCOControl2</t>
  </si>
  <si>
    <t>Zone3ThresholdLowMSB</t>
  </si>
  <si>
    <t>PhaseOffsetEmitterCo2</t>
  </si>
  <si>
    <t>VGA1ZP</t>
  </si>
  <si>
    <t>NCOControl1</t>
  </si>
  <si>
    <t>Zone3ThresholdHighLSB</t>
  </si>
  <si>
    <t>PhaseOffsetTempCo2</t>
  </si>
  <si>
    <t>ZPMagnitudeLSB</t>
  </si>
  <si>
    <t>AnalogMonitorControl</t>
  </si>
  <si>
    <t>PhaseOffsetVGA2Co1</t>
  </si>
  <si>
    <t>ZPMagnitudeMSB</t>
  </si>
  <si>
    <t>StateMachineOverride1</t>
  </si>
  <si>
    <t>Zone2ThresholdLowLSB</t>
  </si>
  <si>
    <t>PhaseOffsetVGA1Co1</t>
  </si>
  <si>
    <t>ZPMagnitudeExp</t>
  </si>
  <si>
    <t>StateMachineOverride</t>
  </si>
  <si>
    <t>Zone2ThresholdLowMSB</t>
  </si>
  <si>
    <t>PhaseOffsetAmbientCo1</t>
  </si>
  <si>
    <t>ZeroPhaseLSB</t>
  </si>
  <si>
    <t>StateMachineControl</t>
  </si>
  <si>
    <t>Zone2ThresholdHighLSB</t>
  </si>
  <si>
    <t>PhaseOffsetEmitterCo1</t>
  </si>
  <si>
    <t>ZeroPhaseMSB</t>
  </si>
  <si>
    <t>BlockOverride</t>
  </si>
  <si>
    <t>Zone2ThresholdHighMSB</t>
  </si>
  <si>
    <t>PhaseOffsetTempCo1</t>
  </si>
  <si>
    <t>ZPCalibrationQLSB</t>
  </si>
  <si>
    <t>Zone1ThresholdLowLSB</t>
  </si>
  <si>
    <t>PhaseExponent</t>
  </si>
  <si>
    <t>ZPCalibrationQMSB</t>
  </si>
  <si>
    <t>RivisionID</t>
  </si>
  <si>
    <t>Zone1ThresholdLowMSB</t>
  </si>
  <si>
    <t>EmitterReference</t>
  </si>
  <si>
    <t>ZPCalibrationILSB</t>
  </si>
  <si>
    <t>I2CFast</t>
  </si>
  <si>
    <t>Zone1ThresholdHighLSB</t>
  </si>
  <si>
    <t>TemperatureReference</t>
  </si>
  <si>
    <t>ZPCalibrationIMSB</t>
  </si>
  <si>
    <t>Command</t>
  </si>
  <si>
    <t>Zone1ThresholdHighMSB</t>
  </si>
  <si>
    <t>PhaseOffsetLSB</t>
  </si>
  <si>
    <t>DCCalibrationQLSB</t>
  </si>
  <si>
    <t>Spares</t>
  </si>
  <si>
    <t>PhaseOffsetMSB</t>
  </si>
  <si>
    <t>DCCalibrationQMSB</t>
  </si>
  <si>
    <t>InternalRSET</t>
  </si>
  <si>
    <t>MagnitudeReferenceLSB</t>
  </si>
  <si>
    <t>DCCalibrationILSB</t>
  </si>
  <si>
    <t>OscillatorSelect</t>
  </si>
  <si>
    <t>MagnitudeReferenceMSB</t>
  </si>
  <si>
    <t>DCCalibrationIMSB</t>
  </si>
  <si>
    <t>Oscillator&amp;AAFOffset</t>
  </si>
  <si>
    <t>MagnitudeReferenceExp</t>
  </si>
  <si>
    <t>QADCLSB</t>
  </si>
  <si>
    <t>BPFSelect</t>
  </si>
  <si>
    <t>DetectionFlagReference</t>
  </si>
  <si>
    <t>CrosstalkGainLSB</t>
  </si>
  <si>
    <t>QADCMSB</t>
  </si>
  <si>
    <t>TempSensorADCMode</t>
  </si>
  <si>
    <t>DetectionFlag</t>
  </si>
  <si>
    <t>CrosstalkGainMSB</t>
  </si>
  <si>
    <t>IADCLSB</t>
  </si>
  <si>
    <t>TempSensorRegC</t>
  </si>
  <si>
    <t>InterruptFlag</t>
  </si>
  <si>
    <t>CrosstalkQLSB</t>
  </si>
  <si>
    <t>IADCMSB</t>
  </si>
  <si>
    <t>TempSensorRegB</t>
  </si>
  <si>
    <t>ReferenceMagnitudeSignificand</t>
  </si>
  <si>
    <t>CrosstalkQMSB</t>
  </si>
  <si>
    <t>GainLSB</t>
  </si>
  <si>
    <t>TempSensorRegA</t>
  </si>
  <si>
    <t>ReferenceMagnitudeExponent</t>
  </si>
  <si>
    <t>CrosstalkQExponent</t>
  </si>
  <si>
    <t>GainMSB</t>
  </si>
  <si>
    <t>EmitterVoltageADCMuxSelect</t>
  </si>
  <si>
    <t>ReferenceDistanceforMotionLSB</t>
  </si>
  <si>
    <t>CrosstalkILSB</t>
  </si>
  <si>
    <t>VGA2</t>
  </si>
  <si>
    <t>EmitterVoltageADCOffset</t>
  </si>
  <si>
    <t>ReferenceDistanceforMotionMSB</t>
  </si>
  <si>
    <t>CrosstalkIMSB</t>
  </si>
  <si>
    <t>VGA1</t>
  </si>
  <si>
    <t>PeakDetectorThresholds</t>
  </si>
  <si>
    <t>DetectionCondition2</t>
  </si>
  <si>
    <t>CrosstalkIExponent</t>
  </si>
  <si>
    <t>AmbientADC</t>
  </si>
  <si>
    <t>DetectionCondition1</t>
  </si>
  <si>
    <t>CollisionPeakSelect</t>
  </si>
  <si>
    <t>AFETemperature</t>
  </si>
  <si>
    <t>FixedError</t>
  </si>
  <si>
    <t>EmitterVoltageAfter</t>
  </si>
  <si>
    <t>ADCVrefCode</t>
  </si>
  <si>
    <t>NoiseGain</t>
  </si>
  <si>
    <t>EmitterVoltageBefore</t>
  </si>
  <si>
    <t>VGA2ControlforCollision</t>
  </si>
  <si>
    <t>InterruptControl</t>
  </si>
  <si>
    <t>CircuitNoise</t>
  </si>
  <si>
    <t>QRawLSB</t>
  </si>
  <si>
    <t>VGA1ControlforCollision</t>
  </si>
  <si>
    <t>MagnitudeSquelch</t>
  </si>
  <si>
    <t>QRawMSB</t>
  </si>
  <si>
    <t>VGA2ManualforZP</t>
  </si>
  <si>
    <t>MagnitudeSquelchExponent</t>
  </si>
  <si>
    <t>QRawExponent</t>
  </si>
  <si>
    <t>VGA1ManualforZP</t>
  </si>
  <si>
    <t>NoiseThresholdSlope</t>
  </si>
  <si>
    <t>IRawLSB</t>
  </si>
  <si>
    <t>VGA2ManualforLight</t>
  </si>
  <si>
    <t>NoiseThresholdOffset</t>
  </si>
  <si>
    <t>IRawMSB</t>
  </si>
  <si>
    <t>VGA1ManualforLight</t>
  </si>
  <si>
    <t>DCSaturationThreshold</t>
  </si>
  <si>
    <t>IRawExponent</t>
  </si>
  <si>
    <t>VGAOffsetCode</t>
  </si>
  <si>
    <t>DSPEnable</t>
  </si>
  <si>
    <t>PhaseReadoutLSB</t>
  </si>
  <si>
    <t>AmbientADCTestFeatures</t>
  </si>
  <si>
    <t>AGCControl3</t>
  </si>
  <si>
    <t>PhaseReadoutMSB</t>
  </si>
  <si>
    <t>AFEControlRegisters</t>
  </si>
  <si>
    <t>AGCControl2</t>
  </si>
  <si>
    <t>MagnitudeSignificandLSB</t>
  </si>
  <si>
    <t>FrontendControl</t>
  </si>
  <si>
    <t>AGCControl1</t>
  </si>
  <si>
    <t>MagnitudeSignificandMSB</t>
  </si>
  <si>
    <t>DriverChargeBalancingDAC</t>
  </si>
  <si>
    <t>CollisionIntegrationTime</t>
  </si>
  <si>
    <t>MagnitudeExponent</t>
  </si>
  <si>
    <t>DriverBoostDuration</t>
  </si>
  <si>
    <t>ZPCalIntegrationTime</t>
  </si>
  <si>
    <t>PercisionLSB</t>
  </si>
  <si>
    <t>DriverBoost</t>
  </si>
  <si>
    <t>DCCalIntegrationTime</t>
  </si>
  <si>
    <t>PrecisionMSB</t>
  </si>
  <si>
    <t>ThresholdCurrentDAC</t>
  </si>
  <si>
    <t>SampleControl</t>
  </si>
  <si>
    <t>DistanceReadoutLSB</t>
  </si>
  <si>
    <t>DriverControl</t>
  </si>
  <si>
    <t>EmitterSelectforOpenLoop</t>
  </si>
  <si>
    <t>SamplePeriodRange</t>
  </si>
  <si>
    <t>DistanceReadoutMSB</t>
  </si>
  <si>
    <t>EmitterCurrentDAC</t>
  </si>
  <si>
    <t>CrosstalkQVGA2Co2</t>
  </si>
  <si>
    <t>SamplePeriod</t>
  </si>
  <si>
    <t>DataInvalid</t>
  </si>
  <si>
    <t>DriverRange</t>
  </si>
  <si>
    <t>CrosstalkQVGA1Co2</t>
  </si>
  <si>
    <t>IntegrationTime</t>
  </si>
  <si>
    <t>testtrim4</t>
  </si>
  <si>
    <t>CrosstalkQAmbientCo2</t>
  </si>
  <si>
    <t>testtrim3</t>
  </si>
  <si>
    <t>CrosstalkQEmitterCo2</t>
  </si>
  <si>
    <t>testtrim2</t>
  </si>
  <si>
    <t>CrosstalkQTempCo2</t>
  </si>
  <si>
    <t>testtrim1</t>
  </si>
  <si>
    <t>CrosstalkQVGA2Co1</t>
  </si>
  <si>
    <t>testreadsanple</t>
  </si>
  <si>
    <t>CrosstalkQVGA1Co1</t>
  </si>
  <si>
    <t>testsample</t>
  </si>
  <si>
    <t>CrosstalkQAmbientCo1</t>
  </si>
  <si>
    <t>testmux</t>
  </si>
  <si>
    <t>CrosstalkQEmitterCo1</t>
  </si>
  <si>
    <t>testreg3</t>
  </si>
  <si>
    <t>CrosstalkQTempCo1</t>
  </si>
  <si>
    <t>CrosstalkIVGA2Co2</t>
  </si>
  <si>
    <t>testreg2</t>
  </si>
  <si>
    <t>MotionMagnitudeThreshold</t>
  </si>
  <si>
    <t>CrosstalkIVGA1Co2</t>
  </si>
  <si>
    <t>testreg1</t>
  </si>
  <si>
    <t>MotionDistanceThresholdLSB</t>
  </si>
  <si>
    <t>CrosstalkIAmbientCo2</t>
  </si>
  <si>
    <t>Fusereg4</t>
  </si>
  <si>
    <t>MotionDistanceThresholdMSB</t>
  </si>
  <si>
    <t>CrosstalkIEmitterCo2</t>
  </si>
  <si>
    <t>Fusereg3</t>
  </si>
  <si>
    <t>MagnitudeThreshold3Low</t>
  </si>
  <si>
    <t>CrosstalkITempCo2</t>
  </si>
  <si>
    <t>Fuse_reg2</t>
  </si>
  <si>
    <t>MagnitudeThreshold3LowExponent</t>
  </si>
  <si>
    <t>CrosstalkIVGA2Co1</t>
  </si>
  <si>
    <t>StatusRegisters</t>
  </si>
  <si>
    <t>Fusereg1</t>
  </si>
  <si>
    <t>MagnitudeThreshold2High</t>
  </si>
  <si>
    <t>CrosstalkIVGA1Co1</t>
  </si>
  <si>
    <t>MasterControl</t>
  </si>
  <si>
    <t>FuseOperation</t>
  </si>
  <si>
    <t>MagnitudeThreshold2HighExponent</t>
  </si>
  <si>
    <t>CrosstalkIAmbientCo1</t>
  </si>
  <si>
    <t>DeviceID</t>
  </si>
  <si>
    <t>Group</t>
  </si>
  <si>
    <t>Register</t>
  </si>
  <si>
    <t>Field</t>
  </si>
  <si>
    <t>statusRegisters</t>
  </si>
  <si>
    <t>chip_id</t>
  </si>
  <si>
    <t>Mask</t>
  </si>
  <si>
    <t>Shift</t>
  </si>
  <si>
    <t>Addr</t>
  </si>
  <si>
    <t>samplingControlRegisters</t>
  </si>
  <si>
    <t>algorithmControlRegisters</t>
  </si>
  <si>
    <t>signalIntegrityRegisters</t>
  </si>
  <si>
    <t>closedLoopCalibrationRegisters</t>
  </si>
  <si>
    <t xml:space="preserve">openLoopCorrectionRegisters </t>
  </si>
  <si>
    <t>interruptRegisters</t>
  </si>
  <si>
    <t xml:space="preserve">detectionModeControlRegisters </t>
  </si>
  <si>
    <t>analogControlRegisters</t>
  </si>
  <si>
    <t>DftRegisters</t>
  </si>
  <si>
    <t>fuseRegisters</t>
  </si>
  <si>
    <t xml:space="preserve">digitalTestReg </t>
  </si>
  <si>
    <t>lightSampleStatusRegisters</t>
  </si>
  <si>
    <t>calibrationStatusRegisters</t>
  </si>
  <si>
    <t>debuggingRegisters</t>
  </si>
  <si>
    <t>c_en</t>
  </si>
  <si>
    <t>sleeping</t>
  </si>
  <si>
    <t>vddok</t>
  </si>
  <si>
    <t>ready</t>
  </si>
  <si>
    <t>enout</t>
  </si>
  <si>
    <t>sample_len</t>
  </si>
  <si>
    <t>sample_num</t>
  </si>
  <si>
    <t>F</t>
  </si>
  <si>
    <t>sample_period</t>
  </si>
  <si>
    <t>noise_gain</t>
  </si>
  <si>
    <t>fixed_error</t>
  </si>
  <si>
    <t>sample_skip</t>
  </si>
  <si>
    <t>collision_det_en</t>
  </si>
  <si>
    <t>zp_cal_en</t>
  </si>
  <si>
    <t>dc_cal_en</t>
  </si>
  <si>
    <t>light_en</t>
  </si>
  <si>
    <t>cali_freq</t>
  </si>
  <si>
    <t>cali_mode</t>
  </si>
  <si>
    <t>adc_mode</t>
  </si>
  <si>
    <t>R</t>
  </si>
  <si>
    <t>G</t>
  </si>
  <si>
    <t>Indexes</t>
  </si>
  <si>
    <t>dc_cal_len</t>
  </si>
  <si>
    <t>zp_cal_len</t>
  </si>
  <si>
    <t>collision_len</t>
  </si>
  <si>
    <t>agc_max_iter</t>
  </si>
  <si>
    <t>agc_cal_en</t>
  </si>
  <si>
    <t>dsp_cal_en</t>
  </si>
  <si>
    <t>agc_en</t>
  </si>
  <si>
    <t>nBits</t>
  </si>
  <si>
    <t>agc_acc_thld</t>
  </si>
  <si>
    <t>agc_persistance_thld</t>
  </si>
  <si>
    <t>min_vga2_exp</t>
  </si>
  <si>
    <t>min_vga1_exp</t>
  </si>
  <si>
    <t>dsp_light_en</t>
  </si>
  <si>
    <t>dsp_ts_en</t>
  </si>
  <si>
    <t>dsp_ol_en</t>
  </si>
  <si>
    <t>threshhold_dc</t>
  </si>
  <si>
    <t>noise_thld_os</t>
  </si>
  <si>
    <t>noise_thld_slope</t>
  </si>
  <si>
    <t>mag_squelch</t>
  </si>
  <si>
    <t>mag_squelch_exp</t>
  </si>
  <si>
    <t>ckt_noise</t>
  </si>
  <si>
    <t>ckt_noise_conn</t>
  </si>
  <si>
    <t>coll_pk_sel</t>
  </si>
  <si>
    <t>i_xtalk_exp</t>
  </si>
  <si>
    <t>q_xtalk_exp</t>
  </si>
  <si>
    <t>i_xtalk</t>
  </si>
  <si>
    <t>q_xtalk</t>
  </si>
  <si>
    <t>gain_xtalk</t>
  </si>
  <si>
    <t>mag_ref_exp</t>
  </si>
  <si>
    <t>mag_ref</t>
  </si>
  <si>
    <t>phase_offset</t>
  </si>
  <si>
    <t>ol_temp_ref</t>
  </si>
  <si>
    <t>ol_emit_ref</t>
  </si>
  <si>
    <t>ol_phase_co_exp</t>
  </si>
  <si>
    <t>ol_phase_temp_co1</t>
  </si>
  <si>
    <t>ol_phase_temp_co2</t>
  </si>
  <si>
    <t>ol_phase_amb_co1</t>
  </si>
  <si>
    <t>ol_phase_amb_co2</t>
  </si>
  <si>
    <t>ol_phase_emit_co1</t>
  </si>
  <si>
    <t>ol_phase_vga1_co1</t>
  </si>
  <si>
    <t>ol_phase_vga1_co2</t>
  </si>
  <si>
    <t>ol_phase_vga2_co2</t>
  </si>
  <si>
    <t>ol_phase_vga2_co1</t>
  </si>
  <si>
    <t>ol_phase_emit_co2</t>
  </si>
  <si>
    <t>ol_i_temp_co1</t>
  </si>
  <si>
    <t>ol_i_emit_co1</t>
  </si>
  <si>
    <t>ol_i_amb_co1</t>
  </si>
  <si>
    <t>ol_i_vga1_co1</t>
  </si>
  <si>
    <t>ol_i_vga2_co1</t>
  </si>
  <si>
    <t>ol_i_temp_co2</t>
  </si>
  <si>
    <t>ol_i_emit_co2</t>
  </si>
  <si>
    <t>ol_i_amb_co2</t>
  </si>
  <si>
    <t>ol_i_vga1_co2</t>
  </si>
  <si>
    <t>ol_i_vga2_co2</t>
  </si>
  <si>
    <t>ol_q_temp_co1</t>
  </si>
  <si>
    <t>ol_q_emit_co1</t>
  </si>
  <si>
    <t>ol_q_amb_co1</t>
  </si>
  <si>
    <t>ol_q_vga1_co1</t>
  </si>
  <si>
    <t>ol_q_vga2_co1</t>
  </si>
  <si>
    <t>ol_q_temp_co2</t>
  </si>
  <si>
    <t>ol_q_emit_co2</t>
  </si>
  <si>
    <t>ol_q_amb_co2</t>
  </si>
  <si>
    <t>ol_q_vga1_co2</t>
  </si>
  <si>
    <t>ol_q_vga2_co2</t>
  </si>
  <si>
    <t>emitter_ol_sel</t>
  </si>
  <si>
    <t>ro_irq</t>
  </si>
  <si>
    <t>change_en</t>
  </si>
  <si>
    <t>interrrupt_data_invalid</t>
  </si>
  <si>
    <t>interrupt_ctrl</t>
  </si>
  <si>
    <t>Detection</t>
  </si>
  <si>
    <t>data_invalid_mask</t>
  </si>
  <si>
    <t>persistance</t>
  </si>
  <si>
    <t>noise_buffer_enable</t>
  </si>
  <si>
    <t>noise_buffer_sign</t>
  </si>
  <si>
    <t>noise_buffer_ctrl</t>
  </si>
  <si>
    <t>c1_mag3_en</t>
  </si>
  <si>
    <t>c2_mag3_en</t>
  </si>
  <si>
    <t>c1_mag2_en</t>
  </si>
  <si>
    <t>c1_mag1_en</t>
  </si>
  <si>
    <t>c1_zone3_en</t>
  </si>
  <si>
    <t>c1_zone2_en</t>
  </si>
  <si>
    <t>c1_zone1_en</t>
  </si>
  <si>
    <t>c1_motion_magnitude_en</t>
  </si>
  <si>
    <t>c1_motion_distance_en</t>
  </si>
  <si>
    <t>c2_mag2_en</t>
  </si>
  <si>
    <t>c2_mag1_en</t>
  </si>
  <si>
    <t>c2_zone3_en</t>
  </si>
  <si>
    <t>c2_zone2_en</t>
  </si>
  <si>
    <t>c2_zone1_en</t>
  </si>
  <si>
    <t>c2_motion_magnitude_en</t>
  </si>
  <si>
    <t>c2_motion_distance_en</t>
  </si>
  <si>
    <t>motion_dist_ref</t>
  </si>
  <si>
    <t>motion_mag_exp</t>
  </si>
  <si>
    <t>motion_mag_ref</t>
  </si>
  <si>
    <t>brownout_flag</t>
  </si>
  <si>
    <t>change_flag</t>
  </si>
  <si>
    <t>event_flag</t>
  </si>
  <si>
    <t>condition_2_flag</t>
  </si>
  <si>
    <t>condition_1_flag</t>
  </si>
  <si>
    <t>data_ready</t>
  </si>
  <si>
    <t>detect_ref</t>
  </si>
  <si>
    <t>mag3_flag</t>
  </si>
  <si>
    <t>mag2_flag</t>
  </si>
  <si>
    <t>mag1_flag</t>
  </si>
  <si>
    <t>zone3_flag</t>
  </si>
  <si>
    <t>zone2_flag</t>
  </si>
  <si>
    <t>zone1_flag</t>
  </si>
  <si>
    <t>motion_magnitude_flag</t>
  </si>
  <si>
    <t>motion_distance_flag</t>
  </si>
  <si>
    <t>dist1_high</t>
  </si>
  <si>
    <t>dist1_low</t>
  </si>
  <si>
    <t>dist2_high</t>
  </si>
  <si>
    <t>dist2_low</t>
  </si>
  <si>
    <t>Zone3ThresholdHighMSB</t>
  </si>
  <si>
    <t>dist3_high</t>
  </si>
  <si>
    <t>dist3_low</t>
  </si>
  <si>
    <t>mag1_high_exp</t>
  </si>
  <si>
    <t>mag1_high</t>
  </si>
  <si>
    <t>mag2_low_exp</t>
  </si>
  <si>
    <t>mag2_high_exp</t>
  </si>
  <si>
    <t>mag3_low_exp</t>
  </si>
  <si>
    <t>mag2_low</t>
  </si>
  <si>
    <t>mag2_high</t>
  </si>
  <si>
    <t>mag3_low</t>
  </si>
  <si>
    <t>motion_dist_thld</t>
  </si>
  <si>
    <t>motion_mag_thld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</si>
</sst>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b/>
      <sz val="18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4" fillId="0" borderId="1" xfId="1" applyFont="1" applyFill="1" applyBorder="1" applyAlignment="1">
      <alignment horizontal="left" vertical="top"/>
    </xf>
    <xf numFmtId="49" fontId="4" fillId="0" borderId="1" xfId="1" applyNumberFormat="1" applyFont="1" applyFill="1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left"/>
    </xf>
    <xf numFmtId="164" fontId="5" fillId="0" borderId="2" xfId="0" applyNumberFormat="1" applyFont="1" applyBorder="1" applyAlignment="1">
      <alignment horizontal="center" vertical="center"/>
    </xf>
    <xf numFmtId="0" fontId="1" fillId="0" borderId="1" xfId="0" applyFont="1" applyFill="1" applyBorder="1" applyAlignment="1">
      <alignment horizontal="left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13</xdr:col>
          <xdr:colOff>9525</xdr:colOff>
          <xdr:row>5</xdr:row>
          <xdr:rowOff>0</xdr:rowOff>
        </xdr:to>
        <xdr:sp macro="" textlink="">
          <xdr:nvSpPr>
            <xdr:cNvPr id="1025" name="cbAutoGe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S76"/>
  <sheetViews>
    <sheetView topLeftCell="C1" zoomScale="60" zoomScaleNormal="60" workbookViewId="0">
      <selection activeCell="F60" sqref="F60"/>
    </sheetView>
  </sheetViews>
  <sheetFormatPr defaultRowHeight="15" customHeight="1" x14ac:dyDescent="0.25"/>
  <cols>
    <col min="1" max="1" width="3.28515625" style="1" customWidth="1"/>
    <col min="2" max="2" width="0" style="1" hidden="1" customWidth="1"/>
    <col min="3" max="3" width="4" style="3" bestFit="1" customWidth="1"/>
    <col min="4" max="4" width="31.140625" style="2" bestFit="1" customWidth="1"/>
    <col min="5" max="5" width="4.42578125" style="3" bestFit="1" customWidth="1"/>
    <col min="6" max="6" width="39.7109375" style="2" bestFit="1" customWidth="1"/>
    <col min="7" max="7" width="4.85546875" style="3" bestFit="1" customWidth="1"/>
    <col min="8" max="8" width="40.140625" style="2" bestFit="1" customWidth="1"/>
    <col min="9" max="9" width="4.85546875" style="3" bestFit="1" customWidth="1"/>
    <col min="10" max="10" width="29.7109375" style="2" bestFit="1" customWidth="1"/>
    <col min="11" max="11" width="4.42578125" style="1" bestFit="1" customWidth="1"/>
    <col min="12" max="12" width="40.140625" style="1" bestFit="1" customWidth="1"/>
    <col min="13" max="13" width="4.85546875" style="1" bestFit="1" customWidth="1"/>
    <col min="14" max="14" width="34.7109375" style="1" bestFit="1" customWidth="1"/>
    <col min="15" max="15" width="4.85546875" style="1" bestFit="1" customWidth="1"/>
    <col min="16" max="16" width="29.7109375" style="1" bestFit="1" customWidth="1"/>
    <col min="17" max="17" width="4.7109375" style="1" bestFit="1" customWidth="1"/>
    <col min="18" max="18" width="26.140625" style="1" bestFit="1" customWidth="1"/>
    <col min="19" max="19" width="30.140625" style="2" bestFit="1" customWidth="1"/>
    <col min="20" max="16384" width="9.140625" style="1"/>
  </cols>
  <sheetData>
    <row r="2" spans="2:17" ht="15" hidden="1" customHeight="1" thickBot="1" x14ac:dyDescent="0.3">
      <c r="C2" s="3">
        <v>0</v>
      </c>
      <c r="E2" s="3">
        <f>C2+1</f>
        <v>1</v>
      </c>
      <c r="G2" s="3">
        <f>E2+1</f>
        <v>2</v>
      </c>
      <c r="I2" s="3">
        <f>G2+1</f>
        <v>3</v>
      </c>
      <c r="K2" s="1">
        <f>I2+1</f>
        <v>4</v>
      </c>
      <c r="M2" s="1">
        <f>K2+1</f>
        <v>5</v>
      </c>
      <c r="O2" s="1">
        <f>M2+1</f>
        <v>6</v>
      </c>
      <c r="Q2" s="1">
        <f>O2+1</f>
        <v>7</v>
      </c>
    </row>
    <row r="3" spans="2:17" ht="30" customHeight="1" thickBot="1" x14ac:dyDescent="0.3">
      <c r="C3" s="14">
        <f ca="1">TODAY()</f>
        <v>42173</v>
      </c>
      <c r="D3" s="14"/>
      <c r="E3" s="14"/>
      <c r="F3" s="14"/>
      <c r="G3" s="14"/>
      <c r="H3" s="14"/>
      <c r="I3" s="14"/>
      <c r="J3" s="14"/>
    </row>
    <row r="4" spans="2:17" ht="15" customHeight="1" thickBot="1" x14ac:dyDescent="0.3">
      <c r="B4" s="1">
        <v>0</v>
      </c>
      <c r="C4" s="5" t="str">
        <f t="shared" ref="C4:C35" si="0">DEC2HEX($B4+32*C$2)</f>
        <v>0</v>
      </c>
      <c r="D4" s="7" t="s">
        <v>204</v>
      </c>
      <c r="E4" s="5" t="str">
        <f t="shared" ref="E4:E35" si="1">DEC2HEX($B4+32*G$2)</f>
        <v>40</v>
      </c>
      <c r="F4" s="4" t="s">
        <v>203</v>
      </c>
      <c r="G4" s="5" t="str">
        <f t="shared" ref="G4:G35" si="2">DEC2HEX($B4+32*K$2)</f>
        <v>80</v>
      </c>
      <c r="H4" s="4" t="s">
        <v>202</v>
      </c>
      <c r="I4" s="5" t="str">
        <f t="shared" ref="I4:I35" si="3">DEC2HEX($B4+32*O$2)</f>
        <v>C0</v>
      </c>
      <c r="J4" s="4" t="s">
        <v>201</v>
      </c>
    </row>
    <row r="5" spans="2:17" ht="15" customHeight="1" thickBot="1" x14ac:dyDescent="0.3">
      <c r="B5" s="1">
        <f t="shared" ref="B5:B35" si="4">B4+1</f>
        <v>1</v>
      </c>
      <c r="C5" s="5" t="str">
        <f t="shared" si="0"/>
        <v>1</v>
      </c>
      <c r="D5" s="7" t="s">
        <v>200</v>
      </c>
      <c r="E5" s="5" t="str">
        <f t="shared" si="1"/>
        <v>41</v>
      </c>
      <c r="F5" s="6" t="s">
        <v>199</v>
      </c>
      <c r="G5" s="5" t="str">
        <f t="shared" si="2"/>
        <v>81</v>
      </c>
      <c r="H5" s="4" t="s">
        <v>198</v>
      </c>
      <c r="I5" s="5" t="str">
        <f t="shared" si="3"/>
        <v>C1</v>
      </c>
      <c r="J5" s="4" t="s">
        <v>197</v>
      </c>
      <c r="L5" s="2"/>
    </row>
    <row r="6" spans="2:17" ht="15" customHeight="1" thickBot="1" x14ac:dyDescent="0.3">
      <c r="B6" s="1">
        <f t="shared" si="4"/>
        <v>2</v>
      </c>
      <c r="C6" s="5" t="str">
        <f t="shared" si="0"/>
        <v>2</v>
      </c>
      <c r="D6" s="7" t="s">
        <v>196</v>
      </c>
      <c r="E6" s="5" t="str">
        <f t="shared" si="1"/>
        <v>42</v>
      </c>
      <c r="F6" s="4" t="s">
        <v>195</v>
      </c>
      <c r="G6" s="5" t="str">
        <f t="shared" si="2"/>
        <v>82</v>
      </c>
      <c r="H6" s="4" t="s">
        <v>194</v>
      </c>
      <c r="I6" s="5" t="str">
        <f t="shared" si="3"/>
        <v>C2</v>
      </c>
      <c r="J6" s="4" t="s">
        <v>193</v>
      </c>
      <c r="L6" s="2"/>
    </row>
    <row r="7" spans="2:17" ht="15" customHeight="1" thickBot="1" x14ac:dyDescent="0.3">
      <c r="B7" s="1">
        <f t="shared" si="4"/>
        <v>3</v>
      </c>
      <c r="C7" s="5" t="str">
        <f t="shared" si="0"/>
        <v>3</v>
      </c>
      <c r="D7" s="13"/>
      <c r="E7" s="5" t="str">
        <f t="shared" si="1"/>
        <v>43</v>
      </c>
      <c r="F7" s="4" t="s">
        <v>192</v>
      </c>
      <c r="G7" s="5" t="str">
        <f t="shared" si="2"/>
        <v>83</v>
      </c>
      <c r="H7" s="4" t="s">
        <v>191</v>
      </c>
      <c r="I7" s="5" t="str">
        <f t="shared" si="3"/>
        <v>C3</v>
      </c>
      <c r="J7" s="4" t="s">
        <v>190</v>
      </c>
      <c r="L7" s="2"/>
    </row>
    <row r="8" spans="2:17" ht="15" customHeight="1" thickBot="1" x14ac:dyDescent="0.3">
      <c r="B8" s="1">
        <f t="shared" si="4"/>
        <v>4</v>
      </c>
      <c r="C8" s="5" t="str">
        <f t="shared" si="0"/>
        <v>4</v>
      </c>
      <c r="D8" s="13"/>
      <c r="E8" s="5" t="str">
        <f t="shared" si="1"/>
        <v>44</v>
      </c>
      <c r="F8" s="4" t="s">
        <v>189</v>
      </c>
      <c r="G8" s="5" t="str">
        <f t="shared" si="2"/>
        <v>84</v>
      </c>
      <c r="H8" s="4" t="s">
        <v>188</v>
      </c>
      <c r="I8" s="5" t="str">
        <f t="shared" si="3"/>
        <v>C4</v>
      </c>
      <c r="J8" s="4" t="s">
        <v>187</v>
      </c>
    </row>
    <row r="9" spans="2:17" ht="15" customHeight="1" thickBot="1" x14ac:dyDescent="0.3">
      <c r="B9" s="1">
        <f t="shared" si="4"/>
        <v>5</v>
      </c>
      <c r="C9" s="5" t="str">
        <f t="shared" si="0"/>
        <v>5</v>
      </c>
      <c r="D9" s="13"/>
      <c r="E9" s="5" t="str">
        <f t="shared" si="1"/>
        <v>45</v>
      </c>
      <c r="F9" s="4" t="s">
        <v>186</v>
      </c>
      <c r="G9" s="5" t="str">
        <f t="shared" si="2"/>
        <v>85</v>
      </c>
      <c r="H9" s="4" t="s">
        <v>185</v>
      </c>
      <c r="I9" s="5" t="str">
        <f t="shared" si="3"/>
        <v>C5</v>
      </c>
      <c r="J9" s="4" t="s">
        <v>184</v>
      </c>
      <c r="L9" s="2"/>
    </row>
    <row r="10" spans="2:17" ht="15" customHeight="1" thickBot="1" x14ac:dyDescent="0.3">
      <c r="B10" s="1">
        <f t="shared" si="4"/>
        <v>6</v>
      </c>
      <c r="C10" s="5" t="str">
        <f t="shared" si="0"/>
        <v>6</v>
      </c>
      <c r="D10" s="13"/>
      <c r="E10" s="5" t="str">
        <f t="shared" si="1"/>
        <v>46</v>
      </c>
      <c r="F10" s="4" t="s">
        <v>183</v>
      </c>
      <c r="G10" s="5" t="str">
        <f t="shared" si="2"/>
        <v>86</v>
      </c>
      <c r="H10" s="4" t="s">
        <v>182</v>
      </c>
      <c r="I10" s="5" t="str">
        <f t="shared" si="3"/>
        <v>C6</v>
      </c>
      <c r="J10" s="4" t="s">
        <v>181</v>
      </c>
      <c r="L10" s="2"/>
    </row>
    <row r="11" spans="2:17" ht="15" customHeight="1" thickBot="1" x14ac:dyDescent="0.3">
      <c r="B11" s="1">
        <f t="shared" si="4"/>
        <v>7</v>
      </c>
      <c r="C11" s="5" t="str">
        <f t="shared" si="0"/>
        <v>7</v>
      </c>
      <c r="D11" s="13"/>
      <c r="E11" s="5" t="str">
        <f t="shared" si="1"/>
        <v>47</v>
      </c>
      <c r="F11" s="4" t="s">
        <v>180</v>
      </c>
      <c r="G11" s="8" t="str">
        <f t="shared" si="2"/>
        <v>87</v>
      </c>
      <c r="H11" s="15"/>
      <c r="I11" s="8" t="str">
        <f t="shared" si="3"/>
        <v>C7</v>
      </c>
      <c r="J11" s="9" t="s">
        <v>178</v>
      </c>
      <c r="L11" s="2"/>
    </row>
    <row r="12" spans="2:17" ht="15" customHeight="1" thickBot="1" x14ac:dyDescent="0.3">
      <c r="B12" s="1">
        <f t="shared" si="4"/>
        <v>8</v>
      </c>
      <c r="C12" s="5" t="str">
        <f t="shared" si="0"/>
        <v>8</v>
      </c>
      <c r="D12" s="13"/>
      <c r="E12" s="5" t="str">
        <f t="shared" si="1"/>
        <v>48</v>
      </c>
      <c r="F12" s="4" t="s">
        <v>179</v>
      </c>
      <c r="G12" s="8" t="str">
        <f t="shared" si="2"/>
        <v>88</v>
      </c>
      <c r="H12" s="15"/>
      <c r="I12" s="8" t="str">
        <f t="shared" si="3"/>
        <v>C8</v>
      </c>
      <c r="J12" s="9" t="s">
        <v>178</v>
      </c>
    </row>
    <row r="13" spans="2:17" ht="15" customHeight="1" thickBot="1" x14ac:dyDescent="0.3">
      <c r="B13" s="1">
        <f t="shared" si="4"/>
        <v>9</v>
      </c>
      <c r="C13" s="5" t="str">
        <f t="shared" si="0"/>
        <v>9</v>
      </c>
      <c r="D13" s="13"/>
      <c r="E13" s="5" t="str">
        <f t="shared" si="1"/>
        <v>49</v>
      </c>
      <c r="F13" s="4" t="s">
        <v>177</v>
      </c>
      <c r="G13" s="8" t="str">
        <f t="shared" si="2"/>
        <v>89</v>
      </c>
      <c r="H13" s="15"/>
      <c r="I13" s="8" t="str">
        <f t="shared" si="3"/>
        <v>C9</v>
      </c>
      <c r="J13" s="9" t="s">
        <v>176</v>
      </c>
      <c r="L13" s="2"/>
    </row>
    <row r="14" spans="2:17" ht="15" customHeight="1" thickBot="1" x14ac:dyDescent="0.3">
      <c r="B14" s="1">
        <f t="shared" si="4"/>
        <v>10</v>
      </c>
      <c r="C14" s="5" t="str">
        <f t="shared" si="0"/>
        <v>A</v>
      </c>
      <c r="D14" s="13"/>
      <c r="E14" s="5" t="str">
        <f t="shared" si="1"/>
        <v>4A</v>
      </c>
      <c r="F14" s="4" t="s">
        <v>175</v>
      </c>
      <c r="G14" s="8" t="str">
        <f t="shared" si="2"/>
        <v>8A</v>
      </c>
      <c r="H14" s="15"/>
      <c r="I14" s="8" t="str">
        <f t="shared" si="3"/>
        <v>CA</v>
      </c>
      <c r="J14" s="9" t="s">
        <v>174</v>
      </c>
      <c r="L14" s="2"/>
    </row>
    <row r="15" spans="2:17" ht="15" customHeight="1" thickBot="1" x14ac:dyDescent="0.3">
      <c r="B15" s="1">
        <f t="shared" si="4"/>
        <v>11</v>
      </c>
      <c r="C15" s="5" t="str">
        <f t="shared" si="0"/>
        <v>B</v>
      </c>
      <c r="D15" s="13"/>
      <c r="E15" s="5" t="str">
        <f t="shared" si="1"/>
        <v>4B</v>
      </c>
      <c r="F15" s="4" t="s">
        <v>173</v>
      </c>
      <c r="G15" s="8" t="str">
        <f t="shared" si="2"/>
        <v>8B</v>
      </c>
      <c r="H15" s="15"/>
      <c r="I15" s="8" t="str">
        <f t="shared" si="3"/>
        <v>CB</v>
      </c>
      <c r="J15" s="9" t="s">
        <v>172</v>
      </c>
    </row>
    <row r="16" spans="2:17" ht="15" customHeight="1" thickBot="1" x14ac:dyDescent="0.3">
      <c r="B16" s="1">
        <f t="shared" si="4"/>
        <v>12</v>
      </c>
      <c r="C16" s="5" t="str">
        <f t="shared" si="0"/>
        <v>C</v>
      </c>
      <c r="D16" s="13"/>
      <c r="E16" s="5" t="str">
        <f t="shared" si="1"/>
        <v>4C</v>
      </c>
      <c r="F16" s="4" t="s">
        <v>171</v>
      </c>
      <c r="G16" s="8" t="str">
        <f t="shared" si="2"/>
        <v>8C</v>
      </c>
      <c r="H16" s="15"/>
      <c r="I16" s="8" t="str">
        <f t="shared" si="3"/>
        <v>CC</v>
      </c>
      <c r="J16" s="9" t="s">
        <v>170</v>
      </c>
      <c r="L16" s="2"/>
    </row>
    <row r="17" spans="2:12" ht="15" customHeight="1" thickBot="1" x14ac:dyDescent="0.3">
      <c r="B17" s="1">
        <f t="shared" si="4"/>
        <v>13</v>
      </c>
      <c r="C17" s="5" t="str">
        <f t="shared" si="0"/>
        <v>D</v>
      </c>
      <c r="D17" s="13"/>
      <c r="E17" s="5" t="str">
        <f t="shared" si="1"/>
        <v>4D</v>
      </c>
      <c r="F17" s="4" t="s">
        <v>169</v>
      </c>
      <c r="G17" s="8" t="str">
        <f t="shared" si="2"/>
        <v>8D</v>
      </c>
      <c r="H17" s="15"/>
      <c r="I17" s="8" t="str">
        <f t="shared" si="3"/>
        <v>CD</v>
      </c>
      <c r="J17" s="9" t="s">
        <v>168</v>
      </c>
      <c r="L17" s="2"/>
    </row>
    <row r="18" spans="2:12" ht="15" customHeight="1" thickBot="1" x14ac:dyDescent="0.3">
      <c r="B18" s="1">
        <f t="shared" si="4"/>
        <v>14</v>
      </c>
      <c r="C18" s="5" t="str">
        <f t="shared" si="0"/>
        <v>E</v>
      </c>
      <c r="D18" s="13"/>
      <c r="E18" s="5" t="str">
        <f t="shared" si="1"/>
        <v>4E</v>
      </c>
      <c r="F18" s="4" t="s">
        <v>167</v>
      </c>
      <c r="G18" s="8" t="str">
        <f t="shared" si="2"/>
        <v>8E</v>
      </c>
      <c r="H18" s="15"/>
      <c r="I18" s="8" t="str">
        <f t="shared" si="3"/>
        <v>CE</v>
      </c>
      <c r="J18" s="9" t="s">
        <v>166</v>
      </c>
    </row>
    <row r="19" spans="2:12" ht="15" customHeight="1" thickBot="1" x14ac:dyDescent="0.3">
      <c r="B19" s="1">
        <f t="shared" si="4"/>
        <v>15</v>
      </c>
      <c r="C19" s="5" t="str">
        <f t="shared" si="0"/>
        <v>F</v>
      </c>
      <c r="D19" s="13"/>
      <c r="E19" s="5" t="str">
        <f t="shared" si="1"/>
        <v>4F</v>
      </c>
      <c r="F19" s="4" t="s">
        <v>165</v>
      </c>
      <c r="G19" s="8" t="str">
        <f t="shared" si="2"/>
        <v>8F</v>
      </c>
      <c r="H19" s="15"/>
      <c r="I19" s="8" t="str">
        <f t="shared" si="3"/>
        <v>CF</v>
      </c>
      <c r="J19" s="9" t="s">
        <v>164</v>
      </c>
      <c r="L19" s="2"/>
    </row>
    <row r="20" spans="2:12" ht="15" customHeight="1" thickBot="1" x14ac:dyDescent="0.3">
      <c r="B20" s="1">
        <f t="shared" si="4"/>
        <v>16</v>
      </c>
      <c r="C20" s="5" t="str">
        <f t="shared" si="0"/>
        <v>10</v>
      </c>
      <c r="D20" s="6" t="s">
        <v>163</v>
      </c>
      <c r="E20" s="5" t="str">
        <f t="shared" si="1"/>
        <v>50</v>
      </c>
      <c r="F20" s="4" t="s">
        <v>162</v>
      </c>
      <c r="G20" s="8" t="str">
        <f t="shared" si="2"/>
        <v>90</v>
      </c>
      <c r="H20" s="9" t="s">
        <v>161</v>
      </c>
      <c r="I20" s="8" t="str">
        <f t="shared" si="3"/>
        <v>D0</v>
      </c>
      <c r="J20" s="9" t="s">
        <v>160</v>
      </c>
      <c r="L20" s="2"/>
    </row>
    <row r="21" spans="2:12" ht="15" customHeight="1" thickBot="1" x14ac:dyDescent="0.3">
      <c r="B21" s="1">
        <f t="shared" si="4"/>
        <v>17</v>
      </c>
      <c r="C21" s="5" t="str">
        <f t="shared" si="0"/>
        <v>11</v>
      </c>
      <c r="D21" s="4" t="s">
        <v>159</v>
      </c>
      <c r="E21" s="5" t="str">
        <f t="shared" si="1"/>
        <v>51</v>
      </c>
      <c r="F21" s="4" t="s">
        <v>158</v>
      </c>
      <c r="G21" s="8" t="str">
        <f t="shared" si="2"/>
        <v>91</v>
      </c>
      <c r="H21" s="9" t="s">
        <v>157</v>
      </c>
      <c r="I21" s="8" t="str">
        <f t="shared" si="3"/>
        <v>D1</v>
      </c>
      <c r="J21" s="9" t="s">
        <v>156</v>
      </c>
      <c r="L21" s="2"/>
    </row>
    <row r="22" spans="2:12" ht="15" customHeight="1" thickBot="1" x14ac:dyDescent="0.3">
      <c r="B22" s="1">
        <f t="shared" si="4"/>
        <v>18</v>
      </c>
      <c r="C22" s="5" t="str">
        <f t="shared" si="0"/>
        <v>12</v>
      </c>
      <c r="D22" s="4" t="s">
        <v>155</v>
      </c>
      <c r="E22" s="5" t="str">
        <f t="shared" si="1"/>
        <v>52</v>
      </c>
      <c r="F22" s="4" t="s">
        <v>154</v>
      </c>
      <c r="G22" s="8" t="str">
        <f t="shared" si="2"/>
        <v>92</v>
      </c>
      <c r="H22" s="9" t="s">
        <v>153</v>
      </c>
      <c r="I22" s="8" t="str">
        <f t="shared" si="3"/>
        <v>D2</v>
      </c>
      <c r="J22" s="9" t="s">
        <v>152</v>
      </c>
      <c r="L22" s="2"/>
    </row>
    <row r="23" spans="2:12" ht="15" customHeight="1" thickBot="1" x14ac:dyDescent="0.3">
      <c r="B23" s="1">
        <f t="shared" si="4"/>
        <v>19</v>
      </c>
      <c r="C23" s="5" t="str">
        <f t="shared" si="0"/>
        <v>13</v>
      </c>
      <c r="D23" s="4" t="s">
        <v>151</v>
      </c>
      <c r="E23" s="5" t="str">
        <f t="shared" si="1"/>
        <v>53</v>
      </c>
      <c r="F23" s="13"/>
      <c r="G23" s="8" t="str">
        <f t="shared" si="2"/>
        <v>93</v>
      </c>
      <c r="H23" s="9" t="s">
        <v>150</v>
      </c>
      <c r="I23" s="8" t="str">
        <f t="shared" si="3"/>
        <v>D3</v>
      </c>
      <c r="J23" s="9" t="s">
        <v>149</v>
      </c>
      <c r="L23" s="2"/>
    </row>
    <row r="24" spans="2:12" ht="15" customHeight="1" thickBot="1" x14ac:dyDescent="0.3">
      <c r="B24" s="1">
        <f t="shared" si="4"/>
        <v>20</v>
      </c>
      <c r="C24" s="5" t="str">
        <f t="shared" si="0"/>
        <v>14</v>
      </c>
      <c r="D24" s="4" t="s">
        <v>148</v>
      </c>
      <c r="E24" s="5" t="str">
        <f t="shared" si="1"/>
        <v>54</v>
      </c>
      <c r="F24" s="13"/>
      <c r="G24" s="8" t="str">
        <f t="shared" si="2"/>
        <v>94</v>
      </c>
      <c r="H24" s="9" t="s">
        <v>147</v>
      </c>
      <c r="I24" s="8" t="str">
        <f t="shared" si="3"/>
        <v>D4</v>
      </c>
      <c r="J24" s="9" t="s">
        <v>146</v>
      </c>
    </row>
    <row r="25" spans="2:12" ht="15" customHeight="1" thickBot="1" x14ac:dyDescent="0.3">
      <c r="B25" s="1">
        <f t="shared" si="4"/>
        <v>21</v>
      </c>
      <c r="C25" s="5" t="str">
        <f t="shared" si="0"/>
        <v>15</v>
      </c>
      <c r="D25" s="4" t="s">
        <v>145</v>
      </c>
      <c r="E25" s="5" t="str">
        <f t="shared" si="1"/>
        <v>55</v>
      </c>
      <c r="F25" s="13"/>
      <c r="G25" s="8" t="str">
        <f t="shared" si="2"/>
        <v>95</v>
      </c>
      <c r="H25" s="9" t="s">
        <v>144</v>
      </c>
      <c r="I25" s="8" t="str">
        <f t="shared" si="3"/>
        <v>D5</v>
      </c>
      <c r="J25" s="9" t="s">
        <v>143</v>
      </c>
      <c r="L25" s="2"/>
    </row>
    <row r="26" spans="2:12" ht="15" customHeight="1" thickBot="1" x14ac:dyDescent="0.3">
      <c r="B26" s="1">
        <f t="shared" si="4"/>
        <v>22</v>
      </c>
      <c r="C26" s="5" t="str">
        <f t="shared" si="0"/>
        <v>16</v>
      </c>
      <c r="D26" s="4" t="s">
        <v>142</v>
      </c>
      <c r="E26" s="5" t="str">
        <f t="shared" si="1"/>
        <v>56</v>
      </c>
      <c r="F26" s="13"/>
      <c r="G26" s="8" t="str">
        <f t="shared" si="2"/>
        <v>96</v>
      </c>
      <c r="H26" s="9" t="s">
        <v>141</v>
      </c>
      <c r="I26" s="8" t="str">
        <f t="shared" si="3"/>
        <v>D6</v>
      </c>
      <c r="J26" s="9" t="s">
        <v>140</v>
      </c>
    </row>
    <row r="27" spans="2:12" ht="15" customHeight="1" thickBot="1" x14ac:dyDescent="0.3">
      <c r="B27" s="1">
        <f t="shared" si="4"/>
        <v>23</v>
      </c>
      <c r="C27" s="5" t="str">
        <f t="shared" si="0"/>
        <v>17</v>
      </c>
      <c r="D27" s="4" t="s">
        <v>139</v>
      </c>
      <c r="E27" s="5" t="str">
        <f t="shared" si="1"/>
        <v>57</v>
      </c>
      <c r="F27" s="13"/>
      <c r="G27" s="8" t="str">
        <f t="shared" si="2"/>
        <v>97</v>
      </c>
      <c r="H27" s="9" t="s">
        <v>138</v>
      </c>
      <c r="I27" s="8" t="str">
        <f t="shared" si="3"/>
        <v>D7</v>
      </c>
      <c r="J27" s="9" t="s">
        <v>137</v>
      </c>
      <c r="L27" s="2"/>
    </row>
    <row r="28" spans="2:12" ht="15" customHeight="1" thickBot="1" x14ac:dyDescent="0.3">
      <c r="B28" s="1">
        <f t="shared" si="4"/>
        <v>24</v>
      </c>
      <c r="C28" s="5" t="str">
        <f t="shared" si="0"/>
        <v>18</v>
      </c>
      <c r="D28" s="4" t="s">
        <v>136</v>
      </c>
      <c r="E28" s="5" t="str">
        <f t="shared" si="1"/>
        <v>58</v>
      </c>
      <c r="F28" s="13"/>
      <c r="G28" s="8" t="str">
        <f t="shared" si="2"/>
        <v>98</v>
      </c>
      <c r="H28" s="9" t="s">
        <v>135</v>
      </c>
      <c r="I28" s="8" t="str">
        <f t="shared" si="3"/>
        <v>D8</v>
      </c>
      <c r="J28" s="9" t="s">
        <v>134</v>
      </c>
    </row>
    <row r="29" spans="2:12" ht="15" customHeight="1" thickBot="1" x14ac:dyDescent="0.3">
      <c r="B29" s="1">
        <f t="shared" si="4"/>
        <v>25</v>
      </c>
      <c r="C29" s="5" t="str">
        <f t="shared" si="0"/>
        <v>19</v>
      </c>
      <c r="D29" s="4" t="s">
        <v>133</v>
      </c>
      <c r="E29" s="5" t="str">
        <f t="shared" si="1"/>
        <v>59</v>
      </c>
      <c r="F29" s="13"/>
      <c r="G29" s="8" t="str">
        <f t="shared" si="2"/>
        <v>99</v>
      </c>
      <c r="H29" s="9" t="s">
        <v>132</v>
      </c>
      <c r="I29" s="8" t="str">
        <f t="shared" si="3"/>
        <v>D9</v>
      </c>
      <c r="J29" s="9" t="s">
        <v>131</v>
      </c>
      <c r="L29" s="2"/>
    </row>
    <row r="30" spans="2:12" ht="15" customHeight="1" thickBot="1" x14ac:dyDescent="0.3">
      <c r="B30" s="1">
        <f t="shared" si="4"/>
        <v>26</v>
      </c>
      <c r="C30" s="5" t="str">
        <f t="shared" si="0"/>
        <v>1A</v>
      </c>
      <c r="D30" s="4" t="s">
        <v>130</v>
      </c>
      <c r="E30" s="5" t="str">
        <f t="shared" si="1"/>
        <v>5A</v>
      </c>
      <c r="F30" s="13"/>
      <c r="G30" s="8" t="str">
        <f t="shared" si="2"/>
        <v>9A</v>
      </c>
      <c r="H30" s="9" t="s">
        <v>129</v>
      </c>
      <c r="I30" s="8" t="str">
        <f t="shared" si="3"/>
        <v>DA</v>
      </c>
      <c r="J30" s="9" t="s">
        <v>128</v>
      </c>
    </row>
    <row r="31" spans="2:12" ht="15" customHeight="1" thickBot="1" x14ac:dyDescent="0.3">
      <c r="B31" s="1">
        <f t="shared" si="4"/>
        <v>27</v>
      </c>
      <c r="C31" s="5" t="str">
        <f t="shared" si="0"/>
        <v>1B</v>
      </c>
      <c r="D31" s="4" t="s">
        <v>127</v>
      </c>
      <c r="E31" s="5" t="str">
        <f t="shared" si="1"/>
        <v>5B</v>
      </c>
      <c r="F31" s="13"/>
      <c r="G31" s="8" t="str">
        <f t="shared" si="2"/>
        <v>9B</v>
      </c>
      <c r="H31" s="9" t="s">
        <v>126</v>
      </c>
      <c r="I31" s="8" t="str">
        <f t="shared" si="3"/>
        <v>DB</v>
      </c>
      <c r="J31" s="9" t="s">
        <v>125</v>
      </c>
      <c r="L31" s="2"/>
    </row>
    <row r="32" spans="2:12" ht="15" customHeight="1" thickBot="1" x14ac:dyDescent="0.3">
      <c r="B32" s="1">
        <f t="shared" si="4"/>
        <v>28</v>
      </c>
      <c r="C32" s="5" t="str">
        <f t="shared" si="0"/>
        <v>1C</v>
      </c>
      <c r="D32" s="4" t="s">
        <v>124</v>
      </c>
      <c r="E32" s="5" t="str">
        <f t="shared" si="1"/>
        <v>5C</v>
      </c>
      <c r="F32" s="13"/>
      <c r="G32" s="8" t="str">
        <f t="shared" si="2"/>
        <v>9C</v>
      </c>
      <c r="H32" s="9" t="s">
        <v>123</v>
      </c>
      <c r="I32" s="8" t="str">
        <f t="shared" si="3"/>
        <v>DC</v>
      </c>
      <c r="J32" s="9" t="s">
        <v>122</v>
      </c>
    </row>
    <row r="33" spans="2:19" ht="15" customHeight="1" thickBot="1" x14ac:dyDescent="0.3">
      <c r="B33" s="1">
        <f t="shared" si="4"/>
        <v>29</v>
      </c>
      <c r="C33" s="5" t="str">
        <f t="shared" si="0"/>
        <v>1D</v>
      </c>
      <c r="D33" s="4" t="s">
        <v>121</v>
      </c>
      <c r="E33" s="5" t="str">
        <f t="shared" si="1"/>
        <v>5D</v>
      </c>
      <c r="F33" s="13"/>
      <c r="G33" s="8" t="str">
        <f t="shared" si="2"/>
        <v>9D</v>
      </c>
      <c r="H33" s="9" t="s">
        <v>120</v>
      </c>
      <c r="I33" s="8" t="str">
        <f t="shared" si="3"/>
        <v>DD</v>
      </c>
      <c r="J33" s="9" t="s">
        <v>119</v>
      </c>
      <c r="L33" s="2"/>
    </row>
    <row r="34" spans="2:19" ht="15" customHeight="1" thickBot="1" x14ac:dyDescent="0.3">
      <c r="B34" s="1">
        <f t="shared" si="4"/>
        <v>30</v>
      </c>
      <c r="C34" s="5" t="str">
        <f t="shared" si="0"/>
        <v>1E</v>
      </c>
      <c r="D34" s="4" t="s">
        <v>118</v>
      </c>
      <c r="E34" s="5" t="str">
        <f t="shared" si="1"/>
        <v>5E</v>
      </c>
      <c r="F34" s="13"/>
      <c r="G34" s="8" t="str">
        <f t="shared" si="2"/>
        <v>9E</v>
      </c>
      <c r="H34" s="9" t="s">
        <v>117</v>
      </c>
      <c r="I34" s="8" t="str">
        <f t="shared" si="3"/>
        <v>DE</v>
      </c>
      <c r="J34" s="9" t="s">
        <v>116</v>
      </c>
      <c r="L34" s="2"/>
    </row>
    <row r="35" spans="2:19" ht="15" customHeight="1" thickBot="1" x14ac:dyDescent="0.3">
      <c r="B35" s="1">
        <f t="shared" si="4"/>
        <v>31</v>
      </c>
      <c r="C35" s="5" t="str">
        <f t="shared" si="0"/>
        <v>1F</v>
      </c>
      <c r="D35" s="4" t="s">
        <v>115</v>
      </c>
      <c r="E35" s="5" t="str">
        <f t="shared" si="1"/>
        <v>5F</v>
      </c>
      <c r="F35" s="13"/>
      <c r="G35" s="8" t="str">
        <f t="shared" si="2"/>
        <v>9F</v>
      </c>
      <c r="H35" s="9" t="s">
        <v>114</v>
      </c>
      <c r="I35" s="8" t="str">
        <f t="shared" si="3"/>
        <v>DF</v>
      </c>
      <c r="J35" s="9" t="s">
        <v>113</v>
      </c>
      <c r="L35" s="2"/>
    </row>
    <row r="36" spans="2:19" ht="15" customHeight="1" thickBot="1" x14ac:dyDescent="0.3">
      <c r="C36" s="5" t="str">
        <f t="shared" ref="C36:C67" si="5">DEC2HEX($B4+32*E$2)</f>
        <v>20</v>
      </c>
      <c r="D36" s="4" t="s">
        <v>112</v>
      </c>
      <c r="E36" s="5" t="str">
        <f t="shared" ref="E36:E67" si="6">DEC2HEX($B4+32*I$2)</f>
        <v>60</v>
      </c>
      <c r="F36" s="4" t="s">
        <v>111</v>
      </c>
      <c r="G36" s="8" t="str">
        <f t="shared" ref="G36:G67" si="7">DEC2HEX($B4+32*M$2)</f>
        <v>A0</v>
      </c>
      <c r="H36" s="9" t="s">
        <v>110</v>
      </c>
      <c r="I36" s="8" t="str">
        <f t="shared" ref="I36:I67" si="8">DEC2HEX($B4+32*Q$2)</f>
        <v>E0</v>
      </c>
      <c r="J36" s="9" t="s">
        <v>109</v>
      </c>
      <c r="N36" s="2"/>
      <c r="P36" s="2"/>
      <c r="S36" s="1"/>
    </row>
    <row r="37" spans="2:19" ht="15" customHeight="1" thickBot="1" x14ac:dyDescent="0.3">
      <c r="C37" s="5" t="str">
        <f t="shared" si="5"/>
        <v>21</v>
      </c>
      <c r="D37" s="4" t="s">
        <v>108</v>
      </c>
      <c r="E37" s="5" t="str">
        <f t="shared" si="6"/>
        <v>61</v>
      </c>
      <c r="F37" s="4" t="s">
        <v>160</v>
      </c>
      <c r="G37" s="8" t="str">
        <f t="shared" si="7"/>
        <v>A1</v>
      </c>
      <c r="H37" s="9" t="s">
        <v>107</v>
      </c>
      <c r="I37" s="8" t="str">
        <f t="shared" si="8"/>
        <v>E1</v>
      </c>
      <c r="J37" s="9" t="s">
        <v>106</v>
      </c>
      <c r="L37" s="2"/>
      <c r="N37" s="2"/>
      <c r="R37" s="2"/>
    </row>
    <row r="38" spans="2:19" ht="15" customHeight="1" thickBot="1" x14ac:dyDescent="0.3">
      <c r="C38" s="5" t="str">
        <f t="shared" si="5"/>
        <v>22</v>
      </c>
      <c r="D38" s="4" t="s">
        <v>105</v>
      </c>
      <c r="E38" s="5" t="str">
        <f t="shared" si="6"/>
        <v>62</v>
      </c>
      <c r="F38" s="4" t="s">
        <v>318</v>
      </c>
      <c r="G38" s="8" t="str">
        <f t="shared" si="7"/>
        <v>A2</v>
      </c>
      <c r="H38" s="9" t="s">
        <v>98</v>
      </c>
      <c r="I38" s="8" t="str">
        <f t="shared" si="8"/>
        <v>E2</v>
      </c>
      <c r="J38" s="9" t="s">
        <v>104</v>
      </c>
      <c r="L38" s="2"/>
      <c r="N38" s="2"/>
      <c r="P38" s="2"/>
    </row>
    <row r="39" spans="2:19" ht="15" customHeight="1" thickBot="1" x14ac:dyDescent="0.3">
      <c r="C39" s="5" t="str">
        <f t="shared" si="5"/>
        <v>23</v>
      </c>
      <c r="D39" s="4" t="s">
        <v>103</v>
      </c>
      <c r="E39" s="5" t="str">
        <f t="shared" si="6"/>
        <v>63</v>
      </c>
      <c r="F39" s="4" t="s">
        <v>102</v>
      </c>
      <c r="G39" s="8" t="str">
        <f t="shared" si="7"/>
        <v>A3</v>
      </c>
      <c r="H39" s="9" t="s">
        <v>98</v>
      </c>
      <c r="I39" s="8" t="str">
        <f t="shared" si="8"/>
        <v>E3</v>
      </c>
      <c r="J39" s="9" t="s">
        <v>101</v>
      </c>
      <c r="L39" s="2"/>
      <c r="N39" s="2"/>
      <c r="R39" s="2"/>
    </row>
    <row r="40" spans="2:19" ht="15" customHeight="1" thickBot="1" x14ac:dyDescent="0.3">
      <c r="C40" s="5" t="str">
        <f t="shared" si="5"/>
        <v>24</v>
      </c>
      <c r="D40" s="4" t="s">
        <v>100</v>
      </c>
      <c r="E40" s="5" t="str">
        <f t="shared" si="6"/>
        <v>64</v>
      </c>
      <c r="F40" s="4" t="s">
        <v>99</v>
      </c>
      <c r="G40" s="8" t="str">
        <f t="shared" si="7"/>
        <v>A4</v>
      </c>
      <c r="H40" s="9" t="s">
        <v>98</v>
      </c>
      <c r="I40" s="8" t="str">
        <f t="shared" si="8"/>
        <v>E4</v>
      </c>
      <c r="J40" s="9" t="s">
        <v>97</v>
      </c>
      <c r="L40" s="2"/>
      <c r="N40" s="2"/>
      <c r="P40" s="2"/>
    </row>
    <row r="41" spans="2:19" ht="15" customHeight="1" thickBot="1" x14ac:dyDescent="0.3">
      <c r="C41" s="5" t="str">
        <f t="shared" si="5"/>
        <v>25</v>
      </c>
      <c r="D41" s="4" t="s">
        <v>96</v>
      </c>
      <c r="E41" s="5" t="str">
        <f t="shared" si="6"/>
        <v>65</v>
      </c>
      <c r="F41" s="4" t="s">
        <v>95</v>
      </c>
      <c r="G41" s="8" t="str">
        <f t="shared" si="7"/>
        <v>A5</v>
      </c>
      <c r="H41" s="9" t="s">
        <v>94</v>
      </c>
      <c r="I41" s="8" t="str">
        <f t="shared" si="8"/>
        <v>E5</v>
      </c>
      <c r="J41" s="9" t="s">
        <v>93</v>
      </c>
      <c r="N41" s="2"/>
      <c r="R41" s="2"/>
    </row>
    <row r="42" spans="2:19" ht="15" customHeight="1" thickBot="1" x14ac:dyDescent="0.3">
      <c r="C42" s="5" t="str">
        <f t="shared" si="5"/>
        <v>26</v>
      </c>
      <c r="D42" s="4" t="s">
        <v>92</v>
      </c>
      <c r="E42" s="5" t="str">
        <f t="shared" si="6"/>
        <v>66</v>
      </c>
      <c r="F42" s="4" t="s">
        <v>91</v>
      </c>
      <c r="G42" s="8" t="str">
        <f t="shared" si="7"/>
        <v>A6</v>
      </c>
      <c r="H42" s="9" t="s">
        <v>90</v>
      </c>
      <c r="I42" s="8" t="str">
        <f t="shared" si="8"/>
        <v>E6</v>
      </c>
      <c r="J42" s="9" t="s">
        <v>89</v>
      </c>
      <c r="L42" s="2"/>
      <c r="N42" s="2"/>
      <c r="P42" s="2"/>
      <c r="R42" s="2"/>
    </row>
    <row r="43" spans="2:19" ht="15" customHeight="1" thickBot="1" x14ac:dyDescent="0.3">
      <c r="C43" s="5" t="str">
        <f t="shared" si="5"/>
        <v>27</v>
      </c>
      <c r="D43" s="4" t="s">
        <v>88</v>
      </c>
      <c r="E43" s="5" t="str">
        <f t="shared" si="6"/>
        <v>67</v>
      </c>
      <c r="F43" s="4" t="s">
        <v>87</v>
      </c>
      <c r="G43" s="8" t="str">
        <f t="shared" si="7"/>
        <v>A7</v>
      </c>
      <c r="H43" s="9" t="s">
        <v>86</v>
      </c>
      <c r="I43" s="8" t="str">
        <f t="shared" si="8"/>
        <v>E7</v>
      </c>
      <c r="J43" s="9" t="s">
        <v>85</v>
      </c>
      <c r="L43" s="2"/>
    </row>
    <row r="44" spans="2:19" ht="15" customHeight="1" thickBot="1" x14ac:dyDescent="0.3">
      <c r="C44" s="5" t="str">
        <f t="shared" si="5"/>
        <v>28</v>
      </c>
      <c r="D44" s="4" t="s">
        <v>84</v>
      </c>
      <c r="E44" s="5" t="str">
        <f t="shared" si="6"/>
        <v>68</v>
      </c>
      <c r="F44" s="4" t="s">
        <v>83</v>
      </c>
      <c r="G44" s="8" t="str">
        <f t="shared" si="7"/>
        <v>A8</v>
      </c>
      <c r="H44" s="9" t="s">
        <v>82</v>
      </c>
      <c r="I44" s="8" t="str">
        <f t="shared" si="8"/>
        <v>E8</v>
      </c>
      <c r="J44" s="9" t="s">
        <v>81</v>
      </c>
      <c r="L44" s="2"/>
      <c r="N44" s="2"/>
      <c r="P44" s="2"/>
      <c r="R44" s="2"/>
    </row>
    <row r="45" spans="2:19" ht="15" customHeight="1" thickBot="1" x14ac:dyDescent="0.3">
      <c r="C45" s="5" t="str">
        <f t="shared" si="5"/>
        <v>29</v>
      </c>
      <c r="D45" s="4" t="s">
        <v>80</v>
      </c>
      <c r="E45" s="5" t="str">
        <f t="shared" si="6"/>
        <v>69</v>
      </c>
      <c r="F45" s="4" t="s">
        <v>79</v>
      </c>
      <c r="G45" s="8" t="str">
        <f t="shared" si="7"/>
        <v>A9</v>
      </c>
      <c r="H45" s="9" t="s">
        <v>78</v>
      </c>
      <c r="I45" s="8" t="str">
        <f t="shared" si="8"/>
        <v>E9</v>
      </c>
      <c r="J45" s="9" t="s">
        <v>77</v>
      </c>
      <c r="N45" s="2"/>
    </row>
    <row r="46" spans="2:19" ht="15" customHeight="1" thickBot="1" x14ac:dyDescent="0.3">
      <c r="C46" s="5" t="str">
        <f t="shared" si="5"/>
        <v>2A</v>
      </c>
      <c r="D46" s="4" t="s">
        <v>76</v>
      </c>
      <c r="E46" s="5" t="str">
        <f t="shared" si="6"/>
        <v>6A</v>
      </c>
      <c r="F46" s="4" t="s">
        <v>75</v>
      </c>
      <c r="G46" s="8" t="str">
        <f t="shared" si="7"/>
        <v>AA</v>
      </c>
      <c r="H46" s="9" t="s">
        <v>74</v>
      </c>
      <c r="I46" s="8" t="str">
        <f t="shared" si="8"/>
        <v>EA</v>
      </c>
      <c r="J46" s="9" t="s">
        <v>73</v>
      </c>
      <c r="L46" s="2"/>
      <c r="N46" s="2"/>
      <c r="P46" s="2"/>
      <c r="R46" s="2"/>
    </row>
    <row r="47" spans="2:19" ht="15" customHeight="1" thickBot="1" x14ac:dyDescent="0.3">
      <c r="C47" s="5" t="str">
        <f t="shared" si="5"/>
        <v>2B</v>
      </c>
      <c r="D47" s="4" t="s">
        <v>72</v>
      </c>
      <c r="E47" s="5" t="str">
        <f t="shared" si="6"/>
        <v>6B</v>
      </c>
      <c r="F47" s="4" t="s">
        <v>71</v>
      </c>
      <c r="G47" s="8" t="str">
        <f t="shared" si="7"/>
        <v>AB</v>
      </c>
      <c r="H47" s="9" t="s">
        <v>70</v>
      </c>
      <c r="I47" s="8" t="str">
        <f t="shared" si="8"/>
        <v>EB</v>
      </c>
      <c r="J47" s="9" t="s">
        <v>69</v>
      </c>
      <c r="L47" s="2"/>
      <c r="N47" s="2"/>
    </row>
    <row r="48" spans="2:19" ht="15" customHeight="1" thickBot="1" x14ac:dyDescent="0.3">
      <c r="C48" s="5" t="str">
        <f t="shared" si="5"/>
        <v>2C</v>
      </c>
      <c r="D48" s="4" t="s">
        <v>68</v>
      </c>
      <c r="E48" s="5" t="str">
        <f t="shared" si="6"/>
        <v>6C</v>
      </c>
      <c r="F48" s="13"/>
      <c r="G48" s="5" t="str">
        <f t="shared" si="7"/>
        <v>AC</v>
      </c>
      <c r="H48" s="4" t="s">
        <v>67</v>
      </c>
      <c r="I48" s="5" t="str">
        <f t="shared" si="8"/>
        <v>EC</v>
      </c>
      <c r="J48" s="4" t="s">
        <v>66</v>
      </c>
      <c r="L48" s="2"/>
      <c r="P48" s="2"/>
      <c r="R48" s="2"/>
    </row>
    <row r="49" spans="3:16" ht="15" customHeight="1" thickBot="1" x14ac:dyDescent="0.3">
      <c r="C49" s="5" t="str">
        <f t="shared" si="5"/>
        <v>2D</v>
      </c>
      <c r="D49" s="4" t="s">
        <v>65</v>
      </c>
      <c r="E49" s="5" t="str">
        <f t="shared" si="6"/>
        <v>6D</v>
      </c>
      <c r="F49" s="13"/>
      <c r="G49" s="5" t="str">
        <f t="shared" si="7"/>
        <v>AD</v>
      </c>
      <c r="H49" s="4" t="s">
        <v>64</v>
      </c>
      <c r="I49" s="5" t="str">
        <f t="shared" si="8"/>
        <v>ED</v>
      </c>
      <c r="J49" s="4" t="s">
        <v>63</v>
      </c>
    </row>
    <row r="50" spans="3:16" ht="15" customHeight="1" thickBot="1" x14ac:dyDescent="0.3">
      <c r="C50" s="5" t="str">
        <f t="shared" si="5"/>
        <v>2E</v>
      </c>
      <c r="D50" s="4" t="s">
        <v>62</v>
      </c>
      <c r="E50" s="5" t="str">
        <f t="shared" si="6"/>
        <v>6E</v>
      </c>
      <c r="F50" s="13"/>
      <c r="G50" s="5" t="str">
        <f t="shared" si="7"/>
        <v>AE</v>
      </c>
      <c r="H50" s="4" t="s">
        <v>61</v>
      </c>
      <c r="I50" s="5" t="str">
        <f t="shared" si="8"/>
        <v>EE</v>
      </c>
      <c r="J50" s="4" t="s">
        <v>60</v>
      </c>
      <c r="L50" s="2"/>
      <c r="P50" s="2"/>
    </row>
    <row r="51" spans="3:16" ht="15" customHeight="1" thickBot="1" x14ac:dyDescent="0.3">
      <c r="C51" s="5" t="str">
        <f t="shared" si="5"/>
        <v>2F</v>
      </c>
      <c r="D51" s="4" t="s">
        <v>59</v>
      </c>
      <c r="E51" s="5" t="str">
        <f t="shared" si="6"/>
        <v>6F</v>
      </c>
      <c r="F51" s="13"/>
      <c r="G51" s="5" t="str">
        <f t="shared" si="7"/>
        <v>AF</v>
      </c>
      <c r="H51" s="4" t="s">
        <v>58</v>
      </c>
      <c r="I51" s="5" t="str">
        <f t="shared" si="8"/>
        <v>EF</v>
      </c>
      <c r="J51" s="4" t="s">
        <v>57</v>
      </c>
      <c r="L51" s="2"/>
    </row>
    <row r="52" spans="3:16" ht="15" customHeight="1" thickBot="1" x14ac:dyDescent="0.3">
      <c r="C52" s="5" t="str">
        <f t="shared" si="5"/>
        <v>30</v>
      </c>
      <c r="D52" s="4" t="s">
        <v>56</v>
      </c>
      <c r="E52" s="5" t="str">
        <f t="shared" si="6"/>
        <v>70</v>
      </c>
      <c r="F52" s="4" t="s">
        <v>55</v>
      </c>
      <c r="G52" s="5" t="str">
        <f t="shared" si="7"/>
        <v>B0</v>
      </c>
      <c r="H52" s="4" t="s">
        <v>54</v>
      </c>
      <c r="I52" s="5" t="str">
        <f t="shared" si="8"/>
        <v>F0</v>
      </c>
      <c r="J52" s="4" t="s">
        <v>53</v>
      </c>
      <c r="P52" s="2"/>
    </row>
    <row r="53" spans="3:16" ht="15" customHeight="1" thickBot="1" x14ac:dyDescent="0.3">
      <c r="C53" s="5" t="str">
        <f t="shared" si="5"/>
        <v>31</v>
      </c>
      <c r="D53" s="4" t="s">
        <v>52</v>
      </c>
      <c r="E53" s="5" t="str">
        <f t="shared" si="6"/>
        <v>71</v>
      </c>
      <c r="F53" s="4" t="s">
        <v>51</v>
      </c>
      <c r="G53" s="5" t="str">
        <f t="shared" si="7"/>
        <v>B1</v>
      </c>
      <c r="H53" s="4" t="s">
        <v>50</v>
      </c>
      <c r="I53" s="5" t="str">
        <f t="shared" si="8"/>
        <v>F1</v>
      </c>
      <c r="J53" s="4" t="s">
        <v>49</v>
      </c>
      <c r="L53" s="2"/>
    </row>
    <row r="54" spans="3:16" ht="15" customHeight="1" thickBot="1" x14ac:dyDescent="0.3">
      <c r="C54" s="5" t="str">
        <f t="shared" si="5"/>
        <v>32</v>
      </c>
      <c r="D54" s="4" t="s">
        <v>48</v>
      </c>
      <c r="E54" s="5" t="str">
        <f t="shared" si="6"/>
        <v>72</v>
      </c>
      <c r="F54" s="4" t="s">
        <v>47</v>
      </c>
      <c r="G54" s="5" t="str">
        <f t="shared" si="7"/>
        <v>B2</v>
      </c>
      <c r="H54" s="4" t="s">
        <v>46</v>
      </c>
      <c r="I54" s="5" t="str">
        <f t="shared" si="8"/>
        <v>F2</v>
      </c>
      <c r="J54" s="4" t="s">
        <v>45</v>
      </c>
      <c r="L54" s="2"/>
      <c r="P54" s="2"/>
    </row>
    <row r="55" spans="3:16" ht="15" customHeight="1" thickBot="1" x14ac:dyDescent="0.3">
      <c r="C55" s="5" t="str">
        <f t="shared" si="5"/>
        <v>33</v>
      </c>
      <c r="D55" s="4" t="s">
        <v>44</v>
      </c>
      <c r="E55" s="5" t="str">
        <f t="shared" si="6"/>
        <v>73</v>
      </c>
      <c r="F55" s="4" t="s">
        <v>43</v>
      </c>
      <c r="G55" s="5" t="str">
        <f t="shared" si="7"/>
        <v>B3</v>
      </c>
      <c r="H55" s="4" t="s">
        <v>39</v>
      </c>
      <c r="I55" s="5" t="str">
        <f t="shared" si="8"/>
        <v>F3</v>
      </c>
      <c r="J55" s="4" t="s">
        <v>42</v>
      </c>
    </row>
    <row r="56" spans="3:16" ht="15" customHeight="1" thickBot="1" x14ac:dyDescent="0.3">
      <c r="C56" s="5" t="str">
        <f t="shared" si="5"/>
        <v>34</v>
      </c>
      <c r="D56" s="4" t="s">
        <v>41</v>
      </c>
      <c r="E56" s="5" t="str">
        <f t="shared" si="6"/>
        <v>74</v>
      </c>
      <c r="F56" s="4" t="s">
        <v>40</v>
      </c>
      <c r="G56" s="5" t="str">
        <f t="shared" si="7"/>
        <v>B4</v>
      </c>
      <c r="H56" s="4" t="s">
        <v>39</v>
      </c>
      <c r="I56" s="5" t="str">
        <f t="shared" si="8"/>
        <v>F4</v>
      </c>
      <c r="J56" s="4" t="s">
        <v>38</v>
      </c>
      <c r="P56" s="2"/>
    </row>
    <row r="57" spans="3:16" ht="15" customHeight="1" thickBot="1" x14ac:dyDescent="0.3">
      <c r="C57" s="5" t="str">
        <f t="shared" si="5"/>
        <v>35</v>
      </c>
      <c r="D57" s="4" t="s">
        <v>37</v>
      </c>
      <c r="E57" s="5" t="str">
        <f t="shared" si="6"/>
        <v>75</v>
      </c>
      <c r="F57" s="4" t="s">
        <v>36</v>
      </c>
      <c r="G57" s="5" t="str">
        <f t="shared" si="7"/>
        <v>B5</v>
      </c>
      <c r="H57" s="4" t="s">
        <v>35</v>
      </c>
      <c r="I57" s="5" t="str">
        <f t="shared" si="8"/>
        <v>F5</v>
      </c>
      <c r="J57" s="4" t="s">
        <v>34</v>
      </c>
    </row>
    <row r="58" spans="3:16" ht="15" customHeight="1" thickBot="1" x14ac:dyDescent="0.3">
      <c r="C58" s="5" t="str">
        <f t="shared" si="5"/>
        <v>36</v>
      </c>
      <c r="D58" s="4" t="s">
        <v>33</v>
      </c>
      <c r="E58" s="5" t="str">
        <f t="shared" si="6"/>
        <v>76</v>
      </c>
      <c r="F58" s="4" t="s">
        <v>32</v>
      </c>
      <c r="G58" s="5" t="str">
        <f t="shared" si="7"/>
        <v>B6</v>
      </c>
      <c r="H58" s="4" t="s">
        <v>31</v>
      </c>
      <c r="I58" s="5" t="str">
        <f t="shared" si="8"/>
        <v>F6</v>
      </c>
      <c r="J58" s="4" t="s">
        <v>30</v>
      </c>
    </row>
    <row r="59" spans="3:16" ht="15" customHeight="1" thickBot="1" x14ac:dyDescent="0.3">
      <c r="C59" s="5" t="str">
        <f t="shared" si="5"/>
        <v>37</v>
      </c>
      <c r="D59" s="4" t="s">
        <v>29</v>
      </c>
      <c r="E59" s="5" t="str">
        <f t="shared" si="6"/>
        <v>77</v>
      </c>
      <c r="F59" s="4" t="s">
        <v>28</v>
      </c>
      <c r="G59" s="5" t="str">
        <f t="shared" si="7"/>
        <v>B7</v>
      </c>
      <c r="H59" s="4" t="s">
        <v>27</v>
      </c>
      <c r="I59" s="5" t="str">
        <f t="shared" si="8"/>
        <v>F7</v>
      </c>
      <c r="J59" s="4" t="s">
        <v>26</v>
      </c>
      <c r="L59" s="2"/>
    </row>
    <row r="60" spans="3:16" ht="15" customHeight="1" thickBot="1" x14ac:dyDescent="0.3">
      <c r="C60" s="5" t="str">
        <f t="shared" si="5"/>
        <v>38</v>
      </c>
      <c r="D60" s="4" t="s">
        <v>25</v>
      </c>
      <c r="E60" s="5" t="str">
        <f t="shared" si="6"/>
        <v>78</v>
      </c>
      <c r="F60" s="4" t="s">
        <v>362</v>
      </c>
      <c r="G60" s="5" t="str">
        <f t="shared" si="7"/>
        <v>B8</v>
      </c>
      <c r="H60" s="4" t="s">
        <v>24</v>
      </c>
      <c r="I60" s="5" t="str">
        <f t="shared" si="8"/>
        <v>F8</v>
      </c>
      <c r="J60" s="4" t="s">
        <v>23</v>
      </c>
      <c r="L60" s="2"/>
    </row>
    <row r="61" spans="3:16" ht="15" customHeight="1" thickBot="1" x14ac:dyDescent="0.3">
      <c r="C61" s="5" t="str">
        <f t="shared" si="5"/>
        <v>39</v>
      </c>
      <c r="D61" s="4" t="s">
        <v>22</v>
      </c>
      <c r="E61" s="5" t="str">
        <f t="shared" si="6"/>
        <v>79</v>
      </c>
      <c r="F61" s="4" t="s">
        <v>21</v>
      </c>
      <c r="G61" s="5" t="str">
        <f t="shared" si="7"/>
        <v>B9</v>
      </c>
      <c r="H61" s="4" t="s">
        <v>20</v>
      </c>
      <c r="I61" s="5" t="str">
        <f t="shared" si="8"/>
        <v>F9</v>
      </c>
      <c r="J61" s="4" t="s">
        <v>19</v>
      </c>
      <c r="L61" s="2"/>
    </row>
    <row r="62" spans="3:16" ht="15" customHeight="1" thickBot="1" x14ac:dyDescent="0.3">
      <c r="C62" s="5" t="str">
        <f t="shared" si="5"/>
        <v>3A</v>
      </c>
      <c r="D62" s="4" t="s">
        <v>18</v>
      </c>
      <c r="E62" s="5" t="str">
        <f t="shared" si="6"/>
        <v>7A</v>
      </c>
      <c r="F62" s="4" t="s">
        <v>17</v>
      </c>
      <c r="G62" s="5" t="str">
        <f t="shared" si="7"/>
        <v>BA</v>
      </c>
      <c r="H62" s="4" t="s">
        <v>16</v>
      </c>
      <c r="I62" s="5" t="str">
        <f t="shared" si="8"/>
        <v>FA</v>
      </c>
      <c r="J62" s="4" t="s">
        <v>15</v>
      </c>
      <c r="L62" s="2"/>
    </row>
    <row r="63" spans="3:16" ht="15" customHeight="1" thickBot="1" x14ac:dyDescent="0.3">
      <c r="C63" s="5" t="str">
        <f t="shared" si="5"/>
        <v>3B</v>
      </c>
      <c r="D63" s="4" t="s">
        <v>14</v>
      </c>
      <c r="E63" s="5" t="str">
        <f t="shared" si="6"/>
        <v>7B</v>
      </c>
      <c r="F63" s="4" t="s">
        <v>13</v>
      </c>
      <c r="G63" s="5" t="str">
        <f t="shared" si="7"/>
        <v>BB</v>
      </c>
      <c r="H63" s="4" t="s">
        <v>12</v>
      </c>
      <c r="I63" s="5" t="str">
        <f t="shared" si="8"/>
        <v>FB</v>
      </c>
      <c r="J63" s="4" t="s">
        <v>11</v>
      </c>
      <c r="L63" s="2"/>
    </row>
    <row r="64" spans="3:16" ht="15" customHeight="1" thickBot="1" x14ac:dyDescent="0.3">
      <c r="C64" s="5" t="str">
        <f t="shared" si="5"/>
        <v>3C</v>
      </c>
      <c r="D64" s="4" t="s">
        <v>10</v>
      </c>
      <c r="E64" s="5" t="str">
        <f t="shared" si="6"/>
        <v>7C</v>
      </c>
      <c r="F64" s="4" t="s">
        <v>9</v>
      </c>
      <c r="G64" s="5" t="str">
        <f t="shared" si="7"/>
        <v>BC</v>
      </c>
      <c r="H64" s="13"/>
      <c r="I64" s="5" t="str">
        <f t="shared" si="8"/>
        <v>FC</v>
      </c>
      <c r="J64" s="4" t="s">
        <v>8</v>
      </c>
      <c r="L64" s="2"/>
    </row>
    <row r="65" spans="3:12" ht="15" customHeight="1" thickBot="1" x14ac:dyDescent="0.3">
      <c r="C65" s="5" t="str">
        <f t="shared" si="5"/>
        <v>3D</v>
      </c>
      <c r="D65" s="4" t="s">
        <v>7</v>
      </c>
      <c r="E65" s="5" t="str">
        <f t="shared" si="6"/>
        <v>7D</v>
      </c>
      <c r="F65" s="4" t="s">
        <v>6</v>
      </c>
      <c r="G65" s="5" t="str">
        <f t="shared" si="7"/>
        <v>BD</v>
      </c>
      <c r="H65" s="13"/>
      <c r="I65" s="5" t="str">
        <f t="shared" si="8"/>
        <v>FD</v>
      </c>
      <c r="J65" s="4" t="s">
        <v>5</v>
      </c>
      <c r="L65" s="2"/>
    </row>
    <row r="66" spans="3:12" ht="15" customHeight="1" thickBot="1" x14ac:dyDescent="0.3">
      <c r="C66" s="5" t="str">
        <f t="shared" si="5"/>
        <v>3E</v>
      </c>
      <c r="D66" s="4" t="s">
        <v>4</v>
      </c>
      <c r="E66" s="5" t="str">
        <f t="shared" si="6"/>
        <v>7E</v>
      </c>
      <c r="F66" s="4" t="s">
        <v>3</v>
      </c>
      <c r="G66" s="5" t="str">
        <f t="shared" si="7"/>
        <v>BE</v>
      </c>
      <c r="H66" s="13"/>
      <c r="I66" s="5" t="str">
        <f t="shared" si="8"/>
        <v>FE</v>
      </c>
      <c r="J66" s="4" t="s">
        <v>2</v>
      </c>
    </row>
    <row r="67" spans="3:12" ht="15" customHeight="1" thickBot="1" x14ac:dyDescent="0.3">
      <c r="C67" s="5" t="str">
        <f t="shared" si="5"/>
        <v>3F</v>
      </c>
      <c r="D67" s="4" t="s">
        <v>1</v>
      </c>
      <c r="E67" s="5" t="str">
        <f t="shared" si="6"/>
        <v>7F</v>
      </c>
      <c r="F67" s="4" t="s">
        <v>0</v>
      </c>
      <c r="G67" s="5" t="str">
        <f t="shared" si="7"/>
        <v>BF</v>
      </c>
      <c r="H67" s="13"/>
      <c r="I67" s="5" t="str">
        <f t="shared" si="8"/>
        <v>FF</v>
      </c>
      <c r="J67" s="4"/>
      <c r="L67" s="2"/>
    </row>
    <row r="68" spans="3:12" ht="15" customHeight="1" x14ac:dyDescent="0.25">
      <c r="L68" s="2"/>
    </row>
    <row r="69" spans="3:12" ht="15" customHeight="1" x14ac:dyDescent="0.25">
      <c r="L69" s="2"/>
    </row>
    <row r="70" spans="3:12" ht="15" customHeight="1" x14ac:dyDescent="0.25">
      <c r="L70" s="2"/>
    </row>
    <row r="72" spans="3:12" ht="15" customHeight="1" x14ac:dyDescent="0.25">
      <c r="L72" s="2"/>
    </row>
    <row r="74" spans="3:12" ht="15" customHeight="1" x14ac:dyDescent="0.25">
      <c r="L74" s="2"/>
    </row>
    <row r="76" spans="3:12" ht="15" customHeight="1" x14ac:dyDescent="0.25">
      <c r="L76" s="2"/>
    </row>
  </sheetData>
  <dataConsolidate link="1"/>
  <mergeCells count="6">
    <mergeCell ref="H64:H67"/>
    <mergeCell ref="C3:J3"/>
    <mergeCell ref="D7:D19"/>
    <mergeCell ref="F23:F35"/>
    <mergeCell ref="H11:H19"/>
    <mergeCell ref="F48:F5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64"/>
  <sheetViews>
    <sheetView tabSelected="1" zoomScale="70" zoomScaleNormal="70" workbookViewId="0">
      <pane ySplit="5025" topLeftCell="A238"/>
      <selection activeCell="D12" sqref="D12"/>
      <selection pane="bottomLeft" activeCell="G162" sqref="G162"/>
    </sheetView>
  </sheetViews>
  <sheetFormatPr defaultRowHeight="15" x14ac:dyDescent="0.25"/>
  <cols>
    <col min="1" max="1" width="3.85546875" style="11" customWidth="1"/>
    <col min="2" max="2" width="5" style="11" customWidth="1"/>
    <col min="3" max="3" width="5" style="11" bestFit="1" customWidth="1"/>
    <col min="4" max="4" width="32.42578125" bestFit="1" customWidth="1"/>
    <col min="5" max="5" width="36" bestFit="1" customWidth="1"/>
    <col min="6" max="6" width="5.85546875" style="11" bestFit="1" customWidth="1"/>
    <col min="7" max="7" width="26.42578125" bestFit="1" customWidth="1"/>
    <col min="8" max="8" width="7.42578125" style="11" bestFit="1" customWidth="1"/>
    <col min="9" max="9" width="6" style="11" bestFit="1" customWidth="1"/>
    <col min="10" max="10" width="6.28515625" bestFit="1" customWidth="1"/>
    <col min="11" max="11" width="3" customWidth="1"/>
  </cols>
  <sheetData>
    <row r="1" spans="1:10" x14ac:dyDescent="0.25">
      <c r="A1" s="16" t="s">
        <v>248</v>
      </c>
      <c r="B1" s="16"/>
      <c r="C1" s="16"/>
      <c r="F1" s="11">
        <f>COUNTA(F3:F65582)-I1</f>
        <v>249</v>
      </c>
      <c r="G1" s="11">
        <f>COUNTA(G3:G65582)</f>
        <v>142</v>
      </c>
      <c r="H1" s="12">
        <f>G1/F1</f>
        <v>0.57028112449799195</v>
      </c>
      <c r="I1" s="11">
        <f>COUNTIF(I3:I65535,16)</f>
        <v>13</v>
      </c>
    </row>
    <row r="2" spans="1:10" s="11" customFormat="1" x14ac:dyDescent="0.25">
      <c r="A2" s="11" t="s">
        <v>247</v>
      </c>
      <c r="B2" s="11" t="s">
        <v>246</v>
      </c>
      <c r="C2" s="11" t="s">
        <v>234</v>
      </c>
      <c r="D2" s="11" t="s">
        <v>205</v>
      </c>
      <c r="E2" s="11" t="s">
        <v>206</v>
      </c>
      <c r="F2" s="11" t="s">
        <v>212</v>
      </c>
      <c r="G2" s="11" t="s">
        <v>207</v>
      </c>
      <c r="H2" s="11" t="s">
        <v>211</v>
      </c>
      <c r="I2" s="11" t="s">
        <v>256</v>
      </c>
      <c r="J2" s="11" t="s">
        <v>210</v>
      </c>
    </row>
    <row r="3" spans="1:10" x14ac:dyDescent="0.25">
      <c r="A3" s="11">
        <v>0</v>
      </c>
      <c r="B3" s="11">
        <v>0</v>
      </c>
      <c r="C3" s="11">
        <v>0</v>
      </c>
      <c r="D3" t="s">
        <v>208</v>
      </c>
      <c r="E3" s="10" t="str">
        <f>regList!D4</f>
        <v>DeviceID</v>
      </c>
      <c r="F3" s="11" t="str">
        <f>regList!C4</f>
        <v>0</v>
      </c>
      <c r="G3" t="s">
        <v>209</v>
      </c>
      <c r="H3" s="11">
        <v>0</v>
      </c>
      <c r="I3" s="11">
        <v>8</v>
      </c>
      <c r="J3" s="11" t="str">
        <f>IF(I3&lt;&gt;"",DEC2HEX(2^I3-1),"")</f>
        <v>FF</v>
      </c>
    </row>
    <row r="4" spans="1:10" x14ac:dyDescent="0.25">
      <c r="A4" s="11">
        <f>IF(D4=D3,A3,A3+1)</f>
        <v>0</v>
      </c>
      <c r="B4" s="11">
        <f>IF(E3=E4,B3,B3+1)</f>
        <v>1</v>
      </c>
      <c r="C4" s="11">
        <f>IF(G4&lt;&gt;"",C3+1,C3)</f>
        <v>1</v>
      </c>
      <c r="D4" t="str">
        <f>D3</f>
        <v>statusRegisters</v>
      </c>
      <c r="E4" s="10" t="str">
        <f>regList!D5</f>
        <v>MasterControl</v>
      </c>
      <c r="F4" s="11" t="str">
        <f>regList!C5</f>
        <v>1</v>
      </c>
      <c r="G4" t="s">
        <v>227</v>
      </c>
      <c r="H4" s="11">
        <v>0</v>
      </c>
      <c r="I4" s="11">
        <v>1</v>
      </c>
      <c r="J4" s="11" t="str">
        <f t="shared" ref="J4:J67" si="0">IF(I4&lt;&gt;"",DEC2HEX(2^I4-1),"")</f>
        <v>1</v>
      </c>
    </row>
    <row r="5" spans="1:10" x14ac:dyDescent="0.25">
      <c r="A5" s="11">
        <f t="shared" ref="A5:A68" si="1">IF(D5=D4,A4,A4+1)</f>
        <v>0</v>
      </c>
      <c r="B5" s="11">
        <f t="shared" ref="B5:B68" si="2">IF(E4=E5,B4,B4+1)</f>
        <v>2</v>
      </c>
      <c r="C5" s="11">
        <f t="shared" ref="C5:C68" si="3">IF(G5&lt;&gt;"",C4+1,C4)</f>
        <v>2</v>
      </c>
      <c r="D5" t="str">
        <f>D4</f>
        <v>statusRegisters</v>
      </c>
      <c r="E5" s="10" t="str">
        <f>regList!D6</f>
        <v>StatusRegisters</v>
      </c>
      <c r="F5" s="11" t="str">
        <f>regList!C6</f>
        <v>2</v>
      </c>
      <c r="G5" t="s">
        <v>228</v>
      </c>
      <c r="H5" s="11">
        <v>3</v>
      </c>
      <c r="I5" s="11">
        <v>1</v>
      </c>
      <c r="J5" s="11" t="str">
        <f t="shared" si="0"/>
        <v>1</v>
      </c>
    </row>
    <row r="6" spans="1:10" x14ac:dyDescent="0.25">
      <c r="A6" s="11">
        <f t="shared" si="1"/>
        <v>0</v>
      </c>
      <c r="B6" s="11">
        <f t="shared" si="2"/>
        <v>2</v>
      </c>
      <c r="C6" s="11">
        <f t="shared" si="3"/>
        <v>3</v>
      </c>
      <c r="D6" t="str">
        <f>D5</f>
        <v>statusRegisters</v>
      </c>
      <c r="E6" s="10" t="str">
        <f>E5</f>
        <v>StatusRegisters</v>
      </c>
      <c r="F6" s="11" t="str">
        <f>F5</f>
        <v>2</v>
      </c>
      <c r="G6" t="s">
        <v>229</v>
      </c>
      <c r="H6" s="11">
        <f>H5-1</f>
        <v>2</v>
      </c>
      <c r="I6" s="11">
        <f>I5</f>
        <v>1</v>
      </c>
      <c r="J6" s="11" t="str">
        <f t="shared" si="0"/>
        <v>1</v>
      </c>
    </row>
    <row r="7" spans="1:10" x14ac:dyDescent="0.25">
      <c r="A7" s="11">
        <f t="shared" si="1"/>
        <v>0</v>
      </c>
      <c r="B7" s="11">
        <f t="shared" si="2"/>
        <v>2</v>
      </c>
      <c r="C7" s="11">
        <f t="shared" si="3"/>
        <v>4</v>
      </c>
      <c r="D7" t="str">
        <f t="shared" ref="D7:D8" si="4">D6</f>
        <v>statusRegisters</v>
      </c>
      <c r="E7" s="10" t="str">
        <f t="shared" ref="E7:E8" si="5">E6</f>
        <v>StatusRegisters</v>
      </c>
      <c r="F7" s="11" t="str">
        <f t="shared" ref="F7:F8" si="6">F6</f>
        <v>2</v>
      </c>
      <c r="G7" t="s">
        <v>230</v>
      </c>
      <c r="H7" s="11">
        <f t="shared" ref="H7:H8" si="7">H6-1</f>
        <v>1</v>
      </c>
      <c r="I7" s="11">
        <f t="shared" ref="I7:I8" si="8">I6</f>
        <v>1</v>
      </c>
      <c r="J7" s="11" t="str">
        <f t="shared" si="0"/>
        <v>1</v>
      </c>
    </row>
    <row r="8" spans="1:10" x14ac:dyDescent="0.25">
      <c r="A8" s="11">
        <f t="shared" si="1"/>
        <v>0</v>
      </c>
      <c r="B8" s="11">
        <f t="shared" si="2"/>
        <v>2</v>
      </c>
      <c r="C8" s="11">
        <f t="shared" si="3"/>
        <v>5</v>
      </c>
      <c r="D8" t="str">
        <f t="shared" si="4"/>
        <v>statusRegisters</v>
      </c>
      <c r="E8" s="10" t="str">
        <f t="shared" si="5"/>
        <v>StatusRegisters</v>
      </c>
      <c r="F8" s="11" t="str">
        <f t="shared" si="6"/>
        <v>2</v>
      </c>
      <c r="G8" t="s">
        <v>231</v>
      </c>
      <c r="H8" s="11">
        <f t="shared" si="7"/>
        <v>0</v>
      </c>
      <c r="I8" s="11">
        <f t="shared" si="8"/>
        <v>1</v>
      </c>
      <c r="J8" s="11" t="str">
        <f t="shared" si="0"/>
        <v>1</v>
      </c>
    </row>
    <row r="9" spans="1:10" x14ac:dyDescent="0.25">
      <c r="A9" s="11">
        <f t="shared" si="1"/>
        <v>1</v>
      </c>
      <c r="B9" s="11">
        <f t="shared" si="2"/>
        <v>3</v>
      </c>
      <c r="C9" s="11">
        <f t="shared" si="3"/>
        <v>6</v>
      </c>
      <c r="D9" t="s">
        <v>213</v>
      </c>
      <c r="E9" s="10" t="str">
        <f>regList!D20</f>
        <v>IntegrationTime</v>
      </c>
      <c r="F9" s="11" t="str">
        <f>regList!C20</f>
        <v>10</v>
      </c>
      <c r="G9" t="s">
        <v>233</v>
      </c>
      <c r="H9" s="11">
        <v>4</v>
      </c>
      <c r="I9" s="11">
        <v>4</v>
      </c>
      <c r="J9" s="11" t="str">
        <f t="shared" si="0"/>
        <v>F</v>
      </c>
    </row>
    <row r="10" spans="1:10" x14ac:dyDescent="0.25">
      <c r="A10" s="11">
        <f t="shared" si="1"/>
        <v>1</v>
      </c>
      <c r="B10" s="11">
        <f t="shared" si="2"/>
        <v>3</v>
      </c>
      <c r="C10" s="11">
        <f t="shared" si="3"/>
        <v>7</v>
      </c>
      <c r="D10" t="str">
        <f>D9</f>
        <v>samplingControlRegisters</v>
      </c>
      <c r="E10" s="10" t="str">
        <f t="shared" ref="E10:F10" si="9">E9</f>
        <v>IntegrationTime</v>
      </c>
      <c r="F10" s="11" t="str">
        <f t="shared" si="9"/>
        <v>10</v>
      </c>
      <c r="G10" t="s">
        <v>232</v>
      </c>
      <c r="H10" s="11">
        <v>0</v>
      </c>
      <c r="I10" s="11">
        <v>4</v>
      </c>
      <c r="J10" s="11" t="str">
        <f t="shared" si="0"/>
        <v>F</v>
      </c>
    </row>
    <row r="11" spans="1:10" x14ac:dyDescent="0.25">
      <c r="A11" s="11">
        <f t="shared" si="1"/>
        <v>1</v>
      </c>
      <c r="B11" s="11">
        <f t="shared" si="2"/>
        <v>4</v>
      </c>
      <c r="C11" s="11">
        <f t="shared" si="3"/>
        <v>8</v>
      </c>
      <c r="D11" t="str">
        <f>D9</f>
        <v>samplingControlRegisters</v>
      </c>
      <c r="E11" s="10" t="str">
        <f>regList!D21</f>
        <v>SamplePeriod</v>
      </c>
      <c r="F11" s="11" t="str">
        <f>regList!C21</f>
        <v>11</v>
      </c>
      <c r="G11" t="s">
        <v>235</v>
      </c>
      <c r="H11" s="11">
        <v>0</v>
      </c>
      <c r="I11" s="11">
        <v>8</v>
      </c>
      <c r="J11" s="11" t="str">
        <f t="shared" si="0"/>
        <v>FF</v>
      </c>
    </row>
    <row r="12" spans="1:10" x14ac:dyDescent="0.25">
      <c r="A12" s="11">
        <f t="shared" si="1"/>
        <v>1</v>
      </c>
      <c r="B12" s="11">
        <f t="shared" si="2"/>
        <v>5</v>
      </c>
      <c r="C12" s="11">
        <f t="shared" si="3"/>
        <v>9</v>
      </c>
      <c r="D12" t="str">
        <f t="shared" ref="D12:D22" si="10">D11</f>
        <v>samplingControlRegisters</v>
      </c>
      <c r="E12" s="10" t="str">
        <f>regList!D22</f>
        <v>SamplePeriodRange</v>
      </c>
      <c r="F12" s="11" t="str">
        <f>regList!C22</f>
        <v>12</v>
      </c>
      <c r="G12" t="s">
        <v>238</v>
      </c>
      <c r="H12" s="11">
        <v>0</v>
      </c>
      <c r="I12" s="11">
        <v>2</v>
      </c>
      <c r="J12" s="11" t="str">
        <f t="shared" si="0"/>
        <v>3</v>
      </c>
    </row>
    <row r="13" spans="1:10" x14ac:dyDescent="0.25">
      <c r="A13" s="11">
        <f t="shared" si="1"/>
        <v>1</v>
      </c>
      <c r="B13" s="11">
        <f t="shared" si="2"/>
        <v>6</v>
      </c>
      <c r="C13" s="11">
        <f t="shared" si="3"/>
        <v>10</v>
      </c>
      <c r="D13" t="str">
        <f t="shared" si="10"/>
        <v>samplingControlRegisters</v>
      </c>
      <c r="E13" s="10" t="str">
        <f>regList!D23</f>
        <v>SampleControl</v>
      </c>
      <c r="F13" s="11" t="str">
        <f>regList!C23</f>
        <v>13</v>
      </c>
      <c r="G13" t="s">
        <v>239</v>
      </c>
      <c r="H13" s="11">
        <v>7</v>
      </c>
      <c r="I13" s="11">
        <v>1</v>
      </c>
      <c r="J13" s="11" t="str">
        <f t="shared" si="0"/>
        <v>1</v>
      </c>
    </row>
    <row r="14" spans="1:10" x14ac:dyDescent="0.25">
      <c r="A14" s="11">
        <f t="shared" si="1"/>
        <v>1</v>
      </c>
      <c r="B14" s="11">
        <f t="shared" si="2"/>
        <v>6</v>
      </c>
      <c r="C14" s="11">
        <f t="shared" si="3"/>
        <v>11</v>
      </c>
      <c r="D14" t="str">
        <f>D13</f>
        <v>samplingControlRegisters</v>
      </c>
      <c r="E14" s="10" t="str">
        <f t="shared" ref="E14:F14" si="11">E13</f>
        <v>SampleControl</v>
      </c>
      <c r="F14" s="11" t="str">
        <f t="shared" si="11"/>
        <v>13</v>
      </c>
      <c r="G14" t="s">
        <v>240</v>
      </c>
      <c r="H14" s="11">
        <f>H13-1</f>
        <v>6</v>
      </c>
      <c r="I14" s="11">
        <f>I13</f>
        <v>1</v>
      </c>
      <c r="J14" s="11" t="str">
        <f t="shared" si="0"/>
        <v>1</v>
      </c>
    </row>
    <row r="15" spans="1:10" x14ac:dyDescent="0.25">
      <c r="A15" s="11">
        <f t="shared" si="1"/>
        <v>1</v>
      </c>
      <c r="B15" s="11">
        <f t="shared" si="2"/>
        <v>6</v>
      </c>
      <c r="C15" s="11">
        <f t="shared" si="3"/>
        <v>12</v>
      </c>
      <c r="D15" t="str">
        <f t="shared" ref="D15:D19" si="12">D14</f>
        <v>samplingControlRegisters</v>
      </c>
      <c r="E15" s="10" t="str">
        <f t="shared" ref="E15:E19" si="13">E14</f>
        <v>SampleControl</v>
      </c>
      <c r="F15" s="11" t="str">
        <f t="shared" ref="F15:F19" si="14">F14</f>
        <v>13</v>
      </c>
      <c r="G15" t="s">
        <v>241</v>
      </c>
      <c r="H15" s="11">
        <f t="shared" ref="H15:H19" si="15">H14-1</f>
        <v>5</v>
      </c>
      <c r="I15" s="11">
        <f t="shared" ref="I15:I19" si="16">I14</f>
        <v>1</v>
      </c>
      <c r="J15" s="11" t="str">
        <f t="shared" si="0"/>
        <v>1</v>
      </c>
    </row>
    <row r="16" spans="1:10" x14ac:dyDescent="0.25">
      <c r="A16" s="11">
        <f t="shared" si="1"/>
        <v>1</v>
      </c>
      <c r="B16" s="11">
        <f t="shared" si="2"/>
        <v>6</v>
      </c>
      <c r="C16" s="11">
        <f t="shared" si="3"/>
        <v>13</v>
      </c>
      <c r="D16" t="str">
        <f t="shared" si="12"/>
        <v>samplingControlRegisters</v>
      </c>
      <c r="E16" s="10" t="str">
        <f t="shared" si="13"/>
        <v>SampleControl</v>
      </c>
      <c r="F16" s="11" t="str">
        <f t="shared" si="14"/>
        <v>13</v>
      </c>
      <c r="G16" t="s">
        <v>242</v>
      </c>
      <c r="H16" s="11">
        <f t="shared" si="15"/>
        <v>4</v>
      </c>
      <c r="I16" s="11">
        <f t="shared" si="16"/>
        <v>1</v>
      </c>
      <c r="J16" s="11" t="str">
        <f t="shared" si="0"/>
        <v>1</v>
      </c>
    </row>
    <row r="17" spans="1:10" x14ac:dyDescent="0.25">
      <c r="A17" s="11">
        <f t="shared" si="1"/>
        <v>1</v>
      </c>
      <c r="B17" s="11">
        <f t="shared" si="2"/>
        <v>6</v>
      </c>
      <c r="C17" s="11">
        <f t="shared" si="3"/>
        <v>14</v>
      </c>
      <c r="D17" t="str">
        <f t="shared" si="12"/>
        <v>samplingControlRegisters</v>
      </c>
      <c r="E17" s="10" t="str">
        <f t="shared" si="13"/>
        <v>SampleControl</v>
      </c>
      <c r="F17" s="11" t="str">
        <f t="shared" si="14"/>
        <v>13</v>
      </c>
      <c r="G17" t="s">
        <v>243</v>
      </c>
      <c r="H17" s="11">
        <v>2</v>
      </c>
      <c r="I17" s="11">
        <v>2</v>
      </c>
      <c r="J17" s="11" t="str">
        <f t="shared" si="0"/>
        <v>3</v>
      </c>
    </row>
    <row r="18" spans="1:10" x14ac:dyDescent="0.25">
      <c r="A18" s="11">
        <f t="shared" si="1"/>
        <v>1</v>
      </c>
      <c r="B18" s="11">
        <f t="shared" si="2"/>
        <v>6</v>
      </c>
      <c r="C18" s="11">
        <f t="shared" si="3"/>
        <v>15</v>
      </c>
      <c r="D18" t="str">
        <f t="shared" si="12"/>
        <v>samplingControlRegisters</v>
      </c>
      <c r="E18" s="10" t="str">
        <f t="shared" si="13"/>
        <v>SampleControl</v>
      </c>
      <c r="F18" s="11" t="str">
        <f t="shared" si="14"/>
        <v>13</v>
      </c>
      <c r="G18" t="s">
        <v>244</v>
      </c>
      <c r="H18" s="11">
        <f t="shared" si="15"/>
        <v>1</v>
      </c>
      <c r="I18" s="11">
        <v>1</v>
      </c>
      <c r="J18" s="11" t="str">
        <f t="shared" si="0"/>
        <v>1</v>
      </c>
    </row>
    <row r="19" spans="1:10" x14ac:dyDescent="0.25">
      <c r="A19" s="11">
        <f t="shared" si="1"/>
        <v>1</v>
      </c>
      <c r="B19" s="11">
        <f t="shared" si="2"/>
        <v>6</v>
      </c>
      <c r="C19" s="11">
        <f t="shared" si="3"/>
        <v>16</v>
      </c>
      <c r="D19" t="str">
        <f t="shared" si="12"/>
        <v>samplingControlRegisters</v>
      </c>
      <c r="E19" s="10" t="str">
        <f t="shared" si="13"/>
        <v>SampleControl</v>
      </c>
      <c r="F19" s="11" t="str">
        <f t="shared" si="14"/>
        <v>13</v>
      </c>
      <c r="G19" t="s">
        <v>245</v>
      </c>
      <c r="H19" s="11">
        <f t="shared" si="15"/>
        <v>0</v>
      </c>
      <c r="I19" s="11">
        <f t="shared" si="16"/>
        <v>1</v>
      </c>
      <c r="J19" s="11" t="str">
        <f t="shared" si="0"/>
        <v>1</v>
      </c>
    </row>
    <row r="20" spans="1:10" x14ac:dyDescent="0.25">
      <c r="A20" s="11">
        <f t="shared" si="1"/>
        <v>1</v>
      </c>
      <c r="B20" s="11">
        <f t="shared" si="2"/>
        <v>7</v>
      </c>
      <c r="C20" s="11">
        <f t="shared" si="3"/>
        <v>17</v>
      </c>
      <c r="D20" t="str">
        <f>D13</f>
        <v>samplingControlRegisters</v>
      </c>
      <c r="E20" s="10" t="str">
        <f>regList!D24</f>
        <v>DCCalIntegrationTime</v>
      </c>
      <c r="F20" s="11" t="str">
        <f>regList!C24</f>
        <v>14</v>
      </c>
      <c r="G20" t="s">
        <v>249</v>
      </c>
      <c r="H20" s="11">
        <v>0</v>
      </c>
      <c r="I20" s="11">
        <v>4</v>
      </c>
      <c r="J20" s="11" t="str">
        <f t="shared" si="0"/>
        <v>F</v>
      </c>
    </row>
    <row r="21" spans="1:10" x14ac:dyDescent="0.25">
      <c r="A21" s="11">
        <f t="shared" si="1"/>
        <v>1</v>
      </c>
      <c r="B21" s="11">
        <f t="shared" si="2"/>
        <v>8</v>
      </c>
      <c r="C21" s="11">
        <f t="shared" si="3"/>
        <v>18</v>
      </c>
      <c r="D21" t="str">
        <f t="shared" si="10"/>
        <v>samplingControlRegisters</v>
      </c>
      <c r="E21" s="10" t="str">
        <f>regList!D25</f>
        <v>ZPCalIntegrationTime</v>
      </c>
      <c r="F21" s="11" t="str">
        <f>regList!C25</f>
        <v>15</v>
      </c>
      <c r="G21" t="s">
        <v>250</v>
      </c>
      <c r="H21" s="11">
        <v>0</v>
      </c>
      <c r="I21" s="11">
        <v>4</v>
      </c>
      <c r="J21" s="11" t="str">
        <f t="shared" si="0"/>
        <v>F</v>
      </c>
    </row>
    <row r="22" spans="1:10" x14ac:dyDescent="0.25">
      <c r="A22" s="11">
        <f t="shared" si="1"/>
        <v>1</v>
      </c>
      <c r="B22" s="11">
        <f t="shared" si="2"/>
        <v>9</v>
      </c>
      <c r="C22" s="11">
        <f t="shared" si="3"/>
        <v>19</v>
      </c>
      <c r="D22" t="str">
        <f t="shared" si="10"/>
        <v>samplingControlRegisters</v>
      </c>
      <c r="E22" s="10" t="str">
        <f>regList!D26</f>
        <v>CollisionIntegrationTime</v>
      </c>
      <c r="F22" s="11" t="str">
        <f>regList!C26</f>
        <v>16</v>
      </c>
      <c r="G22" t="s">
        <v>251</v>
      </c>
      <c r="H22" s="11">
        <v>0</v>
      </c>
      <c r="I22" s="11">
        <v>4</v>
      </c>
      <c r="J22" s="11" t="str">
        <f t="shared" si="0"/>
        <v>F</v>
      </c>
    </row>
    <row r="23" spans="1:10" x14ac:dyDescent="0.25">
      <c r="A23" s="11">
        <f t="shared" si="1"/>
        <v>2</v>
      </c>
      <c r="B23" s="11">
        <f t="shared" si="2"/>
        <v>10</v>
      </c>
      <c r="C23" s="11">
        <f t="shared" si="3"/>
        <v>20</v>
      </c>
      <c r="D23" t="s">
        <v>214</v>
      </c>
      <c r="E23" s="10" t="str">
        <f>regList!D27</f>
        <v>AGCControl1</v>
      </c>
      <c r="F23" s="11" t="str">
        <f>regList!C27</f>
        <v>17</v>
      </c>
      <c r="G23" t="s">
        <v>252</v>
      </c>
      <c r="H23" s="11">
        <v>4</v>
      </c>
      <c r="I23" s="11">
        <v>4</v>
      </c>
      <c r="J23" s="11" t="str">
        <f t="shared" si="0"/>
        <v>F</v>
      </c>
    </row>
    <row r="24" spans="1:10" x14ac:dyDescent="0.25">
      <c r="A24" s="11">
        <f t="shared" si="1"/>
        <v>2</v>
      </c>
      <c r="B24" s="11">
        <f t="shared" si="2"/>
        <v>10</v>
      </c>
      <c r="C24" s="11">
        <f t="shared" si="3"/>
        <v>21</v>
      </c>
      <c r="D24" t="str">
        <f>D23</f>
        <v>algorithmControlRegisters</v>
      </c>
      <c r="E24" s="10" t="str">
        <f t="shared" ref="E24:F24" si="17">E23</f>
        <v>AGCControl1</v>
      </c>
      <c r="F24" s="11" t="str">
        <f t="shared" si="17"/>
        <v>17</v>
      </c>
      <c r="G24" t="s">
        <v>253</v>
      </c>
      <c r="H24" s="11">
        <v>1</v>
      </c>
      <c r="I24" s="11">
        <v>1</v>
      </c>
      <c r="J24" s="11" t="str">
        <f t="shared" si="0"/>
        <v>1</v>
      </c>
    </row>
    <row r="25" spans="1:10" x14ac:dyDescent="0.25">
      <c r="A25" s="11">
        <f t="shared" si="1"/>
        <v>2</v>
      </c>
      <c r="B25" s="11">
        <f t="shared" si="2"/>
        <v>10</v>
      </c>
      <c r="C25" s="11">
        <f t="shared" si="3"/>
        <v>22</v>
      </c>
      <c r="D25" t="str">
        <f>D24</f>
        <v>algorithmControlRegisters</v>
      </c>
      <c r="E25" s="10" t="str">
        <f t="shared" ref="E25" si="18">E24</f>
        <v>AGCControl1</v>
      </c>
      <c r="F25" s="11" t="str">
        <f t="shared" ref="F25" si="19">F24</f>
        <v>17</v>
      </c>
      <c r="G25" t="s">
        <v>255</v>
      </c>
      <c r="H25" s="11">
        <v>0</v>
      </c>
      <c r="I25" s="11">
        <v>1</v>
      </c>
      <c r="J25" s="11" t="str">
        <f t="shared" si="0"/>
        <v>1</v>
      </c>
    </row>
    <row r="26" spans="1:10" x14ac:dyDescent="0.25">
      <c r="A26" s="11">
        <f t="shared" si="1"/>
        <v>2</v>
      </c>
      <c r="B26" s="11">
        <f t="shared" si="2"/>
        <v>11</v>
      </c>
      <c r="C26" s="11">
        <f t="shared" si="3"/>
        <v>23</v>
      </c>
      <c r="D26" t="str">
        <f>D23</f>
        <v>algorithmControlRegisters</v>
      </c>
      <c r="E26" s="10" t="str">
        <f>regList!D28</f>
        <v>AGCControl2</v>
      </c>
      <c r="F26" s="11" t="str">
        <f>regList!C28</f>
        <v>18</v>
      </c>
      <c r="G26" t="s">
        <v>257</v>
      </c>
      <c r="H26" s="11">
        <v>3</v>
      </c>
      <c r="I26" s="11">
        <v>3</v>
      </c>
      <c r="J26" s="11" t="str">
        <f t="shared" si="0"/>
        <v>7</v>
      </c>
    </row>
    <row r="27" spans="1:10" x14ac:dyDescent="0.25">
      <c r="A27" s="11">
        <f t="shared" si="1"/>
        <v>2</v>
      </c>
      <c r="B27" s="11">
        <f t="shared" si="2"/>
        <v>11</v>
      </c>
      <c r="C27" s="11">
        <f t="shared" si="3"/>
        <v>24</v>
      </c>
      <c r="D27" t="str">
        <f>D26</f>
        <v>algorithmControlRegisters</v>
      </c>
      <c r="E27" s="10" t="str">
        <f t="shared" ref="E27" si="20">E26</f>
        <v>AGCControl2</v>
      </c>
      <c r="F27" s="11" t="str">
        <f t="shared" ref="F27" si="21">F26</f>
        <v>18</v>
      </c>
      <c r="G27" t="s">
        <v>258</v>
      </c>
      <c r="H27" s="11">
        <v>0</v>
      </c>
      <c r="I27" s="11">
        <v>3</v>
      </c>
      <c r="J27" s="11" t="str">
        <f t="shared" si="0"/>
        <v>7</v>
      </c>
    </row>
    <row r="28" spans="1:10" x14ac:dyDescent="0.25">
      <c r="A28" s="11">
        <f t="shared" si="1"/>
        <v>2</v>
      </c>
      <c r="B28" s="11">
        <f t="shared" si="2"/>
        <v>12</v>
      </c>
      <c r="C28" s="11">
        <f t="shared" si="3"/>
        <v>25</v>
      </c>
      <c r="D28" t="str">
        <f>D26</f>
        <v>algorithmControlRegisters</v>
      </c>
      <c r="E28" s="10" t="str">
        <f>regList!D29</f>
        <v>AGCControl3</v>
      </c>
      <c r="F28" s="11" t="str">
        <f>regList!C29</f>
        <v>19</v>
      </c>
      <c r="G28" t="s">
        <v>259</v>
      </c>
      <c r="H28" s="11">
        <v>3</v>
      </c>
      <c r="I28" s="11">
        <v>3</v>
      </c>
      <c r="J28" s="11" t="str">
        <f t="shared" si="0"/>
        <v>7</v>
      </c>
    </row>
    <row r="29" spans="1:10" x14ac:dyDescent="0.25">
      <c r="A29" s="11">
        <f t="shared" si="1"/>
        <v>2</v>
      </c>
      <c r="B29" s="11">
        <f t="shared" si="2"/>
        <v>12</v>
      </c>
      <c r="C29" s="11">
        <f t="shared" si="3"/>
        <v>26</v>
      </c>
      <c r="D29" t="str">
        <f>D28</f>
        <v>algorithmControlRegisters</v>
      </c>
      <c r="E29" s="10" t="str">
        <f t="shared" ref="E29" si="22">E28</f>
        <v>AGCControl3</v>
      </c>
      <c r="F29" s="11" t="str">
        <f t="shared" ref="F29" si="23">F28</f>
        <v>19</v>
      </c>
      <c r="G29" t="s">
        <v>260</v>
      </c>
      <c r="H29" s="11">
        <v>0</v>
      </c>
      <c r="I29" s="11">
        <v>3</v>
      </c>
      <c r="J29" s="11" t="str">
        <f t="shared" si="0"/>
        <v>7</v>
      </c>
    </row>
    <row r="30" spans="1:10" x14ac:dyDescent="0.25">
      <c r="A30" s="11">
        <f t="shared" si="1"/>
        <v>2</v>
      </c>
      <c r="B30" s="11">
        <f t="shared" si="2"/>
        <v>13</v>
      </c>
      <c r="C30" s="11">
        <f t="shared" si="3"/>
        <v>27</v>
      </c>
      <c r="D30" t="str">
        <f>D28</f>
        <v>algorithmControlRegisters</v>
      </c>
      <c r="E30" s="10" t="str">
        <f>regList!D30</f>
        <v>DSPEnable</v>
      </c>
      <c r="F30" s="11" t="str">
        <f>regList!C30</f>
        <v>1A</v>
      </c>
      <c r="G30" t="s">
        <v>261</v>
      </c>
      <c r="H30" s="11">
        <v>3</v>
      </c>
      <c r="I30" s="11">
        <v>1</v>
      </c>
      <c r="J30" s="11" t="str">
        <f t="shared" si="0"/>
        <v>1</v>
      </c>
    </row>
    <row r="31" spans="1:10" x14ac:dyDescent="0.25">
      <c r="A31" s="11">
        <f t="shared" si="1"/>
        <v>2</v>
      </c>
      <c r="B31" s="11">
        <f t="shared" si="2"/>
        <v>13</v>
      </c>
      <c r="C31" s="11">
        <f t="shared" si="3"/>
        <v>28</v>
      </c>
      <c r="D31" t="str">
        <f t="shared" ref="D31:D33" si="24">D30</f>
        <v>algorithmControlRegisters</v>
      </c>
      <c r="E31" s="10" t="str">
        <f t="shared" ref="E31:E33" si="25">E30</f>
        <v>DSPEnable</v>
      </c>
      <c r="F31" s="11" t="str">
        <f t="shared" ref="F31:F33" si="26">F30</f>
        <v>1A</v>
      </c>
      <c r="G31" t="s">
        <v>254</v>
      </c>
      <c r="H31" s="11">
        <v>2</v>
      </c>
      <c r="I31" s="11">
        <v>1</v>
      </c>
      <c r="J31" s="11" t="str">
        <f t="shared" si="0"/>
        <v>1</v>
      </c>
    </row>
    <row r="32" spans="1:10" x14ac:dyDescent="0.25">
      <c r="A32" s="11">
        <f t="shared" si="1"/>
        <v>2</v>
      </c>
      <c r="B32" s="11">
        <f t="shared" si="2"/>
        <v>13</v>
      </c>
      <c r="C32" s="11">
        <f t="shared" si="3"/>
        <v>29</v>
      </c>
      <c r="D32" t="str">
        <f t="shared" si="24"/>
        <v>algorithmControlRegisters</v>
      </c>
      <c r="E32" s="10" t="str">
        <f t="shared" si="25"/>
        <v>DSPEnable</v>
      </c>
      <c r="F32" s="11" t="str">
        <f t="shared" si="26"/>
        <v>1A</v>
      </c>
      <c r="G32" t="s">
        <v>262</v>
      </c>
      <c r="H32" s="11">
        <v>1</v>
      </c>
      <c r="I32" s="11">
        <v>1</v>
      </c>
      <c r="J32" s="11" t="str">
        <f t="shared" si="0"/>
        <v>1</v>
      </c>
    </row>
    <row r="33" spans="1:10" x14ac:dyDescent="0.25">
      <c r="A33" s="11">
        <f t="shared" si="1"/>
        <v>2</v>
      </c>
      <c r="B33" s="11">
        <f t="shared" si="2"/>
        <v>13</v>
      </c>
      <c r="C33" s="11">
        <f t="shared" si="3"/>
        <v>30</v>
      </c>
      <c r="D33" t="str">
        <f t="shared" si="24"/>
        <v>algorithmControlRegisters</v>
      </c>
      <c r="E33" s="10" t="str">
        <f t="shared" si="25"/>
        <v>DSPEnable</v>
      </c>
      <c r="F33" s="11" t="str">
        <f t="shared" si="26"/>
        <v>1A</v>
      </c>
      <c r="G33" t="s">
        <v>263</v>
      </c>
      <c r="H33" s="11">
        <v>0</v>
      </c>
      <c r="I33" s="11">
        <v>1</v>
      </c>
      <c r="J33" s="11" t="str">
        <f t="shared" si="0"/>
        <v>1</v>
      </c>
    </row>
    <row r="34" spans="1:10" x14ac:dyDescent="0.25">
      <c r="A34" s="11">
        <f t="shared" si="1"/>
        <v>3</v>
      </c>
      <c r="B34" s="11">
        <f t="shared" si="2"/>
        <v>14</v>
      </c>
      <c r="C34" s="11">
        <f t="shared" si="3"/>
        <v>31</v>
      </c>
      <c r="D34" t="s">
        <v>215</v>
      </c>
      <c r="E34" s="10" t="str">
        <f>regList!D31</f>
        <v>DCSaturationThreshold</v>
      </c>
      <c r="F34" s="11" t="str">
        <f>regList!C31</f>
        <v>1B</v>
      </c>
      <c r="G34" t="s">
        <v>264</v>
      </c>
      <c r="H34" s="11">
        <v>0</v>
      </c>
      <c r="I34" s="11">
        <v>8</v>
      </c>
      <c r="J34" s="11" t="str">
        <f t="shared" si="0"/>
        <v>FF</v>
      </c>
    </row>
    <row r="35" spans="1:10" x14ac:dyDescent="0.25">
      <c r="A35" s="11">
        <f t="shared" si="1"/>
        <v>3</v>
      </c>
      <c r="B35" s="11">
        <f t="shared" si="2"/>
        <v>15</v>
      </c>
      <c r="C35" s="11">
        <f t="shared" si="3"/>
        <v>32</v>
      </c>
      <c r="D35" t="str">
        <f t="shared" ref="D35:D38" si="27">D34</f>
        <v>signalIntegrityRegisters</v>
      </c>
      <c r="E35" s="10" t="str">
        <f>regList!D32</f>
        <v>NoiseThresholdOffset</v>
      </c>
      <c r="F35" s="11" t="str">
        <f>regList!C32</f>
        <v>1C</v>
      </c>
      <c r="G35" t="s">
        <v>265</v>
      </c>
      <c r="H35" s="11">
        <v>0</v>
      </c>
      <c r="I35" s="11">
        <v>6</v>
      </c>
      <c r="J35" s="11" t="str">
        <f t="shared" si="0"/>
        <v>3F</v>
      </c>
    </row>
    <row r="36" spans="1:10" x14ac:dyDescent="0.25">
      <c r="A36" s="11">
        <f t="shared" si="1"/>
        <v>3</v>
      </c>
      <c r="B36" s="11">
        <f t="shared" si="2"/>
        <v>16</v>
      </c>
      <c r="C36" s="11">
        <f t="shared" si="3"/>
        <v>33</v>
      </c>
      <c r="D36" t="str">
        <f t="shared" si="27"/>
        <v>signalIntegrityRegisters</v>
      </c>
      <c r="E36" s="10" t="str">
        <f>regList!D33</f>
        <v>NoiseThresholdSlope</v>
      </c>
      <c r="F36" s="11" t="str">
        <f>regList!C33</f>
        <v>1D</v>
      </c>
      <c r="G36" t="s">
        <v>266</v>
      </c>
      <c r="H36" s="11">
        <v>0</v>
      </c>
      <c r="I36" s="11">
        <v>3</v>
      </c>
      <c r="J36" s="11" t="str">
        <f t="shared" si="0"/>
        <v>7</v>
      </c>
    </row>
    <row r="37" spans="1:10" x14ac:dyDescent="0.25">
      <c r="A37" s="11">
        <f t="shared" si="1"/>
        <v>3</v>
      </c>
      <c r="B37" s="11">
        <f t="shared" si="2"/>
        <v>17</v>
      </c>
      <c r="C37" s="11">
        <f t="shared" si="3"/>
        <v>34</v>
      </c>
      <c r="D37" t="str">
        <f t="shared" si="27"/>
        <v>signalIntegrityRegisters</v>
      </c>
      <c r="E37" s="10" t="str">
        <f>regList!D34</f>
        <v>MagnitudeSquelchExponent</v>
      </c>
      <c r="F37" s="11" t="str">
        <f>regList!C34</f>
        <v>1E</v>
      </c>
      <c r="G37" t="s">
        <v>268</v>
      </c>
      <c r="H37" s="11">
        <v>0</v>
      </c>
      <c r="I37" s="11">
        <v>4</v>
      </c>
      <c r="J37" s="11" t="str">
        <f t="shared" si="0"/>
        <v>F</v>
      </c>
    </row>
    <row r="38" spans="1:10" x14ac:dyDescent="0.25">
      <c r="A38" s="11">
        <f t="shared" si="1"/>
        <v>3</v>
      </c>
      <c r="B38" s="11">
        <f t="shared" si="2"/>
        <v>18</v>
      </c>
      <c r="C38" s="11">
        <f t="shared" si="3"/>
        <v>35</v>
      </c>
      <c r="D38" t="str">
        <f t="shared" si="27"/>
        <v>signalIntegrityRegisters</v>
      </c>
      <c r="E38" s="10" t="str">
        <f>regList!D35</f>
        <v>MagnitudeSquelch</v>
      </c>
      <c r="F38" s="11" t="str">
        <f>regList!C35</f>
        <v>1F</v>
      </c>
      <c r="G38" t="s">
        <v>267</v>
      </c>
      <c r="H38" s="11">
        <v>0</v>
      </c>
      <c r="I38" s="11">
        <v>8</v>
      </c>
      <c r="J38" s="11" t="str">
        <f t="shared" si="0"/>
        <v>FF</v>
      </c>
    </row>
    <row r="39" spans="1:10" x14ac:dyDescent="0.25">
      <c r="A39" s="11">
        <f t="shared" si="1"/>
        <v>3</v>
      </c>
      <c r="B39" s="11">
        <f t="shared" si="2"/>
        <v>19</v>
      </c>
      <c r="C39" s="11">
        <f t="shared" si="3"/>
        <v>36</v>
      </c>
      <c r="D39" t="str">
        <f t="shared" ref="D39:D68" si="28">D38</f>
        <v>signalIntegrityRegisters</v>
      </c>
      <c r="E39" s="10" t="str">
        <f>regList!D36</f>
        <v>CircuitNoise</v>
      </c>
      <c r="F39" s="11" t="str">
        <f>regList!C36</f>
        <v>20</v>
      </c>
      <c r="G39" t="s">
        <v>269</v>
      </c>
      <c r="H39" s="11">
        <v>1</v>
      </c>
      <c r="I39" s="11">
        <v>7</v>
      </c>
      <c r="J39" s="11" t="str">
        <f t="shared" si="0"/>
        <v>7F</v>
      </c>
    </row>
    <row r="40" spans="1:10" x14ac:dyDescent="0.25">
      <c r="A40" s="11">
        <f t="shared" si="1"/>
        <v>3</v>
      </c>
      <c r="B40" s="11">
        <f t="shared" si="2"/>
        <v>19</v>
      </c>
      <c r="C40" s="11">
        <f t="shared" si="3"/>
        <v>37</v>
      </c>
      <c r="D40" t="str">
        <f t="shared" si="28"/>
        <v>signalIntegrityRegisters</v>
      </c>
      <c r="E40" s="10" t="str">
        <f t="shared" ref="E40" si="29">E39</f>
        <v>CircuitNoise</v>
      </c>
      <c r="F40" s="11" t="str">
        <f t="shared" ref="F40" si="30">F39</f>
        <v>20</v>
      </c>
      <c r="G40" t="s">
        <v>270</v>
      </c>
      <c r="H40" s="11">
        <v>0</v>
      </c>
      <c r="I40" s="11">
        <v>1</v>
      </c>
      <c r="J40" s="11" t="str">
        <f t="shared" si="0"/>
        <v>1</v>
      </c>
    </row>
    <row r="41" spans="1:10" x14ac:dyDescent="0.25">
      <c r="A41" s="11">
        <f t="shared" si="1"/>
        <v>3</v>
      </c>
      <c r="B41" s="11">
        <f t="shared" si="2"/>
        <v>20</v>
      </c>
      <c r="C41" s="11">
        <f t="shared" si="3"/>
        <v>38</v>
      </c>
      <c r="D41" t="str">
        <f>D39</f>
        <v>signalIntegrityRegisters</v>
      </c>
      <c r="E41" s="10" t="str">
        <f>regList!D37</f>
        <v>NoiseGain</v>
      </c>
      <c r="F41" s="11" t="str">
        <f>regList!C37</f>
        <v>21</v>
      </c>
      <c r="G41" t="s">
        <v>236</v>
      </c>
      <c r="H41" s="11">
        <v>0</v>
      </c>
      <c r="I41" s="11">
        <v>8</v>
      </c>
      <c r="J41" s="11" t="str">
        <f t="shared" si="0"/>
        <v>FF</v>
      </c>
    </row>
    <row r="42" spans="1:10" x14ac:dyDescent="0.25">
      <c r="A42" s="11">
        <f t="shared" si="1"/>
        <v>3</v>
      </c>
      <c r="B42" s="11">
        <f t="shared" si="2"/>
        <v>21</v>
      </c>
      <c r="C42" s="11">
        <f t="shared" si="3"/>
        <v>39</v>
      </c>
      <c r="D42" t="str">
        <f t="shared" si="28"/>
        <v>signalIntegrityRegisters</v>
      </c>
      <c r="E42" s="10" t="str">
        <f>regList!D38</f>
        <v>FixedError</v>
      </c>
      <c r="F42" s="11" t="str">
        <f>regList!C38</f>
        <v>22</v>
      </c>
      <c r="G42" t="s">
        <v>237</v>
      </c>
      <c r="H42" s="11">
        <v>0</v>
      </c>
      <c r="I42" s="11">
        <v>8</v>
      </c>
      <c r="J42" s="11" t="str">
        <f t="shared" si="0"/>
        <v>FF</v>
      </c>
    </row>
    <row r="43" spans="1:10" x14ac:dyDescent="0.25">
      <c r="A43" s="11">
        <f t="shared" si="1"/>
        <v>3</v>
      </c>
      <c r="B43" s="11">
        <f t="shared" si="2"/>
        <v>22</v>
      </c>
      <c r="C43" s="11">
        <f t="shared" si="3"/>
        <v>40</v>
      </c>
      <c r="D43" t="str">
        <f t="shared" si="28"/>
        <v>signalIntegrityRegisters</v>
      </c>
      <c r="E43" s="10" t="str">
        <f>regList!D39</f>
        <v>CollisionPeakSelect</v>
      </c>
      <c r="F43" s="11" t="str">
        <f>regList!C39</f>
        <v>23</v>
      </c>
      <c r="G43" t="s">
        <v>271</v>
      </c>
      <c r="H43" s="11">
        <v>0</v>
      </c>
      <c r="I43" s="11">
        <v>3</v>
      </c>
      <c r="J43" s="11" t="str">
        <f t="shared" si="0"/>
        <v>7</v>
      </c>
    </row>
    <row r="44" spans="1:10" x14ac:dyDescent="0.25">
      <c r="A44" s="11">
        <f t="shared" si="1"/>
        <v>4</v>
      </c>
      <c r="B44" s="11">
        <f t="shared" si="2"/>
        <v>23</v>
      </c>
      <c r="C44" s="11">
        <f t="shared" si="3"/>
        <v>41</v>
      </c>
      <c r="D44" t="s">
        <v>216</v>
      </c>
      <c r="E44" s="10" t="str">
        <f>regList!D40</f>
        <v>CrosstalkIExponent</v>
      </c>
      <c r="F44" s="11" t="str">
        <f>regList!C40</f>
        <v>24</v>
      </c>
      <c r="G44" t="s">
        <v>272</v>
      </c>
      <c r="H44" s="11">
        <v>0</v>
      </c>
      <c r="I44" s="11">
        <v>8</v>
      </c>
      <c r="J44" s="11" t="str">
        <f t="shared" si="0"/>
        <v>FF</v>
      </c>
    </row>
    <row r="45" spans="1:10" x14ac:dyDescent="0.25">
      <c r="A45" s="11">
        <f t="shared" si="1"/>
        <v>4</v>
      </c>
      <c r="B45" s="11">
        <f t="shared" si="2"/>
        <v>24</v>
      </c>
      <c r="C45" s="11">
        <f t="shared" si="3"/>
        <v>42</v>
      </c>
      <c r="D45" t="str">
        <f t="shared" si="28"/>
        <v>closedLoopCalibrationRegisters</v>
      </c>
      <c r="E45" s="10" t="str">
        <f>regList!D41</f>
        <v>CrosstalkIMSB</v>
      </c>
      <c r="F45" s="11" t="str">
        <f>regList!C41</f>
        <v>25</v>
      </c>
      <c r="G45" t="s">
        <v>274</v>
      </c>
      <c r="H45" s="11">
        <v>0</v>
      </c>
      <c r="I45" s="11">
        <v>16</v>
      </c>
      <c r="J45" s="11" t="str">
        <f t="shared" si="0"/>
        <v>FFFF</v>
      </c>
    </row>
    <row r="46" spans="1:10" x14ac:dyDescent="0.25">
      <c r="A46" s="11">
        <f t="shared" si="1"/>
        <v>4</v>
      </c>
      <c r="B46" s="11">
        <f t="shared" si="2"/>
        <v>25</v>
      </c>
      <c r="C46" s="11">
        <f t="shared" si="3"/>
        <v>42</v>
      </c>
      <c r="D46" t="str">
        <f t="shared" si="28"/>
        <v>closedLoopCalibrationRegisters</v>
      </c>
      <c r="E46" s="10" t="str">
        <f>regList!D42</f>
        <v>CrosstalkILSB</v>
      </c>
      <c r="F46" s="11" t="str">
        <f>regList!C42</f>
        <v>26</v>
      </c>
      <c r="J46" s="11" t="str">
        <f t="shared" si="0"/>
        <v/>
      </c>
    </row>
    <row r="47" spans="1:10" x14ac:dyDescent="0.25">
      <c r="A47" s="11">
        <f t="shared" si="1"/>
        <v>4</v>
      </c>
      <c r="B47" s="11">
        <f t="shared" si="2"/>
        <v>26</v>
      </c>
      <c r="C47" s="11">
        <f t="shared" si="3"/>
        <v>43</v>
      </c>
      <c r="D47" t="str">
        <f t="shared" si="28"/>
        <v>closedLoopCalibrationRegisters</v>
      </c>
      <c r="E47" s="10" t="str">
        <f>regList!D43</f>
        <v>CrosstalkQExponent</v>
      </c>
      <c r="F47" s="11" t="str">
        <f>regList!C43</f>
        <v>27</v>
      </c>
      <c r="G47" t="s">
        <v>273</v>
      </c>
      <c r="H47" s="11">
        <v>0</v>
      </c>
      <c r="I47" s="11">
        <v>8</v>
      </c>
      <c r="J47" s="11" t="str">
        <f t="shared" si="0"/>
        <v>FF</v>
      </c>
    </row>
    <row r="48" spans="1:10" x14ac:dyDescent="0.25">
      <c r="A48" s="11">
        <f t="shared" si="1"/>
        <v>4</v>
      </c>
      <c r="B48" s="11">
        <f t="shared" si="2"/>
        <v>27</v>
      </c>
      <c r="C48" s="11">
        <f t="shared" si="3"/>
        <v>44</v>
      </c>
      <c r="D48" t="str">
        <f t="shared" si="28"/>
        <v>closedLoopCalibrationRegisters</v>
      </c>
      <c r="E48" s="10" t="str">
        <f>regList!D44</f>
        <v>CrosstalkQMSB</v>
      </c>
      <c r="F48" s="11" t="str">
        <f>regList!C44</f>
        <v>28</v>
      </c>
      <c r="G48" t="s">
        <v>275</v>
      </c>
      <c r="H48" s="11">
        <v>0</v>
      </c>
      <c r="I48" s="11">
        <v>16</v>
      </c>
      <c r="J48" s="11" t="str">
        <f t="shared" si="0"/>
        <v>FFFF</v>
      </c>
    </row>
    <row r="49" spans="1:10" x14ac:dyDescent="0.25">
      <c r="A49" s="11">
        <f t="shared" si="1"/>
        <v>4</v>
      </c>
      <c r="B49" s="11">
        <f t="shared" si="2"/>
        <v>28</v>
      </c>
      <c r="C49" s="11">
        <f t="shared" si="3"/>
        <v>44</v>
      </c>
      <c r="D49" t="str">
        <f t="shared" si="28"/>
        <v>closedLoopCalibrationRegisters</v>
      </c>
      <c r="E49" s="10" t="str">
        <f>regList!D45</f>
        <v>CrosstalkQLSB</v>
      </c>
      <c r="F49" s="11" t="str">
        <f>regList!C45</f>
        <v>29</v>
      </c>
      <c r="J49" s="11" t="str">
        <f t="shared" si="0"/>
        <v/>
      </c>
    </row>
    <row r="50" spans="1:10" x14ac:dyDescent="0.25">
      <c r="A50" s="11">
        <f t="shared" si="1"/>
        <v>4</v>
      </c>
      <c r="B50" s="11">
        <f t="shared" si="2"/>
        <v>29</v>
      </c>
      <c r="C50" s="11">
        <f t="shared" si="3"/>
        <v>45</v>
      </c>
      <c r="D50" t="str">
        <f t="shared" si="28"/>
        <v>closedLoopCalibrationRegisters</v>
      </c>
      <c r="E50" s="10" t="str">
        <f>regList!D46</f>
        <v>CrosstalkGainMSB</v>
      </c>
      <c r="F50" s="11" t="str">
        <f>regList!C46</f>
        <v>2A</v>
      </c>
      <c r="G50" t="s">
        <v>276</v>
      </c>
      <c r="H50" s="11">
        <v>0</v>
      </c>
      <c r="I50" s="11">
        <v>16</v>
      </c>
      <c r="J50" s="11" t="str">
        <f t="shared" si="0"/>
        <v>FFFF</v>
      </c>
    </row>
    <row r="51" spans="1:10" x14ac:dyDescent="0.25">
      <c r="A51" s="11">
        <f t="shared" si="1"/>
        <v>4</v>
      </c>
      <c r="B51" s="11">
        <f t="shared" si="2"/>
        <v>30</v>
      </c>
      <c r="C51" s="11">
        <f t="shared" si="3"/>
        <v>45</v>
      </c>
      <c r="D51" t="str">
        <f t="shared" si="28"/>
        <v>closedLoopCalibrationRegisters</v>
      </c>
      <c r="E51" s="10" t="str">
        <f>regList!D47</f>
        <v>CrosstalkGainLSB</v>
      </c>
      <c r="F51" s="11" t="str">
        <f>regList!C47</f>
        <v>2B</v>
      </c>
      <c r="J51" s="11" t="str">
        <f t="shared" si="0"/>
        <v/>
      </c>
    </row>
    <row r="52" spans="1:10" x14ac:dyDescent="0.25">
      <c r="A52" s="11">
        <f t="shared" si="1"/>
        <v>4</v>
      </c>
      <c r="B52" s="11">
        <f t="shared" si="2"/>
        <v>31</v>
      </c>
      <c r="C52" s="11">
        <f t="shared" si="3"/>
        <v>46</v>
      </c>
      <c r="D52" t="str">
        <f t="shared" si="28"/>
        <v>closedLoopCalibrationRegisters</v>
      </c>
      <c r="E52" s="10" t="str">
        <f>regList!D48</f>
        <v>MagnitudeReferenceExp</v>
      </c>
      <c r="F52" s="11" t="str">
        <f>regList!C48</f>
        <v>2C</v>
      </c>
      <c r="G52" t="s">
        <v>277</v>
      </c>
      <c r="H52" s="11">
        <v>0</v>
      </c>
      <c r="I52" s="11">
        <v>4</v>
      </c>
      <c r="J52" s="11" t="str">
        <f t="shared" si="0"/>
        <v>F</v>
      </c>
    </row>
    <row r="53" spans="1:10" x14ac:dyDescent="0.25">
      <c r="A53" s="11">
        <f t="shared" si="1"/>
        <v>4</v>
      </c>
      <c r="B53" s="11">
        <f t="shared" si="2"/>
        <v>32</v>
      </c>
      <c r="C53" s="11">
        <f t="shared" si="3"/>
        <v>47</v>
      </c>
      <c r="D53" t="str">
        <f t="shared" si="28"/>
        <v>closedLoopCalibrationRegisters</v>
      </c>
      <c r="E53" s="10" t="str">
        <f>regList!D49</f>
        <v>MagnitudeReferenceMSB</v>
      </c>
      <c r="F53" s="11" t="str">
        <f>regList!C49</f>
        <v>2D</v>
      </c>
      <c r="G53" t="s">
        <v>278</v>
      </c>
      <c r="H53" s="11">
        <v>0</v>
      </c>
      <c r="I53" s="11">
        <v>16</v>
      </c>
      <c r="J53" s="11" t="str">
        <f t="shared" si="0"/>
        <v>FFFF</v>
      </c>
    </row>
    <row r="54" spans="1:10" x14ac:dyDescent="0.25">
      <c r="A54" s="11">
        <f t="shared" si="1"/>
        <v>4</v>
      </c>
      <c r="B54" s="11">
        <f t="shared" si="2"/>
        <v>33</v>
      </c>
      <c r="C54" s="11">
        <f t="shared" si="3"/>
        <v>47</v>
      </c>
      <c r="D54" t="str">
        <f t="shared" si="28"/>
        <v>closedLoopCalibrationRegisters</v>
      </c>
      <c r="E54" s="10" t="str">
        <f>regList!D50</f>
        <v>MagnitudeReferenceLSB</v>
      </c>
      <c r="F54" s="11" t="str">
        <f>regList!C50</f>
        <v>2E</v>
      </c>
      <c r="J54" s="11" t="str">
        <f t="shared" si="0"/>
        <v/>
      </c>
    </row>
    <row r="55" spans="1:10" x14ac:dyDescent="0.25">
      <c r="A55" s="11">
        <f t="shared" si="1"/>
        <v>4</v>
      </c>
      <c r="B55" s="11">
        <f t="shared" si="2"/>
        <v>34</v>
      </c>
      <c r="C55" s="11">
        <f t="shared" si="3"/>
        <v>48</v>
      </c>
      <c r="D55" t="str">
        <f t="shared" si="28"/>
        <v>closedLoopCalibrationRegisters</v>
      </c>
      <c r="E55" s="10" t="str">
        <f>regList!D51</f>
        <v>PhaseOffsetMSB</v>
      </c>
      <c r="F55" s="11" t="str">
        <f>regList!C51</f>
        <v>2F</v>
      </c>
      <c r="G55" t="s">
        <v>279</v>
      </c>
      <c r="H55" s="11">
        <v>0</v>
      </c>
      <c r="I55" s="11">
        <v>16</v>
      </c>
      <c r="J55" s="11" t="str">
        <f t="shared" si="0"/>
        <v>FFFF</v>
      </c>
    </row>
    <row r="56" spans="1:10" x14ac:dyDescent="0.25">
      <c r="A56" s="11">
        <f t="shared" si="1"/>
        <v>4</v>
      </c>
      <c r="B56" s="11">
        <f t="shared" si="2"/>
        <v>35</v>
      </c>
      <c r="C56" s="11">
        <f t="shared" si="3"/>
        <v>48</v>
      </c>
      <c r="D56" t="str">
        <f t="shared" si="28"/>
        <v>closedLoopCalibrationRegisters</v>
      </c>
      <c r="E56" s="10" t="str">
        <f>regList!D52</f>
        <v>PhaseOffsetLSB</v>
      </c>
      <c r="F56" s="11" t="str">
        <f>regList!C52</f>
        <v>30</v>
      </c>
      <c r="J56" s="11" t="str">
        <f t="shared" si="0"/>
        <v/>
      </c>
    </row>
    <row r="57" spans="1:10" x14ac:dyDescent="0.25">
      <c r="A57" s="11">
        <f t="shared" si="1"/>
        <v>5</v>
      </c>
      <c r="B57" s="11">
        <f t="shared" si="2"/>
        <v>36</v>
      </c>
      <c r="C57" s="11">
        <f t="shared" si="3"/>
        <v>49</v>
      </c>
      <c r="D57" t="s">
        <v>217</v>
      </c>
      <c r="E57" s="10" t="str">
        <f>regList!D53</f>
        <v>TemperatureReference</v>
      </c>
      <c r="F57" s="11" t="str">
        <f>regList!C53</f>
        <v>31</v>
      </c>
      <c r="G57" t="s">
        <v>280</v>
      </c>
      <c r="H57" s="11">
        <v>0</v>
      </c>
      <c r="I57" s="11">
        <v>8</v>
      </c>
      <c r="J57" s="11" t="str">
        <f t="shared" si="0"/>
        <v>FF</v>
      </c>
    </row>
    <row r="58" spans="1:10" x14ac:dyDescent="0.25">
      <c r="A58" s="11">
        <f t="shared" si="1"/>
        <v>5</v>
      </c>
      <c r="B58" s="11">
        <f t="shared" si="2"/>
        <v>37</v>
      </c>
      <c r="C58" s="11">
        <f t="shared" si="3"/>
        <v>50</v>
      </c>
      <c r="D58" t="str">
        <f t="shared" si="28"/>
        <v xml:space="preserve">openLoopCorrectionRegisters </v>
      </c>
      <c r="E58" s="10" t="str">
        <f>regList!D54</f>
        <v>EmitterReference</v>
      </c>
      <c r="F58" s="11" t="str">
        <f>regList!C54</f>
        <v>32</v>
      </c>
      <c r="G58" t="s">
        <v>281</v>
      </c>
      <c r="H58" s="11">
        <v>0</v>
      </c>
      <c r="I58" s="11">
        <v>8</v>
      </c>
      <c r="J58" s="11" t="str">
        <f t="shared" si="0"/>
        <v>FF</v>
      </c>
    </row>
    <row r="59" spans="1:10" x14ac:dyDescent="0.25">
      <c r="A59" s="11">
        <f t="shared" si="1"/>
        <v>5</v>
      </c>
      <c r="B59" s="11">
        <f t="shared" si="2"/>
        <v>38</v>
      </c>
      <c r="C59" s="11">
        <f t="shared" si="3"/>
        <v>51</v>
      </c>
      <c r="D59" t="str">
        <f t="shared" si="28"/>
        <v xml:space="preserve">openLoopCorrectionRegisters </v>
      </c>
      <c r="E59" s="10" t="str">
        <f>regList!D55</f>
        <v>PhaseExponent</v>
      </c>
      <c r="F59" s="11" t="str">
        <f>regList!C55</f>
        <v>33</v>
      </c>
      <c r="G59" t="s">
        <v>282</v>
      </c>
      <c r="H59" s="11">
        <v>0</v>
      </c>
      <c r="I59" s="11">
        <v>4</v>
      </c>
      <c r="J59" s="11" t="str">
        <f t="shared" si="0"/>
        <v>F</v>
      </c>
    </row>
    <row r="60" spans="1:10" x14ac:dyDescent="0.25">
      <c r="A60" s="11">
        <f t="shared" si="1"/>
        <v>5</v>
      </c>
      <c r="B60" s="11">
        <f t="shared" si="2"/>
        <v>39</v>
      </c>
      <c r="C60" s="11">
        <f t="shared" si="3"/>
        <v>52</v>
      </c>
      <c r="D60" t="str">
        <f t="shared" si="28"/>
        <v xml:space="preserve">openLoopCorrectionRegisters </v>
      </c>
      <c r="E60" s="10" t="str">
        <f>regList!D56</f>
        <v>PhaseOffsetTempCo1</v>
      </c>
      <c r="F60" s="11" t="str">
        <f>regList!C56</f>
        <v>34</v>
      </c>
      <c r="G60" t="s">
        <v>283</v>
      </c>
      <c r="H60" s="11">
        <v>0</v>
      </c>
      <c r="I60" s="11">
        <v>8</v>
      </c>
      <c r="J60" s="11" t="str">
        <f t="shared" si="0"/>
        <v>FF</v>
      </c>
    </row>
    <row r="61" spans="1:10" x14ac:dyDescent="0.25">
      <c r="A61" s="11">
        <f t="shared" si="1"/>
        <v>5</v>
      </c>
      <c r="B61" s="11">
        <f t="shared" si="2"/>
        <v>40</v>
      </c>
      <c r="C61" s="11">
        <f t="shared" si="3"/>
        <v>53</v>
      </c>
      <c r="D61" t="str">
        <f t="shared" si="28"/>
        <v xml:space="preserve">openLoopCorrectionRegisters </v>
      </c>
      <c r="E61" s="10" t="str">
        <f>regList!D57</f>
        <v>PhaseOffsetEmitterCo1</v>
      </c>
      <c r="F61" s="11" t="str">
        <f>regList!C57</f>
        <v>35</v>
      </c>
      <c r="G61" t="s">
        <v>287</v>
      </c>
      <c r="H61" s="11">
        <v>0</v>
      </c>
      <c r="I61" s="11">
        <v>8</v>
      </c>
      <c r="J61" s="11" t="str">
        <f t="shared" si="0"/>
        <v>FF</v>
      </c>
    </row>
    <row r="62" spans="1:10" x14ac:dyDescent="0.25">
      <c r="A62" s="11">
        <f t="shared" si="1"/>
        <v>5</v>
      </c>
      <c r="B62" s="11">
        <f t="shared" si="2"/>
        <v>41</v>
      </c>
      <c r="C62" s="11">
        <f t="shared" si="3"/>
        <v>54</v>
      </c>
      <c r="D62" t="str">
        <f t="shared" si="28"/>
        <v xml:space="preserve">openLoopCorrectionRegisters </v>
      </c>
      <c r="E62" s="10" t="str">
        <f>regList!D58</f>
        <v>PhaseOffsetAmbientCo1</v>
      </c>
      <c r="F62" s="11" t="str">
        <f>regList!C58</f>
        <v>36</v>
      </c>
      <c r="G62" t="s">
        <v>285</v>
      </c>
      <c r="H62" s="11">
        <v>0</v>
      </c>
      <c r="I62" s="11">
        <v>8</v>
      </c>
      <c r="J62" s="11" t="str">
        <f t="shared" si="0"/>
        <v>FF</v>
      </c>
    </row>
    <row r="63" spans="1:10" x14ac:dyDescent="0.25">
      <c r="A63" s="11">
        <f t="shared" si="1"/>
        <v>5</v>
      </c>
      <c r="B63" s="11">
        <f t="shared" si="2"/>
        <v>42</v>
      </c>
      <c r="C63" s="11">
        <f t="shared" si="3"/>
        <v>55</v>
      </c>
      <c r="D63" t="str">
        <f t="shared" si="28"/>
        <v xml:space="preserve">openLoopCorrectionRegisters </v>
      </c>
      <c r="E63" s="10" t="str">
        <f>regList!D59</f>
        <v>PhaseOffsetVGA1Co1</v>
      </c>
      <c r="F63" s="11" t="str">
        <f>regList!C59</f>
        <v>37</v>
      </c>
      <c r="G63" t="s">
        <v>288</v>
      </c>
      <c r="H63" s="11">
        <v>0</v>
      </c>
      <c r="I63" s="11">
        <v>8</v>
      </c>
      <c r="J63" s="11" t="str">
        <f t="shared" si="0"/>
        <v>FF</v>
      </c>
    </row>
    <row r="64" spans="1:10" x14ac:dyDescent="0.25">
      <c r="A64" s="11">
        <f t="shared" si="1"/>
        <v>5</v>
      </c>
      <c r="B64" s="11">
        <f t="shared" si="2"/>
        <v>43</v>
      </c>
      <c r="C64" s="11">
        <f t="shared" si="3"/>
        <v>56</v>
      </c>
      <c r="D64" t="str">
        <f t="shared" si="28"/>
        <v xml:space="preserve">openLoopCorrectionRegisters </v>
      </c>
      <c r="E64" s="10" t="str">
        <f>regList!D60</f>
        <v>PhaseOffsetVGA2Co1</v>
      </c>
      <c r="F64" s="11" t="str">
        <f>regList!C60</f>
        <v>38</v>
      </c>
      <c r="G64" t="s">
        <v>291</v>
      </c>
      <c r="H64" s="11">
        <v>0</v>
      </c>
      <c r="I64" s="11">
        <v>8</v>
      </c>
      <c r="J64" s="11" t="str">
        <f t="shared" si="0"/>
        <v>FF</v>
      </c>
    </row>
    <row r="65" spans="1:10" x14ac:dyDescent="0.25">
      <c r="A65" s="11">
        <f t="shared" si="1"/>
        <v>5</v>
      </c>
      <c r="B65" s="11">
        <f t="shared" si="2"/>
        <v>44</v>
      </c>
      <c r="C65" s="11">
        <f t="shared" si="3"/>
        <v>57</v>
      </c>
      <c r="D65" t="str">
        <f t="shared" si="28"/>
        <v xml:space="preserve">openLoopCorrectionRegisters </v>
      </c>
      <c r="E65" s="10" t="str">
        <f>regList!D61</f>
        <v>PhaseOffsetTempCo2</v>
      </c>
      <c r="F65" s="11" t="str">
        <f>regList!C61</f>
        <v>39</v>
      </c>
      <c r="G65" t="s">
        <v>284</v>
      </c>
      <c r="H65" s="11">
        <v>0</v>
      </c>
      <c r="I65" s="11">
        <v>8</v>
      </c>
      <c r="J65" s="11" t="str">
        <f t="shared" si="0"/>
        <v>FF</v>
      </c>
    </row>
    <row r="66" spans="1:10" x14ac:dyDescent="0.25">
      <c r="A66" s="11">
        <f t="shared" si="1"/>
        <v>5</v>
      </c>
      <c r="B66" s="11">
        <f t="shared" si="2"/>
        <v>45</v>
      </c>
      <c r="C66" s="11">
        <f t="shared" si="3"/>
        <v>58</v>
      </c>
      <c r="D66" t="str">
        <f t="shared" si="28"/>
        <v xml:space="preserve">openLoopCorrectionRegisters </v>
      </c>
      <c r="E66" s="10" t="str">
        <f>regList!D62</f>
        <v>PhaseOffsetEmitterCo2</v>
      </c>
      <c r="F66" s="11" t="str">
        <f>regList!C62</f>
        <v>3A</v>
      </c>
      <c r="G66" t="s">
        <v>292</v>
      </c>
      <c r="H66" s="11">
        <v>0</v>
      </c>
      <c r="I66" s="11">
        <v>8</v>
      </c>
      <c r="J66" s="11" t="str">
        <f t="shared" si="0"/>
        <v>FF</v>
      </c>
    </row>
    <row r="67" spans="1:10" x14ac:dyDescent="0.25">
      <c r="A67" s="11">
        <f t="shared" si="1"/>
        <v>5</v>
      </c>
      <c r="B67" s="11">
        <f t="shared" si="2"/>
        <v>46</v>
      </c>
      <c r="C67" s="11">
        <f t="shared" si="3"/>
        <v>59</v>
      </c>
      <c r="D67" t="str">
        <f t="shared" si="28"/>
        <v xml:space="preserve">openLoopCorrectionRegisters </v>
      </c>
      <c r="E67" s="10" t="str">
        <f>regList!D63</f>
        <v>PhaseOffsetAmbientCo2</v>
      </c>
      <c r="F67" s="11" t="str">
        <f>regList!C63</f>
        <v>3B</v>
      </c>
      <c r="G67" t="s">
        <v>286</v>
      </c>
      <c r="H67" s="11">
        <v>0</v>
      </c>
      <c r="I67" s="11">
        <v>8</v>
      </c>
      <c r="J67" s="11" t="str">
        <f t="shared" si="0"/>
        <v>FF</v>
      </c>
    </row>
    <row r="68" spans="1:10" x14ac:dyDescent="0.25">
      <c r="A68" s="11">
        <f t="shared" si="1"/>
        <v>5</v>
      </c>
      <c r="B68" s="11">
        <f t="shared" si="2"/>
        <v>47</v>
      </c>
      <c r="C68" s="11">
        <f t="shared" si="3"/>
        <v>60</v>
      </c>
      <c r="D68" t="str">
        <f t="shared" si="28"/>
        <v xml:space="preserve">openLoopCorrectionRegisters </v>
      </c>
      <c r="E68" s="10" t="str">
        <f>regList!D64</f>
        <v>PhaseOffsetVGA1Co2</v>
      </c>
      <c r="F68" s="11" t="str">
        <f>regList!C64</f>
        <v>3C</v>
      </c>
      <c r="G68" t="s">
        <v>289</v>
      </c>
      <c r="H68" s="11">
        <v>0</v>
      </c>
      <c r="I68" s="11">
        <v>8</v>
      </c>
      <c r="J68" s="11" t="str">
        <f t="shared" ref="J68:J160" si="31">IF(I68&lt;&gt;"",DEC2HEX(2^I68-1),"")</f>
        <v>FF</v>
      </c>
    </row>
    <row r="69" spans="1:10" x14ac:dyDescent="0.25">
      <c r="A69" s="11">
        <f t="shared" ref="A69:A132" si="32">IF(D69=D68,A68,A68+1)</f>
        <v>5</v>
      </c>
      <c r="B69" s="11">
        <f t="shared" ref="B69:B132" si="33">IF(E68=E69,B68,B68+1)</f>
        <v>48</v>
      </c>
      <c r="C69" s="11">
        <f t="shared" ref="C69:C132" si="34">IF(G69&lt;&gt;"",C68+1,C68)</f>
        <v>61</v>
      </c>
      <c r="D69" t="str">
        <f t="shared" ref="D69:D147" si="35">D68</f>
        <v xml:space="preserve">openLoopCorrectionRegisters </v>
      </c>
      <c r="E69" s="10" t="str">
        <f>regList!D65</f>
        <v>PhaseOffsetVGA2Co2</v>
      </c>
      <c r="F69" s="11" t="str">
        <f>regList!C65</f>
        <v>3D</v>
      </c>
      <c r="G69" t="s">
        <v>290</v>
      </c>
      <c r="H69" s="11">
        <v>0</v>
      </c>
      <c r="I69" s="11">
        <v>8</v>
      </c>
      <c r="J69" s="11" t="str">
        <f t="shared" si="31"/>
        <v>FF</v>
      </c>
    </row>
    <row r="70" spans="1:10" x14ac:dyDescent="0.25">
      <c r="A70" s="11">
        <f t="shared" si="32"/>
        <v>5</v>
      </c>
      <c r="B70" s="11">
        <f t="shared" si="33"/>
        <v>49</v>
      </c>
      <c r="C70" s="11">
        <f t="shared" si="34"/>
        <v>62</v>
      </c>
      <c r="D70" t="str">
        <f t="shared" si="35"/>
        <v xml:space="preserve">openLoopCorrectionRegisters </v>
      </c>
      <c r="E70" s="10" t="str">
        <f>regList!D66</f>
        <v>CrosstalkITempCo1</v>
      </c>
      <c r="F70" s="11" t="str">
        <f>regList!C66</f>
        <v>3E</v>
      </c>
      <c r="G70" t="s">
        <v>293</v>
      </c>
      <c r="H70" s="11">
        <v>0</v>
      </c>
      <c r="I70" s="11">
        <v>8</v>
      </c>
      <c r="J70" s="11" t="str">
        <f t="shared" si="31"/>
        <v>FF</v>
      </c>
    </row>
    <row r="71" spans="1:10" x14ac:dyDescent="0.25">
      <c r="A71" s="11">
        <f t="shared" si="32"/>
        <v>5</v>
      </c>
      <c r="B71" s="11">
        <f t="shared" si="33"/>
        <v>50</v>
      </c>
      <c r="C71" s="11">
        <f t="shared" si="34"/>
        <v>63</v>
      </c>
      <c r="D71" t="str">
        <f t="shared" si="35"/>
        <v xml:space="preserve">openLoopCorrectionRegisters </v>
      </c>
      <c r="E71" s="10" t="str">
        <f>regList!D67</f>
        <v>CrosstalkIEmitterCo1</v>
      </c>
      <c r="F71" s="11" t="str">
        <f>regList!C67</f>
        <v>3F</v>
      </c>
      <c r="G71" t="s">
        <v>294</v>
      </c>
      <c r="H71" s="11">
        <v>0</v>
      </c>
      <c r="I71" s="11">
        <v>8</v>
      </c>
      <c r="J71" s="11" t="str">
        <f t="shared" si="31"/>
        <v>FF</v>
      </c>
    </row>
    <row r="72" spans="1:10" x14ac:dyDescent="0.25">
      <c r="A72" s="11">
        <f t="shared" si="32"/>
        <v>5</v>
      </c>
      <c r="B72" s="11">
        <f t="shared" si="33"/>
        <v>51</v>
      </c>
      <c r="C72" s="11">
        <f t="shared" si="34"/>
        <v>64</v>
      </c>
      <c r="D72" t="str">
        <f t="shared" si="35"/>
        <v xml:space="preserve">openLoopCorrectionRegisters </v>
      </c>
      <c r="E72" s="10" t="str">
        <f>regList!F4</f>
        <v>CrosstalkIAmbientCo1</v>
      </c>
      <c r="F72" s="11" t="str">
        <f>regList!E4</f>
        <v>40</v>
      </c>
      <c r="G72" t="s">
        <v>295</v>
      </c>
      <c r="H72" s="11">
        <v>0</v>
      </c>
      <c r="I72" s="11">
        <v>8</v>
      </c>
      <c r="J72" s="11" t="str">
        <f t="shared" si="31"/>
        <v>FF</v>
      </c>
    </row>
    <row r="73" spans="1:10" x14ac:dyDescent="0.25">
      <c r="A73" s="11">
        <f t="shared" si="32"/>
        <v>5</v>
      </c>
      <c r="B73" s="11">
        <f t="shared" si="33"/>
        <v>52</v>
      </c>
      <c r="C73" s="11">
        <f t="shared" si="34"/>
        <v>65</v>
      </c>
      <c r="D73" t="str">
        <f t="shared" si="35"/>
        <v xml:space="preserve">openLoopCorrectionRegisters </v>
      </c>
      <c r="E73" s="10" t="str">
        <f>regList!F5</f>
        <v>CrosstalkIVGA1Co1</v>
      </c>
      <c r="F73" s="11" t="str">
        <f>regList!E5</f>
        <v>41</v>
      </c>
      <c r="G73" t="s">
        <v>296</v>
      </c>
      <c r="H73" s="11">
        <v>0</v>
      </c>
      <c r="I73" s="11">
        <v>8</v>
      </c>
      <c r="J73" s="11" t="str">
        <f t="shared" si="31"/>
        <v>FF</v>
      </c>
    </row>
    <row r="74" spans="1:10" x14ac:dyDescent="0.25">
      <c r="A74" s="11">
        <f t="shared" si="32"/>
        <v>5</v>
      </c>
      <c r="B74" s="11">
        <f t="shared" si="33"/>
        <v>53</v>
      </c>
      <c r="C74" s="11">
        <f t="shared" si="34"/>
        <v>66</v>
      </c>
      <c r="D74" t="str">
        <f t="shared" si="35"/>
        <v xml:space="preserve">openLoopCorrectionRegisters </v>
      </c>
      <c r="E74" s="10" t="str">
        <f>regList!F6</f>
        <v>CrosstalkIVGA2Co1</v>
      </c>
      <c r="F74" s="11" t="str">
        <f>regList!E6</f>
        <v>42</v>
      </c>
      <c r="G74" t="s">
        <v>297</v>
      </c>
      <c r="H74" s="11">
        <v>0</v>
      </c>
      <c r="I74" s="11">
        <v>8</v>
      </c>
      <c r="J74" s="11" t="str">
        <f t="shared" si="31"/>
        <v>FF</v>
      </c>
    </row>
    <row r="75" spans="1:10" x14ac:dyDescent="0.25">
      <c r="A75" s="11">
        <f t="shared" si="32"/>
        <v>5</v>
      </c>
      <c r="B75" s="11">
        <f t="shared" si="33"/>
        <v>54</v>
      </c>
      <c r="C75" s="11">
        <f t="shared" si="34"/>
        <v>67</v>
      </c>
      <c r="D75" t="str">
        <f t="shared" si="35"/>
        <v xml:space="preserve">openLoopCorrectionRegisters </v>
      </c>
      <c r="E75" s="10" t="str">
        <f>regList!F7</f>
        <v>CrosstalkITempCo2</v>
      </c>
      <c r="F75" s="11" t="str">
        <f>regList!E7</f>
        <v>43</v>
      </c>
      <c r="G75" t="s">
        <v>298</v>
      </c>
      <c r="H75" s="11">
        <v>0</v>
      </c>
      <c r="I75" s="11">
        <v>8</v>
      </c>
      <c r="J75" s="11" t="str">
        <f t="shared" si="31"/>
        <v>FF</v>
      </c>
    </row>
    <row r="76" spans="1:10" x14ac:dyDescent="0.25">
      <c r="A76" s="11">
        <f t="shared" si="32"/>
        <v>5</v>
      </c>
      <c r="B76" s="11">
        <f t="shared" si="33"/>
        <v>55</v>
      </c>
      <c r="C76" s="11">
        <f t="shared" si="34"/>
        <v>68</v>
      </c>
      <c r="D76" t="str">
        <f t="shared" si="35"/>
        <v xml:space="preserve">openLoopCorrectionRegisters </v>
      </c>
      <c r="E76" s="10" t="str">
        <f>regList!F8</f>
        <v>CrosstalkIEmitterCo2</v>
      </c>
      <c r="F76" s="11" t="str">
        <f>regList!E8</f>
        <v>44</v>
      </c>
      <c r="G76" t="s">
        <v>299</v>
      </c>
      <c r="H76" s="11">
        <v>0</v>
      </c>
      <c r="I76" s="11">
        <v>8</v>
      </c>
      <c r="J76" s="11" t="str">
        <f t="shared" si="31"/>
        <v>FF</v>
      </c>
    </row>
    <row r="77" spans="1:10" x14ac:dyDescent="0.25">
      <c r="A77" s="11">
        <f t="shared" si="32"/>
        <v>5</v>
      </c>
      <c r="B77" s="11">
        <f t="shared" si="33"/>
        <v>56</v>
      </c>
      <c r="C77" s="11">
        <f t="shared" si="34"/>
        <v>69</v>
      </c>
      <c r="D77" t="str">
        <f t="shared" si="35"/>
        <v xml:space="preserve">openLoopCorrectionRegisters </v>
      </c>
      <c r="E77" s="10" t="str">
        <f>regList!F9</f>
        <v>CrosstalkIAmbientCo2</v>
      </c>
      <c r="F77" s="11" t="str">
        <f>regList!E9</f>
        <v>45</v>
      </c>
      <c r="G77" t="s">
        <v>300</v>
      </c>
      <c r="H77" s="11">
        <v>0</v>
      </c>
      <c r="I77" s="11">
        <v>8</v>
      </c>
      <c r="J77" s="11" t="str">
        <f t="shared" si="31"/>
        <v>FF</v>
      </c>
    </row>
    <row r="78" spans="1:10" x14ac:dyDescent="0.25">
      <c r="A78" s="11">
        <f t="shared" si="32"/>
        <v>5</v>
      </c>
      <c r="B78" s="11">
        <f t="shared" si="33"/>
        <v>57</v>
      </c>
      <c r="C78" s="11">
        <f t="shared" si="34"/>
        <v>70</v>
      </c>
      <c r="D78" t="str">
        <f t="shared" si="35"/>
        <v xml:space="preserve">openLoopCorrectionRegisters </v>
      </c>
      <c r="E78" s="10" t="str">
        <f>regList!F10</f>
        <v>CrosstalkIVGA1Co2</v>
      </c>
      <c r="F78" s="11" t="str">
        <f>regList!E10</f>
        <v>46</v>
      </c>
      <c r="G78" t="s">
        <v>301</v>
      </c>
      <c r="H78" s="11">
        <v>0</v>
      </c>
      <c r="I78" s="11">
        <v>8</v>
      </c>
      <c r="J78" s="11" t="str">
        <f t="shared" si="31"/>
        <v>FF</v>
      </c>
    </row>
    <row r="79" spans="1:10" x14ac:dyDescent="0.25">
      <c r="A79" s="11">
        <f t="shared" si="32"/>
        <v>5</v>
      </c>
      <c r="B79" s="11">
        <f t="shared" si="33"/>
        <v>58</v>
      </c>
      <c r="C79" s="11">
        <f t="shared" si="34"/>
        <v>71</v>
      </c>
      <c r="D79" t="str">
        <f t="shared" si="35"/>
        <v xml:space="preserve">openLoopCorrectionRegisters </v>
      </c>
      <c r="E79" s="10" t="str">
        <f>regList!F11</f>
        <v>CrosstalkIVGA2Co2</v>
      </c>
      <c r="F79" s="11" t="str">
        <f>regList!E11</f>
        <v>47</v>
      </c>
      <c r="G79" t="s">
        <v>302</v>
      </c>
      <c r="H79" s="11">
        <v>0</v>
      </c>
      <c r="I79" s="11">
        <v>8</v>
      </c>
      <c r="J79" s="11" t="str">
        <f t="shared" si="31"/>
        <v>FF</v>
      </c>
    </row>
    <row r="80" spans="1:10" x14ac:dyDescent="0.25">
      <c r="A80" s="11">
        <f t="shared" si="32"/>
        <v>5</v>
      </c>
      <c r="B80" s="11">
        <f t="shared" si="33"/>
        <v>59</v>
      </c>
      <c r="C80" s="11">
        <f t="shared" si="34"/>
        <v>72</v>
      </c>
      <c r="D80" t="str">
        <f t="shared" si="35"/>
        <v xml:space="preserve">openLoopCorrectionRegisters </v>
      </c>
      <c r="E80" s="10" t="str">
        <f>regList!F12</f>
        <v>CrosstalkQTempCo1</v>
      </c>
      <c r="F80" s="11" t="str">
        <f>regList!E12</f>
        <v>48</v>
      </c>
      <c r="G80" t="s">
        <v>303</v>
      </c>
      <c r="H80" s="11">
        <v>0</v>
      </c>
      <c r="I80" s="11">
        <v>8</v>
      </c>
      <c r="J80" s="11" t="str">
        <f t="shared" si="31"/>
        <v>FF</v>
      </c>
    </row>
    <row r="81" spans="1:10" x14ac:dyDescent="0.25">
      <c r="A81" s="11">
        <f t="shared" si="32"/>
        <v>5</v>
      </c>
      <c r="B81" s="11">
        <f t="shared" si="33"/>
        <v>60</v>
      </c>
      <c r="C81" s="11">
        <f t="shared" si="34"/>
        <v>73</v>
      </c>
      <c r="D81" t="str">
        <f t="shared" si="35"/>
        <v xml:space="preserve">openLoopCorrectionRegisters </v>
      </c>
      <c r="E81" s="10" t="str">
        <f>regList!F13</f>
        <v>CrosstalkQEmitterCo1</v>
      </c>
      <c r="F81" s="11" t="str">
        <f>regList!E13</f>
        <v>49</v>
      </c>
      <c r="G81" t="s">
        <v>304</v>
      </c>
      <c r="H81" s="11">
        <v>0</v>
      </c>
      <c r="I81" s="11">
        <v>8</v>
      </c>
      <c r="J81" s="11" t="str">
        <f t="shared" si="31"/>
        <v>FF</v>
      </c>
    </row>
    <row r="82" spans="1:10" x14ac:dyDescent="0.25">
      <c r="A82" s="11">
        <f t="shared" si="32"/>
        <v>5</v>
      </c>
      <c r="B82" s="11">
        <f t="shared" si="33"/>
        <v>61</v>
      </c>
      <c r="C82" s="11">
        <f t="shared" si="34"/>
        <v>74</v>
      </c>
      <c r="D82" t="str">
        <f t="shared" si="35"/>
        <v xml:space="preserve">openLoopCorrectionRegisters </v>
      </c>
      <c r="E82" s="10" t="str">
        <f>regList!F14</f>
        <v>CrosstalkQAmbientCo1</v>
      </c>
      <c r="F82" s="11" t="str">
        <f>regList!E14</f>
        <v>4A</v>
      </c>
      <c r="G82" t="s">
        <v>305</v>
      </c>
      <c r="H82" s="11">
        <v>0</v>
      </c>
      <c r="I82" s="11">
        <v>8</v>
      </c>
      <c r="J82" s="11" t="str">
        <f t="shared" si="31"/>
        <v>FF</v>
      </c>
    </row>
    <row r="83" spans="1:10" x14ac:dyDescent="0.25">
      <c r="A83" s="11">
        <f t="shared" si="32"/>
        <v>5</v>
      </c>
      <c r="B83" s="11">
        <f t="shared" si="33"/>
        <v>62</v>
      </c>
      <c r="C83" s="11">
        <f t="shared" si="34"/>
        <v>75</v>
      </c>
      <c r="D83" t="str">
        <f t="shared" si="35"/>
        <v xml:space="preserve">openLoopCorrectionRegisters </v>
      </c>
      <c r="E83" s="10" t="str">
        <f>regList!F15</f>
        <v>CrosstalkQVGA1Co1</v>
      </c>
      <c r="F83" s="11" t="str">
        <f>regList!E15</f>
        <v>4B</v>
      </c>
      <c r="G83" t="s">
        <v>306</v>
      </c>
      <c r="H83" s="11">
        <v>0</v>
      </c>
      <c r="I83" s="11">
        <v>8</v>
      </c>
      <c r="J83" s="11" t="str">
        <f t="shared" si="31"/>
        <v>FF</v>
      </c>
    </row>
    <row r="84" spans="1:10" x14ac:dyDescent="0.25">
      <c r="A84" s="11">
        <f t="shared" si="32"/>
        <v>5</v>
      </c>
      <c r="B84" s="11">
        <f t="shared" si="33"/>
        <v>63</v>
      </c>
      <c r="C84" s="11">
        <f t="shared" si="34"/>
        <v>76</v>
      </c>
      <c r="D84" t="str">
        <f t="shared" si="35"/>
        <v xml:space="preserve">openLoopCorrectionRegisters </v>
      </c>
      <c r="E84" s="10" t="str">
        <f>regList!F16</f>
        <v>CrosstalkQVGA2Co1</v>
      </c>
      <c r="F84" s="11" t="str">
        <f>regList!E16</f>
        <v>4C</v>
      </c>
      <c r="G84" t="s">
        <v>307</v>
      </c>
      <c r="H84" s="11">
        <v>0</v>
      </c>
      <c r="I84" s="11">
        <v>8</v>
      </c>
      <c r="J84" s="11" t="str">
        <f t="shared" si="31"/>
        <v>FF</v>
      </c>
    </row>
    <row r="85" spans="1:10" x14ac:dyDescent="0.25">
      <c r="A85" s="11">
        <f t="shared" si="32"/>
        <v>5</v>
      </c>
      <c r="B85" s="11">
        <f t="shared" si="33"/>
        <v>64</v>
      </c>
      <c r="C85" s="11">
        <f t="shared" si="34"/>
        <v>77</v>
      </c>
      <c r="D85" t="str">
        <f t="shared" si="35"/>
        <v xml:space="preserve">openLoopCorrectionRegisters </v>
      </c>
      <c r="E85" s="10" t="str">
        <f>regList!F17</f>
        <v>CrosstalkQTempCo2</v>
      </c>
      <c r="F85" s="11" t="str">
        <f>regList!E17</f>
        <v>4D</v>
      </c>
      <c r="G85" t="s">
        <v>308</v>
      </c>
      <c r="H85" s="11">
        <v>0</v>
      </c>
      <c r="I85" s="11">
        <v>8</v>
      </c>
      <c r="J85" s="11" t="str">
        <f t="shared" si="31"/>
        <v>FF</v>
      </c>
    </row>
    <row r="86" spans="1:10" x14ac:dyDescent="0.25">
      <c r="A86" s="11">
        <f t="shared" si="32"/>
        <v>5</v>
      </c>
      <c r="B86" s="11">
        <f t="shared" si="33"/>
        <v>65</v>
      </c>
      <c r="C86" s="11">
        <f t="shared" si="34"/>
        <v>78</v>
      </c>
      <c r="D86" t="str">
        <f t="shared" si="35"/>
        <v xml:space="preserve">openLoopCorrectionRegisters </v>
      </c>
      <c r="E86" s="10" t="str">
        <f>regList!F18</f>
        <v>CrosstalkQEmitterCo2</v>
      </c>
      <c r="F86" s="11" t="str">
        <f>regList!E18</f>
        <v>4E</v>
      </c>
      <c r="G86" t="s">
        <v>309</v>
      </c>
      <c r="H86" s="11">
        <v>0</v>
      </c>
      <c r="I86" s="11">
        <v>8</v>
      </c>
      <c r="J86" s="11" t="str">
        <f t="shared" si="31"/>
        <v>FF</v>
      </c>
    </row>
    <row r="87" spans="1:10" x14ac:dyDescent="0.25">
      <c r="A87" s="11">
        <f t="shared" si="32"/>
        <v>5</v>
      </c>
      <c r="B87" s="11">
        <f t="shared" si="33"/>
        <v>66</v>
      </c>
      <c r="C87" s="11">
        <f t="shared" si="34"/>
        <v>79</v>
      </c>
      <c r="D87" t="str">
        <f t="shared" si="35"/>
        <v xml:space="preserve">openLoopCorrectionRegisters </v>
      </c>
      <c r="E87" s="10" t="str">
        <f>regList!F19</f>
        <v>CrosstalkQAmbientCo2</v>
      </c>
      <c r="F87" s="11" t="str">
        <f>regList!E19</f>
        <v>4F</v>
      </c>
      <c r="G87" t="s">
        <v>310</v>
      </c>
      <c r="H87" s="11">
        <v>0</v>
      </c>
      <c r="I87" s="11">
        <v>8</v>
      </c>
      <c r="J87" s="11" t="str">
        <f t="shared" si="31"/>
        <v>FF</v>
      </c>
    </row>
    <row r="88" spans="1:10" x14ac:dyDescent="0.25">
      <c r="A88" s="11">
        <f t="shared" si="32"/>
        <v>5</v>
      </c>
      <c r="B88" s="11">
        <f t="shared" si="33"/>
        <v>67</v>
      </c>
      <c r="C88" s="11">
        <f t="shared" si="34"/>
        <v>80</v>
      </c>
      <c r="D88" t="str">
        <f t="shared" si="35"/>
        <v xml:space="preserve">openLoopCorrectionRegisters </v>
      </c>
      <c r="E88" s="10" t="str">
        <f>regList!F20</f>
        <v>CrosstalkQVGA1Co2</v>
      </c>
      <c r="F88" s="11" t="str">
        <f>regList!E20</f>
        <v>50</v>
      </c>
      <c r="G88" t="s">
        <v>311</v>
      </c>
      <c r="H88" s="11">
        <v>0</v>
      </c>
      <c r="I88" s="11">
        <v>8</v>
      </c>
      <c r="J88" s="11" t="str">
        <f t="shared" si="31"/>
        <v>FF</v>
      </c>
    </row>
    <row r="89" spans="1:10" x14ac:dyDescent="0.25">
      <c r="A89" s="11">
        <f t="shared" si="32"/>
        <v>5</v>
      </c>
      <c r="B89" s="11">
        <f t="shared" si="33"/>
        <v>68</v>
      </c>
      <c r="C89" s="11">
        <f t="shared" si="34"/>
        <v>81</v>
      </c>
      <c r="D89" t="str">
        <f t="shared" si="35"/>
        <v xml:space="preserve">openLoopCorrectionRegisters </v>
      </c>
      <c r="E89" s="10" t="str">
        <f>regList!F21</f>
        <v>CrosstalkQVGA2Co2</v>
      </c>
      <c r="F89" s="11" t="str">
        <f>regList!E21</f>
        <v>51</v>
      </c>
      <c r="G89" t="s">
        <v>312</v>
      </c>
      <c r="H89" s="11">
        <v>0</v>
      </c>
      <c r="I89" s="11">
        <v>8</v>
      </c>
      <c r="J89" s="11" t="str">
        <f t="shared" si="31"/>
        <v>FF</v>
      </c>
    </row>
    <row r="90" spans="1:10" x14ac:dyDescent="0.25">
      <c r="A90" s="11">
        <f t="shared" si="32"/>
        <v>5</v>
      </c>
      <c r="B90" s="11">
        <f t="shared" si="33"/>
        <v>69</v>
      </c>
      <c r="C90" s="11">
        <f t="shared" si="34"/>
        <v>82</v>
      </c>
      <c r="D90" t="str">
        <f t="shared" si="35"/>
        <v xml:space="preserve">openLoopCorrectionRegisters </v>
      </c>
      <c r="E90" s="10" t="str">
        <f>regList!F22</f>
        <v>EmitterSelectforOpenLoop</v>
      </c>
      <c r="F90" s="11" t="str">
        <f>regList!E22</f>
        <v>52</v>
      </c>
      <c r="G90" t="s">
        <v>313</v>
      </c>
      <c r="H90" s="11">
        <v>0</v>
      </c>
      <c r="I90" s="11">
        <v>1</v>
      </c>
      <c r="J90" s="11" t="str">
        <f t="shared" si="31"/>
        <v>1</v>
      </c>
    </row>
    <row r="91" spans="1:10" x14ac:dyDescent="0.25">
      <c r="A91" s="11">
        <f t="shared" si="32"/>
        <v>6</v>
      </c>
      <c r="B91" s="11">
        <f t="shared" si="33"/>
        <v>70</v>
      </c>
      <c r="C91" s="11">
        <f t="shared" si="34"/>
        <v>83</v>
      </c>
      <c r="D91" t="s">
        <v>218</v>
      </c>
      <c r="E91" s="10" t="str">
        <f>regList!F36</f>
        <v>InterruptControl</v>
      </c>
      <c r="F91" s="11" t="str">
        <f>regList!E36</f>
        <v>60</v>
      </c>
      <c r="G91" t="s">
        <v>314</v>
      </c>
      <c r="H91" s="11">
        <v>5</v>
      </c>
      <c r="I91" s="11">
        <v>1</v>
      </c>
      <c r="J91" s="11" t="str">
        <f t="shared" si="31"/>
        <v>1</v>
      </c>
    </row>
    <row r="92" spans="1:10" x14ac:dyDescent="0.25">
      <c r="A92" s="11">
        <f t="shared" si="32"/>
        <v>6</v>
      </c>
      <c r="B92" s="11">
        <f t="shared" si="33"/>
        <v>70</v>
      </c>
      <c r="C92" s="11">
        <f t="shared" si="34"/>
        <v>84</v>
      </c>
      <c r="D92" t="str">
        <f t="shared" ref="D92:D94" si="36">D91</f>
        <v>interruptRegisters</v>
      </c>
      <c r="E92" s="10" t="str">
        <f t="shared" ref="E92:E94" si="37">E91</f>
        <v>InterruptControl</v>
      </c>
      <c r="F92" s="11" t="str">
        <f t="shared" ref="F92:F94" si="38">F91</f>
        <v>60</v>
      </c>
      <c r="G92" t="s">
        <v>315</v>
      </c>
      <c r="H92" s="11">
        <v>4</v>
      </c>
      <c r="I92" s="11">
        <v>1</v>
      </c>
      <c r="J92" s="11" t="str">
        <f t="shared" si="31"/>
        <v>1</v>
      </c>
    </row>
    <row r="93" spans="1:10" x14ac:dyDescent="0.25">
      <c r="A93" s="11">
        <f t="shared" si="32"/>
        <v>6</v>
      </c>
      <c r="B93" s="11">
        <f t="shared" si="33"/>
        <v>70</v>
      </c>
      <c r="C93" s="11">
        <f t="shared" si="34"/>
        <v>85</v>
      </c>
      <c r="D93" t="str">
        <f t="shared" si="36"/>
        <v>interruptRegisters</v>
      </c>
      <c r="E93" s="10" t="str">
        <f t="shared" si="37"/>
        <v>InterruptControl</v>
      </c>
      <c r="F93" s="11" t="str">
        <f t="shared" si="38"/>
        <v>60</v>
      </c>
      <c r="G93" t="s">
        <v>316</v>
      </c>
      <c r="H93" s="11">
        <v>3</v>
      </c>
      <c r="I93" s="11">
        <v>1</v>
      </c>
      <c r="J93" s="11" t="str">
        <f t="shared" si="31"/>
        <v>1</v>
      </c>
    </row>
    <row r="94" spans="1:10" x14ac:dyDescent="0.25">
      <c r="A94" s="11">
        <f t="shared" si="32"/>
        <v>6</v>
      </c>
      <c r="B94" s="11">
        <f t="shared" si="33"/>
        <v>70</v>
      </c>
      <c r="C94" s="11">
        <f t="shared" si="34"/>
        <v>86</v>
      </c>
      <c r="D94" t="str">
        <f t="shared" si="36"/>
        <v>interruptRegisters</v>
      </c>
      <c r="E94" s="10" t="str">
        <f t="shared" si="37"/>
        <v>InterruptControl</v>
      </c>
      <c r="F94" s="11" t="str">
        <f t="shared" si="38"/>
        <v>60</v>
      </c>
      <c r="G94" t="s">
        <v>317</v>
      </c>
      <c r="H94" s="11">
        <v>0</v>
      </c>
      <c r="I94" s="11">
        <v>3</v>
      </c>
      <c r="J94" s="11" t="str">
        <f t="shared" si="31"/>
        <v>7</v>
      </c>
    </row>
    <row r="95" spans="1:10" x14ac:dyDescent="0.25">
      <c r="A95" s="11">
        <f t="shared" si="32"/>
        <v>6</v>
      </c>
      <c r="B95" s="11">
        <f t="shared" si="33"/>
        <v>71</v>
      </c>
      <c r="C95" s="11">
        <f t="shared" si="34"/>
        <v>87</v>
      </c>
      <c r="D95" t="str">
        <f>D91</f>
        <v>interruptRegisters</v>
      </c>
      <c r="E95" s="10" t="str">
        <f>regList!F37</f>
        <v>DataInvalid</v>
      </c>
      <c r="F95" s="11" t="str">
        <f>regList!E37</f>
        <v>61</v>
      </c>
      <c r="G95" t="s">
        <v>319</v>
      </c>
      <c r="H95" s="11">
        <v>0</v>
      </c>
      <c r="I95" s="11">
        <v>8</v>
      </c>
      <c r="J95" s="11" t="str">
        <f t="shared" si="31"/>
        <v>FF</v>
      </c>
    </row>
    <row r="96" spans="1:10" x14ac:dyDescent="0.25">
      <c r="A96" s="11">
        <f t="shared" si="32"/>
        <v>6</v>
      </c>
      <c r="B96" s="11">
        <f t="shared" si="33"/>
        <v>72</v>
      </c>
      <c r="C96" s="11">
        <f t="shared" si="34"/>
        <v>88</v>
      </c>
      <c r="D96" t="str">
        <f t="shared" si="35"/>
        <v>interruptRegisters</v>
      </c>
      <c r="E96" s="10" t="str">
        <f>regList!F38</f>
        <v>Detection</v>
      </c>
      <c r="F96" s="11" t="str">
        <f>regList!E38</f>
        <v>62</v>
      </c>
      <c r="G96" t="s">
        <v>320</v>
      </c>
      <c r="H96" s="11">
        <v>4</v>
      </c>
      <c r="I96" s="11">
        <v>2</v>
      </c>
      <c r="J96" s="11" t="str">
        <f t="shared" si="31"/>
        <v>3</v>
      </c>
    </row>
    <row r="97" spans="1:10" x14ac:dyDescent="0.25">
      <c r="A97" s="11">
        <f t="shared" si="32"/>
        <v>6</v>
      </c>
      <c r="B97" s="11">
        <f t="shared" si="33"/>
        <v>72</v>
      </c>
      <c r="C97" s="11">
        <f t="shared" si="34"/>
        <v>89</v>
      </c>
      <c r="D97" t="str">
        <f t="shared" si="35"/>
        <v>interruptRegisters</v>
      </c>
      <c r="E97" s="10" t="str">
        <f t="shared" ref="E97:E99" si="39">E96</f>
        <v>Detection</v>
      </c>
      <c r="F97" s="11" t="str">
        <f t="shared" ref="F97:F99" si="40">F96</f>
        <v>62</v>
      </c>
      <c r="G97" t="s">
        <v>321</v>
      </c>
      <c r="H97" s="11">
        <v>3</v>
      </c>
      <c r="I97" s="11">
        <v>1</v>
      </c>
      <c r="J97" s="11" t="str">
        <f t="shared" si="31"/>
        <v>1</v>
      </c>
    </row>
    <row r="98" spans="1:10" x14ac:dyDescent="0.25">
      <c r="A98" s="11">
        <f t="shared" si="32"/>
        <v>6</v>
      </c>
      <c r="B98" s="11">
        <f t="shared" si="33"/>
        <v>72</v>
      </c>
      <c r="C98" s="11">
        <f t="shared" si="34"/>
        <v>90</v>
      </c>
      <c r="D98" t="str">
        <f t="shared" si="35"/>
        <v>interruptRegisters</v>
      </c>
      <c r="E98" s="10" t="str">
        <f t="shared" si="39"/>
        <v>Detection</v>
      </c>
      <c r="F98" s="11" t="str">
        <f t="shared" si="40"/>
        <v>62</v>
      </c>
      <c r="G98" t="s">
        <v>322</v>
      </c>
      <c r="H98" s="11">
        <v>2</v>
      </c>
      <c r="I98" s="11">
        <v>1</v>
      </c>
      <c r="J98" s="11" t="str">
        <f t="shared" si="31"/>
        <v>1</v>
      </c>
    </row>
    <row r="99" spans="1:10" x14ac:dyDescent="0.25">
      <c r="A99" s="11">
        <f t="shared" si="32"/>
        <v>6</v>
      </c>
      <c r="B99" s="11">
        <f t="shared" si="33"/>
        <v>72</v>
      </c>
      <c r="C99" s="11">
        <f t="shared" si="34"/>
        <v>91</v>
      </c>
      <c r="D99" t="str">
        <f t="shared" si="35"/>
        <v>interruptRegisters</v>
      </c>
      <c r="E99" s="10" t="str">
        <f t="shared" si="39"/>
        <v>Detection</v>
      </c>
      <c r="F99" s="11" t="str">
        <f t="shared" si="40"/>
        <v>62</v>
      </c>
      <c r="G99" t="s">
        <v>323</v>
      </c>
      <c r="H99" s="11">
        <v>0</v>
      </c>
      <c r="I99" s="11">
        <v>2</v>
      </c>
      <c r="J99" s="11" t="str">
        <f t="shared" si="31"/>
        <v>3</v>
      </c>
    </row>
    <row r="100" spans="1:10" x14ac:dyDescent="0.25">
      <c r="A100" s="11">
        <f t="shared" si="32"/>
        <v>6</v>
      </c>
      <c r="B100" s="11">
        <f t="shared" si="33"/>
        <v>73</v>
      </c>
      <c r="C100" s="11">
        <f t="shared" si="34"/>
        <v>92</v>
      </c>
      <c r="D100" t="str">
        <f>D96</f>
        <v>interruptRegisters</v>
      </c>
      <c r="E100" s="10" t="str">
        <f>regList!F39</f>
        <v>DetectionCondition1</v>
      </c>
      <c r="F100" s="11" t="str">
        <f>regList!E39</f>
        <v>63</v>
      </c>
      <c r="G100" t="s">
        <v>324</v>
      </c>
      <c r="H100" s="11">
        <v>7</v>
      </c>
      <c r="I100" s="11">
        <v>1</v>
      </c>
      <c r="J100" s="11" t="str">
        <f t="shared" si="31"/>
        <v>1</v>
      </c>
    </row>
    <row r="101" spans="1:10" x14ac:dyDescent="0.25">
      <c r="A101" s="11">
        <f t="shared" si="32"/>
        <v>6</v>
      </c>
      <c r="B101" s="11">
        <f t="shared" si="33"/>
        <v>73</v>
      </c>
      <c r="C101" s="11">
        <f t="shared" si="34"/>
        <v>93</v>
      </c>
      <c r="D101" t="str">
        <f t="shared" ref="D101:D107" si="41">D100</f>
        <v>interruptRegisters</v>
      </c>
      <c r="E101" s="10" t="str">
        <f t="shared" ref="E101:E107" si="42">E100</f>
        <v>DetectionCondition1</v>
      </c>
      <c r="F101" s="11" t="str">
        <f t="shared" ref="F101:F107" si="43">F100</f>
        <v>63</v>
      </c>
      <c r="G101" t="s">
        <v>326</v>
      </c>
      <c r="H101" s="11">
        <f>H100-1</f>
        <v>6</v>
      </c>
      <c r="I101" s="11">
        <f>I100</f>
        <v>1</v>
      </c>
      <c r="J101" s="11" t="str">
        <f t="shared" si="31"/>
        <v>1</v>
      </c>
    </row>
    <row r="102" spans="1:10" x14ac:dyDescent="0.25">
      <c r="A102" s="11">
        <f t="shared" si="32"/>
        <v>6</v>
      </c>
      <c r="B102" s="11">
        <f t="shared" si="33"/>
        <v>73</v>
      </c>
      <c r="C102" s="11">
        <f t="shared" si="34"/>
        <v>94</v>
      </c>
      <c r="D102" t="str">
        <f t="shared" si="41"/>
        <v>interruptRegisters</v>
      </c>
      <c r="E102" s="10" t="str">
        <f t="shared" si="42"/>
        <v>DetectionCondition1</v>
      </c>
      <c r="F102" s="11" t="str">
        <f t="shared" si="43"/>
        <v>63</v>
      </c>
      <c r="G102" t="s">
        <v>327</v>
      </c>
      <c r="H102" s="11">
        <f t="shared" ref="H102:H107" si="44">H101-1</f>
        <v>5</v>
      </c>
      <c r="I102" s="11">
        <f t="shared" ref="I102:I107" si="45">I101</f>
        <v>1</v>
      </c>
      <c r="J102" s="11" t="str">
        <f t="shared" si="31"/>
        <v>1</v>
      </c>
    </row>
    <row r="103" spans="1:10" x14ac:dyDescent="0.25">
      <c r="A103" s="11">
        <f t="shared" si="32"/>
        <v>6</v>
      </c>
      <c r="B103" s="11">
        <f t="shared" si="33"/>
        <v>73</v>
      </c>
      <c r="C103" s="11">
        <f t="shared" si="34"/>
        <v>95</v>
      </c>
      <c r="D103" t="str">
        <f t="shared" si="41"/>
        <v>interruptRegisters</v>
      </c>
      <c r="E103" s="10" t="str">
        <f t="shared" si="42"/>
        <v>DetectionCondition1</v>
      </c>
      <c r="F103" s="11" t="str">
        <f t="shared" si="43"/>
        <v>63</v>
      </c>
      <c r="G103" t="s">
        <v>328</v>
      </c>
      <c r="H103" s="11">
        <f t="shared" si="44"/>
        <v>4</v>
      </c>
      <c r="I103" s="11">
        <f t="shared" si="45"/>
        <v>1</v>
      </c>
      <c r="J103" s="11" t="str">
        <f t="shared" si="31"/>
        <v>1</v>
      </c>
    </row>
    <row r="104" spans="1:10" x14ac:dyDescent="0.25">
      <c r="A104" s="11">
        <f t="shared" si="32"/>
        <v>6</v>
      </c>
      <c r="B104" s="11">
        <f t="shared" si="33"/>
        <v>73</v>
      </c>
      <c r="C104" s="11">
        <f t="shared" si="34"/>
        <v>96</v>
      </c>
      <c r="D104" t="str">
        <f t="shared" si="41"/>
        <v>interruptRegisters</v>
      </c>
      <c r="E104" s="10" t="str">
        <f t="shared" si="42"/>
        <v>DetectionCondition1</v>
      </c>
      <c r="F104" s="11" t="str">
        <f t="shared" si="43"/>
        <v>63</v>
      </c>
      <c r="G104" t="s">
        <v>329</v>
      </c>
      <c r="H104" s="11">
        <f t="shared" si="44"/>
        <v>3</v>
      </c>
      <c r="I104" s="11">
        <f t="shared" si="45"/>
        <v>1</v>
      </c>
      <c r="J104" s="11" t="str">
        <f t="shared" si="31"/>
        <v>1</v>
      </c>
    </row>
    <row r="105" spans="1:10" x14ac:dyDescent="0.25">
      <c r="A105" s="11">
        <f t="shared" si="32"/>
        <v>6</v>
      </c>
      <c r="B105" s="11">
        <f t="shared" si="33"/>
        <v>73</v>
      </c>
      <c r="C105" s="11">
        <f t="shared" si="34"/>
        <v>97</v>
      </c>
      <c r="D105" t="str">
        <f t="shared" si="41"/>
        <v>interruptRegisters</v>
      </c>
      <c r="E105" s="10" t="str">
        <f t="shared" si="42"/>
        <v>DetectionCondition1</v>
      </c>
      <c r="F105" s="11" t="str">
        <f t="shared" si="43"/>
        <v>63</v>
      </c>
      <c r="G105" t="s">
        <v>330</v>
      </c>
      <c r="H105" s="11">
        <f t="shared" si="44"/>
        <v>2</v>
      </c>
      <c r="I105" s="11">
        <f t="shared" si="45"/>
        <v>1</v>
      </c>
      <c r="J105" s="11" t="str">
        <f t="shared" si="31"/>
        <v>1</v>
      </c>
    </row>
    <row r="106" spans="1:10" x14ac:dyDescent="0.25">
      <c r="A106" s="11">
        <f t="shared" si="32"/>
        <v>6</v>
      </c>
      <c r="B106" s="11">
        <f t="shared" si="33"/>
        <v>73</v>
      </c>
      <c r="C106" s="11">
        <f t="shared" si="34"/>
        <v>98</v>
      </c>
      <c r="D106" t="str">
        <f t="shared" si="41"/>
        <v>interruptRegisters</v>
      </c>
      <c r="E106" s="10" t="str">
        <f t="shared" si="42"/>
        <v>DetectionCondition1</v>
      </c>
      <c r="F106" s="11" t="str">
        <f t="shared" si="43"/>
        <v>63</v>
      </c>
      <c r="G106" t="s">
        <v>331</v>
      </c>
      <c r="H106" s="11">
        <f t="shared" si="44"/>
        <v>1</v>
      </c>
      <c r="I106" s="11">
        <f t="shared" si="45"/>
        <v>1</v>
      </c>
      <c r="J106" s="11" t="str">
        <f t="shared" si="31"/>
        <v>1</v>
      </c>
    </row>
    <row r="107" spans="1:10" x14ac:dyDescent="0.25">
      <c r="A107" s="11">
        <f t="shared" si="32"/>
        <v>6</v>
      </c>
      <c r="B107" s="11">
        <f t="shared" si="33"/>
        <v>73</v>
      </c>
      <c r="C107" s="11">
        <f t="shared" si="34"/>
        <v>99</v>
      </c>
      <c r="D107" t="str">
        <f t="shared" si="41"/>
        <v>interruptRegisters</v>
      </c>
      <c r="E107" s="10" t="str">
        <f t="shared" si="42"/>
        <v>DetectionCondition1</v>
      </c>
      <c r="F107" s="11" t="str">
        <f t="shared" si="43"/>
        <v>63</v>
      </c>
      <c r="G107" t="s">
        <v>332</v>
      </c>
      <c r="H107" s="11">
        <f t="shared" si="44"/>
        <v>0</v>
      </c>
      <c r="I107" s="11">
        <f t="shared" si="45"/>
        <v>1</v>
      </c>
      <c r="J107" s="11" t="str">
        <f t="shared" si="31"/>
        <v>1</v>
      </c>
    </row>
    <row r="108" spans="1:10" x14ac:dyDescent="0.25">
      <c r="A108" s="11">
        <f t="shared" si="32"/>
        <v>6</v>
      </c>
      <c r="B108" s="11">
        <f t="shared" si="33"/>
        <v>74</v>
      </c>
      <c r="C108" s="11">
        <f t="shared" si="34"/>
        <v>100</v>
      </c>
      <c r="D108" t="str">
        <f>D100</f>
        <v>interruptRegisters</v>
      </c>
      <c r="E108" s="10" t="str">
        <f>regList!F40</f>
        <v>DetectionCondition2</v>
      </c>
      <c r="F108" s="11" t="str">
        <f>regList!E40</f>
        <v>64</v>
      </c>
      <c r="G108" t="s">
        <v>325</v>
      </c>
      <c r="H108" s="11">
        <v>7</v>
      </c>
      <c r="I108" s="11">
        <v>1</v>
      </c>
      <c r="J108" s="11" t="str">
        <f t="shared" si="31"/>
        <v>1</v>
      </c>
    </row>
    <row r="109" spans="1:10" x14ac:dyDescent="0.25">
      <c r="A109" s="11">
        <f t="shared" si="32"/>
        <v>6</v>
      </c>
      <c r="B109" s="11">
        <f t="shared" si="33"/>
        <v>74</v>
      </c>
      <c r="C109" s="11">
        <f t="shared" si="34"/>
        <v>101</v>
      </c>
      <c r="D109" t="str">
        <f t="shared" ref="D109:D115" si="46">D108</f>
        <v>interruptRegisters</v>
      </c>
      <c r="E109" s="10" t="str">
        <f t="shared" ref="E109:E115" si="47">E108</f>
        <v>DetectionCondition2</v>
      </c>
      <c r="F109" s="11" t="str">
        <f t="shared" ref="F109:F115" si="48">F108</f>
        <v>64</v>
      </c>
      <c r="G109" t="s">
        <v>333</v>
      </c>
      <c r="H109" s="11">
        <f>H108-1</f>
        <v>6</v>
      </c>
      <c r="I109" s="11">
        <f>I108</f>
        <v>1</v>
      </c>
      <c r="J109" s="11" t="str">
        <f t="shared" si="31"/>
        <v>1</v>
      </c>
    </row>
    <row r="110" spans="1:10" x14ac:dyDescent="0.25">
      <c r="A110" s="11">
        <f t="shared" si="32"/>
        <v>6</v>
      </c>
      <c r="B110" s="11">
        <f t="shared" si="33"/>
        <v>74</v>
      </c>
      <c r="C110" s="11">
        <f t="shared" si="34"/>
        <v>102</v>
      </c>
      <c r="D110" t="str">
        <f t="shared" si="46"/>
        <v>interruptRegisters</v>
      </c>
      <c r="E110" s="10" t="str">
        <f t="shared" si="47"/>
        <v>DetectionCondition2</v>
      </c>
      <c r="F110" s="11" t="str">
        <f t="shared" si="48"/>
        <v>64</v>
      </c>
      <c r="G110" t="s">
        <v>334</v>
      </c>
      <c r="H110" s="11">
        <f t="shared" ref="H110:H115" si="49">H109-1</f>
        <v>5</v>
      </c>
      <c r="I110" s="11">
        <f t="shared" ref="I110:I115" si="50">I109</f>
        <v>1</v>
      </c>
      <c r="J110" s="11" t="str">
        <f t="shared" si="31"/>
        <v>1</v>
      </c>
    </row>
    <row r="111" spans="1:10" x14ac:dyDescent="0.25">
      <c r="A111" s="11">
        <f t="shared" si="32"/>
        <v>6</v>
      </c>
      <c r="B111" s="11">
        <f t="shared" si="33"/>
        <v>74</v>
      </c>
      <c r="C111" s="11">
        <f t="shared" si="34"/>
        <v>103</v>
      </c>
      <c r="D111" t="str">
        <f t="shared" si="46"/>
        <v>interruptRegisters</v>
      </c>
      <c r="E111" s="10" t="str">
        <f t="shared" si="47"/>
        <v>DetectionCondition2</v>
      </c>
      <c r="F111" s="11" t="str">
        <f t="shared" si="48"/>
        <v>64</v>
      </c>
      <c r="G111" t="s">
        <v>335</v>
      </c>
      <c r="H111" s="11">
        <f t="shared" si="49"/>
        <v>4</v>
      </c>
      <c r="I111" s="11">
        <f t="shared" si="50"/>
        <v>1</v>
      </c>
      <c r="J111" s="11" t="str">
        <f t="shared" si="31"/>
        <v>1</v>
      </c>
    </row>
    <row r="112" spans="1:10" x14ac:dyDescent="0.25">
      <c r="A112" s="11">
        <f t="shared" si="32"/>
        <v>6</v>
      </c>
      <c r="B112" s="11">
        <f t="shared" si="33"/>
        <v>74</v>
      </c>
      <c r="C112" s="11">
        <f t="shared" si="34"/>
        <v>104</v>
      </c>
      <c r="D112" t="str">
        <f t="shared" si="46"/>
        <v>interruptRegisters</v>
      </c>
      <c r="E112" s="10" t="str">
        <f t="shared" si="47"/>
        <v>DetectionCondition2</v>
      </c>
      <c r="F112" s="11" t="str">
        <f t="shared" si="48"/>
        <v>64</v>
      </c>
      <c r="G112" t="s">
        <v>336</v>
      </c>
      <c r="H112" s="11">
        <f t="shared" si="49"/>
        <v>3</v>
      </c>
      <c r="I112" s="11">
        <f t="shared" si="50"/>
        <v>1</v>
      </c>
      <c r="J112" s="11" t="str">
        <f t="shared" si="31"/>
        <v>1</v>
      </c>
    </row>
    <row r="113" spans="1:10" x14ac:dyDescent="0.25">
      <c r="A113" s="11">
        <f t="shared" si="32"/>
        <v>6</v>
      </c>
      <c r="B113" s="11">
        <f t="shared" si="33"/>
        <v>74</v>
      </c>
      <c r="C113" s="11">
        <f t="shared" si="34"/>
        <v>105</v>
      </c>
      <c r="D113" t="str">
        <f t="shared" si="46"/>
        <v>interruptRegisters</v>
      </c>
      <c r="E113" s="10" t="str">
        <f t="shared" si="47"/>
        <v>DetectionCondition2</v>
      </c>
      <c r="F113" s="11" t="str">
        <f t="shared" si="48"/>
        <v>64</v>
      </c>
      <c r="G113" t="s">
        <v>337</v>
      </c>
      <c r="H113" s="11">
        <f t="shared" si="49"/>
        <v>2</v>
      </c>
      <c r="I113" s="11">
        <f t="shared" si="50"/>
        <v>1</v>
      </c>
      <c r="J113" s="11" t="str">
        <f t="shared" si="31"/>
        <v>1</v>
      </c>
    </row>
    <row r="114" spans="1:10" x14ac:dyDescent="0.25">
      <c r="A114" s="11">
        <f t="shared" si="32"/>
        <v>6</v>
      </c>
      <c r="B114" s="11">
        <f t="shared" si="33"/>
        <v>74</v>
      </c>
      <c r="C114" s="11">
        <f t="shared" si="34"/>
        <v>106</v>
      </c>
      <c r="D114" t="str">
        <f t="shared" si="46"/>
        <v>interruptRegisters</v>
      </c>
      <c r="E114" s="10" t="str">
        <f t="shared" si="47"/>
        <v>DetectionCondition2</v>
      </c>
      <c r="F114" s="11" t="str">
        <f t="shared" si="48"/>
        <v>64</v>
      </c>
      <c r="G114" t="s">
        <v>338</v>
      </c>
      <c r="H114" s="11">
        <f t="shared" si="49"/>
        <v>1</v>
      </c>
      <c r="I114" s="11">
        <f t="shared" si="50"/>
        <v>1</v>
      </c>
      <c r="J114" s="11" t="str">
        <f t="shared" si="31"/>
        <v>1</v>
      </c>
    </row>
    <row r="115" spans="1:10" x14ac:dyDescent="0.25">
      <c r="A115" s="11">
        <f t="shared" si="32"/>
        <v>6</v>
      </c>
      <c r="B115" s="11">
        <f t="shared" si="33"/>
        <v>74</v>
      </c>
      <c r="C115" s="11">
        <f t="shared" si="34"/>
        <v>107</v>
      </c>
      <c r="D115" t="str">
        <f t="shared" si="46"/>
        <v>interruptRegisters</v>
      </c>
      <c r="E115" s="10" t="str">
        <f t="shared" si="47"/>
        <v>DetectionCondition2</v>
      </c>
      <c r="F115" s="11" t="str">
        <f t="shared" si="48"/>
        <v>64</v>
      </c>
      <c r="G115" t="s">
        <v>339</v>
      </c>
      <c r="H115" s="11">
        <f t="shared" si="49"/>
        <v>0</v>
      </c>
      <c r="I115" s="11">
        <f t="shared" si="50"/>
        <v>1</v>
      </c>
      <c r="J115" s="11" t="str">
        <f t="shared" si="31"/>
        <v>1</v>
      </c>
    </row>
    <row r="116" spans="1:10" x14ac:dyDescent="0.25">
      <c r="A116" s="11">
        <f t="shared" si="32"/>
        <v>6</v>
      </c>
      <c r="B116" s="11">
        <f t="shared" si="33"/>
        <v>75</v>
      </c>
      <c r="C116" s="11">
        <f t="shared" si="34"/>
        <v>108</v>
      </c>
      <c r="D116" t="str">
        <f>D108</f>
        <v>interruptRegisters</v>
      </c>
      <c r="E116" s="10" t="str">
        <f>regList!F41</f>
        <v>ReferenceDistanceforMotionMSB</v>
      </c>
      <c r="F116" s="11" t="str">
        <f>regList!E41</f>
        <v>65</v>
      </c>
      <c r="G116" t="s">
        <v>340</v>
      </c>
      <c r="H116" s="11">
        <v>0</v>
      </c>
      <c r="I116" s="11">
        <v>16</v>
      </c>
      <c r="J116" s="11" t="str">
        <f t="shared" si="31"/>
        <v>FFFF</v>
      </c>
    </row>
    <row r="117" spans="1:10" x14ac:dyDescent="0.25">
      <c r="A117" s="11">
        <f t="shared" si="32"/>
        <v>6</v>
      </c>
      <c r="B117" s="11">
        <f t="shared" si="33"/>
        <v>76</v>
      </c>
      <c r="C117" s="11">
        <f t="shared" si="34"/>
        <v>108</v>
      </c>
      <c r="D117" t="str">
        <f t="shared" si="35"/>
        <v>interruptRegisters</v>
      </c>
      <c r="E117" s="10" t="str">
        <f>regList!F42</f>
        <v>ReferenceDistanceforMotionLSB</v>
      </c>
      <c r="F117" s="11" t="str">
        <f>regList!E42</f>
        <v>66</v>
      </c>
      <c r="J117" s="11" t="str">
        <f t="shared" si="31"/>
        <v/>
      </c>
    </row>
    <row r="118" spans="1:10" x14ac:dyDescent="0.25">
      <c r="A118" s="11">
        <f t="shared" si="32"/>
        <v>6</v>
      </c>
      <c r="B118" s="11">
        <f t="shared" si="33"/>
        <v>77</v>
      </c>
      <c r="C118" s="11">
        <f t="shared" si="34"/>
        <v>109</v>
      </c>
      <c r="D118" t="str">
        <f t="shared" si="35"/>
        <v>interruptRegisters</v>
      </c>
      <c r="E118" s="10" t="str">
        <f>regList!F43</f>
        <v>ReferenceMagnitudeExponent</v>
      </c>
      <c r="F118" s="11" t="str">
        <f>regList!E43</f>
        <v>67</v>
      </c>
      <c r="G118" t="s">
        <v>341</v>
      </c>
      <c r="H118" s="11">
        <v>0</v>
      </c>
      <c r="I118" s="11">
        <v>4</v>
      </c>
      <c r="J118" s="11" t="str">
        <f t="shared" si="31"/>
        <v>F</v>
      </c>
    </row>
    <row r="119" spans="1:10" x14ac:dyDescent="0.25">
      <c r="A119" s="11">
        <f t="shared" si="32"/>
        <v>6</v>
      </c>
      <c r="B119" s="11">
        <f t="shared" si="33"/>
        <v>78</v>
      </c>
      <c r="C119" s="11">
        <f t="shared" si="34"/>
        <v>110</v>
      </c>
      <c r="D119" t="str">
        <f t="shared" si="35"/>
        <v>interruptRegisters</v>
      </c>
      <c r="E119" s="10" t="str">
        <f>regList!F44</f>
        <v>ReferenceMagnitudeSignificand</v>
      </c>
      <c r="F119" s="11" t="str">
        <f>regList!E44</f>
        <v>68</v>
      </c>
      <c r="G119" t="s">
        <v>342</v>
      </c>
      <c r="H119" s="11">
        <v>0</v>
      </c>
      <c r="I119" s="11">
        <v>8</v>
      </c>
      <c r="J119" s="11" t="str">
        <f t="shared" si="31"/>
        <v>FF</v>
      </c>
    </row>
    <row r="120" spans="1:10" x14ac:dyDescent="0.25">
      <c r="A120" s="11">
        <f t="shared" si="32"/>
        <v>6</v>
      </c>
      <c r="B120" s="11">
        <f t="shared" si="33"/>
        <v>79</v>
      </c>
      <c r="C120" s="11">
        <f t="shared" si="34"/>
        <v>111</v>
      </c>
      <c r="D120" t="str">
        <f t="shared" si="35"/>
        <v>interruptRegisters</v>
      </c>
      <c r="E120" s="10" t="str">
        <f>regList!F45</f>
        <v>InterruptFlag</v>
      </c>
      <c r="F120" s="11" t="str">
        <f>regList!E45</f>
        <v>69</v>
      </c>
      <c r="G120" t="s">
        <v>343</v>
      </c>
      <c r="H120" s="11">
        <v>5</v>
      </c>
      <c r="I120" s="11">
        <v>1</v>
      </c>
      <c r="J120" s="11" t="str">
        <f t="shared" si="31"/>
        <v>1</v>
      </c>
    </row>
    <row r="121" spans="1:10" x14ac:dyDescent="0.25">
      <c r="A121" s="11">
        <f t="shared" si="32"/>
        <v>6</v>
      </c>
      <c r="B121" s="11">
        <f t="shared" si="33"/>
        <v>79</v>
      </c>
      <c r="C121" s="11">
        <f t="shared" si="34"/>
        <v>112</v>
      </c>
      <c r="D121" t="str">
        <f t="shared" ref="D121:D125" si="51">D120</f>
        <v>interruptRegisters</v>
      </c>
      <c r="E121" s="10" t="str">
        <f t="shared" ref="E121:E125" si="52">E120</f>
        <v>InterruptFlag</v>
      </c>
      <c r="F121" s="11" t="str">
        <f t="shared" ref="F121:F125" si="53">F120</f>
        <v>69</v>
      </c>
      <c r="G121" t="s">
        <v>344</v>
      </c>
      <c r="H121" s="11">
        <f>H120-1</f>
        <v>4</v>
      </c>
      <c r="I121" s="11">
        <f>I120</f>
        <v>1</v>
      </c>
      <c r="J121" s="11" t="str">
        <f t="shared" si="31"/>
        <v>1</v>
      </c>
    </row>
    <row r="122" spans="1:10" x14ac:dyDescent="0.25">
      <c r="A122" s="11">
        <f t="shared" si="32"/>
        <v>6</v>
      </c>
      <c r="B122" s="11">
        <f t="shared" si="33"/>
        <v>79</v>
      </c>
      <c r="C122" s="11">
        <f t="shared" si="34"/>
        <v>113</v>
      </c>
      <c r="D122" t="str">
        <f t="shared" si="51"/>
        <v>interruptRegisters</v>
      </c>
      <c r="E122" s="10" t="str">
        <f t="shared" si="52"/>
        <v>InterruptFlag</v>
      </c>
      <c r="F122" s="11" t="str">
        <f t="shared" si="53"/>
        <v>69</v>
      </c>
      <c r="G122" t="s">
        <v>345</v>
      </c>
      <c r="H122" s="11">
        <f t="shared" ref="H122:H125" si="54">H121-1</f>
        <v>3</v>
      </c>
      <c r="I122" s="11">
        <f t="shared" ref="I122:I125" si="55">I121</f>
        <v>1</v>
      </c>
      <c r="J122" s="11" t="str">
        <f t="shared" si="31"/>
        <v>1</v>
      </c>
    </row>
    <row r="123" spans="1:10" x14ac:dyDescent="0.25">
      <c r="A123" s="11">
        <f t="shared" si="32"/>
        <v>6</v>
      </c>
      <c r="B123" s="11">
        <f t="shared" si="33"/>
        <v>79</v>
      </c>
      <c r="C123" s="11">
        <f t="shared" si="34"/>
        <v>114</v>
      </c>
      <c r="D123" t="str">
        <f t="shared" si="51"/>
        <v>interruptRegisters</v>
      </c>
      <c r="E123" s="10" t="str">
        <f t="shared" si="52"/>
        <v>InterruptFlag</v>
      </c>
      <c r="F123" s="11" t="str">
        <f t="shared" si="53"/>
        <v>69</v>
      </c>
      <c r="G123" t="s">
        <v>346</v>
      </c>
      <c r="H123" s="11">
        <f t="shared" si="54"/>
        <v>2</v>
      </c>
      <c r="I123" s="11">
        <f t="shared" si="55"/>
        <v>1</v>
      </c>
      <c r="J123" s="11" t="str">
        <f t="shared" si="31"/>
        <v>1</v>
      </c>
    </row>
    <row r="124" spans="1:10" x14ac:dyDescent="0.25">
      <c r="A124" s="11">
        <f t="shared" si="32"/>
        <v>6</v>
      </c>
      <c r="B124" s="11">
        <f t="shared" si="33"/>
        <v>79</v>
      </c>
      <c r="C124" s="11">
        <f t="shared" si="34"/>
        <v>115</v>
      </c>
      <c r="D124" t="str">
        <f t="shared" si="51"/>
        <v>interruptRegisters</v>
      </c>
      <c r="E124" s="10" t="str">
        <f t="shared" si="52"/>
        <v>InterruptFlag</v>
      </c>
      <c r="F124" s="11" t="str">
        <f t="shared" si="53"/>
        <v>69</v>
      </c>
      <c r="G124" t="s">
        <v>347</v>
      </c>
      <c r="H124" s="11">
        <f t="shared" si="54"/>
        <v>1</v>
      </c>
      <c r="I124" s="11">
        <f t="shared" si="55"/>
        <v>1</v>
      </c>
      <c r="J124" s="11" t="str">
        <f t="shared" si="31"/>
        <v>1</v>
      </c>
    </row>
    <row r="125" spans="1:10" x14ac:dyDescent="0.25">
      <c r="A125" s="11">
        <f t="shared" si="32"/>
        <v>6</v>
      </c>
      <c r="B125" s="11">
        <f t="shared" si="33"/>
        <v>79</v>
      </c>
      <c r="C125" s="11">
        <f t="shared" si="34"/>
        <v>116</v>
      </c>
      <c r="D125" t="str">
        <f t="shared" si="51"/>
        <v>interruptRegisters</v>
      </c>
      <c r="E125" s="10" t="str">
        <f t="shared" si="52"/>
        <v>InterruptFlag</v>
      </c>
      <c r="F125" s="11" t="str">
        <f t="shared" si="53"/>
        <v>69</v>
      </c>
      <c r="G125" t="s">
        <v>348</v>
      </c>
      <c r="H125" s="11">
        <f t="shared" si="54"/>
        <v>0</v>
      </c>
      <c r="I125" s="11">
        <f t="shared" si="55"/>
        <v>1</v>
      </c>
      <c r="J125" s="11" t="str">
        <f t="shared" si="31"/>
        <v>1</v>
      </c>
    </row>
    <row r="126" spans="1:10" x14ac:dyDescent="0.25">
      <c r="A126" s="11">
        <f t="shared" si="32"/>
        <v>6</v>
      </c>
      <c r="B126" s="11">
        <f t="shared" si="33"/>
        <v>80</v>
      </c>
      <c r="C126" s="11">
        <f t="shared" si="34"/>
        <v>117</v>
      </c>
      <c r="D126" t="str">
        <f>D120</f>
        <v>interruptRegisters</v>
      </c>
      <c r="E126" s="10" t="str">
        <f>regList!F46</f>
        <v>DetectionFlag</v>
      </c>
      <c r="F126" s="11" t="str">
        <f>regList!E46</f>
        <v>6A</v>
      </c>
      <c r="G126" t="s">
        <v>350</v>
      </c>
      <c r="H126" s="11">
        <v>7</v>
      </c>
      <c r="I126" s="11">
        <v>1</v>
      </c>
      <c r="J126" s="11" t="str">
        <f t="shared" si="31"/>
        <v>1</v>
      </c>
    </row>
    <row r="127" spans="1:10" x14ac:dyDescent="0.25">
      <c r="A127" s="11">
        <f t="shared" si="32"/>
        <v>6</v>
      </c>
      <c r="B127" s="11">
        <f t="shared" si="33"/>
        <v>80</v>
      </c>
      <c r="C127" s="11">
        <f t="shared" si="34"/>
        <v>118</v>
      </c>
      <c r="D127" t="str">
        <f t="shared" ref="D127:D133" si="56">D126</f>
        <v>interruptRegisters</v>
      </c>
      <c r="E127" s="10" t="str">
        <f t="shared" ref="E127:E133" si="57">E126</f>
        <v>DetectionFlag</v>
      </c>
      <c r="F127" s="11" t="str">
        <f t="shared" ref="F127:F133" si="58">F126</f>
        <v>6A</v>
      </c>
      <c r="G127" t="s">
        <v>351</v>
      </c>
      <c r="H127" s="11">
        <f t="shared" ref="H127:H133" si="59">H126-1</f>
        <v>6</v>
      </c>
      <c r="I127" s="11">
        <f t="shared" ref="I127:I133" si="60">I126</f>
        <v>1</v>
      </c>
      <c r="J127" s="11" t="str">
        <f t="shared" si="31"/>
        <v>1</v>
      </c>
    </row>
    <row r="128" spans="1:10" x14ac:dyDescent="0.25">
      <c r="A128" s="11">
        <f t="shared" si="32"/>
        <v>6</v>
      </c>
      <c r="B128" s="11">
        <f t="shared" si="33"/>
        <v>80</v>
      </c>
      <c r="C128" s="11">
        <f t="shared" si="34"/>
        <v>119</v>
      </c>
      <c r="D128" t="str">
        <f t="shared" si="56"/>
        <v>interruptRegisters</v>
      </c>
      <c r="E128" s="10" t="str">
        <f t="shared" si="57"/>
        <v>DetectionFlag</v>
      </c>
      <c r="F128" s="11" t="str">
        <f t="shared" si="58"/>
        <v>6A</v>
      </c>
      <c r="G128" t="s">
        <v>352</v>
      </c>
      <c r="H128" s="11">
        <f t="shared" si="59"/>
        <v>5</v>
      </c>
      <c r="I128" s="11">
        <f t="shared" si="60"/>
        <v>1</v>
      </c>
      <c r="J128" s="11" t="str">
        <f t="shared" si="31"/>
        <v>1</v>
      </c>
    </row>
    <row r="129" spans="1:10" x14ac:dyDescent="0.25">
      <c r="A129" s="11">
        <f t="shared" si="32"/>
        <v>6</v>
      </c>
      <c r="B129" s="11">
        <f t="shared" si="33"/>
        <v>80</v>
      </c>
      <c r="C129" s="11">
        <f t="shared" si="34"/>
        <v>120</v>
      </c>
      <c r="D129" t="str">
        <f t="shared" si="56"/>
        <v>interruptRegisters</v>
      </c>
      <c r="E129" s="10" t="str">
        <f t="shared" si="57"/>
        <v>DetectionFlag</v>
      </c>
      <c r="F129" s="11" t="str">
        <f t="shared" si="58"/>
        <v>6A</v>
      </c>
      <c r="G129" t="s">
        <v>353</v>
      </c>
      <c r="H129" s="11">
        <f t="shared" si="59"/>
        <v>4</v>
      </c>
      <c r="I129" s="11">
        <f t="shared" si="60"/>
        <v>1</v>
      </c>
      <c r="J129" s="11" t="str">
        <f t="shared" si="31"/>
        <v>1</v>
      </c>
    </row>
    <row r="130" spans="1:10" x14ac:dyDescent="0.25">
      <c r="A130" s="11">
        <f t="shared" si="32"/>
        <v>6</v>
      </c>
      <c r="B130" s="11">
        <f t="shared" si="33"/>
        <v>80</v>
      </c>
      <c r="C130" s="11">
        <f t="shared" si="34"/>
        <v>121</v>
      </c>
      <c r="D130" t="str">
        <f t="shared" si="56"/>
        <v>interruptRegisters</v>
      </c>
      <c r="E130" s="10" t="str">
        <f t="shared" si="57"/>
        <v>DetectionFlag</v>
      </c>
      <c r="F130" s="11" t="str">
        <f t="shared" si="58"/>
        <v>6A</v>
      </c>
      <c r="G130" t="s">
        <v>354</v>
      </c>
      <c r="H130" s="11">
        <f t="shared" si="59"/>
        <v>3</v>
      </c>
      <c r="I130" s="11">
        <f t="shared" si="60"/>
        <v>1</v>
      </c>
      <c r="J130" s="11" t="str">
        <f t="shared" si="31"/>
        <v>1</v>
      </c>
    </row>
    <row r="131" spans="1:10" x14ac:dyDescent="0.25">
      <c r="A131" s="11">
        <f t="shared" si="32"/>
        <v>6</v>
      </c>
      <c r="B131" s="11">
        <f t="shared" si="33"/>
        <v>80</v>
      </c>
      <c r="C131" s="11">
        <f t="shared" si="34"/>
        <v>122</v>
      </c>
      <c r="D131" t="str">
        <f t="shared" si="56"/>
        <v>interruptRegisters</v>
      </c>
      <c r="E131" s="10" t="str">
        <f t="shared" si="57"/>
        <v>DetectionFlag</v>
      </c>
      <c r="F131" s="11" t="str">
        <f t="shared" si="58"/>
        <v>6A</v>
      </c>
      <c r="G131" t="s">
        <v>355</v>
      </c>
      <c r="H131" s="11">
        <f t="shared" si="59"/>
        <v>2</v>
      </c>
      <c r="I131" s="11">
        <f t="shared" si="60"/>
        <v>1</v>
      </c>
      <c r="J131" s="11" t="str">
        <f t="shared" si="31"/>
        <v>1</v>
      </c>
    </row>
    <row r="132" spans="1:10" x14ac:dyDescent="0.25">
      <c r="A132" s="11">
        <f t="shared" si="32"/>
        <v>6</v>
      </c>
      <c r="B132" s="11">
        <f t="shared" si="33"/>
        <v>80</v>
      </c>
      <c r="C132" s="11">
        <f t="shared" si="34"/>
        <v>123</v>
      </c>
      <c r="D132" t="str">
        <f t="shared" si="56"/>
        <v>interruptRegisters</v>
      </c>
      <c r="E132" s="10" t="str">
        <f t="shared" si="57"/>
        <v>DetectionFlag</v>
      </c>
      <c r="F132" s="11" t="str">
        <f t="shared" si="58"/>
        <v>6A</v>
      </c>
      <c r="G132" t="s">
        <v>356</v>
      </c>
      <c r="H132" s="11">
        <f t="shared" si="59"/>
        <v>1</v>
      </c>
      <c r="I132" s="11">
        <f t="shared" si="60"/>
        <v>1</v>
      </c>
      <c r="J132" s="11" t="str">
        <f t="shared" si="31"/>
        <v>1</v>
      </c>
    </row>
    <row r="133" spans="1:10" x14ac:dyDescent="0.25">
      <c r="A133" s="11">
        <f t="shared" ref="A133:A196" si="61">IF(D133=D132,A132,A132+1)</f>
        <v>6</v>
      </c>
      <c r="B133" s="11">
        <f t="shared" ref="B133:B196" si="62">IF(E132=E133,B132,B132+1)</f>
        <v>80</v>
      </c>
      <c r="C133" s="11">
        <f t="shared" ref="C133:C196" si="63">IF(G133&lt;&gt;"",C132+1,C132)</f>
        <v>124</v>
      </c>
      <c r="D133" t="str">
        <f t="shared" si="56"/>
        <v>interruptRegisters</v>
      </c>
      <c r="E133" s="10" t="str">
        <f t="shared" si="57"/>
        <v>DetectionFlag</v>
      </c>
      <c r="F133" s="11" t="str">
        <f t="shared" si="58"/>
        <v>6A</v>
      </c>
      <c r="G133" t="s">
        <v>357</v>
      </c>
      <c r="H133" s="11">
        <f t="shared" si="59"/>
        <v>0</v>
      </c>
      <c r="I133" s="11">
        <f t="shared" si="60"/>
        <v>1</v>
      </c>
      <c r="J133" s="11" t="str">
        <f t="shared" si="31"/>
        <v>1</v>
      </c>
    </row>
    <row r="134" spans="1:10" x14ac:dyDescent="0.25">
      <c r="A134" s="11">
        <f t="shared" si="61"/>
        <v>6</v>
      </c>
      <c r="B134" s="11">
        <f t="shared" si="62"/>
        <v>81</v>
      </c>
      <c r="C134" s="11">
        <f t="shared" si="63"/>
        <v>125</v>
      </c>
      <c r="D134" t="str">
        <f>D126</f>
        <v>interruptRegisters</v>
      </c>
      <c r="E134" s="10" t="str">
        <f>regList!F47</f>
        <v>DetectionFlagReference</v>
      </c>
      <c r="F134" s="11" t="str">
        <f>regList!E47</f>
        <v>6B</v>
      </c>
      <c r="G134" t="s">
        <v>349</v>
      </c>
      <c r="H134" s="11">
        <v>0</v>
      </c>
      <c r="I134" s="11">
        <v>8</v>
      </c>
      <c r="J134" s="11" t="str">
        <f t="shared" si="31"/>
        <v>FF</v>
      </c>
    </row>
    <row r="135" spans="1:10" x14ac:dyDescent="0.25">
      <c r="A135" s="11">
        <f t="shared" si="61"/>
        <v>7</v>
      </c>
      <c r="B135" s="11">
        <f t="shared" si="62"/>
        <v>82</v>
      </c>
      <c r="C135" s="11">
        <f t="shared" si="63"/>
        <v>126</v>
      </c>
      <c r="D135" t="s">
        <v>219</v>
      </c>
      <c r="E135" s="10" t="str">
        <f>regList!F52</f>
        <v>Zone1ThresholdHighMSB</v>
      </c>
      <c r="F135" s="11" t="str">
        <f>regList!E52</f>
        <v>70</v>
      </c>
      <c r="G135" t="s">
        <v>358</v>
      </c>
      <c r="H135" s="11">
        <v>0</v>
      </c>
      <c r="I135" s="11">
        <v>16</v>
      </c>
      <c r="J135" s="11" t="str">
        <f t="shared" si="31"/>
        <v>FFFF</v>
      </c>
    </row>
    <row r="136" spans="1:10" x14ac:dyDescent="0.25">
      <c r="A136" s="11">
        <f t="shared" si="61"/>
        <v>7</v>
      </c>
      <c r="B136" s="11">
        <f t="shared" si="62"/>
        <v>83</v>
      </c>
      <c r="C136" s="11">
        <f t="shared" si="63"/>
        <v>126</v>
      </c>
      <c r="D136" t="str">
        <f t="shared" si="35"/>
        <v xml:space="preserve">detectionModeControlRegisters </v>
      </c>
      <c r="E136" s="10" t="str">
        <f>regList!F53</f>
        <v>Zone1ThresholdHighLSB</v>
      </c>
      <c r="F136" s="11" t="str">
        <f>regList!E53</f>
        <v>71</v>
      </c>
      <c r="J136" s="11" t="str">
        <f t="shared" si="31"/>
        <v/>
      </c>
    </row>
    <row r="137" spans="1:10" x14ac:dyDescent="0.25">
      <c r="A137" s="11">
        <f t="shared" si="61"/>
        <v>7</v>
      </c>
      <c r="B137" s="11">
        <f t="shared" si="62"/>
        <v>84</v>
      </c>
      <c r="C137" s="11">
        <f t="shared" si="63"/>
        <v>127</v>
      </c>
      <c r="D137" t="str">
        <f t="shared" si="35"/>
        <v xml:space="preserve">detectionModeControlRegisters </v>
      </c>
      <c r="E137" s="10" t="str">
        <f>regList!F54</f>
        <v>Zone1ThresholdLowMSB</v>
      </c>
      <c r="F137" s="11" t="str">
        <f>regList!E54</f>
        <v>72</v>
      </c>
      <c r="G137" t="s">
        <v>359</v>
      </c>
      <c r="H137" s="11">
        <v>0</v>
      </c>
      <c r="I137" s="11">
        <v>16</v>
      </c>
      <c r="J137" s="11" t="str">
        <f t="shared" si="31"/>
        <v>FFFF</v>
      </c>
    </row>
    <row r="138" spans="1:10" x14ac:dyDescent="0.25">
      <c r="A138" s="11">
        <f t="shared" si="61"/>
        <v>7</v>
      </c>
      <c r="B138" s="11">
        <f t="shared" si="62"/>
        <v>85</v>
      </c>
      <c r="C138" s="11">
        <f t="shared" si="63"/>
        <v>127</v>
      </c>
      <c r="D138" t="str">
        <f t="shared" si="35"/>
        <v xml:space="preserve">detectionModeControlRegisters </v>
      </c>
      <c r="E138" s="10" t="str">
        <f>regList!F55</f>
        <v>Zone1ThresholdLowLSB</v>
      </c>
      <c r="F138" s="11" t="str">
        <f>regList!E55</f>
        <v>73</v>
      </c>
      <c r="J138" s="11" t="str">
        <f t="shared" si="31"/>
        <v/>
      </c>
    </row>
    <row r="139" spans="1:10" x14ac:dyDescent="0.25">
      <c r="A139" s="11">
        <f t="shared" si="61"/>
        <v>7</v>
      </c>
      <c r="B139" s="11">
        <f t="shared" si="62"/>
        <v>86</v>
      </c>
      <c r="C139" s="11">
        <f t="shared" si="63"/>
        <v>128</v>
      </c>
      <c r="D139" t="str">
        <f t="shared" si="35"/>
        <v xml:space="preserve">detectionModeControlRegisters </v>
      </c>
      <c r="E139" s="10" t="str">
        <f>regList!F56</f>
        <v>Zone2ThresholdHighMSB</v>
      </c>
      <c r="F139" s="11" t="str">
        <f>regList!E56</f>
        <v>74</v>
      </c>
      <c r="G139" t="s">
        <v>360</v>
      </c>
      <c r="H139" s="11">
        <v>0</v>
      </c>
      <c r="I139" s="11">
        <v>16</v>
      </c>
      <c r="J139" s="11" t="str">
        <f t="shared" si="31"/>
        <v>FFFF</v>
      </c>
    </row>
    <row r="140" spans="1:10" x14ac:dyDescent="0.25">
      <c r="A140" s="11">
        <f t="shared" si="61"/>
        <v>7</v>
      </c>
      <c r="B140" s="11">
        <f t="shared" si="62"/>
        <v>87</v>
      </c>
      <c r="C140" s="11">
        <f t="shared" si="63"/>
        <v>128</v>
      </c>
      <c r="D140" t="str">
        <f t="shared" si="35"/>
        <v xml:space="preserve">detectionModeControlRegisters </v>
      </c>
      <c r="E140" s="10" t="str">
        <f>regList!F57</f>
        <v>Zone2ThresholdHighLSB</v>
      </c>
      <c r="F140" s="11" t="str">
        <f>regList!E57</f>
        <v>75</v>
      </c>
      <c r="J140" s="11" t="str">
        <f t="shared" si="31"/>
        <v/>
      </c>
    </row>
    <row r="141" spans="1:10" x14ac:dyDescent="0.25">
      <c r="A141" s="11">
        <f t="shared" si="61"/>
        <v>7</v>
      </c>
      <c r="B141" s="11">
        <f t="shared" si="62"/>
        <v>88</v>
      </c>
      <c r="C141" s="11">
        <f t="shared" si="63"/>
        <v>129</v>
      </c>
      <c r="D141" t="str">
        <f t="shared" si="35"/>
        <v xml:space="preserve">detectionModeControlRegisters </v>
      </c>
      <c r="E141" s="10" t="str">
        <f>regList!F58</f>
        <v>Zone2ThresholdLowMSB</v>
      </c>
      <c r="F141" s="11" t="str">
        <f>regList!E58</f>
        <v>76</v>
      </c>
      <c r="G141" t="s">
        <v>361</v>
      </c>
      <c r="H141" s="11">
        <v>0</v>
      </c>
      <c r="I141" s="11">
        <v>16</v>
      </c>
      <c r="J141" s="11" t="str">
        <f t="shared" si="31"/>
        <v>FFFF</v>
      </c>
    </row>
    <row r="142" spans="1:10" x14ac:dyDescent="0.25">
      <c r="A142" s="11">
        <f t="shared" si="61"/>
        <v>7</v>
      </c>
      <c r="B142" s="11">
        <f t="shared" si="62"/>
        <v>89</v>
      </c>
      <c r="C142" s="11">
        <f t="shared" si="63"/>
        <v>129</v>
      </c>
      <c r="D142" t="str">
        <f t="shared" si="35"/>
        <v xml:space="preserve">detectionModeControlRegisters </v>
      </c>
      <c r="E142" s="10" t="str">
        <f>regList!F59</f>
        <v>Zone2ThresholdLowLSB</v>
      </c>
      <c r="F142" s="11" t="str">
        <f>regList!E59</f>
        <v>77</v>
      </c>
      <c r="J142" s="11" t="str">
        <f t="shared" si="31"/>
        <v/>
      </c>
    </row>
    <row r="143" spans="1:10" x14ac:dyDescent="0.25">
      <c r="A143" s="11">
        <f t="shared" si="61"/>
        <v>7</v>
      </c>
      <c r="B143" s="11">
        <f t="shared" si="62"/>
        <v>90</v>
      </c>
      <c r="C143" s="11">
        <f t="shared" si="63"/>
        <v>130</v>
      </c>
      <c r="D143" t="str">
        <f t="shared" si="35"/>
        <v xml:space="preserve">detectionModeControlRegisters </v>
      </c>
      <c r="E143" s="10" t="str">
        <f>regList!F60</f>
        <v>Zone3ThresholdHighMSB</v>
      </c>
      <c r="F143" s="11" t="str">
        <f>regList!E60</f>
        <v>78</v>
      </c>
      <c r="G143" t="s">
        <v>363</v>
      </c>
      <c r="H143" s="11">
        <v>0</v>
      </c>
      <c r="I143" s="11">
        <v>16</v>
      </c>
      <c r="J143" s="11" t="str">
        <f t="shared" si="31"/>
        <v>FFFF</v>
      </c>
    </row>
    <row r="144" spans="1:10" x14ac:dyDescent="0.25">
      <c r="A144" s="11">
        <f t="shared" si="61"/>
        <v>7</v>
      </c>
      <c r="B144" s="11">
        <f t="shared" si="62"/>
        <v>91</v>
      </c>
      <c r="C144" s="11">
        <f t="shared" si="63"/>
        <v>130</v>
      </c>
      <c r="D144" t="str">
        <f t="shared" si="35"/>
        <v xml:space="preserve">detectionModeControlRegisters </v>
      </c>
      <c r="E144" s="10" t="str">
        <f>regList!F61</f>
        <v>Zone3ThresholdHighLSB</v>
      </c>
      <c r="F144" s="11" t="str">
        <f>regList!E61</f>
        <v>79</v>
      </c>
      <c r="J144" s="11" t="str">
        <f t="shared" si="31"/>
        <v/>
      </c>
    </row>
    <row r="145" spans="1:10" x14ac:dyDescent="0.25">
      <c r="A145" s="11">
        <f t="shared" si="61"/>
        <v>7</v>
      </c>
      <c r="B145" s="11">
        <f t="shared" si="62"/>
        <v>92</v>
      </c>
      <c r="C145" s="11">
        <f t="shared" si="63"/>
        <v>131</v>
      </c>
      <c r="D145" t="str">
        <f t="shared" si="35"/>
        <v xml:space="preserve">detectionModeControlRegisters </v>
      </c>
      <c r="E145" s="10" t="str">
        <f>regList!F62</f>
        <v>Zone3ThresholdLowMSB</v>
      </c>
      <c r="F145" s="11" t="str">
        <f>regList!E62</f>
        <v>7A</v>
      </c>
      <c r="G145" t="s">
        <v>364</v>
      </c>
      <c r="H145" s="11">
        <v>0</v>
      </c>
      <c r="I145" s="11">
        <v>16</v>
      </c>
      <c r="J145" s="11" t="str">
        <f t="shared" si="31"/>
        <v>FFFF</v>
      </c>
    </row>
    <row r="146" spans="1:10" x14ac:dyDescent="0.25">
      <c r="A146" s="11">
        <f t="shared" si="61"/>
        <v>7</v>
      </c>
      <c r="B146" s="11">
        <f t="shared" si="62"/>
        <v>93</v>
      </c>
      <c r="C146" s="11">
        <f t="shared" si="63"/>
        <v>131</v>
      </c>
      <c r="D146" t="str">
        <f t="shared" si="35"/>
        <v xml:space="preserve">detectionModeControlRegisters </v>
      </c>
      <c r="E146" s="10" t="str">
        <f>regList!F63</f>
        <v>Zone3ThresholdLowLSB</v>
      </c>
      <c r="F146" s="11" t="str">
        <f>regList!E63</f>
        <v>7B</v>
      </c>
      <c r="J146" s="11" t="str">
        <f t="shared" si="31"/>
        <v/>
      </c>
    </row>
    <row r="147" spans="1:10" x14ac:dyDescent="0.25">
      <c r="A147" s="11">
        <f t="shared" si="61"/>
        <v>7</v>
      </c>
      <c r="B147" s="11">
        <f t="shared" si="62"/>
        <v>94</v>
      </c>
      <c r="C147" s="11">
        <f t="shared" si="63"/>
        <v>132</v>
      </c>
      <c r="D147" t="str">
        <f t="shared" si="35"/>
        <v xml:space="preserve">detectionModeControlRegisters </v>
      </c>
      <c r="E147" s="10" t="str">
        <f>regList!F64</f>
        <v>MagnitudeThreshold1HighExponent</v>
      </c>
      <c r="F147" s="11" t="str">
        <f>regList!E64</f>
        <v>7C</v>
      </c>
      <c r="G147" t="s">
        <v>365</v>
      </c>
      <c r="H147" s="11">
        <v>0</v>
      </c>
      <c r="I147" s="11">
        <v>4</v>
      </c>
      <c r="J147" s="11" t="str">
        <f t="shared" si="31"/>
        <v>F</v>
      </c>
    </row>
    <row r="148" spans="1:10" x14ac:dyDescent="0.25">
      <c r="A148" s="11">
        <f t="shared" si="61"/>
        <v>7</v>
      </c>
      <c r="B148" s="11">
        <f t="shared" si="62"/>
        <v>95</v>
      </c>
      <c r="C148" s="11">
        <f t="shared" si="63"/>
        <v>133</v>
      </c>
      <c r="D148" t="str">
        <f t="shared" ref="D148:D161" si="64">D147</f>
        <v xml:space="preserve">detectionModeControlRegisters </v>
      </c>
      <c r="E148" s="10" t="str">
        <f>regList!F65</f>
        <v>MagnitudeThreshold1High</v>
      </c>
      <c r="F148" s="11" t="str">
        <f>regList!E65</f>
        <v>7D</v>
      </c>
      <c r="G148" t="s">
        <v>366</v>
      </c>
      <c r="H148" s="11">
        <v>0</v>
      </c>
      <c r="I148" s="11">
        <v>8</v>
      </c>
      <c r="J148" s="11" t="str">
        <f t="shared" si="31"/>
        <v>FF</v>
      </c>
    </row>
    <row r="149" spans="1:10" x14ac:dyDescent="0.25">
      <c r="A149" s="11">
        <f t="shared" si="61"/>
        <v>7</v>
      </c>
      <c r="B149" s="11">
        <f t="shared" si="62"/>
        <v>96</v>
      </c>
      <c r="C149" s="11">
        <f t="shared" si="63"/>
        <v>134</v>
      </c>
      <c r="D149" t="str">
        <f t="shared" si="64"/>
        <v xml:space="preserve">detectionModeControlRegisters </v>
      </c>
      <c r="E149" s="10" t="str">
        <f>regList!F66</f>
        <v>MagnitudeThreshold2LowExponent</v>
      </c>
      <c r="F149" s="11" t="str">
        <f>regList!E66</f>
        <v>7E</v>
      </c>
      <c r="G149" t="s">
        <v>367</v>
      </c>
      <c r="H149" s="11">
        <v>0</v>
      </c>
      <c r="I149" s="11">
        <v>4</v>
      </c>
      <c r="J149" s="11" t="str">
        <f t="shared" si="31"/>
        <v>F</v>
      </c>
    </row>
    <row r="150" spans="1:10" x14ac:dyDescent="0.25">
      <c r="A150" s="11">
        <f t="shared" si="61"/>
        <v>7</v>
      </c>
      <c r="B150" s="11">
        <f t="shared" si="62"/>
        <v>97</v>
      </c>
      <c r="C150" s="11">
        <f t="shared" si="63"/>
        <v>135</v>
      </c>
      <c r="D150" t="str">
        <f t="shared" si="64"/>
        <v xml:space="preserve">detectionModeControlRegisters </v>
      </c>
      <c r="E150" s="10" t="str">
        <f>regList!F67</f>
        <v>MagnitudeThreshold2Low</v>
      </c>
      <c r="F150" s="11" t="str">
        <f>regList!E67</f>
        <v>7F</v>
      </c>
      <c r="G150" t="s">
        <v>370</v>
      </c>
      <c r="H150" s="11">
        <v>0</v>
      </c>
      <c r="I150" s="11">
        <v>8</v>
      </c>
      <c r="J150" s="11" t="str">
        <f t="shared" si="31"/>
        <v>FF</v>
      </c>
    </row>
    <row r="151" spans="1:10" x14ac:dyDescent="0.25">
      <c r="A151" s="11">
        <f t="shared" si="61"/>
        <v>7</v>
      </c>
      <c r="B151" s="11">
        <f t="shared" si="62"/>
        <v>98</v>
      </c>
      <c r="C151" s="11">
        <f t="shared" si="63"/>
        <v>136</v>
      </c>
      <c r="D151" t="str">
        <f t="shared" si="64"/>
        <v xml:space="preserve">detectionModeControlRegisters </v>
      </c>
      <c r="E151" s="10" t="str">
        <f>regList!H4</f>
        <v>MagnitudeThreshold2HighExponent</v>
      </c>
      <c r="F151" s="11" t="str">
        <f>regList!G4</f>
        <v>80</v>
      </c>
      <c r="G151" t="s">
        <v>368</v>
      </c>
      <c r="H151" s="11">
        <v>0</v>
      </c>
      <c r="I151" s="11">
        <v>4</v>
      </c>
      <c r="J151" s="11" t="str">
        <f t="shared" si="31"/>
        <v>F</v>
      </c>
    </row>
    <row r="152" spans="1:10" x14ac:dyDescent="0.25">
      <c r="A152" s="11">
        <f t="shared" si="61"/>
        <v>7</v>
      </c>
      <c r="B152" s="11">
        <f t="shared" si="62"/>
        <v>99</v>
      </c>
      <c r="C152" s="11">
        <f t="shared" si="63"/>
        <v>137</v>
      </c>
      <c r="D152" t="str">
        <f t="shared" si="64"/>
        <v xml:space="preserve">detectionModeControlRegisters </v>
      </c>
      <c r="E152" s="10" t="str">
        <f>regList!H5</f>
        <v>MagnitudeThreshold2High</v>
      </c>
      <c r="F152" s="11" t="str">
        <f>regList!G5</f>
        <v>81</v>
      </c>
      <c r="G152" t="s">
        <v>371</v>
      </c>
      <c r="H152" s="11">
        <v>0</v>
      </c>
      <c r="I152" s="11">
        <v>8</v>
      </c>
      <c r="J152" s="11" t="str">
        <f t="shared" si="31"/>
        <v>FF</v>
      </c>
    </row>
    <row r="153" spans="1:10" x14ac:dyDescent="0.25">
      <c r="A153" s="11">
        <f t="shared" si="61"/>
        <v>7</v>
      </c>
      <c r="B153" s="11">
        <f t="shared" si="62"/>
        <v>100</v>
      </c>
      <c r="C153" s="11">
        <f t="shared" si="63"/>
        <v>138</v>
      </c>
      <c r="D153" t="str">
        <f t="shared" si="64"/>
        <v xml:space="preserve">detectionModeControlRegisters </v>
      </c>
      <c r="E153" s="10" t="str">
        <f>regList!H6</f>
        <v>MagnitudeThreshold3LowExponent</v>
      </c>
      <c r="F153" s="11" t="str">
        <f>regList!G6</f>
        <v>82</v>
      </c>
      <c r="G153" t="s">
        <v>369</v>
      </c>
      <c r="H153" s="11">
        <v>0</v>
      </c>
      <c r="I153" s="11">
        <v>4</v>
      </c>
      <c r="J153" s="11" t="str">
        <f t="shared" si="31"/>
        <v>F</v>
      </c>
    </row>
    <row r="154" spans="1:10" x14ac:dyDescent="0.25">
      <c r="A154" s="11">
        <f t="shared" si="61"/>
        <v>7</v>
      </c>
      <c r="B154" s="11">
        <f t="shared" si="62"/>
        <v>101</v>
      </c>
      <c r="C154" s="11">
        <f t="shared" si="63"/>
        <v>139</v>
      </c>
      <c r="D154" t="str">
        <f t="shared" si="64"/>
        <v xml:space="preserve">detectionModeControlRegisters </v>
      </c>
      <c r="E154" s="10" t="str">
        <f>regList!H7</f>
        <v>MagnitudeThreshold3Low</v>
      </c>
      <c r="F154" s="11" t="str">
        <f>regList!G7</f>
        <v>83</v>
      </c>
      <c r="G154" t="s">
        <v>372</v>
      </c>
      <c r="H154" s="11">
        <v>0</v>
      </c>
      <c r="I154" s="11">
        <v>8</v>
      </c>
      <c r="J154" s="11" t="str">
        <f t="shared" si="31"/>
        <v>FF</v>
      </c>
    </row>
    <row r="155" spans="1:10" x14ac:dyDescent="0.25">
      <c r="A155" s="11">
        <f t="shared" si="61"/>
        <v>7</v>
      </c>
      <c r="B155" s="11">
        <f t="shared" si="62"/>
        <v>102</v>
      </c>
      <c r="C155" s="11">
        <f t="shared" si="63"/>
        <v>140</v>
      </c>
      <c r="D155" t="str">
        <f t="shared" si="64"/>
        <v xml:space="preserve">detectionModeControlRegisters </v>
      </c>
      <c r="E155" s="10" t="str">
        <f>regList!H8</f>
        <v>MotionDistanceThresholdMSB</v>
      </c>
      <c r="F155" s="11" t="str">
        <f>regList!G8</f>
        <v>84</v>
      </c>
      <c r="G155" t="s">
        <v>373</v>
      </c>
      <c r="H155" s="11">
        <v>0</v>
      </c>
      <c r="I155" s="11">
        <v>16</v>
      </c>
      <c r="J155" s="11" t="str">
        <f t="shared" si="31"/>
        <v>FFFF</v>
      </c>
    </row>
    <row r="156" spans="1:10" x14ac:dyDescent="0.25">
      <c r="A156" s="11">
        <f t="shared" si="61"/>
        <v>7</v>
      </c>
      <c r="B156" s="11">
        <f t="shared" si="62"/>
        <v>103</v>
      </c>
      <c r="C156" s="11">
        <f t="shared" si="63"/>
        <v>140</v>
      </c>
      <c r="D156" t="str">
        <f t="shared" si="64"/>
        <v xml:space="preserve">detectionModeControlRegisters </v>
      </c>
      <c r="E156" s="10" t="str">
        <f>regList!H9</f>
        <v>MotionDistanceThresholdLSB</v>
      </c>
      <c r="F156" s="11" t="str">
        <f>regList!G9</f>
        <v>85</v>
      </c>
      <c r="J156" s="11" t="str">
        <f t="shared" si="31"/>
        <v/>
      </c>
    </row>
    <row r="157" spans="1:10" x14ac:dyDescent="0.25">
      <c r="A157" s="11">
        <f t="shared" si="61"/>
        <v>7</v>
      </c>
      <c r="B157" s="11">
        <f t="shared" si="62"/>
        <v>104</v>
      </c>
      <c r="C157" s="11">
        <f t="shared" si="63"/>
        <v>141</v>
      </c>
      <c r="D157" t="str">
        <f t="shared" si="64"/>
        <v xml:space="preserve">detectionModeControlRegisters </v>
      </c>
      <c r="E157" s="10" t="str">
        <f>regList!H10</f>
        <v>MotionMagnitudeThreshold</v>
      </c>
      <c r="F157" s="11" t="str">
        <f>regList!G10</f>
        <v>86</v>
      </c>
      <c r="G157" t="s">
        <v>374</v>
      </c>
      <c r="H157" s="11">
        <v>0</v>
      </c>
      <c r="I157" s="11">
        <v>8</v>
      </c>
      <c r="J157" s="11" t="str">
        <f t="shared" si="31"/>
        <v>FF</v>
      </c>
    </row>
    <row r="158" spans="1:10" x14ac:dyDescent="0.25">
      <c r="A158" s="11">
        <f t="shared" si="61"/>
        <v>8</v>
      </c>
      <c r="B158" s="11">
        <f t="shared" si="62"/>
        <v>105</v>
      </c>
      <c r="C158" s="11">
        <f t="shared" si="63"/>
        <v>141</v>
      </c>
      <c r="D158" t="s">
        <v>220</v>
      </c>
      <c r="E158" s="10" t="str">
        <f>regList!H20</f>
        <v>DriverRange</v>
      </c>
      <c r="F158" s="11" t="str">
        <f>regList!G20</f>
        <v>90</v>
      </c>
      <c r="J158" s="11" t="str">
        <f t="shared" si="31"/>
        <v/>
      </c>
    </row>
    <row r="159" spans="1:10" x14ac:dyDescent="0.25">
      <c r="A159" s="11">
        <f t="shared" si="61"/>
        <v>8</v>
      </c>
      <c r="B159" s="11">
        <f t="shared" si="62"/>
        <v>106</v>
      </c>
      <c r="C159" s="11">
        <f t="shared" si="63"/>
        <v>141</v>
      </c>
      <c r="D159" t="str">
        <f t="shared" si="64"/>
        <v>analogControlRegisters</v>
      </c>
      <c r="E159" s="10" t="str">
        <f>regList!H21</f>
        <v>EmitterCurrentDAC</v>
      </c>
      <c r="F159" s="11" t="str">
        <f>regList!G21</f>
        <v>91</v>
      </c>
      <c r="J159" s="11" t="str">
        <f t="shared" si="31"/>
        <v/>
      </c>
    </row>
    <row r="160" spans="1:10" x14ac:dyDescent="0.25">
      <c r="A160" s="11">
        <f t="shared" si="61"/>
        <v>8</v>
      </c>
      <c r="B160" s="11">
        <f t="shared" si="62"/>
        <v>107</v>
      </c>
      <c r="C160" s="11">
        <f t="shared" si="63"/>
        <v>141</v>
      </c>
      <c r="D160" t="str">
        <f t="shared" si="64"/>
        <v>analogControlRegisters</v>
      </c>
      <c r="E160" s="10" t="str">
        <f>regList!H22</f>
        <v>DriverControl</v>
      </c>
      <c r="F160" s="11" t="str">
        <f>regList!G22</f>
        <v>92</v>
      </c>
      <c r="J160" s="11" t="str">
        <f t="shared" si="31"/>
        <v/>
      </c>
    </row>
    <row r="161" spans="1:10" x14ac:dyDescent="0.25">
      <c r="A161" s="11">
        <f t="shared" si="61"/>
        <v>8</v>
      </c>
      <c r="B161" s="11">
        <f t="shared" si="62"/>
        <v>108</v>
      </c>
      <c r="C161" s="11">
        <f t="shared" si="63"/>
        <v>141</v>
      </c>
      <c r="D161" t="str">
        <f t="shared" si="64"/>
        <v>analogControlRegisters</v>
      </c>
      <c r="E161" s="10" t="str">
        <f>regList!H23</f>
        <v>ThresholdCurrentDAC</v>
      </c>
      <c r="F161" s="11" t="str">
        <f>regList!G23</f>
        <v>93</v>
      </c>
      <c r="J161" s="11" t="str">
        <f t="shared" ref="J161:J224" si="65">IF(I161&lt;&gt;"",DEC2HEX(2^I161-1),"")</f>
        <v/>
      </c>
    </row>
    <row r="162" spans="1:10" x14ac:dyDescent="0.25">
      <c r="A162" s="11">
        <f t="shared" si="61"/>
        <v>8</v>
      </c>
      <c r="B162" s="11">
        <f t="shared" si="62"/>
        <v>109</v>
      </c>
      <c r="C162" s="11">
        <f t="shared" si="63"/>
        <v>141</v>
      </c>
      <c r="D162" t="str">
        <f t="shared" ref="D162:D219" si="66">D161</f>
        <v>analogControlRegisters</v>
      </c>
      <c r="E162" s="10" t="str">
        <f>regList!H24</f>
        <v>DriverBoost</v>
      </c>
      <c r="F162" s="11" t="str">
        <f>regList!G24</f>
        <v>94</v>
      </c>
      <c r="J162" s="11" t="str">
        <f t="shared" si="65"/>
        <v/>
      </c>
    </row>
    <row r="163" spans="1:10" x14ac:dyDescent="0.25">
      <c r="A163" s="11">
        <f t="shared" si="61"/>
        <v>8</v>
      </c>
      <c r="B163" s="11">
        <f t="shared" si="62"/>
        <v>110</v>
      </c>
      <c r="C163" s="11">
        <f t="shared" si="63"/>
        <v>141</v>
      </c>
      <c r="D163" t="str">
        <f t="shared" si="66"/>
        <v>analogControlRegisters</v>
      </c>
      <c r="E163" s="10" t="str">
        <f>regList!H25</f>
        <v>DriverBoostDuration</v>
      </c>
      <c r="F163" s="11" t="str">
        <f>regList!G25</f>
        <v>95</v>
      </c>
      <c r="J163" s="11" t="str">
        <f t="shared" si="65"/>
        <v/>
      </c>
    </row>
    <row r="164" spans="1:10" x14ac:dyDescent="0.25">
      <c r="A164" s="11">
        <f t="shared" si="61"/>
        <v>8</v>
      </c>
      <c r="B164" s="11">
        <f t="shared" si="62"/>
        <v>111</v>
      </c>
      <c r="C164" s="11">
        <f t="shared" si="63"/>
        <v>141</v>
      </c>
      <c r="D164" t="str">
        <f t="shared" si="66"/>
        <v>analogControlRegisters</v>
      </c>
      <c r="E164" s="10" t="str">
        <f>regList!H26</f>
        <v>DriverChargeBalancingDAC</v>
      </c>
      <c r="F164" s="11" t="str">
        <f>regList!G26</f>
        <v>96</v>
      </c>
      <c r="J164" s="11" t="str">
        <f t="shared" si="65"/>
        <v/>
      </c>
    </row>
    <row r="165" spans="1:10" x14ac:dyDescent="0.25">
      <c r="A165" s="11">
        <f t="shared" si="61"/>
        <v>8</v>
      </c>
      <c r="B165" s="11">
        <f t="shared" si="62"/>
        <v>112</v>
      </c>
      <c r="C165" s="11">
        <f t="shared" si="63"/>
        <v>141</v>
      </c>
      <c r="D165" t="str">
        <f t="shared" si="66"/>
        <v>analogControlRegisters</v>
      </c>
      <c r="E165" s="10" t="str">
        <f>regList!H27</f>
        <v>FrontendControl</v>
      </c>
      <c r="F165" s="11" t="str">
        <f>regList!G27</f>
        <v>97</v>
      </c>
      <c r="J165" s="11" t="str">
        <f t="shared" si="65"/>
        <v/>
      </c>
    </row>
    <row r="166" spans="1:10" x14ac:dyDescent="0.25">
      <c r="A166" s="11">
        <f t="shared" si="61"/>
        <v>8</v>
      </c>
      <c r="B166" s="11">
        <f t="shared" si="62"/>
        <v>113</v>
      </c>
      <c r="C166" s="11">
        <f t="shared" si="63"/>
        <v>141</v>
      </c>
      <c r="D166" t="str">
        <f t="shared" si="66"/>
        <v>analogControlRegisters</v>
      </c>
      <c r="E166" s="10" t="str">
        <f>regList!H28</f>
        <v>AFEControlRegisters</v>
      </c>
      <c r="F166" s="11" t="str">
        <f>regList!G28</f>
        <v>98</v>
      </c>
      <c r="J166" s="11" t="str">
        <f t="shared" si="65"/>
        <v/>
      </c>
    </row>
    <row r="167" spans="1:10" x14ac:dyDescent="0.25">
      <c r="A167" s="11">
        <f t="shared" si="61"/>
        <v>8</v>
      </c>
      <c r="B167" s="11">
        <f t="shared" si="62"/>
        <v>114</v>
      </c>
      <c r="C167" s="11">
        <f t="shared" si="63"/>
        <v>141</v>
      </c>
      <c r="D167" t="str">
        <f t="shared" si="66"/>
        <v>analogControlRegisters</v>
      </c>
      <c r="E167" s="10" t="str">
        <f>regList!H29</f>
        <v>AmbientADCTestFeatures</v>
      </c>
      <c r="F167" s="11" t="str">
        <f>regList!G29</f>
        <v>99</v>
      </c>
      <c r="J167" s="11" t="str">
        <f t="shared" si="65"/>
        <v/>
      </c>
    </row>
    <row r="168" spans="1:10" x14ac:dyDescent="0.25">
      <c r="A168" s="11">
        <f t="shared" si="61"/>
        <v>8</v>
      </c>
      <c r="B168" s="11">
        <f t="shared" si="62"/>
        <v>115</v>
      </c>
      <c r="C168" s="11">
        <f t="shared" si="63"/>
        <v>141</v>
      </c>
      <c r="D168" t="str">
        <f t="shared" si="66"/>
        <v>analogControlRegisters</v>
      </c>
      <c r="E168" s="10" t="str">
        <f>regList!H30</f>
        <v>VGAOffsetCode</v>
      </c>
      <c r="F168" s="11" t="str">
        <f>regList!G30</f>
        <v>9A</v>
      </c>
      <c r="J168" s="11" t="str">
        <f t="shared" si="65"/>
        <v/>
      </c>
    </row>
    <row r="169" spans="1:10" x14ac:dyDescent="0.25">
      <c r="A169" s="11">
        <f t="shared" si="61"/>
        <v>8</v>
      </c>
      <c r="B169" s="11">
        <f t="shared" si="62"/>
        <v>116</v>
      </c>
      <c r="C169" s="11">
        <f t="shared" si="63"/>
        <v>141</v>
      </c>
      <c r="D169" t="str">
        <f t="shared" si="66"/>
        <v>analogControlRegisters</v>
      </c>
      <c r="E169" s="10" t="str">
        <f>regList!H31</f>
        <v>VGA1ManualforLight</v>
      </c>
      <c r="F169" s="11" t="str">
        <f>regList!G31</f>
        <v>9B</v>
      </c>
      <c r="J169" s="11" t="str">
        <f t="shared" si="65"/>
        <v/>
      </c>
    </row>
    <row r="170" spans="1:10" x14ac:dyDescent="0.25">
      <c r="A170" s="11">
        <f t="shared" si="61"/>
        <v>8</v>
      </c>
      <c r="B170" s="11">
        <f t="shared" si="62"/>
        <v>117</v>
      </c>
      <c r="C170" s="11">
        <f t="shared" si="63"/>
        <v>141</v>
      </c>
      <c r="D170" t="str">
        <f t="shared" si="66"/>
        <v>analogControlRegisters</v>
      </c>
      <c r="E170" s="10" t="str">
        <f>regList!H32</f>
        <v>VGA2ManualforLight</v>
      </c>
      <c r="F170" s="11" t="str">
        <f>regList!G32</f>
        <v>9C</v>
      </c>
      <c r="J170" s="11" t="str">
        <f t="shared" si="65"/>
        <v/>
      </c>
    </row>
    <row r="171" spans="1:10" x14ac:dyDescent="0.25">
      <c r="A171" s="11">
        <f t="shared" si="61"/>
        <v>8</v>
      </c>
      <c r="B171" s="11">
        <f t="shared" si="62"/>
        <v>118</v>
      </c>
      <c r="C171" s="11">
        <f t="shared" si="63"/>
        <v>141</v>
      </c>
      <c r="D171" t="str">
        <f t="shared" si="66"/>
        <v>analogControlRegisters</v>
      </c>
      <c r="E171" s="10" t="str">
        <f>regList!H33</f>
        <v>VGA1ManualforZP</v>
      </c>
      <c r="F171" s="11" t="str">
        <f>regList!G33</f>
        <v>9D</v>
      </c>
      <c r="J171" s="11" t="str">
        <f t="shared" si="65"/>
        <v/>
      </c>
    </row>
    <row r="172" spans="1:10" x14ac:dyDescent="0.25">
      <c r="A172" s="11">
        <f t="shared" si="61"/>
        <v>8</v>
      </c>
      <c r="B172" s="11">
        <f t="shared" si="62"/>
        <v>119</v>
      </c>
      <c r="C172" s="11">
        <f t="shared" si="63"/>
        <v>141</v>
      </c>
      <c r="D172" t="str">
        <f t="shared" si="66"/>
        <v>analogControlRegisters</v>
      </c>
      <c r="E172" s="10" t="str">
        <f>regList!H34</f>
        <v>VGA2ManualforZP</v>
      </c>
      <c r="F172" s="11" t="str">
        <f>regList!G34</f>
        <v>9E</v>
      </c>
      <c r="J172" s="11" t="str">
        <f t="shared" si="65"/>
        <v/>
      </c>
    </row>
    <row r="173" spans="1:10" x14ac:dyDescent="0.25">
      <c r="A173" s="11">
        <f t="shared" si="61"/>
        <v>8</v>
      </c>
      <c r="B173" s="11">
        <f t="shared" si="62"/>
        <v>120</v>
      </c>
      <c r="C173" s="11">
        <f t="shared" si="63"/>
        <v>141</v>
      </c>
      <c r="D173" t="str">
        <f t="shared" si="66"/>
        <v>analogControlRegisters</v>
      </c>
      <c r="E173" s="10" t="str">
        <f>regList!H35</f>
        <v>VGA1ControlforCollision</v>
      </c>
      <c r="F173" s="11" t="str">
        <f>regList!G35</f>
        <v>9F</v>
      </c>
      <c r="J173" s="11" t="str">
        <f t="shared" si="65"/>
        <v/>
      </c>
    </row>
    <row r="174" spans="1:10" x14ac:dyDescent="0.25">
      <c r="A174" s="11">
        <f t="shared" si="61"/>
        <v>8</v>
      </c>
      <c r="B174" s="11">
        <f t="shared" si="62"/>
        <v>121</v>
      </c>
      <c r="C174" s="11">
        <f t="shared" si="63"/>
        <v>141</v>
      </c>
      <c r="D174" t="str">
        <f t="shared" si="66"/>
        <v>analogControlRegisters</v>
      </c>
      <c r="E174" s="10" t="str">
        <f>regList!H36</f>
        <v>VGA2ControlforCollision</v>
      </c>
      <c r="F174" s="11" t="str">
        <f>regList!G36</f>
        <v>A0</v>
      </c>
      <c r="J174" s="11" t="str">
        <f t="shared" si="65"/>
        <v/>
      </c>
    </row>
    <row r="175" spans="1:10" x14ac:dyDescent="0.25">
      <c r="A175" s="11">
        <f t="shared" si="61"/>
        <v>8</v>
      </c>
      <c r="B175" s="11">
        <f t="shared" si="62"/>
        <v>122</v>
      </c>
      <c r="C175" s="11">
        <f t="shared" si="63"/>
        <v>141</v>
      </c>
      <c r="D175" t="str">
        <f t="shared" si="66"/>
        <v>analogControlRegisters</v>
      </c>
      <c r="E175" s="10" t="str">
        <f>regList!H37</f>
        <v>ADCVrefCode</v>
      </c>
      <c r="F175" s="11" t="str">
        <f>regList!G37</f>
        <v>A1</v>
      </c>
      <c r="J175" s="11" t="str">
        <f t="shared" si="65"/>
        <v/>
      </c>
    </row>
    <row r="176" spans="1:10" x14ac:dyDescent="0.25">
      <c r="A176" s="11">
        <f t="shared" si="61"/>
        <v>8</v>
      </c>
      <c r="B176" s="11">
        <f t="shared" si="62"/>
        <v>123</v>
      </c>
      <c r="C176" s="11">
        <f t="shared" si="63"/>
        <v>141</v>
      </c>
      <c r="D176" t="str">
        <f t="shared" si="66"/>
        <v>analogControlRegisters</v>
      </c>
      <c r="E176" s="10" t="str">
        <f>regList!H38</f>
        <v>PeakDetectorThresholds</v>
      </c>
      <c r="F176" s="11" t="str">
        <f>regList!G38</f>
        <v>A2</v>
      </c>
      <c r="J176" s="11" t="str">
        <f t="shared" si="65"/>
        <v/>
      </c>
    </row>
    <row r="177" spans="1:10" x14ac:dyDescent="0.25">
      <c r="A177" s="11">
        <f t="shared" si="61"/>
        <v>8</v>
      </c>
      <c r="B177" s="11">
        <f t="shared" si="62"/>
        <v>123</v>
      </c>
      <c r="C177" s="11">
        <f t="shared" si="63"/>
        <v>141</v>
      </c>
      <c r="D177" t="str">
        <f t="shared" si="66"/>
        <v>analogControlRegisters</v>
      </c>
      <c r="E177" s="10" t="str">
        <f>regList!H39</f>
        <v>PeakDetectorThresholds</v>
      </c>
      <c r="F177" s="11" t="str">
        <f>regList!G39</f>
        <v>A3</v>
      </c>
      <c r="J177" s="11" t="str">
        <f t="shared" si="65"/>
        <v/>
      </c>
    </row>
    <row r="178" spans="1:10" x14ac:dyDescent="0.25">
      <c r="A178" s="11">
        <f t="shared" si="61"/>
        <v>8</v>
      </c>
      <c r="B178" s="11">
        <f t="shared" si="62"/>
        <v>123</v>
      </c>
      <c r="C178" s="11">
        <f t="shared" si="63"/>
        <v>141</v>
      </c>
      <c r="D178" t="str">
        <f t="shared" si="66"/>
        <v>analogControlRegisters</v>
      </c>
      <c r="E178" s="10" t="str">
        <f>regList!H40</f>
        <v>PeakDetectorThresholds</v>
      </c>
      <c r="F178" s="11" t="str">
        <f>regList!G40</f>
        <v>A4</v>
      </c>
      <c r="J178" s="11" t="str">
        <f t="shared" si="65"/>
        <v/>
      </c>
    </row>
    <row r="179" spans="1:10" x14ac:dyDescent="0.25">
      <c r="A179" s="11">
        <f t="shared" si="61"/>
        <v>8</v>
      </c>
      <c r="B179" s="11">
        <f t="shared" si="62"/>
        <v>124</v>
      </c>
      <c r="C179" s="11">
        <f t="shared" si="63"/>
        <v>141</v>
      </c>
      <c r="D179" t="str">
        <f t="shared" si="66"/>
        <v>analogControlRegisters</v>
      </c>
      <c r="E179" s="10" t="str">
        <f>regList!H41</f>
        <v>EmitterVoltageADCOffset</v>
      </c>
      <c r="F179" s="11" t="str">
        <f>regList!G41</f>
        <v>A5</v>
      </c>
      <c r="J179" s="11" t="str">
        <f t="shared" si="65"/>
        <v/>
      </c>
    </row>
    <row r="180" spans="1:10" x14ac:dyDescent="0.25">
      <c r="A180" s="11">
        <f t="shared" si="61"/>
        <v>8</v>
      </c>
      <c r="B180" s="11">
        <f t="shared" si="62"/>
        <v>125</v>
      </c>
      <c r="C180" s="11">
        <f t="shared" si="63"/>
        <v>141</v>
      </c>
      <c r="D180" t="str">
        <f t="shared" si="66"/>
        <v>analogControlRegisters</v>
      </c>
      <c r="E180" s="10" t="str">
        <f>regList!H42</f>
        <v>EmitterVoltageADCMuxSelect</v>
      </c>
      <c r="F180" s="11" t="str">
        <f>regList!G42</f>
        <v>A6</v>
      </c>
      <c r="J180" s="11" t="str">
        <f t="shared" si="65"/>
        <v/>
      </c>
    </row>
    <row r="181" spans="1:10" x14ac:dyDescent="0.25">
      <c r="A181" s="11">
        <f t="shared" si="61"/>
        <v>8</v>
      </c>
      <c r="B181" s="11">
        <f t="shared" si="62"/>
        <v>126</v>
      </c>
      <c r="C181" s="11">
        <f t="shared" si="63"/>
        <v>141</v>
      </c>
      <c r="D181" t="str">
        <f t="shared" si="66"/>
        <v>analogControlRegisters</v>
      </c>
      <c r="E181" s="10" t="str">
        <f>regList!H43</f>
        <v>TempSensorRegA</v>
      </c>
      <c r="F181" s="11" t="str">
        <f>regList!G43</f>
        <v>A7</v>
      </c>
      <c r="J181" s="11" t="str">
        <f t="shared" si="65"/>
        <v/>
      </c>
    </row>
    <row r="182" spans="1:10" x14ac:dyDescent="0.25">
      <c r="A182" s="11">
        <f t="shared" si="61"/>
        <v>8</v>
      </c>
      <c r="B182" s="11">
        <f t="shared" si="62"/>
        <v>127</v>
      </c>
      <c r="C182" s="11">
        <f t="shared" si="63"/>
        <v>141</v>
      </c>
      <c r="D182" t="str">
        <f t="shared" si="66"/>
        <v>analogControlRegisters</v>
      </c>
      <c r="E182" s="10" t="str">
        <f>regList!H44</f>
        <v>TempSensorRegB</v>
      </c>
      <c r="F182" s="11" t="str">
        <f>regList!G44</f>
        <v>A8</v>
      </c>
      <c r="J182" s="11" t="str">
        <f t="shared" si="65"/>
        <v/>
      </c>
    </row>
    <row r="183" spans="1:10" x14ac:dyDescent="0.25">
      <c r="A183" s="11">
        <f t="shared" si="61"/>
        <v>8</v>
      </c>
      <c r="B183" s="11">
        <f t="shared" si="62"/>
        <v>128</v>
      </c>
      <c r="C183" s="11">
        <f t="shared" si="63"/>
        <v>141</v>
      </c>
      <c r="D183" t="str">
        <f t="shared" si="66"/>
        <v>analogControlRegisters</v>
      </c>
      <c r="E183" s="10" t="str">
        <f>regList!H45</f>
        <v>TempSensorRegC</v>
      </c>
      <c r="F183" s="11" t="str">
        <f>regList!G45</f>
        <v>A9</v>
      </c>
      <c r="J183" s="11" t="str">
        <f t="shared" si="65"/>
        <v/>
      </c>
    </row>
    <row r="184" spans="1:10" x14ac:dyDescent="0.25">
      <c r="A184" s="11">
        <f t="shared" si="61"/>
        <v>8</v>
      </c>
      <c r="B184" s="11">
        <f t="shared" si="62"/>
        <v>129</v>
      </c>
      <c r="C184" s="11">
        <f t="shared" si="63"/>
        <v>141</v>
      </c>
      <c r="D184" t="str">
        <f t="shared" si="66"/>
        <v>analogControlRegisters</v>
      </c>
      <c r="E184" s="10" t="str">
        <f>regList!H46</f>
        <v>TempSensorADCMode</v>
      </c>
      <c r="F184" s="11" t="str">
        <f>regList!G46</f>
        <v>AA</v>
      </c>
      <c r="J184" s="11" t="str">
        <f t="shared" si="65"/>
        <v/>
      </c>
    </row>
    <row r="185" spans="1:10" x14ac:dyDescent="0.25">
      <c r="A185" s="11">
        <f t="shared" si="61"/>
        <v>8</v>
      </c>
      <c r="B185" s="11">
        <f t="shared" si="62"/>
        <v>130</v>
      </c>
      <c r="C185" s="11">
        <f t="shared" si="63"/>
        <v>141</v>
      </c>
      <c r="D185" t="str">
        <f t="shared" si="66"/>
        <v>analogControlRegisters</v>
      </c>
      <c r="E185" s="10" t="str">
        <f>regList!H47</f>
        <v>BPFSelect</v>
      </c>
      <c r="F185" s="11" t="str">
        <f>regList!G47</f>
        <v>AB</v>
      </c>
      <c r="J185" s="11" t="str">
        <f t="shared" si="65"/>
        <v/>
      </c>
    </row>
    <row r="186" spans="1:10" x14ac:dyDescent="0.25">
      <c r="A186" s="11">
        <f t="shared" si="61"/>
        <v>8</v>
      </c>
      <c r="B186" s="11">
        <f t="shared" si="62"/>
        <v>131</v>
      </c>
      <c r="C186" s="11">
        <f t="shared" si="63"/>
        <v>141</v>
      </c>
      <c r="D186" t="str">
        <f t="shared" si="66"/>
        <v>analogControlRegisters</v>
      </c>
      <c r="E186" s="10" t="str">
        <f>regList!H48</f>
        <v>Oscillator&amp;AAFOffset</v>
      </c>
      <c r="F186" s="11" t="str">
        <f>regList!G48</f>
        <v>AC</v>
      </c>
      <c r="J186" s="11" t="str">
        <f t="shared" si="65"/>
        <v/>
      </c>
    </row>
    <row r="187" spans="1:10" x14ac:dyDescent="0.25">
      <c r="A187" s="11">
        <f t="shared" si="61"/>
        <v>8</v>
      </c>
      <c r="B187" s="11">
        <f t="shared" si="62"/>
        <v>132</v>
      </c>
      <c r="C187" s="11">
        <f t="shared" si="63"/>
        <v>141</v>
      </c>
      <c r="D187" t="str">
        <f t="shared" si="66"/>
        <v>analogControlRegisters</v>
      </c>
      <c r="E187" s="10" t="str">
        <f>regList!H49</f>
        <v>OscillatorSelect</v>
      </c>
      <c r="F187" s="11" t="str">
        <f>regList!G49</f>
        <v>AD</v>
      </c>
      <c r="J187" s="11" t="str">
        <f t="shared" si="65"/>
        <v/>
      </c>
    </row>
    <row r="188" spans="1:10" x14ac:dyDescent="0.25">
      <c r="A188" s="11">
        <f t="shared" si="61"/>
        <v>8</v>
      </c>
      <c r="B188" s="11">
        <f t="shared" si="62"/>
        <v>133</v>
      </c>
      <c r="C188" s="11">
        <f t="shared" si="63"/>
        <v>141</v>
      </c>
      <c r="D188" t="str">
        <f t="shared" si="66"/>
        <v>analogControlRegisters</v>
      </c>
      <c r="E188" s="10" t="str">
        <f>regList!H50</f>
        <v>InternalRSET</v>
      </c>
      <c r="F188" s="11" t="str">
        <f>regList!G50</f>
        <v>AE</v>
      </c>
      <c r="J188" s="11" t="str">
        <f t="shared" si="65"/>
        <v/>
      </c>
    </row>
    <row r="189" spans="1:10" x14ac:dyDescent="0.25">
      <c r="A189" s="11">
        <f t="shared" si="61"/>
        <v>8</v>
      </c>
      <c r="B189" s="11">
        <f t="shared" si="62"/>
        <v>134</v>
      </c>
      <c r="C189" s="11">
        <f t="shared" si="63"/>
        <v>141</v>
      </c>
      <c r="D189" t="str">
        <f t="shared" si="66"/>
        <v>analogControlRegisters</v>
      </c>
      <c r="E189" s="10" t="str">
        <f>regList!H51</f>
        <v>Spares</v>
      </c>
      <c r="F189" s="11" t="str">
        <f>regList!G51</f>
        <v>AF</v>
      </c>
      <c r="J189" s="11" t="str">
        <f t="shared" si="65"/>
        <v/>
      </c>
    </row>
    <row r="190" spans="1:10" x14ac:dyDescent="0.25">
      <c r="A190" s="11">
        <f t="shared" si="61"/>
        <v>9</v>
      </c>
      <c r="B190" s="11">
        <f t="shared" si="62"/>
        <v>135</v>
      </c>
      <c r="C190" s="11">
        <f t="shared" si="63"/>
        <v>141</v>
      </c>
      <c r="D190" t="s">
        <v>221</v>
      </c>
      <c r="E190" s="10" t="str">
        <f>regList!H52</f>
        <v>Command</v>
      </c>
      <c r="F190" s="11" t="str">
        <f>regList!G52</f>
        <v>B0</v>
      </c>
      <c r="J190" s="11" t="str">
        <f t="shared" si="65"/>
        <v/>
      </c>
    </row>
    <row r="191" spans="1:10" x14ac:dyDescent="0.25">
      <c r="A191" s="11">
        <f t="shared" si="61"/>
        <v>9</v>
      </c>
      <c r="B191" s="11">
        <f t="shared" si="62"/>
        <v>136</v>
      </c>
      <c r="C191" s="11">
        <f t="shared" si="63"/>
        <v>141</v>
      </c>
      <c r="D191" t="str">
        <f t="shared" si="66"/>
        <v>DftRegisters</v>
      </c>
      <c r="E191" s="10" t="str">
        <f>regList!H53</f>
        <v>I2CFast</v>
      </c>
      <c r="F191" s="11" t="str">
        <f>regList!G53</f>
        <v>B1</v>
      </c>
      <c r="J191" s="11" t="str">
        <f t="shared" si="65"/>
        <v/>
      </c>
    </row>
    <row r="192" spans="1:10" x14ac:dyDescent="0.25">
      <c r="A192" s="11">
        <f t="shared" si="61"/>
        <v>9</v>
      </c>
      <c r="B192" s="11">
        <f t="shared" si="62"/>
        <v>137</v>
      </c>
      <c r="C192" s="11">
        <f t="shared" si="63"/>
        <v>141</v>
      </c>
      <c r="D192" t="str">
        <f t="shared" si="66"/>
        <v>DftRegisters</v>
      </c>
      <c r="E192" s="10" t="str">
        <f>regList!H54</f>
        <v>RivisionID</v>
      </c>
      <c r="F192" s="11" t="str">
        <f>regList!G54</f>
        <v>B2</v>
      </c>
      <c r="J192" s="11" t="str">
        <f t="shared" si="65"/>
        <v/>
      </c>
    </row>
    <row r="193" spans="1:10" x14ac:dyDescent="0.25">
      <c r="A193" s="11">
        <f t="shared" si="61"/>
        <v>9</v>
      </c>
      <c r="B193" s="11">
        <f t="shared" si="62"/>
        <v>138</v>
      </c>
      <c r="C193" s="11">
        <f t="shared" si="63"/>
        <v>141</v>
      </c>
      <c r="D193" t="str">
        <f t="shared" si="66"/>
        <v>DftRegisters</v>
      </c>
      <c r="E193" s="10" t="str">
        <f>regList!H55</f>
        <v>BlockOverride</v>
      </c>
      <c r="F193" s="11" t="str">
        <f>regList!G55</f>
        <v>B3</v>
      </c>
      <c r="J193" s="11" t="str">
        <f t="shared" si="65"/>
        <v/>
      </c>
    </row>
    <row r="194" spans="1:10" x14ac:dyDescent="0.25">
      <c r="A194" s="11">
        <f t="shared" si="61"/>
        <v>9</v>
      </c>
      <c r="B194" s="11">
        <f t="shared" si="62"/>
        <v>138</v>
      </c>
      <c r="C194" s="11">
        <f t="shared" si="63"/>
        <v>141</v>
      </c>
      <c r="D194" t="str">
        <f t="shared" si="66"/>
        <v>DftRegisters</v>
      </c>
      <c r="E194" s="10" t="str">
        <f>regList!H56</f>
        <v>BlockOverride</v>
      </c>
      <c r="F194" s="11" t="str">
        <f>regList!G56</f>
        <v>B4</v>
      </c>
      <c r="J194" s="11" t="str">
        <f t="shared" si="65"/>
        <v/>
      </c>
    </row>
    <row r="195" spans="1:10" x14ac:dyDescent="0.25">
      <c r="A195" s="11">
        <f t="shared" si="61"/>
        <v>9</v>
      </c>
      <c r="B195" s="11">
        <f t="shared" si="62"/>
        <v>139</v>
      </c>
      <c r="C195" s="11">
        <f t="shared" si="63"/>
        <v>141</v>
      </c>
      <c r="D195" t="str">
        <f t="shared" si="66"/>
        <v>DftRegisters</v>
      </c>
      <c r="E195" s="10" t="str">
        <f>regList!H57</f>
        <v>StateMachineControl</v>
      </c>
      <c r="F195" s="11" t="str">
        <f>regList!G57</f>
        <v>B5</v>
      </c>
      <c r="J195" s="11" t="str">
        <f t="shared" si="65"/>
        <v/>
      </c>
    </row>
    <row r="196" spans="1:10" x14ac:dyDescent="0.25">
      <c r="A196" s="11">
        <f t="shared" si="61"/>
        <v>9</v>
      </c>
      <c r="B196" s="11">
        <f t="shared" si="62"/>
        <v>140</v>
      </c>
      <c r="C196" s="11">
        <f t="shared" si="63"/>
        <v>141</v>
      </c>
      <c r="D196" t="str">
        <f t="shared" si="66"/>
        <v>DftRegisters</v>
      </c>
      <c r="E196" s="10" t="str">
        <f>regList!H58</f>
        <v>StateMachineOverride</v>
      </c>
      <c r="F196" s="11" t="str">
        <f>regList!G58</f>
        <v>B6</v>
      </c>
      <c r="J196" s="11" t="str">
        <f t="shared" si="65"/>
        <v/>
      </c>
    </row>
    <row r="197" spans="1:10" x14ac:dyDescent="0.25">
      <c r="A197" s="11">
        <f t="shared" ref="A197:A260" si="67">IF(D197=D196,A196,A196+1)</f>
        <v>9</v>
      </c>
      <c r="B197" s="11">
        <f t="shared" ref="B197:B260" si="68">IF(E196=E197,B196,B196+1)</f>
        <v>141</v>
      </c>
      <c r="C197" s="11">
        <f t="shared" ref="C197:C260" si="69">IF(G197&lt;&gt;"",C196+1,C196)</f>
        <v>141</v>
      </c>
      <c r="D197" t="str">
        <f t="shared" si="66"/>
        <v>DftRegisters</v>
      </c>
      <c r="E197" s="10" t="str">
        <f>regList!H59</f>
        <v>StateMachineOverride1</v>
      </c>
      <c r="F197" s="11" t="str">
        <f>regList!G59</f>
        <v>B7</v>
      </c>
      <c r="J197" s="11" t="str">
        <f t="shared" si="65"/>
        <v/>
      </c>
    </row>
    <row r="198" spans="1:10" x14ac:dyDescent="0.25">
      <c r="A198" s="11">
        <f t="shared" si="67"/>
        <v>9</v>
      </c>
      <c r="B198" s="11">
        <f t="shared" si="68"/>
        <v>142</v>
      </c>
      <c r="C198" s="11">
        <f t="shared" si="69"/>
        <v>141</v>
      </c>
      <c r="D198" t="str">
        <f t="shared" si="66"/>
        <v>DftRegisters</v>
      </c>
      <c r="E198" s="10" t="str">
        <f>regList!H60</f>
        <v>AnalogMonitorControl</v>
      </c>
      <c r="F198" s="11" t="str">
        <f>regList!G60</f>
        <v>B8</v>
      </c>
      <c r="J198" s="11" t="str">
        <f t="shared" si="65"/>
        <v/>
      </c>
    </row>
    <row r="199" spans="1:10" x14ac:dyDescent="0.25">
      <c r="A199" s="11">
        <f t="shared" si="67"/>
        <v>9</v>
      </c>
      <c r="B199" s="11">
        <f t="shared" si="68"/>
        <v>143</v>
      </c>
      <c r="C199" s="11">
        <f t="shared" si="69"/>
        <v>141</v>
      </c>
      <c r="D199" t="str">
        <f t="shared" si="66"/>
        <v>DftRegisters</v>
      </c>
      <c r="E199" s="10" t="str">
        <f>regList!H61</f>
        <v>NCOControl1</v>
      </c>
      <c r="F199" s="11" t="str">
        <f>regList!G61</f>
        <v>B9</v>
      </c>
      <c r="J199" s="11" t="str">
        <f t="shared" si="65"/>
        <v/>
      </c>
    </row>
    <row r="200" spans="1:10" x14ac:dyDescent="0.25">
      <c r="A200" s="11">
        <f t="shared" si="67"/>
        <v>9</v>
      </c>
      <c r="B200" s="11">
        <f t="shared" si="68"/>
        <v>144</v>
      </c>
      <c r="C200" s="11">
        <f t="shared" si="69"/>
        <v>141</v>
      </c>
      <c r="D200" t="str">
        <f t="shared" si="66"/>
        <v>DftRegisters</v>
      </c>
      <c r="E200" s="10" t="str">
        <f>regList!H62</f>
        <v>NCOControl2</v>
      </c>
      <c r="F200" s="11" t="str">
        <f>regList!G62</f>
        <v>BA</v>
      </c>
      <c r="J200" s="11" t="str">
        <f t="shared" si="65"/>
        <v/>
      </c>
    </row>
    <row r="201" spans="1:10" x14ac:dyDescent="0.25">
      <c r="A201" s="11">
        <f t="shared" si="67"/>
        <v>9</v>
      </c>
      <c r="B201" s="11">
        <f t="shared" si="68"/>
        <v>145</v>
      </c>
      <c r="C201" s="11">
        <f t="shared" si="69"/>
        <v>141</v>
      </c>
      <c r="D201" t="str">
        <f t="shared" si="66"/>
        <v>DftRegisters</v>
      </c>
      <c r="E201" s="10" t="str">
        <f>regList!H63</f>
        <v>NCOControl3</v>
      </c>
      <c r="F201" s="11" t="str">
        <f>regList!G63</f>
        <v>BB</v>
      </c>
      <c r="J201" s="11" t="str">
        <f t="shared" si="65"/>
        <v/>
      </c>
    </row>
    <row r="202" spans="1:10" x14ac:dyDescent="0.25">
      <c r="A202" s="11">
        <f t="shared" si="67"/>
        <v>10</v>
      </c>
      <c r="B202" s="11">
        <f t="shared" si="68"/>
        <v>146</v>
      </c>
      <c r="C202" s="11">
        <f t="shared" si="69"/>
        <v>141</v>
      </c>
      <c r="D202" t="s">
        <v>222</v>
      </c>
      <c r="E202" s="10" t="str">
        <f>regList!J4</f>
        <v>FuseOperation</v>
      </c>
      <c r="F202" s="11" t="str">
        <f>regList!I4</f>
        <v>C0</v>
      </c>
      <c r="J202" s="11" t="str">
        <f t="shared" si="65"/>
        <v/>
      </c>
    </row>
    <row r="203" spans="1:10" x14ac:dyDescent="0.25">
      <c r="A203" s="11">
        <f t="shared" si="67"/>
        <v>10</v>
      </c>
      <c r="B203" s="11">
        <f t="shared" si="68"/>
        <v>147</v>
      </c>
      <c r="C203" s="11">
        <f t="shared" si="69"/>
        <v>141</v>
      </c>
      <c r="D203" t="str">
        <f t="shared" si="66"/>
        <v>fuseRegisters</v>
      </c>
      <c r="E203" s="10" t="str">
        <f>regList!J5</f>
        <v>Fusereg1</v>
      </c>
      <c r="F203" s="11" t="str">
        <f>regList!I5</f>
        <v>C1</v>
      </c>
      <c r="J203" s="11" t="str">
        <f t="shared" si="65"/>
        <v/>
      </c>
    </row>
    <row r="204" spans="1:10" x14ac:dyDescent="0.25">
      <c r="A204" s="11">
        <f t="shared" si="67"/>
        <v>10</v>
      </c>
      <c r="B204" s="11">
        <f t="shared" si="68"/>
        <v>148</v>
      </c>
      <c r="C204" s="11">
        <f t="shared" si="69"/>
        <v>141</v>
      </c>
      <c r="D204" t="str">
        <f t="shared" si="66"/>
        <v>fuseRegisters</v>
      </c>
      <c r="E204" s="10" t="str">
        <f>regList!J6</f>
        <v>Fuse_reg2</v>
      </c>
      <c r="F204" s="11" t="str">
        <f>regList!I6</f>
        <v>C2</v>
      </c>
      <c r="J204" s="11" t="str">
        <f t="shared" si="65"/>
        <v/>
      </c>
    </row>
    <row r="205" spans="1:10" x14ac:dyDescent="0.25">
      <c r="A205" s="11">
        <f t="shared" si="67"/>
        <v>10</v>
      </c>
      <c r="B205" s="11">
        <f t="shared" si="68"/>
        <v>149</v>
      </c>
      <c r="C205" s="11">
        <f t="shared" si="69"/>
        <v>141</v>
      </c>
      <c r="D205" t="str">
        <f t="shared" si="66"/>
        <v>fuseRegisters</v>
      </c>
      <c r="E205" s="10" t="str">
        <f>regList!J7</f>
        <v>Fusereg3</v>
      </c>
      <c r="F205" s="11" t="str">
        <f>regList!I7</f>
        <v>C3</v>
      </c>
      <c r="J205" s="11" t="str">
        <f t="shared" si="65"/>
        <v/>
      </c>
    </row>
    <row r="206" spans="1:10" x14ac:dyDescent="0.25">
      <c r="A206" s="11">
        <f t="shared" si="67"/>
        <v>10</v>
      </c>
      <c r="B206" s="11">
        <f t="shared" si="68"/>
        <v>150</v>
      </c>
      <c r="C206" s="11">
        <f t="shared" si="69"/>
        <v>141</v>
      </c>
      <c r="D206" t="str">
        <f t="shared" si="66"/>
        <v>fuseRegisters</v>
      </c>
      <c r="E206" s="10" t="str">
        <f>regList!J8</f>
        <v>Fusereg4</v>
      </c>
      <c r="F206" s="11" t="str">
        <f>regList!I8</f>
        <v>C4</v>
      </c>
      <c r="J206" s="11" t="str">
        <f t="shared" si="65"/>
        <v/>
      </c>
    </row>
    <row r="207" spans="1:10" x14ac:dyDescent="0.25">
      <c r="A207" s="11">
        <f t="shared" si="67"/>
        <v>11</v>
      </c>
      <c r="B207" s="11">
        <f t="shared" si="68"/>
        <v>151</v>
      </c>
      <c r="C207" s="11">
        <f t="shared" si="69"/>
        <v>141</v>
      </c>
      <c r="D207" t="s">
        <v>223</v>
      </c>
      <c r="E207" s="10" t="str">
        <f>regList!J9</f>
        <v>testreg1</v>
      </c>
      <c r="F207" s="11" t="str">
        <f>regList!I9</f>
        <v>C5</v>
      </c>
      <c r="J207" s="11" t="str">
        <f t="shared" si="65"/>
        <v/>
      </c>
    </row>
    <row r="208" spans="1:10" x14ac:dyDescent="0.25">
      <c r="A208" s="11">
        <f t="shared" si="67"/>
        <v>11</v>
      </c>
      <c r="B208" s="11">
        <f t="shared" si="68"/>
        <v>152</v>
      </c>
      <c r="C208" s="11">
        <f t="shared" si="69"/>
        <v>141</v>
      </c>
      <c r="D208" t="str">
        <f t="shared" si="66"/>
        <v xml:space="preserve">digitalTestReg </v>
      </c>
      <c r="E208" s="10" t="str">
        <f>regList!J10</f>
        <v>testreg2</v>
      </c>
      <c r="F208" s="11" t="str">
        <f>regList!I10</f>
        <v>C6</v>
      </c>
      <c r="J208" s="11" t="str">
        <f t="shared" si="65"/>
        <v/>
      </c>
    </row>
    <row r="209" spans="1:10" x14ac:dyDescent="0.25">
      <c r="A209" s="11">
        <f t="shared" si="67"/>
        <v>11</v>
      </c>
      <c r="B209" s="11">
        <f t="shared" si="68"/>
        <v>153</v>
      </c>
      <c r="C209" s="11">
        <f t="shared" si="69"/>
        <v>141</v>
      </c>
      <c r="D209" t="str">
        <f t="shared" si="66"/>
        <v xml:space="preserve">digitalTestReg </v>
      </c>
      <c r="E209" s="10" t="str">
        <f>regList!J11</f>
        <v>testreg3</v>
      </c>
      <c r="F209" s="11" t="str">
        <f>regList!I11</f>
        <v>C7</v>
      </c>
      <c r="J209" s="11" t="str">
        <f t="shared" si="65"/>
        <v/>
      </c>
    </row>
    <row r="210" spans="1:10" x14ac:dyDescent="0.25">
      <c r="A210" s="11">
        <f t="shared" si="67"/>
        <v>11</v>
      </c>
      <c r="B210" s="11">
        <f t="shared" si="68"/>
        <v>153</v>
      </c>
      <c r="C210" s="11">
        <f t="shared" si="69"/>
        <v>141</v>
      </c>
      <c r="D210" t="str">
        <f t="shared" si="66"/>
        <v xml:space="preserve">digitalTestReg </v>
      </c>
      <c r="E210" s="10" t="str">
        <f>regList!J12</f>
        <v>testreg3</v>
      </c>
      <c r="F210" s="11" t="str">
        <f>regList!I12</f>
        <v>C8</v>
      </c>
      <c r="J210" s="11" t="str">
        <f t="shared" si="65"/>
        <v/>
      </c>
    </row>
    <row r="211" spans="1:10" x14ac:dyDescent="0.25">
      <c r="A211" s="11">
        <f t="shared" si="67"/>
        <v>11</v>
      </c>
      <c r="B211" s="11">
        <f t="shared" si="68"/>
        <v>154</v>
      </c>
      <c r="C211" s="11">
        <f t="shared" si="69"/>
        <v>141</v>
      </c>
      <c r="D211" t="str">
        <f t="shared" si="66"/>
        <v xml:space="preserve">digitalTestReg </v>
      </c>
      <c r="E211" s="10" t="str">
        <f>regList!J13</f>
        <v>testmux</v>
      </c>
      <c r="F211" s="11" t="str">
        <f>regList!I13</f>
        <v>C9</v>
      </c>
      <c r="J211" s="11" t="str">
        <f t="shared" si="65"/>
        <v/>
      </c>
    </row>
    <row r="212" spans="1:10" x14ac:dyDescent="0.25">
      <c r="A212" s="11">
        <f t="shared" si="67"/>
        <v>11</v>
      </c>
      <c r="B212" s="11">
        <f t="shared" si="68"/>
        <v>155</v>
      </c>
      <c r="C212" s="11">
        <f t="shared" si="69"/>
        <v>141</v>
      </c>
      <c r="D212" t="str">
        <f t="shared" si="66"/>
        <v xml:space="preserve">digitalTestReg </v>
      </c>
      <c r="E212" s="10" t="str">
        <f>regList!J14</f>
        <v>testsample</v>
      </c>
      <c r="F212" s="11" t="str">
        <f>regList!I14</f>
        <v>CA</v>
      </c>
      <c r="J212" s="11" t="str">
        <f t="shared" si="65"/>
        <v/>
      </c>
    </row>
    <row r="213" spans="1:10" x14ac:dyDescent="0.25">
      <c r="A213" s="11">
        <f t="shared" si="67"/>
        <v>11</v>
      </c>
      <c r="B213" s="11">
        <f t="shared" si="68"/>
        <v>156</v>
      </c>
      <c r="C213" s="11">
        <f t="shared" si="69"/>
        <v>141</v>
      </c>
      <c r="D213" t="str">
        <f t="shared" si="66"/>
        <v xml:space="preserve">digitalTestReg </v>
      </c>
      <c r="E213" s="10" t="str">
        <f>regList!J15</f>
        <v>testreadsanple</v>
      </c>
      <c r="F213" s="11" t="str">
        <f>regList!I15</f>
        <v>CB</v>
      </c>
      <c r="J213" s="11" t="str">
        <f t="shared" si="65"/>
        <v/>
      </c>
    </row>
    <row r="214" spans="1:10" x14ac:dyDescent="0.25">
      <c r="A214" s="11">
        <f t="shared" si="67"/>
        <v>11</v>
      </c>
      <c r="B214" s="11">
        <f t="shared" si="68"/>
        <v>157</v>
      </c>
      <c r="C214" s="11">
        <f t="shared" si="69"/>
        <v>141</v>
      </c>
      <c r="D214" t="str">
        <f t="shared" si="66"/>
        <v xml:space="preserve">digitalTestReg </v>
      </c>
      <c r="E214" s="10" t="str">
        <f>regList!J16</f>
        <v>testtrim1</v>
      </c>
      <c r="F214" s="11" t="str">
        <f>regList!I16</f>
        <v>CC</v>
      </c>
      <c r="J214" s="11" t="str">
        <f t="shared" si="65"/>
        <v/>
      </c>
    </row>
    <row r="215" spans="1:10" x14ac:dyDescent="0.25">
      <c r="A215" s="11">
        <f t="shared" si="67"/>
        <v>11</v>
      </c>
      <c r="B215" s="11">
        <f t="shared" si="68"/>
        <v>158</v>
      </c>
      <c r="C215" s="11">
        <f t="shared" si="69"/>
        <v>141</v>
      </c>
      <c r="D215" t="str">
        <f t="shared" si="66"/>
        <v xml:space="preserve">digitalTestReg </v>
      </c>
      <c r="E215" s="10" t="str">
        <f>regList!J17</f>
        <v>testtrim2</v>
      </c>
      <c r="F215" s="11" t="str">
        <f>regList!I17</f>
        <v>CD</v>
      </c>
      <c r="J215" s="11" t="str">
        <f t="shared" si="65"/>
        <v/>
      </c>
    </row>
    <row r="216" spans="1:10" x14ac:dyDescent="0.25">
      <c r="A216" s="11">
        <f t="shared" si="67"/>
        <v>11</v>
      </c>
      <c r="B216" s="11">
        <f t="shared" si="68"/>
        <v>159</v>
      </c>
      <c r="C216" s="11">
        <f t="shared" si="69"/>
        <v>141</v>
      </c>
      <c r="D216" t="str">
        <f t="shared" si="66"/>
        <v xml:space="preserve">digitalTestReg </v>
      </c>
      <c r="E216" s="10" t="str">
        <f>regList!J18</f>
        <v>testtrim3</v>
      </c>
      <c r="F216" s="11" t="str">
        <f>regList!I18</f>
        <v>CE</v>
      </c>
      <c r="J216" s="11" t="str">
        <f t="shared" si="65"/>
        <v/>
      </c>
    </row>
    <row r="217" spans="1:10" x14ac:dyDescent="0.25">
      <c r="A217" s="11">
        <f t="shared" si="67"/>
        <v>11</v>
      </c>
      <c r="B217" s="11">
        <f t="shared" si="68"/>
        <v>160</v>
      </c>
      <c r="C217" s="11">
        <f t="shared" si="69"/>
        <v>141</v>
      </c>
      <c r="D217" t="str">
        <f t="shared" si="66"/>
        <v xml:space="preserve">digitalTestReg </v>
      </c>
      <c r="E217" s="10" t="str">
        <f>regList!J19</f>
        <v>testtrim4</v>
      </c>
      <c r="F217" s="11" t="str">
        <f>regList!I19</f>
        <v>CF</v>
      </c>
      <c r="J217" s="11" t="str">
        <f t="shared" si="65"/>
        <v/>
      </c>
    </row>
    <row r="218" spans="1:10" x14ac:dyDescent="0.25">
      <c r="A218" s="11">
        <f t="shared" si="67"/>
        <v>12</v>
      </c>
      <c r="B218" s="11">
        <f t="shared" si="68"/>
        <v>161</v>
      </c>
      <c r="C218" s="11">
        <f t="shared" si="69"/>
        <v>141</v>
      </c>
      <c r="D218" t="s">
        <v>224</v>
      </c>
      <c r="E218" s="10" t="str">
        <f>regList!J20</f>
        <v>DataInvalid</v>
      </c>
      <c r="F218" s="11" t="str">
        <f>regList!I20</f>
        <v>D0</v>
      </c>
      <c r="J218" s="11" t="str">
        <f t="shared" si="65"/>
        <v/>
      </c>
    </row>
    <row r="219" spans="1:10" x14ac:dyDescent="0.25">
      <c r="A219" s="11">
        <f t="shared" si="67"/>
        <v>12</v>
      </c>
      <c r="B219" s="11">
        <f t="shared" si="68"/>
        <v>162</v>
      </c>
      <c r="C219" s="11">
        <f t="shared" si="69"/>
        <v>141</v>
      </c>
      <c r="D219" t="str">
        <f t="shared" si="66"/>
        <v>lightSampleStatusRegisters</v>
      </c>
      <c r="E219" s="10" t="str">
        <f>regList!J21</f>
        <v>DistanceReadoutMSB</v>
      </c>
      <c r="F219" s="11" t="str">
        <f>regList!I21</f>
        <v>D1</v>
      </c>
      <c r="J219" s="11" t="str">
        <f t="shared" si="65"/>
        <v/>
      </c>
    </row>
    <row r="220" spans="1:10" x14ac:dyDescent="0.25">
      <c r="A220" s="11">
        <f t="shared" si="67"/>
        <v>12</v>
      </c>
      <c r="B220" s="11">
        <f t="shared" si="68"/>
        <v>163</v>
      </c>
      <c r="C220" s="11">
        <f t="shared" si="69"/>
        <v>141</v>
      </c>
      <c r="D220" t="str">
        <f t="shared" ref="D220:D260" si="70">D219</f>
        <v>lightSampleStatusRegisters</v>
      </c>
      <c r="E220" s="10" t="str">
        <f>regList!J22</f>
        <v>DistanceReadoutLSB</v>
      </c>
      <c r="F220" s="11" t="str">
        <f>regList!I22</f>
        <v>D2</v>
      </c>
      <c r="J220" s="11" t="str">
        <f t="shared" si="65"/>
        <v/>
      </c>
    </row>
    <row r="221" spans="1:10" x14ac:dyDescent="0.25">
      <c r="A221" s="11">
        <f t="shared" si="67"/>
        <v>12</v>
      </c>
      <c r="B221" s="11">
        <f t="shared" si="68"/>
        <v>164</v>
      </c>
      <c r="C221" s="11">
        <f t="shared" si="69"/>
        <v>141</v>
      </c>
      <c r="D221" t="str">
        <f t="shared" si="70"/>
        <v>lightSampleStatusRegisters</v>
      </c>
      <c r="E221" s="10" t="str">
        <f>regList!J23</f>
        <v>PrecisionMSB</v>
      </c>
      <c r="F221" s="11" t="str">
        <f>regList!I23</f>
        <v>D3</v>
      </c>
      <c r="J221" s="11" t="str">
        <f t="shared" si="65"/>
        <v/>
      </c>
    </row>
    <row r="222" spans="1:10" x14ac:dyDescent="0.25">
      <c r="A222" s="11">
        <f t="shared" si="67"/>
        <v>12</v>
      </c>
      <c r="B222" s="11">
        <f t="shared" si="68"/>
        <v>165</v>
      </c>
      <c r="C222" s="11">
        <f t="shared" si="69"/>
        <v>141</v>
      </c>
      <c r="D222" t="str">
        <f t="shared" si="70"/>
        <v>lightSampleStatusRegisters</v>
      </c>
      <c r="E222" s="10" t="str">
        <f>regList!J24</f>
        <v>PercisionLSB</v>
      </c>
      <c r="F222" s="11" t="str">
        <f>regList!I24</f>
        <v>D4</v>
      </c>
      <c r="J222" s="11" t="str">
        <f t="shared" si="65"/>
        <v/>
      </c>
    </row>
    <row r="223" spans="1:10" x14ac:dyDescent="0.25">
      <c r="A223" s="11">
        <f t="shared" si="67"/>
        <v>12</v>
      </c>
      <c r="B223" s="11">
        <f t="shared" si="68"/>
        <v>166</v>
      </c>
      <c r="C223" s="11">
        <f t="shared" si="69"/>
        <v>141</v>
      </c>
      <c r="D223" t="str">
        <f t="shared" si="70"/>
        <v>lightSampleStatusRegisters</v>
      </c>
      <c r="E223" s="10" t="str">
        <f>regList!J25</f>
        <v>MagnitudeExponent</v>
      </c>
      <c r="F223" s="11" t="str">
        <f>regList!I25</f>
        <v>D5</v>
      </c>
      <c r="J223" s="11" t="str">
        <f t="shared" si="65"/>
        <v/>
      </c>
    </row>
    <row r="224" spans="1:10" x14ac:dyDescent="0.25">
      <c r="A224" s="11">
        <f t="shared" si="67"/>
        <v>12</v>
      </c>
      <c r="B224" s="11">
        <f t="shared" si="68"/>
        <v>167</v>
      </c>
      <c r="C224" s="11">
        <f t="shared" si="69"/>
        <v>141</v>
      </c>
      <c r="D224" t="str">
        <f t="shared" si="70"/>
        <v>lightSampleStatusRegisters</v>
      </c>
      <c r="E224" s="10" t="str">
        <f>regList!J26</f>
        <v>MagnitudeSignificandMSB</v>
      </c>
      <c r="F224" s="11" t="str">
        <f>regList!I26</f>
        <v>D6</v>
      </c>
      <c r="J224" s="11" t="str">
        <f t="shared" si="65"/>
        <v/>
      </c>
    </row>
    <row r="225" spans="1:10" x14ac:dyDescent="0.25">
      <c r="A225" s="11">
        <f t="shared" si="67"/>
        <v>12</v>
      </c>
      <c r="B225" s="11">
        <f t="shared" si="68"/>
        <v>168</v>
      </c>
      <c r="C225" s="11">
        <f t="shared" si="69"/>
        <v>141</v>
      </c>
      <c r="D225" t="str">
        <f t="shared" si="70"/>
        <v>lightSampleStatusRegisters</v>
      </c>
      <c r="E225" s="10" t="str">
        <f>regList!J27</f>
        <v>MagnitudeSignificandLSB</v>
      </c>
      <c r="F225" s="11" t="str">
        <f>regList!I27</f>
        <v>D7</v>
      </c>
      <c r="J225" s="11" t="str">
        <f t="shared" ref="J225:J264" si="71">IF(I225&lt;&gt;"",DEC2HEX(2^I225-1),"")</f>
        <v/>
      </c>
    </row>
    <row r="226" spans="1:10" x14ac:dyDescent="0.25">
      <c r="A226" s="11">
        <f t="shared" si="67"/>
        <v>12</v>
      </c>
      <c r="B226" s="11">
        <f t="shared" si="68"/>
        <v>169</v>
      </c>
      <c r="C226" s="11">
        <f t="shared" si="69"/>
        <v>141</v>
      </c>
      <c r="D226" t="str">
        <f t="shared" si="70"/>
        <v>lightSampleStatusRegisters</v>
      </c>
      <c r="E226" s="10" t="str">
        <f>regList!J28</f>
        <v>PhaseReadoutMSB</v>
      </c>
      <c r="F226" s="11" t="str">
        <f>regList!I28</f>
        <v>D8</v>
      </c>
      <c r="J226" s="11" t="str">
        <f t="shared" si="71"/>
        <v/>
      </c>
    </row>
    <row r="227" spans="1:10" x14ac:dyDescent="0.25">
      <c r="A227" s="11">
        <f t="shared" si="67"/>
        <v>12</v>
      </c>
      <c r="B227" s="11">
        <f t="shared" si="68"/>
        <v>170</v>
      </c>
      <c r="C227" s="11">
        <f t="shared" si="69"/>
        <v>141</v>
      </c>
      <c r="D227" t="str">
        <f t="shared" si="70"/>
        <v>lightSampleStatusRegisters</v>
      </c>
      <c r="E227" s="10" t="str">
        <f>regList!J29</f>
        <v>PhaseReadoutLSB</v>
      </c>
      <c r="F227" s="11" t="str">
        <f>regList!I29</f>
        <v>D9</v>
      </c>
      <c r="J227" s="11" t="str">
        <f t="shared" si="71"/>
        <v/>
      </c>
    </row>
    <row r="228" spans="1:10" x14ac:dyDescent="0.25">
      <c r="A228" s="11">
        <f t="shared" si="67"/>
        <v>12</v>
      </c>
      <c r="B228" s="11">
        <f t="shared" si="68"/>
        <v>171</v>
      </c>
      <c r="C228" s="11">
        <f t="shared" si="69"/>
        <v>141</v>
      </c>
      <c r="D228" t="str">
        <f t="shared" si="70"/>
        <v>lightSampleStatusRegisters</v>
      </c>
      <c r="E228" s="10" t="str">
        <f>regList!J30</f>
        <v>IRawExponent</v>
      </c>
      <c r="F228" s="11" t="str">
        <f>regList!I30</f>
        <v>DA</v>
      </c>
      <c r="J228" s="11" t="str">
        <f t="shared" si="71"/>
        <v/>
      </c>
    </row>
    <row r="229" spans="1:10" x14ac:dyDescent="0.25">
      <c r="A229" s="11">
        <f t="shared" si="67"/>
        <v>12</v>
      </c>
      <c r="B229" s="11">
        <f t="shared" si="68"/>
        <v>172</v>
      </c>
      <c r="C229" s="11">
        <f t="shared" si="69"/>
        <v>141</v>
      </c>
      <c r="D229" t="str">
        <f t="shared" si="70"/>
        <v>lightSampleStatusRegisters</v>
      </c>
      <c r="E229" s="10" t="str">
        <f>regList!J31</f>
        <v>IRawMSB</v>
      </c>
      <c r="F229" s="11" t="str">
        <f>regList!I31</f>
        <v>DB</v>
      </c>
      <c r="J229" s="11" t="str">
        <f t="shared" si="71"/>
        <v/>
      </c>
    </row>
    <row r="230" spans="1:10" x14ac:dyDescent="0.25">
      <c r="A230" s="11">
        <f t="shared" si="67"/>
        <v>12</v>
      </c>
      <c r="B230" s="11">
        <f t="shared" si="68"/>
        <v>173</v>
      </c>
      <c r="C230" s="11">
        <f t="shared" si="69"/>
        <v>141</v>
      </c>
      <c r="D230" t="str">
        <f t="shared" si="70"/>
        <v>lightSampleStatusRegisters</v>
      </c>
      <c r="E230" s="10" t="str">
        <f>regList!J32</f>
        <v>IRawLSB</v>
      </c>
      <c r="F230" s="11" t="str">
        <f>regList!I32</f>
        <v>DC</v>
      </c>
      <c r="J230" s="11" t="str">
        <f t="shared" si="71"/>
        <v/>
      </c>
    </row>
    <row r="231" spans="1:10" x14ac:dyDescent="0.25">
      <c r="A231" s="11">
        <f t="shared" si="67"/>
        <v>12</v>
      </c>
      <c r="B231" s="11">
        <f t="shared" si="68"/>
        <v>174</v>
      </c>
      <c r="C231" s="11">
        <f t="shared" si="69"/>
        <v>141</v>
      </c>
      <c r="D231" t="str">
        <f t="shared" si="70"/>
        <v>lightSampleStatusRegisters</v>
      </c>
      <c r="E231" s="10" t="str">
        <f>regList!J33</f>
        <v>QRawExponent</v>
      </c>
      <c r="F231" s="11" t="str">
        <f>regList!I33</f>
        <v>DD</v>
      </c>
      <c r="J231" s="11" t="str">
        <f t="shared" si="71"/>
        <v/>
      </c>
    </row>
    <row r="232" spans="1:10" x14ac:dyDescent="0.25">
      <c r="A232" s="11">
        <f t="shared" si="67"/>
        <v>12</v>
      </c>
      <c r="B232" s="11">
        <f t="shared" si="68"/>
        <v>175</v>
      </c>
      <c r="C232" s="11">
        <f t="shared" si="69"/>
        <v>141</v>
      </c>
      <c r="D232" t="str">
        <f t="shared" si="70"/>
        <v>lightSampleStatusRegisters</v>
      </c>
      <c r="E232" s="10" t="str">
        <f>regList!J34</f>
        <v>QRawMSB</v>
      </c>
      <c r="F232" s="11" t="str">
        <f>regList!I34</f>
        <v>DE</v>
      </c>
      <c r="J232" s="11" t="str">
        <f t="shared" si="71"/>
        <v/>
      </c>
    </row>
    <row r="233" spans="1:10" x14ac:dyDescent="0.25">
      <c r="A233" s="11">
        <f t="shared" si="67"/>
        <v>12</v>
      </c>
      <c r="B233" s="11">
        <f t="shared" si="68"/>
        <v>176</v>
      </c>
      <c r="C233" s="11">
        <f t="shared" si="69"/>
        <v>141</v>
      </c>
      <c r="D233" t="str">
        <f t="shared" si="70"/>
        <v>lightSampleStatusRegisters</v>
      </c>
      <c r="E233" s="10" t="str">
        <f>regList!J35</f>
        <v>QRawLSB</v>
      </c>
      <c r="F233" s="11" t="str">
        <f>regList!I35</f>
        <v>DF</v>
      </c>
      <c r="J233" s="11" t="str">
        <f t="shared" si="71"/>
        <v/>
      </c>
    </row>
    <row r="234" spans="1:10" x14ac:dyDescent="0.25">
      <c r="A234" s="11">
        <f t="shared" si="67"/>
        <v>12</v>
      </c>
      <c r="B234" s="11">
        <f t="shared" si="68"/>
        <v>177</v>
      </c>
      <c r="C234" s="11">
        <f t="shared" si="69"/>
        <v>141</v>
      </c>
      <c r="D234" t="str">
        <f t="shared" si="70"/>
        <v>lightSampleStatusRegisters</v>
      </c>
      <c r="E234" s="10" t="str">
        <f>regList!J36</f>
        <v>EmitterVoltageBefore</v>
      </c>
      <c r="F234" s="11" t="str">
        <f>regList!I36</f>
        <v>E0</v>
      </c>
      <c r="J234" s="11" t="str">
        <f t="shared" si="71"/>
        <v/>
      </c>
    </row>
    <row r="235" spans="1:10" x14ac:dyDescent="0.25">
      <c r="A235" s="11">
        <f t="shared" si="67"/>
        <v>12</v>
      </c>
      <c r="B235" s="11">
        <f t="shared" si="68"/>
        <v>178</v>
      </c>
      <c r="C235" s="11">
        <f t="shared" si="69"/>
        <v>141</v>
      </c>
      <c r="D235" t="str">
        <f t="shared" si="70"/>
        <v>lightSampleStatusRegisters</v>
      </c>
      <c r="E235" s="10" t="str">
        <f>regList!J37</f>
        <v>EmitterVoltageAfter</v>
      </c>
      <c r="F235" s="11" t="str">
        <f>regList!I37</f>
        <v>E1</v>
      </c>
      <c r="J235" s="11" t="str">
        <f t="shared" si="71"/>
        <v/>
      </c>
    </row>
    <row r="236" spans="1:10" x14ac:dyDescent="0.25">
      <c r="A236" s="11">
        <f t="shared" si="67"/>
        <v>12</v>
      </c>
      <c r="B236" s="11">
        <f t="shared" si="68"/>
        <v>179</v>
      </c>
      <c r="C236" s="11">
        <f t="shared" si="69"/>
        <v>141</v>
      </c>
      <c r="D236" t="str">
        <f t="shared" si="70"/>
        <v>lightSampleStatusRegisters</v>
      </c>
      <c r="E236" s="10" t="str">
        <f>regList!J38</f>
        <v>AFETemperature</v>
      </c>
      <c r="F236" s="11" t="str">
        <f>regList!I38</f>
        <v>E2</v>
      </c>
      <c r="J236" s="11" t="str">
        <f t="shared" si="71"/>
        <v/>
      </c>
    </row>
    <row r="237" spans="1:10" x14ac:dyDescent="0.25">
      <c r="A237" s="11">
        <f t="shared" si="67"/>
        <v>12</v>
      </c>
      <c r="B237" s="11">
        <f t="shared" si="68"/>
        <v>180</v>
      </c>
      <c r="C237" s="11">
        <f t="shared" si="69"/>
        <v>141</v>
      </c>
      <c r="D237" t="str">
        <f t="shared" si="70"/>
        <v>lightSampleStatusRegisters</v>
      </c>
      <c r="E237" s="10" t="str">
        <f>regList!J39</f>
        <v>AmbientADC</v>
      </c>
      <c r="F237" s="11" t="str">
        <f>regList!I39</f>
        <v>E3</v>
      </c>
      <c r="J237" s="11" t="str">
        <f t="shared" si="71"/>
        <v/>
      </c>
    </row>
    <row r="238" spans="1:10" x14ac:dyDescent="0.25">
      <c r="A238" s="11">
        <f t="shared" si="67"/>
        <v>12</v>
      </c>
      <c r="B238" s="11">
        <f t="shared" si="68"/>
        <v>181</v>
      </c>
      <c r="C238" s="11">
        <f t="shared" si="69"/>
        <v>141</v>
      </c>
      <c r="D238" t="str">
        <f t="shared" si="70"/>
        <v>lightSampleStatusRegisters</v>
      </c>
      <c r="E238" s="10" t="str">
        <f>regList!J40</f>
        <v>VGA1</v>
      </c>
      <c r="F238" s="11" t="str">
        <f>regList!I40</f>
        <v>E4</v>
      </c>
      <c r="J238" s="11" t="str">
        <f t="shared" si="71"/>
        <v/>
      </c>
    </row>
    <row r="239" spans="1:10" x14ac:dyDescent="0.25">
      <c r="A239" s="11">
        <f t="shared" si="67"/>
        <v>12</v>
      </c>
      <c r="B239" s="11">
        <f t="shared" si="68"/>
        <v>182</v>
      </c>
      <c r="C239" s="11">
        <f t="shared" si="69"/>
        <v>141</v>
      </c>
      <c r="D239" t="str">
        <f t="shared" si="70"/>
        <v>lightSampleStatusRegisters</v>
      </c>
      <c r="E239" s="10" t="str">
        <f>regList!J41</f>
        <v>VGA2</v>
      </c>
      <c r="F239" s="11" t="str">
        <f>regList!I41</f>
        <v>E5</v>
      </c>
      <c r="J239" s="11" t="str">
        <f t="shared" si="71"/>
        <v/>
      </c>
    </row>
    <row r="240" spans="1:10" x14ac:dyDescent="0.25">
      <c r="A240" s="11">
        <f t="shared" si="67"/>
        <v>12</v>
      </c>
      <c r="B240" s="11">
        <f t="shared" si="68"/>
        <v>183</v>
      </c>
      <c r="C240" s="11">
        <f t="shared" si="69"/>
        <v>141</v>
      </c>
      <c r="D240" t="str">
        <f t="shared" si="70"/>
        <v>lightSampleStatusRegisters</v>
      </c>
      <c r="E240" s="10" t="str">
        <f>regList!J42</f>
        <v>GainMSB</v>
      </c>
      <c r="F240" s="11" t="str">
        <f>regList!I42</f>
        <v>E6</v>
      </c>
      <c r="J240" s="11" t="str">
        <f t="shared" si="71"/>
        <v/>
      </c>
    </row>
    <row r="241" spans="1:10" x14ac:dyDescent="0.25">
      <c r="A241" s="11">
        <f t="shared" si="67"/>
        <v>12</v>
      </c>
      <c r="B241" s="11">
        <f t="shared" si="68"/>
        <v>184</v>
      </c>
      <c r="C241" s="11">
        <f t="shared" si="69"/>
        <v>141</v>
      </c>
      <c r="D241" t="str">
        <f t="shared" si="70"/>
        <v>lightSampleStatusRegisters</v>
      </c>
      <c r="E241" s="10" t="str">
        <f>regList!J43</f>
        <v>GainLSB</v>
      </c>
      <c r="F241" s="11" t="str">
        <f>regList!I43</f>
        <v>E7</v>
      </c>
      <c r="J241" s="11" t="str">
        <f t="shared" si="71"/>
        <v/>
      </c>
    </row>
    <row r="242" spans="1:10" x14ac:dyDescent="0.25">
      <c r="A242" s="11">
        <f t="shared" si="67"/>
        <v>12</v>
      </c>
      <c r="B242" s="11">
        <f t="shared" si="68"/>
        <v>185</v>
      </c>
      <c r="C242" s="11">
        <f t="shared" si="69"/>
        <v>141</v>
      </c>
      <c r="D242" t="str">
        <f t="shared" si="70"/>
        <v>lightSampleStatusRegisters</v>
      </c>
      <c r="E242" s="10" t="str">
        <f>regList!J44</f>
        <v>IADCMSB</v>
      </c>
      <c r="F242" s="11" t="str">
        <f>regList!I44</f>
        <v>E8</v>
      </c>
      <c r="J242" s="11" t="str">
        <f t="shared" si="71"/>
        <v/>
      </c>
    </row>
    <row r="243" spans="1:10" x14ac:dyDescent="0.25">
      <c r="A243" s="11">
        <f t="shared" si="67"/>
        <v>12</v>
      </c>
      <c r="B243" s="11">
        <f t="shared" si="68"/>
        <v>186</v>
      </c>
      <c r="C243" s="11">
        <f t="shared" si="69"/>
        <v>141</v>
      </c>
      <c r="D243" t="str">
        <f t="shared" si="70"/>
        <v>lightSampleStatusRegisters</v>
      </c>
      <c r="E243" s="10" t="str">
        <f>regList!J45</f>
        <v>IADCLSB</v>
      </c>
      <c r="F243" s="11" t="str">
        <f>regList!I45</f>
        <v>E9</v>
      </c>
      <c r="J243" s="11" t="str">
        <f t="shared" si="71"/>
        <v/>
      </c>
    </row>
    <row r="244" spans="1:10" x14ac:dyDescent="0.25">
      <c r="A244" s="11">
        <f t="shared" si="67"/>
        <v>12</v>
      </c>
      <c r="B244" s="11">
        <f t="shared" si="68"/>
        <v>187</v>
      </c>
      <c r="C244" s="11">
        <f t="shared" si="69"/>
        <v>141</v>
      </c>
      <c r="D244" t="str">
        <f t="shared" si="70"/>
        <v>lightSampleStatusRegisters</v>
      </c>
      <c r="E244" s="10" t="str">
        <f>regList!J46</f>
        <v>QADCMSB</v>
      </c>
      <c r="F244" s="11" t="str">
        <f>regList!I46</f>
        <v>EA</v>
      </c>
      <c r="J244" s="11" t="str">
        <f t="shared" si="71"/>
        <v/>
      </c>
    </row>
    <row r="245" spans="1:10" x14ac:dyDescent="0.25">
      <c r="A245" s="11">
        <f t="shared" si="67"/>
        <v>12</v>
      </c>
      <c r="B245" s="11">
        <f t="shared" si="68"/>
        <v>188</v>
      </c>
      <c r="C245" s="11">
        <f t="shared" si="69"/>
        <v>141</v>
      </c>
      <c r="D245" t="str">
        <f t="shared" si="70"/>
        <v>lightSampleStatusRegisters</v>
      </c>
      <c r="E245" s="10" t="str">
        <f>regList!J47</f>
        <v>QADCLSB</v>
      </c>
      <c r="F245" s="11" t="str">
        <f>regList!I47</f>
        <v>EB</v>
      </c>
      <c r="J245" s="11" t="str">
        <f t="shared" si="71"/>
        <v/>
      </c>
    </row>
    <row r="246" spans="1:10" x14ac:dyDescent="0.25">
      <c r="A246" s="11">
        <f t="shared" si="67"/>
        <v>13</v>
      </c>
      <c r="B246" s="11">
        <f t="shared" si="68"/>
        <v>189</v>
      </c>
      <c r="C246" s="11">
        <f t="shared" si="69"/>
        <v>141</v>
      </c>
      <c r="D246" t="s">
        <v>225</v>
      </c>
      <c r="E246" s="10" t="str">
        <f>regList!J48</f>
        <v>DCCalibrationIMSB</v>
      </c>
      <c r="F246" s="11" t="str">
        <f>regList!I48</f>
        <v>EC</v>
      </c>
      <c r="J246" s="11" t="str">
        <f t="shared" si="71"/>
        <v/>
      </c>
    </row>
    <row r="247" spans="1:10" x14ac:dyDescent="0.25">
      <c r="A247" s="11">
        <f t="shared" si="67"/>
        <v>13</v>
      </c>
      <c r="B247" s="11">
        <f t="shared" si="68"/>
        <v>190</v>
      </c>
      <c r="C247" s="11">
        <f t="shared" si="69"/>
        <v>141</v>
      </c>
      <c r="D247" t="str">
        <f t="shared" si="70"/>
        <v>calibrationStatusRegisters</v>
      </c>
      <c r="E247" s="10" t="str">
        <f>regList!J49</f>
        <v>DCCalibrationILSB</v>
      </c>
      <c r="F247" s="11" t="str">
        <f>regList!I49</f>
        <v>ED</v>
      </c>
      <c r="J247" s="11" t="str">
        <f t="shared" si="71"/>
        <v/>
      </c>
    </row>
    <row r="248" spans="1:10" x14ac:dyDescent="0.25">
      <c r="A248" s="11">
        <f t="shared" si="67"/>
        <v>13</v>
      </c>
      <c r="B248" s="11">
        <f t="shared" si="68"/>
        <v>191</v>
      </c>
      <c r="C248" s="11">
        <f t="shared" si="69"/>
        <v>141</v>
      </c>
      <c r="D248" t="str">
        <f t="shared" si="70"/>
        <v>calibrationStatusRegisters</v>
      </c>
      <c r="E248" s="10" t="str">
        <f>regList!J50</f>
        <v>DCCalibrationQMSB</v>
      </c>
      <c r="F248" s="11" t="str">
        <f>regList!I50</f>
        <v>EE</v>
      </c>
      <c r="J248" s="11" t="str">
        <f t="shared" si="71"/>
        <v/>
      </c>
    </row>
    <row r="249" spans="1:10" x14ac:dyDescent="0.25">
      <c r="A249" s="11">
        <f t="shared" si="67"/>
        <v>13</v>
      </c>
      <c r="B249" s="11">
        <f t="shared" si="68"/>
        <v>192</v>
      </c>
      <c r="C249" s="11">
        <f t="shared" si="69"/>
        <v>141</v>
      </c>
      <c r="D249" t="str">
        <f t="shared" si="70"/>
        <v>calibrationStatusRegisters</v>
      </c>
      <c r="E249" s="10" t="str">
        <f>regList!J51</f>
        <v>DCCalibrationQLSB</v>
      </c>
      <c r="F249" s="11" t="str">
        <f>regList!I51</f>
        <v>EF</v>
      </c>
      <c r="J249" s="11" t="str">
        <f t="shared" si="71"/>
        <v/>
      </c>
    </row>
    <row r="250" spans="1:10" x14ac:dyDescent="0.25">
      <c r="A250" s="11">
        <f t="shared" si="67"/>
        <v>13</v>
      </c>
      <c r="B250" s="11">
        <f t="shared" si="68"/>
        <v>193</v>
      </c>
      <c r="C250" s="11">
        <f t="shared" si="69"/>
        <v>141</v>
      </c>
      <c r="D250" t="str">
        <f t="shared" si="70"/>
        <v>calibrationStatusRegisters</v>
      </c>
      <c r="E250" s="10" t="str">
        <f>regList!J52</f>
        <v>ZPCalibrationIMSB</v>
      </c>
      <c r="F250" s="11" t="str">
        <f>regList!I52</f>
        <v>F0</v>
      </c>
      <c r="J250" s="11" t="str">
        <f t="shared" si="71"/>
        <v/>
      </c>
    </row>
    <row r="251" spans="1:10" x14ac:dyDescent="0.25">
      <c r="A251" s="11">
        <f t="shared" si="67"/>
        <v>13</v>
      </c>
      <c r="B251" s="11">
        <f t="shared" si="68"/>
        <v>194</v>
      </c>
      <c r="C251" s="11">
        <f t="shared" si="69"/>
        <v>141</v>
      </c>
      <c r="D251" t="str">
        <f t="shared" si="70"/>
        <v>calibrationStatusRegisters</v>
      </c>
      <c r="E251" s="10" t="str">
        <f>regList!J53</f>
        <v>ZPCalibrationILSB</v>
      </c>
      <c r="F251" s="11" t="str">
        <f>regList!I53</f>
        <v>F1</v>
      </c>
      <c r="J251" s="11" t="str">
        <f t="shared" si="71"/>
        <v/>
      </c>
    </row>
    <row r="252" spans="1:10" x14ac:dyDescent="0.25">
      <c r="A252" s="11">
        <f t="shared" si="67"/>
        <v>13</v>
      </c>
      <c r="B252" s="11">
        <f t="shared" si="68"/>
        <v>195</v>
      </c>
      <c r="C252" s="11">
        <f t="shared" si="69"/>
        <v>141</v>
      </c>
      <c r="D252" t="str">
        <f t="shared" si="70"/>
        <v>calibrationStatusRegisters</v>
      </c>
      <c r="E252" s="10" t="str">
        <f>regList!J54</f>
        <v>ZPCalibrationQMSB</v>
      </c>
      <c r="F252" s="11" t="str">
        <f>regList!I54</f>
        <v>F2</v>
      </c>
      <c r="J252" s="11" t="str">
        <f t="shared" si="71"/>
        <v/>
      </c>
    </row>
    <row r="253" spans="1:10" x14ac:dyDescent="0.25">
      <c r="A253" s="11">
        <f t="shared" si="67"/>
        <v>13</v>
      </c>
      <c r="B253" s="11">
        <f t="shared" si="68"/>
        <v>196</v>
      </c>
      <c r="C253" s="11">
        <f t="shared" si="69"/>
        <v>141</v>
      </c>
      <c r="D253" t="str">
        <f t="shared" si="70"/>
        <v>calibrationStatusRegisters</v>
      </c>
      <c r="E253" s="10" t="str">
        <f>regList!J55</f>
        <v>ZPCalibrationQLSB</v>
      </c>
      <c r="F253" s="11" t="str">
        <f>regList!I55</f>
        <v>F3</v>
      </c>
      <c r="J253" s="11" t="str">
        <f t="shared" si="71"/>
        <v/>
      </c>
    </row>
    <row r="254" spans="1:10" x14ac:dyDescent="0.25">
      <c r="A254" s="11">
        <f t="shared" si="67"/>
        <v>13</v>
      </c>
      <c r="B254" s="11">
        <f t="shared" si="68"/>
        <v>197</v>
      </c>
      <c r="C254" s="11">
        <f t="shared" si="69"/>
        <v>141</v>
      </c>
      <c r="D254" t="str">
        <f t="shared" si="70"/>
        <v>calibrationStatusRegisters</v>
      </c>
      <c r="E254" s="10" t="str">
        <f>regList!J56</f>
        <v>ZeroPhaseMSB</v>
      </c>
      <c r="F254" s="11" t="str">
        <f>regList!I56</f>
        <v>F4</v>
      </c>
      <c r="J254" s="11" t="str">
        <f t="shared" si="71"/>
        <v/>
      </c>
    </row>
    <row r="255" spans="1:10" x14ac:dyDescent="0.25">
      <c r="A255" s="11">
        <f t="shared" si="67"/>
        <v>13</v>
      </c>
      <c r="B255" s="11">
        <f t="shared" si="68"/>
        <v>198</v>
      </c>
      <c r="C255" s="11">
        <f t="shared" si="69"/>
        <v>141</v>
      </c>
      <c r="D255" t="str">
        <f t="shared" si="70"/>
        <v>calibrationStatusRegisters</v>
      </c>
      <c r="E255" s="10" t="str">
        <f>regList!J57</f>
        <v>ZeroPhaseLSB</v>
      </c>
      <c r="F255" s="11" t="str">
        <f>regList!I57</f>
        <v>F5</v>
      </c>
      <c r="J255" s="11" t="str">
        <f t="shared" si="71"/>
        <v/>
      </c>
    </row>
    <row r="256" spans="1:10" x14ac:dyDescent="0.25">
      <c r="A256" s="11">
        <f t="shared" si="67"/>
        <v>13</v>
      </c>
      <c r="B256" s="11">
        <f t="shared" si="68"/>
        <v>199</v>
      </c>
      <c r="C256" s="11">
        <f t="shared" si="69"/>
        <v>141</v>
      </c>
      <c r="D256" t="str">
        <f t="shared" si="70"/>
        <v>calibrationStatusRegisters</v>
      </c>
      <c r="E256" s="10" t="str">
        <f>regList!J58</f>
        <v>ZPMagnitudeExp</v>
      </c>
      <c r="F256" s="11" t="str">
        <f>regList!I58</f>
        <v>F6</v>
      </c>
      <c r="J256" s="11" t="str">
        <f t="shared" si="71"/>
        <v/>
      </c>
    </row>
    <row r="257" spans="1:10" x14ac:dyDescent="0.25">
      <c r="A257" s="11">
        <f t="shared" si="67"/>
        <v>13</v>
      </c>
      <c r="B257" s="11">
        <f t="shared" si="68"/>
        <v>200</v>
      </c>
      <c r="C257" s="11">
        <f t="shared" si="69"/>
        <v>141</v>
      </c>
      <c r="D257" t="str">
        <f t="shared" si="70"/>
        <v>calibrationStatusRegisters</v>
      </c>
      <c r="E257" s="10" t="str">
        <f>regList!J59</f>
        <v>ZPMagnitudeMSB</v>
      </c>
      <c r="F257" s="11" t="str">
        <f>regList!I59</f>
        <v>F7</v>
      </c>
      <c r="J257" s="11" t="str">
        <f t="shared" si="71"/>
        <v/>
      </c>
    </row>
    <row r="258" spans="1:10" x14ac:dyDescent="0.25">
      <c r="A258" s="11">
        <f t="shared" si="67"/>
        <v>13</v>
      </c>
      <c r="B258" s="11">
        <f t="shared" si="68"/>
        <v>201</v>
      </c>
      <c r="C258" s="11">
        <f t="shared" si="69"/>
        <v>141</v>
      </c>
      <c r="D258" t="str">
        <f t="shared" si="70"/>
        <v>calibrationStatusRegisters</v>
      </c>
      <c r="E258" s="10" t="str">
        <f>regList!J60</f>
        <v>ZPMagnitudeLSB</v>
      </c>
      <c r="F258" s="11" t="str">
        <f>regList!I60</f>
        <v>F8</v>
      </c>
      <c r="J258" s="11" t="str">
        <f t="shared" si="71"/>
        <v/>
      </c>
    </row>
    <row r="259" spans="1:10" x14ac:dyDescent="0.25">
      <c r="A259" s="11">
        <f t="shared" si="67"/>
        <v>13</v>
      </c>
      <c r="B259" s="11">
        <f t="shared" si="68"/>
        <v>202</v>
      </c>
      <c r="C259" s="11">
        <f t="shared" si="69"/>
        <v>141</v>
      </c>
      <c r="D259" t="str">
        <f t="shared" si="70"/>
        <v>calibrationStatusRegisters</v>
      </c>
      <c r="E259" s="10" t="str">
        <f>regList!J61</f>
        <v>VGA1ZP</v>
      </c>
      <c r="F259" s="11" t="str">
        <f>regList!I61</f>
        <v>F9</v>
      </c>
      <c r="J259" s="11" t="str">
        <f t="shared" si="71"/>
        <v/>
      </c>
    </row>
    <row r="260" spans="1:10" x14ac:dyDescent="0.25">
      <c r="A260" s="11">
        <f t="shared" si="67"/>
        <v>13</v>
      </c>
      <c r="B260" s="11">
        <f t="shared" si="68"/>
        <v>203</v>
      </c>
      <c r="C260" s="11">
        <f t="shared" si="69"/>
        <v>141</v>
      </c>
      <c r="D260" t="str">
        <f t="shared" si="70"/>
        <v>calibrationStatusRegisters</v>
      </c>
      <c r="E260" s="10" t="str">
        <f>regList!J62</f>
        <v>VGA2ZP</v>
      </c>
      <c r="F260" s="11" t="str">
        <f>regList!I62</f>
        <v>FA</v>
      </c>
      <c r="J260" s="11" t="str">
        <f t="shared" si="71"/>
        <v/>
      </c>
    </row>
    <row r="261" spans="1:10" x14ac:dyDescent="0.25">
      <c r="A261" s="11">
        <f t="shared" ref="A261:A264" si="72">IF(D261=D260,A260,A260+1)</f>
        <v>14</v>
      </c>
      <c r="B261" s="11">
        <f t="shared" ref="B261:B264" si="73">IF(E260=E261,B260,B260+1)</f>
        <v>204</v>
      </c>
      <c r="C261" s="11">
        <f t="shared" ref="C261:C264" si="74">IF(G261&lt;&gt;"",C260+1,C260)</f>
        <v>141</v>
      </c>
      <c r="D261" t="s">
        <v>226</v>
      </c>
      <c r="E261" s="10" t="str">
        <f>regList!J63</f>
        <v>TempSensorRawMSB</v>
      </c>
      <c r="F261" s="11" t="str">
        <f>regList!I63</f>
        <v>FB</v>
      </c>
      <c r="J261" s="11" t="str">
        <f t="shared" si="71"/>
        <v/>
      </c>
    </row>
    <row r="262" spans="1:10" x14ac:dyDescent="0.25">
      <c r="A262" s="11">
        <f t="shared" si="72"/>
        <v>14</v>
      </c>
      <c r="B262" s="11">
        <f t="shared" si="73"/>
        <v>205</v>
      </c>
      <c r="C262" s="11">
        <f t="shared" si="74"/>
        <v>141</v>
      </c>
      <c r="D262" t="str">
        <f t="shared" ref="D262:D264" si="75">D261</f>
        <v>debuggingRegisters</v>
      </c>
      <c r="E262" s="10" t="str">
        <f>regList!J64</f>
        <v>TempSensorRawLSB</v>
      </c>
      <c r="F262" s="11" t="str">
        <f>regList!I64</f>
        <v>FC</v>
      </c>
      <c r="J262" s="11" t="str">
        <f t="shared" si="71"/>
        <v/>
      </c>
    </row>
    <row r="263" spans="1:10" x14ac:dyDescent="0.25">
      <c r="A263" s="11">
        <f t="shared" si="72"/>
        <v>14</v>
      </c>
      <c r="B263" s="11">
        <f t="shared" si="73"/>
        <v>206</v>
      </c>
      <c r="C263" s="11">
        <f t="shared" si="74"/>
        <v>141</v>
      </c>
      <c r="D263" t="str">
        <f t="shared" si="75"/>
        <v>debuggingRegisters</v>
      </c>
      <c r="E263" s="10" t="str">
        <f>regList!J65</f>
        <v>AGCState</v>
      </c>
      <c r="F263" s="11" t="str">
        <f>regList!I65</f>
        <v>FD</v>
      </c>
      <c r="J263" s="11" t="str">
        <f t="shared" si="71"/>
        <v/>
      </c>
    </row>
    <row r="264" spans="1:10" x14ac:dyDescent="0.25">
      <c r="A264" s="11">
        <f t="shared" si="72"/>
        <v>14</v>
      </c>
      <c r="B264" s="11">
        <f t="shared" si="73"/>
        <v>207</v>
      </c>
      <c r="C264" s="11">
        <f t="shared" si="74"/>
        <v>141</v>
      </c>
      <c r="D264" t="str">
        <f t="shared" si="75"/>
        <v>debuggingRegisters</v>
      </c>
      <c r="E264" s="10" t="str">
        <f>regList!J66</f>
        <v>AGCStateZP</v>
      </c>
      <c r="F264" s="11" t="str">
        <f>regList!I66</f>
        <v>FE</v>
      </c>
      <c r="J264" s="11" t="str">
        <f t="shared" si="71"/>
        <v/>
      </c>
    </row>
  </sheetData>
  <mergeCells count="1">
    <mergeCell ref="A1:C1"/>
  </mergeCells>
  <conditionalFormatting sqref="A3:K264">
    <cfRule type="expression" dxfId="0" priority="1">
      <formula>(_xlfn.BITAND($A3,1)=1)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25" r:id="rId4" name="cbAutoGen">
          <controlPr defaultSize="0" autoLine="0" r:id="rId5">
            <anchor moveWithCells="1">
              <from>
                <xdr:col>11</xdr:col>
                <xdr:colOff>0</xdr:colOff>
                <xdr:row>2</xdr:row>
                <xdr:rowOff>0</xdr:rowOff>
              </from>
              <to>
                <xdr:col>13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025" r:id="rId4" name="cbAutoGe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regList</vt:lpstr>
      <vt:lpstr>fields</vt:lpstr>
      <vt:lpstr>dataTable</vt:lpstr>
    </vt:vector>
  </TitlesOfParts>
  <Company>Intersil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Getchell</dc:creator>
  <cp:lastModifiedBy>Jim Getchell</cp:lastModifiedBy>
  <dcterms:created xsi:type="dcterms:W3CDTF">2015-06-17T21:21:54Z</dcterms:created>
  <dcterms:modified xsi:type="dcterms:W3CDTF">2015-06-18T22:16:40Z</dcterms:modified>
</cp:coreProperties>
</file>