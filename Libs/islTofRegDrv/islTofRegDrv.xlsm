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 builtInGroupCount="18"/>
  <externalReferences>
    <externalReference r:id="rId4"/>
  </externalReferences>
  <definedNames>
    <definedName name="expC1C2in">Sheet2!$J$25:$J$27</definedName>
    <definedName name="expC1C2out">Sheet2!$K$25:$K$27</definedName>
    <definedName name="luxPerCode">Sheet3!$D$3</definedName>
    <definedName name="mPerDeg">Sheet3!$C$2</definedName>
  </definedNames>
  <calcPr calcId="152511"/>
</workbook>
</file>

<file path=xl/calcChain.xml><?xml version="1.0" encoding="utf-8"?>
<calcChain xmlns="http://schemas.openxmlformats.org/spreadsheetml/2006/main">
  <c r="H32" i="3" l="1"/>
  <c r="H31" i="3"/>
  <c r="H30" i="3"/>
  <c r="H29" i="3"/>
  <c r="H28" i="3"/>
  <c r="H27" i="3"/>
  <c r="H26" i="3"/>
  <c r="H25" i="3"/>
  <c r="H24" i="3"/>
  <c r="H23" i="3"/>
  <c r="H22" i="3"/>
  <c r="C21" i="3"/>
  <c r="K32" i="3"/>
  <c r="J32" i="3"/>
  <c r="I32" i="3"/>
  <c r="G32" i="3"/>
  <c r="F32" i="3"/>
  <c r="E32" i="3"/>
  <c r="D32" i="3"/>
  <c r="C32" i="3"/>
  <c r="K31" i="3"/>
  <c r="J31" i="3"/>
  <c r="I31" i="3"/>
  <c r="G31" i="3"/>
  <c r="F31" i="3"/>
  <c r="E31" i="3"/>
  <c r="D31" i="3"/>
  <c r="K30" i="3"/>
  <c r="J30" i="3"/>
  <c r="I30" i="3"/>
  <c r="G30" i="3"/>
  <c r="F30" i="3"/>
  <c r="E30" i="3"/>
  <c r="D30" i="3"/>
  <c r="K29" i="3"/>
  <c r="J29" i="3"/>
  <c r="I29" i="3"/>
  <c r="G29" i="3"/>
  <c r="F29" i="3"/>
  <c r="E29" i="3"/>
  <c r="D29" i="3"/>
  <c r="K28" i="3"/>
  <c r="J28" i="3"/>
  <c r="I28" i="3"/>
  <c r="G28" i="3"/>
  <c r="F28" i="3"/>
  <c r="E28" i="3"/>
  <c r="D28" i="3"/>
  <c r="C28" i="3"/>
  <c r="K27" i="3"/>
  <c r="J27" i="3"/>
  <c r="I27" i="3"/>
  <c r="G27" i="3"/>
  <c r="F27" i="3"/>
  <c r="E27" i="3"/>
  <c r="D27" i="3"/>
  <c r="K26" i="3"/>
  <c r="J26" i="3"/>
  <c r="I26" i="3"/>
  <c r="G26" i="3"/>
  <c r="F26" i="3"/>
  <c r="E26" i="3"/>
  <c r="D26" i="3"/>
  <c r="K25" i="3"/>
  <c r="J25" i="3"/>
  <c r="I25" i="3"/>
  <c r="G25" i="3"/>
  <c r="F25" i="3"/>
  <c r="E25" i="3"/>
  <c r="D25" i="3"/>
  <c r="K24" i="3"/>
  <c r="J24" i="3"/>
  <c r="I24" i="3"/>
  <c r="G24" i="3"/>
  <c r="F24" i="3"/>
  <c r="E24" i="3"/>
  <c r="D24" i="3"/>
  <c r="C24" i="3"/>
  <c r="I23" i="3"/>
  <c r="G23" i="3"/>
  <c r="F23" i="3"/>
  <c r="E23" i="3"/>
  <c r="D23" i="3"/>
  <c r="J22" i="3"/>
  <c r="I22" i="3"/>
  <c r="G22" i="3"/>
  <c r="F22" i="3"/>
  <c r="E22" i="3"/>
  <c r="D22" i="3"/>
  <c r="C22" i="3"/>
  <c r="D14" i="3"/>
  <c r="D13" i="3"/>
  <c r="C31" i="3" s="1"/>
  <c r="D12" i="3"/>
  <c r="C30" i="3" s="1"/>
  <c r="D11" i="3"/>
  <c r="C29" i="3" s="1"/>
  <c r="D10" i="3"/>
  <c r="D9" i="3"/>
  <c r="C27" i="3" s="1"/>
  <c r="D8" i="3"/>
  <c r="C26" i="3" s="1"/>
  <c r="D7" i="3"/>
  <c r="C25" i="3" s="1"/>
  <c r="D6" i="3"/>
  <c r="D5" i="3"/>
  <c r="C23" i="3" s="1"/>
  <c r="D4" i="3"/>
  <c r="D3" i="3"/>
  <c r="S15" i="3" a="1"/>
  <c r="P15" i="3" a="1"/>
  <c r="M15" i="3" a="1"/>
  <c r="M15" i="3" s="1"/>
  <c r="N15" i="3" a="1"/>
  <c r="T15" i="3" a="1"/>
  <c r="Q15" i="3" a="1"/>
  <c r="S14" i="3"/>
  <c r="T14" i="3" s="1"/>
  <c r="S13" i="3"/>
  <c r="T13" i="3" s="1"/>
  <c r="S12" i="3"/>
  <c r="T12" i="3" s="1"/>
  <c r="S11" i="3"/>
  <c r="T11" i="3" s="1"/>
  <c r="S10" i="3"/>
  <c r="T10" i="3" s="1"/>
  <c r="S9" i="3"/>
  <c r="T9" i="3" s="1"/>
  <c r="S8" i="3"/>
  <c r="T8" i="3" s="1"/>
  <c r="S7" i="3"/>
  <c r="T7" i="3" s="1"/>
  <c r="S6" i="3"/>
  <c r="T6" i="3" s="1"/>
  <c r="S5" i="3"/>
  <c r="T5" i="3" s="1"/>
  <c r="S4" i="3"/>
  <c r="T4" i="3" s="1"/>
  <c r="T3" i="3"/>
  <c r="S3" i="3"/>
  <c r="R3" i="3"/>
  <c r="Q3" i="3"/>
  <c r="P3" i="3"/>
  <c r="O3" i="3"/>
  <c r="J18" i="3"/>
  <c r="J17" i="3"/>
  <c r="I17" i="3"/>
  <c r="O15" i="3"/>
  <c r="L15" i="3"/>
  <c r="P14" i="3"/>
  <c r="Q14" i="3" s="1"/>
  <c r="P13" i="3"/>
  <c r="Q13" i="3" s="1"/>
  <c r="P12" i="3"/>
  <c r="Q12" i="3" s="1"/>
  <c r="P11" i="3"/>
  <c r="Q11" i="3" s="1"/>
  <c r="P10" i="3"/>
  <c r="Q10" i="3" s="1"/>
  <c r="P9" i="3"/>
  <c r="Q9" i="3" s="1"/>
  <c r="P8" i="3"/>
  <c r="Q8" i="3" s="1"/>
  <c r="P7" i="3"/>
  <c r="Q7" i="3" s="1"/>
  <c r="P6" i="3"/>
  <c r="Q6" i="3" s="1"/>
  <c r="P5" i="3"/>
  <c r="Q5" i="3" s="1"/>
  <c r="P4" i="3"/>
  <c r="Q4" i="3" s="1"/>
  <c r="Q2" i="3"/>
  <c r="N14" i="3"/>
  <c r="N13" i="3"/>
  <c r="N12" i="3"/>
  <c r="N11" i="3"/>
  <c r="N10" i="3"/>
  <c r="N9" i="3"/>
  <c r="N8" i="3"/>
  <c r="N7" i="3"/>
  <c r="N6" i="3"/>
  <c r="N5" i="3"/>
  <c r="N4" i="3"/>
  <c r="C2" i="3"/>
  <c r="C1" i="3"/>
  <c r="I14" i="3"/>
  <c r="H14" i="3"/>
  <c r="I13" i="3"/>
  <c r="H13" i="3"/>
  <c r="J13" i="3" s="1"/>
  <c r="K13" i="3" s="1"/>
  <c r="I12" i="3"/>
  <c r="H12" i="3"/>
  <c r="I11" i="3"/>
  <c r="H11" i="3"/>
  <c r="J11" i="3" s="1"/>
  <c r="K11" i="3" s="1"/>
  <c r="I10" i="3"/>
  <c r="H10" i="3"/>
  <c r="I9" i="3"/>
  <c r="H9" i="3"/>
  <c r="J9" i="3" s="1"/>
  <c r="K9" i="3" s="1"/>
  <c r="I8" i="3"/>
  <c r="H8" i="3"/>
  <c r="I7" i="3"/>
  <c r="H7" i="3"/>
  <c r="J7" i="3" s="1"/>
  <c r="K7" i="3" s="1"/>
  <c r="I6" i="3"/>
  <c r="H6" i="3"/>
  <c r="I5" i="3"/>
  <c r="H5" i="3"/>
  <c r="J5" i="3" s="1"/>
  <c r="K5" i="3" s="1"/>
  <c r="I4" i="3"/>
  <c r="H4" i="3"/>
  <c r="J4" i="3" s="1"/>
  <c r="K4" i="3" s="1"/>
  <c r="G19" i="3"/>
  <c r="F19" i="3"/>
  <c r="M14" i="3"/>
  <c r="M13" i="3"/>
  <c r="M12" i="3"/>
  <c r="M11" i="3"/>
  <c r="M10" i="3"/>
  <c r="M9" i="3"/>
  <c r="M8" i="3"/>
  <c r="M7" i="3"/>
  <c r="M6" i="3"/>
  <c r="M5" i="3"/>
  <c r="M4" i="3"/>
  <c r="J14" i="3"/>
  <c r="K14" i="3" s="1"/>
  <c r="J12" i="3"/>
  <c r="K12" i="3" s="1"/>
  <c r="J10" i="3"/>
  <c r="K10" i="3" s="1"/>
  <c r="J8" i="3"/>
  <c r="K8" i="3" s="1"/>
  <c r="J6" i="3"/>
  <c r="K6" i="3" s="1"/>
  <c r="G18" i="3"/>
  <c r="F18" i="3"/>
  <c r="E18" i="3"/>
  <c r="E17" i="3"/>
  <c r="G17" i="3" s="1"/>
  <c r="E16" i="3" a="1"/>
  <c r="E16" i="3"/>
  <c r="G16" i="3"/>
  <c r="F16" i="3"/>
  <c r="F15" i="3" a="1"/>
  <c r="F15" i="3" s="1"/>
  <c r="G15" i="3"/>
  <c r="G9" i="3"/>
  <c r="G11" i="3"/>
  <c r="G10" i="3"/>
  <c r="G12" i="3"/>
  <c r="G13" i="3"/>
  <c r="G14" i="3"/>
  <c r="G8" i="3"/>
  <c r="G7" i="3"/>
  <c r="G6" i="3"/>
  <c r="G5" i="3"/>
  <c r="G4" i="3"/>
  <c r="B4" i="1"/>
  <c r="B3" i="1"/>
  <c r="J23" i="3" l="1"/>
  <c r="K22" i="3"/>
  <c r="K23" i="3"/>
  <c r="P15" i="3"/>
  <c r="S15" i="3"/>
  <c r="Q15" i="3"/>
  <c r="N15" i="3"/>
  <c r="T15" i="3"/>
  <c r="F17" i="3"/>
  <c r="L27" i="2"/>
  <c r="L26" i="2"/>
  <c r="M24" i="2" l="1"/>
  <c r="D24" i="2"/>
  <c r="M23" i="2"/>
  <c r="D23" i="2"/>
  <c r="D22" i="2"/>
  <c r="D21" i="2"/>
  <c r="B20" i="2"/>
  <c r="F18" i="2"/>
  <c r="E18" i="2"/>
  <c r="C18" i="2"/>
  <c r="C24" i="2" s="1"/>
  <c r="F17" i="2"/>
  <c r="E17" i="2"/>
  <c r="C17" i="2"/>
  <c r="B17" i="2"/>
  <c r="F16" i="2"/>
  <c r="E16" i="2"/>
  <c r="C16" i="2"/>
  <c r="B16" i="2"/>
  <c r="F15" i="2"/>
  <c r="E15" i="2"/>
  <c r="C15" i="2"/>
  <c r="C23" i="2" s="1"/>
  <c r="E14" i="2"/>
  <c r="C14" i="2"/>
  <c r="C22" i="2" s="1"/>
  <c r="F13" i="2"/>
  <c r="E13" i="2"/>
  <c r="C13" i="2"/>
  <c r="C21" i="2" s="1"/>
  <c r="F12" i="2"/>
  <c r="E12" i="2"/>
  <c r="C12" i="2"/>
  <c r="B12" i="2"/>
  <c r="G9" i="2"/>
  <c r="G18" i="2" s="1"/>
  <c r="E9" i="2"/>
  <c r="G8" i="2"/>
  <c r="H8" i="2" s="1"/>
  <c r="H17" i="2" s="1"/>
  <c r="E8" i="2"/>
  <c r="G7" i="2"/>
  <c r="H7" i="2" s="1"/>
  <c r="H16" i="2" s="1"/>
  <c r="E7" i="2"/>
  <c r="O6" i="2"/>
  <c r="G6" i="2"/>
  <c r="G15" i="2" s="1"/>
  <c r="E6" i="2"/>
  <c r="O5" i="2"/>
  <c r="G5" i="2"/>
  <c r="G14" i="2" s="1"/>
  <c r="E5" i="2"/>
  <c r="O4" i="2"/>
  <c r="G4" i="2"/>
  <c r="G13" i="2" s="1"/>
  <c r="E4" i="2"/>
  <c r="B4" i="2"/>
  <c r="B13" i="2" s="1"/>
  <c r="B21" i="2" s="1"/>
  <c r="G3" i="2"/>
  <c r="G12" i="2" s="1"/>
  <c r="E3" i="2"/>
  <c r="H4" i="2" l="1"/>
  <c r="H13" i="2" s="1"/>
  <c r="H5" i="2"/>
  <c r="H14" i="2" s="1"/>
  <c r="H6" i="2"/>
  <c r="H15" i="2" s="1"/>
  <c r="H9" i="2"/>
  <c r="H18" i="2" s="1"/>
  <c r="G16" i="2"/>
  <c r="G17" i="2"/>
  <c r="H3" i="2"/>
  <c r="H12" i="2" s="1"/>
  <c r="B5" i="2"/>
  <c r="G19" i="2" l="1" a="1"/>
  <c r="G10" i="2" a="1"/>
  <c r="G10" i="2" s="1"/>
  <c r="O19" i="2" s="1"/>
  <c r="G19" i="2"/>
  <c r="H19" i="2"/>
  <c r="B14" i="2"/>
  <c r="B22" i="2" s="1"/>
  <c r="B6" i="2"/>
  <c r="H10" i="2" l="1"/>
  <c r="I9" i="2" s="1"/>
  <c r="I6" i="2"/>
  <c r="I4" i="2"/>
  <c r="I8" i="2"/>
  <c r="I3" i="2"/>
  <c r="B9" i="2"/>
  <c r="B18" i="2" s="1"/>
  <c r="B24" i="2" s="1"/>
  <c r="B15" i="2"/>
  <c r="B23" i="2" s="1"/>
  <c r="I13" i="2"/>
  <c r="I12" i="2"/>
  <c r="I18" i="2"/>
  <c r="I17" i="2"/>
  <c r="I16" i="2"/>
  <c r="I15" i="2"/>
  <c r="I14" i="2"/>
  <c r="I7" i="2" l="1"/>
  <c r="N19" i="2"/>
  <c r="I5" i="2"/>
  <c r="M19" i="2"/>
  <c r="J25" i="2" s="1"/>
  <c r="N20" i="2"/>
  <c r="N21" i="2" l="1"/>
  <c r="N26" i="2"/>
  <c r="N27" i="2" s="1"/>
  <c r="M20" i="2"/>
  <c r="O20" i="2"/>
  <c r="J17" i="2" l="1"/>
  <c r="P20" i="2"/>
  <c r="O26" i="2"/>
  <c r="O27" i="2" s="1"/>
  <c r="Q20" i="2"/>
  <c r="O21" i="2"/>
  <c r="J12" i="2"/>
  <c r="J14" i="2"/>
  <c r="J16" i="2"/>
  <c r="J18" i="2"/>
  <c r="J13" i="2"/>
  <c r="J15" i="2"/>
  <c r="N23" i="2"/>
  <c r="N24" i="2" s="1"/>
  <c r="P24" i="2" s="1"/>
  <c r="N22" i="2"/>
  <c r="P22" i="2" s="1"/>
  <c r="O23" i="2" l="1"/>
  <c r="O24" i="2" s="1"/>
  <c r="Q24" i="2" s="1"/>
  <c r="O22" i="2"/>
  <c r="Q22" i="2" s="1"/>
</calcChain>
</file>

<file path=xl/sharedStrings.xml><?xml version="1.0" encoding="utf-8"?>
<sst xmlns="http://schemas.openxmlformats.org/spreadsheetml/2006/main" count="48" uniqueCount="41">
  <si>
    <t>DLL</t>
  </si>
  <si>
    <t>Ax</t>
  </si>
  <si>
    <t>Phase</t>
  </si>
  <si>
    <t>FW0</t>
  </si>
  <si>
    <t>FW1</t>
  </si>
  <si>
    <t>Error</t>
  </si>
  <si>
    <t>Polarity</t>
  </si>
  <si>
    <t>ambient</t>
  </si>
  <si>
    <t>Scaled</t>
  </si>
  <si>
    <r>
      <t>ambient</t>
    </r>
    <r>
      <rPr>
        <vertAlign val="superscript"/>
        <sz val="11"/>
        <color theme="1"/>
        <rFont val="Calibri"/>
        <family val="2"/>
        <scheme val="minor"/>
      </rPr>
      <t>2</t>
    </r>
  </si>
  <si>
    <t>Distance</t>
  </si>
  <si>
    <t>Exp</t>
  </si>
  <si>
    <t>C1</t>
  </si>
  <si>
    <t>C2</t>
  </si>
  <si>
    <t>Loaded</t>
  </si>
  <si>
    <t>signed</t>
  </si>
  <si>
    <t>unsigned</t>
  </si>
  <si>
    <t>csm</t>
  </si>
  <si>
    <t>Pre Shift</t>
  </si>
  <si>
    <t>θ</t>
  </si>
  <si>
    <t>Ambient</t>
  </si>
  <si>
    <r>
      <t>Ambient</t>
    </r>
    <r>
      <rPr>
        <vertAlign val="superscript"/>
        <sz val="10"/>
        <color theme="1"/>
        <rFont val="Calibri"/>
        <family val="2"/>
        <scheme val="minor"/>
      </rPr>
      <t>2</t>
    </r>
  </si>
  <si>
    <t>Σ</t>
  </si>
  <si>
    <t>Δ</t>
  </si>
  <si>
    <t>Codes</t>
  </si>
  <si>
    <t>Degs</t>
  </si>
  <si>
    <t>cm</t>
  </si>
  <si>
    <t>Actual Error</t>
  </si>
  <si>
    <t>Theoretical 2nd Order (quantized)</t>
  </si>
  <si>
    <t>RF</t>
  </si>
  <si>
    <t>m/deg</t>
  </si>
  <si>
    <t>Error w/exp=</t>
  </si>
  <si>
    <t>Lux/code</t>
  </si>
  <si>
    <t>Lux</t>
  </si>
  <si>
    <t>Original</t>
  </si>
  <si>
    <t>C1+C2</t>
  </si>
  <si>
    <t>{2,94,-48}</t>
  </si>
  <si>
    <t>{3,94,-48}</t>
  </si>
  <si>
    <t>{2,127,-65}</t>
  </si>
  <si>
    <t>Theory</t>
  </si>
  <si>
    <t>Adjusted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</si>
</sst>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vertAlign val="superscript"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1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Error vs. Ambient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3006014873140856"/>
          <c:h val="0.69273877223680369"/>
        </c:manualLayout>
      </c:layout>
      <c:scatterChart>
        <c:scatterStyle val="lineMarker"/>
        <c:varyColors val="0"/>
        <c:ser>
          <c:idx val="1"/>
          <c:order val="1"/>
          <c:tx>
            <c:strRef>
              <c:f>[1]Sheet1!$B$11</c:f>
              <c:strCache>
                <c:ptCount val="1"/>
                <c:pt idx="0">
                  <c:v>Distance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[1]Sheet1!$F$3:$F$9</c:f>
              <c:numCache>
                <c:formatCode>General</c:formatCode>
                <c:ptCount val="7"/>
                <c:pt idx="0">
                  <c:v>3</c:v>
                </c:pt>
                <c:pt idx="1">
                  <c:v>6</c:v>
                </c:pt>
                <c:pt idx="2">
                  <c:v>19.600000000000001</c:v>
                </c:pt>
                <c:pt idx="3">
                  <c:v>42</c:v>
                </c:pt>
                <c:pt idx="4">
                  <c:v>85</c:v>
                </c:pt>
                <c:pt idx="5">
                  <c:v>112</c:v>
                </c:pt>
                <c:pt idx="6">
                  <c:v>148</c:v>
                </c:pt>
              </c:numCache>
            </c:numRef>
          </c:xVal>
          <c:yVal>
            <c:numRef>
              <c:f>[1]Sheet1!$D$12:$D$18</c:f>
              <c:numCache>
                <c:formatCode>General</c:formatCode>
                <c:ptCount val="7"/>
                <c:pt idx="0">
                  <c:v>0</c:v>
                </c:pt>
                <c:pt idx="1">
                  <c:v>10.7</c:v>
                </c:pt>
                <c:pt idx="2">
                  <c:v>130</c:v>
                </c:pt>
                <c:pt idx="3">
                  <c:v>143.19999999999999</c:v>
                </c:pt>
                <c:pt idx="4">
                  <c:v>223.8</c:v>
                </c:pt>
                <c:pt idx="5">
                  <c:v>233.3</c:v>
                </c:pt>
                <c:pt idx="6">
                  <c:v>267.2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347632"/>
        <c:axId val="399348024"/>
      </c:scatterChart>
      <c:scatterChart>
        <c:scatterStyle val="lineMarker"/>
        <c:varyColors val="0"/>
        <c:ser>
          <c:idx val="0"/>
          <c:order val="0"/>
          <c:tx>
            <c:strRef>
              <c:f>[1]Sheet1!$B$1</c:f>
              <c:strCache>
                <c:ptCount val="1"/>
                <c:pt idx="0">
                  <c:v>Phase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intercept val="0"/>
            <c:dispRSqr val="0"/>
            <c:dispEq val="1"/>
            <c:trendlineLbl>
              <c:layout>
                <c:manualLayout>
                  <c:x val="-0.21001990376202975"/>
                  <c:y val="-3.798483522892971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[1]Sheet1!$F$3:$F$9</c:f>
              <c:numCache>
                <c:formatCode>General</c:formatCode>
                <c:ptCount val="7"/>
                <c:pt idx="0">
                  <c:v>3</c:v>
                </c:pt>
                <c:pt idx="1">
                  <c:v>6</c:v>
                </c:pt>
                <c:pt idx="2">
                  <c:v>19.600000000000001</c:v>
                </c:pt>
                <c:pt idx="3">
                  <c:v>42</c:v>
                </c:pt>
                <c:pt idx="4">
                  <c:v>85</c:v>
                </c:pt>
                <c:pt idx="5">
                  <c:v>112</c:v>
                </c:pt>
                <c:pt idx="6">
                  <c:v>148</c:v>
                </c:pt>
              </c:numCache>
            </c:numRef>
          </c:xVal>
          <c:yVal>
            <c:numRef>
              <c:f>[1]Sheet1!$D$3:$D$9</c:f>
              <c:numCache>
                <c:formatCode>General</c:formatCode>
                <c:ptCount val="7"/>
                <c:pt idx="0">
                  <c:v>0</c:v>
                </c:pt>
                <c:pt idx="1">
                  <c:v>7.0000000000000007E-2</c:v>
                </c:pt>
                <c:pt idx="2">
                  <c:v>0.54</c:v>
                </c:pt>
                <c:pt idx="3">
                  <c:v>0.78</c:v>
                </c:pt>
                <c:pt idx="4">
                  <c:v>1.2</c:v>
                </c:pt>
                <c:pt idx="5">
                  <c:v>1.24</c:v>
                </c:pt>
                <c:pt idx="6">
                  <c:v>1.41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340576"/>
        <c:axId val="399352336"/>
      </c:scatterChart>
      <c:valAx>
        <c:axId val="39934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[1]Sheet1!$F$2</c:f>
              <c:strCache>
                <c:ptCount val="1"/>
                <c:pt idx="0">
                  <c:v>ambient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48024"/>
        <c:crosses val="autoZero"/>
        <c:crossBetween val="midCat"/>
      </c:valAx>
      <c:valAx>
        <c:axId val="39934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Codes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47632"/>
        <c:crosses val="autoZero"/>
        <c:crossBetween val="midCat"/>
      </c:valAx>
      <c:valAx>
        <c:axId val="3993523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in Degrees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40576"/>
        <c:crosses val="max"/>
        <c:crossBetween val="midCat"/>
      </c:valAx>
      <c:valAx>
        <c:axId val="399340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935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8697200349956258"/>
          <c:y val="0.53761519393409163"/>
          <c:w val="0.1982782152230971"/>
          <c:h val="0.2031255468066491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 Correction Error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Sheet3!$D$21</c:f>
              <c:strCache>
                <c:ptCount val="1"/>
                <c:pt idx="0">
                  <c:v>Original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intercept val="0"/>
            <c:dispRSqr val="0"/>
            <c:dispEq val="1"/>
            <c:trendlineLbl>
              <c:layout>
                <c:manualLayout>
                  <c:x val="3.7452920161863551E-2"/>
                  <c:y val="-4.743628507971400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Sheet3!$C$22:$C$32</c:f>
              <c:numCache>
                <c:formatCode>0</c:formatCode>
                <c:ptCount val="11"/>
                <c:pt idx="0">
                  <c:v>57.5</c:v>
                </c:pt>
                <c:pt idx="1">
                  <c:v>86.25</c:v>
                </c:pt>
                <c:pt idx="2">
                  <c:v>143.75</c:v>
                </c:pt>
                <c:pt idx="3">
                  <c:v>546.25</c:v>
                </c:pt>
                <c:pt idx="4">
                  <c:v>1178.75</c:v>
                </c:pt>
                <c:pt idx="5">
                  <c:v>1437.5</c:v>
                </c:pt>
                <c:pt idx="6">
                  <c:v>1696.25</c:v>
                </c:pt>
                <c:pt idx="7">
                  <c:v>1857.2499999999998</c:v>
                </c:pt>
                <c:pt idx="8">
                  <c:v>2415</c:v>
                </c:pt>
                <c:pt idx="9">
                  <c:v>3191.25</c:v>
                </c:pt>
                <c:pt idx="10">
                  <c:v>4226.25</c:v>
                </c:pt>
              </c:numCache>
            </c:numRef>
          </c:xVal>
          <c:yVal>
            <c:numRef>
              <c:f>Sheet3!$D$22:$D$32</c:f>
              <c:numCache>
                <c:formatCode>0.00</c:formatCode>
                <c:ptCount val="11"/>
                <c:pt idx="0">
                  <c:v>0</c:v>
                </c:pt>
                <c:pt idx="1">
                  <c:v>-0.04</c:v>
                </c:pt>
                <c:pt idx="2">
                  <c:v>0.05</c:v>
                </c:pt>
                <c:pt idx="3">
                  <c:v>0.56999999999999995</c:v>
                </c:pt>
                <c:pt idx="4">
                  <c:v>0.86</c:v>
                </c:pt>
                <c:pt idx="5">
                  <c:v>0.91</c:v>
                </c:pt>
                <c:pt idx="6">
                  <c:v>1.23</c:v>
                </c:pt>
                <c:pt idx="7">
                  <c:v>1</c:v>
                </c:pt>
                <c:pt idx="8">
                  <c:v>1.29</c:v>
                </c:pt>
                <c:pt idx="9">
                  <c:v>1.34</c:v>
                </c:pt>
                <c:pt idx="10">
                  <c:v>1.53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Sheet3!$E$21</c:f>
              <c:strCache>
                <c:ptCount val="1"/>
                <c:pt idx="0">
                  <c:v>C1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Sheet3!$C$22:$C$32</c:f>
              <c:numCache>
                <c:formatCode>0</c:formatCode>
                <c:ptCount val="11"/>
                <c:pt idx="0">
                  <c:v>57.5</c:v>
                </c:pt>
                <c:pt idx="1">
                  <c:v>86.25</c:v>
                </c:pt>
                <c:pt idx="2">
                  <c:v>143.75</c:v>
                </c:pt>
                <c:pt idx="3">
                  <c:v>546.25</c:v>
                </c:pt>
                <c:pt idx="4">
                  <c:v>1178.75</c:v>
                </c:pt>
                <c:pt idx="5">
                  <c:v>1437.5</c:v>
                </c:pt>
                <c:pt idx="6">
                  <c:v>1696.25</c:v>
                </c:pt>
                <c:pt idx="7">
                  <c:v>1857.2499999999998</c:v>
                </c:pt>
                <c:pt idx="8">
                  <c:v>2415</c:v>
                </c:pt>
                <c:pt idx="9">
                  <c:v>3191.25</c:v>
                </c:pt>
                <c:pt idx="10">
                  <c:v>4226.25</c:v>
                </c:pt>
              </c:numCache>
            </c:numRef>
          </c:xVal>
          <c:yVal>
            <c:numRef>
              <c:f>Sheet3!$E$22:$E$32</c:f>
              <c:numCache>
                <c:formatCode>0.00</c:formatCode>
                <c:ptCount val="11"/>
                <c:pt idx="0">
                  <c:v>4.625984251968504E-2</c:v>
                </c:pt>
                <c:pt idx="1">
                  <c:v>6.9389763779527561E-2</c:v>
                </c:pt>
                <c:pt idx="2">
                  <c:v>0.1156496062992126</c:v>
                </c:pt>
                <c:pt idx="3">
                  <c:v>0.43946850393700787</c:v>
                </c:pt>
                <c:pt idx="4">
                  <c:v>0.94832677165354329</c:v>
                </c:pt>
                <c:pt idx="5">
                  <c:v>1.1564960629921259</c:v>
                </c:pt>
                <c:pt idx="6">
                  <c:v>1.3646653543307088</c:v>
                </c:pt>
                <c:pt idx="7">
                  <c:v>1.4941929133858267</c:v>
                </c:pt>
                <c:pt idx="8">
                  <c:v>1.9429133858267718</c:v>
                </c:pt>
                <c:pt idx="9">
                  <c:v>2.5674212598425199</c:v>
                </c:pt>
                <c:pt idx="10">
                  <c:v>3.4000984251968505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Sheet3!$F$21</c:f>
              <c:strCache>
                <c:ptCount val="1"/>
                <c:pt idx="0">
                  <c:v>C2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Sheet3!$C$22:$C$32</c:f>
              <c:numCache>
                <c:formatCode>0</c:formatCode>
                <c:ptCount val="11"/>
                <c:pt idx="0">
                  <c:v>57.5</c:v>
                </c:pt>
                <c:pt idx="1">
                  <c:v>86.25</c:v>
                </c:pt>
                <c:pt idx="2">
                  <c:v>143.75</c:v>
                </c:pt>
                <c:pt idx="3">
                  <c:v>546.25</c:v>
                </c:pt>
                <c:pt idx="4">
                  <c:v>1178.75</c:v>
                </c:pt>
                <c:pt idx="5">
                  <c:v>1437.5</c:v>
                </c:pt>
                <c:pt idx="6">
                  <c:v>1696.25</c:v>
                </c:pt>
                <c:pt idx="7">
                  <c:v>1857.2499999999998</c:v>
                </c:pt>
                <c:pt idx="8">
                  <c:v>2415</c:v>
                </c:pt>
                <c:pt idx="9">
                  <c:v>3191.25</c:v>
                </c:pt>
                <c:pt idx="10">
                  <c:v>4226.25</c:v>
                </c:pt>
              </c:numCache>
            </c:numRef>
          </c:xVal>
          <c:yVal>
            <c:numRef>
              <c:f>Sheet3!$F$22:$F$32</c:f>
              <c:numCache>
                <c:formatCode>0.00</c:formatCode>
                <c:ptCount val="11"/>
                <c:pt idx="0">
                  <c:v>-3.6909448818897637E-4</c:v>
                </c:pt>
                <c:pt idx="1">
                  <c:v>-8.3046259842519689E-4</c:v>
                </c:pt>
                <c:pt idx="2">
                  <c:v>-2.3068405511811022E-3</c:v>
                </c:pt>
                <c:pt idx="3">
                  <c:v>-3.3310777559055114E-2</c:v>
                </c:pt>
                <c:pt idx="4">
                  <c:v>-0.15511195866141733</c:v>
                </c:pt>
                <c:pt idx="5">
                  <c:v>-0.23068405511811024</c:v>
                </c:pt>
                <c:pt idx="6">
                  <c:v>-0.32120447834645671</c:v>
                </c:pt>
                <c:pt idx="7">
                  <c:v>-0.38507258858267707</c:v>
                </c:pt>
                <c:pt idx="8">
                  <c:v>-0.65108267716535428</c:v>
                </c:pt>
                <c:pt idx="9">
                  <c:v>-1.1369032972440944</c:v>
                </c:pt>
                <c:pt idx="10">
                  <c:v>-1.9939406988188977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Sheet3!$G$21</c:f>
              <c:strCache>
                <c:ptCount val="1"/>
                <c:pt idx="0">
                  <c:v>C1+C2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Sheet3!$C$22:$C$32</c:f>
              <c:numCache>
                <c:formatCode>0</c:formatCode>
                <c:ptCount val="11"/>
                <c:pt idx="0">
                  <c:v>57.5</c:v>
                </c:pt>
                <c:pt idx="1">
                  <c:v>86.25</c:v>
                </c:pt>
                <c:pt idx="2">
                  <c:v>143.75</c:v>
                </c:pt>
                <c:pt idx="3">
                  <c:v>546.25</c:v>
                </c:pt>
                <c:pt idx="4">
                  <c:v>1178.75</c:v>
                </c:pt>
                <c:pt idx="5">
                  <c:v>1437.5</c:v>
                </c:pt>
                <c:pt idx="6">
                  <c:v>1696.25</c:v>
                </c:pt>
                <c:pt idx="7">
                  <c:v>1857.2499999999998</c:v>
                </c:pt>
                <c:pt idx="8">
                  <c:v>2415</c:v>
                </c:pt>
                <c:pt idx="9">
                  <c:v>3191.25</c:v>
                </c:pt>
                <c:pt idx="10">
                  <c:v>4226.25</c:v>
                </c:pt>
              </c:numCache>
            </c:numRef>
          </c:xVal>
          <c:yVal>
            <c:numRef>
              <c:f>Sheet3!$G$22:$G$32</c:f>
              <c:numCache>
                <c:formatCode>0.00</c:formatCode>
                <c:ptCount val="11"/>
                <c:pt idx="0">
                  <c:v>4.5890748031496065E-2</c:v>
                </c:pt>
                <c:pt idx="1">
                  <c:v>6.8559301181102358E-2</c:v>
                </c:pt>
                <c:pt idx="2">
                  <c:v>0.1133427657480315</c:v>
                </c:pt>
                <c:pt idx="3">
                  <c:v>0.40615772637795278</c:v>
                </c:pt>
                <c:pt idx="4">
                  <c:v>0.79321481299212593</c:v>
                </c:pt>
                <c:pt idx="5">
                  <c:v>0.92581200787401574</c:v>
                </c:pt>
                <c:pt idx="6">
                  <c:v>1.0434608759842521</c:v>
                </c:pt>
                <c:pt idx="7">
                  <c:v>1.1091203248031496</c:v>
                </c:pt>
                <c:pt idx="8">
                  <c:v>1.2918307086614176</c:v>
                </c:pt>
                <c:pt idx="9">
                  <c:v>1.4305179625984255</c:v>
                </c:pt>
                <c:pt idx="10">
                  <c:v>1.4061577263779528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345672"/>
        <c:axId val="399342928"/>
      </c:scatterChart>
      <c:valAx>
        <c:axId val="399345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Ambient lighting in Lux (3200K)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42928"/>
        <c:crosses val="autoZero"/>
        <c:crossBetween val="midCat"/>
      </c:valAx>
      <c:valAx>
        <c:axId val="39934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in Degrees (1° ≈ 9.3cm)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45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398972003499566"/>
          <c:y val="0.70171916010498692"/>
          <c:w val="0.29512139107611546"/>
          <c:h val="0.1214329250510352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Post  Correction Error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Sheet3!$H$21</c:f>
              <c:strCache>
                <c:ptCount val="1"/>
                <c:pt idx="0">
                  <c:v>Theory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Sheet3!$C$22:$C$32</c:f>
              <c:numCache>
                <c:formatCode>0</c:formatCode>
                <c:ptCount val="11"/>
                <c:pt idx="0">
                  <c:v>57.5</c:v>
                </c:pt>
                <c:pt idx="1">
                  <c:v>86.25</c:v>
                </c:pt>
                <c:pt idx="2">
                  <c:v>143.75</c:v>
                </c:pt>
                <c:pt idx="3">
                  <c:v>546.25</c:v>
                </c:pt>
                <c:pt idx="4">
                  <c:v>1178.75</c:v>
                </c:pt>
                <c:pt idx="5">
                  <c:v>1437.5</c:v>
                </c:pt>
                <c:pt idx="6">
                  <c:v>1696.25</c:v>
                </c:pt>
                <c:pt idx="7">
                  <c:v>1857.2499999999998</c:v>
                </c:pt>
                <c:pt idx="8">
                  <c:v>2415</c:v>
                </c:pt>
                <c:pt idx="9">
                  <c:v>3191.25</c:v>
                </c:pt>
                <c:pt idx="10">
                  <c:v>4226.25</c:v>
                </c:pt>
              </c:numCache>
            </c:numRef>
          </c:xVal>
          <c:yVal>
            <c:numRef>
              <c:f>Sheet3!$H$22:$H$32</c:f>
              <c:numCache>
                <c:formatCode>0.00</c:formatCode>
                <c:ptCount val="11"/>
                <c:pt idx="0">
                  <c:v>4.5890748031496065E-2</c:v>
                </c:pt>
                <c:pt idx="1">
                  <c:v>0.10855930118110235</c:v>
                </c:pt>
                <c:pt idx="2">
                  <c:v>6.3342765748031493E-2</c:v>
                </c:pt>
                <c:pt idx="3">
                  <c:v>-0.16384227362204717</c:v>
                </c:pt>
                <c:pt idx="4">
                  <c:v>-6.6785187007874058E-2</c:v>
                </c:pt>
                <c:pt idx="5">
                  <c:v>1.581200787401571E-2</c:v>
                </c:pt>
                <c:pt idx="6">
                  <c:v>-0.1865391240157479</c:v>
                </c:pt>
                <c:pt idx="7">
                  <c:v>0.10912032480314959</c:v>
                </c:pt>
                <c:pt idx="8">
                  <c:v>1.8307086614175461E-3</c:v>
                </c:pt>
                <c:pt idx="9">
                  <c:v>9.0517962598425372E-2</c:v>
                </c:pt>
                <c:pt idx="10">
                  <c:v>-0.12384227362204725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Sheet3!$I$21</c:f>
              <c:strCache>
                <c:ptCount val="1"/>
                <c:pt idx="0">
                  <c:v>{2,94,-48}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Sheet3!$C$22:$C$32</c:f>
              <c:numCache>
                <c:formatCode>0</c:formatCode>
                <c:ptCount val="11"/>
                <c:pt idx="0">
                  <c:v>57.5</c:v>
                </c:pt>
                <c:pt idx="1">
                  <c:v>86.25</c:v>
                </c:pt>
                <c:pt idx="2">
                  <c:v>143.75</c:v>
                </c:pt>
                <c:pt idx="3">
                  <c:v>546.25</c:v>
                </c:pt>
                <c:pt idx="4">
                  <c:v>1178.75</c:v>
                </c:pt>
                <c:pt idx="5">
                  <c:v>1437.5</c:v>
                </c:pt>
                <c:pt idx="6">
                  <c:v>1696.25</c:v>
                </c:pt>
                <c:pt idx="7">
                  <c:v>1857.2499999999998</c:v>
                </c:pt>
                <c:pt idx="8">
                  <c:v>2415</c:v>
                </c:pt>
                <c:pt idx="9">
                  <c:v>3191.25</c:v>
                </c:pt>
                <c:pt idx="10">
                  <c:v>4226.25</c:v>
                </c:pt>
              </c:numCache>
            </c:numRef>
          </c:xVal>
          <c:yVal>
            <c:numRef>
              <c:f>Sheet3!$I$22:$I$32</c:f>
              <c:numCache>
                <c:formatCode>0.00</c:formatCode>
                <c:ptCount val="11"/>
                <c:pt idx="0">
                  <c:v>0</c:v>
                </c:pt>
                <c:pt idx="1">
                  <c:v>-4.504463263904783E-2</c:v>
                </c:pt>
                <c:pt idx="2">
                  <c:v>-1.6479743648432135E-3</c:v>
                </c:pt>
                <c:pt idx="3">
                  <c:v>0.31201647974364843</c:v>
                </c:pt>
                <c:pt idx="4">
                  <c:v>0.32135500114442667</c:v>
                </c:pt>
                <c:pt idx="5">
                  <c:v>0.3054245822842756</c:v>
                </c:pt>
                <c:pt idx="6">
                  <c:v>0.52625314717326621</c:v>
                </c:pt>
                <c:pt idx="7">
                  <c:v>0.26642252231631952</c:v>
                </c:pt>
                <c:pt idx="8">
                  <c:v>0.43396658274204625</c:v>
                </c:pt>
                <c:pt idx="9">
                  <c:v>0.40485236896314947</c:v>
                </c:pt>
                <c:pt idx="10">
                  <c:v>0.62677958342870221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Sheet3!$J$21</c:f>
              <c:strCache>
                <c:ptCount val="1"/>
                <c:pt idx="0">
                  <c:v>{3,94,-48}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Sheet3!$C$22:$C$32</c:f>
              <c:numCache>
                <c:formatCode>0</c:formatCode>
                <c:ptCount val="11"/>
                <c:pt idx="0">
                  <c:v>57.5</c:v>
                </c:pt>
                <c:pt idx="1">
                  <c:v>86.25</c:v>
                </c:pt>
                <c:pt idx="2">
                  <c:v>143.75</c:v>
                </c:pt>
                <c:pt idx="3">
                  <c:v>546.25</c:v>
                </c:pt>
                <c:pt idx="4">
                  <c:v>1178.75</c:v>
                </c:pt>
                <c:pt idx="5">
                  <c:v>1437.5</c:v>
                </c:pt>
                <c:pt idx="6">
                  <c:v>1696.25</c:v>
                </c:pt>
                <c:pt idx="7">
                  <c:v>1857.2499999999998</c:v>
                </c:pt>
                <c:pt idx="8">
                  <c:v>2415</c:v>
                </c:pt>
                <c:pt idx="9">
                  <c:v>3191.25</c:v>
                </c:pt>
                <c:pt idx="10">
                  <c:v>4226.25</c:v>
                </c:pt>
              </c:numCache>
            </c:numRef>
          </c:xVal>
          <c:yVal>
            <c:numRef>
              <c:f>Sheet3!$J$22:$J$32</c:f>
              <c:numCache>
                <c:formatCode>0.00</c:formatCode>
                <c:ptCount val="11"/>
                <c:pt idx="0">
                  <c:v>-2.6916914625772493E-2</c:v>
                </c:pt>
                <c:pt idx="1">
                  <c:v>-0.11261158159761959</c:v>
                </c:pt>
                <c:pt idx="2">
                  <c:v>-7.8553444724193178E-2</c:v>
                </c:pt>
                <c:pt idx="3">
                  <c:v>4.4495307850766767E-2</c:v>
                </c:pt>
                <c:pt idx="4">
                  <c:v>-0.20874341954680706</c:v>
                </c:pt>
                <c:pt idx="5">
                  <c:v>-0.34113069352254521</c:v>
                </c:pt>
                <c:pt idx="6">
                  <c:v>-0.1944609750514992</c:v>
                </c:pt>
                <c:pt idx="7">
                  <c:v>-0.48560311284046698</c:v>
                </c:pt>
                <c:pt idx="8">
                  <c:v>-0.45923552300297543</c:v>
                </c:pt>
                <c:pt idx="9">
                  <c:v>-0.57898832684824908</c:v>
                </c:pt>
                <c:pt idx="10">
                  <c:v>-0.34991989013504232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Sheet3!$K$21</c:f>
              <c:strCache>
                <c:ptCount val="1"/>
                <c:pt idx="0">
                  <c:v>{2,127,-65}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Sheet3!$C$22:$C$32</c:f>
              <c:numCache>
                <c:formatCode>0</c:formatCode>
                <c:ptCount val="11"/>
                <c:pt idx="0">
                  <c:v>57.5</c:v>
                </c:pt>
                <c:pt idx="1">
                  <c:v>86.25</c:v>
                </c:pt>
                <c:pt idx="2">
                  <c:v>143.75</c:v>
                </c:pt>
                <c:pt idx="3">
                  <c:v>546.25</c:v>
                </c:pt>
                <c:pt idx="4">
                  <c:v>1178.75</c:v>
                </c:pt>
                <c:pt idx="5">
                  <c:v>1437.5</c:v>
                </c:pt>
                <c:pt idx="6">
                  <c:v>1696.25</c:v>
                </c:pt>
                <c:pt idx="7">
                  <c:v>1857.2499999999998</c:v>
                </c:pt>
                <c:pt idx="8">
                  <c:v>2415</c:v>
                </c:pt>
                <c:pt idx="9">
                  <c:v>3191.25</c:v>
                </c:pt>
                <c:pt idx="10">
                  <c:v>4226.25</c:v>
                </c:pt>
              </c:numCache>
            </c:numRef>
          </c:xVal>
          <c:yVal>
            <c:numRef>
              <c:f>Sheet3!$K$22:$K$32</c:f>
              <c:numCache>
                <c:formatCode>0.00</c:formatCode>
                <c:ptCount val="11"/>
                <c:pt idx="0">
                  <c:v>-2.7466239414053561E-3</c:v>
                </c:pt>
                <c:pt idx="1">
                  <c:v>-7.1961547264820319E-2</c:v>
                </c:pt>
                <c:pt idx="2">
                  <c:v>-3.1860837720302126E-2</c:v>
                </c:pt>
                <c:pt idx="3">
                  <c:v>0.22082856488899064</c:v>
                </c:pt>
                <c:pt idx="4">
                  <c:v>0.14557106889448387</c:v>
                </c:pt>
                <c:pt idx="5">
                  <c:v>8.4046692607003898E-2</c:v>
                </c:pt>
                <c:pt idx="6">
                  <c:v>0.29718471046005951</c:v>
                </c:pt>
                <c:pt idx="7">
                  <c:v>3.2959487296864271E-3</c:v>
                </c:pt>
                <c:pt idx="8">
                  <c:v>0.11590753032730604</c:v>
                </c:pt>
                <c:pt idx="9">
                  <c:v>5.0537880521858543E-2</c:v>
                </c:pt>
                <c:pt idx="10">
                  <c:v>0.28729686427100021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348416"/>
        <c:axId val="399342144"/>
      </c:scatterChart>
      <c:valAx>
        <c:axId val="39934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baseline="0">
                    <a:effectLst/>
                  </a:rPr>
                  <a:t>Ambient lighting in Lux (3200K)</a:t>
                </a:r>
                <a:endParaRPr lang="en-US" sz="1000">
                  <a:effectLst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42144"/>
        <c:crosses val="autoZero"/>
        <c:crossBetween val="midCat"/>
      </c:valAx>
      <c:valAx>
        <c:axId val="3993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in Degrees (1° ≈ 9.3cm)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348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870341207349084"/>
          <c:y val="0.7517009332166813"/>
          <c:w val="0.24755424321959754"/>
          <c:h val="0.1021319785304252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601266</xdr:colOff>
      <xdr:row>25</xdr:row>
      <xdr:rowOff>3572</xdr:rowOff>
    </xdr:from>
    <xdr:to>
      <xdr:col>7</xdr:col>
      <xdr:colOff>446485</xdr:colOff>
      <xdr:row>39</xdr:row>
      <xdr:rowOff>70247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595314</xdr:colOff>
      <xdr:row>2</xdr:row>
      <xdr:rowOff>0</xdr:rowOff>
    </xdr:from>
    <xdr:to>
      <xdr:col>8</xdr:col>
      <xdr:colOff>309564</xdr:colOff>
      <xdr:row>38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</xdr:row>
      <xdr:rowOff>11906</xdr:rowOff>
    </xdr:from>
    <xdr:to>
      <xdr:col>18</xdr:col>
      <xdr:colOff>321468</xdr:colOff>
      <xdr:row>38</xdr:row>
      <xdr:rowOff>11906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0.33827</cdr:x>
      <cdr:y>0.21314</cdr:y>
    </cdr:from>
    <cdr:to>
      <cdr:x>0.50063</cdr:x>
      <cdr:y>0.24234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904999" y="1738312"/>
          <a:ext cx="914400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Linear Term</a:t>
          </a:r>
        </a:p>
      </cdr:txBody>
    </cdr:sp>
  </cdr:relSizeAnchor>
  <cdr:relSizeAnchor xmlns:cdr="http://schemas.openxmlformats.org/drawingml/2006/chartDrawing">
    <cdr:from>
      <cdr:x>0.48414</cdr:x>
      <cdr:y>0.23212</cdr:y>
    </cdr:from>
    <cdr:to>
      <cdr:x>0.60677</cdr:x>
      <cdr:y>0.28175</cdr:y>
    </cdr:to>
    <cdr:cxnSp macro="">
      <cdr:nvCxnSpPr>
        <cdr:cNvPr id="4" name="Straight Arrow Connector 3"/>
        <cdr:cNvCxnSpPr/>
      </cdr:nvCxnSpPr>
      <cdr:spPr>
        <a:xfrm xmlns:a="http://schemas.openxmlformats.org/drawingml/2006/main">
          <a:off x="2726530" y="1893093"/>
          <a:ext cx="690563" cy="404813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0.75109</cdr:x>
      <cdr:y>0.60623</cdr:y>
    </cdr:from>
    <cdr:to>
      <cdr:x>0.91346</cdr:x>
      <cdr:y>0.63543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229894" y="4944269"/>
          <a:ext cx="914400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Squared Term</a:t>
          </a:r>
        </a:p>
      </cdr:txBody>
    </cdr:sp>
  </cdr:relSizeAnchor>
  <cdr:relSizeAnchor xmlns:cdr="http://schemas.openxmlformats.org/drawingml/2006/chartDrawing">
    <cdr:from>
      <cdr:x>0.6871</cdr:x>
      <cdr:y>0.63504</cdr:y>
    </cdr:from>
    <cdr:to>
      <cdr:x>0.81184</cdr:x>
      <cdr:y>0.67299</cdr:y>
    </cdr:to>
    <cdr:cxnSp macro="">
      <cdr:nvCxnSpPr>
        <cdr:cNvPr id="7" name="Straight Arrow Connector 6"/>
        <cdr:cNvCxnSpPr/>
      </cdr:nvCxnSpPr>
      <cdr:spPr>
        <a:xfrm xmlns:a="http://schemas.openxmlformats.org/drawingml/2006/main" flipH="1">
          <a:off x="3869530" y="5179218"/>
          <a:ext cx="702469" cy="309563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0.41837</cdr:x>
      <cdr:y>0.96007</cdr:y>
    </cdr:from>
    <cdr:to>
      <cdr:x>0.97396</cdr:x>
      <cdr:y>0.99096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1912775" y="6584156"/>
          <a:ext cx="2540161" cy="2118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000"/>
            <a:t>Note: Full Scale (192) ≈ 5.5k Lux @ 3200K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0.45315</cdr:x>
      <cdr:y>0.95486</cdr:y>
    </cdr:from>
    <cdr:to>
      <cdr:x>1</cdr:x>
      <cdr:y>1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2071779" y="6548438"/>
          <a:ext cx="2500221" cy="3095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000"/>
            <a:t>Note: Full Scale (192) ≈ 5.5k Lux @ 3200K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GETCHEL\Desktop\TofAmbientCoefCal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Phase</v>
          </cell>
        </row>
        <row r="2">
          <cell r="F2" t="str">
            <v>ambient</v>
          </cell>
        </row>
        <row r="3">
          <cell r="D3">
            <v>0</v>
          </cell>
          <cell r="F3">
            <v>3</v>
          </cell>
        </row>
        <row r="4">
          <cell r="D4">
            <v>7.0000000000000007E-2</v>
          </cell>
          <cell r="F4">
            <v>6</v>
          </cell>
        </row>
        <row r="5">
          <cell r="D5">
            <v>0.54</v>
          </cell>
          <cell r="F5">
            <v>19.600000000000001</v>
          </cell>
        </row>
        <row r="6">
          <cell r="D6">
            <v>0.78</v>
          </cell>
          <cell r="F6">
            <v>42</v>
          </cell>
        </row>
        <row r="7">
          <cell r="D7">
            <v>1.2</v>
          </cell>
          <cell r="F7">
            <v>85</v>
          </cell>
        </row>
        <row r="8">
          <cell r="D8">
            <v>1.24</v>
          </cell>
          <cell r="F8">
            <v>112</v>
          </cell>
        </row>
        <row r="9">
          <cell r="D9">
            <v>1.41</v>
          </cell>
          <cell r="F9">
            <v>148</v>
          </cell>
        </row>
        <row r="11">
          <cell r="B11" t="str">
            <v>Distance</v>
          </cell>
        </row>
        <row r="12">
          <cell r="D12">
            <v>0</v>
          </cell>
        </row>
        <row r="13">
          <cell r="D13">
            <v>10.7</v>
          </cell>
        </row>
        <row r="14">
          <cell r="D14">
            <v>130</v>
          </cell>
        </row>
        <row r="15">
          <cell r="D15">
            <v>143.19999999999999</v>
          </cell>
        </row>
        <row r="16">
          <cell r="D16">
            <v>223.8</v>
          </cell>
        </row>
        <row r="17">
          <cell r="D17">
            <v>233.3</v>
          </cell>
        </row>
        <row r="18">
          <cell r="D18">
            <v>267.2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4"/>
  <sheetViews>
    <sheetView tabSelected="1" workbookViewId="0">
      <selection activeCell="B4" sqref="B4"/>
    </sheetView>
  </sheetViews>
  <sheetFormatPr defaultRowHeight="15" x14ac:dyDescent="0.25"/>
  <sheetData>
    <row r="3" spans="1:2" x14ac:dyDescent="0.25">
      <c r="A3" t="s">
        <v>0</v>
      </c>
      <c r="B3">
        <f>readByte(0)</f>
        <v>10</v>
      </c>
    </row>
    <row r="4" spans="1:2" x14ac:dyDescent="0.25">
      <c r="A4" t="s">
        <v>1</v>
      </c>
      <c r="B4">
        <f>readField(0,0,255)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Q27"/>
  <sheetViews>
    <sheetView topLeftCell="G1" workbookViewId="0">
      <selection activeCell="G1" sqref="G1"/>
    </sheetView>
  </sheetViews>
  <sheetFormatPr defaultRowHeight="15" x14ac:dyDescent="0.25"/>
  <cols>
    <col min="1" max="5" width="9.140625" style="1"/>
    <col min="6" max="6" width="12.7109375" style="1" bestFit="1" customWidth="1"/>
    <col min="7" max="7" width="12.7109375" style="1" customWidth="1"/>
    <col min="8" max="8" width="9.28515625" style="1" bestFit="1" customWidth="1"/>
    <col min="9" max="12" width="9.140625" style="1"/>
    <col min="13" max="13" width="10.28515625" style="1" bestFit="1" customWidth="1"/>
    <col min="14" max="15" width="9.140625" style="1"/>
    <col min="16" max="17" width="12" style="1" bestFit="1" customWidth="1"/>
    <col min="18" max="16384" width="9.140625" style="1"/>
  </cols>
  <sheetData>
    <row r="1" spans="2:15" x14ac:dyDescent="0.25">
      <c r="B1" s="20" t="s">
        <v>2</v>
      </c>
      <c r="C1" s="20"/>
      <c r="D1" s="20"/>
      <c r="E1" s="1">
        <v>1</v>
      </c>
      <c r="G1" s="1">
        <v>1</v>
      </c>
    </row>
    <row r="2" spans="2:15" ht="17.25" x14ac:dyDescent="0.25">
      <c r="B2" s="1" t="s">
        <v>3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1" t="s">
        <v>9</v>
      </c>
      <c r="I2" s="1" t="s">
        <v>5</v>
      </c>
    </row>
    <row r="3" spans="2:15" x14ac:dyDescent="0.25">
      <c r="B3" s="1">
        <v>5</v>
      </c>
      <c r="C3" s="1">
        <v>1</v>
      </c>
      <c r="D3" s="1">
        <v>0</v>
      </c>
      <c r="E3" s="1">
        <f>E$1*D3</f>
        <v>0</v>
      </c>
      <c r="F3" s="1">
        <v>3</v>
      </c>
      <c r="G3" s="1">
        <f>F3/G$1</f>
        <v>3</v>
      </c>
      <c r="H3" s="1">
        <f>G3^2</f>
        <v>9</v>
      </c>
      <c r="I3" s="1">
        <f t="shared" ref="I3:I9" si="0">D3-($H$10*G3+$G$10*H3)</f>
        <v>-6.258270125062565E-2</v>
      </c>
      <c r="N3" s="1">
        <v>0</v>
      </c>
      <c r="O3" s="1">
        <v>-128</v>
      </c>
    </row>
    <row r="4" spans="2:15" x14ac:dyDescent="0.25">
      <c r="B4" s="1">
        <f>B3-1</f>
        <v>4</v>
      </c>
      <c r="C4" s="1">
        <v>1</v>
      </c>
      <c r="D4" s="1">
        <v>7.0000000000000007E-2</v>
      </c>
      <c r="E4" s="1">
        <f t="shared" ref="E4:E9" si="1">E$1*D4</f>
        <v>7.0000000000000007E-2</v>
      </c>
      <c r="F4" s="1">
        <v>6</v>
      </c>
      <c r="G4" s="1">
        <f t="shared" ref="G4:G9" si="2">F4/G$1</f>
        <v>6</v>
      </c>
      <c r="H4" s="1">
        <f t="shared" ref="H4:H9" si="3">G4^2</f>
        <v>36</v>
      </c>
      <c r="I4" s="1">
        <f t="shared" si="0"/>
        <v>-5.3708563362049239E-2</v>
      </c>
      <c r="N4" s="1">
        <v>127</v>
      </c>
      <c r="O4" s="1">
        <f>O$3+N4</f>
        <v>-1</v>
      </c>
    </row>
    <row r="5" spans="2:15" x14ac:dyDescent="0.25">
      <c r="B5" s="1">
        <f t="shared" ref="B5:B6" si="4">B4-1</f>
        <v>3</v>
      </c>
      <c r="C5" s="1">
        <v>1</v>
      </c>
      <c r="D5" s="1">
        <v>0.54</v>
      </c>
      <c r="E5" s="1">
        <f t="shared" si="1"/>
        <v>0.54</v>
      </c>
      <c r="F5" s="1">
        <v>19.600000000000001</v>
      </c>
      <c r="G5" s="1">
        <f t="shared" si="2"/>
        <v>19.600000000000001</v>
      </c>
      <c r="H5" s="1">
        <f t="shared" si="3"/>
        <v>384.16000000000008</v>
      </c>
      <c r="I5" s="1">
        <f t="shared" si="0"/>
        <v>0.15745952862540047</v>
      </c>
      <c r="N5" s="1">
        <v>128</v>
      </c>
      <c r="O5" s="1">
        <f t="shared" ref="O5:O6" si="5">O$3+N5</f>
        <v>0</v>
      </c>
    </row>
    <row r="6" spans="2:15" x14ac:dyDescent="0.25">
      <c r="B6" s="1">
        <f t="shared" si="4"/>
        <v>2</v>
      </c>
      <c r="C6" s="1">
        <v>1</v>
      </c>
      <c r="D6" s="1">
        <v>0.78</v>
      </c>
      <c r="E6" s="1">
        <f t="shared" si="1"/>
        <v>0.78</v>
      </c>
      <c r="F6" s="1">
        <v>42</v>
      </c>
      <c r="G6" s="1">
        <f t="shared" si="2"/>
        <v>42</v>
      </c>
      <c r="H6" s="1">
        <f t="shared" si="3"/>
        <v>1764</v>
      </c>
      <c r="I6" s="1">
        <f t="shared" si="0"/>
        <v>3.6414544158629214E-2</v>
      </c>
      <c r="N6" s="1">
        <v>255</v>
      </c>
      <c r="O6" s="1">
        <f t="shared" si="5"/>
        <v>127</v>
      </c>
    </row>
    <row r="7" spans="2:15" x14ac:dyDescent="0.25">
      <c r="B7" s="1">
        <v>1</v>
      </c>
      <c r="C7" s="1">
        <v>3</v>
      </c>
      <c r="D7" s="1">
        <v>1.2</v>
      </c>
      <c r="E7" s="1">
        <f t="shared" si="1"/>
        <v>1.2</v>
      </c>
      <c r="F7" s="1">
        <v>85</v>
      </c>
      <c r="G7" s="1">
        <f t="shared" si="2"/>
        <v>85</v>
      </c>
      <c r="H7" s="1">
        <f t="shared" si="3"/>
        <v>7225</v>
      </c>
      <c r="I7" s="1">
        <f t="shared" si="0"/>
        <v>-9.0560465322588879E-3</v>
      </c>
    </row>
    <row r="8" spans="2:15" x14ac:dyDescent="0.25">
      <c r="B8" s="1">
        <v>1</v>
      </c>
      <c r="C8" s="1">
        <v>2</v>
      </c>
      <c r="D8" s="1">
        <v>1.24</v>
      </c>
      <c r="E8" s="1">
        <f t="shared" si="1"/>
        <v>1.24</v>
      </c>
      <c r="F8" s="1">
        <v>112</v>
      </c>
      <c r="G8" s="1">
        <f t="shared" si="2"/>
        <v>112</v>
      </c>
      <c r="H8" s="1">
        <f t="shared" si="3"/>
        <v>12544</v>
      </c>
      <c r="I8" s="1">
        <f t="shared" si="0"/>
        <v>-0.10836016828008743</v>
      </c>
    </row>
    <row r="9" spans="2:15" x14ac:dyDescent="0.25">
      <c r="B9" s="1">
        <f>B6-1</f>
        <v>1</v>
      </c>
      <c r="C9" s="1">
        <v>1</v>
      </c>
      <c r="D9" s="1">
        <v>1.41</v>
      </c>
      <c r="E9" s="1">
        <f t="shared" si="1"/>
        <v>1.41</v>
      </c>
      <c r="F9" s="1">
        <v>148</v>
      </c>
      <c r="G9" s="1">
        <f t="shared" si="2"/>
        <v>148</v>
      </c>
      <c r="H9" s="1">
        <f t="shared" si="3"/>
        <v>21904</v>
      </c>
      <c r="I9" s="1">
        <f t="shared" si="0"/>
        <v>5.9462734262268002E-2</v>
      </c>
    </row>
    <row r="10" spans="2:15" x14ac:dyDescent="0.25">
      <c r="G10" s="1">
        <f t="array" ref="G10:H10">LINEST(E3:E9,G3:H9,FALSE)</f>
        <v>-8.0935507733448299E-5</v>
      </c>
      <c r="H10" s="1">
        <v>2.1103706940075562E-2</v>
      </c>
    </row>
    <row r="11" spans="2:15" x14ac:dyDescent="0.25">
      <c r="B11" s="20" t="s">
        <v>10</v>
      </c>
      <c r="C11" s="20"/>
      <c r="D11" s="20"/>
    </row>
    <row r="12" spans="2:15" x14ac:dyDescent="0.25">
      <c r="B12" s="1">
        <f t="shared" ref="B12:C18" si="6">B3</f>
        <v>5</v>
      </c>
      <c r="C12" s="1">
        <f t="shared" si="6"/>
        <v>1</v>
      </c>
      <c r="D12" s="1">
        <v>0</v>
      </c>
      <c r="E12" s="1">
        <f t="shared" ref="E12:E18" si="7">E$1*D12</f>
        <v>0</v>
      </c>
      <c r="F12" s="1">
        <f t="shared" ref="F12:H18" si="8">F3</f>
        <v>3</v>
      </c>
      <c r="G12" s="1">
        <f t="shared" si="8"/>
        <v>3</v>
      </c>
      <c r="H12" s="1">
        <f t="shared" si="8"/>
        <v>9</v>
      </c>
      <c r="I12" s="1">
        <f t="shared" ref="I12:I18" si="9">D12-($H$19*G12+$G$19*H12)</f>
        <v>-12.061808084165241</v>
      </c>
      <c r="J12" s="1">
        <f t="shared" ref="J12:J18" si="10">$N$20*G12*2^($M$20-7)+$O$20*H12*2^($M$20-14)</f>
        <v>6.258270125062565E-2</v>
      </c>
    </row>
    <row r="13" spans="2:15" x14ac:dyDescent="0.25">
      <c r="B13" s="1">
        <f t="shared" si="6"/>
        <v>4</v>
      </c>
      <c r="C13" s="1">
        <f t="shared" si="6"/>
        <v>1</v>
      </c>
      <c r="D13" s="1">
        <v>10.7</v>
      </c>
      <c r="E13" s="1">
        <f t="shared" si="7"/>
        <v>10.7</v>
      </c>
      <c r="F13" s="1">
        <f t="shared" si="8"/>
        <v>6</v>
      </c>
      <c r="G13" s="1">
        <f t="shared" si="8"/>
        <v>6</v>
      </c>
      <c r="H13" s="1">
        <f t="shared" si="8"/>
        <v>36</v>
      </c>
      <c r="I13" s="1">
        <f t="shared" si="9"/>
        <v>-13.136770244078235</v>
      </c>
      <c r="J13" s="1">
        <f t="shared" si="10"/>
        <v>0.12370856336204925</v>
      </c>
    </row>
    <row r="14" spans="2:15" x14ac:dyDescent="0.25">
      <c r="B14" s="1">
        <f t="shared" si="6"/>
        <v>3</v>
      </c>
      <c r="C14" s="1">
        <f t="shared" si="6"/>
        <v>1</v>
      </c>
      <c r="D14" s="1">
        <v>130</v>
      </c>
      <c r="E14" s="1">
        <f t="shared" si="7"/>
        <v>130</v>
      </c>
      <c r="F14" s="1">
        <v>96.8</v>
      </c>
      <c r="G14" s="1">
        <f t="shared" si="8"/>
        <v>19.600000000000001</v>
      </c>
      <c r="H14" s="1">
        <f t="shared" si="8"/>
        <v>384.16000000000008</v>
      </c>
      <c r="I14" s="1">
        <f t="shared" si="9"/>
        <v>56.381086623159888</v>
      </c>
      <c r="J14" s="1">
        <f t="shared" si="10"/>
        <v>0.38254047137459957</v>
      </c>
    </row>
    <row r="15" spans="2:15" x14ac:dyDescent="0.25">
      <c r="B15" s="1">
        <f t="shared" si="6"/>
        <v>2</v>
      </c>
      <c r="C15" s="1">
        <f t="shared" si="6"/>
        <v>1</v>
      </c>
      <c r="D15" s="1">
        <v>143.19999999999999</v>
      </c>
      <c r="E15" s="1">
        <f t="shared" si="7"/>
        <v>143.19999999999999</v>
      </c>
      <c r="F15" s="1">
        <f>F6</f>
        <v>42</v>
      </c>
      <c r="G15" s="1">
        <f t="shared" si="8"/>
        <v>42</v>
      </c>
      <c r="H15" s="1">
        <f t="shared" si="8"/>
        <v>1764</v>
      </c>
      <c r="I15" s="1">
        <f t="shared" si="9"/>
        <v>0.43766592864091081</v>
      </c>
      <c r="J15" s="1">
        <f t="shared" si="10"/>
        <v>0.74358545584137081</v>
      </c>
    </row>
    <row r="16" spans="2:15" x14ac:dyDescent="0.25">
      <c r="B16" s="1">
        <f t="shared" si="6"/>
        <v>1</v>
      </c>
      <c r="C16" s="1">
        <f t="shared" si="6"/>
        <v>3</v>
      </c>
      <c r="D16" s="1">
        <v>223.8</v>
      </c>
      <c r="E16" s="1">
        <f t="shared" si="7"/>
        <v>223.8</v>
      </c>
      <c r="F16" s="1">
        <f>F7</f>
        <v>85</v>
      </c>
      <c r="G16" s="1">
        <f t="shared" si="8"/>
        <v>85</v>
      </c>
      <c r="H16" s="1">
        <f t="shared" si="8"/>
        <v>7225</v>
      </c>
      <c r="I16" s="1">
        <f t="shared" si="9"/>
        <v>-6.8781128270069303</v>
      </c>
      <c r="J16" s="1">
        <f t="shared" si="10"/>
        <v>1.2090560465322588</v>
      </c>
    </row>
    <row r="17" spans="2:17" x14ac:dyDescent="0.25">
      <c r="B17" s="1">
        <f t="shared" si="6"/>
        <v>1</v>
      </c>
      <c r="C17" s="1">
        <f t="shared" si="6"/>
        <v>2</v>
      </c>
      <c r="D17" s="1">
        <v>233.3</v>
      </c>
      <c r="E17" s="1">
        <f t="shared" si="7"/>
        <v>233.3</v>
      </c>
      <c r="F17" s="1">
        <f t="shared" ref="F17:F18" si="11">F8</f>
        <v>112</v>
      </c>
      <c r="G17" s="1">
        <f t="shared" si="8"/>
        <v>112</v>
      </c>
      <c r="H17" s="1">
        <f t="shared" si="8"/>
        <v>12544</v>
      </c>
      <c r="I17" s="1">
        <f t="shared" si="9"/>
        <v>-22.46222162709077</v>
      </c>
      <c r="J17" s="1">
        <f t="shared" si="10"/>
        <v>1.3483601682800874</v>
      </c>
    </row>
    <row r="18" spans="2:17" x14ac:dyDescent="0.25">
      <c r="B18" s="1">
        <f t="shared" si="6"/>
        <v>1</v>
      </c>
      <c r="C18" s="1">
        <f t="shared" si="6"/>
        <v>1</v>
      </c>
      <c r="D18" s="1">
        <v>267.2</v>
      </c>
      <c r="E18" s="1">
        <f t="shared" si="7"/>
        <v>267.2</v>
      </c>
      <c r="F18" s="1">
        <f t="shared" si="11"/>
        <v>148</v>
      </c>
      <c r="G18" s="1">
        <f t="shared" si="8"/>
        <v>148</v>
      </c>
      <c r="H18" s="1">
        <f>H9</f>
        <v>21904</v>
      </c>
      <c r="I18" s="1">
        <f t="shared" si="9"/>
        <v>14.13488642858033</v>
      </c>
      <c r="J18" s="1">
        <f t="shared" si="10"/>
        <v>1.3505372657377319</v>
      </c>
      <c r="M18" s="1" t="s">
        <v>11</v>
      </c>
      <c r="N18" s="1" t="s">
        <v>12</v>
      </c>
      <c r="O18" s="1" t="s">
        <v>13</v>
      </c>
    </row>
    <row r="19" spans="2:17" x14ac:dyDescent="0.25">
      <c r="G19" s="1">
        <f t="array" ref="G19:H19">LINEST(E12:E18,G12:H18,FALSE)</f>
        <v>-1.593588468068028E-2</v>
      </c>
      <c r="H19" s="1">
        <v>4.0684103487637877</v>
      </c>
      <c r="L19" s="1" t="s">
        <v>18</v>
      </c>
      <c r="M19" s="1">
        <f>INT(LOG((MAX(MAX(N19:O19),MIN(N19:O19))))/LOG(2)+1)</f>
        <v>-5</v>
      </c>
      <c r="N19" s="1">
        <f>H10</f>
        <v>2.1103706940075562E-2</v>
      </c>
      <c r="O19" s="1">
        <f>G10*128</f>
        <v>-1.0359744989881382E-2</v>
      </c>
    </row>
    <row r="20" spans="2:17" x14ac:dyDescent="0.25">
      <c r="B20" s="1">
        <f>65535/360</f>
        <v>182.04166666666666</v>
      </c>
      <c r="L20" s="1" t="s">
        <v>14</v>
      </c>
      <c r="M20" s="1">
        <f>M19+7</f>
        <v>2</v>
      </c>
      <c r="N20" s="1">
        <f>N19*(2^-$M$19)</f>
        <v>0.675318622082418</v>
      </c>
      <c r="O20" s="1">
        <f>O19*(2^-$M$19)</f>
        <v>-0.33151183967620423</v>
      </c>
      <c r="P20" s="1">
        <f>N20*2^($M$20-7)</f>
        <v>2.1103706940075562E-2</v>
      </c>
      <c r="Q20" s="1">
        <f>O20*2^($M$20-14)</f>
        <v>-8.0935507733448299E-5</v>
      </c>
    </row>
    <row r="21" spans="2:17" x14ac:dyDescent="0.25">
      <c r="B21" s="1">
        <f t="shared" ref="B21:C23" si="12">B13</f>
        <v>4</v>
      </c>
      <c r="C21" s="1">
        <f t="shared" si="12"/>
        <v>1</v>
      </c>
      <c r="D21" s="1">
        <f>D13/D4</f>
        <v>152.85714285714283</v>
      </c>
      <c r="M21" s="1" t="s">
        <v>15</v>
      </c>
      <c r="N21" s="1">
        <f>INT(127*N20)</f>
        <v>85</v>
      </c>
      <c r="O21" s="1">
        <f>INT(127*O20)</f>
        <v>-43</v>
      </c>
      <c r="P21" s="2"/>
      <c r="Q21" s="2"/>
    </row>
    <row r="22" spans="2:17" x14ac:dyDescent="0.25">
      <c r="B22" s="1">
        <f t="shared" si="12"/>
        <v>3</v>
      </c>
      <c r="C22" s="1">
        <f t="shared" si="12"/>
        <v>1</v>
      </c>
      <c r="D22" s="1">
        <f>D14/D5</f>
        <v>240.74074074074073</v>
      </c>
      <c r="M22" s="1" t="s">
        <v>16</v>
      </c>
      <c r="N22" s="1">
        <f>N21+128</f>
        <v>213</v>
      </c>
      <c r="O22" s="1">
        <f>O21+128</f>
        <v>85</v>
      </c>
      <c r="P22" s="2" t="str">
        <f>DEC2BIN(N22,8)</f>
        <v>11010101</v>
      </c>
      <c r="Q22" s="2" t="str">
        <f>DEC2BIN(O22,8)</f>
        <v>01010101</v>
      </c>
    </row>
    <row r="23" spans="2:17" x14ac:dyDescent="0.25">
      <c r="B23" s="1">
        <f t="shared" si="12"/>
        <v>2</v>
      </c>
      <c r="C23" s="1">
        <f t="shared" si="12"/>
        <v>1</v>
      </c>
      <c r="D23" s="1">
        <f>D15/D6</f>
        <v>183.58974358974356</v>
      </c>
      <c r="M23" s="1" t="str">
        <f>M21</f>
        <v>signed</v>
      </c>
      <c r="N23" s="1">
        <f>-N21</f>
        <v>-85</v>
      </c>
      <c r="O23" s="1">
        <f>-O21</f>
        <v>43</v>
      </c>
      <c r="P23" s="2"/>
      <c r="Q23" s="2"/>
    </row>
    <row r="24" spans="2:17" ht="15.75" thickBot="1" x14ac:dyDescent="0.3">
      <c r="B24" s="1">
        <f t="shared" ref="B24:C24" si="13">B18</f>
        <v>1</v>
      </c>
      <c r="C24" s="1">
        <f t="shared" si="13"/>
        <v>1</v>
      </c>
      <c r="D24" s="1">
        <f t="shared" ref="D24" si="14">D18/D9</f>
        <v>189.50354609929079</v>
      </c>
      <c r="M24" s="1" t="str">
        <f>M22</f>
        <v>unsigned</v>
      </c>
      <c r="N24" s="1">
        <f>N23+128</f>
        <v>43</v>
      </c>
      <c r="O24" s="1">
        <f>O23+128</f>
        <v>171</v>
      </c>
      <c r="P24" s="2" t="str">
        <f>DEC2BIN(N24,8)</f>
        <v>00101011</v>
      </c>
      <c r="Q24" s="2" t="str">
        <f>DEC2BIN(O24,8)</f>
        <v>10101011</v>
      </c>
    </row>
    <row r="25" spans="2:17" x14ac:dyDescent="0.25">
      <c r="J25" s="4">
        <f>M19</f>
        <v>-5</v>
      </c>
      <c r="K25" s="5">
        <v>0</v>
      </c>
      <c r="L25" s="6"/>
    </row>
    <row r="26" spans="2:17" x14ac:dyDescent="0.25">
      <c r="J26" s="7">
        <v>1</v>
      </c>
      <c r="K26" s="3">
        <v>2</v>
      </c>
      <c r="L26" s="8" t="str">
        <f>DEC2BIN(K26,8)</f>
        <v>00000010</v>
      </c>
      <c r="M26" s="1" t="s">
        <v>17</v>
      </c>
      <c r="N26" s="1">
        <f>INT(IF(N20&gt;0,255-127*N20,-N20*127))</f>
        <v>169</v>
      </c>
      <c r="O26" s="1">
        <f>INT(IF(O20&gt;0,255-127*O20,-O20*127))</f>
        <v>42</v>
      </c>
    </row>
    <row r="27" spans="2:17" ht="15.75" thickBot="1" x14ac:dyDescent="0.3">
      <c r="J27" s="9">
        <v>-1</v>
      </c>
      <c r="K27" s="10">
        <v>80</v>
      </c>
      <c r="L27" s="11" t="str">
        <f>DEC2BIN(K27,8)</f>
        <v>01010000</v>
      </c>
      <c r="N27" s="1">
        <f>255-N26</f>
        <v>86</v>
      </c>
      <c r="O27" s="1">
        <f>255-O26</f>
        <v>213</v>
      </c>
    </row>
  </sheetData>
  <mergeCells count="2">
    <mergeCell ref="B1:D1"/>
    <mergeCell ref="B11:D1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T32"/>
  <sheetViews>
    <sheetView zoomScale="80" zoomScaleNormal="80" workbookViewId="0">
      <selection activeCell="K11" sqref="K11"/>
    </sheetView>
  </sheetViews>
  <sheetFormatPr defaultRowHeight="15" customHeight="1" x14ac:dyDescent="0.2"/>
  <cols>
    <col min="1" max="5" width="9.140625" style="12"/>
    <col min="6" max="7" width="9.140625" style="12" customWidth="1"/>
    <col min="8" max="14" width="9.140625" style="12"/>
    <col min="15" max="15" width="9.140625" style="12" customWidth="1"/>
    <col min="16" max="16384" width="9.140625" style="12"/>
  </cols>
  <sheetData>
    <row r="1" spans="2:20" ht="15" customHeight="1" x14ac:dyDescent="0.2">
      <c r="B1" s="12" t="s">
        <v>29</v>
      </c>
      <c r="C1" s="17">
        <f>4.5*10^6</f>
        <v>4500000</v>
      </c>
    </row>
    <row r="2" spans="2:20" ht="15" customHeight="1" x14ac:dyDescent="0.2">
      <c r="B2" s="12" t="s">
        <v>30</v>
      </c>
      <c r="C2" s="17">
        <f>(3*10^8)/(C1)/2/360</f>
        <v>9.2592592592592601E-2</v>
      </c>
      <c r="D2" s="12" t="s">
        <v>32</v>
      </c>
      <c r="H2" s="21" t="s">
        <v>28</v>
      </c>
      <c r="I2" s="21"/>
      <c r="J2" s="21"/>
      <c r="K2" s="21"/>
      <c r="L2" s="21" t="s">
        <v>27</v>
      </c>
      <c r="M2" s="21"/>
      <c r="N2" s="21"/>
      <c r="O2" s="22" t="s">
        <v>31</v>
      </c>
      <c r="P2" s="22"/>
      <c r="Q2" s="19">
        <f>E18+1</f>
        <v>3</v>
      </c>
      <c r="R2" s="21" t="s">
        <v>40</v>
      </c>
      <c r="S2" s="21"/>
      <c r="T2" s="21"/>
    </row>
    <row r="3" spans="2:20" ht="15" customHeight="1" x14ac:dyDescent="0.2">
      <c r="B3" s="12" t="s">
        <v>3</v>
      </c>
      <c r="C3" s="12" t="s">
        <v>4</v>
      </c>
      <c r="D3" s="12">
        <f>1150/40</f>
        <v>28.75</v>
      </c>
      <c r="E3" s="13" t="s">
        <v>19</v>
      </c>
      <c r="F3" s="12" t="s">
        <v>20</v>
      </c>
      <c r="G3" s="12" t="s">
        <v>21</v>
      </c>
      <c r="H3" s="12" t="s">
        <v>12</v>
      </c>
      <c r="I3" s="12" t="s">
        <v>13</v>
      </c>
      <c r="J3" s="13" t="s">
        <v>22</v>
      </c>
      <c r="K3" s="13" t="s">
        <v>23</v>
      </c>
      <c r="L3" s="12" t="s">
        <v>24</v>
      </c>
      <c r="M3" s="12" t="s">
        <v>25</v>
      </c>
      <c r="N3" s="12" t="s">
        <v>26</v>
      </c>
      <c r="O3" s="12" t="str">
        <f>L3</f>
        <v>Codes</v>
      </c>
      <c r="P3" s="12" t="str">
        <f t="shared" ref="P3:Q3" si="0">M3</f>
        <v>Degs</v>
      </c>
      <c r="Q3" s="12" t="str">
        <f t="shared" si="0"/>
        <v>cm</v>
      </c>
      <c r="R3" s="12" t="str">
        <f>O3</f>
        <v>Codes</v>
      </c>
      <c r="S3" s="12" t="str">
        <f t="shared" ref="S3" si="1">P3</f>
        <v>Degs</v>
      </c>
      <c r="T3" s="12" t="str">
        <f t="shared" ref="T3" si="2">Q3</f>
        <v>cm</v>
      </c>
    </row>
    <row r="4" spans="2:20" ht="15" customHeight="1" x14ac:dyDescent="0.2">
      <c r="B4" s="12">
        <v>6</v>
      </c>
      <c r="C4" s="12">
        <v>1</v>
      </c>
      <c r="D4" s="18">
        <f t="shared" ref="D4:D14" si="3">luxPerCode*F4</f>
        <v>57.5</v>
      </c>
      <c r="E4" s="14">
        <v>0</v>
      </c>
      <c r="F4" s="12">
        <v>2</v>
      </c>
      <c r="G4" s="12">
        <f t="shared" ref="G4:G14" si="4">F4^2</f>
        <v>4</v>
      </c>
      <c r="H4" s="14">
        <f>$F$19*F4</f>
        <v>4.625984251968504E-2</v>
      </c>
      <c r="I4" s="14">
        <f>$G$19*G4</f>
        <v>-3.6909448818897637E-4</v>
      </c>
      <c r="J4" s="14">
        <f>H4+I4</f>
        <v>4.5890748031496065E-2</v>
      </c>
      <c r="K4" s="14">
        <f>J4-E4</f>
        <v>4.5890748031496065E-2</v>
      </c>
      <c r="L4" s="16">
        <v>0</v>
      </c>
      <c r="M4" s="14">
        <f>360*L4/65535</f>
        <v>0</v>
      </c>
      <c r="N4" s="16">
        <f t="shared" ref="N4:N14" si="5">mPerDeg*M4*100</f>
        <v>0</v>
      </c>
      <c r="O4" s="16">
        <v>-4.9000000000000004</v>
      </c>
      <c r="P4" s="14">
        <f>360*O4/65535</f>
        <v>-2.6916914625772493E-2</v>
      </c>
      <c r="Q4" s="16">
        <f t="shared" ref="Q4:Q14" si="6">mPerDeg*P4*100</f>
        <v>-0.24923069097937495</v>
      </c>
      <c r="R4" s="12">
        <v>-0.5</v>
      </c>
      <c r="S4" s="14">
        <f>360*R4/65535</f>
        <v>-2.7466239414053561E-3</v>
      </c>
      <c r="T4" s="16">
        <f t="shared" ref="T4:T14" si="7">mPerDeg*S4*100</f>
        <v>-2.5431703161160706E-2</v>
      </c>
    </row>
    <row r="5" spans="2:20" ht="15" customHeight="1" x14ac:dyDescent="0.2">
      <c r="B5" s="12">
        <v>5</v>
      </c>
      <c r="C5" s="12">
        <v>1</v>
      </c>
      <c r="D5" s="18">
        <f t="shared" si="3"/>
        <v>86.25</v>
      </c>
      <c r="E5" s="14">
        <v>-0.04</v>
      </c>
      <c r="F5" s="12">
        <v>3</v>
      </c>
      <c r="G5" s="12">
        <f t="shared" si="4"/>
        <v>9</v>
      </c>
      <c r="H5" s="14">
        <f t="shared" ref="H5:H14" si="8">$F$19*F5</f>
        <v>6.9389763779527561E-2</v>
      </c>
      <c r="I5" s="14">
        <f t="shared" ref="I5:I14" si="9">$G$19*G5</f>
        <v>-8.3046259842519689E-4</v>
      </c>
      <c r="J5" s="14">
        <f t="shared" ref="J5:J14" si="10">H5+I5</f>
        <v>6.8559301181102358E-2</v>
      </c>
      <c r="K5" s="14">
        <f t="shared" ref="K5:K14" si="11">J5-E5</f>
        <v>0.10855930118110235</v>
      </c>
      <c r="L5" s="16">
        <v>-8.1999999999999993</v>
      </c>
      <c r="M5" s="14">
        <f>360*L5/65535</f>
        <v>-4.504463263904783E-2</v>
      </c>
      <c r="N5" s="16">
        <f t="shared" si="5"/>
        <v>-0.41707993184303555</v>
      </c>
      <c r="O5" s="16">
        <v>-20.5</v>
      </c>
      <c r="P5" s="14">
        <f>360*O5/65535</f>
        <v>-0.11261158159761959</v>
      </c>
      <c r="Q5" s="16">
        <f t="shared" si="6"/>
        <v>-1.0426998296075889</v>
      </c>
      <c r="R5" s="12">
        <v>-13.1</v>
      </c>
      <c r="S5" s="14">
        <f>360*R5/65535</f>
        <v>-7.1961547264820319E-2</v>
      </c>
      <c r="T5" s="16">
        <f t="shared" si="7"/>
        <v>-0.66631062282241038</v>
      </c>
    </row>
    <row r="6" spans="2:20" ht="15" customHeight="1" x14ac:dyDescent="0.2">
      <c r="B6" s="12">
        <v>4</v>
      </c>
      <c r="C6" s="12">
        <v>1</v>
      </c>
      <c r="D6" s="18">
        <f t="shared" si="3"/>
        <v>143.75</v>
      </c>
      <c r="E6" s="14">
        <v>0.05</v>
      </c>
      <c r="F6" s="12">
        <v>5</v>
      </c>
      <c r="G6" s="12">
        <f t="shared" si="4"/>
        <v>25</v>
      </c>
      <c r="H6" s="14">
        <f t="shared" si="8"/>
        <v>0.1156496062992126</v>
      </c>
      <c r="I6" s="14">
        <f t="shared" si="9"/>
        <v>-2.3068405511811022E-3</v>
      </c>
      <c r="J6" s="14">
        <f t="shared" si="10"/>
        <v>0.1133427657480315</v>
      </c>
      <c r="K6" s="14">
        <f t="shared" si="11"/>
        <v>6.3342765748031493E-2</v>
      </c>
      <c r="L6" s="16">
        <v>-0.3</v>
      </c>
      <c r="M6" s="14">
        <f t="shared" ref="M6:M14" si="12">360*L6/65535</f>
        <v>-1.6479743648432135E-3</v>
      </c>
      <c r="N6" s="16">
        <f t="shared" si="5"/>
        <v>-1.5259021896696425E-2</v>
      </c>
      <c r="O6" s="16">
        <v>-14.3</v>
      </c>
      <c r="P6" s="14">
        <f t="shared" ref="P6:P14" si="13">360*O6/65535</f>
        <v>-7.8553444724193178E-2</v>
      </c>
      <c r="Q6" s="16">
        <f t="shared" si="6"/>
        <v>-0.72734671040919607</v>
      </c>
      <c r="R6" s="12">
        <v>-5.8</v>
      </c>
      <c r="S6" s="14">
        <f t="shared" ref="S6:S14" si="14">360*R6/65535</f>
        <v>-3.1860837720302126E-2</v>
      </c>
      <c r="T6" s="16">
        <f t="shared" si="7"/>
        <v>-0.29500775666946416</v>
      </c>
    </row>
    <row r="7" spans="2:20" ht="15" customHeight="1" x14ac:dyDescent="0.2">
      <c r="B7" s="12">
        <v>3</v>
      </c>
      <c r="C7" s="12">
        <v>1</v>
      </c>
      <c r="D7" s="18">
        <f t="shared" si="3"/>
        <v>546.25</v>
      </c>
      <c r="E7" s="14">
        <v>0.56999999999999995</v>
      </c>
      <c r="F7" s="12">
        <v>19</v>
      </c>
      <c r="G7" s="12">
        <f t="shared" si="4"/>
        <v>361</v>
      </c>
      <c r="H7" s="14">
        <f t="shared" si="8"/>
        <v>0.43946850393700787</v>
      </c>
      <c r="I7" s="14">
        <f t="shared" si="9"/>
        <v>-3.3310777559055114E-2</v>
      </c>
      <c r="J7" s="14">
        <f t="shared" si="10"/>
        <v>0.40615772637795278</v>
      </c>
      <c r="K7" s="14">
        <f t="shared" si="11"/>
        <v>-0.16384227362204717</v>
      </c>
      <c r="L7" s="16">
        <v>56.8</v>
      </c>
      <c r="M7" s="14">
        <f t="shared" si="12"/>
        <v>0.31201647974364843</v>
      </c>
      <c r="N7" s="16">
        <f t="shared" si="5"/>
        <v>2.8890414791078558</v>
      </c>
      <c r="O7" s="16">
        <v>8.1</v>
      </c>
      <c r="P7" s="14">
        <f t="shared" si="13"/>
        <v>4.4495307850766767E-2</v>
      </c>
      <c r="Q7" s="16">
        <f t="shared" si="6"/>
        <v>0.41199359121080342</v>
      </c>
      <c r="R7" s="12">
        <v>40.200000000000003</v>
      </c>
      <c r="S7" s="14">
        <f t="shared" si="14"/>
        <v>0.22082856488899064</v>
      </c>
      <c r="T7" s="16">
        <f t="shared" si="7"/>
        <v>2.0447089341573208</v>
      </c>
    </row>
    <row r="8" spans="2:20" ht="15" customHeight="1" x14ac:dyDescent="0.2">
      <c r="B8" s="12">
        <v>2</v>
      </c>
      <c r="C8" s="12">
        <v>1</v>
      </c>
      <c r="D8" s="18">
        <f t="shared" si="3"/>
        <v>1178.75</v>
      </c>
      <c r="E8" s="14">
        <v>0.86</v>
      </c>
      <c r="F8" s="12">
        <v>41</v>
      </c>
      <c r="G8" s="12">
        <f t="shared" si="4"/>
        <v>1681</v>
      </c>
      <c r="H8" s="14">
        <f t="shared" si="8"/>
        <v>0.94832677165354329</v>
      </c>
      <c r="I8" s="14">
        <f t="shared" si="9"/>
        <v>-0.15511195866141733</v>
      </c>
      <c r="J8" s="14">
        <f t="shared" si="10"/>
        <v>0.79321481299212593</v>
      </c>
      <c r="K8" s="14">
        <f t="shared" si="11"/>
        <v>-6.6785187007874058E-2</v>
      </c>
      <c r="L8" s="16">
        <v>58.5</v>
      </c>
      <c r="M8" s="14">
        <f t="shared" si="12"/>
        <v>0.32135500114442667</v>
      </c>
      <c r="N8" s="16">
        <f t="shared" si="5"/>
        <v>2.9755092698558028</v>
      </c>
      <c r="O8" s="16">
        <v>-38</v>
      </c>
      <c r="P8" s="14">
        <f t="shared" si="13"/>
        <v>-0.20874341954680706</v>
      </c>
      <c r="Q8" s="16">
        <f t="shared" si="6"/>
        <v>-1.9328094402482139</v>
      </c>
      <c r="R8" s="12">
        <v>26.5</v>
      </c>
      <c r="S8" s="14">
        <f t="shared" si="14"/>
        <v>0.14557106889448387</v>
      </c>
      <c r="T8" s="16">
        <f t="shared" si="7"/>
        <v>1.3478802675415176</v>
      </c>
    </row>
    <row r="9" spans="2:20" ht="15" customHeight="1" x14ac:dyDescent="0.2">
      <c r="B9" s="12">
        <v>1</v>
      </c>
      <c r="C9" s="12">
        <v>6</v>
      </c>
      <c r="D9" s="18">
        <f t="shared" si="3"/>
        <v>1437.5</v>
      </c>
      <c r="E9" s="12">
        <v>0.91</v>
      </c>
      <c r="F9" s="12">
        <v>50</v>
      </c>
      <c r="G9" s="12">
        <f t="shared" si="4"/>
        <v>2500</v>
      </c>
      <c r="H9" s="14">
        <f t="shared" si="8"/>
        <v>1.1564960629921259</v>
      </c>
      <c r="I9" s="14">
        <f t="shared" si="9"/>
        <v>-0.23068405511811024</v>
      </c>
      <c r="J9" s="14">
        <f t="shared" si="10"/>
        <v>0.92581200787401574</v>
      </c>
      <c r="K9" s="14">
        <f t="shared" si="11"/>
        <v>1.581200787401571E-2</v>
      </c>
      <c r="L9" s="16">
        <v>55.6</v>
      </c>
      <c r="M9" s="14">
        <f t="shared" si="12"/>
        <v>0.3054245822842756</v>
      </c>
      <c r="N9" s="16">
        <f t="shared" si="5"/>
        <v>2.8280053915210703</v>
      </c>
      <c r="O9" s="16">
        <v>-62.1</v>
      </c>
      <c r="P9" s="14">
        <f t="shared" si="13"/>
        <v>-0.34113069352254521</v>
      </c>
      <c r="Q9" s="16">
        <f t="shared" si="6"/>
        <v>-3.1586175326161601</v>
      </c>
      <c r="R9" s="12">
        <v>15.3</v>
      </c>
      <c r="S9" s="14">
        <f t="shared" si="14"/>
        <v>8.4046692607003898E-2</v>
      </c>
      <c r="T9" s="16">
        <f t="shared" si="7"/>
        <v>0.77821011673151763</v>
      </c>
    </row>
    <row r="10" spans="2:20" ht="15" customHeight="1" x14ac:dyDescent="0.2">
      <c r="B10" s="12">
        <v>1</v>
      </c>
      <c r="C10" s="12">
        <v>4</v>
      </c>
      <c r="D10" s="18">
        <f t="shared" si="3"/>
        <v>1696.25</v>
      </c>
      <c r="E10" s="14">
        <v>1.23</v>
      </c>
      <c r="F10" s="12">
        <v>59</v>
      </c>
      <c r="G10" s="12">
        <f t="shared" si="4"/>
        <v>3481</v>
      </c>
      <c r="H10" s="14">
        <f t="shared" si="8"/>
        <v>1.3646653543307088</v>
      </c>
      <c r="I10" s="14">
        <f t="shared" si="9"/>
        <v>-0.32120447834645671</v>
      </c>
      <c r="J10" s="14">
        <f t="shared" si="10"/>
        <v>1.0434608759842521</v>
      </c>
      <c r="K10" s="14">
        <f t="shared" si="11"/>
        <v>-0.1865391240157479</v>
      </c>
      <c r="L10" s="16">
        <v>95.8</v>
      </c>
      <c r="M10" s="14">
        <f t="shared" si="12"/>
        <v>0.52625314717326621</v>
      </c>
      <c r="N10" s="16">
        <f t="shared" si="5"/>
        <v>4.8727143256783911</v>
      </c>
      <c r="O10" s="16">
        <v>-35.4</v>
      </c>
      <c r="P10" s="14">
        <f t="shared" si="13"/>
        <v>-0.1944609750514992</v>
      </c>
      <c r="Q10" s="16">
        <f t="shared" si="6"/>
        <v>-1.800564583810178</v>
      </c>
      <c r="R10" s="12">
        <v>54.1</v>
      </c>
      <c r="S10" s="14">
        <f t="shared" si="14"/>
        <v>0.29718471046005951</v>
      </c>
      <c r="T10" s="16">
        <f t="shared" si="7"/>
        <v>2.7517102820375885</v>
      </c>
    </row>
    <row r="11" spans="2:20" ht="15" customHeight="1" x14ac:dyDescent="0.2">
      <c r="B11" s="12">
        <v>1</v>
      </c>
      <c r="C11" s="12">
        <v>5</v>
      </c>
      <c r="D11" s="18">
        <f t="shared" si="3"/>
        <v>1857.2499999999998</v>
      </c>
      <c r="E11" s="14">
        <v>1</v>
      </c>
      <c r="F11" s="12">
        <v>64.599999999999994</v>
      </c>
      <c r="G11" s="12">
        <f t="shared" si="4"/>
        <v>4173.1599999999989</v>
      </c>
      <c r="H11" s="14">
        <f t="shared" si="8"/>
        <v>1.4941929133858267</v>
      </c>
      <c r="I11" s="14">
        <f t="shared" si="9"/>
        <v>-0.38507258858267707</v>
      </c>
      <c r="J11" s="14">
        <f t="shared" si="10"/>
        <v>1.1091203248031496</v>
      </c>
      <c r="K11" s="14">
        <f t="shared" si="11"/>
        <v>0.10912032480314959</v>
      </c>
      <c r="L11" s="16">
        <v>48.5</v>
      </c>
      <c r="M11" s="14">
        <f t="shared" si="12"/>
        <v>0.26642252231631952</v>
      </c>
      <c r="N11" s="16">
        <f t="shared" si="5"/>
        <v>2.4668752066325883</v>
      </c>
      <c r="O11" s="16">
        <v>-88.4</v>
      </c>
      <c r="P11" s="14">
        <f t="shared" si="13"/>
        <v>-0.48560311284046698</v>
      </c>
      <c r="Q11" s="16">
        <f t="shared" si="6"/>
        <v>-4.4963251188932132</v>
      </c>
      <c r="R11" s="12">
        <v>0.6</v>
      </c>
      <c r="S11" s="14">
        <f t="shared" si="14"/>
        <v>3.2959487296864271E-3</v>
      </c>
      <c r="T11" s="16">
        <f t="shared" si="7"/>
        <v>3.051804379339285E-2</v>
      </c>
    </row>
    <row r="12" spans="2:20" ht="15" customHeight="1" x14ac:dyDescent="0.2">
      <c r="B12" s="12">
        <v>1</v>
      </c>
      <c r="C12" s="12">
        <v>3</v>
      </c>
      <c r="D12" s="18">
        <f t="shared" si="3"/>
        <v>2415</v>
      </c>
      <c r="E12" s="14">
        <v>1.29</v>
      </c>
      <c r="F12" s="12">
        <v>84</v>
      </c>
      <c r="G12" s="12">
        <f t="shared" si="4"/>
        <v>7056</v>
      </c>
      <c r="H12" s="14">
        <f t="shared" si="8"/>
        <v>1.9429133858267718</v>
      </c>
      <c r="I12" s="14">
        <f t="shared" si="9"/>
        <v>-0.65108267716535428</v>
      </c>
      <c r="J12" s="14">
        <f t="shared" si="10"/>
        <v>1.2918307086614176</v>
      </c>
      <c r="K12" s="14">
        <f t="shared" si="11"/>
        <v>1.8307086614175461E-3</v>
      </c>
      <c r="L12" s="16">
        <v>79</v>
      </c>
      <c r="M12" s="14">
        <f t="shared" si="12"/>
        <v>0.43396658274204625</v>
      </c>
      <c r="N12" s="16">
        <f t="shared" si="5"/>
        <v>4.018209099463391</v>
      </c>
      <c r="O12" s="16">
        <v>-83.6</v>
      </c>
      <c r="P12" s="14">
        <f t="shared" si="13"/>
        <v>-0.45923552300297543</v>
      </c>
      <c r="Q12" s="16">
        <f t="shared" si="6"/>
        <v>-4.2521807685460686</v>
      </c>
      <c r="R12" s="12">
        <v>21.1</v>
      </c>
      <c r="S12" s="14">
        <f t="shared" si="14"/>
        <v>0.11590753032730604</v>
      </c>
      <c r="T12" s="16">
        <f t="shared" si="7"/>
        <v>1.0732178734009821</v>
      </c>
    </row>
    <row r="13" spans="2:20" ht="15" customHeight="1" x14ac:dyDescent="0.2">
      <c r="B13" s="12">
        <v>1</v>
      </c>
      <c r="C13" s="12">
        <v>2</v>
      </c>
      <c r="D13" s="18">
        <f t="shared" si="3"/>
        <v>3191.25</v>
      </c>
      <c r="E13" s="14">
        <v>1.34</v>
      </c>
      <c r="F13" s="12">
        <v>111</v>
      </c>
      <c r="G13" s="12">
        <f t="shared" si="4"/>
        <v>12321</v>
      </c>
      <c r="H13" s="14">
        <f t="shared" si="8"/>
        <v>2.5674212598425199</v>
      </c>
      <c r="I13" s="14">
        <f t="shared" si="9"/>
        <v>-1.1369032972440944</v>
      </c>
      <c r="J13" s="14">
        <f t="shared" si="10"/>
        <v>1.4305179625984255</v>
      </c>
      <c r="K13" s="14">
        <f t="shared" si="11"/>
        <v>9.0517962598425372E-2</v>
      </c>
      <c r="L13" s="16">
        <v>73.7</v>
      </c>
      <c r="M13" s="14">
        <f t="shared" si="12"/>
        <v>0.40485236896314947</v>
      </c>
      <c r="N13" s="16">
        <f t="shared" si="5"/>
        <v>3.7486330459550881</v>
      </c>
      <c r="O13" s="16">
        <v>-105.4</v>
      </c>
      <c r="P13" s="14">
        <f t="shared" si="13"/>
        <v>-0.57898832684824908</v>
      </c>
      <c r="Q13" s="16">
        <f t="shared" si="6"/>
        <v>-5.3610030263726776</v>
      </c>
      <c r="R13" s="12">
        <v>9.1999999999999993</v>
      </c>
      <c r="S13" s="14">
        <f t="shared" si="14"/>
        <v>5.0537880521858543E-2</v>
      </c>
      <c r="T13" s="16">
        <f t="shared" si="7"/>
        <v>0.46794333816535694</v>
      </c>
    </row>
    <row r="14" spans="2:20" ht="15" customHeight="1" x14ac:dyDescent="0.2">
      <c r="B14" s="12">
        <v>1</v>
      </c>
      <c r="C14" s="12">
        <v>1</v>
      </c>
      <c r="D14" s="18">
        <f t="shared" si="3"/>
        <v>4226.25</v>
      </c>
      <c r="E14" s="14">
        <v>1.53</v>
      </c>
      <c r="F14" s="12">
        <v>147</v>
      </c>
      <c r="G14" s="12">
        <f t="shared" si="4"/>
        <v>21609</v>
      </c>
      <c r="H14" s="14">
        <f t="shared" si="8"/>
        <v>3.4000984251968505</v>
      </c>
      <c r="I14" s="14">
        <f t="shared" si="9"/>
        <v>-1.9939406988188977</v>
      </c>
      <c r="J14" s="14">
        <f t="shared" si="10"/>
        <v>1.4061577263779528</v>
      </c>
      <c r="K14" s="14">
        <f t="shared" si="11"/>
        <v>-0.12384227362204725</v>
      </c>
      <c r="L14" s="16">
        <v>114.1</v>
      </c>
      <c r="M14" s="14">
        <f t="shared" si="12"/>
        <v>0.62677958342870221</v>
      </c>
      <c r="N14" s="16">
        <f t="shared" si="5"/>
        <v>5.8035146613768722</v>
      </c>
      <c r="O14" s="16">
        <v>-63.7</v>
      </c>
      <c r="P14" s="14">
        <f t="shared" si="13"/>
        <v>-0.34991989013504232</v>
      </c>
      <c r="Q14" s="16">
        <f t="shared" si="6"/>
        <v>-3.239998982731874</v>
      </c>
      <c r="R14" s="12">
        <v>52.3</v>
      </c>
      <c r="S14" s="14">
        <f t="shared" si="14"/>
        <v>0.28729686427100021</v>
      </c>
      <c r="T14" s="16">
        <f t="shared" si="7"/>
        <v>2.6601561506574094</v>
      </c>
    </row>
    <row r="15" spans="2:20" ht="15" customHeight="1" x14ac:dyDescent="0.2">
      <c r="F15" s="12">
        <f t="array" ref="F15:G15">LINEST(E4:E14,F4:G14,FALSE)</f>
        <v>-9.1000479343441055E-5</v>
      </c>
      <c r="G15" s="12">
        <v>2.3296890345423305E-2</v>
      </c>
      <c r="L15" s="16">
        <f>AVERAGE(L5:L14)</f>
        <v>57.35</v>
      </c>
      <c r="M15" s="16">
        <f t="array" ref="M15">MAX(ABS(M4:M14))</f>
        <v>0.62677958342870221</v>
      </c>
      <c r="N15" s="16">
        <f t="array" ref="N15">MAX(ABS(N4:N14))</f>
        <v>5.8035146613768722</v>
      </c>
      <c r="O15" s="16">
        <f>AVERAGE(O5:O14)</f>
        <v>-50.33</v>
      </c>
      <c r="P15" s="16">
        <f t="array" ref="P15">MAX(ABS(P4:P14))</f>
        <v>0.57898832684824908</v>
      </c>
      <c r="Q15" s="16">
        <f t="array" ref="Q15">MAX(ABS(Q4:Q14))</f>
        <v>5.3610030263726776</v>
      </c>
      <c r="S15" s="16">
        <f t="array" ref="S15">MAX(ABS(S4:S14))</f>
        <v>0.29718471046005951</v>
      </c>
      <c r="T15" s="16">
        <f t="array" ref="T15">MAX(ABS(T4:T14))</f>
        <v>2.7517102820375885</v>
      </c>
    </row>
    <row r="16" spans="2:20" ht="15" customHeight="1" x14ac:dyDescent="0.2">
      <c r="E16" s="12">
        <f t="array" ref="E16">MAX(ABS(F16:G16))</f>
        <v>2.3296890345423305E-2</v>
      </c>
      <c r="F16" s="12">
        <f>G15</f>
        <v>2.3296890345423305E-2</v>
      </c>
      <c r="G16" s="12">
        <f>F15*128</f>
        <v>-1.1648061355960455E-2</v>
      </c>
    </row>
    <row r="17" spans="3:11" ht="15" customHeight="1" x14ac:dyDescent="0.2">
      <c r="E17" s="12">
        <f>INT(LOG(E16)/LOG(2))+1</f>
        <v>-5</v>
      </c>
      <c r="F17" s="12">
        <f>F16/2^E17</f>
        <v>0.74550049105354577</v>
      </c>
      <c r="G17" s="12">
        <f>G16/2^E17</f>
        <v>-0.37273796339073456</v>
      </c>
      <c r="I17" s="12">
        <f>INT(F18*2^0.5)</f>
        <v>132</v>
      </c>
      <c r="J17" s="12">
        <f>INT(G18*2^0.5)</f>
        <v>-68</v>
      </c>
    </row>
    <row r="18" spans="3:11" ht="15" customHeight="1" x14ac:dyDescent="0.2">
      <c r="E18" s="15">
        <f>E17+7</f>
        <v>2</v>
      </c>
      <c r="F18" s="15">
        <f>INT(127*F17)</f>
        <v>94</v>
      </c>
      <c r="G18" s="15">
        <f>INT(127*G17)</f>
        <v>-48</v>
      </c>
      <c r="I18" s="15">
        <v>127</v>
      </c>
      <c r="J18" s="15">
        <f>INT(G18*I18/F18)</f>
        <v>-65</v>
      </c>
    </row>
    <row r="19" spans="3:11" ht="15" customHeight="1" x14ac:dyDescent="0.2">
      <c r="F19" s="12">
        <f>F18/127*2^(E18-7)</f>
        <v>2.312992125984252E-2</v>
      </c>
      <c r="G19" s="12">
        <f>G18/127*2^(E18-14)</f>
        <v>-9.2273622047244093E-5</v>
      </c>
    </row>
    <row r="20" spans="3:11" ht="15" customHeight="1" x14ac:dyDescent="0.2">
      <c r="C20" s="12" t="s">
        <v>33</v>
      </c>
    </row>
    <row r="21" spans="3:11" ht="15" customHeight="1" x14ac:dyDescent="0.2">
      <c r="C21" s="18">
        <f>luxPerCode*192</f>
        <v>5520</v>
      </c>
      <c r="D21" s="12" t="s">
        <v>34</v>
      </c>
      <c r="E21" s="12" t="s">
        <v>12</v>
      </c>
      <c r="F21" s="12" t="s">
        <v>13</v>
      </c>
      <c r="G21" s="12" t="s">
        <v>35</v>
      </c>
      <c r="H21" s="12" t="s">
        <v>39</v>
      </c>
      <c r="I21" s="12" t="s">
        <v>36</v>
      </c>
      <c r="J21" s="12" t="s">
        <v>37</v>
      </c>
      <c r="K21" s="12" t="s">
        <v>38</v>
      </c>
    </row>
    <row r="22" spans="3:11" ht="15" customHeight="1" x14ac:dyDescent="0.2">
      <c r="C22" s="18">
        <f>D4</f>
        <v>57.5</v>
      </c>
      <c r="D22" s="14">
        <f>E4</f>
        <v>0</v>
      </c>
      <c r="E22" s="14">
        <f>H4</f>
        <v>4.625984251968504E-2</v>
      </c>
      <c r="F22" s="14">
        <f>I4</f>
        <v>-3.6909448818897637E-4</v>
      </c>
      <c r="G22" s="14">
        <f>J4</f>
        <v>4.5890748031496065E-2</v>
      </c>
      <c r="H22" s="14">
        <f>K4</f>
        <v>4.5890748031496065E-2</v>
      </c>
      <c r="I22" s="14">
        <f t="shared" ref="I22:I32" si="15">M4</f>
        <v>0</v>
      </c>
      <c r="J22" s="14">
        <f t="shared" ref="J22:J32" si="16">P4</f>
        <v>-2.6916914625772493E-2</v>
      </c>
      <c r="K22" s="14">
        <f t="shared" ref="K22:K32" si="17">S4</f>
        <v>-2.7466239414053561E-3</v>
      </c>
    </row>
    <row r="23" spans="3:11" ht="15" customHeight="1" x14ac:dyDescent="0.2">
      <c r="C23" s="18">
        <f t="shared" ref="C23:D23" si="18">D5</f>
        <v>86.25</v>
      </c>
      <c r="D23" s="14">
        <f t="shared" si="18"/>
        <v>-0.04</v>
      </c>
      <c r="E23" s="14">
        <f t="shared" ref="E23:H23" si="19">H5</f>
        <v>6.9389763779527561E-2</v>
      </c>
      <c r="F23" s="14">
        <f t="shared" si="19"/>
        <v>-8.3046259842519689E-4</v>
      </c>
      <c r="G23" s="14">
        <f t="shared" si="19"/>
        <v>6.8559301181102358E-2</v>
      </c>
      <c r="H23" s="14">
        <f t="shared" si="19"/>
        <v>0.10855930118110235</v>
      </c>
      <c r="I23" s="14">
        <f t="shared" si="15"/>
        <v>-4.504463263904783E-2</v>
      </c>
      <c r="J23" s="14">
        <f t="shared" si="16"/>
        <v>-0.11261158159761959</v>
      </c>
      <c r="K23" s="14">
        <f t="shared" si="17"/>
        <v>-7.1961547264820319E-2</v>
      </c>
    </row>
    <row r="24" spans="3:11" ht="15" customHeight="1" x14ac:dyDescent="0.2">
      <c r="C24" s="18">
        <f t="shared" ref="C24:D24" si="20">D6</f>
        <v>143.75</v>
      </c>
      <c r="D24" s="14">
        <f t="shared" si="20"/>
        <v>0.05</v>
      </c>
      <c r="E24" s="14">
        <f t="shared" ref="E24:H24" si="21">H6</f>
        <v>0.1156496062992126</v>
      </c>
      <c r="F24" s="14">
        <f t="shared" si="21"/>
        <v>-2.3068405511811022E-3</v>
      </c>
      <c r="G24" s="14">
        <f t="shared" si="21"/>
        <v>0.1133427657480315</v>
      </c>
      <c r="H24" s="14">
        <f t="shared" si="21"/>
        <v>6.3342765748031493E-2</v>
      </c>
      <c r="I24" s="14">
        <f t="shared" si="15"/>
        <v>-1.6479743648432135E-3</v>
      </c>
      <c r="J24" s="14">
        <f t="shared" si="16"/>
        <v>-7.8553444724193178E-2</v>
      </c>
      <c r="K24" s="14">
        <f t="shared" si="17"/>
        <v>-3.1860837720302126E-2</v>
      </c>
    </row>
    <row r="25" spans="3:11" ht="15" customHeight="1" x14ac:dyDescent="0.2">
      <c r="C25" s="18">
        <f t="shared" ref="C25:D25" si="22">D7</f>
        <v>546.25</v>
      </c>
      <c r="D25" s="14">
        <f t="shared" si="22"/>
        <v>0.56999999999999995</v>
      </c>
      <c r="E25" s="14">
        <f t="shared" ref="E25:H25" si="23">H7</f>
        <v>0.43946850393700787</v>
      </c>
      <c r="F25" s="14">
        <f t="shared" si="23"/>
        <v>-3.3310777559055114E-2</v>
      </c>
      <c r="G25" s="14">
        <f t="shared" si="23"/>
        <v>0.40615772637795278</v>
      </c>
      <c r="H25" s="14">
        <f t="shared" si="23"/>
        <v>-0.16384227362204717</v>
      </c>
      <c r="I25" s="14">
        <f t="shared" si="15"/>
        <v>0.31201647974364843</v>
      </c>
      <c r="J25" s="14">
        <f t="shared" si="16"/>
        <v>4.4495307850766767E-2</v>
      </c>
      <c r="K25" s="14">
        <f t="shared" si="17"/>
        <v>0.22082856488899064</v>
      </c>
    </row>
    <row r="26" spans="3:11" ht="15" customHeight="1" x14ac:dyDescent="0.2">
      <c r="C26" s="18">
        <f t="shared" ref="C26:D26" si="24">D8</f>
        <v>1178.75</v>
      </c>
      <c r="D26" s="14">
        <f t="shared" si="24"/>
        <v>0.86</v>
      </c>
      <c r="E26" s="14">
        <f t="shared" ref="E26:H26" si="25">H8</f>
        <v>0.94832677165354329</v>
      </c>
      <c r="F26" s="14">
        <f t="shared" si="25"/>
        <v>-0.15511195866141733</v>
      </c>
      <c r="G26" s="14">
        <f t="shared" si="25"/>
        <v>0.79321481299212593</v>
      </c>
      <c r="H26" s="14">
        <f t="shared" si="25"/>
        <v>-6.6785187007874058E-2</v>
      </c>
      <c r="I26" s="14">
        <f t="shared" si="15"/>
        <v>0.32135500114442667</v>
      </c>
      <c r="J26" s="14">
        <f t="shared" si="16"/>
        <v>-0.20874341954680706</v>
      </c>
      <c r="K26" s="14">
        <f t="shared" si="17"/>
        <v>0.14557106889448387</v>
      </c>
    </row>
    <row r="27" spans="3:11" ht="15" customHeight="1" x14ac:dyDescent="0.2">
      <c r="C27" s="18">
        <f t="shared" ref="C27:D27" si="26">D9</f>
        <v>1437.5</v>
      </c>
      <c r="D27" s="14">
        <f t="shared" si="26"/>
        <v>0.91</v>
      </c>
      <c r="E27" s="14">
        <f t="shared" ref="E27:H27" si="27">H9</f>
        <v>1.1564960629921259</v>
      </c>
      <c r="F27" s="14">
        <f t="shared" si="27"/>
        <v>-0.23068405511811024</v>
      </c>
      <c r="G27" s="14">
        <f t="shared" si="27"/>
        <v>0.92581200787401574</v>
      </c>
      <c r="H27" s="14">
        <f t="shared" si="27"/>
        <v>1.581200787401571E-2</v>
      </c>
      <c r="I27" s="14">
        <f t="shared" si="15"/>
        <v>0.3054245822842756</v>
      </c>
      <c r="J27" s="14">
        <f t="shared" si="16"/>
        <v>-0.34113069352254521</v>
      </c>
      <c r="K27" s="14">
        <f t="shared" si="17"/>
        <v>8.4046692607003898E-2</v>
      </c>
    </row>
    <row r="28" spans="3:11" ht="15" customHeight="1" x14ac:dyDescent="0.2">
      <c r="C28" s="18">
        <f t="shared" ref="C28:D28" si="28">D10</f>
        <v>1696.25</v>
      </c>
      <c r="D28" s="14">
        <f t="shared" si="28"/>
        <v>1.23</v>
      </c>
      <c r="E28" s="14">
        <f t="shared" ref="E28:H28" si="29">H10</f>
        <v>1.3646653543307088</v>
      </c>
      <c r="F28" s="14">
        <f t="shared" si="29"/>
        <v>-0.32120447834645671</v>
      </c>
      <c r="G28" s="14">
        <f t="shared" si="29"/>
        <v>1.0434608759842521</v>
      </c>
      <c r="H28" s="14">
        <f t="shared" si="29"/>
        <v>-0.1865391240157479</v>
      </c>
      <c r="I28" s="14">
        <f t="shared" si="15"/>
        <v>0.52625314717326621</v>
      </c>
      <c r="J28" s="14">
        <f t="shared" si="16"/>
        <v>-0.1944609750514992</v>
      </c>
      <c r="K28" s="14">
        <f t="shared" si="17"/>
        <v>0.29718471046005951</v>
      </c>
    </row>
    <row r="29" spans="3:11" ht="15" customHeight="1" x14ac:dyDescent="0.2">
      <c r="C29" s="18">
        <f t="shared" ref="C29:D29" si="30">D11</f>
        <v>1857.2499999999998</v>
      </c>
      <c r="D29" s="14">
        <f t="shared" si="30"/>
        <v>1</v>
      </c>
      <c r="E29" s="14">
        <f t="shared" ref="E29:H29" si="31">H11</f>
        <v>1.4941929133858267</v>
      </c>
      <c r="F29" s="14">
        <f t="shared" si="31"/>
        <v>-0.38507258858267707</v>
      </c>
      <c r="G29" s="14">
        <f t="shared" si="31"/>
        <v>1.1091203248031496</v>
      </c>
      <c r="H29" s="14">
        <f t="shared" si="31"/>
        <v>0.10912032480314959</v>
      </c>
      <c r="I29" s="14">
        <f t="shared" si="15"/>
        <v>0.26642252231631952</v>
      </c>
      <c r="J29" s="14">
        <f t="shared" si="16"/>
        <v>-0.48560311284046698</v>
      </c>
      <c r="K29" s="14">
        <f t="shared" si="17"/>
        <v>3.2959487296864271E-3</v>
      </c>
    </row>
    <row r="30" spans="3:11" ht="15" customHeight="1" x14ac:dyDescent="0.2">
      <c r="C30" s="18">
        <f t="shared" ref="C30:D30" si="32">D12</f>
        <v>2415</v>
      </c>
      <c r="D30" s="14">
        <f t="shared" si="32"/>
        <v>1.29</v>
      </c>
      <c r="E30" s="14">
        <f t="shared" ref="E30:H30" si="33">H12</f>
        <v>1.9429133858267718</v>
      </c>
      <c r="F30" s="14">
        <f t="shared" si="33"/>
        <v>-0.65108267716535428</v>
      </c>
      <c r="G30" s="14">
        <f t="shared" si="33"/>
        <v>1.2918307086614176</v>
      </c>
      <c r="H30" s="14">
        <f t="shared" si="33"/>
        <v>1.8307086614175461E-3</v>
      </c>
      <c r="I30" s="14">
        <f t="shared" si="15"/>
        <v>0.43396658274204625</v>
      </c>
      <c r="J30" s="14">
        <f t="shared" si="16"/>
        <v>-0.45923552300297543</v>
      </c>
      <c r="K30" s="14">
        <f t="shared" si="17"/>
        <v>0.11590753032730604</v>
      </c>
    </row>
    <row r="31" spans="3:11" ht="15" customHeight="1" x14ac:dyDescent="0.2">
      <c r="C31" s="18">
        <f t="shared" ref="C31:D32" si="34">D13</f>
        <v>3191.25</v>
      </c>
      <c r="D31" s="14">
        <f t="shared" si="34"/>
        <v>1.34</v>
      </c>
      <c r="E31" s="14">
        <f t="shared" ref="E31:H31" si="35">H13</f>
        <v>2.5674212598425199</v>
      </c>
      <c r="F31" s="14">
        <f t="shared" si="35"/>
        <v>-1.1369032972440944</v>
      </c>
      <c r="G31" s="14">
        <f t="shared" si="35"/>
        <v>1.4305179625984255</v>
      </c>
      <c r="H31" s="14">
        <f t="shared" si="35"/>
        <v>9.0517962598425372E-2</v>
      </c>
      <c r="I31" s="14">
        <f t="shared" si="15"/>
        <v>0.40485236896314947</v>
      </c>
      <c r="J31" s="14">
        <f t="shared" si="16"/>
        <v>-0.57898832684824908</v>
      </c>
      <c r="K31" s="14">
        <f t="shared" si="17"/>
        <v>5.0537880521858543E-2</v>
      </c>
    </row>
    <row r="32" spans="3:11" ht="15" customHeight="1" x14ac:dyDescent="0.2">
      <c r="C32" s="18">
        <f t="shared" si="34"/>
        <v>4226.25</v>
      </c>
      <c r="D32" s="14">
        <f t="shared" si="34"/>
        <v>1.53</v>
      </c>
      <c r="E32" s="14">
        <f t="shared" ref="E32" si="36">H14</f>
        <v>3.4000984251968505</v>
      </c>
      <c r="F32" s="14">
        <f t="shared" ref="F32" si="37">I14</f>
        <v>-1.9939406988188977</v>
      </c>
      <c r="G32" s="14">
        <f t="shared" ref="G32:H32" si="38">J14</f>
        <v>1.4061577263779528</v>
      </c>
      <c r="H32" s="14">
        <f t="shared" si="38"/>
        <v>-0.12384227362204725</v>
      </c>
      <c r="I32" s="14">
        <f t="shared" si="15"/>
        <v>0.62677958342870221</v>
      </c>
      <c r="J32" s="14">
        <f t="shared" si="16"/>
        <v>-0.34991989013504232</v>
      </c>
      <c r="K32" s="14">
        <f t="shared" si="17"/>
        <v>0.28729686427100021</v>
      </c>
    </row>
  </sheetData>
  <sortState ref="B3:G13">
    <sortCondition ref="F3:F13"/>
  </sortState>
  <mergeCells count="4">
    <mergeCell ref="H2:K2"/>
    <mergeCell ref="L2:N2"/>
    <mergeCell ref="O2:P2"/>
    <mergeCell ref="R2:T2"/>
  </mergeCells>
  <pageMargins left="0.7" right="0.7" top="0.75" bottom="0.75" header="0.3" footer="0.3"/>
  <pageSetup orientation="portrait" horizontalDpi="90" verticalDpi="9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Sheet2</vt:lpstr>
      <vt:lpstr>Sheet3</vt:lpstr>
      <vt:lpstr>expC1C2in</vt:lpstr>
      <vt:lpstr>expC1C2out</vt:lpstr>
      <vt:lpstr>luxPerCode</vt:lpstr>
      <vt:lpstr>mPerDeg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2015-05-20T19:31:54Z</dcterms:modified>
</cp:coreProperties>
</file>