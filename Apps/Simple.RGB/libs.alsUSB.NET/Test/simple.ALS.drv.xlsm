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Default Extension="emf" ContentType="image/x-emf"/>
  <Override PartName="/xl/activeX/activeX11.bin" ContentType="application/vnd.ms-office.activeX"/>
  <Override PartName="/xl/charts/chart2.xml" ContentType="application/vnd.openxmlformats-officedocument.drawingml.char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activeX/activeX10.bin" ContentType="application/vnd.ms-office.activeX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.bin" ContentType="application/vnd.ms-office.activeX"/>
  <Override PartName="/xl/activeX/activeX6.bin" ContentType="application/vnd.ms-office.activeX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-15" yWindow="-15" windowWidth="19110" windowHeight="10320"/>
  </bookViews>
  <sheets>
    <sheet name="EVB CCT Cal" sheetId="2" r:id="rId1"/>
    <sheet name="Monitor Cal" sheetId="3" r:id="rId2"/>
    <sheet name="Sheet1" sheetId="4" r:id="rId3"/>
  </sheets>
  <functionGroups/>
  <definedNames>
    <definedName name="AVG">'EVB CCT Cal'!$B$4</definedName>
    <definedName name="Blue">'EVB CCT Cal'!$S$59</definedName>
    <definedName name="blueCount0" localSheetId="0">'EVB CCT Cal'!#REF!</definedName>
    <definedName name="blueCount0">#REF!</definedName>
    <definedName name="blueCount1" localSheetId="0">'EVB CCT Cal'!#REF!</definedName>
    <definedName name="blueCount1">#REF!</definedName>
    <definedName name="blueCount2" localSheetId="0">'EVB CCT Cal'!#REF!</definedName>
    <definedName name="blueCount2">#REF!</definedName>
    <definedName name="blueCount3" localSheetId="0">'EVB CCT Cal'!#REF!</definedName>
    <definedName name="blueCount3">#REF!</definedName>
    <definedName name="blueVal" localSheetId="0">'EVB CCT Cal'!#REF!</definedName>
    <definedName name="blueVal">#REF!</definedName>
    <definedName name="cmpA0">'EVB CCT Cal'!$D$5</definedName>
    <definedName name="cmpAN">'EVB CCT Cal'!$D$6</definedName>
    <definedName name="cmpCWF0">'EVB CCT Cal'!$E$5</definedName>
    <definedName name="cmpCWFN">'EVB CCT Cal'!$E$6</definedName>
    <definedName name="cmpSet">'EVB CCT Cal'!$C$8</definedName>
    <definedName name="cmpTest">'EVB CCT Cal'!$C$6</definedName>
    <definedName name="cmpThres">'EVB CCT Cal'!$B$6</definedName>
    <definedName name="code000">'EVB CCT Cal'!$G$20</definedName>
    <definedName name="code001">'EVB CCT Cal'!$H$20</definedName>
    <definedName name="code002">'EVB CCT Cal'!$I$20</definedName>
    <definedName name="code010">'EVB CCT Cal'!$G$21</definedName>
    <definedName name="code011">'EVB CCT Cal'!$H$21</definedName>
    <definedName name="code012">'EVB CCT Cal'!$I$21</definedName>
    <definedName name="code020">'EVB CCT Cal'!$G$22</definedName>
    <definedName name="code021">'EVB CCT Cal'!$H$22</definedName>
    <definedName name="code022">'EVB CCT Cal'!$I$22</definedName>
    <definedName name="code100">'EVB CCT Cal'!$G$14</definedName>
    <definedName name="code101">'EVB CCT Cal'!$H$14</definedName>
    <definedName name="code102">'EVB CCT Cal'!$I$14</definedName>
    <definedName name="code110">'EVB CCT Cal'!$G$15</definedName>
    <definedName name="code111">'EVB CCT Cal'!$H$15</definedName>
    <definedName name="code112">'EVB CCT Cal'!$I$15</definedName>
    <definedName name="code120">'EVB CCT Cal'!$G$16</definedName>
    <definedName name="code121">'EVB CCT Cal'!$H$16</definedName>
    <definedName name="code122">'EVB CCT Cal'!$I$16</definedName>
    <definedName name="code200">'EVB CCT Cal'!$G$17</definedName>
    <definedName name="code201">'EVB CCT Cal'!$H$17</definedName>
    <definedName name="code202">'EVB CCT Cal'!$I$17</definedName>
    <definedName name="code210">'EVB CCT Cal'!$G$18</definedName>
    <definedName name="code211">'EVB CCT Cal'!$H$18</definedName>
    <definedName name="code212">'EVB CCT Cal'!$I$18</definedName>
    <definedName name="code220">'EVB CCT Cal'!$G$19</definedName>
    <definedName name="code221">'EVB CCT Cal'!$H$19</definedName>
    <definedName name="code222">'EVB CCT Cal'!$I$19</definedName>
    <definedName name="Gain">'EVB CCT Cal'!$S$62</definedName>
    <definedName name="Green">'EVB CCT Cal'!$R$59</definedName>
    <definedName name="greenCount0" localSheetId="0">'EVB CCT Cal'!#REF!</definedName>
    <definedName name="greenCount0">#REF!</definedName>
    <definedName name="greenCount1" localSheetId="0">'EVB CCT Cal'!#REF!</definedName>
    <definedName name="greenCount1">#REF!</definedName>
    <definedName name="greenCount2" localSheetId="0">'EVB CCT Cal'!#REF!</definedName>
    <definedName name="greenCount2">#REF!</definedName>
    <definedName name="greenCount3" localSheetId="0">'EVB CCT Cal'!#REF!</definedName>
    <definedName name="greenCount3">#REF!</definedName>
    <definedName name="greenVal" localSheetId="0">'EVB CCT Cal'!#REF!</definedName>
    <definedName name="greenVal">#REF!</definedName>
    <definedName name="HI">'EVB CCT Cal'!$C$38</definedName>
    <definedName name="HS">'EVB CCT Cal'!$C$39</definedName>
    <definedName name="LO">'EVB CCT Cal'!$C$37</definedName>
    <definedName name="RangeList">'EVB CCT Cal'!$B$37:$B$39</definedName>
    <definedName name="Red">'EVB CCT Cal'!$Q$59</definedName>
    <definedName name="redCount0" localSheetId="0">'EVB CCT Cal'!#REF!</definedName>
    <definedName name="redCount0">#REF!</definedName>
    <definedName name="redCount1" localSheetId="0">'EVB CCT Cal'!#REF!</definedName>
    <definedName name="redCount1">#REF!</definedName>
    <definedName name="redCount2" localSheetId="0">'EVB CCT Cal'!#REF!</definedName>
    <definedName name="redCount2">#REF!</definedName>
    <definedName name="redCount3" localSheetId="0">'EVB CCT Cal'!#REF!</definedName>
    <definedName name="redCount3">#REF!</definedName>
    <definedName name="redVal" localSheetId="0">'EVB CCT Cal'!#REF!</definedName>
    <definedName name="redVal">#REF!</definedName>
    <definedName name="RGBdata">'Monitor Cal'!$K$44:$M$58</definedName>
    <definedName name="setData">'Monitor Cal'!$G$44:$I$58</definedName>
    <definedName name="solver_adj" localSheetId="1" hidden="1">'Monitor Cal'!$H$25</definedName>
    <definedName name="solver_cvg" localSheetId="1" hidden="1">0.0001</definedName>
    <definedName name="solver_drv" localSheetId="1" hidden="1">1</definedName>
    <definedName name="solver_est" localSheetId="1" hidden="1">1</definedName>
    <definedName name="solver_itr" localSheetId="1" hidden="1">100</definedName>
    <definedName name="solver_lin" localSheetId="1" hidden="1">2</definedName>
    <definedName name="solver_neg" localSheetId="1" hidden="1">2</definedName>
    <definedName name="solver_num" localSheetId="1" hidden="1">0</definedName>
    <definedName name="solver_nwt" localSheetId="1" hidden="1">1</definedName>
    <definedName name="solver_opt" localSheetId="1" hidden="1">'Monitor Cal'!$I$25</definedName>
    <definedName name="solver_pre" localSheetId="1" hidden="1">0.000001</definedName>
    <definedName name="solver_scl" localSheetId="1" hidden="1">2</definedName>
    <definedName name="solver_sho" localSheetId="1" hidden="1">2</definedName>
    <definedName name="solver_tim" localSheetId="1" hidden="1">100</definedName>
    <definedName name="solver_tol" localSheetId="1" hidden="1">0.05</definedName>
    <definedName name="solver_typ" localSheetId="1" hidden="1">3</definedName>
    <definedName name="solver_val" localSheetId="1" hidden="1">200</definedName>
  </definedNames>
  <calcPr calcId="125725" iterate="1"/>
</workbook>
</file>

<file path=xl/calcChain.xml><?xml version="1.0" encoding="utf-8"?>
<calcChain xmlns="http://schemas.openxmlformats.org/spreadsheetml/2006/main">
  <c r="AA64" i="2"/>
  <c r="Z64"/>
  <c r="AA63"/>
  <c r="Z63"/>
  <c r="AA62"/>
  <c r="Z62"/>
  <c r="AA61"/>
  <c r="Z61"/>
  <c r="AA60"/>
  <c r="Z60"/>
  <c r="AA59"/>
  <c r="Z59"/>
  <c r="Z58"/>
  <c r="Y58"/>
  <c r="AA58" s="1"/>
  <c r="X58"/>
  <c r="Y5"/>
  <c r="X5"/>
  <c r="X8"/>
  <c r="W8"/>
  <c r="X6"/>
  <c r="W6"/>
  <c r="J17" i="3"/>
  <c r="V78" l="1"/>
  <c r="E85"/>
  <c r="E88" s="1"/>
  <c r="B66"/>
  <c r="Q84" s="1"/>
  <c r="B62"/>
  <c r="B67" s="1"/>
  <c r="Q85" s="1"/>
  <c r="I76"/>
  <c r="U94" s="1"/>
  <c r="H76"/>
  <c r="T94" s="1"/>
  <c r="G76"/>
  <c r="S94" s="1"/>
  <c r="I71"/>
  <c r="U89" s="1"/>
  <c r="H71"/>
  <c r="T89" s="1"/>
  <c r="G71"/>
  <c r="S89" s="1"/>
  <c r="I66"/>
  <c r="U84" s="1"/>
  <c r="H66"/>
  <c r="T84" s="1"/>
  <c r="G66"/>
  <c r="S84" s="1"/>
  <c r="I75"/>
  <c r="U93" s="1"/>
  <c r="H75"/>
  <c r="T93" s="1"/>
  <c r="G75"/>
  <c r="S93" s="1"/>
  <c r="I70"/>
  <c r="U88" s="1"/>
  <c r="H70"/>
  <c r="T88" s="1"/>
  <c r="G70"/>
  <c r="S88" s="1"/>
  <c r="I65"/>
  <c r="U83" s="1"/>
  <c r="H65"/>
  <c r="T83" s="1"/>
  <c r="G65"/>
  <c r="S83" s="1"/>
  <c r="I74"/>
  <c r="U92" s="1"/>
  <c r="H74"/>
  <c r="T92" s="1"/>
  <c r="G74"/>
  <c r="S92" s="1"/>
  <c r="I69"/>
  <c r="U87" s="1"/>
  <c r="H69"/>
  <c r="T87" s="1"/>
  <c r="G69"/>
  <c r="S87" s="1"/>
  <c r="I64"/>
  <c r="U82" s="1"/>
  <c r="H64"/>
  <c r="T82" s="1"/>
  <c r="G64"/>
  <c r="S82" s="1"/>
  <c r="I73"/>
  <c r="U91" s="1"/>
  <c r="H73"/>
  <c r="T91" s="1"/>
  <c r="G73"/>
  <c r="S91" s="1"/>
  <c r="I68"/>
  <c r="U86" s="1"/>
  <c r="H68"/>
  <c r="T86" s="1"/>
  <c r="G68"/>
  <c r="S86" s="1"/>
  <c r="I63"/>
  <c r="U81" s="1"/>
  <c r="H63"/>
  <c r="T81" s="1"/>
  <c r="G63"/>
  <c r="S81" s="1"/>
  <c r="I72"/>
  <c r="U90" s="1"/>
  <c r="H72"/>
  <c r="T90" s="1"/>
  <c r="G72"/>
  <c r="S90" s="1"/>
  <c r="C72"/>
  <c r="R90" s="1"/>
  <c r="I67"/>
  <c r="U85" s="1"/>
  <c r="H67"/>
  <c r="T85" s="1"/>
  <c r="G67"/>
  <c r="S85" s="1"/>
  <c r="C67"/>
  <c r="R85" s="1"/>
  <c r="C62"/>
  <c r="R80" s="1"/>
  <c r="I62"/>
  <c r="U80" s="1"/>
  <c r="H62"/>
  <c r="T80" s="1"/>
  <c r="G62"/>
  <c r="S80" s="1"/>
  <c r="U58"/>
  <c r="T58"/>
  <c r="S58"/>
  <c r="U57"/>
  <c r="T57"/>
  <c r="S57"/>
  <c r="U56"/>
  <c r="T56"/>
  <c r="S56"/>
  <c r="U55"/>
  <c r="T55"/>
  <c r="S55"/>
  <c r="U54"/>
  <c r="T54"/>
  <c r="S54"/>
  <c r="U53"/>
  <c r="T53"/>
  <c r="S53"/>
  <c r="U52"/>
  <c r="T52"/>
  <c r="S52"/>
  <c r="U51"/>
  <c r="T51"/>
  <c r="S51"/>
  <c r="U50"/>
  <c r="T50"/>
  <c r="S50"/>
  <c r="U49"/>
  <c r="T49"/>
  <c r="S49"/>
  <c r="U48"/>
  <c r="T48"/>
  <c r="S48"/>
  <c r="U47"/>
  <c r="T47"/>
  <c r="S47"/>
  <c r="U46"/>
  <c r="T46"/>
  <c r="S46"/>
  <c r="U45"/>
  <c r="T45"/>
  <c r="S45"/>
  <c r="U44"/>
  <c r="T44"/>
  <c r="S44"/>
  <c r="F43"/>
  <c r="E43"/>
  <c r="D43"/>
  <c r="J49"/>
  <c r="C73" s="1"/>
  <c r="R91" s="1"/>
  <c r="J48"/>
  <c r="J51" s="1"/>
  <c r="J54" s="1"/>
  <c r="J57" s="1"/>
  <c r="C71" s="1"/>
  <c r="R89" s="1"/>
  <c r="J47"/>
  <c r="J50" s="1"/>
  <c r="M43"/>
  <c r="L43"/>
  <c r="K43"/>
  <c r="M83"/>
  <c r="M85"/>
  <c r="M82"/>
  <c r="Q80" l="1"/>
  <c r="J52"/>
  <c r="J55" s="1"/>
  <c r="J58" s="1"/>
  <c r="C76" s="1"/>
  <c r="R94" s="1"/>
  <c r="B71"/>
  <c r="B76" s="1"/>
  <c r="Q94" s="1"/>
  <c r="B72"/>
  <c r="Q90" s="1"/>
  <c r="J67"/>
  <c r="J68" s="1"/>
  <c r="J69" s="1"/>
  <c r="J70" s="1"/>
  <c r="J71" s="1"/>
  <c r="J72"/>
  <c r="J73" s="1"/>
  <c r="J74" s="1"/>
  <c r="J75" s="1"/>
  <c r="J76" s="1"/>
  <c r="J62"/>
  <c r="J63" s="1"/>
  <c r="J64" s="1"/>
  <c r="J65" s="1"/>
  <c r="J66" s="1"/>
  <c r="J53"/>
  <c r="C64"/>
  <c r="R82" s="1"/>
  <c r="C63"/>
  <c r="R81" s="1"/>
  <c r="C68"/>
  <c r="R86" s="1"/>
  <c r="C69"/>
  <c r="R87" s="1"/>
  <c r="C74"/>
  <c r="R92" s="1"/>
  <c r="C70"/>
  <c r="R88" s="1"/>
  <c r="C75"/>
  <c r="R93" s="1"/>
  <c r="E34"/>
  <c r="F34" s="1"/>
  <c r="O31"/>
  <c r="O27"/>
  <c r="P26"/>
  <c r="O26"/>
  <c r="E9"/>
  <c r="E8"/>
  <c r="D11"/>
  <c r="D8"/>
  <c r="C13"/>
  <c r="C8"/>
  <c r="F31"/>
  <c r="E31"/>
  <c r="Q89" l="1"/>
  <c r="M60"/>
  <c r="J56"/>
  <c r="C66" s="1"/>
  <c r="R84" s="1"/>
  <c r="C65"/>
  <c r="R83" s="1"/>
  <c r="P34"/>
  <c r="D31"/>
  <c r="D27"/>
  <c r="O17"/>
  <c r="K17"/>
  <c r="Q17" s="1"/>
  <c r="I18"/>
  <c r="I19"/>
  <c r="I20"/>
  <c r="K20"/>
  <c r="J20"/>
  <c r="K19"/>
  <c r="J19"/>
  <c r="K18"/>
  <c r="J18"/>
  <c r="D12"/>
  <c r="G12" s="1"/>
  <c r="C14"/>
  <c r="F14" s="1"/>
  <c r="F13"/>
  <c r="D13"/>
  <c r="G13" s="1"/>
  <c r="E10"/>
  <c r="E14" s="1"/>
  <c r="D10"/>
  <c r="D15" s="1"/>
  <c r="G15" s="1"/>
  <c r="G11"/>
  <c r="E11"/>
  <c r="H11" s="1"/>
  <c r="H9"/>
  <c r="D9"/>
  <c r="D14" s="1"/>
  <c r="G14" s="1"/>
  <c r="C9"/>
  <c r="C11" s="1"/>
  <c r="H8"/>
  <c r="G8"/>
  <c r="F8"/>
  <c r="B8"/>
  <c r="B9" s="1"/>
  <c r="B11" s="1"/>
  <c r="B10" s="1"/>
  <c r="B13" s="1"/>
  <c r="B14" s="1"/>
  <c r="B12" s="1"/>
  <c r="B15" s="1"/>
  <c r="E14" i="2"/>
  <c r="I49" s="1"/>
  <c r="B6"/>
  <c r="J20"/>
  <c r="M59"/>
  <c r="M58"/>
  <c r="E7"/>
  <c r="J52"/>
  <c r="I52"/>
  <c r="H52"/>
  <c r="J49"/>
  <c r="H49"/>
  <c r="E27" i="3"/>
  <c r="M19" i="2"/>
  <c r="F27" i="3"/>
  <c r="K73" l="1"/>
  <c r="M80"/>
  <c r="M81"/>
  <c r="K62"/>
  <c r="L68"/>
  <c r="K63"/>
  <c r="L69"/>
  <c r="M72"/>
  <c r="K64"/>
  <c r="L67"/>
  <c r="M73"/>
  <c r="K66"/>
  <c r="L71"/>
  <c r="M76"/>
  <c r="K67"/>
  <c r="L72"/>
  <c r="M62"/>
  <c r="K68"/>
  <c r="L73"/>
  <c r="M63"/>
  <c r="K69"/>
  <c r="M75"/>
  <c r="K65"/>
  <c r="M64"/>
  <c r="K70"/>
  <c r="L75"/>
  <c r="M65"/>
  <c r="K71"/>
  <c r="L76"/>
  <c r="M66"/>
  <c r="K72"/>
  <c r="L62"/>
  <c r="M67"/>
  <c r="L74"/>
  <c r="M74"/>
  <c r="L70"/>
  <c r="L63"/>
  <c r="M68"/>
  <c r="K74"/>
  <c r="L64"/>
  <c r="M69"/>
  <c r="K75"/>
  <c r="L65"/>
  <c r="M70"/>
  <c r="K76"/>
  <c r="L66"/>
  <c r="M71"/>
  <c r="H10"/>
  <c r="H14"/>
  <c r="E15"/>
  <c r="H15" s="1"/>
  <c r="P17"/>
  <c r="C10"/>
  <c r="F10" s="1"/>
  <c r="F11"/>
  <c r="G9"/>
  <c r="F9"/>
  <c r="E13"/>
  <c r="C12"/>
  <c r="G10"/>
  <c r="K52" i="2"/>
  <c r="L52"/>
  <c r="K49"/>
  <c r="J46"/>
  <c r="I46"/>
  <c r="H46"/>
  <c r="B29"/>
  <c r="B32" s="1"/>
  <c r="B35" s="1"/>
  <c r="B28"/>
  <c r="B31" s="1"/>
  <c r="B34" s="1"/>
  <c r="B27"/>
  <c r="B30" s="1"/>
  <c r="B33" s="1"/>
  <c r="B39"/>
  <c r="K61" s="1"/>
  <c r="B38"/>
  <c r="K60" s="1"/>
  <c r="B37"/>
  <c r="K59" s="1"/>
  <c r="I29"/>
  <c r="H29"/>
  <c r="G29"/>
  <c r="I28"/>
  <c r="H28"/>
  <c r="G28"/>
  <c r="J19"/>
  <c r="J16"/>
  <c r="J22"/>
  <c r="F29"/>
  <c r="F32" s="1"/>
  <c r="F35" s="1"/>
  <c r="E29"/>
  <c r="E32" s="1"/>
  <c r="E35" s="1"/>
  <c r="D29"/>
  <c r="D32" s="1"/>
  <c r="D35" s="1"/>
  <c r="F28"/>
  <c r="F31" s="1"/>
  <c r="F34" s="1"/>
  <c r="E28"/>
  <c r="E31" s="1"/>
  <c r="E34" s="1"/>
  <c r="D28"/>
  <c r="D31" s="1"/>
  <c r="D34" s="1"/>
  <c r="I27"/>
  <c r="H27"/>
  <c r="G27"/>
  <c r="F27"/>
  <c r="F30" s="1"/>
  <c r="F33" s="1"/>
  <c r="E27"/>
  <c r="E30" s="1"/>
  <c r="E33" s="1"/>
  <c r="D27"/>
  <c r="D30" s="1"/>
  <c r="D33" s="1"/>
  <c r="C16"/>
  <c r="C19" s="1"/>
  <c r="C33" s="1"/>
  <c r="C15"/>
  <c r="C18" s="1"/>
  <c r="C30" s="1"/>
  <c r="C14"/>
  <c r="C17" s="1"/>
  <c r="C27" s="1"/>
  <c r="J17"/>
  <c r="J14"/>
  <c r="D7"/>
  <c r="F4"/>
  <c r="F5" s="1"/>
  <c r="Y6" s="1"/>
  <c r="H27" i="3"/>
  <c r="M52" i="2"/>
  <c r="S9" i="3" l="1" a="1"/>
  <c r="E12"/>
  <c r="H12" s="1"/>
  <c r="H13"/>
  <c r="F12"/>
  <c r="C15"/>
  <c r="F15" s="1"/>
  <c r="C47" i="2"/>
  <c r="C50" s="1"/>
  <c r="C53" s="1"/>
  <c r="B61"/>
  <c r="C46"/>
  <c r="C49" s="1"/>
  <c r="C52" s="1"/>
  <c r="B58"/>
  <c r="C48"/>
  <c r="C51" s="1"/>
  <c r="C54" s="1"/>
  <c r="B64"/>
  <c r="K46"/>
  <c r="C58" a="1"/>
  <c r="C59" a="1"/>
  <c r="C60" a="1"/>
  <c r="L46"/>
  <c r="L49"/>
  <c r="K13"/>
  <c r="M61" s="1"/>
  <c r="K12"/>
  <c r="M60" s="1"/>
  <c r="F6"/>
  <c r="M18"/>
  <c r="M46"/>
  <c r="M49"/>
  <c r="F7" l="1"/>
  <c r="C8" s="1"/>
  <c r="Y8"/>
  <c r="U9" i="3"/>
  <c r="S13" s="1"/>
  <c r="V9"/>
  <c r="V13" s="1"/>
  <c r="S9"/>
  <c r="U13" s="1"/>
  <c r="T9"/>
  <c r="T13" s="1"/>
  <c r="S10" a="1"/>
  <c r="S8" a="1"/>
  <c r="E58" i="2"/>
  <c r="D58"/>
  <c r="C58"/>
  <c r="D59"/>
  <c r="C59"/>
  <c r="E59"/>
  <c r="E60"/>
  <c r="D60"/>
  <c r="C60"/>
  <c r="H35"/>
  <c r="I34"/>
  <c r="G34"/>
  <c r="H33"/>
  <c r="H34"/>
  <c r="I33"/>
  <c r="I35"/>
  <c r="G33"/>
  <c r="G35"/>
  <c r="H30"/>
  <c r="G32"/>
  <c r="H31"/>
  <c r="I30"/>
  <c r="I32"/>
  <c r="G30"/>
  <c r="H32"/>
  <c r="I31"/>
  <c r="G31"/>
  <c r="M16"/>
  <c r="M11" l="1"/>
  <c r="F8"/>
  <c r="E9"/>
  <c r="F9" s="1"/>
  <c r="Y7" s="1"/>
  <c r="D9"/>
  <c r="X7" s="1"/>
  <c r="W7"/>
  <c r="D17" i="3"/>
  <c r="T10"/>
  <c r="T14" s="1"/>
  <c r="U10"/>
  <c r="S14" s="1"/>
  <c r="V10"/>
  <c r="V14" s="1"/>
  <c r="S10"/>
  <c r="U14" s="1"/>
  <c r="M14"/>
  <c r="P14" s="1"/>
  <c r="M12"/>
  <c r="P12" s="1"/>
  <c r="M8"/>
  <c r="P8" s="1"/>
  <c r="M15"/>
  <c r="P15" s="1"/>
  <c r="M11"/>
  <c r="P11" s="1"/>
  <c r="M9"/>
  <c r="P9" s="1"/>
  <c r="M13"/>
  <c r="P13" s="1"/>
  <c r="M10"/>
  <c r="P10" s="1"/>
  <c r="V8"/>
  <c r="V12" s="1"/>
  <c r="S8"/>
  <c r="U12" s="1"/>
  <c r="T8"/>
  <c r="T12" s="1"/>
  <c r="U8"/>
  <c r="S12" s="1"/>
  <c r="H60" i="2"/>
  <c r="I60"/>
  <c r="I59"/>
  <c r="G58"/>
  <c r="G60"/>
  <c r="I58"/>
  <c r="G59"/>
  <c r="H58"/>
  <c r="H59"/>
  <c r="F58"/>
  <c r="C64" a="1"/>
  <c r="C65" a="1"/>
  <c r="C66" a="1"/>
  <c r="C61" a="1"/>
  <c r="C63" a="1"/>
  <c r="C62" a="1"/>
  <c r="D38" a="1"/>
  <c r="D37" a="1"/>
  <c r="D39" a="1"/>
  <c r="M20"/>
  <c r="M22"/>
  <c r="M21"/>
  <c r="L11" i="3" l="1"/>
  <c r="O11" s="1"/>
  <c r="L15"/>
  <c r="O15" s="1"/>
  <c r="C17"/>
  <c r="E17"/>
  <c r="N11"/>
  <c r="Q11" s="1"/>
  <c r="N13"/>
  <c r="Q13" s="1"/>
  <c r="N10"/>
  <c r="Q10" s="1"/>
  <c r="N14"/>
  <c r="Q14" s="1"/>
  <c r="N12"/>
  <c r="Q12" s="1"/>
  <c r="N8"/>
  <c r="Q8" s="1"/>
  <c r="N15"/>
  <c r="Q15" s="1"/>
  <c r="N9"/>
  <c r="Q9" s="1"/>
  <c r="L9"/>
  <c r="O9" s="1"/>
  <c r="L12"/>
  <c r="O12" s="1"/>
  <c r="L8"/>
  <c r="O8" s="1"/>
  <c r="L13"/>
  <c r="O13" s="1"/>
  <c r="L10"/>
  <c r="O10" s="1"/>
  <c r="L14"/>
  <c r="O14" s="1"/>
  <c r="C63" i="2"/>
  <c r="D63"/>
  <c r="E63"/>
  <c r="C64"/>
  <c r="D64"/>
  <c r="E64"/>
  <c r="C62"/>
  <c r="E62"/>
  <c r="D62"/>
  <c r="C65"/>
  <c r="E65"/>
  <c r="D65"/>
  <c r="C66"/>
  <c r="E66"/>
  <c r="D66"/>
  <c r="C61"/>
  <c r="E61"/>
  <c r="G61" s="1"/>
  <c r="D61"/>
  <c r="E38"/>
  <c r="D38"/>
  <c r="F38"/>
  <c r="E39"/>
  <c r="D39"/>
  <c r="F39"/>
  <c r="F37"/>
  <c r="E37"/>
  <c r="D37"/>
  <c r="H61" l="1"/>
  <c r="G66"/>
  <c r="I65"/>
  <c r="G64"/>
  <c r="I66"/>
  <c r="H64"/>
  <c r="F61"/>
  <c r="H62"/>
  <c r="I63"/>
  <c r="H63"/>
  <c r="H66"/>
  <c r="G65"/>
  <c r="I62"/>
  <c r="G63"/>
  <c r="F64"/>
  <c r="H65"/>
  <c r="I61"/>
  <c r="G62"/>
  <c r="I64"/>
  <c r="C37"/>
  <c r="M23"/>
  <c r="M25"/>
  <c r="M24"/>
  <c r="M26"/>
  <c r="M28"/>
  <c r="M17"/>
  <c r="M27"/>
  <c r="D46" l="1"/>
  <c r="I39"/>
  <c r="G38"/>
  <c r="H39"/>
  <c r="H37"/>
  <c r="I38"/>
  <c r="I37"/>
  <c r="G39"/>
  <c r="H38"/>
  <c r="G37"/>
  <c r="C38"/>
  <c r="C39"/>
  <c r="Q61" l="1"/>
  <c r="D49"/>
  <c r="P49" s="1"/>
  <c r="N46"/>
  <c r="S61"/>
  <c r="R61"/>
  <c r="D48"/>
  <c r="P48" s="1"/>
  <c r="D47"/>
  <c r="N47" s="1"/>
  <c r="O46"/>
  <c r="M35"/>
  <c r="M36"/>
  <c r="M34"/>
  <c r="P46"/>
  <c r="M37"/>
  <c r="M38"/>
  <c r="M39"/>
  <c r="Q63" l="1"/>
  <c r="R63"/>
  <c r="N49"/>
  <c r="O49"/>
  <c r="F49" s="1"/>
  <c r="D52"/>
  <c r="P52" s="1"/>
  <c r="Q65"/>
  <c r="D51"/>
  <c r="P51" s="1"/>
  <c r="N48"/>
  <c r="O48"/>
  <c r="P47"/>
  <c r="D50"/>
  <c r="N50" s="1"/>
  <c r="O47"/>
  <c r="Q46"/>
  <c r="F46"/>
  <c r="R46"/>
  <c r="S46"/>
  <c r="R65"/>
  <c r="R49" l="1"/>
  <c r="N52"/>
  <c r="Q49"/>
  <c r="O52"/>
  <c r="N51"/>
  <c r="O51"/>
  <c r="D54"/>
  <c r="P54" s="1"/>
  <c r="R48"/>
  <c r="F48"/>
  <c r="Q48"/>
  <c r="O50"/>
  <c r="F50" s="1"/>
  <c r="D53"/>
  <c r="P53" s="1"/>
  <c r="P50"/>
  <c r="R47"/>
  <c r="F47"/>
  <c r="Q47"/>
  <c r="E46"/>
  <c r="G46"/>
  <c r="S47"/>
  <c r="S49"/>
  <c r="S48"/>
  <c r="E49" l="1"/>
  <c r="Q52"/>
  <c r="G49"/>
  <c r="F52"/>
  <c r="R52"/>
  <c r="R51"/>
  <c r="F51"/>
  <c r="Q51"/>
  <c r="N54"/>
  <c r="O54"/>
  <c r="R50"/>
  <c r="E48"/>
  <c r="O53"/>
  <c r="F53" s="1"/>
  <c r="G48"/>
  <c r="N53"/>
  <c r="Q50"/>
  <c r="E47"/>
  <c r="G47"/>
  <c r="S52"/>
  <c r="S50"/>
  <c r="S51"/>
  <c r="E52" l="1"/>
  <c r="G52"/>
  <c r="E51"/>
  <c r="G51"/>
  <c r="R54"/>
  <c r="F54"/>
  <c r="Q54"/>
  <c r="E50"/>
  <c r="Q53"/>
  <c r="R53"/>
  <c r="G50"/>
  <c r="S53"/>
  <c r="S54"/>
  <c r="E54" l="1"/>
  <c r="G54"/>
  <c r="E53"/>
  <c r="G53"/>
  <c r="H34" i="3"/>
  <c r="G34"/>
  <c r="I34"/>
  <c r="G31"/>
  <c r="G27"/>
  <c r="I27"/>
  <c r="H31"/>
  <c r="I31"/>
  <c r="E56" l="1"/>
  <c r="F56"/>
  <c r="E44"/>
  <c r="D44"/>
  <c r="F44"/>
  <c r="D56"/>
  <c r="P31"/>
  <c r="P27"/>
  <c r="J27"/>
  <c r="G44" s="1"/>
  <c r="G45" s="1"/>
  <c r="G46" s="1"/>
  <c r="L27"/>
  <c r="I44" s="1"/>
  <c r="I45" s="1"/>
  <c r="I46" s="1"/>
  <c r="K27"/>
  <c r="H44" s="1"/>
  <c r="H45" s="1"/>
  <c r="H46" s="1"/>
  <c r="L34"/>
  <c r="K34"/>
  <c r="J34"/>
  <c r="K31"/>
  <c r="H56" s="1"/>
  <c r="H57" s="1"/>
  <c r="H58" s="1"/>
  <c r="J31"/>
  <c r="G56" s="1"/>
  <c r="G57" s="1"/>
  <c r="G58" s="1"/>
  <c r="L31"/>
  <c r="I56" s="1"/>
  <c r="I57" s="1"/>
  <c r="I58" s="1"/>
  <c r="F45" l="1"/>
  <c r="F62"/>
  <c r="E57"/>
  <c r="E66"/>
  <c r="D57"/>
  <c r="D66"/>
  <c r="F57"/>
  <c r="F66"/>
  <c r="E45"/>
  <c r="E62"/>
  <c r="D45"/>
  <c r="D62"/>
  <c r="F46" l="1"/>
  <c r="F72" s="1"/>
  <c r="F67"/>
  <c r="E46"/>
  <c r="E72" s="1"/>
  <c r="E67"/>
  <c r="D46"/>
  <c r="D72" s="1"/>
  <c r="D67"/>
  <c r="F58"/>
  <c r="F76" s="1"/>
  <c r="F71"/>
  <c r="E58"/>
  <c r="E76" s="1"/>
  <c r="E71"/>
  <c r="D58"/>
  <c r="D76" s="1"/>
  <c r="D71"/>
  <c r="I25"/>
  <c r="B26"/>
  <c r="C28"/>
  <c r="D28"/>
  <c r="E28"/>
  <c r="F28"/>
  <c r="G28"/>
  <c r="H28"/>
  <c r="I28"/>
  <c r="J28"/>
  <c r="K28"/>
  <c r="L28"/>
  <c r="O28"/>
  <c r="P28"/>
  <c r="C29"/>
  <c r="D29"/>
  <c r="E29"/>
  <c r="F29"/>
  <c r="G29"/>
  <c r="H29"/>
  <c r="I29"/>
  <c r="J29"/>
  <c r="K29"/>
  <c r="L29"/>
  <c r="O29"/>
  <c r="P29"/>
  <c r="C30"/>
  <c r="D30"/>
  <c r="E30"/>
  <c r="F30"/>
  <c r="G30"/>
  <c r="H30"/>
  <c r="I30"/>
  <c r="J30"/>
  <c r="K30"/>
  <c r="L30"/>
  <c r="O30"/>
  <c r="P30"/>
  <c r="C32"/>
  <c r="D32"/>
  <c r="E32"/>
  <c r="F32"/>
  <c r="G32"/>
  <c r="H32"/>
  <c r="I32"/>
  <c r="J32"/>
  <c r="K32"/>
  <c r="L32"/>
  <c r="M32"/>
  <c r="C33"/>
  <c r="D33"/>
  <c r="E33"/>
  <c r="F33"/>
  <c r="G33"/>
  <c r="H33"/>
  <c r="I33"/>
  <c r="J33"/>
  <c r="K33"/>
  <c r="L33"/>
  <c r="M33"/>
  <c r="D47"/>
  <c r="E47"/>
  <c r="F47"/>
  <c r="G47"/>
  <c r="H47"/>
  <c r="I47"/>
  <c r="D48"/>
  <c r="E48"/>
  <c r="F48"/>
  <c r="G48"/>
  <c r="H48"/>
  <c r="I48"/>
  <c r="D49"/>
  <c r="E49"/>
  <c r="F49"/>
  <c r="G49"/>
  <c r="H49"/>
  <c r="I49"/>
  <c r="D50"/>
  <c r="E50"/>
  <c r="F50"/>
  <c r="G50"/>
  <c r="H50"/>
  <c r="I50"/>
  <c r="D51"/>
  <c r="E51"/>
  <c r="F51"/>
  <c r="G51"/>
  <c r="H51"/>
  <c r="I51"/>
  <c r="D52"/>
  <c r="E52"/>
  <c r="F52"/>
  <c r="G52"/>
  <c r="H52"/>
  <c r="I52"/>
  <c r="D53"/>
  <c r="E53"/>
  <c r="F53"/>
  <c r="G53"/>
  <c r="H53"/>
  <c r="I53"/>
  <c r="D54"/>
  <c r="E54"/>
  <c r="F54"/>
  <c r="G54"/>
  <c r="H54"/>
  <c r="I54"/>
  <c r="D55"/>
  <c r="E55"/>
  <c r="F55"/>
  <c r="G55"/>
  <c r="H55"/>
  <c r="I55"/>
  <c r="N62"/>
  <c r="O62"/>
  <c r="P62"/>
  <c r="Q62"/>
  <c r="R62"/>
  <c r="S62"/>
  <c r="T62"/>
  <c r="U62"/>
  <c r="V62"/>
  <c r="W62"/>
  <c r="X62"/>
  <c r="Y62"/>
  <c r="B63"/>
  <c r="D63"/>
  <c r="E63"/>
  <c r="F63"/>
  <c r="N63"/>
  <c r="O63"/>
  <c r="P63"/>
  <c r="Q63"/>
  <c r="R63"/>
  <c r="S63"/>
  <c r="T63"/>
  <c r="U63"/>
  <c r="V63"/>
  <c r="W63"/>
  <c r="X63"/>
  <c r="Y63"/>
  <c r="B64"/>
  <c r="D64"/>
  <c r="E64"/>
  <c r="F64"/>
  <c r="N64"/>
  <c r="O64"/>
  <c r="P64"/>
  <c r="Q64"/>
  <c r="R64"/>
  <c r="S64"/>
  <c r="T64"/>
  <c r="U64"/>
  <c r="V64"/>
  <c r="W64"/>
  <c r="X64"/>
  <c r="Y64"/>
  <c r="B65"/>
  <c r="D65"/>
  <c r="E65"/>
  <c r="F65"/>
  <c r="N65"/>
  <c r="O65"/>
  <c r="P65"/>
  <c r="Q65"/>
  <c r="R65"/>
  <c r="S65"/>
  <c r="T65"/>
  <c r="U65"/>
  <c r="V65"/>
  <c r="W65"/>
  <c r="X65"/>
  <c r="Y65"/>
  <c r="N66"/>
  <c r="O66"/>
  <c r="P66"/>
  <c r="Q66"/>
  <c r="R66"/>
  <c r="S66"/>
  <c r="T66"/>
  <c r="U66"/>
  <c r="V66"/>
  <c r="W66"/>
  <c r="X66"/>
  <c r="Y66"/>
  <c r="N67"/>
  <c r="O67"/>
  <c r="P67"/>
  <c r="Q67"/>
  <c r="R67"/>
  <c r="S67"/>
  <c r="T67"/>
  <c r="U67"/>
  <c r="V67"/>
  <c r="W67"/>
  <c r="X67"/>
  <c r="Y67"/>
  <c r="B68"/>
  <c r="D68"/>
  <c r="E68"/>
  <c r="F68"/>
  <c r="N68"/>
  <c r="O68"/>
  <c r="P68"/>
  <c r="Q68"/>
  <c r="R68"/>
  <c r="S68"/>
  <c r="T68"/>
  <c r="U68"/>
  <c r="V68"/>
  <c r="W68"/>
  <c r="X68"/>
  <c r="Y68"/>
  <c r="B69"/>
  <c r="D69"/>
  <c r="E69"/>
  <c r="F69"/>
  <c r="N69"/>
  <c r="O69"/>
  <c r="P69"/>
  <c r="Q69"/>
  <c r="R69"/>
  <c r="S69"/>
  <c r="T69"/>
  <c r="U69"/>
  <c r="V69"/>
  <c r="W69"/>
  <c r="X69"/>
  <c r="Y69"/>
  <c r="B70"/>
  <c r="D70"/>
  <c r="E70"/>
  <c r="F70"/>
  <c r="N70"/>
  <c r="O70"/>
  <c r="P70"/>
  <c r="Q70"/>
  <c r="R70"/>
  <c r="S70"/>
  <c r="T70"/>
  <c r="U70"/>
  <c r="V70"/>
  <c r="W70"/>
  <c r="X70"/>
  <c r="Y70"/>
  <c r="N71"/>
  <c r="O71"/>
  <c r="P71"/>
  <c r="Q71"/>
  <c r="R71"/>
  <c r="S71"/>
  <c r="T71"/>
  <c r="U71"/>
  <c r="V71"/>
  <c r="W71"/>
  <c r="X71"/>
  <c r="Y71"/>
  <c r="N72"/>
  <c r="O72"/>
  <c r="P72"/>
  <c r="Q72"/>
  <c r="R72"/>
  <c r="S72"/>
  <c r="T72"/>
  <c r="U72"/>
  <c r="V72"/>
  <c r="W72"/>
  <c r="X72"/>
  <c r="Y72"/>
  <c r="B73"/>
  <c r="D73"/>
  <c r="E73"/>
  <c r="F73"/>
  <c r="N73"/>
  <c r="O73"/>
  <c r="P73"/>
  <c r="Q73"/>
  <c r="R73"/>
  <c r="S73"/>
  <c r="T73"/>
  <c r="U73"/>
  <c r="V73"/>
  <c r="W73"/>
  <c r="X73"/>
  <c r="Y73"/>
  <c r="B74"/>
  <c r="D74"/>
  <c r="E74"/>
  <c r="F74"/>
  <c r="N74"/>
  <c r="O74"/>
  <c r="P74"/>
  <c r="Q74"/>
  <c r="R74"/>
  <c r="S74"/>
  <c r="T74"/>
  <c r="U74"/>
  <c r="V74"/>
  <c r="W74"/>
  <c r="X74"/>
  <c r="Y74"/>
  <c r="B75"/>
  <c r="D75"/>
  <c r="E75"/>
  <c r="F75"/>
  <c r="N75"/>
  <c r="O75"/>
  <c r="P75"/>
  <c r="Q75"/>
  <c r="R75"/>
  <c r="S75"/>
  <c r="T75"/>
  <c r="U75"/>
  <c r="V75"/>
  <c r="W75"/>
  <c r="X75"/>
  <c r="Y75"/>
  <c r="N76"/>
  <c r="O76"/>
  <c r="P76"/>
  <c r="Q76"/>
  <c r="R76"/>
  <c r="S76"/>
  <c r="T76"/>
  <c r="U76"/>
  <c r="V76"/>
  <c r="W76"/>
  <c r="X76"/>
  <c r="Y76"/>
  <c r="P78"/>
  <c r="B79" a="1"/>
  <c r="B79"/>
  <c r="C79"/>
  <c r="D79"/>
  <c r="F79"/>
  <c r="G79"/>
  <c r="H79"/>
  <c r="O79"/>
  <c r="P79"/>
  <c r="B80" a="1"/>
  <c r="B80"/>
  <c r="C80"/>
  <c r="D80"/>
  <c r="F80"/>
  <c r="G80"/>
  <c r="H80"/>
  <c r="O80"/>
  <c r="P80"/>
  <c r="V80"/>
  <c r="W80"/>
  <c r="X80"/>
  <c r="B81" a="1"/>
  <c r="B81"/>
  <c r="C81"/>
  <c r="D81"/>
  <c r="F81"/>
  <c r="G81"/>
  <c r="H81"/>
  <c r="O81"/>
  <c r="P81"/>
  <c r="Q81"/>
  <c r="V81"/>
  <c r="W81"/>
  <c r="X81"/>
  <c r="B82" a="1"/>
  <c r="B82"/>
  <c r="C82"/>
  <c r="D82"/>
  <c r="F82"/>
  <c r="G82"/>
  <c r="H82"/>
  <c r="I82"/>
  <c r="J82"/>
  <c r="K82"/>
  <c r="Q82"/>
  <c r="V82"/>
  <c r="W82"/>
  <c r="X82"/>
  <c r="B83" a="1"/>
  <c r="B83"/>
  <c r="C83"/>
  <c r="D83"/>
  <c r="F83"/>
  <c r="G83"/>
  <c r="H83"/>
  <c r="I83"/>
  <c r="J83"/>
  <c r="K83"/>
  <c r="Q83"/>
  <c r="V83"/>
  <c r="W83"/>
  <c r="X83"/>
  <c r="B84" a="1"/>
  <c r="B84"/>
  <c r="C84"/>
  <c r="D84"/>
  <c r="F84"/>
  <c r="G84"/>
  <c r="H84"/>
  <c r="I84"/>
  <c r="J84"/>
  <c r="K84"/>
  <c r="M84"/>
  <c r="V84"/>
  <c r="W84"/>
  <c r="X84"/>
  <c r="B85" a="1"/>
  <c r="B85"/>
  <c r="C85"/>
  <c r="D85"/>
  <c r="F85"/>
  <c r="G85"/>
  <c r="H85"/>
  <c r="I85"/>
  <c r="J85"/>
  <c r="K85"/>
  <c r="V85"/>
  <c r="W85"/>
  <c r="X85"/>
  <c r="B86" a="1"/>
  <c r="B86"/>
  <c r="C86"/>
  <c r="D86"/>
  <c r="F86"/>
  <c r="G86"/>
  <c r="H86"/>
  <c r="I86"/>
  <c r="J86"/>
  <c r="K86"/>
  <c r="M86"/>
  <c r="Q86"/>
  <c r="V86"/>
  <c r="W86"/>
  <c r="X86"/>
  <c r="B87" a="1"/>
  <c r="B87"/>
  <c r="C87"/>
  <c r="D87"/>
  <c r="F87"/>
  <c r="G87"/>
  <c r="H87"/>
  <c r="I87"/>
  <c r="J87"/>
  <c r="K87"/>
  <c r="M87"/>
  <c r="Q87"/>
  <c r="V87"/>
  <c r="W87"/>
  <c r="X87"/>
  <c r="B88" a="1"/>
  <c r="B88"/>
  <c r="C88"/>
  <c r="D88"/>
  <c r="F88"/>
  <c r="G88"/>
  <c r="H88"/>
  <c r="I88"/>
  <c r="J88"/>
  <c r="K88"/>
  <c r="M88"/>
  <c r="Q88"/>
  <c r="V88"/>
  <c r="W88"/>
  <c r="X88"/>
  <c r="B89" a="1"/>
  <c r="B89"/>
  <c r="C89"/>
  <c r="D89"/>
  <c r="F89"/>
  <c r="G89"/>
  <c r="H89"/>
  <c r="I89"/>
  <c r="J89"/>
  <c r="K89"/>
  <c r="M89"/>
  <c r="V89"/>
  <c r="W89"/>
  <c r="X89"/>
  <c r="B90" a="1"/>
  <c r="B90"/>
  <c r="C90"/>
  <c r="D90"/>
  <c r="F90"/>
  <c r="G90"/>
  <c r="H90"/>
  <c r="I90"/>
  <c r="J90"/>
  <c r="K90"/>
  <c r="M90"/>
  <c r="V90"/>
  <c r="W90"/>
  <c r="X90"/>
  <c r="M91"/>
  <c r="Q91"/>
  <c r="V91"/>
  <c r="W91"/>
  <c r="X91"/>
  <c r="M92"/>
  <c r="Q92"/>
  <c r="V92"/>
  <c r="W92"/>
  <c r="X92"/>
  <c r="M93"/>
  <c r="Q93"/>
  <c r="V93"/>
  <c r="W93"/>
  <c r="X93"/>
  <c r="M94"/>
  <c r="V94"/>
  <c r="W94"/>
  <c r="X94"/>
</calcChain>
</file>

<file path=xl/sharedStrings.xml><?xml version="1.0" encoding="utf-8"?>
<sst xmlns="http://schemas.openxmlformats.org/spreadsheetml/2006/main" count="205" uniqueCount="108">
  <si>
    <t>Range</t>
  </si>
  <si>
    <t>x</t>
  </si>
  <si>
    <t>y</t>
  </si>
  <si>
    <t>setI2cAddr</t>
  </si>
  <si>
    <t>writeByte</t>
  </si>
  <si>
    <t>readWord</t>
  </si>
  <si>
    <t>writeWord</t>
  </si>
  <si>
    <t>readByte</t>
  </si>
  <si>
    <t>dSetRange</t>
  </si>
  <si>
    <t>dSetResolution</t>
  </si>
  <si>
    <t>dGetRed</t>
  </si>
  <si>
    <t>dGetGreen</t>
  </si>
  <si>
    <t>dGetBlue</t>
  </si>
  <si>
    <t>Balance IR Compensation</t>
  </si>
  <si>
    <t>1) Adjust compensation to balance IR stop band attenuation such that incandescent (A) and fluorescent(CWF) lighting measure the same value at equal lux levels.</t>
  </si>
  <si>
    <t>Range Lo</t>
  </si>
  <si>
    <t>A</t>
  </si>
  <si>
    <t>CWF</t>
  </si>
  <si>
    <t>CWF'</t>
  </si>
  <si>
    <t>CWF' is scaled so that it has same lux level with A</t>
  </si>
  <si>
    <t>Lux</t>
  </si>
  <si>
    <t>2) Record Lux from (Chroma meter CL-200) and ADC code(ISL29125) with range &amp; compensation set to zero.</t>
  </si>
  <si>
    <t>3) Increase the compensation until the ADC code is about 25% of the value measured at 0 compensation  with incandescent lighting (green value).</t>
  </si>
  <si>
    <t>m</t>
  </si>
  <si>
    <t>CompSet</t>
  </si>
  <si>
    <t>Measure XYZ, RGB</t>
  </si>
  <si>
    <t>Chroma Meter</t>
  </si>
  <si>
    <t>DUT</t>
  </si>
  <si>
    <t>Source</t>
  </si>
  <si>
    <t>X</t>
  </si>
  <si>
    <t>Y</t>
  </si>
  <si>
    <t>Z</t>
  </si>
  <si>
    <t>R</t>
  </si>
  <si>
    <t>G</t>
  </si>
  <si>
    <t>B</t>
  </si>
  <si>
    <r>
      <t>R</t>
    </r>
    <r>
      <rPr>
        <vertAlign val="subscript"/>
        <sz val="11"/>
        <color theme="1"/>
        <rFont val="Calibri"/>
        <family val="2"/>
        <scheme val="minor"/>
      </rPr>
      <t>LO</t>
    </r>
    <r>
      <rPr>
        <sz val="11"/>
        <color theme="1"/>
        <rFont val="Calibri"/>
        <family val="2"/>
        <scheme val="minor"/>
      </rPr>
      <t>/R</t>
    </r>
    <r>
      <rPr>
        <vertAlign val="subscript"/>
        <sz val="11"/>
        <color theme="1"/>
        <rFont val="Calibri"/>
        <family val="2"/>
        <scheme val="minor"/>
      </rPr>
      <t>HI</t>
    </r>
  </si>
  <si>
    <t>LO</t>
  </si>
  <si>
    <t>HI</t>
  </si>
  <si>
    <t>D65</t>
  </si>
  <si>
    <t>6) The CCM is calculated using a linear regression to provide the best fit to the data points measured.  Then plug these values back to formula to get corrected lux value comparing with a Konica-Minolta CL-200A</t>
  </si>
  <si>
    <t>Konica-Minolta CL-200A</t>
  </si>
  <si>
    <t>←</t>
  </si>
  <si>
    <t>LINEST</t>
  </si>
  <si>
    <t>Re-Shuffle/Scale</t>
  </si>
  <si>
    <t>LUX</t>
  </si>
  <si>
    <t>McCamy CCT Approximation</t>
  </si>
  <si>
    <t>Verify Results</t>
  </si>
  <si>
    <r>
      <rPr>
        <u/>
        <sz val="11"/>
        <color theme="1"/>
        <rFont val="Calibri"/>
        <family val="2"/>
      </rPr>
      <t>Δ</t>
    </r>
    <r>
      <rPr>
        <u/>
        <sz val="11"/>
        <color theme="1"/>
        <rFont val="Calibri"/>
        <family val="2"/>
        <scheme val="minor"/>
      </rPr>
      <t xml:space="preserve"> Range</t>
    </r>
  </si>
  <si>
    <t>CCM corrected</t>
  </si>
  <si>
    <t>Δxy</t>
  </si>
  <si>
    <t>CCT</t>
  </si>
  <si>
    <t>X'</t>
  </si>
  <si>
    <t>Y'</t>
  </si>
  <si>
    <t>Z'</t>
  </si>
  <si>
    <t>x'</t>
  </si>
  <si>
    <t>y'</t>
  </si>
  <si>
    <t>HS</t>
  </si>
  <si>
    <r>
      <t>R</t>
    </r>
    <r>
      <rPr>
        <vertAlign val="subscript"/>
        <sz val="11"/>
        <color theme="1"/>
        <rFont val="Calibri"/>
        <family val="2"/>
        <scheme val="minor"/>
      </rPr>
      <t>HS</t>
    </r>
    <r>
      <rPr>
        <sz val="11"/>
        <color theme="1"/>
        <rFont val="Calibri"/>
        <family val="2"/>
        <scheme val="minor"/>
      </rPr>
      <t>/R</t>
    </r>
    <r>
      <rPr>
        <vertAlign val="subscript"/>
        <sz val="11"/>
        <color theme="1"/>
        <rFont val="Calibri"/>
        <family val="2"/>
        <scheme val="minor"/>
      </rPr>
      <t>LO</t>
    </r>
  </si>
  <si>
    <t>Calculate single CCM for all ranges</t>
  </si>
  <si>
    <t>Rds/Meas</t>
  </si>
  <si>
    <r>
      <t xml:space="preserve">4) Set compensation to the intersection of the 2 lines (A and CWF') the result is at  (orange value). </t>
    </r>
    <r>
      <rPr>
        <b/>
        <sz val="11"/>
        <color theme="1"/>
        <rFont val="Calibri"/>
        <family val="2"/>
        <scheme val="minor"/>
      </rPr>
      <t>This is the best compensation setting</t>
    </r>
    <r>
      <rPr>
        <b/>
        <sz val="10"/>
        <color theme="1"/>
        <rFont val="Calibri"/>
        <family val="2"/>
        <scheme val="minor"/>
      </rPr>
      <t>.</t>
    </r>
  </si>
  <si>
    <t>CM GUI Nom. FS</t>
  </si>
  <si>
    <t>Ev</t>
  </si>
  <si>
    <t>Calculate CCM per Range</t>
  </si>
  <si>
    <t>Use Meter (single CCM)</t>
  </si>
  <si>
    <t>Functional APIs</t>
  </si>
  <si>
    <t>Constants</t>
  </si>
  <si>
    <r>
      <t>R</t>
    </r>
    <r>
      <rPr>
        <vertAlign val="superscript"/>
        <sz val="11"/>
        <color theme="1"/>
        <rFont val="Calibri"/>
        <family val="2"/>
        <scheme val="minor"/>
      </rPr>
      <t>2</t>
    </r>
  </si>
  <si>
    <r>
      <t>G</t>
    </r>
    <r>
      <rPr>
        <vertAlign val="superscript"/>
        <sz val="11"/>
        <color theme="1"/>
        <rFont val="Calibri"/>
        <family val="2"/>
        <scheme val="minor"/>
      </rPr>
      <t>2</t>
    </r>
  </si>
  <si>
    <r>
      <t>B</t>
    </r>
    <r>
      <rPr>
        <vertAlign val="superscript"/>
        <sz val="11"/>
        <color theme="1"/>
        <rFont val="Calibri"/>
        <family val="2"/>
        <scheme val="minor"/>
      </rPr>
      <t>2</t>
    </r>
  </si>
  <si>
    <t>R'</t>
  </si>
  <si>
    <t>G'</t>
  </si>
  <si>
    <t>B'</t>
  </si>
  <si>
    <t>Error</t>
  </si>
  <si>
    <t>MIN</t>
  </si>
  <si>
    <t>MID</t>
  </si>
  <si>
    <t>MAX</t>
  </si>
  <si>
    <t>CCM</t>
  </si>
  <si>
    <t>Test</t>
  </si>
  <si>
    <t>Measure</t>
  </si>
  <si>
    <t>Tcp</t>
  </si>
  <si>
    <r>
      <t>MK</t>
    </r>
    <r>
      <rPr>
        <vertAlign val="superscript"/>
        <sz val="11"/>
        <color theme="1"/>
        <rFont val="Calibri"/>
        <family val="2"/>
        <scheme val="minor"/>
      </rPr>
      <t>-1</t>
    </r>
  </si>
  <si>
    <t>Calibration Points</t>
  </si>
  <si>
    <t>Min</t>
  </si>
  <si>
    <t>Max</t>
  </si>
  <si>
    <t>Set Color</t>
  </si>
  <si>
    <t>Verify</t>
  </si>
  <si>
    <t>E</t>
  </si>
  <si>
    <t>DUT Measure</t>
  </si>
  <si>
    <t>AVG</t>
  </si>
  <si>
    <t>Scaled to</t>
  </si>
  <si>
    <t>All</t>
  </si>
  <si>
    <r>
      <t>R/R</t>
    </r>
    <r>
      <rPr>
        <vertAlign val="subscript"/>
        <sz val="11"/>
        <color theme="1"/>
        <rFont val="Calibri"/>
        <family val="2"/>
        <scheme val="minor"/>
      </rPr>
      <t>LO</t>
    </r>
  </si>
  <si>
    <t>Nom.</t>
  </si>
  <si>
    <r>
      <t>Sys</t>
    </r>
    <r>
      <rPr>
        <vertAlign val="subscript"/>
        <sz val="11"/>
        <color theme="1"/>
        <rFont val="Calibri"/>
        <family val="2"/>
        <scheme val="minor"/>
      </rPr>
      <t>GAIN</t>
    </r>
  </si>
  <si>
    <t>RGB in "Lux"</t>
  </si>
  <si>
    <t>LSB based CCM</t>
  </si>
  <si>
    <t>"Lux" based CCM</t>
  </si>
  <si>
    <t>Calculate DUT Calibration Points</t>
  </si>
  <si>
    <t>Single CCM</t>
  </si>
  <si>
    <t>CCM per Range</t>
  </si>
  <si>
    <t>Calibrate DUT</t>
  </si>
  <si>
    <t xml:space="preserve">Monitor Calibration </t>
  </si>
  <si>
    <t>%visible=</t>
  </si>
  <si>
    <t>Meter</t>
  </si>
  <si>
    <t>HZ</t>
  </si>
  <si>
    <t>U30</t>
  </si>
  <si>
    <t>U35</t>
  </si>
</sst>
</file>

<file path=xl/styles.xml><?xml version="1.0" encoding="utf-8"?>
<styleSheet xmlns="http://schemas.openxmlformats.org/spreadsheetml/2006/main">
  <numFmts count="4">
    <numFmt numFmtId="164" formatCode="0.0%"/>
    <numFmt numFmtId="165" formatCode="0.0000"/>
    <numFmt numFmtId="166" formatCode="0.0"/>
    <numFmt numFmtId="167" formatCode="0.000"/>
  </numFmts>
  <fonts count="13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0" tint="-0.499984740745262"/>
      <name val="Calibri"/>
      <family val="2"/>
      <scheme val="minor"/>
    </font>
    <font>
      <u/>
      <sz val="11"/>
      <color theme="1"/>
      <name val="Calibri"/>
      <family val="2"/>
      <scheme val="minor"/>
    </font>
    <font>
      <u/>
      <sz val="11"/>
      <color theme="1"/>
      <name val="Calibri"/>
      <family val="2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b/>
      <sz val="11"/>
      <color theme="1"/>
      <name val="Calibri"/>
      <family val="2"/>
    </font>
    <font>
      <u/>
      <sz val="11"/>
      <color theme="10"/>
      <name val="Calibri"/>
      <family val="2"/>
    </font>
    <font>
      <vertAlign val="superscript"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24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50"/>
        <bgColor indexed="64"/>
      </patternFill>
    </fill>
    <fill>
      <patternFill patternType="gray0625">
        <bgColor rgb="FFFFFF00"/>
      </patternFill>
    </fill>
  </fills>
  <borders count="4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0" fontId="9" fillId="0" borderId="0" applyNumberFormat="0" applyFill="0" applyBorder="0" applyAlignment="0" applyProtection="0">
      <alignment vertical="top"/>
      <protection locked="0"/>
    </xf>
  </cellStyleXfs>
  <cellXfs count="270">
    <xf numFmtId="0" fontId="0" fillId="0" borderId="0" xfId="0"/>
    <xf numFmtId="0" fontId="0" fillId="0" borderId="14" xfId="0" applyBorder="1"/>
    <xf numFmtId="0" fontId="0" fillId="0" borderId="16" xfId="0" applyBorder="1"/>
    <xf numFmtId="0" fontId="0" fillId="0" borderId="0" xfId="0" applyAlignment="1">
      <alignment horizontal="center"/>
    </xf>
    <xf numFmtId="0" fontId="0" fillId="0" borderId="0" xfId="0"/>
    <xf numFmtId="0" fontId="0" fillId="0" borderId="15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0" fillId="5" borderId="0" xfId="0" applyFill="1" applyBorder="1" applyAlignment="1">
      <alignment horizontal="center" vertical="center"/>
    </xf>
    <xf numFmtId="167" fontId="0" fillId="0" borderId="16" xfId="0" applyNumberFormat="1" applyBorder="1" applyAlignment="1">
      <alignment horizontal="center" vertical="center"/>
    </xf>
    <xf numFmtId="1" fontId="0" fillId="0" borderId="16" xfId="0" applyNumberFormat="1" applyBorder="1" applyAlignment="1">
      <alignment horizontal="center" vertical="center"/>
    </xf>
    <xf numFmtId="0" fontId="0" fillId="3" borderId="15" xfId="0" applyFill="1" applyBorder="1" applyAlignment="1">
      <alignment horizontal="center" vertical="center"/>
    </xf>
    <xf numFmtId="166" fontId="0" fillId="0" borderId="0" xfId="0" applyNumberFormat="1" applyBorder="1" applyAlignment="1">
      <alignment horizontal="center" vertical="center"/>
    </xf>
    <xf numFmtId="166" fontId="0" fillId="0" borderId="16" xfId="0" applyNumberFormat="1" applyBorder="1" applyAlignment="1">
      <alignment horizontal="center" vertical="center"/>
    </xf>
    <xf numFmtId="2" fontId="0" fillId="0" borderId="16" xfId="0" applyNumberFormat="1" applyBorder="1" applyAlignment="1">
      <alignment horizontal="center" vertical="center"/>
    </xf>
    <xf numFmtId="1" fontId="0" fillId="0" borderId="0" xfId="0" applyNumberFormat="1" applyBorder="1" applyAlignment="1">
      <alignment horizontal="center" vertical="center"/>
    </xf>
    <xf numFmtId="0" fontId="0" fillId="6" borderId="0" xfId="0" applyFill="1" applyBorder="1" applyAlignment="1">
      <alignment horizontal="center" vertical="center"/>
    </xf>
    <xf numFmtId="0" fontId="0" fillId="6" borderId="16" xfId="0" applyFill="1" applyBorder="1" applyAlignment="1">
      <alignment horizontal="center" vertical="center"/>
    </xf>
    <xf numFmtId="0" fontId="0" fillId="6" borderId="20" xfId="0" applyFill="1" applyBorder="1" applyAlignment="1">
      <alignment horizontal="center" vertical="center"/>
    </xf>
    <xf numFmtId="0" fontId="0" fillId="6" borderId="14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165" fontId="0" fillId="4" borderId="0" xfId="0" applyNumberFormat="1" applyFill="1" applyBorder="1" applyAlignment="1">
      <alignment horizontal="center" vertical="center"/>
    </xf>
    <xf numFmtId="164" fontId="0" fillId="4" borderId="0" xfId="0" applyNumberFormat="1" applyFill="1" applyBorder="1" applyAlignment="1">
      <alignment horizontal="center" vertical="center"/>
    </xf>
    <xf numFmtId="165" fontId="0" fillId="4" borderId="20" xfId="0" applyNumberFormat="1" applyFill="1" applyBorder="1" applyAlignment="1">
      <alignment horizontal="center" vertical="center"/>
    </xf>
    <xf numFmtId="164" fontId="0" fillId="4" borderId="20" xfId="0" applyNumberFormat="1" applyFill="1" applyBorder="1" applyAlignment="1">
      <alignment horizontal="center" vertical="center"/>
    </xf>
    <xf numFmtId="0" fontId="4" fillId="4" borderId="0" xfId="0" applyFont="1" applyFill="1" applyBorder="1" applyAlignment="1">
      <alignment horizontal="center" vertical="center"/>
    </xf>
    <xf numFmtId="0" fontId="0" fillId="0" borderId="0" xfId="0" applyBorder="1" applyAlignment="1">
      <alignment vertical="center"/>
    </xf>
    <xf numFmtId="2" fontId="0" fillId="0" borderId="0" xfId="0" applyNumberFormat="1" applyAlignment="1">
      <alignment vertical="center" wrapText="1"/>
    </xf>
    <xf numFmtId="0" fontId="0" fillId="7" borderId="0" xfId="0" applyFill="1" applyBorder="1" applyAlignment="1">
      <alignment horizontal="center" vertical="center"/>
    </xf>
    <xf numFmtId="166" fontId="0" fillId="7" borderId="0" xfId="0" applyNumberFormat="1" applyFill="1" applyBorder="1" applyAlignment="1">
      <alignment horizontal="center" vertical="center"/>
    </xf>
    <xf numFmtId="166" fontId="0" fillId="7" borderId="20" xfId="0" applyNumberFormat="1" applyFill="1" applyBorder="1" applyAlignment="1">
      <alignment horizontal="center" vertical="center"/>
    </xf>
    <xf numFmtId="0" fontId="0" fillId="2" borderId="0" xfId="0" applyFill="1" applyBorder="1" applyAlignment="1">
      <alignment horizontal="center" vertical="center"/>
    </xf>
    <xf numFmtId="166" fontId="0" fillId="2" borderId="0" xfId="0" applyNumberFormat="1" applyFill="1" applyBorder="1" applyAlignment="1">
      <alignment horizontal="center" vertical="center"/>
    </xf>
    <xf numFmtId="166" fontId="0" fillId="2" borderId="20" xfId="0" applyNumberFormat="1" applyFill="1" applyBorder="1" applyAlignment="1">
      <alignment horizontal="center" vertical="center"/>
    </xf>
    <xf numFmtId="166" fontId="0" fillId="4" borderId="0" xfId="0" applyNumberFormat="1" applyFill="1" applyBorder="1" applyAlignment="1">
      <alignment horizontal="center" vertical="center"/>
    </xf>
    <xf numFmtId="0" fontId="0" fillId="4" borderId="0" xfId="0" applyFill="1" applyBorder="1" applyAlignment="1">
      <alignment horizontal="center" vertical="center"/>
    </xf>
    <xf numFmtId="166" fontId="0" fillId="4" borderId="20" xfId="0" applyNumberFormat="1" applyFill="1" applyBorder="1" applyAlignment="1">
      <alignment horizontal="center" vertical="center"/>
    </xf>
    <xf numFmtId="1" fontId="0" fillId="0" borderId="14" xfId="0" applyNumberForma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3" fillId="4" borderId="0" xfId="0" applyFont="1" applyFill="1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165" fontId="0" fillId="0" borderId="0" xfId="0" applyNumberFormat="1" applyBorder="1" applyAlignment="1">
      <alignment horizontal="center" vertical="center"/>
    </xf>
    <xf numFmtId="165" fontId="0" fillId="0" borderId="20" xfId="0" applyNumberFormat="1" applyBorder="1" applyAlignment="1">
      <alignment horizontal="center" vertical="center"/>
    </xf>
    <xf numFmtId="2" fontId="0" fillId="0" borderId="20" xfId="0" applyNumberFormat="1" applyBorder="1" applyAlignment="1">
      <alignment horizontal="center" vertical="center"/>
    </xf>
    <xf numFmtId="0" fontId="1" fillId="8" borderId="0" xfId="0" applyFont="1" applyFill="1" applyBorder="1" applyAlignment="1">
      <alignment horizontal="center" vertical="center"/>
    </xf>
    <xf numFmtId="0" fontId="0" fillId="0" borderId="13" xfId="0" applyBorder="1" applyAlignment="1">
      <alignment horizontal="center"/>
    </xf>
    <xf numFmtId="0" fontId="0" fillId="0" borderId="15" xfId="0" applyFill="1" applyBorder="1" applyAlignment="1">
      <alignment horizontal="center" vertical="center"/>
    </xf>
    <xf numFmtId="0" fontId="1" fillId="0" borderId="0" xfId="0" applyFont="1"/>
    <xf numFmtId="0" fontId="1" fillId="0" borderId="0" xfId="0" applyFont="1" applyBorder="1" applyAlignment="1">
      <alignment vertical="center"/>
    </xf>
    <xf numFmtId="0" fontId="0" fillId="0" borderId="0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3" borderId="0" xfId="0" applyFill="1" applyBorder="1" applyAlignment="1">
      <alignment vertic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166" fontId="0" fillId="0" borderId="9" xfId="0" applyNumberFormat="1" applyBorder="1" applyAlignment="1">
      <alignment horizontal="center"/>
    </xf>
    <xf numFmtId="166" fontId="0" fillId="0" borderId="10" xfId="0" applyNumberFormat="1" applyBorder="1" applyAlignment="1">
      <alignment horizontal="center"/>
    </xf>
    <xf numFmtId="166" fontId="0" fillId="0" borderId="11" xfId="0" applyNumberFormat="1" applyBorder="1" applyAlignment="1">
      <alignment horizontal="center"/>
    </xf>
    <xf numFmtId="165" fontId="0" fillId="0" borderId="9" xfId="0" applyNumberFormat="1" applyBorder="1" applyAlignment="1">
      <alignment horizontal="center"/>
    </xf>
    <xf numFmtId="165" fontId="0" fillId="0" borderId="11" xfId="0" applyNumberFormat="1" applyBorder="1" applyAlignment="1">
      <alignment horizontal="center"/>
    </xf>
    <xf numFmtId="1" fontId="0" fillId="0" borderId="11" xfId="0" applyNumberFormat="1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0" xfId="0" applyBorder="1"/>
    <xf numFmtId="0" fontId="0" fillId="0" borderId="20" xfId="0" applyBorder="1"/>
    <xf numFmtId="1" fontId="0" fillId="6" borderId="0" xfId="0" applyNumberFormat="1" applyFill="1" applyBorder="1" applyAlignment="1">
      <alignment horizontal="center" vertical="center"/>
    </xf>
    <xf numFmtId="0" fontId="0" fillId="0" borderId="0" xfId="0" applyAlignment="1"/>
    <xf numFmtId="164" fontId="0" fillId="0" borderId="0" xfId="0" applyNumberFormat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65" fontId="0" fillId="0" borderId="35" xfId="0" applyNumberFormat="1" applyBorder="1" applyAlignment="1">
      <alignment horizontal="center" vertical="center"/>
    </xf>
    <xf numFmtId="166" fontId="0" fillId="0" borderId="35" xfId="0" applyNumberFormat="1" applyBorder="1" applyAlignment="1">
      <alignment horizontal="center" vertical="center"/>
    </xf>
    <xf numFmtId="164" fontId="0" fillId="0" borderId="35" xfId="0" applyNumberFormat="1" applyBorder="1" applyAlignment="1">
      <alignment horizontal="center" vertical="center"/>
    </xf>
    <xf numFmtId="164" fontId="0" fillId="0" borderId="36" xfId="0" applyNumberForma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1" fontId="0" fillId="0" borderId="0" xfId="0" applyNumberFormat="1" applyBorder="1" applyAlignment="1">
      <alignment horizontal="center" vertical="center"/>
    </xf>
    <xf numFmtId="166" fontId="0" fillId="0" borderId="0" xfId="0" applyNumberFormat="1" applyBorder="1" applyAlignment="1">
      <alignment horizontal="center" vertical="center"/>
    </xf>
    <xf numFmtId="165" fontId="0" fillId="0" borderId="0" xfId="0" applyNumberFormat="1" applyBorder="1" applyAlignment="1">
      <alignment horizontal="center" vertical="center"/>
    </xf>
    <xf numFmtId="166" fontId="0" fillId="0" borderId="20" xfId="0" applyNumberFormat="1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35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" fontId="0" fillId="0" borderId="2" xfId="0" applyNumberFormat="1" applyBorder="1" applyAlignment="1">
      <alignment horizontal="center" vertical="center"/>
    </xf>
    <xf numFmtId="166" fontId="0" fillId="0" borderId="2" xfId="0" applyNumberFormat="1" applyBorder="1" applyAlignment="1">
      <alignment horizontal="center" vertical="center"/>
    </xf>
    <xf numFmtId="165" fontId="0" fillId="0" borderId="2" xfId="0" applyNumberForma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164" fontId="0" fillId="0" borderId="2" xfId="0" applyNumberFormat="1" applyBorder="1" applyAlignment="1">
      <alignment horizontal="center" vertical="center"/>
    </xf>
    <xf numFmtId="164" fontId="0" fillId="0" borderId="3" xfId="0" applyNumberForma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1" fontId="0" fillId="0" borderId="6" xfId="0" applyNumberFormat="1" applyBorder="1" applyAlignment="1">
      <alignment horizontal="center" vertical="center"/>
    </xf>
    <xf numFmtId="166" fontId="0" fillId="0" borderId="6" xfId="0" applyNumberFormat="1" applyBorder="1" applyAlignment="1">
      <alignment horizontal="center" vertical="center"/>
    </xf>
    <xf numFmtId="165" fontId="0" fillId="0" borderId="6" xfId="0" applyNumberForma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164" fontId="0" fillId="0" borderId="6" xfId="0" applyNumberFormat="1" applyBorder="1" applyAlignment="1">
      <alignment horizontal="center" vertical="center"/>
    </xf>
    <xf numFmtId="164" fontId="0" fillId="0" borderId="7" xfId="0" applyNumberFormat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166" fontId="0" fillId="0" borderId="10" xfId="0" applyNumberFormat="1" applyBorder="1" applyAlignment="1">
      <alignment horizontal="center" vertical="center"/>
    </xf>
    <xf numFmtId="165" fontId="0" fillId="0" borderId="10" xfId="0" applyNumberFormat="1" applyBorder="1" applyAlignment="1">
      <alignment horizontal="center" vertical="center"/>
    </xf>
    <xf numFmtId="1" fontId="0" fillId="0" borderId="10" xfId="0" applyNumberFormat="1" applyBorder="1" applyAlignment="1">
      <alignment horizontal="center" vertical="center"/>
    </xf>
    <xf numFmtId="164" fontId="0" fillId="0" borderId="10" xfId="0" applyNumberFormat="1" applyBorder="1" applyAlignment="1">
      <alignment horizontal="center" vertical="center"/>
    </xf>
    <xf numFmtId="164" fontId="0" fillId="0" borderId="11" xfId="0" applyNumberForma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164" fontId="0" fillId="0" borderId="0" xfId="0" applyNumberFormat="1" applyBorder="1" applyAlignment="1">
      <alignment horizontal="center" vertical="center"/>
    </xf>
    <xf numFmtId="0" fontId="0" fillId="0" borderId="37" xfId="0" applyBorder="1" applyAlignment="1">
      <alignment horizontal="center" vertical="center"/>
    </xf>
    <xf numFmtId="1" fontId="0" fillId="0" borderId="15" xfId="0" applyNumberFormat="1" applyBorder="1" applyAlignment="1">
      <alignment horizontal="center" vertical="center"/>
    </xf>
    <xf numFmtId="164" fontId="11" fillId="0" borderId="0" xfId="0" applyNumberFormat="1" applyFont="1" applyBorder="1" applyAlignment="1">
      <alignment horizontal="center" vertical="center"/>
    </xf>
    <xf numFmtId="167" fontId="0" fillId="0" borderId="0" xfId="0" applyNumberFormat="1" applyBorder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38" xfId="0" applyBorder="1" applyAlignment="1">
      <alignment horizontal="center" vertical="center"/>
    </xf>
    <xf numFmtId="0" fontId="0" fillId="0" borderId="39" xfId="0" applyBorder="1" applyAlignment="1">
      <alignment horizontal="center" vertical="center"/>
    </xf>
    <xf numFmtId="0" fontId="0" fillId="0" borderId="40" xfId="0" applyBorder="1" applyAlignment="1">
      <alignment horizontal="center" vertical="center"/>
    </xf>
    <xf numFmtId="0" fontId="0" fillId="0" borderId="41" xfId="0" applyBorder="1" applyAlignment="1">
      <alignment horizontal="center" vertical="center"/>
    </xf>
    <xf numFmtId="0" fontId="0" fillId="0" borderId="42" xfId="0" applyBorder="1" applyAlignment="1">
      <alignment horizontal="center" vertical="center"/>
    </xf>
    <xf numFmtId="0" fontId="0" fillId="0" borderId="43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166" fontId="0" fillId="0" borderId="0" xfId="0" applyNumberFormat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2" fontId="0" fillId="0" borderId="0" xfId="0" applyNumberFormat="1" applyBorder="1" applyAlignment="1">
      <alignment horizontal="center" vertical="center"/>
    </xf>
    <xf numFmtId="0" fontId="0" fillId="0" borderId="0" xfId="0" applyFill="1" applyBorder="1" applyAlignment="1">
      <alignment vertical="center"/>
    </xf>
    <xf numFmtId="0" fontId="0" fillId="0" borderId="0" xfId="0" applyFill="1"/>
    <xf numFmtId="1" fontId="0" fillId="0" borderId="0" xfId="0" applyNumberFormat="1" applyAlignment="1">
      <alignment horizontal="center"/>
    </xf>
    <xf numFmtId="0" fontId="1" fillId="8" borderId="20" xfId="0" applyFont="1" applyFill="1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2" fontId="0" fillId="0" borderId="18" xfId="0" applyNumberFormat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1" fontId="0" fillId="0" borderId="20" xfId="0" applyNumberFormat="1" applyBorder="1" applyAlignment="1">
      <alignment horizontal="center" vertical="center"/>
    </xf>
    <xf numFmtId="166" fontId="0" fillId="0" borderId="0" xfId="0" applyNumberFormat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164" fontId="0" fillId="0" borderId="16" xfId="0" applyNumberFormat="1" applyBorder="1" applyAlignment="1">
      <alignment horizontal="left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29" xfId="0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31" xfId="0" applyBorder="1" applyAlignment="1">
      <alignment horizontal="center"/>
    </xf>
    <xf numFmtId="11" fontId="0" fillId="0" borderId="4" xfId="0" applyNumberForma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1" fillId="0" borderId="17" xfId="0" applyFont="1" applyBorder="1" applyAlignment="1">
      <alignment horizontal="center"/>
    </xf>
    <xf numFmtId="0" fontId="1" fillId="0" borderId="19" xfId="0" applyFont="1" applyBorder="1" applyAlignment="1">
      <alignment horizontal="center"/>
    </xf>
    <xf numFmtId="0" fontId="1" fillId="0" borderId="18" xfId="0" applyFont="1" applyBorder="1" applyAlignment="1">
      <alignment horizontal="center"/>
    </xf>
    <xf numFmtId="166" fontId="0" fillId="0" borderId="0" xfId="0" applyNumberFormat="1" applyBorder="1" applyAlignment="1">
      <alignment horizontal="center" vertical="center"/>
    </xf>
    <xf numFmtId="166" fontId="0" fillId="0" borderId="20" xfId="0" applyNumberFormat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5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165" fontId="0" fillId="0" borderId="0" xfId="0" applyNumberFormat="1" applyBorder="1" applyAlignment="1">
      <alignment horizontal="center" vertical="center"/>
    </xf>
    <xf numFmtId="165" fontId="0" fillId="0" borderId="20" xfId="0" applyNumberFormat="1" applyBorder="1" applyAlignment="1">
      <alignment horizontal="center" vertical="center"/>
    </xf>
    <xf numFmtId="0" fontId="0" fillId="0" borderId="15" xfId="0" applyBorder="1" applyAlignment="1">
      <alignment horizontal="left"/>
    </xf>
    <xf numFmtId="0" fontId="0" fillId="0" borderId="16" xfId="0" applyBorder="1" applyAlignment="1">
      <alignment horizontal="left"/>
    </xf>
    <xf numFmtId="0" fontId="2" fillId="0" borderId="15" xfId="0" applyFont="1" applyBorder="1" applyAlignment="1">
      <alignment horizontal="left"/>
    </xf>
    <xf numFmtId="0" fontId="2" fillId="0" borderId="16" xfId="0" applyFont="1" applyBorder="1" applyAlignment="1">
      <alignment horizontal="left"/>
    </xf>
    <xf numFmtId="1" fontId="0" fillId="0" borderId="0" xfId="0" applyNumberFormat="1" applyBorder="1" applyAlignment="1">
      <alignment horizontal="center" vertical="center"/>
    </xf>
    <xf numFmtId="1" fontId="0" fillId="0" borderId="20" xfId="0" applyNumberFormat="1" applyBorder="1" applyAlignment="1">
      <alignment horizontal="center" vertical="center"/>
    </xf>
    <xf numFmtId="0" fontId="1" fillId="0" borderId="17" xfId="0" applyFont="1" applyBorder="1" applyAlignment="1">
      <alignment horizontal="left" vertical="center" wrapText="1"/>
    </xf>
    <xf numFmtId="0" fontId="1" fillId="0" borderId="19" xfId="0" applyFont="1" applyBorder="1" applyAlignment="1">
      <alignment horizontal="left" vertical="center" wrapText="1"/>
    </xf>
    <xf numFmtId="0" fontId="0" fillId="0" borderId="19" xfId="0" applyBorder="1" applyAlignment="1">
      <alignment vertical="center"/>
    </xf>
    <xf numFmtId="0" fontId="0" fillId="0" borderId="18" xfId="0" applyBorder="1" applyAlignment="1">
      <alignment vertical="center"/>
    </xf>
    <xf numFmtId="0" fontId="1" fillId="0" borderId="15" xfId="0" applyFont="1" applyBorder="1" applyAlignment="1">
      <alignment horizontal="left" vertical="center" wrapText="1"/>
    </xf>
    <xf numFmtId="0" fontId="1" fillId="0" borderId="0" xfId="0" applyFont="1" applyBorder="1" applyAlignment="1">
      <alignment horizontal="left" vertical="center" wrapText="1"/>
    </xf>
    <xf numFmtId="0" fontId="0" fillId="0" borderId="0" xfId="0" applyBorder="1" applyAlignment="1">
      <alignment vertical="center"/>
    </xf>
    <xf numFmtId="0" fontId="0" fillId="0" borderId="16" xfId="0" applyBorder="1" applyAlignment="1">
      <alignment vertical="center"/>
    </xf>
    <xf numFmtId="0" fontId="1" fillId="0" borderId="13" xfId="0" applyFont="1" applyBorder="1" applyAlignment="1">
      <alignment horizontal="left" vertical="center" wrapText="1"/>
    </xf>
    <xf numFmtId="0" fontId="1" fillId="0" borderId="20" xfId="0" applyFont="1" applyBorder="1" applyAlignment="1">
      <alignment horizontal="left" vertical="center" wrapText="1"/>
    </xf>
    <xf numFmtId="0" fontId="0" fillId="0" borderId="20" xfId="0" applyBorder="1" applyAlignment="1">
      <alignment vertical="center"/>
    </xf>
    <xf numFmtId="0" fontId="0" fillId="0" borderId="14" xfId="0" applyBorder="1" applyAlignment="1">
      <alignment vertical="center"/>
    </xf>
    <xf numFmtId="0" fontId="1" fillId="0" borderId="27" xfId="0" applyFont="1" applyBorder="1" applyAlignment="1">
      <alignment horizontal="left" vertical="center" wrapText="1"/>
    </xf>
    <xf numFmtId="0" fontId="1" fillId="0" borderId="28" xfId="0" applyFont="1" applyBorder="1" applyAlignment="1">
      <alignment horizontal="left" vertical="center" wrapText="1"/>
    </xf>
    <xf numFmtId="0" fontId="1" fillId="0" borderId="24" xfId="0" applyFont="1" applyBorder="1" applyAlignment="1">
      <alignment horizontal="left" vertical="center" wrapText="1"/>
    </xf>
    <xf numFmtId="0" fontId="1" fillId="0" borderId="25" xfId="0" applyFont="1" applyBorder="1" applyAlignment="1">
      <alignment horizontal="left" vertical="center" wrapText="1"/>
    </xf>
    <xf numFmtId="0" fontId="1" fillId="0" borderId="26" xfId="0" applyFont="1" applyBorder="1" applyAlignment="1">
      <alignment horizontal="left" vertical="center" wrapText="1"/>
    </xf>
    <xf numFmtId="0" fontId="1" fillId="0" borderId="21" xfId="0" applyFont="1" applyBorder="1" applyAlignment="1">
      <alignment horizontal="left" vertical="center" wrapText="1"/>
    </xf>
    <xf numFmtId="0" fontId="1" fillId="0" borderId="22" xfId="0" applyFont="1" applyBorder="1" applyAlignment="1">
      <alignment horizontal="left" vertical="center" wrapText="1"/>
    </xf>
    <xf numFmtId="0" fontId="1" fillId="0" borderId="23" xfId="0" applyFont="1" applyBorder="1" applyAlignment="1">
      <alignment vertical="center"/>
    </xf>
    <xf numFmtId="0" fontId="1" fillId="0" borderId="26" xfId="0" applyFont="1" applyBorder="1" applyAlignment="1">
      <alignment vertical="center"/>
    </xf>
    <xf numFmtId="0" fontId="6" fillId="0" borderId="21" xfId="0" applyFont="1" applyBorder="1" applyAlignment="1">
      <alignment horizontal="left" vertical="center" wrapText="1"/>
    </xf>
    <xf numFmtId="0" fontId="1" fillId="0" borderId="22" xfId="0" applyFont="1" applyBorder="1" applyAlignment="1">
      <alignment vertical="center"/>
    </xf>
    <xf numFmtId="0" fontId="1" fillId="0" borderId="25" xfId="0" applyFont="1" applyBorder="1" applyAlignment="1">
      <alignment vertical="center"/>
    </xf>
    <xf numFmtId="0" fontId="0" fillId="0" borderId="28" xfId="0" applyBorder="1" applyAlignment="1">
      <alignment horizontal="center" vertical="center"/>
    </xf>
    <xf numFmtId="0" fontId="0" fillId="0" borderId="13" xfId="0" applyBorder="1" applyAlignment="1">
      <alignment horizontal="left"/>
    </xf>
    <xf numFmtId="0" fontId="0" fillId="0" borderId="14" xfId="0" applyBorder="1" applyAlignment="1">
      <alignment horizontal="left"/>
    </xf>
    <xf numFmtId="0" fontId="8" fillId="0" borderId="28" xfId="0" applyFont="1" applyBorder="1" applyAlignment="1">
      <alignment horizontal="left" vertical="top"/>
    </xf>
    <xf numFmtId="0" fontId="8" fillId="0" borderId="26" xfId="0" applyFont="1" applyBorder="1" applyAlignment="1">
      <alignment horizontal="left" vertical="top"/>
    </xf>
    <xf numFmtId="0" fontId="0" fillId="2" borderId="22" xfId="0" applyFill="1" applyBorder="1" applyAlignment="1">
      <alignment horizontal="left" vertical="center"/>
    </xf>
    <xf numFmtId="0" fontId="0" fillId="2" borderId="23" xfId="0" applyFill="1" applyBorder="1" applyAlignment="1">
      <alignment horizontal="left" vertical="center"/>
    </xf>
    <xf numFmtId="0" fontId="0" fillId="7" borderId="0" xfId="0" applyFill="1" applyBorder="1" applyAlignment="1">
      <alignment horizontal="left" vertical="center"/>
    </xf>
    <xf numFmtId="0" fontId="0" fillId="7" borderId="28" xfId="0" applyFill="1" applyBorder="1" applyAlignment="1">
      <alignment horizontal="left" vertical="center"/>
    </xf>
    <xf numFmtId="0" fontId="0" fillId="4" borderId="25" xfId="0" applyFill="1" applyBorder="1" applyAlignment="1">
      <alignment horizontal="left" vertical="center"/>
    </xf>
    <xf numFmtId="0" fontId="0" fillId="4" borderId="26" xfId="0" applyFill="1" applyBorder="1" applyAlignment="1">
      <alignment horizontal="left" vertical="center"/>
    </xf>
    <xf numFmtId="0" fontId="6" fillId="0" borderId="17" xfId="0" applyFont="1" applyBorder="1" applyAlignment="1">
      <alignment horizontal="left" vertical="center" wrapText="1"/>
    </xf>
    <xf numFmtId="0" fontId="5" fillId="0" borderId="19" xfId="0" applyFont="1" applyBorder="1" applyAlignment="1">
      <alignment horizontal="left" vertical="center" wrapText="1"/>
    </xf>
    <xf numFmtId="0" fontId="5" fillId="0" borderId="18" xfId="0" applyFont="1" applyBorder="1" applyAlignment="1">
      <alignment horizontal="left" vertical="center" wrapText="1"/>
    </xf>
    <xf numFmtId="0" fontId="5" fillId="0" borderId="13" xfId="0" applyFont="1" applyBorder="1" applyAlignment="1">
      <alignment horizontal="left" vertical="center" wrapText="1"/>
    </xf>
    <xf numFmtId="0" fontId="5" fillId="0" borderId="20" xfId="0" applyFont="1" applyBorder="1" applyAlignment="1">
      <alignment horizontal="left" vertical="center" wrapText="1"/>
    </xf>
    <xf numFmtId="0" fontId="5" fillId="0" borderId="14" xfId="0" applyFont="1" applyBorder="1" applyAlignment="1">
      <alignment horizontal="left" vertical="center" wrapText="1"/>
    </xf>
    <xf numFmtId="0" fontId="1" fillId="0" borderId="32" xfId="0" applyFont="1" applyBorder="1" applyAlignment="1">
      <alignment horizontal="center" vertical="center"/>
    </xf>
    <xf numFmtId="0" fontId="1" fillId="0" borderId="33" xfId="0" applyFont="1" applyBorder="1" applyAlignment="1">
      <alignment horizontal="center" vertical="center"/>
    </xf>
    <xf numFmtId="0" fontId="1" fillId="0" borderId="34" xfId="0" applyFont="1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3" fillId="4" borderId="0" xfId="0" applyFont="1" applyFill="1" applyBorder="1" applyAlignment="1">
      <alignment horizontal="center" vertical="center"/>
    </xf>
    <xf numFmtId="0" fontId="9" fillId="0" borderId="0" xfId="1" applyAlignment="1" applyProtection="1">
      <alignment horizontal="center" vertical="center"/>
    </xf>
    <xf numFmtId="2" fontId="0" fillId="0" borderId="0" xfId="0" applyNumberFormat="1" applyBorder="1" applyAlignment="1">
      <alignment horizontal="center" vertical="center"/>
    </xf>
    <xf numFmtId="0" fontId="0" fillId="0" borderId="0" xfId="0" applyAlignment="1">
      <alignment horizontal="center" vertical="center"/>
    </xf>
    <xf numFmtId="2" fontId="1" fillId="0" borderId="17" xfId="0" applyNumberFormat="1" applyFont="1" applyBorder="1" applyAlignment="1">
      <alignment horizontal="left" vertical="center" wrapText="1"/>
    </xf>
    <xf numFmtId="2" fontId="1" fillId="0" borderId="19" xfId="0" applyNumberFormat="1" applyFont="1" applyBorder="1" applyAlignment="1">
      <alignment horizontal="left" vertical="center" wrapText="1"/>
    </xf>
    <xf numFmtId="2" fontId="1" fillId="0" borderId="18" xfId="0" applyNumberFormat="1" applyFont="1" applyBorder="1" applyAlignment="1">
      <alignment horizontal="left" vertical="center" wrapText="1"/>
    </xf>
    <xf numFmtId="2" fontId="1" fillId="0" borderId="13" xfId="0" applyNumberFormat="1" applyFont="1" applyBorder="1" applyAlignment="1">
      <alignment horizontal="left" vertical="center" wrapText="1"/>
    </xf>
    <xf numFmtId="2" fontId="1" fillId="0" borderId="20" xfId="0" applyNumberFormat="1" applyFont="1" applyBorder="1" applyAlignment="1">
      <alignment horizontal="left" vertical="center" wrapText="1"/>
    </xf>
    <xf numFmtId="2" fontId="1" fillId="0" borderId="14" xfId="0" applyNumberFormat="1" applyFont="1" applyBorder="1" applyAlignment="1">
      <alignment horizontal="left" vertical="center" wrapText="1"/>
    </xf>
    <xf numFmtId="0" fontId="0" fillId="0" borderId="21" xfId="0" applyBorder="1" applyAlignment="1">
      <alignment horizontal="left" vertical="center"/>
    </xf>
    <xf numFmtId="0" fontId="0" fillId="0" borderId="22" xfId="0" applyBorder="1" applyAlignment="1">
      <alignment horizontal="left" vertical="center"/>
    </xf>
    <xf numFmtId="0" fontId="0" fillId="0" borderId="23" xfId="0" applyBorder="1" applyAlignment="1">
      <alignment horizontal="left" vertical="center"/>
    </xf>
    <xf numFmtId="0" fontId="8" fillId="0" borderId="28" xfId="0" applyFont="1" applyBorder="1" applyAlignment="1">
      <alignment horizontal="left"/>
    </xf>
    <xf numFmtId="0" fontId="0" fillId="0" borderId="19" xfId="0" applyBorder="1" applyAlignment="1">
      <alignment horizontal="center" vertical="center"/>
    </xf>
    <xf numFmtId="166" fontId="0" fillId="5" borderId="6" xfId="0" applyNumberFormat="1" applyFill="1" applyBorder="1" applyAlignment="1">
      <alignment horizontal="center" vertical="center"/>
    </xf>
    <xf numFmtId="166" fontId="0" fillId="5" borderId="10" xfId="0" applyNumberFormat="1" applyFill="1" applyBorder="1" applyAlignment="1">
      <alignment horizontal="center" vertical="center"/>
    </xf>
    <xf numFmtId="166" fontId="0" fillId="5" borderId="39" xfId="0" applyNumberFormat="1" applyFill="1" applyBorder="1" applyAlignment="1">
      <alignment horizontal="center" vertical="center"/>
    </xf>
    <xf numFmtId="166" fontId="0" fillId="5" borderId="44" xfId="0" applyNumberFormat="1" applyFill="1" applyBorder="1" applyAlignment="1">
      <alignment horizontal="center" vertical="center"/>
    </xf>
    <xf numFmtId="166" fontId="0" fillId="5" borderId="42" xfId="0" applyNumberFormat="1" applyFill="1" applyBorder="1" applyAlignment="1">
      <alignment horizontal="center" vertical="center"/>
    </xf>
    <xf numFmtId="166" fontId="0" fillId="5" borderId="6" xfId="0" applyNumberFormat="1" applyFont="1" applyFill="1" applyBorder="1" applyAlignment="1">
      <alignment horizontal="center" vertical="center"/>
    </xf>
    <xf numFmtId="166" fontId="0" fillId="5" borderId="10" xfId="0" applyNumberFormat="1" applyFont="1" applyFill="1" applyBorder="1" applyAlignment="1">
      <alignment horizontal="center" vertical="center"/>
    </xf>
    <xf numFmtId="166" fontId="1" fillId="8" borderId="6" xfId="0" applyNumberFormat="1" applyFont="1" applyFill="1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0" xfId="0" applyBorder="1" applyAlignment="1">
      <alignment horizontal="right" vertical="center"/>
    </xf>
    <xf numFmtId="0" fontId="0" fillId="0" borderId="0" xfId="0" applyAlignment="1">
      <alignment horizontal="right" vertical="center"/>
    </xf>
    <xf numFmtId="0" fontId="0" fillId="0" borderId="32" xfId="0" applyBorder="1" applyAlignment="1">
      <alignment horizontal="center" vertical="center"/>
    </xf>
    <xf numFmtId="0" fontId="0" fillId="0" borderId="33" xfId="0" applyBorder="1" applyAlignment="1">
      <alignment horizontal="center" vertical="center"/>
    </xf>
    <xf numFmtId="0" fontId="0" fillId="0" borderId="34" xfId="0" applyBorder="1" applyAlignment="1">
      <alignment horizontal="center" vertical="center"/>
    </xf>
    <xf numFmtId="0" fontId="12" fillId="0" borderId="17" xfId="0" applyFont="1" applyBorder="1" applyAlignment="1">
      <alignment horizontal="center" vertical="center"/>
    </xf>
    <xf numFmtId="0" fontId="12" fillId="0" borderId="19" xfId="0" applyFont="1" applyBorder="1" applyAlignment="1">
      <alignment horizontal="center" vertical="center"/>
    </xf>
    <xf numFmtId="0" fontId="12" fillId="0" borderId="1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0" fontId="12" fillId="0" borderId="20" xfId="0" applyFont="1" applyBorder="1" applyAlignment="1">
      <alignment horizontal="center" vertical="center"/>
    </xf>
    <xf numFmtId="0" fontId="12" fillId="0" borderId="14" xfId="0" applyFont="1" applyBorder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1" fontId="0" fillId="0" borderId="25" xfId="0" applyNumberFormat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Fill="1" applyAlignment="1">
      <alignment horizontal="center"/>
    </xf>
    <xf numFmtId="164" fontId="0" fillId="0" borderId="0" xfId="0" applyNumberFormat="1" applyAlignment="1">
      <alignment horizontal="center"/>
    </xf>
    <xf numFmtId="0" fontId="0" fillId="0" borderId="0" xfId="0" applyFill="1" applyBorder="1" applyAlignment="1">
      <alignment horizontal="center"/>
    </xf>
    <xf numFmtId="1" fontId="0" fillId="0" borderId="0" xfId="0" applyNumberFormat="1" applyFill="1" applyBorder="1" applyAlignment="1">
      <alignment horizontal="center"/>
    </xf>
  </cellXfs>
  <cellStyles count="2">
    <cellStyle name="Hyperlink" xfId="1" builtinId="8"/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lineMarker"/>
        <c:ser>
          <c:idx val="0"/>
          <c:order val="0"/>
          <c:tx>
            <c:strRef>
              <c:f>'EVB CCT Cal'!$X$5</c:f>
              <c:strCache>
                <c:ptCount val="1"/>
                <c:pt idx="0">
                  <c:v>A</c:v>
                </c:pt>
              </c:strCache>
            </c:strRef>
          </c:tx>
          <c:xVal>
            <c:numRef>
              <c:f>'EVB CCT Cal'!$W$6:$W$8</c:f>
              <c:numCache>
                <c:formatCode>General</c:formatCode>
                <c:ptCount val="3"/>
                <c:pt idx="0">
                  <c:v>0</c:v>
                </c:pt>
                <c:pt idx="1">
                  <c:v>30</c:v>
                </c:pt>
                <c:pt idx="2">
                  <c:v>34</c:v>
                </c:pt>
              </c:numCache>
            </c:numRef>
          </c:xVal>
          <c:yVal>
            <c:numRef>
              <c:f>'EVB CCT Cal'!$X$6:$X$8</c:f>
              <c:numCache>
                <c:formatCode>0</c:formatCode>
                <c:ptCount val="3"/>
                <c:pt idx="0" formatCode="General">
                  <c:v>5670</c:v>
                </c:pt>
                <c:pt idx="1">
                  <c:v>1832.6470588235297</c:v>
                </c:pt>
                <c:pt idx="2" formatCode="General">
                  <c:v>1321</c:v>
                </c:pt>
              </c:numCache>
            </c:numRef>
          </c:yVal>
        </c:ser>
        <c:ser>
          <c:idx val="1"/>
          <c:order val="1"/>
          <c:tx>
            <c:strRef>
              <c:f>'EVB CCT Cal'!$Y$5</c:f>
              <c:strCache>
                <c:ptCount val="1"/>
                <c:pt idx="0">
                  <c:v>CWF'</c:v>
                </c:pt>
              </c:strCache>
            </c:strRef>
          </c:tx>
          <c:xVal>
            <c:numRef>
              <c:f>'EVB CCT Cal'!$W$6:$W$8</c:f>
              <c:numCache>
                <c:formatCode>General</c:formatCode>
                <c:ptCount val="3"/>
                <c:pt idx="0">
                  <c:v>0</c:v>
                </c:pt>
                <c:pt idx="1">
                  <c:v>30</c:v>
                </c:pt>
                <c:pt idx="2">
                  <c:v>34</c:v>
                </c:pt>
              </c:numCache>
            </c:numRef>
          </c:xVal>
          <c:yVal>
            <c:numRef>
              <c:f>'EVB CCT Cal'!$Y$6:$Y$8</c:f>
              <c:numCache>
                <c:formatCode>0</c:formatCode>
                <c:ptCount val="3"/>
                <c:pt idx="0">
                  <c:v>1946.5974025974028</c:v>
                </c:pt>
                <c:pt idx="1">
                  <c:v>1851.2574484339193</c:v>
                </c:pt>
                <c:pt idx="2">
                  <c:v>1838.5454545454547</c:v>
                </c:pt>
              </c:numCache>
            </c:numRef>
          </c:yVal>
        </c:ser>
        <c:axId val="268172672"/>
        <c:axId val="287188096"/>
      </c:scatterChart>
      <c:valAx>
        <c:axId val="268172672"/>
        <c:scaling>
          <c:orientation val="minMax"/>
        </c:scaling>
        <c:axPos val="b"/>
        <c:numFmt formatCode="General" sourceLinked="1"/>
        <c:tickLblPos val="nextTo"/>
        <c:crossAx val="287188096"/>
        <c:crosses val="autoZero"/>
        <c:crossBetween val="midCat"/>
      </c:valAx>
      <c:valAx>
        <c:axId val="287188096"/>
        <c:scaling>
          <c:orientation val="minMax"/>
        </c:scaling>
        <c:axPos val="l"/>
        <c:majorGridlines/>
        <c:numFmt formatCode="General" sourceLinked="1"/>
        <c:tickLblPos val="nextTo"/>
        <c:crossAx val="268172672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155" l="0.70000000000000062" r="0.70000000000000062" t="0.75000000000000155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400"/>
            </a:pPr>
            <a:r>
              <a:rPr lang="en-US" sz="1400"/>
              <a:t>DUT Calibration Points</a:t>
            </a:r>
          </a:p>
        </c:rich>
      </c:tx>
      <c:layout>
        <c:manualLayout>
          <c:xMode val="edge"/>
          <c:yMode val="edge"/>
          <c:x val="0.2962014435695538"/>
          <c:y val="4.1666666666666664E-2"/>
        </c:manualLayout>
      </c:layout>
      <c:overlay val="1"/>
    </c:title>
    <c:plotArea>
      <c:layout>
        <c:manualLayout>
          <c:layoutTarget val="inner"/>
          <c:xMode val="edge"/>
          <c:yMode val="edge"/>
          <c:x val="0.14459951881014874"/>
          <c:y val="5.1400554097404488E-2"/>
          <c:w val="0.69523140857392862"/>
          <c:h val="0.77706401283173065"/>
        </c:manualLayout>
      </c:layout>
      <c:lineChart>
        <c:grouping val="standard"/>
        <c:ser>
          <c:idx val="0"/>
          <c:order val="0"/>
          <c:tx>
            <c:strRef>
              <c:f>'Monitor Cal'!$C$26</c:f>
              <c:strCache>
                <c:ptCount val="1"/>
                <c:pt idx="0">
                  <c:v>Tcp</c:v>
                </c:pt>
              </c:strCache>
            </c:strRef>
          </c:tx>
          <c:cat>
            <c:strRef>
              <c:f>'Monitor Cal'!$B$27:$B$31</c:f>
              <c:strCache>
                <c:ptCount val="5"/>
                <c:pt idx="0">
                  <c:v>A</c:v>
                </c:pt>
                <c:pt idx="2">
                  <c:v>CWF</c:v>
                </c:pt>
                <c:pt idx="4">
                  <c:v>D65</c:v>
                </c:pt>
              </c:strCache>
            </c:strRef>
          </c:cat>
          <c:val>
            <c:numRef>
              <c:f>'Monitor Cal'!$C$27:$C$31</c:f>
              <c:numCache>
                <c:formatCode>0</c:formatCode>
                <c:ptCount val="5"/>
                <c:pt idx="0">
                  <c:v>2800</c:v>
                </c:pt>
                <c:pt idx="1">
                  <c:v>3264.5739910313901</c:v>
                </c:pt>
                <c:pt idx="2">
                  <c:v>3913.9784946236555</c:v>
                </c:pt>
                <c:pt idx="3">
                  <c:v>4885.9060402684554</c:v>
                </c:pt>
                <c:pt idx="4" formatCode="General">
                  <c:v>6500</c:v>
                </c:pt>
              </c:numCache>
            </c:numRef>
          </c:val>
        </c:ser>
        <c:marker val="1"/>
        <c:axId val="290809344"/>
        <c:axId val="290811264"/>
      </c:lineChart>
      <c:lineChart>
        <c:grouping val="standard"/>
        <c:ser>
          <c:idx val="1"/>
          <c:order val="1"/>
          <c:tx>
            <c:strRef>
              <c:f>'Monitor Cal'!$D$26</c:f>
              <c:strCache>
                <c:ptCount val="1"/>
                <c:pt idx="0">
                  <c:v>MK-1</c:v>
                </c:pt>
              </c:strCache>
            </c:strRef>
          </c:tx>
          <c:cat>
            <c:strRef>
              <c:f>'Monitor Cal'!$B$27:$B$31</c:f>
              <c:strCache>
                <c:ptCount val="5"/>
                <c:pt idx="0">
                  <c:v>A</c:v>
                </c:pt>
                <c:pt idx="2">
                  <c:v>CWF</c:v>
                </c:pt>
                <c:pt idx="4">
                  <c:v>D65</c:v>
                </c:pt>
              </c:strCache>
            </c:strRef>
          </c:cat>
          <c:val>
            <c:numRef>
              <c:f>'Monitor Cal'!$D$27:$D$31</c:f>
              <c:numCache>
                <c:formatCode>0.0</c:formatCode>
                <c:ptCount val="5"/>
                <c:pt idx="0">
                  <c:v>357.14285714285717</c:v>
                </c:pt>
                <c:pt idx="1">
                  <c:v>306.31868131868134</c:v>
                </c:pt>
                <c:pt idx="2">
                  <c:v>255.49450549450552</c:v>
                </c:pt>
                <c:pt idx="3">
                  <c:v>204.67032967032969</c:v>
                </c:pt>
                <c:pt idx="4">
                  <c:v>153.84615384615384</c:v>
                </c:pt>
              </c:numCache>
            </c:numRef>
          </c:val>
        </c:ser>
        <c:marker val="1"/>
        <c:axId val="290819456"/>
        <c:axId val="290817536"/>
      </c:lineChart>
      <c:catAx>
        <c:axId val="290809344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Equivalent Light Source</a:t>
                </a:r>
              </a:p>
            </c:rich>
          </c:tx>
        </c:title>
        <c:tickLblPos val="nextTo"/>
        <c:crossAx val="290811264"/>
        <c:crosses val="autoZero"/>
        <c:auto val="1"/>
        <c:lblAlgn val="ctr"/>
        <c:lblOffset val="100"/>
      </c:catAx>
      <c:valAx>
        <c:axId val="290811264"/>
        <c:scaling>
          <c:orientation val="minMax"/>
          <c:min val="2500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Tcp (K)</a:t>
                </a:r>
              </a:p>
            </c:rich>
          </c:tx>
        </c:title>
        <c:numFmt formatCode="0" sourceLinked="1"/>
        <c:tickLblPos val="nextTo"/>
        <c:crossAx val="290809344"/>
        <c:crosses val="autoZero"/>
        <c:crossBetween val="between"/>
      </c:valAx>
      <c:valAx>
        <c:axId val="290817536"/>
        <c:scaling>
          <c:orientation val="minMax"/>
          <c:min val="150"/>
        </c:scaling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MK-1</a:t>
                </a:r>
              </a:p>
            </c:rich>
          </c:tx>
        </c:title>
        <c:numFmt formatCode="0.0" sourceLinked="1"/>
        <c:tickLblPos val="nextTo"/>
        <c:crossAx val="290819456"/>
        <c:crosses val="max"/>
        <c:crossBetween val="between"/>
      </c:valAx>
      <c:catAx>
        <c:axId val="290819456"/>
        <c:scaling>
          <c:orientation val="minMax"/>
        </c:scaling>
        <c:delete val="1"/>
        <c:axPos val="b"/>
        <c:tickLblPos val="none"/>
        <c:crossAx val="290817536"/>
        <c:crosses val="autoZero"/>
        <c:auto val="1"/>
        <c:lblAlgn val="ctr"/>
        <c:lblOffset val="100"/>
      </c:catAx>
    </c:plotArea>
    <c:legend>
      <c:legendPos val="r"/>
      <c:layout>
        <c:manualLayout>
          <c:xMode val="edge"/>
          <c:yMode val="edge"/>
          <c:x val="0.18645822397200426"/>
          <c:y val="0.44869021580635754"/>
          <c:w val="0.14409733158355273"/>
          <c:h val="0.16743438320210069"/>
        </c:manualLayout>
      </c:layout>
      <c:spPr>
        <a:solidFill>
          <a:schemeClr val="bg1"/>
        </a:solidFill>
      </c:spPr>
    </c:legend>
    <c:plotVisOnly val="1"/>
  </c:chart>
  <c:printSettings>
    <c:headerFooter/>
    <c:pageMargins b="0.75000000000000266" l="0.70000000000000062" r="0.70000000000000062" t="0.75000000000000266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11.emf"/><Relationship Id="rId1" Type="http://schemas.openxmlformats.org/officeDocument/2006/relationships/image" Target="../media/image10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438150</xdr:colOff>
      <xdr:row>5</xdr:row>
      <xdr:rowOff>152400</xdr:rowOff>
    </xdr:from>
    <xdr:to>
      <xdr:col>12</xdr:col>
      <xdr:colOff>9525</xdr:colOff>
      <xdr:row>6</xdr:row>
      <xdr:rowOff>47625</xdr:rowOff>
    </xdr:to>
    <xdr:cxnSp macro="">
      <xdr:nvCxnSpPr>
        <xdr:cNvPr id="2" name="Straight Arrow Connector 1"/>
        <xdr:cNvCxnSpPr/>
      </xdr:nvCxnSpPr>
      <xdr:spPr>
        <a:xfrm flipH="1" flipV="1">
          <a:off x="1657350" y="1123950"/>
          <a:ext cx="5667375" cy="85725"/>
        </a:xfrm>
        <a:prstGeom prst="straightConnector1">
          <a:avLst/>
        </a:prstGeom>
        <a:ln w="2540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19050</xdr:colOff>
      <xdr:row>7</xdr:row>
      <xdr:rowOff>133350</xdr:rowOff>
    </xdr:from>
    <xdr:to>
      <xdr:col>12</xdr:col>
      <xdr:colOff>0</xdr:colOff>
      <xdr:row>8</xdr:row>
      <xdr:rowOff>28575</xdr:rowOff>
    </xdr:to>
    <xdr:cxnSp macro="">
      <xdr:nvCxnSpPr>
        <xdr:cNvPr id="3" name="Straight Arrow Connector 2"/>
        <xdr:cNvCxnSpPr/>
      </xdr:nvCxnSpPr>
      <xdr:spPr>
        <a:xfrm flipH="1">
          <a:off x="1847850" y="1485900"/>
          <a:ext cx="5467350" cy="85725"/>
        </a:xfrm>
        <a:prstGeom prst="straightConnector1">
          <a:avLst/>
        </a:prstGeom>
        <a:ln w="2540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35</xdr:row>
      <xdr:rowOff>171450</xdr:rowOff>
    </xdr:from>
    <xdr:to>
      <xdr:col>10</xdr:col>
      <xdr:colOff>581025</xdr:colOff>
      <xdr:row>37</xdr:row>
      <xdr:rowOff>104775</xdr:rowOff>
    </xdr:to>
    <xdr:cxnSp macro="">
      <xdr:nvCxnSpPr>
        <xdr:cNvPr id="5" name="Straight Arrow Connector 4"/>
        <xdr:cNvCxnSpPr/>
      </xdr:nvCxnSpPr>
      <xdr:spPr>
        <a:xfrm flipV="1">
          <a:off x="5486400" y="6810375"/>
          <a:ext cx="1190625" cy="314325"/>
        </a:xfrm>
        <a:prstGeom prst="straightConnector1">
          <a:avLst/>
        </a:prstGeom>
        <a:ln w="2540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352426</xdr:colOff>
      <xdr:row>29</xdr:row>
      <xdr:rowOff>180975</xdr:rowOff>
    </xdr:from>
    <xdr:to>
      <xdr:col>10</xdr:col>
      <xdr:colOff>590550</xdr:colOff>
      <xdr:row>35</xdr:row>
      <xdr:rowOff>85725</xdr:rowOff>
    </xdr:to>
    <xdr:cxnSp macro="">
      <xdr:nvCxnSpPr>
        <xdr:cNvPr id="6" name="Straight Arrow Connector 5"/>
        <xdr:cNvCxnSpPr/>
      </xdr:nvCxnSpPr>
      <xdr:spPr>
        <a:xfrm flipH="1">
          <a:off x="5229226" y="5695950"/>
          <a:ext cx="1457324" cy="1057275"/>
        </a:xfrm>
        <a:prstGeom prst="straightConnector1">
          <a:avLst/>
        </a:prstGeom>
        <a:ln w="2540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466726</xdr:colOff>
      <xdr:row>38</xdr:row>
      <xdr:rowOff>104775</xdr:rowOff>
    </xdr:from>
    <xdr:to>
      <xdr:col>20</xdr:col>
      <xdr:colOff>0</xdr:colOff>
      <xdr:row>44</xdr:row>
      <xdr:rowOff>57150</xdr:rowOff>
    </xdr:to>
    <xdr:cxnSp macro="">
      <xdr:nvCxnSpPr>
        <xdr:cNvPr id="7" name="Straight Arrow Connector 6"/>
        <xdr:cNvCxnSpPr/>
      </xdr:nvCxnSpPr>
      <xdr:spPr>
        <a:xfrm flipH="1">
          <a:off x="11439526" y="7315200"/>
          <a:ext cx="752474" cy="1114425"/>
        </a:xfrm>
        <a:prstGeom prst="straightConnector1">
          <a:avLst/>
        </a:prstGeom>
        <a:ln w="2540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9526</xdr:colOff>
      <xdr:row>11</xdr:row>
      <xdr:rowOff>103909</xdr:rowOff>
    </xdr:from>
    <xdr:to>
      <xdr:col>11</xdr:col>
      <xdr:colOff>597477</xdr:colOff>
      <xdr:row>13</xdr:row>
      <xdr:rowOff>104775</xdr:rowOff>
    </xdr:to>
    <xdr:cxnSp macro="">
      <xdr:nvCxnSpPr>
        <xdr:cNvPr id="4" name="Straight Arrow Connector 3"/>
        <xdr:cNvCxnSpPr/>
      </xdr:nvCxnSpPr>
      <xdr:spPr>
        <a:xfrm flipH="1">
          <a:off x="5464753" y="2234045"/>
          <a:ext cx="1800224" cy="451139"/>
        </a:xfrm>
        <a:prstGeom prst="straightConnector1">
          <a:avLst/>
        </a:prstGeom>
        <a:ln w="2540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0</xdr:colOff>
      <xdr:row>1</xdr:row>
      <xdr:rowOff>0</xdr:rowOff>
    </xdr:from>
    <xdr:to>
      <xdr:col>28</xdr:col>
      <xdr:colOff>226219</xdr:colOff>
      <xdr:row>17</xdr:row>
      <xdr:rowOff>107157</xdr:rowOff>
    </xdr:to>
    <xdr:graphicFrame macro="">
      <xdr:nvGraphicFramePr>
        <xdr:cNvPr id="12" name="Chart 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0</xdr:colOff>
      <xdr:row>24</xdr:row>
      <xdr:rowOff>0</xdr:rowOff>
    </xdr:from>
    <xdr:to>
      <xdr:col>23</xdr:col>
      <xdr:colOff>459581</xdr:colOff>
      <xdr:row>36</xdr:row>
      <xdr:rowOff>114300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control" Target="../activeX/activeX8.xml"/><Relationship Id="rId3" Type="http://schemas.openxmlformats.org/officeDocument/2006/relationships/printerSettings" Target="../printerSettings/printerSettings1.bin"/><Relationship Id="rId7" Type="http://schemas.openxmlformats.org/officeDocument/2006/relationships/control" Target="../activeX/activeX2.xml"/><Relationship Id="rId12" Type="http://schemas.openxmlformats.org/officeDocument/2006/relationships/control" Target="../activeX/activeX7.xml"/><Relationship Id="rId2" Type="http://schemas.openxmlformats.org/officeDocument/2006/relationships/hyperlink" Target="http://en.wikipedia.org/wiki/Color_temperature" TargetMode="External"/><Relationship Id="rId1" Type="http://schemas.openxmlformats.org/officeDocument/2006/relationships/hyperlink" Target="http://sensing.konicaminolta.us/products/cl-200a-chroma-meter/support/CL_200AChromaMeter_Manual.pdf" TargetMode="External"/><Relationship Id="rId6" Type="http://schemas.openxmlformats.org/officeDocument/2006/relationships/control" Target="../activeX/activeX1.xml"/><Relationship Id="rId11" Type="http://schemas.openxmlformats.org/officeDocument/2006/relationships/control" Target="../activeX/activeX6.xml"/><Relationship Id="rId5" Type="http://schemas.openxmlformats.org/officeDocument/2006/relationships/vmlDrawing" Target="../drawings/vmlDrawing1.vml"/><Relationship Id="rId10" Type="http://schemas.openxmlformats.org/officeDocument/2006/relationships/control" Target="../activeX/activeX5.xml"/><Relationship Id="rId4" Type="http://schemas.openxmlformats.org/officeDocument/2006/relationships/drawing" Target="../drawings/drawing1.xml"/><Relationship Id="rId9" Type="http://schemas.openxmlformats.org/officeDocument/2006/relationships/control" Target="../activeX/activeX4.xml"/><Relationship Id="rId14" Type="http://schemas.openxmlformats.org/officeDocument/2006/relationships/control" Target="../activeX/activeX9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ntrol" Target="../activeX/activeX11.xml"/><Relationship Id="rId4" Type="http://schemas.openxmlformats.org/officeDocument/2006/relationships/control" Target="../activeX/activeX10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1:AA68"/>
  <sheetViews>
    <sheetView tabSelected="1" zoomScale="70" zoomScaleNormal="70" workbookViewId="0">
      <selection activeCell="W70" sqref="W70"/>
    </sheetView>
  </sheetViews>
  <sheetFormatPr defaultRowHeight="15"/>
  <cols>
    <col min="1" max="1" width="3.5703125" customWidth="1"/>
    <col min="2" max="2" width="11" bestFit="1" customWidth="1"/>
    <col min="3" max="3" width="12.28515625" customWidth="1"/>
    <col min="7" max="7" width="9.140625" customWidth="1"/>
    <col min="8" max="11" width="9.140625" style="3"/>
    <col min="16" max="16" width="9.140625" customWidth="1"/>
    <col min="22" max="22" width="10.5703125" bestFit="1" customWidth="1"/>
  </cols>
  <sheetData>
    <row r="1" spans="2:25" ht="15.75" thickBot="1"/>
    <row r="2" spans="2:25" ht="15.75" thickBot="1">
      <c r="B2" s="222" t="s">
        <v>13</v>
      </c>
      <c r="C2" s="223"/>
      <c r="D2" s="223"/>
      <c r="E2" s="223"/>
      <c r="F2" s="224"/>
      <c r="G2" s="4"/>
      <c r="H2" s="4"/>
      <c r="I2" s="4"/>
      <c r="J2" s="4"/>
      <c r="K2" s="4"/>
      <c r="L2" s="4"/>
      <c r="M2" s="216" t="s">
        <v>14</v>
      </c>
      <c r="N2" s="217"/>
      <c r="O2" s="217"/>
      <c r="P2" s="217"/>
      <c r="Q2" s="217"/>
      <c r="R2" s="217"/>
      <c r="S2" s="217"/>
      <c r="T2" s="218"/>
      <c r="U2" s="4"/>
      <c r="V2" s="4"/>
    </row>
    <row r="3" spans="2:25" ht="15.75" thickBot="1">
      <c r="B3" s="144" t="s">
        <v>59</v>
      </c>
      <c r="C3" s="149" t="s">
        <v>15</v>
      </c>
      <c r="D3" s="149" t="s">
        <v>16</v>
      </c>
      <c r="E3" s="149" t="s">
        <v>17</v>
      </c>
      <c r="F3" s="152" t="s">
        <v>18</v>
      </c>
      <c r="G3" s="171" t="s">
        <v>19</v>
      </c>
      <c r="H3" s="229"/>
      <c r="I3" s="229"/>
      <c r="J3" s="229"/>
      <c r="K3" s="229"/>
      <c r="L3" s="225"/>
      <c r="M3" s="219"/>
      <c r="N3" s="220"/>
      <c r="O3" s="220"/>
      <c r="P3" s="220"/>
      <c r="Q3" s="220"/>
      <c r="R3" s="220"/>
      <c r="S3" s="220"/>
      <c r="T3" s="221"/>
      <c r="U3" s="4"/>
    </row>
    <row r="4" spans="2:25">
      <c r="B4" s="147">
        <v>1</v>
      </c>
      <c r="C4" s="148" t="s">
        <v>20</v>
      </c>
      <c r="D4" s="11">
        <v>1280</v>
      </c>
      <c r="E4" s="11">
        <v>770</v>
      </c>
      <c r="F4" s="12">
        <f>D4/E4</f>
        <v>1.6623376623376624</v>
      </c>
      <c r="G4" s="4"/>
      <c r="H4" s="4"/>
      <c r="I4" s="4"/>
      <c r="J4" s="4"/>
      <c r="K4" s="4"/>
      <c r="L4" s="4"/>
      <c r="M4" s="193" t="s">
        <v>21</v>
      </c>
      <c r="N4" s="186"/>
      <c r="O4" s="186"/>
      <c r="P4" s="186"/>
      <c r="Q4" s="186"/>
      <c r="R4" s="194"/>
      <c r="S4" s="52"/>
      <c r="T4" s="53"/>
      <c r="U4" s="29"/>
      <c r="W4" s="155"/>
      <c r="X4" s="155"/>
      <c r="Y4" s="155"/>
    </row>
    <row r="5" spans="2:25">
      <c r="B5" s="147"/>
      <c r="C5" s="148">
        <v>0</v>
      </c>
      <c r="D5" s="49">
        <v>5670</v>
      </c>
      <c r="E5" s="49">
        <v>1171</v>
      </c>
      <c r="F5" s="13">
        <f>E5*F$4</f>
        <v>1946.5974025974028</v>
      </c>
      <c r="G5" s="4"/>
      <c r="H5" s="4"/>
      <c r="I5" s="4"/>
      <c r="J5" s="4"/>
      <c r="K5" s="4"/>
      <c r="L5" s="4"/>
      <c r="M5" s="195"/>
      <c r="N5" s="196"/>
      <c r="O5" s="196"/>
      <c r="P5" s="196"/>
      <c r="Q5" s="196"/>
      <c r="R5" s="197"/>
      <c r="S5" s="52"/>
      <c r="T5" s="52"/>
      <c r="U5" s="4"/>
      <c r="W5" s="3"/>
      <c r="X5" s="3" t="str">
        <f>D3</f>
        <v>A</v>
      </c>
      <c r="Y5" s="3" t="str">
        <f>F3</f>
        <v>CWF'</v>
      </c>
    </row>
    <row r="6" spans="2:25">
      <c r="B6" s="14">
        <f>INT(cmpA0/4)</f>
        <v>1417</v>
      </c>
      <c r="C6" s="49">
        <v>34</v>
      </c>
      <c r="D6" s="49">
        <v>1321</v>
      </c>
      <c r="E6" s="49">
        <v>1106</v>
      </c>
      <c r="F6" s="13">
        <f>E6*F$4</f>
        <v>1838.5454545454547</v>
      </c>
      <c r="G6" s="4"/>
      <c r="H6" s="4"/>
      <c r="I6" s="4"/>
      <c r="J6" s="4"/>
      <c r="K6" s="4"/>
      <c r="L6" s="4"/>
      <c r="M6" s="198" t="s">
        <v>22</v>
      </c>
      <c r="N6" s="199"/>
      <c r="O6" s="199"/>
      <c r="P6" s="199"/>
      <c r="Q6" s="199"/>
      <c r="R6" s="199"/>
      <c r="S6" s="199"/>
      <c r="T6" s="200"/>
      <c r="U6" s="4"/>
      <c r="W6" s="136">
        <f>C5</f>
        <v>0</v>
      </c>
      <c r="X6" s="3">
        <f>cmpA0</f>
        <v>5670</v>
      </c>
      <c r="Y6" s="142">
        <f>F5</f>
        <v>1946.5974025974028</v>
      </c>
    </row>
    <row r="7" spans="2:25">
      <c r="B7" s="147"/>
      <c r="C7" s="148" t="s">
        <v>23</v>
      </c>
      <c r="D7" s="151">
        <f>SLOPE(D5:D6,$C5:$C6)</f>
        <v>-127.91176470588235</v>
      </c>
      <c r="E7" s="151">
        <f>SLOPE(E5:E6,$C5:$C6)</f>
        <v>-1.911764705882353</v>
      </c>
      <c r="F7" s="16">
        <f>SLOPE(F5:F6,$C5:$C6)</f>
        <v>-3.1779984721161205</v>
      </c>
      <c r="G7" s="4"/>
      <c r="H7" s="4"/>
      <c r="I7" s="4"/>
      <c r="J7" s="4"/>
      <c r="K7" s="4"/>
      <c r="L7" s="4"/>
      <c r="M7" s="195"/>
      <c r="N7" s="196"/>
      <c r="O7" s="196"/>
      <c r="P7" s="196"/>
      <c r="Q7" s="196"/>
      <c r="R7" s="196"/>
      <c r="S7" s="196"/>
      <c r="T7" s="201"/>
      <c r="U7" s="4"/>
      <c r="V7" s="4"/>
      <c r="W7" s="3">
        <f>cmpSet</f>
        <v>30</v>
      </c>
      <c r="X7" s="142">
        <f>D9</f>
        <v>1832.6470588235297</v>
      </c>
      <c r="Y7" s="142">
        <f>F9</f>
        <v>1851.2574484339193</v>
      </c>
    </row>
    <row r="8" spans="2:25">
      <c r="B8" s="167" t="s">
        <v>24</v>
      </c>
      <c r="C8" s="72">
        <f>MAX(MIN(ROUND((D5-F5)/(F7-D7),0),63),0)</f>
        <v>30</v>
      </c>
      <c r="D8" s="252" t="s">
        <v>103</v>
      </c>
      <c r="E8" s="252"/>
      <c r="F8" s="153">
        <f>-cmpSet*E7/cmpCWF0</f>
        <v>4.897774652132416E-2</v>
      </c>
      <c r="G8" s="4"/>
      <c r="H8" s="4"/>
      <c r="I8" s="4"/>
      <c r="J8" s="4"/>
      <c r="K8" s="4"/>
      <c r="L8" s="4"/>
      <c r="M8" s="202" t="s">
        <v>60</v>
      </c>
      <c r="N8" s="199"/>
      <c r="O8" s="199"/>
      <c r="P8" s="199"/>
      <c r="Q8" s="199"/>
      <c r="R8" s="203"/>
      <c r="S8" s="203"/>
      <c r="T8" s="200"/>
      <c r="U8" s="4"/>
      <c r="V8" s="4"/>
      <c r="W8" s="3">
        <f>cmpTest</f>
        <v>34</v>
      </c>
      <c r="X8" s="3">
        <f>cmpAN</f>
        <v>1321</v>
      </c>
      <c r="Y8" s="142">
        <f>F6</f>
        <v>1838.5454545454547</v>
      </c>
    </row>
    <row r="9" spans="2:25" ht="15.75" thickBot="1">
      <c r="B9" s="168"/>
      <c r="C9" s="71"/>
      <c r="D9" s="150">
        <f>D7*cmpSet+cmpA0</f>
        <v>1832.6470588235297</v>
      </c>
      <c r="E9" s="150">
        <f>E7*cmpSet+cmpCWF0</f>
        <v>1113.6470588235295</v>
      </c>
      <c r="F9" s="40">
        <f>E9*F$4</f>
        <v>1851.2574484339193</v>
      </c>
      <c r="G9" s="4"/>
      <c r="H9" s="4"/>
      <c r="I9" s="4"/>
      <c r="J9" s="4"/>
      <c r="K9" s="4"/>
      <c r="L9" s="4"/>
      <c r="M9" s="195"/>
      <c r="N9" s="196"/>
      <c r="O9" s="196"/>
      <c r="P9" s="196"/>
      <c r="Q9" s="196"/>
      <c r="R9" s="204"/>
      <c r="S9" s="204"/>
      <c r="T9" s="201"/>
      <c r="U9" s="4"/>
      <c r="V9" s="4"/>
    </row>
    <row r="10" spans="2:25" ht="15.75" thickBot="1"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</row>
    <row r="11" spans="2:25" s="4" customFormat="1" ht="15.75" thickBot="1">
      <c r="B11" s="222" t="s">
        <v>25</v>
      </c>
      <c r="C11" s="223"/>
      <c r="D11" s="223"/>
      <c r="E11" s="223"/>
      <c r="F11" s="223"/>
      <c r="G11" s="223"/>
      <c r="H11" s="223"/>
      <c r="I11" s="223"/>
      <c r="J11" s="223"/>
      <c r="K11" s="224"/>
      <c r="M11" s="181" t="str">
        <f>"5) Set your IR Compset = "&amp; ROUND(C8,0) &amp; " then Measure XYZ(from CL-200) and RGB values(ISL29125) on LO(375lux) and HI(10k Lux) ranges on three different light sources near 2800K, 4000K and 6500kK values."&amp;" Use a (low IR)fluorescent source (same as used for balancing the IR compensation) for the middle, 4000K value.  Place values at yellow portion."</f>
        <v>5) Set your IR Compset = 30 then Measure XYZ(from CL-200) and RGB values(ISL29125) on LO(375lux) and HI(10k Lux) ranges on three different light sources near 2800K, 4000K and 6500kK values. Use a (low IR)fluorescent source (same as used for balancing the IR compensation) for the middle, 4000K value.  Place values at yellow portion.</v>
      </c>
      <c r="N11" s="182"/>
      <c r="O11" s="182"/>
      <c r="P11" s="182"/>
      <c r="Q11" s="182"/>
      <c r="R11" s="182"/>
      <c r="S11" s="183"/>
      <c r="T11" s="183"/>
      <c r="U11" s="184"/>
    </row>
    <row r="12" spans="2:25" s="4" customFormat="1" ht="18">
      <c r="B12" s="144"/>
      <c r="C12" s="145"/>
      <c r="D12" s="240" t="s">
        <v>26</v>
      </c>
      <c r="E12" s="240"/>
      <c r="F12" s="240"/>
      <c r="G12" s="240" t="s">
        <v>27</v>
      </c>
      <c r="H12" s="240"/>
      <c r="I12" s="240"/>
      <c r="J12" s="145" t="s">
        <v>35</v>
      </c>
      <c r="K12" s="146">
        <f>AVERAGE(J20,J14,J17)</f>
        <v>26.737952660290443</v>
      </c>
      <c r="M12" s="185"/>
      <c r="N12" s="186"/>
      <c r="O12" s="186"/>
      <c r="P12" s="186"/>
      <c r="Q12" s="186"/>
      <c r="R12" s="186"/>
      <c r="S12" s="187"/>
      <c r="T12" s="187"/>
      <c r="U12" s="188"/>
    </row>
    <row r="13" spans="2:25" s="4" customFormat="1" ht="18">
      <c r="B13" s="135" t="s">
        <v>28</v>
      </c>
      <c r="C13" s="136" t="s">
        <v>0</v>
      </c>
      <c r="D13" s="136" t="s">
        <v>29</v>
      </c>
      <c r="E13" s="136" t="s">
        <v>30</v>
      </c>
      <c r="F13" s="136" t="s">
        <v>31</v>
      </c>
      <c r="G13" s="136" t="s">
        <v>32</v>
      </c>
      <c r="H13" s="136" t="s">
        <v>33</v>
      </c>
      <c r="I13" s="136" t="s">
        <v>34</v>
      </c>
      <c r="J13" s="136" t="s">
        <v>57</v>
      </c>
      <c r="K13" s="17">
        <f>AVERAGE(J22,J16,J19)</f>
        <v>2.162784752722402</v>
      </c>
      <c r="M13" s="185"/>
      <c r="N13" s="186"/>
      <c r="O13" s="186"/>
      <c r="P13" s="186"/>
      <c r="Q13" s="186"/>
      <c r="R13" s="186"/>
      <c r="S13" s="187"/>
      <c r="T13" s="187"/>
      <c r="U13" s="188"/>
    </row>
    <row r="14" spans="2:25" s="4" customFormat="1" ht="15.75" thickBot="1">
      <c r="B14" s="167" t="s">
        <v>17</v>
      </c>
      <c r="C14" s="136" t="str">
        <f>C20</f>
        <v>LO</v>
      </c>
      <c r="D14" s="241">
        <v>743</v>
      </c>
      <c r="E14" s="248">
        <f>E4</f>
        <v>770</v>
      </c>
      <c r="F14" s="241">
        <v>371</v>
      </c>
      <c r="G14" s="49">
        <v>280</v>
      </c>
      <c r="H14" s="49">
        <v>1118</v>
      </c>
      <c r="I14" s="49">
        <v>960</v>
      </c>
      <c r="J14" s="228">
        <f>((G14^2+H14^2+I14^2)^0.5)/((G15^2+H15^2+I15^2)^0.5)</f>
        <v>26.595128290528866</v>
      </c>
      <c r="K14" s="138"/>
      <c r="M14" s="189"/>
      <c r="N14" s="190"/>
      <c r="O14" s="190"/>
      <c r="P14" s="190"/>
      <c r="Q14" s="190"/>
      <c r="R14" s="190"/>
      <c r="S14" s="191"/>
      <c r="T14" s="191"/>
      <c r="U14" s="192"/>
    </row>
    <row r="15" spans="2:25" s="4" customFormat="1" ht="15.75" thickBot="1">
      <c r="B15" s="167"/>
      <c r="C15" s="136" t="str">
        <f>C21</f>
        <v>HI</v>
      </c>
      <c r="D15" s="241"/>
      <c r="E15" s="248"/>
      <c r="F15" s="241"/>
      <c r="G15" s="49">
        <v>11</v>
      </c>
      <c r="H15" s="49">
        <v>42</v>
      </c>
      <c r="I15" s="49">
        <v>36</v>
      </c>
      <c r="J15" s="228"/>
      <c r="K15" s="138"/>
    </row>
    <row r="16" spans="2:25" s="4" customFormat="1">
      <c r="B16" s="167"/>
      <c r="C16" s="136" t="str">
        <f>C22</f>
        <v>HS</v>
      </c>
      <c r="D16" s="241"/>
      <c r="E16" s="248"/>
      <c r="F16" s="241"/>
      <c r="G16" s="49">
        <v>618</v>
      </c>
      <c r="H16" s="49">
        <v>2379</v>
      </c>
      <c r="I16" s="49">
        <v>2050</v>
      </c>
      <c r="J16" s="139">
        <f>((G16^2+H16^2+I16^2)^0.5)/((G14^2+H14^2+I14^2)^0.5)</f>
        <v>2.1337927665116614</v>
      </c>
      <c r="K16" s="138"/>
      <c r="M16" s="56" t="str">
        <f>linefmt("Compensation",C8)</f>
        <v>"Compensation",30,</v>
      </c>
      <c r="N16" s="56"/>
      <c r="O16" s="56"/>
      <c r="P16" s="56"/>
      <c r="R16" s="162" t="s">
        <v>65</v>
      </c>
      <c r="S16" s="164"/>
    </row>
    <row r="17" spans="2:22" s="4" customFormat="1">
      <c r="B17" s="167" t="s">
        <v>38</v>
      </c>
      <c r="C17" s="136" t="str">
        <f>C14</f>
        <v>LO</v>
      </c>
      <c r="D17" s="243">
        <v>830</v>
      </c>
      <c r="E17" s="243">
        <v>867</v>
      </c>
      <c r="F17" s="243">
        <v>885</v>
      </c>
      <c r="G17" s="49">
        <v>1368</v>
      </c>
      <c r="H17" s="49">
        <v>2023</v>
      </c>
      <c r="I17" s="49">
        <v>3245</v>
      </c>
      <c r="J17" s="228">
        <f>((G17^2+H17^2+I17^2)^0.5)/((G18^2+H18^2+I18^2)^0.5)</f>
        <v>26.857037749339302</v>
      </c>
      <c r="K17" s="138"/>
      <c r="M17" s="56" t="str">
        <f>linefmt("CardGain",F58,F61,F64)</f>
        <v>"CardGain",189.5202,184.4302,188.6215,</v>
      </c>
      <c r="N17" s="56"/>
      <c r="O17" s="56"/>
      <c r="P17" s="56"/>
      <c r="R17" s="175" t="s">
        <v>3</v>
      </c>
      <c r="S17" s="176"/>
    </row>
    <row r="18" spans="2:22" s="4" customFormat="1">
      <c r="B18" s="167"/>
      <c r="C18" s="136" t="str">
        <f>C15</f>
        <v>HI</v>
      </c>
      <c r="D18" s="244"/>
      <c r="E18" s="244"/>
      <c r="F18" s="244"/>
      <c r="G18" s="49">
        <v>51</v>
      </c>
      <c r="H18" s="49">
        <v>75</v>
      </c>
      <c r="I18" s="49">
        <v>121</v>
      </c>
      <c r="J18" s="228"/>
      <c r="K18" s="138"/>
      <c r="M18" s="56" t="str">
        <f>linefmt("Range",1,M60,M61)</f>
        <v>"Range",1,0.9782178,1.118629,</v>
      </c>
      <c r="N18" s="56"/>
      <c r="O18" s="56"/>
      <c r="P18" s="56"/>
      <c r="R18" s="175" t="s">
        <v>4</v>
      </c>
      <c r="S18" s="176"/>
    </row>
    <row r="19" spans="2:22" s="4" customFormat="1">
      <c r="B19" s="167"/>
      <c r="C19" s="136" t="str">
        <f>C16</f>
        <v>HS</v>
      </c>
      <c r="D19" s="245"/>
      <c r="E19" s="245"/>
      <c r="F19" s="245"/>
      <c r="G19" s="49">
        <v>2909</v>
      </c>
      <c r="H19" s="49">
        <v>4300</v>
      </c>
      <c r="I19" s="49">
        <v>7005</v>
      </c>
      <c r="J19" s="139">
        <f>((G19^2+H19^2+I19^2)^0.5)/((G17^2+H17^2+I17^2)^0.5)</f>
        <v>2.1468802166705938</v>
      </c>
      <c r="K19" s="138"/>
      <c r="M19" s="56" t="str">
        <f>linefmt("CCM" )</f>
        <v>"CCM",</v>
      </c>
      <c r="N19" s="56"/>
      <c r="O19" s="56"/>
      <c r="P19" s="56"/>
      <c r="R19" s="177" t="s">
        <v>6</v>
      </c>
      <c r="S19" s="178"/>
    </row>
    <row r="20" spans="2:22" s="4" customFormat="1">
      <c r="B20" s="167" t="s">
        <v>16</v>
      </c>
      <c r="C20" s="136" t="s">
        <v>36</v>
      </c>
      <c r="D20" s="241">
        <v>1405</v>
      </c>
      <c r="E20" s="246">
        <v>1280</v>
      </c>
      <c r="F20" s="241">
        <v>430</v>
      </c>
      <c r="G20" s="49">
        <v>4209</v>
      </c>
      <c r="H20" s="49">
        <v>1988</v>
      </c>
      <c r="I20" s="49">
        <v>4432</v>
      </c>
      <c r="J20" s="228">
        <f>((G20^2+H20^2+I20^2)^0.5)/((G21^2+H21^2+I21^2)^0.5)</f>
        <v>26.761691941003161</v>
      </c>
      <c r="K20" s="138"/>
      <c r="M20" s="56" t="str">
        <f t="shared" ref="M20:M28" si="0">linefmt("",G58,H58,I58)</f>
        <v>0.4337535,0.9870784,-0.5623657,</v>
      </c>
      <c r="N20" s="56"/>
      <c r="O20" s="56"/>
      <c r="P20" s="56"/>
      <c r="R20" s="177" t="s">
        <v>7</v>
      </c>
      <c r="S20" s="178"/>
    </row>
    <row r="21" spans="2:22" s="4" customFormat="1">
      <c r="B21" s="167"/>
      <c r="C21" s="136" t="s">
        <v>37</v>
      </c>
      <c r="D21" s="241"/>
      <c r="E21" s="246"/>
      <c r="F21" s="241"/>
      <c r="G21" s="49">
        <v>157</v>
      </c>
      <c r="H21" s="49">
        <v>74</v>
      </c>
      <c r="I21" s="49">
        <v>166</v>
      </c>
      <c r="J21" s="228"/>
      <c r="K21" s="138"/>
      <c r="M21" s="56" t="str">
        <f t="shared" si="0"/>
        <v>0.3688771,1,-0.5325571,</v>
      </c>
      <c r="N21" s="56"/>
      <c r="O21" s="56"/>
      <c r="P21" s="56"/>
      <c r="R21" s="175" t="s">
        <v>5</v>
      </c>
      <c r="S21" s="176"/>
    </row>
    <row r="22" spans="2:22" s="4" customFormat="1" ht="15.75" thickBot="1">
      <c r="B22" s="168"/>
      <c r="C22" s="137" t="s">
        <v>56</v>
      </c>
      <c r="D22" s="242"/>
      <c r="E22" s="247"/>
      <c r="F22" s="242"/>
      <c r="G22" s="143">
        <v>9290</v>
      </c>
      <c r="H22" s="143">
        <v>4249</v>
      </c>
      <c r="I22" s="143">
        <v>9848</v>
      </c>
      <c r="J22" s="48">
        <f>((G22^2+H22^2+I22^2)^0.5)/((G20^2+H20^2+I20^2)^0.5)</f>
        <v>2.2076812749849508</v>
      </c>
      <c r="K22" s="9"/>
      <c r="M22" s="56" t="str">
        <f t="shared" si="0"/>
        <v>-0.2635757,0.130522,0.2812326,</v>
      </c>
      <c r="N22" s="56"/>
      <c r="O22" s="56"/>
      <c r="P22" s="56"/>
      <c r="R22" s="175" t="s">
        <v>8</v>
      </c>
      <c r="S22" s="176"/>
    </row>
    <row r="23" spans="2:22">
      <c r="B23" s="4"/>
      <c r="C23" s="4"/>
      <c r="D23" s="4"/>
      <c r="E23" s="4"/>
      <c r="F23" s="4"/>
      <c r="G23" s="4"/>
      <c r="H23" s="4"/>
      <c r="I23" s="4"/>
      <c r="J23" s="4"/>
      <c r="K23" s="4"/>
      <c r="L23" s="4"/>
      <c r="M23" s="56" t="str">
        <f t="shared" si="0"/>
        <v>0.4355539,0.9853534,-0.5512426,</v>
      </c>
      <c r="N23" s="56"/>
      <c r="O23" s="56"/>
      <c r="P23" s="56"/>
      <c r="Q23" s="4"/>
      <c r="R23" s="175" t="s">
        <v>9</v>
      </c>
      <c r="S23" s="176"/>
      <c r="U23" s="4"/>
      <c r="V23" s="4"/>
    </row>
    <row r="24" spans="2:22" s="4" customFormat="1" ht="15.75" thickBot="1">
      <c r="M24" s="56" t="str">
        <f t="shared" si="0"/>
        <v>0.3688483,1,-0.5213687,</v>
      </c>
      <c r="N24" s="56"/>
      <c r="O24" s="56"/>
      <c r="P24" s="56"/>
      <c r="R24" s="175" t="s">
        <v>10</v>
      </c>
      <c r="S24" s="176"/>
    </row>
    <row r="25" spans="2:22" ht="15.75" thickBot="1">
      <c r="B25" s="222" t="s">
        <v>58</v>
      </c>
      <c r="C25" s="223"/>
      <c r="D25" s="223"/>
      <c r="E25" s="223"/>
      <c r="F25" s="223"/>
      <c r="G25" s="223"/>
      <c r="H25" s="223"/>
      <c r="I25" s="224"/>
      <c r="J25" s="4"/>
      <c r="K25" s="4"/>
      <c r="M25" s="56" t="str">
        <f t="shared" si="0"/>
        <v>-0.2742311,0.1357344,0.290655,</v>
      </c>
      <c r="N25" s="56"/>
      <c r="O25" s="56"/>
      <c r="P25" s="56"/>
      <c r="R25" s="175" t="s">
        <v>11</v>
      </c>
      <c r="S25" s="176"/>
    </row>
    <row r="26" spans="2:22" ht="15.75" thickBot="1">
      <c r="B26" s="5"/>
      <c r="C26" s="6"/>
      <c r="D26" s="6" t="s">
        <v>29</v>
      </c>
      <c r="E26" s="6" t="s">
        <v>30</v>
      </c>
      <c r="F26" s="6" t="s">
        <v>31</v>
      </c>
      <c r="G26" s="6" t="s">
        <v>32</v>
      </c>
      <c r="H26" s="6" t="s">
        <v>33</v>
      </c>
      <c r="I26" s="7" t="s">
        <v>34</v>
      </c>
      <c r="J26" s="4"/>
      <c r="K26" s="4"/>
      <c r="M26" s="56" t="str">
        <f t="shared" si="0"/>
        <v>0.4316776,0.9841427,-0.5459489,</v>
      </c>
      <c r="N26" s="56"/>
      <c r="O26" s="56"/>
      <c r="P26" s="56"/>
      <c r="R26" s="206" t="s">
        <v>12</v>
      </c>
      <c r="S26" s="207"/>
    </row>
    <row r="27" spans="2:22">
      <c r="B27" s="5" t="str">
        <f>B20</f>
        <v>A</v>
      </c>
      <c r="C27" s="171" t="str">
        <f>C17</f>
        <v>LO</v>
      </c>
      <c r="D27" s="15">
        <f t="shared" ref="D27:I27" si="1">D20</f>
        <v>1405</v>
      </c>
      <c r="E27" s="15">
        <f t="shared" si="1"/>
        <v>1280</v>
      </c>
      <c r="F27" s="15">
        <f t="shared" si="1"/>
        <v>430</v>
      </c>
      <c r="G27" s="18">
        <f t="shared" si="1"/>
        <v>4209</v>
      </c>
      <c r="H27" s="18">
        <f t="shared" si="1"/>
        <v>1988</v>
      </c>
      <c r="I27" s="13">
        <f t="shared" si="1"/>
        <v>4432</v>
      </c>
      <c r="J27" s="4"/>
      <c r="K27" s="30"/>
      <c r="L27" s="30"/>
      <c r="M27" s="56" t="str">
        <f t="shared" si="0"/>
        <v>0.3689454,1,-0.5190476,</v>
      </c>
      <c r="N27" s="56"/>
      <c r="O27" s="56"/>
      <c r="P27" s="56"/>
      <c r="Q27" s="4"/>
      <c r="R27" s="4"/>
      <c r="U27" s="4"/>
      <c r="V27" s="4"/>
    </row>
    <row r="28" spans="2:22" s="4" customFormat="1">
      <c r="B28" s="5" t="str">
        <f>B14</f>
        <v>CWF</v>
      </c>
      <c r="C28" s="171"/>
      <c r="D28" s="15">
        <f t="shared" ref="D28:I28" si="2">D14</f>
        <v>743</v>
      </c>
      <c r="E28" s="15">
        <f t="shared" si="2"/>
        <v>770</v>
      </c>
      <c r="F28" s="15">
        <f t="shared" si="2"/>
        <v>371</v>
      </c>
      <c r="G28" s="18">
        <f t="shared" si="2"/>
        <v>280</v>
      </c>
      <c r="H28" s="18">
        <f t="shared" si="2"/>
        <v>1118</v>
      </c>
      <c r="I28" s="13">
        <f t="shared" si="2"/>
        <v>960</v>
      </c>
      <c r="K28" s="30"/>
      <c r="L28"/>
      <c r="M28" s="56" t="str">
        <f t="shared" si="0"/>
        <v>-0.2634966,0.145426,0.2733166,</v>
      </c>
      <c r="N28" s="56"/>
      <c r="O28" s="56"/>
      <c r="P28" s="56"/>
      <c r="Q28"/>
      <c r="R28"/>
    </row>
    <row r="29" spans="2:22" s="4" customFormat="1" ht="15.75" thickBot="1">
      <c r="B29" s="5" t="str">
        <f>B17</f>
        <v>D65</v>
      </c>
      <c r="C29" s="171"/>
      <c r="D29" s="15">
        <f t="shared" ref="D29:I29" si="3">D17</f>
        <v>830</v>
      </c>
      <c r="E29" s="15">
        <f t="shared" si="3"/>
        <v>867</v>
      </c>
      <c r="F29" s="15">
        <f t="shared" si="3"/>
        <v>885</v>
      </c>
      <c r="G29" s="18">
        <f t="shared" si="3"/>
        <v>1368</v>
      </c>
      <c r="H29" s="18">
        <f t="shared" si="3"/>
        <v>2023</v>
      </c>
      <c r="I29" s="13">
        <f t="shared" si="3"/>
        <v>3245</v>
      </c>
      <c r="K29" s="30"/>
    </row>
    <row r="30" spans="2:22">
      <c r="B30" s="5" t="str">
        <f t="shared" ref="B30:B35" si="4">B27</f>
        <v>A</v>
      </c>
      <c r="C30" s="171" t="str">
        <f>C18</f>
        <v>HI</v>
      </c>
      <c r="D30" s="15">
        <f t="shared" ref="D30:D35" si="5">D27</f>
        <v>1405</v>
      </c>
      <c r="E30" s="15">
        <f t="shared" ref="E30:F30" si="6">E27</f>
        <v>1280</v>
      </c>
      <c r="F30" s="15">
        <f t="shared" si="6"/>
        <v>430</v>
      </c>
      <c r="G30" s="18">
        <f>G21*$K$12</f>
        <v>4197.8585676655994</v>
      </c>
      <c r="H30" s="18">
        <f>H21*$K$12</f>
        <v>1978.6084968614928</v>
      </c>
      <c r="I30" s="13">
        <f>I21*$K$12</f>
        <v>4438.5001416082132</v>
      </c>
      <c r="J30" s="4"/>
      <c r="L30" s="230" t="s">
        <v>39</v>
      </c>
      <c r="M30" s="231"/>
      <c r="N30" s="231"/>
      <c r="O30" s="231"/>
      <c r="P30" s="231"/>
      <c r="Q30" s="231"/>
      <c r="R30" s="231"/>
      <c r="S30" s="231"/>
      <c r="T30" s="231"/>
      <c r="U30" s="231"/>
      <c r="V30" s="232"/>
    </row>
    <row r="31" spans="2:22" s="4" customFormat="1" ht="15.75" thickBot="1">
      <c r="B31" s="5" t="str">
        <f t="shared" si="4"/>
        <v>CWF</v>
      </c>
      <c r="C31" s="171"/>
      <c r="D31" s="15">
        <f t="shared" si="5"/>
        <v>743</v>
      </c>
      <c r="E31" s="15">
        <f t="shared" ref="E31:F35" si="7">E28</f>
        <v>770</v>
      </c>
      <c r="F31" s="15">
        <f t="shared" si="7"/>
        <v>371</v>
      </c>
      <c r="G31" s="18">
        <f>G15*$K$12</f>
        <v>294.11747926319487</v>
      </c>
      <c r="H31" s="18">
        <f>H15*$K$12</f>
        <v>1122.9940117321985</v>
      </c>
      <c r="I31" s="13">
        <f>I15*$K$12</f>
        <v>962.56629577045589</v>
      </c>
      <c r="L31" s="233"/>
      <c r="M31" s="234"/>
      <c r="N31" s="234"/>
      <c r="O31" s="234"/>
      <c r="P31" s="234"/>
      <c r="Q31" s="234"/>
      <c r="R31" s="234"/>
      <c r="S31" s="234"/>
      <c r="T31" s="234"/>
      <c r="U31" s="234"/>
      <c r="V31" s="235"/>
    </row>
    <row r="32" spans="2:22">
      <c r="B32" s="5" t="str">
        <f t="shared" si="4"/>
        <v>D65</v>
      </c>
      <c r="C32" s="171"/>
      <c r="D32" s="15">
        <f t="shared" si="5"/>
        <v>830</v>
      </c>
      <c r="E32" s="15">
        <f t="shared" si="7"/>
        <v>867</v>
      </c>
      <c r="F32" s="15">
        <f t="shared" si="7"/>
        <v>885</v>
      </c>
      <c r="G32" s="18">
        <f>G18*$K$12</f>
        <v>1363.6355856748125</v>
      </c>
      <c r="H32" s="18">
        <f>H18*$K$12</f>
        <v>2005.3464495217831</v>
      </c>
      <c r="I32" s="13">
        <f>I18*$K$12</f>
        <v>3235.2922718951436</v>
      </c>
      <c r="J32" s="4"/>
      <c r="L32" s="4"/>
      <c r="M32" s="4"/>
      <c r="N32" s="4"/>
      <c r="O32" s="4"/>
      <c r="P32" s="4"/>
      <c r="Q32" s="4"/>
      <c r="R32" s="4"/>
      <c r="V32" s="4"/>
    </row>
    <row r="33" spans="2:23">
      <c r="B33" s="5" t="str">
        <f t="shared" si="4"/>
        <v>A</v>
      </c>
      <c r="C33" s="171" t="str">
        <f>C19</f>
        <v>HS</v>
      </c>
      <c r="D33" s="15">
        <f t="shared" si="5"/>
        <v>1405</v>
      </c>
      <c r="E33" s="15">
        <f t="shared" si="7"/>
        <v>1280</v>
      </c>
      <c r="F33" s="15">
        <f t="shared" si="7"/>
        <v>430</v>
      </c>
      <c r="G33" s="18">
        <f>G22/$K$13</f>
        <v>4295.3881509966386</v>
      </c>
      <c r="H33" s="18">
        <f>H22/$K$13</f>
        <v>1964.5967980177304</v>
      </c>
      <c r="I33" s="13">
        <f>I22/$K$13</f>
        <v>4553.3888601738317</v>
      </c>
      <c r="J33" s="4"/>
      <c r="L33" s="236" t="s">
        <v>0</v>
      </c>
      <c r="M33" s="237"/>
      <c r="N33" s="237"/>
      <c r="O33" s="237"/>
      <c r="P33" s="237"/>
      <c r="Q33" s="237"/>
      <c r="R33" s="238"/>
      <c r="S33" s="4"/>
      <c r="T33" s="227" t="s">
        <v>40</v>
      </c>
      <c r="U33" s="227"/>
      <c r="V33" s="227"/>
    </row>
    <row r="34" spans="2:23" s="4" customFormat="1">
      <c r="B34" s="5" t="str">
        <f t="shared" si="4"/>
        <v>CWF</v>
      </c>
      <c r="C34" s="171"/>
      <c r="D34" s="15">
        <f t="shared" si="5"/>
        <v>743</v>
      </c>
      <c r="E34" s="15">
        <f t="shared" si="7"/>
        <v>770</v>
      </c>
      <c r="F34" s="15">
        <f t="shared" si="7"/>
        <v>371</v>
      </c>
      <c r="G34" s="18">
        <f>G16/$K$13</f>
        <v>285.74272091667626</v>
      </c>
      <c r="H34" s="18">
        <f>H16/$K$13</f>
        <v>1099.9707654705062</v>
      </c>
      <c r="I34" s="13">
        <f>I16/$K$13</f>
        <v>947.85206776567372</v>
      </c>
      <c r="L34" s="249" t="s">
        <v>36</v>
      </c>
      <c r="M34" s="210" t="str">
        <f>"X= ("&amp;ROUND(C37,4)&amp;")  [ ("&amp;ROUND(G37,4)&amp;")R + ("&amp;ROUND(H37,4)&amp;")G + ("&amp;ROUND(I37,4)&amp;")B ]"</f>
        <v>X= (1.0667)  [ (0.4338)R + (0.9856)G + (-0.5516)B ]</v>
      </c>
      <c r="N34" s="210"/>
      <c r="O34" s="210"/>
      <c r="P34" s="210"/>
      <c r="Q34" s="211"/>
      <c r="R34" s="239" t="s">
        <v>41</v>
      </c>
    </row>
    <row r="35" spans="2:23">
      <c r="B35" s="51" t="str">
        <f t="shared" si="4"/>
        <v>D65</v>
      </c>
      <c r="C35" s="171"/>
      <c r="D35" s="15">
        <f t="shared" si="5"/>
        <v>830</v>
      </c>
      <c r="E35" s="15">
        <f t="shared" si="7"/>
        <v>867</v>
      </c>
      <c r="F35" s="15">
        <f t="shared" si="7"/>
        <v>885</v>
      </c>
      <c r="G35" s="18">
        <f>G19/$K$13</f>
        <v>1345.0252025026073</v>
      </c>
      <c r="H35" s="18">
        <f>H19/$K$13</f>
        <v>1988.1775079962911</v>
      </c>
      <c r="I35" s="13">
        <f>I19/$K$13</f>
        <v>3238.8798705846557</v>
      </c>
      <c r="J35" s="4"/>
      <c r="L35" s="250"/>
      <c r="M35" s="212" t="str">
        <f>"Y= ("&amp;ROUND(C37,4)&amp;")  [ ("&amp;ROUND(G38,4)&amp;")R + ("&amp;ROUND(H38,4)&amp;")G + ("&amp;ROUND(I38,4)&amp;")B ]"</f>
        <v>Y= (1.0667)  [ (0.3685)R + (1)G + (-0.5224)B ]</v>
      </c>
      <c r="N35" s="212"/>
      <c r="O35" s="212"/>
      <c r="P35" s="212"/>
      <c r="Q35" s="213"/>
      <c r="R35" s="239"/>
      <c r="S35" s="4"/>
      <c r="T35" s="4"/>
      <c r="U35" s="4"/>
      <c r="V35" s="4"/>
    </row>
    <row r="36" spans="2:23">
      <c r="B36" s="5"/>
      <c r="C36" s="6"/>
      <c r="D36" s="171" t="s">
        <v>42</v>
      </c>
      <c r="E36" s="171"/>
      <c r="F36" s="171"/>
      <c r="G36" s="171" t="s">
        <v>43</v>
      </c>
      <c r="H36" s="171"/>
      <c r="I36" s="225"/>
      <c r="J36" s="4"/>
      <c r="L36" s="251"/>
      <c r="M36" s="214" t="str">
        <f>"Z= ("&amp;ROUND(C37,4)&amp;")  [ ("&amp;ROUND(G39,4)&amp;")R + ("&amp;ROUND(H39,4)&amp;")G + ("&amp;ROUND(I39,4)&amp;")B ]"</f>
        <v>Z= (1.0667)  [ (-0.2684)R + (0.1386)G + (0.2829)B ]</v>
      </c>
      <c r="N36" s="214"/>
      <c r="O36" s="214"/>
      <c r="P36" s="214"/>
      <c r="Q36" s="215"/>
      <c r="R36" s="205" t="s">
        <v>44</v>
      </c>
      <c r="S36" s="4"/>
      <c r="T36" s="4"/>
      <c r="U36" s="4"/>
      <c r="V36" s="4"/>
    </row>
    <row r="37" spans="2:23">
      <c r="B37" s="5" t="str">
        <f>C20</f>
        <v>LO</v>
      </c>
      <c r="C37" s="19">
        <f>E38</f>
        <v>1.0667001060374699</v>
      </c>
      <c r="D37" s="6">
        <f t="array" ref="D37:F37">LINEST(D27:D35,G27:I35,FALSE)</f>
        <v>-0.58836703991979233</v>
      </c>
      <c r="E37" s="6">
        <v>1.0513683144487058</v>
      </c>
      <c r="F37" s="6">
        <v>0.46269102764368397</v>
      </c>
      <c r="G37" s="19">
        <f>F37/$C$37</f>
        <v>0.43375924031963214</v>
      </c>
      <c r="H37" s="19">
        <f>E37/$C$37</f>
        <v>0.98562689597386666</v>
      </c>
      <c r="I37" s="20">
        <f>D37/$C$37</f>
        <v>-0.55157680831722422</v>
      </c>
      <c r="J37" s="4"/>
      <c r="L37" s="249" t="s">
        <v>37</v>
      </c>
      <c r="M37" s="210" t="str">
        <f>"X= ("&amp;ROUND(C$38,4)&amp;")  [ ("&amp;ROUND(G37,4)&amp;")R + ("&amp;ROUND(H37,4)&amp;")G + ("&amp;ROUND(I37,4)&amp;")B ]"</f>
        <v>X= (28.5214)  [ (0.4338)R + (0.9856)G + (-0.5516)B ]</v>
      </c>
      <c r="N37" s="210"/>
      <c r="O37" s="210"/>
      <c r="P37" s="210"/>
      <c r="Q37" s="211"/>
      <c r="R37" s="205"/>
      <c r="S37" s="4"/>
      <c r="T37" s="4"/>
      <c r="U37" s="4"/>
      <c r="V37" s="4"/>
    </row>
    <row r="38" spans="2:23">
      <c r="B38" s="5" t="str">
        <f>C21</f>
        <v>HI</v>
      </c>
      <c r="C38" s="19">
        <f>C37*K12</f>
        <v>28.521376937956667</v>
      </c>
      <c r="D38" s="6">
        <f t="array" ref="D38:F38">LINEST(E27:E35,G27:I35,FALSE)</f>
        <v>-0.55724749714006694</v>
      </c>
      <c r="E38" s="6">
        <v>1.0667001060374699</v>
      </c>
      <c r="F38" s="6">
        <v>0.39312483146296862</v>
      </c>
      <c r="G38" s="19">
        <f t="shared" ref="G38:G39" si="8">F38/$C$37</f>
        <v>0.36854297589163204</v>
      </c>
      <c r="H38" s="19">
        <f t="shared" ref="H38:H39" si="9">E38/$C$37</f>
        <v>1</v>
      </c>
      <c r="I38" s="20">
        <f t="shared" ref="I38:I39" si="10">D38/$C$37</f>
        <v>-0.52240315153816297</v>
      </c>
      <c r="J38" s="4"/>
      <c r="L38" s="250"/>
      <c r="M38" s="212" t="str">
        <f>"Y= ("&amp;ROUND(C$38,4)&amp;")  [ ("&amp;ROUND(G38,4)&amp;")R + ("&amp;ROUND(H38,4)&amp;")G + ("&amp;ROUND(I38,4)&amp;")B ]"</f>
        <v>Y= (28.5214)  [ (0.3685)R + (1)G + (-0.5224)B ]</v>
      </c>
      <c r="N38" s="212"/>
      <c r="O38" s="212"/>
      <c r="P38" s="212"/>
      <c r="Q38" s="213"/>
      <c r="R38" s="208" t="s">
        <v>41</v>
      </c>
      <c r="V38" s="4"/>
    </row>
    <row r="39" spans="2:23" ht="15.75" thickBot="1">
      <c r="B39" s="50" t="str">
        <f>C22</f>
        <v>HS</v>
      </c>
      <c r="C39" s="21">
        <f>C37/K13</f>
        <v>0.49320678106998989</v>
      </c>
      <c r="D39" s="8">
        <f t="array" ref="D39:F39">LINEST(F27:F35,G27:I35,FALSE)</f>
        <v>0.30173919528834059</v>
      </c>
      <c r="E39" s="8">
        <v>0.14780569421943665</v>
      </c>
      <c r="F39" s="8">
        <v>-0.2863420317497814</v>
      </c>
      <c r="G39" s="21">
        <f t="shared" si="8"/>
        <v>-0.26843723941630798</v>
      </c>
      <c r="H39" s="21">
        <f t="shared" si="9"/>
        <v>0.13856349444690566</v>
      </c>
      <c r="I39" s="22">
        <f t="shared" si="10"/>
        <v>0.2828716277241482</v>
      </c>
      <c r="J39" s="4"/>
      <c r="L39" s="251"/>
      <c r="M39" s="214" t="str">
        <f>"Z= ("&amp;ROUND(C$38,4)&amp;")  [ ("&amp;ROUND(G39,4)&amp;")R + ("&amp;ROUND(H39,4)&amp;")G + ("&amp;ROUND(I39,4)&amp;")B ]"</f>
        <v>Z= (28.5214)  [ (-0.2684)R + (0.1386)G + (0.2829)B ]</v>
      </c>
      <c r="N39" s="214"/>
      <c r="O39" s="214"/>
      <c r="P39" s="214"/>
      <c r="Q39" s="215"/>
      <c r="R39" s="209"/>
      <c r="S39" s="4"/>
      <c r="T39" s="4"/>
      <c r="U39" s="227" t="s">
        <v>45</v>
      </c>
      <c r="V39" s="227"/>
      <c r="W39" s="227"/>
    </row>
    <row r="40" spans="2:23">
      <c r="B40" s="4"/>
      <c r="C40" s="4"/>
      <c r="D40" s="4"/>
      <c r="E40" s="6"/>
      <c r="F40" s="6"/>
      <c r="G40" s="6"/>
      <c r="H40" s="10"/>
      <c r="I40" s="10"/>
      <c r="J40" s="10"/>
      <c r="K40" s="4"/>
      <c r="L40" s="4"/>
      <c r="M40" s="4"/>
      <c r="N40" s="4"/>
      <c r="O40" s="4"/>
      <c r="P40" s="4"/>
      <c r="Q40" s="4"/>
      <c r="R40" s="4"/>
      <c r="S40" s="4"/>
    </row>
    <row r="42" spans="2:23" ht="15.75" thickBot="1">
      <c r="B42" s="4"/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</row>
    <row r="43" spans="2:23" ht="15.75" thickBot="1">
      <c r="B43" s="222" t="s">
        <v>46</v>
      </c>
      <c r="C43" s="223"/>
      <c r="D43" s="223"/>
      <c r="E43" s="223"/>
      <c r="F43" s="223"/>
      <c r="G43" s="223"/>
      <c r="H43" s="223"/>
      <c r="I43" s="223"/>
      <c r="J43" s="223"/>
      <c r="K43" s="223"/>
      <c r="L43" s="223"/>
      <c r="M43" s="223"/>
      <c r="N43" s="223"/>
      <c r="O43" s="223"/>
      <c r="P43" s="223"/>
      <c r="Q43" s="223"/>
      <c r="R43" s="223"/>
      <c r="S43" s="224"/>
    </row>
    <row r="44" spans="2:23">
      <c r="B44" s="167"/>
      <c r="C44" s="171"/>
      <c r="D44" s="171"/>
      <c r="E44" s="226" t="s">
        <v>47</v>
      </c>
      <c r="F44" s="226"/>
      <c r="G44" s="226"/>
      <c r="H44" s="171" t="s">
        <v>28</v>
      </c>
      <c r="I44" s="171"/>
      <c r="J44" s="171"/>
      <c r="K44" s="171"/>
      <c r="L44" s="171"/>
      <c r="M44" s="171"/>
      <c r="N44" s="171" t="s">
        <v>48</v>
      </c>
      <c r="O44" s="171"/>
      <c r="P44" s="171"/>
      <c r="Q44" s="171"/>
      <c r="R44" s="171"/>
      <c r="S44" s="225"/>
    </row>
    <row r="45" spans="2:23">
      <c r="B45" s="42" t="s">
        <v>28</v>
      </c>
      <c r="C45" s="171" t="s">
        <v>0</v>
      </c>
      <c r="D45" s="171"/>
      <c r="E45" s="28" t="s">
        <v>49</v>
      </c>
      <c r="F45" s="44" t="s">
        <v>20</v>
      </c>
      <c r="G45" s="44" t="s">
        <v>50</v>
      </c>
      <c r="H45" s="41" t="s">
        <v>29</v>
      </c>
      <c r="I45" s="41" t="s">
        <v>30</v>
      </c>
      <c r="J45" s="41" t="s">
        <v>31</v>
      </c>
      <c r="K45" s="41" t="s">
        <v>1</v>
      </c>
      <c r="L45" s="41" t="s">
        <v>2</v>
      </c>
      <c r="M45" s="41" t="s">
        <v>50</v>
      </c>
      <c r="N45" s="34" t="s">
        <v>51</v>
      </c>
      <c r="O45" s="31" t="s">
        <v>52</v>
      </c>
      <c r="P45" s="38" t="s">
        <v>53</v>
      </c>
      <c r="Q45" s="41" t="s">
        <v>54</v>
      </c>
      <c r="R45" s="41" t="s">
        <v>55</v>
      </c>
      <c r="S45" s="43" t="s">
        <v>50</v>
      </c>
    </row>
    <row r="46" spans="2:23">
      <c r="B46" s="167" t="s">
        <v>16</v>
      </c>
      <c r="C46" s="41" t="str">
        <f>C27</f>
        <v>LO</v>
      </c>
      <c r="D46" s="23">
        <f>C37</f>
        <v>1.0667001060374699</v>
      </c>
      <c r="E46" s="24">
        <f>((K46-Q46)^2+(L46-R46)^2)^0.5</f>
        <v>2.4067315483754801E-3</v>
      </c>
      <c r="F46" s="25">
        <f>1-O46/I46</f>
        <v>-1.9954155551053399E-2</v>
      </c>
      <c r="G46" s="25">
        <f>1-M46/S46</f>
        <v>-1.0183170752746662E-3</v>
      </c>
      <c r="H46" s="165">
        <f>D20</f>
        <v>1405</v>
      </c>
      <c r="I46" s="171">
        <f>E20</f>
        <v>1280</v>
      </c>
      <c r="J46" s="171">
        <f>F20</f>
        <v>430</v>
      </c>
      <c r="K46" s="173">
        <f>H46/($H46+$I46+$J46)</f>
        <v>0.4510433386837881</v>
      </c>
      <c r="L46" s="173">
        <f t="shared" ref="L46" si="11">I46/($H46+$I46+$J46)</f>
        <v>0.41091492776886035</v>
      </c>
      <c r="M46" s="179">
        <f>cct(K46,L46)</f>
        <v>2824.0365447325435</v>
      </c>
      <c r="N46" s="35">
        <f>$D46*(G$37*$G20+H$37*$H20+I$37*$I20)</f>
        <v>1429.9440235517736</v>
      </c>
      <c r="O46" s="32">
        <f>$D46*(G$38*$G20+H$38*$H20+I$38*$I20)</f>
        <v>1305.5413191053483</v>
      </c>
      <c r="P46" s="37">
        <f>$D46*(G$39*$G20+H$39*$H20+I$39*$I20)</f>
        <v>425.93222199133567</v>
      </c>
      <c r="Q46" s="46">
        <f t="shared" ref="Q46:Q54" si="12">N46/($N46+$O46+$P46)</f>
        <v>0.4523110264021008</v>
      </c>
      <c r="R46" s="46">
        <f t="shared" ref="R46:R54" si="13">O46/($N46+$O46+$P46)</f>
        <v>0.41296073435668457</v>
      </c>
      <c r="S46" s="13">
        <f t="shared" ref="S46:S54" si="14">cct(Q46,R46)</f>
        <v>2821.1637055590277</v>
      </c>
    </row>
    <row r="47" spans="2:23">
      <c r="B47" s="167"/>
      <c r="C47" s="41" t="str">
        <f>C30</f>
        <v>HI</v>
      </c>
      <c r="D47" s="23">
        <f>C38</f>
        <v>28.521376937956667</v>
      </c>
      <c r="E47" s="24">
        <f>((K46-Q47)^2+(L46-R47)^2)^0.5</f>
        <v>6.5686412484906723E-4</v>
      </c>
      <c r="F47" s="25">
        <f>1-O47/I46</f>
        <v>-5.8759690317982116E-3</v>
      </c>
      <c r="G47" s="25">
        <f>1-M46/S47</f>
        <v>1.7558227582649133E-3</v>
      </c>
      <c r="H47" s="165"/>
      <c r="I47" s="171"/>
      <c r="J47" s="171"/>
      <c r="K47" s="173"/>
      <c r="L47" s="173"/>
      <c r="M47" s="179"/>
      <c r="N47" s="35">
        <f>$D47*(G$37*$G21+H$37*$H21+I$37*$I21)</f>
        <v>1411.090584873592</v>
      </c>
      <c r="O47" s="32">
        <f>$D47*(G$38*$G21+H$38*$H21+I$38*$I21)</f>
        <v>1287.5212403607018</v>
      </c>
      <c r="P47" s="37">
        <f>$D47*(G$39*$G21+H$39*$H21+I$39*$I21)</f>
        <v>429.69571221954209</v>
      </c>
      <c r="Q47" s="46">
        <f t="shared" si="12"/>
        <v>0.45107156760619965</v>
      </c>
      <c r="R47" s="46">
        <f t="shared" si="13"/>
        <v>0.41157118504040346</v>
      </c>
      <c r="S47" s="13">
        <f t="shared" si="14"/>
        <v>2829.0037739420482</v>
      </c>
    </row>
    <row r="48" spans="2:23" s="4" customFormat="1">
      <c r="B48" s="167"/>
      <c r="C48" s="41" t="str">
        <f>C33</f>
        <v>HS</v>
      </c>
      <c r="D48" s="23">
        <f>C39</f>
        <v>0.49320678106998989</v>
      </c>
      <c r="E48" s="24">
        <f>((K46-Q48)^2+(L46-R48)^2)^0.5</f>
        <v>3.0943689791947931E-3</v>
      </c>
      <c r="F48" s="25">
        <f>1-O48/I46</f>
        <v>2.5863429798716253E-2</v>
      </c>
      <c r="G48" s="25">
        <f>1-M46/S48</f>
        <v>-7.0574614107088429E-4</v>
      </c>
      <c r="H48" s="165"/>
      <c r="I48" s="171"/>
      <c r="J48" s="171"/>
      <c r="K48" s="173"/>
      <c r="L48" s="173"/>
      <c r="M48" s="179"/>
      <c r="N48" s="35">
        <f>$D48*(G$37*$G22+H$37*$H22+I$37*$I22)</f>
        <v>1373.8884565521296</v>
      </c>
      <c r="O48" s="32">
        <f>$D48*(G$38*$G22+H$38*$H22+I$38*$I22)</f>
        <v>1246.8948098576432</v>
      </c>
      <c r="P48" s="37">
        <f>$D48*(G$39*$G22+H$39*$H22+I$39*$I22)</f>
        <v>434.36431378572513</v>
      </c>
      <c r="Q48" s="46">
        <f t="shared" si="12"/>
        <v>0.44969626523384343</v>
      </c>
      <c r="R48" s="46">
        <f t="shared" si="13"/>
        <v>0.40812915812657885</v>
      </c>
      <c r="S48" s="13">
        <f t="shared" si="14"/>
        <v>2822.0448974362489</v>
      </c>
    </row>
    <row r="49" spans="2:27">
      <c r="B49" s="167" t="s">
        <v>17</v>
      </c>
      <c r="C49" s="41" t="str">
        <f>C46</f>
        <v>LO</v>
      </c>
      <c r="D49" s="41">
        <f>D46</f>
        <v>1.0667001060374699</v>
      </c>
      <c r="E49" s="24">
        <f>((K49-Q49)^2+(L49-R49)^2)^0.5</f>
        <v>1.5245084244012177E-3</v>
      </c>
      <c r="F49" s="25">
        <f>1-O49/I49</f>
        <v>3.0025011622618614E-3</v>
      </c>
      <c r="G49" s="25">
        <f>1-M49/S49</f>
        <v>5.5182515445824087E-3</v>
      </c>
      <c r="H49" s="165">
        <f>D14</f>
        <v>743</v>
      </c>
      <c r="I49" s="165">
        <f>E14</f>
        <v>770</v>
      </c>
      <c r="J49" s="165">
        <f>F14</f>
        <v>371</v>
      </c>
      <c r="K49" s="173">
        <f t="shared" ref="K49" si="15">H49/($H49+$I49+$J49)</f>
        <v>0.39437367303609344</v>
      </c>
      <c r="L49" s="173">
        <f t="shared" ref="L49" si="16">I49/($H49+$I49+$J49)</f>
        <v>0.40870488322717624</v>
      </c>
      <c r="M49" s="179">
        <f t="shared" ref="M49" si="17">cct(K49,L49)</f>
        <v>3876.0965000326783</v>
      </c>
      <c r="N49" s="35">
        <f t="shared" ref="N49:N54" si="18">$D49*(G$37*$G14+H$37*$H14+I$37*$I14)</f>
        <v>740.15090497088408</v>
      </c>
      <c r="O49" s="32">
        <f t="shared" ref="O49:O54" si="19">$D49*(G$38*$G14+H$38*$H14+I$38*$I14)</f>
        <v>767.68807410505838</v>
      </c>
      <c r="P49" s="37">
        <f t="shared" ref="P49:P54" si="20">$D49*(G$39*$G14+H$39*$H14+I$39*$I14)</f>
        <v>374.74062472419837</v>
      </c>
      <c r="Q49" s="46">
        <f t="shared" si="12"/>
        <v>0.39315782635529939</v>
      </c>
      <c r="R49" s="46">
        <f t="shared" si="13"/>
        <v>0.40778518611134279</v>
      </c>
      <c r="S49" s="13">
        <f t="shared" si="14"/>
        <v>3897.6044618745891</v>
      </c>
    </row>
    <row r="50" spans="2:27">
      <c r="B50" s="167"/>
      <c r="C50" s="41" t="str">
        <f>C47</f>
        <v>HI</v>
      </c>
      <c r="D50" s="41">
        <f>D47</f>
        <v>28.521376937956667</v>
      </c>
      <c r="E50" s="24">
        <f>((K49-Q50)^2+(L49-R50)^2)^0.5</f>
        <v>7.3072973326092328E-4</v>
      </c>
      <c r="F50" s="25">
        <f>1-O50/I49</f>
        <v>-9.2663074160579395E-3</v>
      </c>
      <c r="G50" s="25">
        <f>1-M49/S50</f>
        <v>-3.061040857911923E-3</v>
      </c>
      <c r="H50" s="165"/>
      <c r="I50" s="165"/>
      <c r="J50" s="165"/>
      <c r="K50" s="173"/>
      <c r="L50" s="173"/>
      <c r="M50" s="179"/>
      <c r="N50" s="35">
        <f t="shared" si="18"/>
        <v>750.42355781010713</v>
      </c>
      <c r="O50" s="32">
        <f t="shared" si="19"/>
        <v>777.13505671036467</v>
      </c>
      <c r="P50" s="37">
        <f t="shared" si="20"/>
        <v>372.21069242045661</v>
      </c>
      <c r="Q50" s="46">
        <f t="shared" si="12"/>
        <v>0.39500772807960777</v>
      </c>
      <c r="R50" s="46">
        <f t="shared" si="13"/>
        <v>0.40906811888741024</v>
      </c>
      <c r="S50" s="13">
        <f t="shared" si="14"/>
        <v>3864.26781835478</v>
      </c>
    </row>
    <row r="51" spans="2:27" s="4" customFormat="1">
      <c r="B51" s="167"/>
      <c r="C51" s="41" t="str">
        <f t="shared" ref="C51:D54" si="21">C48</f>
        <v>HS</v>
      </c>
      <c r="D51" s="41">
        <f t="shared" si="21"/>
        <v>0.49320678106998989</v>
      </c>
      <c r="E51" s="24">
        <f>((K49-Q51)^2+(L49-R51)^2)^0.5</f>
        <v>5.4555383302645353E-4</v>
      </c>
      <c r="F51" s="25">
        <f>1-O51/I49</f>
        <v>1.6255456173784988E-2</v>
      </c>
      <c r="G51" s="25">
        <f>1-M49/S51</f>
        <v>1.3869356360179941E-3</v>
      </c>
      <c r="H51" s="165"/>
      <c r="I51" s="165"/>
      <c r="J51" s="165"/>
      <c r="K51" s="173"/>
      <c r="L51" s="173"/>
      <c r="M51" s="179"/>
      <c r="N51" s="35">
        <f t="shared" si="18"/>
        <v>731.00008742507453</v>
      </c>
      <c r="O51" s="32">
        <f t="shared" si="19"/>
        <v>757.4832987461856</v>
      </c>
      <c r="P51" s="37">
        <f t="shared" si="20"/>
        <v>366.76591152646552</v>
      </c>
      <c r="Q51" s="46">
        <f t="shared" si="12"/>
        <v>0.39401717512153767</v>
      </c>
      <c r="R51" s="46">
        <f t="shared" si="13"/>
        <v>0.40829192049078561</v>
      </c>
      <c r="S51" s="13">
        <f t="shared" si="14"/>
        <v>3881.4798627748469</v>
      </c>
    </row>
    <row r="52" spans="2:27">
      <c r="B52" s="167" t="s">
        <v>38</v>
      </c>
      <c r="C52" s="41" t="str">
        <f t="shared" si="21"/>
        <v>LO</v>
      </c>
      <c r="D52" s="41">
        <f t="shared" si="21"/>
        <v>1.0667001060374699</v>
      </c>
      <c r="E52" s="24">
        <f>((K52-Q52)^2+(L52-R52)^2)^0.5</f>
        <v>3.5458817294351692E-3</v>
      </c>
      <c r="F52" s="25">
        <f>1-O52/I52</f>
        <v>-2.3599718264850411E-2</v>
      </c>
      <c r="G52" s="25">
        <f>1-M52/S52</f>
        <v>-2.2811959482254229E-2</v>
      </c>
      <c r="H52" s="165">
        <f>D17</f>
        <v>830</v>
      </c>
      <c r="I52" s="165">
        <f>E17</f>
        <v>867</v>
      </c>
      <c r="J52" s="165">
        <f>F17</f>
        <v>885</v>
      </c>
      <c r="K52" s="173">
        <f t="shared" ref="K52" si="22">H52/($H52+$I52+$J52)</f>
        <v>0.32145623547637492</v>
      </c>
      <c r="L52" s="173">
        <f t="shared" ref="L52" si="23">I52/($H52+$I52+$J52)</f>
        <v>0.33578621223857474</v>
      </c>
      <c r="M52" s="179">
        <f t="shared" ref="M52" si="24">cct(K52,L52)</f>
        <v>6017.5892214956903</v>
      </c>
      <c r="N52" s="35">
        <f t="shared" si="18"/>
        <v>850.62838140656595</v>
      </c>
      <c r="O52" s="32">
        <f t="shared" si="19"/>
        <v>887.46095573562536</v>
      </c>
      <c r="P52" s="37">
        <f t="shared" si="20"/>
        <v>886.43870868288457</v>
      </c>
      <c r="Q52" s="46">
        <f t="shared" si="12"/>
        <v>0.32410717910204423</v>
      </c>
      <c r="R52" s="46">
        <f t="shared" si="13"/>
        <v>0.33814115918758769</v>
      </c>
      <c r="S52" s="13">
        <f t="shared" si="14"/>
        <v>5883.3778444884283</v>
      </c>
    </row>
    <row r="53" spans="2:27">
      <c r="B53" s="167"/>
      <c r="C53" s="41" t="str">
        <f t="shared" si="21"/>
        <v>HI</v>
      </c>
      <c r="D53" s="41">
        <f t="shared" si="21"/>
        <v>28.521376937956667</v>
      </c>
      <c r="E53" s="24">
        <f>((K52-Q53)^2+(L52-R53)^2)^0.5</f>
        <v>1.5558734778932212E-3</v>
      </c>
      <c r="F53" s="25">
        <f>1-O53/I52</f>
        <v>-6.1404372686248987E-3</v>
      </c>
      <c r="G53" s="25">
        <f>1-M52/S53</f>
        <v>-1.0315738997481283E-2</v>
      </c>
      <c r="H53" s="165"/>
      <c r="I53" s="165"/>
      <c r="J53" s="165"/>
      <c r="K53" s="173"/>
      <c r="L53" s="173"/>
      <c r="M53" s="179"/>
      <c r="N53" s="35">
        <f t="shared" si="18"/>
        <v>835.76032969646451</v>
      </c>
      <c r="O53" s="32">
        <f t="shared" si="19"/>
        <v>872.32375911189774</v>
      </c>
      <c r="P53" s="37">
        <f t="shared" si="20"/>
        <v>882.14992659784855</v>
      </c>
      <c r="Q53" s="46">
        <f t="shared" si="12"/>
        <v>0.32265823270234417</v>
      </c>
      <c r="R53" s="46">
        <f t="shared" si="13"/>
        <v>0.33677411149860775</v>
      </c>
      <c r="S53" s="13">
        <f t="shared" si="14"/>
        <v>5956.147161942502</v>
      </c>
    </row>
    <row r="54" spans="2:27" s="4" customFormat="1" ht="15.75" thickBot="1">
      <c r="B54" s="168"/>
      <c r="C54" s="45" t="str">
        <f t="shared" si="21"/>
        <v>HS</v>
      </c>
      <c r="D54" s="45">
        <f t="shared" si="21"/>
        <v>0.49320678106998989</v>
      </c>
      <c r="E54" s="26">
        <f>((K52-Q54)^2+(L52-R54)^2)^0.5</f>
        <v>4.5310546686442854E-3</v>
      </c>
      <c r="F54" s="27">
        <f>1-O54/I52</f>
        <v>2.5727493393776113E-2</v>
      </c>
      <c r="G54" s="27">
        <f>1-M52/S54</f>
        <v>2.9788224690547982E-2</v>
      </c>
      <c r="H54" s="166"/>
      <c r="I54" s="166"/>
      <c r="J54" s="166"/>
      <c r="K54" s="174"/>
      <c r="L54" s="174"/>
      <c r="M54" s="180"/>
      <c r="N54" s="36">
        <f t="shared" si="18"/>
        <v>806.98776644778059</v>
      </c>
      <c r="O54" s="33">
        <f t="shared" si="19"/>
        <v>844.69426322759614</v>
      </c>
      <c r="P54" s="39">
        <f t="shared" si="20"/>
        <v>886.02371334742247</v>
      </c>
      <c r="Q54" s="47">
        <f t="shared" si="12"/>
        <v>0.31799895187474875</v>
      </c>
      <c r="R54" s="47">
        <f t="shared" si="13"/>
        <v>0.33285745029738356</v>
      </c>
      <c r="S54" s="40">
        <f t="shared" si="14"/>
        <v>6202.3461007534788</v>
      </c>
      <c r="W54" s="140"/>
      <c r="X54" s="141"/>
      <c r="Y54" s="141"/>
      <c r="Z54" s="141"/>
      <c r="AA54" s="141"/>
    </row>
    <row r="55" spans="2:27">
      <c r="W55" s="140"/>
      <c r="X55" s="141"/>
      <c r="Y55" s="141"/>
      <c r="Z55" s="141"/>
      <c r="AA55" s="141"/>
    </row>
    <row r="56" spans="2:27" ht="15.75" thickBot="1">
      <c r="W56" s="140"/>
      <c r="X56" s="141"/>
      <c r="Y56" s="141"/>
      <c r="Z56" s="141"/>
      <c r="AA56" s="141"/>
    </row>
    <row r="57" spans="2:27" ht="15.75" thickBot="1">
      <c r="B57" s="162" t="s">
        <v>63</v>
      </c>
      <c r="C57" s="163"/>
      <c r="D57" s="163"/>
      <c r="E57" s="163"/>
      <c r="F57" s="163"/>
      <c r="G57" s="163"/>
      <c r="H57" s="163"/>
      <c r="I57" s="164"/>
      <c r="K57" s="162" t="s">
        <v>66</v>
      </c>
      <c r="L57" s="163"/>
      <c r="M57" s="164"/>
      <c r="Q57" s="156" t="s">
        <v>64</v>
      </c>
      <c r="R57" s="157"/>
      <c r="S57" s="158"/>
      <c r="U57" s="154"/>
      <c r="V57" s="155" t="s">
        <v>104</v>
      </c>
      <c r="W57" s="155"/>
      <c r="X57" s="265" t="s">
        <v>27</v>
      </c>
      <c r="Y57" s="265"/>
      <c r="Z57" s="266" t="s">
        <v>73</v>
      </c>
      <c r="AA57" s="266"/>
    </row>
    <row r="58" spans="2:27">
      <c r="B58" s="167" t="str">
        <f>C27</f>
        <v>LO</v>
      </c>
      <c r="C58" s="54">
        <f t="array" ref="C58:E58">LINEST(D27:D29,G27:I29,FALSE)</f>
        <v>-0.60986301578633906</v>
      </c>
      <c r="D58" s="54">
        <v>1.0704470325866424</v>
      </c>
      <c r="E58" s="54">
        <v>0.47038825972506743</v>
      </c>
      <c r="F58" s="171">
        <f>D59*65535/L59</f>
        <v>189.52022389513351</v>
      </c>
      <c r="G58" s="54">
        <f>E58/$D$59</f>
        <v>0.43375345691359557</v>
      </c>
      <c r="H58" s="54">
        <f>D58/$D$59</f>
        <v>0.98707842134226831</v>
      </c>
      <c r="I58" s="55">
        <f>C58/$D$59</f>
        <v>-0.56236563279808027</v>
      </c>
      <c r="K58" s="169" t="s">
        <v>61</v>
      </c>
      <c r="L58" s="170"/>
      <c r="M58" s="2">
        <f>L60/L59</f>
        <v>27.333333333333332</v>
      </c>
      <c r="Q58" s="57" t="s">
        <v>32</v>
      </c>
      <c r="R58" s="58" t="s">
        <v>33</v>
      </c>
      <c r="S58" s="59" t="s">
        <v>34</v>
      </c>
      <c r="U58" s="154"/>
      <c r="V58" s="154" t="s">
        <v>62</v>
      </c>
      <c r="W58" s="154" t="s">
        <v>50</v>
      </c>
      <c r="X58" s="154" t="str">
        <f>V58</f>
        <v>Ev</v>
      </c>
      <c r="Y58" s="154" t="str">
        <f>W58</f>
        <v>CCT</v>
      </c>
      <c r="Z58" s="154" t="str">
        <f>X58</f>
        <v>Ev</v>
      </c>
      <c r="AA58" s="154" t="str">
        <f>Y58</f>
        <v>CCT</v>
      </c>
    </row>
    <row r="59" spans="2:27" ht="15.75" thickBot="1">
      <c r="B59" s="167"/>
      <c r="C59" s="54">
        <f t="array" ref="C59:E59">LINEST(E27:E29,G27:I29,FALSE)</f>
        <v>-0.57753681230687126</v>
      </c>
      <c r="D59" s="54">
        <v>1.084459967355994</v>
      </c>
      <c r="E59" s="54">
        <v>0.40003248682355352</v>
      </c>
      <c r="F59" s="171"/>
      <c r="G59" s="54">
        <f t="shared" ref="G59:G60" si="25">E59/$D$59</f>
        <v>0.36887713596184363</v>
      </c>
      <c r="H59" s="54">
        <f t="shared" ref="H59:H60" si="26">D59/$D$59</f>
        <v>1</v>
      </c>
      <c r="I59" s="55">
        <f t="shared" ref="I59:I60" si="27">C59/$D$59</f>
        <v>-0.53255706037259753</v>
      </c>
      <c r="K59" s="69" t="str">
        <f>B37</f>
        <v>LO</v>
      </c>
      <c r="L59" s="70">
        <v>375</v>
      </c>
      <c r="M59" s="2">
        <f>L59/L61</f>
        <v>2.4193548387096775</v>
      </c>
      <c r="Q59" s="60">
        <v>1378</v>
      </c>
      <c r="R59" s="61">
        <v>2010</v>
      </c>
      <c r="S59" s="62">
        <v>3236</v>
      </c>
      <c r="U59" s="154" t="s">
        <v>105</v>
      </c>
      <c r="V59" s="142">
        <v>800</v>
      </c>
      <c r="W59" s="142">
        <v>2362</v>
      </c>
      <c r="X59" s="142">
        <v>168.69893491087669</v>
      </c>
      <c r="Y59" s="142">
        <v>3129.6306923048492</v>
      </c>
      <c r="Z59" s="267">
        <f>X59/V59-1</f>
        <v>-0.78912633136140409</v>
      </c>
      <c r="AA59" s="267">
        <f>Y59/W59-1</f>
        <v>0.32499182570061347</v>
      </c>
    </row>
    <row r="60" spans="2:27">
      <c r="B60" s="167"/>
      <c r="C60" s="54">
        <f t="array" ref="C60:E60">LINEST(F27:F29,G27:I29,FALSE)</f>
        <v>0.30498550865579283</v>
      </c>
      <c r="D60" s="54">
        <v>0.14154592844447422</v>
      </c>
      <c r="E60" s="54">
        <v>-0.28583727253744079</v>
      </c>
      <c r="F60" s="171"/>
      <c r="G60" s="54">
        <f t="shared" si="25"/>
        <v>-0.26357567927042658</v>
      </c>
      <c r="H60" s="54">
        <f t="shared" si="26"/>
        <v>0.13052204111284557</v>
      </c>
      <c r="I60" s="55">
        <f t="shared" si="27"/>
        <v>0.28123261147147138</v>
      </c>
      <c r="K60" s="69" t="str">
        <f>B38</f>
        <v>HI</v>
      </c>
      <c r="L60" s="70">
        <v>10250</v>
      </c>
      <c r="M60" s="2">
        <f>K12/M58</f>
        <v>0.97821778025452844</v>
      </c>
      <c r="Q60" s="57" t="s">
        <v>29</v>
      </c>
      <c r="R60" s="58" t="s">
        <v>30</v>
      </c>
      <c r="S60" s="59" t="s">
        <v>31</v>
      </c>
      <c r="U60" s="268" t="s">
        <v>16</v>
      </c>
      <c r="V60" s="269">
        <v>1280</v>
      </c>
      <c r="W60" s="142">
        <v>2839</v>
      </c>
      <c r="X60" s="142">
        <v>1305.9234837695624</v>
      </c>
      <c r="Y60" s="142">
        <v>2810.8210636201579</v>
      </c>
      <c r="Z60" s="267">
        <f t="shared" ref="Z60:AA64" si="28">X60/V60-1</f>
        <v>2.025272169497061E-2</v>
      </c>
      <c r="AA60" s="267">
        <f t="shared" si="28"/>
        <v>-9.92565564629877E-3</v>
      </c>
    </row>
    <row r="61" spans="2:27" ht="15.75" thickBot="1">
      <c r="B61" s="167" t="str">
        <f>C30</f>
        <v>HI</v>
      </c>
      <c r="C61" s="54">
        <f t="array" ref="C61:E61">LINEST(D30:D32,G30:I32,FALSE)</f>
        <v>-0.58174516226603867</v>
      </c>
      <c r="D61" s="54">
        <v>1.0398770847818744</v>
      </c>
      <c r="E61" s="54">
        <v>0.4596549212780528</v>
      </c>
      <c r="F61" s="171">
        <f>D62*65535/L60*M58</f>
        <v>184.43019168007311</v>
      </c>
      <c r="G61" s="54">
        <f>E61/$D$62</f>
        <v>0.43555392590979852</v>
      </c>
      <c r="H61" s="54">
        <f>D61/$D$62</f>
        <v>0.98535341573423829</v>
      </c>
      <c r="I61" s="55">
        <f>C61/$D$62</f>
        <v>-0.55124263349446734</v>
      </c>
      <c r="K61" s="50" t="str">
        <f>B39</f>
        <v>HS</v>
      </c>
      <c r="L61" s="71">
        <v>155</v>
      </c>
      <c r="M61" s="1">
        <f>M59/K13</f>
        <v>1.1186295056243198</v>
      </c>
      <c r="Q61" s="63">
        <f>$S62*(G$37*$Q59+H$37*$R59+I$37*$S59)</f>
        <v>846.88280695444746</v>
      </c>
      <c r="R61" s="64">
        <f>$S62*(G$38*$Q59+H$38*$R59+I$38*$S59)</f>
        <v>882.54033014602908</v>
      </c>
      <c r="S61" s="65">
        <f>$S62*(G$39*$Q59+H$39*$R59+I$39*$S59)</f>
        <v>878.93816158293907</v>
      </c>
      <c r="U61" s="154" t="s">
        <v>17</v>
      </c>
      <c r="V61" s="142">
        <v>764</v>
      </c>
      <c r="W61" s="142">
        <v>3886</v>
      </c>
      <c r="X61" s="142">
        <v>759.69463614203266</v>
      </c>
      <c r="Y61" s="142">
        <v>3905.8909866294512</v>
      </c>
      <c r="Z61" s="267">
        <f t="shared" si="28"/>
        <v>-5.6352930078106267E-3</v>
      </c>
      <c r="AA61" s="267">
        <f t="shared" si="28"/>
        <v>5.1186275423189542E-3</v>
      </c>
    </row>
    <row r="62" spans="2:27">
      <c r="B62" s="167"/>
      <c r="C62" s="54">
        <f t="array" ref="C62:E62">LINEST(E30:E32,G30:I32,FALSE)</f>
        <v>-0.55021823401523762</v>
      </c>
      <c r="D62" s="54">
        <v>1.0553341249718078</v>
      </c>
      <c r="E62" s="54">
        <v>0.38925814592263203</v>
      </c>
      <c r="F62" s="171"/>
      <c r="G62" s="54">
        <f t="shared" ref="G62:G63" si="29">E62/$D$62</f>
        <v>0.3688482507215719</v>
      </c>
      <c r="H62" s="54">
        <f t="shared" ref="H62:H63" si="30">D62/$D$62</f>
        <v>1</v>
      </c>
      <c r="I62" s="55">
        <f t="shared" ref="I62:I63" si="31">C62/$D$62</f>
        <v>-0.5213687504229394</v>
      </c>
      <c r="Q62" s="57" t="s">
        <v>1</v>
      </c>
      <c r="R62" s="59" t="s">
        <v>2</v>
      </c>
      <c r="S62" s="159">
        <v>1.0667001060374699</v>
      </c>
      <c r="U62" s="154" t="s">
        <v>106</v>
      </c>
      <c r="V62" s="142">
        <v>845</v>
      </c>
      <c r="W62" s="142">
        <v>2852</v>
      </c>
      <c r="X62" s="142">
        <v>982.99903743316588</v>
      </c>
      <c r="Y62" s="142">
        <v>3434.031829462162</v>
      </c>
      <c r="Z62" s="267">
        <f t="shared" si="28"/>
        <v>0.16331247033510765</v>
      </c>
      <c r="AA62" s="267">
        <f t="shared" si="28"/>
        <v>0.20407848157859809</v>
      </c>
    </row>
    <row r="63" spans="2:27" ht="15.75" thickBot="1">
      <c r="B63" s="167"/>
      <c r="C63" s="54">
        <f t="array" ref="C63:E63">LINEST(F30:F32,G30:I32,FALSE)</f>
        <v>0.30673812188290045</v>
      </c>
      <c r="D63" s="54">
        <v>0.14324513625659699</v>
      </c>
      <c r="E63" s="54">
        <v>-0.28940547223363566</v>
      </c>
      <c r="F63" s="171"/>
      <c r="G63" s="54">
        <f t="shared" si="29"/>
        <v>-0.2742311324779409</v>
      </c>
      <c r="H63" s="54">
        <f t="shared" si="30"/>
        <v>0.13573439242327509</v>
      </c>
      <c r="I63" s="55">
        <f t="shared" si="31"/>
        <v>0.29065498274406187</v>
      </c>
      <c r="Q63" s="66">
        <f>Q61/SUM($Q61:$S61)</f>
        <v>0.32468002319384054</v>
      </c>
      <c r="R63" s="67">
        <f>R61/SUM($Q61:$S61)</f>
        <v>0.33835049254545219</v>
      </c>
      <c r="S63" s="160"/>
      <c r="U63" s="268" t="s">
        <v>107</v>
      </c>
      <c r="V63" s="142">
        <v>805</v>
      </c>
      <c r="W63" s="142">
        <v>3185</v>
      </c>
      <c r="X63" s="142">
        <v>966.51595871049676</v>
      </c>
      <c r="Y63" s="142">
        <v>3629.6510861230549</v>
      </c>
      <c r="Z63" s="267">
        <f t="shared" si="28"/>
        <v>0.20064094249751152</v>
      </c>
      <c r="AA63" s="267">
        <f t="shared" si="28"/>
        <v>0.13960787633376914</v>
      </c>
    </row>
    <row r="64" spans="2:27">
      <c r="B64" s="167" t="str">
        <f>C33</f>
        <v>HS</v>
      </c>
      <c r="C64" s="54">
        <f t="array" ref="C64:E64">LINEST(D33:D35,G33:I35,FALSE)</f>
        <v>-0.58925218198066931</v>
      </c>
      <c r="D64" s="54">
        <v>1.0622022821861572</v>
      </c>
      <c r="E64" s="54">
        <v>0.46591717639522295</v>
      </c>
      <c r="F64" s="171">
        <f>D65*65535/L61/M59</f>
        <v>188.62150610631599</v>
      </c>
      <c r="G64" s="54">
        <f>E64/$D$65</f>
        <v>0.43167763542792903</v>
      </c>
      <c r="H64" s="54">
        <f>D64/$D$65</f>
        <v>0.98414266043567022</v>
      </c>
      <c r="I64" s="55">
        <f>C64/$D$65</f>
        <v>-0.54594894001587857</v>
      </c>
      <c r="Q64" s="57" t="s">
        <v>62</v>
      </c>
      <c r="R64" s="59" t="s">
        <v>50</v>
      </c>
      <c r="S64" s="160"/>
      <c r="U64" s="154" t="s">
        <v>38</v>
      </c>
      <c r="V64" s="142">
        <v>860</v>
      </c>
      <c r="W64" s="142">
        <v>5999</v>
      </c>
      <c r="X64" s="142">
        <v>882.54033014602908</v>
      </c>
      <c r="Y64" s="142">
        <v>5855.9102608119629</v>
      </c>
      <c r="Z64" s="267">
        <f t="shared" si="28"/>
        <v>2.6209686216312811E-2</v>
      </c>
      <c r="AA64" s="267">
        <f t="shared" si="28"/>
        <v>-2.3852265242213178E-2</v>
      </c>
    </row>
    <row r="65" spans="2:19" ht="15.75" thickBot="1">
      <c r="B65" s="167"/>
      <c r="C65" s="54">
        <f t="array" ref="C65:E65">LINEST(E33:E35,G33:I35,FALSE)</f>
        <v>-0.56021709426788791</v>
      </c>
      <c r="D65" s="54">
        <v>1.07931738444905</v>
      </c>
      <c r="E65" s="54">
        <v>0.39820913469438313</v>
      </c>
      <c r="F65" s="171"/>
      <c r="G65" s="54">
        <f t="shared" ref="G65:G66" si="32">E65/$D$65</f>
        <v>0.36894535419500685</v>
      </c>
      <c r="H65" s="54">
        <f t="shared" ref="H65:H66" si="33">D65/$D$65</f>
        <v>1</v>
      </c>
      <c r="I65" s="55">
        <f t="shared" ref="I65:I66" si="34">C65/$D$65</f>
        <v>-0.51904759650828491</v>
      </c>
      <c r="Q65" s="63">
        <f>R61</f>
        <v>882.54033014602908</v>
      </c>
      <c r="R65" s="68">
        <f>cct(Q63,R63)</f>
        <v>5855.9102608119629</v>
      </c>
      <c r="S65" s="161"/>
    </row>
    <row r="66" spans="2:19" ht="15.75" thickBot="1">
      <c r="B66" s="168"/>
      <c r="C66" s="45">
        <f t="array" ref="C66:E66">LINEST(F33:F35,G33:I35,FALSE)</f>
        <v>0.29499537012487193</v>
      </c>
      <c r="D66" s="45">
        <v>0.15696076311867624</v>
      </c>
      <c r="E66" s="45">
        <v>-0.28439647403771362</v>
      </c>
      <c r="F66" s="172"/>
      <c r="G66" s="45">
        <f t="shared" si="32"/>
        <v>-0.26349661196542951</v>
      </c>
      <c r="H66" s="45">
        <f t="shared" si="33"/>
        <v>0.14542595660941629</v>
      </c>
      <c r="I66" s="9">
        <f t="shared" si="34"/>
        <v>0.27331661138345853</v>
      </c>
    </row>
    <row r="68" spans="2:19">
      <c r="B68" s="73"/>
      <c r="C68" s="73"/>
    </row>
  </sheetData>
  <mergeCells count="101">
    <mergeCell ref="V57:W57"/>
    <mergeCell ref="X57:Y57"/>
    <mergeCell ref="Z57:AA57"/>
    <mergeCell ref="B8:B9"/>
    <mergeCell ref="C27:C29"/>
    <mergeCell ref="C30:C32"/>
    <mergeCell ref="C33:C35"/>
    <mergeCell ref="L34:L36"/>
    <mergeCell ref="B20:B22"/>
    <mergeCell ref="D8:E8"/>
    <mergeCell ref="L37:L39"/>
    <mergeCell ref="M37:Q37"/>
    <mergeCell ref="M38:Q38"/>
    <mergeCell ref="M39:Q39"/>
    <mergeCell ref="D36:F36"/>
    <mergeCell ref="G36:I36"/>
    <mergeCell ref="B2:F2"/>
    <mergeCell ref="B25:I25"/>
    <mergeCell ref="B11:K11"/>
    <mergeCell ref="D12:F12"/>
    <mergeCell ref="G12:I12"/>
    <mergeCell ref="D20:D22"/>
    <mergeCell ref="D14:D16"/>
    <mergeCell ref="D17:D19"/>
    <mergeCell ref="E20:E22"/>
    <mergeCell ref="F20:F22"/>
    <mergeCell ref="E14:E16"/>
    <mergeCell ref="F14:F16"/>
    <mergeCell ref="E17:E19"/>
    <mergeCell ref="F17:F19"/>
    <mergeCell ref="B14:B16"/>
    <mergeCell ref="B17:B19"/>
    <mergeCell ref="M2:T3"/>
    <mergeCell ref="C45:D45"/>
    <mergeCell ref="B44:D44"/>
    <mergeCell ref="B43:S43"/>
    <mergeCell ref="H44:M44"/>
    <mergeCell ref="N44:S44"/>
    <mergeCell ref="E44:G44"/>
    <mergeCell ref="T33:V33"/>
    <mergeCell ref="U39:W39"/>
    <mergeCell ref="J20:J21"/>
    <mergeCell ref="J14:J15"/>
    <mergeCell ref="J17:J18"/>
    <mergeCell ref="G3:L3"/>
    <mergeCell ref="L30:V31"/>
    <mergeCell ref="L33:R33"/>
    <mergeCell ref="R34:R35"/>
    <mergeCell ref="M46:M48"/>
    <mergeCell ref="M49:M51"/>
    <mergeCell ref="M52:M54"/>
    <mergeCell ref="M11:U14"/>
    <mergeCell ref="M4:R5"/>
    <mergeCell ref="M6:T7"/>
    <mergeCell ref="M8:T9"/>
    <mergeCell ref="R36:R37"/>
    <mergeCell ref="R26:S26"/>
    <mergeCell ref="R38:R39"/>
    <mergeCell ref="M34:Q34"/>
    <mergeCell ref="M35:Q35"/>
    <mergeCell ref="M36:Q36"/>
    <mergeCell ref="R21:S21"/>
    <mergeCell ref="R22:S22"/>
    <mergeCell ref="R23:S23"/>
    <mergeCell ref="R24:S24"/>
    <mergeCell ref="R25:S25"/>
    <mergeCell ref="R16:S16"/>
    <mergeCell ref="R17:S17"/>
    <mergeCell ref="R18:S18"/>
    <mergeCell ref="R19:S19"/>
    <mergeCell ref="R20:S20"/>
    <mergeCell ref="I46:I48"/>
    <mergeCell ref="J46:J48"/>
    <mergeCell ref="I49:I51"/>
    <mergeCell ref="J49:J51"/>
    <mergeCell ref="B46:B48"/>
    <mergeCell ref="B49:B51"/>
    <mergeCell ref="H46:H48"/>
    <mergeCell ref="H49:H51"/>
    <mergeCell ref="K46:K48"/>
    <mergeCell ref="L46:L48"/>
    <mergeCell ref="K49:K51"/>
    <mergeCell ref="L49:L51"/>
    <mergeCell ref="K52:K54"/>
    <mergeCell ref="L52:L54"/>
    <mergeCell ref="W4:Y4"/>
    <mergeCell ref="Q57:S57"/>
    <mergeCell ref="S62:S65"/>
    <mergeCell ref="B57:I57"/>
    <mergeCell ref="I52:I54"/>
    <mergeCell ref="J52:J54"/>
    <mergeCell ref="B52:B54"/>
    <mergeCell ref="H52:H54"/>
    <mergeCell ref="K58:L58"/>
    <mergeCell ref="B58:B60"/>
    <mergeCell ref="B61:B63"/>
    <mergeCell ref="B64:B66"/>
    <mergeCell ref="F58:F60"/>
    <mergeCell ref="F61:F63"/>
    <mergeCell ref="F64:F66"/>
    <mergeCell ref="K57:M57"/>
  </mergeCells>
  <hyperlinks>
    <hyperlink ref="T33:V33" r:id="rId1" display="Konica-Minolta CL-200A"/>
    <hyperlink ref="U39:W39" r:id="rId2" location="Approximation" display="McCamy CCT Approximation"/>
  </hyperlinks>
  <pageMargins left="0.7" right="0.7" top="0.75" bottom="0.75" header="0.3" footer="0.3"/>
  <pageSetup orientation="portrait" r:id="rId3"/>
  <ignoredErrors>
    <ignoredError sqref="D7:E7" formulaRange="1"/>
  </ignoredErrors>
  <drawing r:id="rId4"/>
  <legacyDrawing r:id="rId5"/>
  <controls>
    <control shapeId="2070" r:id="rId6" name="cmbCompSet"/>
    <control shapeId="2066" r:id="rId7" name="cbD65rgb"/>
    <control shapeId="2065" r:id="rId8" name="cbCWFrgb"/>
    <control shapeId="2064" r:id="rId9" name="cbArgb"/>
    <control shapeId="2061" r:id="rId10" name="cbCWFcmp"/>
    <control shapeId="2060" r:id="rId11" name="cbACmp"/>
    <control shapeId="2067" r:id="rId12" name="cbInit"/>
    <control shapeId="2068" r:id="rId13" name="cbReadWithCCM"/>
    <control shapeId="2069" r:id="rId14" name="cbRange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B1:AE103"/>
  <sheetViews>
    <sheetView topLeftCell="A20" zoomScale="70" zoomScaleNormal="70" workbookViewId="0">
      <selection activeCell="X50" sqref="X50"/>
    </sheetView>
  </sheetViews>
  <sheetFormatPr defaultRowHeight="17.25" customHeight="1"/>
  <cols>
    <col min="1" max="3" width="9.140625" style="82"/>
    <col min="4" max="6" width="9.140625" style="82" customWidth="1"/>
    <col min="7" max="17" width="9.140625" style="82"/>
    <col min="18" max="18" width="9.140625" style="82" customWidth="1"/>
    <col min="19" max="16384" width="9.140625" style="82"/>
  </cols>
  <sheetData>
    <row r="1" spans="2:22" s="115" customFormat="1" ht="17.25" customHeight="1"/>
    <row r="2" spans="2:22" ht="17.25" customHeight="1" thickBot="1"/>
    <row r="3" spans="2:22" s="87" customFormat="1" ht="17.25" customHeight="1">
      <c r="B3" s="257" t="s">
        <v>102</v>
      </c>
      <c r="C3" s="258"/>
      <c r="D3" s="258"/>
      <c r="E3" s="258"/>
      <c r="F3" s="258"/>
      <c r="G3" s="258"/>
      <c r="H3" s="258"/>
      <c r="I3" s="258"/>
      <c r="J3" s="258"/>
      <c r="K3" s="258"/>
      <c r="L3" s="258"/>
      <c r="M3" s="258"/>
      <c r="N3" s="258"/>
      <c r="O3" s="258"/>
      <c r="P3" s="258"/>
      <c r="Q3" s="258"/>
      <c r="R3" s="258"/>
      <c r="S3" s="258"/>
      <c r="T3" s="258"/>
      <c r="U3" s="258"/>
      <c r="V3" s="259"/>
    </row>
    <row r="4" spans="2:22" ht="17.25" customHeight="1" thickBot="1">
      <c r="B4" s="260"/>
      <c r="C4" s="261"/>
      <c r="D4" s="261"/>
      <c r="E4" s="261"/>
      <c r="F4" s="261"/>
      <c r="G4" s="261"/>
      <c r="H4" s="261"/>
      <c r="I4" s="261"/>
      <c r="J4" s="261"/>
      <c r="K4" s="261"/>
      <c r="L4" s="261"/>
      <c r="M4" s="261"/>
      <c r="N4" s="261"/>
      <c r="O4" s="261"/>
      <c r="P4" s="261"/>
      <c r="Q4" s="261"/>
      <c r="R4" s="261"/>
      <c r="S4" s="261"/>
      <c r="T4" s="261"/>
      <c r="U4" s="261"/>
      <c r="V4" s="262"/>
    </row>
    <row r="5" spans="2:22" ht="17.25" customHeight="1">
      <c r="B5" s="83" t="s">
        <v>83</v>
      </c>
      <c r="C5" s="85">
        <v>170</v>
      </c>
      <c r="D5" s="85">
        <v>150</v>
      </c>
      <c r="E5" s="85">
        <v>70</v>
      </c>
      <c r="F5" s="85"/>
      <c r="G5" s="85"/>
      <c r="H5" s="85"/>
      <c r="I5" s="85"/>
      <c r="J5" s="85"/>
      <c r="K5" s="85"/>
      <c r="L5" s="85"/>
      <c r="M5" s="85"/>
      <c r="N5" s="85"/>
      <c r="O5" s="85"/>
      <c r="P5" s="85"/>
      <c r="Q5" s="85"/>
      <c r="R5" s="85"/>
      <c r="S5" s="85"/>
      <c r="T5" s="85"/>
      <c r="U5" s="85"/>
      <c r="V5" s="86"/>
    </row>
    <row r="6" spans="2:22" ht="17.25" customHeight="1">
      <c r="B6" s="83" t="s">
        <v>84</v>
      </c>
      <c r="C6" s="85">
        <v>210</v>
      </c>
      <c r="D6" s="85">
        <v>160</v>
      </c>
      <c r="E6" s="85">
        <v>140</v>
      </c>
      <c r="F6" s="85"/>
      <c r="G6" s="85"/>
      <c r="H6" s="85"/>
      <c r="I6" s="85"/>
      <c r="J6" s="85"/>
      <c r="K6" s="85"/>
      <c r="L6" s="85"/>
      <c r="M6" s="85"/>
      <c r="N6" s="85"/>
      <c r="O6" s="85"/>
      <c r="P6" s="85"/>
      <c r="Q6" s="85"/>
      <c r="R6" s="85"/>
      <c r="S6" s="85"/>
      <c r="T6" s="85"/>
      <c r="U6" s="85"/>
      <c r="V6" s="86"/>
    </row>
    <row r="7" spans="2:22" ht="17.25" customHeight="1">
      <c r="B7" s="83"/>
      <c r="C7" s="85" t="s">
        <v>32</v>
      </c>
      <c r="D7" s="85" t="s">
        <v>33</v>
      </c>
      <c r="E7" s="85" t="s">
        <v>34</v>
      </c>
      <c r="F7" s="85" t="s">
        <v>67</v>
      </c>
      <c r="G7" s="85" t="s">
        <v>68</v>
      </c>
      <c r="H7" s="85" t="s">
        <v>69</v>
      </c>
      <c r="I7" s="85" t="s">
        <v>29</v>
      </c>
      <c r="J7" s="85" t="s">
        <v>30</v>
      </c>
      <c r="K7" s="85" t="s">
        <v>31</v>
      </c>
      <c r="L7" s="85" t="s">
        <v>70</v>
      </c>
      <c r="M7" s="85" t="s">
        <v>71</v>
      </c>
      <c r="N7" s="85" t="s">
        <v>72</v>
      </c>
      <c r="O7" s="171" t="s">
        <v>73</v>
      </c>
      <c r="P7" s="171"/>
      <c r="Q7" s="171"/>
      <c r="R7" s="117"/>
      <c r="S7" s="171" t="s">
        <v>42</v>
      </c>
      <c r="T7" s="171"/>
      <c r="U7" s="171"/>
      <c r="V7" s="225"/>
    </row>
    <row r="8" spans="2:22" ht="17.25" customHeight="1">
      <c r="B8" s="83" t="str">
        <f>DEC2BIN(0,3)</f>
        <v>000</v>
      </c>
      <c r="C8" s="132">
        <f>C5</f>
        <v>170</v>
      </c>
      <c r="D8" s="132">
        <f>D5</f>
        <v>150</v>
      </c>
      <c r="E8" s="23">
        <f>E5</f>
        <v>70</v>
      </c>
      <c r="F8" s="90">
        <f>(C8/255)^2</f>
        <v>0.44444444444444442</v>
      </c>
      <c r="G8" s="90">
        <f t="shared" ref="G8:H15" si="0">(D8/255)^2</f>
        <v>0.34602076124567477</v>
      </c>
      <c r="H8" s="90">
        <f t="shared" si="0"/>
        <v>7.5355632449058074E-2</v>
      </c>
      <c r="I8" s="89">
        <v>32.299999999999997</v>
      </c>
      <c r="J8" s="89">
        <v>35.1</v>
      </c>
      <c r="K8" s="89">
        <v>12.3</v>
      </c>
      <c r="L8" s="88">
        <f>255*(I8*S12+J8*T12+K8*U12+V12)^0.5</f>
        <v>169.99791647364128</v>
      </c>
      <c r="M8" s="88">
        <f>255*(I8*S13+J8*T13+K8*U13+V13)^0.5</f>
        <v>150.00247477832895</v>
      </c>
      <c r="N8" s="88">
        <f>255*(I8*S14+J8*T14+K8*U14+V14)^0.5</f>
        <v>70.002291994083592</v>
      </c>
      <c r="O8" s="117">
        <f t="shared" ref="O8:Q15" si="1">L8/C8-1</f>
        <v>-1.2256037404179132E-5</v>
      </c>
      <c r="P8" s="117">
        <f t="shared" si="1"/>
        <v>1.6498522192875953E-5</v>
      </c>
      <c r="Q8" s="117">
        <f t="shared" si="1"/>
        <v>3.2742772622773586E-5</v>
      </c>
      <c r="R8" s="117"/>
      <c r="S8" s="85">
        <f t="array" ref="S8:V8">LINEST(F8:F15,I8:K15)</f>
        <v>-3.0465350962917866E-3</v>
      </c>
      <c r="T8" s="85">
        <v>-6.173046247767198E-3</v>
      </c>
      <c r="U8" s="85">
        <v>1.9869050540615094E-2</v>
      </c>
      <c r="V8" s="86">
        <v>5.6809522774884533E-2</v>
      </c>
    </row>
    <row r="9" spans="2:22" ht="17.25" customHeight="1">
      <c r="B9" s="83" t="str">
        <f>DEC2BIN(BIN2DEC(B8)+1,3)</f>
        <v>001</v>
      </c>
      <c r="C9" s="132">
        <f>C8</f>
        <v>170</v>
      </c>
      <c r="D9" s="23">
        <f t="shared" ref="D9" si="2">D8</f>
        <v>150</v>
      </c>
      <c r="E9" s="23">
        <f>E6</f>
        <v>140</v>
      </c>
      <c r="F9" s="90">
        <f t="shared" ref="F9:F15" si="3">(C9/255)^2</f>
        <v>0.44444444444444442</v>
      </c>
      <c r="G9" s="90">
        <f t="shared" si="0"/>
        <v>0.34602076124567477</v>
      </c>
      <c r="H9" s="90">
        <f t="shared" si="0"/>
        <v>0.3014225297962323</v>
      </c>
      <c r="I9" s="89">
        <v>37.799999999999997</v>
      </c>
      <c r="J9" s="89">
        <v>37.200000000000003</v>
      </c>
      <c r="K9" s="89">
        <v>43.4</v>
      </c>
      <c r="L9" s="88">
        <f>255*(I9*S12+J9*T12+K9*U12+V12)^0.5</f>
        <v>170.29775363215722</v>
      </c>
      <c r="M9" s="88">
        <f>255*(I9*S13+J9*T13+K9*U13+V13)^0.5</f>
        <v>149.89735399562352</v>
      </c>
      <c r="N9" s="88">
        <f>255*(I9*S14+J9*T14+K9*U14+V14)^0.5</f>
        <v>139.96624281005347</v>
      </c>
      <c r="O9" s="117">
        <f t="shared" si="1"/>
        <v>1.7514919538659246E-3</v>
      </c>
      <c r="P9" s="117">
        <f t="shared" si="1"/>
        <v>-6.8430669584318427E-4</v>
      </c>
      <c r="Q9" s="117">
        <f t="shared" si="1"/>
        <v>-2.4112278533239273E-4</v>
      </c>
      <c r="R9" s="85"/>
      <c r="S9" s="85">
        <f t="array" ref="S9:V9">LINEST(G8:G15,I8:K15)</f>
        <v>1.6673008049715234E-4</v>
      </c>
      <c r="T9" s="85">
        <v>1.4002165948804771E-2</v>
      </c>
      <c r="U9" s="85">
        <v>-6.3772142485636523E-3</v>
      </c>
      <c r="V9" s="86">
        <v>5.8489394437722789E-2</v>
      </c>
    </row>
    <row r="10" spans="2:22" s="133" customFormat="1" ht="17.25" customHeight="1" thickBot="1">
      <c r="B10" s="83" t="str">
        <f>DEC2BIN(BIN2DEC(B11)+1,3)</f>
        <v>011</v>
      </c>
      <c r="C10" s="132">
        <f>C11</f>
        <v>170</v>
      </c>
      <c r="D10" s="23">
        <f>D11</f>
        <v>160</v>
      </c>
      <c r="E10" s="132">
        <f>E9</f>
        <v>140</v>
      </c>
      <c r="F10" s="90">
        <f>(C10/255)^2</f>
        <v>0.44444444444444442</v>
      </c>
      <c r="G10" s="90">
        <f>(D10/255)^2</f>
        <v>0.39369473279507883</v>
      </c>
      <c r="H10" s="90">
        <f>(E10/255)^2</f>
        <v>0.3014225297962323</v>
      </c>
      <c r="I10" s="89">
        <v>39</v>
      </c>
      <c r="J10" s="89">
        <v>41.2</v>
      </c>
      <c r="K10" s="89">
        <v>44</v>
      </c>
      <c r="L10" s="88">
        <f>255*(I10*S12+J10*T12+K10*U12+V12)^0.5</f>
        <v>169.78585633090006</v>
      </c>
      <c r="M10" s="88">
        <f>255*(I10*S13+J10*T13+K10*U13+V13)^0.5</f>
        <v>160.06270972480931</v>
      </c>
      <c r="N10" s="88">
        <f>255*(I10*S14+J10*T14+K10*U14+V14)^0.5</f>
        <v>140.07747207544023</v>
      </c>
      <c r="O10" s="117">
        <f>L10/C10-1</f>
        <v>-1.2596686417642999E-3</v>
      </c>
      <c r="P10" s="117">
        <f>M10/D10-1</f>
        <v>3.9193578005813912E-4</v>
      </c>
      <c r="Q10" s="117">
        <f>N10/E10-1</f>
        <v>5.5337196743021622E-4</v>
      </c>
      <c r="R10" s="132"/>
      <c r="S10" s="85">
        <f t="array" ref="S10:V10">LINEST(H8:H15,I8:K15)</f>
        <v>7.2615524671204119E-3</v>
      </c>
      <c r="T10" s="85">
        <v>-1.0999616777095887E-3</v>
      </c>
      <c r="U10" s="85">
        <v>4.3495603678653108E-4</v>
      </c>
      <c r="V10" s="86">
        <v>1.0603046788344783E-2</v>
      </c>
    </row>
    <row r="11" spans="2:22" ht="17.25" customHeight="1" thickBot="1">
      <c r="B11" s="83" t="str">
        <f>DEC2BIN(BIN2DEC(B9)+1,3)</f>
        <v>010</v>
      </c>
      <c r="C11" s="132">
        <f>C9</f>
        <v>170</v>
      </c>
      <c r="D11" s="132">
        <f>D6</f>
        <v>160</v>
      </c>
      <c r="E11" s="132">
        <f>E8</f>
        <v>70</v>
      </c>
      <c r="F11" s="90">
        <f t="shared" si="3"/>
        <v>0.44444444444444442</v>
      </c>
      <c r="G11" s="90">
        <f t="shared" si="0"/>
        <v>0.39369473279507883</v>
      </c>
      <c r="H11" s="90">
        <f t="shared" si="0"/>
        <v>7.5355632449058074E-2</v>
      </c>
      <c r="I11" s="89">
        <v>33.6</v>
      </c>
      <c r="J11" s="89">
        <v>39.1</v>
      </c>
      <c r="K11" s="89">
        <v>12.8</v>
      </c>
      <c r="L11" s="88">
        <f>255*(I11*S12+J11*T12+K11*U12+V12)^0.5</f>
        <v>169.92413695187994</v>
      </c>
      <c r="M11" s="88">
        <f>255*(I11*S13+J11*T13+K11*U13+V13)^0.5</f>
        <v>160.02826235131965</v>
      </c>
      <c r="N11" s="88">
        <f>255*(I11*S14+J11*T14+K11*U14+V14)^0.5</f>
        <v>69.907653356550199</v>
      </c>
      <c r="O11" s="117">
        <f t="shared" si="1"/>
        <v>-4.4625322423563762E-4</v>
      </c>
      <c r="P11" s="117">
        <f t="shared" si="1"/>
        <v>1.7663969574788219E-4</v>
      </c>
      <c r="Q11" s="117">
        <f t="shared" si="1"/>
        <v>-1.3192377635685704E-3</v>
      </c>
      <c r="R11" s="85"/>
      <c r="S11" s="254" t="s">
        <v>77</v>
      </c>
      <c r="T11" s="255"/>
      <c r="U11" s="255"/>
      <c r="V11" s="256"/>
    </row>
    <row r="12" spans="2:22" s="133" customFormat="1" ht="17.25" customHeight="1">
      <c r="B12" s="83" t="str">
        <f>DEC2BIN(BIN2DEC(B14)+1,3)</f>
        <v>110</v>
      </c>
      <c r="C12" s="132">
        <f>C14</f>
        <v>210</v>
      </c>
      <c r="D12" s="132">
        <f>D11</f>
        <v>160</v>
      </c>
      <c r="E12" s="132">
        <f>E13</f>
        <v>70</v>
      </c>
      <c r="F12" s="90">
        <f>(C12/255)^2</f>
        <v>0.67820069204152245</v>
      </c>
      <c r="G12" s="90">
        <f>(D12/255)^2</f>
        <v>0.39369473279507883</v>
      </c>
      <c r="H12" s="90">
        <f>(E12/255)^2</f>
        <v>7.5355632449058074E-2</v>
      </c>
      <c r="I12" s="89">
        <v>47.4</v>
      </c>
      <c r="J12" s="89">
        <v>45.4</v>
      </c>
      <c r="K12" s="89">
        <v>13</v>
      </c>
      <c r="L12" s="88">
        <f>255*(I12*S12+J12*T12+K12*U12+V12)^0.5</f>
        <v>210.0836752202263</v>
      </c>
      <c r="M12" s="88">
        <f>255*(I12*S13+J12*T13+K12*U13+V13)^0.5</f>
        <v>160.07730649025424</v>
      </c>
      <c r="N12" s="88">
        <f>255*(I12*S14+J12*T14+K12*U14+V14)^0.5</f>
        <v>70.15136892105798</v>
      </c>
      <c r="O12" s="117">
        <f>L12/C12-1</f>
        <v>3.9845342964905939E-4</v>
      </c>
      <c r="P12" s="117">
        <f>M12/D12-1</f>
        <v>4.8316556408911637E-4</v>
      </c>
      <c r="Q12" s="117">
        <f>N12/E12-1</f>
        <v>2.1624131579711658E-3</v>
      </c>
      <c r="R12" s="132"/>
      <c r="S12" s="83">
        <f>U8</f>
        <v>1.9869050540615094E-2</v>
      </c>
      <c r="T12" s="85">
        <f>T8</f>
        <v>-6.173046247767198E-3</v>
      </c>
      <c r="U12" s="85">
        <f>S8</f>
        <v>-3.0465350962917866E-3</v>
      </c>
      <c r="V12" s="86">
        <f>V8</f>
        <v>5.6809522774884533E-2</v>
      </c>
    </row>
    <row r="13" spans="2:22" ht="17.25" customHeight="1">
      <c r="B13" s="83" t="str">
        <f>DEC2BIN(BIN2DEC(B10)+1,3)</f>
        <v>100</v>
      </c>
      <c r="C13" s="132">
        <f>C6</f>
        <v>210</v>
      </c>
      <c r="D13" s="132">
        <f>D8</f>
        <v>150</v>
      </c>
      <c r="E13" s="132">
        <f>E11</f>
        <v>70</v>
      </c>
      <c r="F13" s="90">
        <f t="shared" si="3"/>
        <v>0.67820069204152245</v>
      </c>
      <c r="G13" s="90">
        <f t="shared" si="0"/>
        <v>0.34602076124567477</v>
      </c>
      <c r="H13" s="90">
        <f t="shared" si="0"/>
        <v>7.5355632449058074E-2</v>
      </c>
      <c r="I13" s="89">
        <v>46</v>
      </c>
      <c r="J13" s="89">
        <v>41.3</v>
      </c>
      <c r="K13" s="89">
        <v>12.4</v>
      </c>
      <c r="L13" s="88">
        <f>255*(I13*S12+J13*T12+K13*U12+V12)^0.5</f>
        <v>209.9785267762511</v>
      </c>
      <c r="M13" s="88">
        <f>255*(I13*S13+J13*T13+K13*U13+V13)^0.5</f>
        <v>149.8858776897809</v>
      </c>
      <c r="N13" s="88">
        <f>255*(I13*S14+J13*T14+K13*U14+V14)^0.5</f>
        <v>69.939698329106236</v>
      </c>
      <c r="O13" s="117">
        <f t="shared" si="1"/>
        <v>-1.0225344642333933E-4</v>
      </c>
      <c r="P13" s="117">
        <f t="shared" si="1"/>
        <v>-7.6081540146066828E-4</v>
      </c>
      <c r="Q13" s="117">
        <f t="shared" si="1"/>
        <v>-8.6145244133950527E-4</v>
      </c>
      <c r="R13" s="85"/>
      <c r="S13" s="83">
        <f t="shared" ref="S13:S14" si="4">U9</f>
        <v>-6.3772142485636523E-3</v>
      </c>
      <c r="T13" s="85">
        <f t="shared" ref="T13:T14" si="5">T9</f>
        <v>1.4002165948804771E-2</v>
      </c>
      <c r="U13" s="85">
        <f t="shared" ref="U13:U14" si="6">S9</f>
        <v>1.6673008049715234E-4</v>
      </c>
      <c r="V13" s="86">
        <f t="shared" ref="V13:V14" si="7">V9</f>
        <v>5.8489394437722789E-2</v>
      </c>
    </row>
    <row r="14" spans="2:22" ht="17.25" customHeight="1" thickBot="1">
      <c r="B14" s="83" t="str">
        <f t="shared" ref="B14" si="8">DEC2BIN(BIN2DEC(B13)+1,3)</f>
        <v>101</v>
      </c>
      <c r="C14" s="132">
        <f t="shared" ref="C14" si="9">C13</f>
        <v>210</v>
      </c>
      <c r="D14" s="132">
        <f>D9</f>
        <v>150</v>
      </c>
      <c r="E14" s="132">
        <f>E10</f>
        <v>140</v>
      </c>
      <c r="F14" s="90">
        <f t="shared" si="3"/>
        <v>0.67820069204152245</v>
      </c>
      <c r="G14" s="90">
        <f t="shared" si="0"/>
        <v>0.34602076124567477</v>
      </c>
      <c r="H14" s="90">
        <f t="shared" si="0"/>
        <v>0.3014225297962323</v>
      </c>
      <c r="I14" s="89">
        <v>51.4</v>
      </c>
      <c r="J14" s="89">
        <v>43.5</v>
      </c>
      <c r="K14" s="89">
        <v>43.6</v>
      </c>
      <c r="L14" s="88">
        <f>255*(I14*S12+J14*T12+K14*U12+V12)^0.5</f>
        <v>209.77098504100729</v>
      </c>
      <c r="M14" s="88">
        <f>255*(I14*S13+J14*T13+K14*U13+V13)^0.5</f>
        <v>150.22600210410928</v>
      </c>
      <c r="N14" s="88">
        <f>255*(I14*S14+J14*T14+K14*U14+V14)^0.5</f>
        <v>140.06793739747587</v>
      </c>
      <c r="O14" s="117">
        <f t="shared" si="1"/>
        <v>-1.0905474237747903E-3</v>
      </c>
      <c r="P14" s="117">
        <f t="shared" si="1"/>
        <v>1.5066806940617905E-3</v>
      </c>
      <c r="Q14" s="117">
        <f t="shared" si="1"/>
        <v>4.8526712482765966E-4</v>
      </c>
      <c r="R14" s="85"/>
      <c r="S14" s="84">
        <f t="shared" si="4"/>
        <v>4.3495603678653108E-4</v>
      </c>
      <c r="T14" s="92">
        <f t="shared" si="5"/>
        <v>-1.0999616777095887E-3</v>
      </c>
      <c r="U14" s="92">
        <f t="shared" si="6"/>
        <v>7.2615524671204119E-3</v>
      </c>
      <c r="V14" s="9">
        <f t="shared" si="7"/>
        <v>1.0603046788344783E-2</v>
      </c>
    </row>
    <row r="15" spans="2:22" ht="17.25" customHeight="1">
      <c r="B15" s="83" t="str">
        <f>DEC2BIN(BIN2DEC(B12)+1,3)</f>
        <v>111</v>
      </c>
      <c r="C15" s="132">
        <f>C12</f>
        <v>210</v>
      </c>
      <c r="D15" s="132">
        <f>D10</f>
        <v>160</v>
      </c>
      <c r="E15" s="132">
        <f>E14</f>
        <v>140</v>
      </c>
      <c r="F15" s="90">
        <f t="shared" si="3"/>
        <v>0.67820069204152245</v>
      </c>
      <c r="G15" s="90">
        <f t="shared" si="0"/>
        <v>0.39369473279507883</v>
      </c>
      <c r="H15" s="90">
        <f t="shared" si="0"/>
        <v>0.3014225297962323</v>
      </c>
      <c r="I15" s="89">
        <v>52.8</v>
      </c>
      <c r="J15" s="89">
        <v>47.4</v>
      </c>
      <c r="K15" s="89">
        <v>44</v>
      </c>
      <c r="L15" s="88">
        <f>255*(I15*S12+J15*T12+K15*U12+V12)^0.5</f>
        <v>210.16168943783904</v>
      </c>
      <c r="M15" s="88">
        <f>255*(I15*S13+J15*T13+K15*U13+V13)^0.5</f>
        <v>159.8203771039901</v>
      </c>
      <c r="N15" s="88">
        <f>255*(I15*S14+J15*T14+K15*U14+V14)^0.5</f>
        <v>139.88762903737748</v>
      </c>
      <c r="O15" s="117">
        <f t="shared" si="1"/>
        <v>7.6994970399546503E-4</v>
      </c>
      <c r="P15" s="117">
        <f t="shared" si="1"/>
        <v>-1.1226431000619375E-3</v>
      </c>
      <c r="Q15" s="117">
        <f t="shared" si="1"/>
        <v>-8.0264973301802378E-4</v>
      </c>
      <c r="R15" s="85"/>
      <c r="S15" s="85"/>
      <c r="T15" s="85"/>
      <c r="U15" s="85"/>
      <c r="V15" s="86"/>
    </row>
    <row r="16" spans="2:22" ht="17.25" customHeight="1">
      <c r="B16" s="83"/>
      <c r="C16" s="85"/>
      <c r="D16" s="85"/>
      <c r="E16" s="85"/>
      <c r="F16" s="90"/>
      <c r="G16" s="90"/>
      <c r="H16" s="90"/>
      <c r="I16" s="89"/>
      <c r="J16" s="89"/>
      <c r="K16" s="89"/>
      <c r="L16" s="264" t="s">
        <v>79</v>
      </c>
      <c r="M16" s="264"/>
      <c r="N16" s="264"/>
      <c r="O16" s="117"/>
      <c r="P16" s="117"/>
      <c r="Q16" s="117"/>
      <c r="R16" s="85"/>
      <c r="S16" s="85"/>
      <c r="T16" s="85"/>
      <c r="U16" s="85"/>
      <c r="V16" s="86"/>
    </row>
    <row r="17" spans="2:24" ht="17.25" customHeight="1">
      <c r="B17" s="118" t="s">
        <v>78</v>
      </c>
      <c r="C17" s="77">
        <f>255*(I17*S12+J17*T12+K17*U12+V12)^0.5</f>
        <v>186.69685929658701</v>
      </c>
      <c r="D17" s="77">
        <f>255*(I17*S13+J17*T13+K17*U13+V13)^0.5</f>
        <v>163.10336515221167</v>
      </c>
      <c r="E17" s="77">
        <f>255*(I17*S14+J17*T14+K17*U14+V14)^0.5</f>
        <v>141.3923042432609</v>
      </c>
      <c r="F17" s="78"/>
      <c r="G17" s="78"/>
      <c r="H17" s="78"/>
      <c r="I17" s="79">
        <v>45</v>
      </c>
      <c r="J17" s="79">
        <f>I17</f>
        <v>45</v>
      </c>
      <c r="K17" s="79">
        <f>J17</f>
        <v>45</v>
      </c>
      <c r="L17" s="93">
        <v>44.8</v>
      </c>
      <c r="M17" s="93">
        <v>44.7</v>
      </c>
      <c r="N17" s="79">
        <v>44.5</v>
      </c>
      <c r="O17" s="80">
        <f>L17/I17-1</f>
        <v>-4.4444444444444731E-3</v>
      </c>
      <c r="P17" s="80">
        <f t="shared" ref="P17:Q17" si="10">M17/J17-1</f>
        <v>-6.6666666666665986E-3</v>
      </c>
      <c r="Q17" s="81">
        <f t="shared" si="10"/>
        <v>-1.1111111111111072E-2</v>
      </c>
      <c r="R17" s="85"/>
      <c r="S17" s="85"/>
      <c r="T17" s="85"/>
      <c r="U17" s="85"/>
      <c r="V17" s="86"/>
    </row>
    <row r="18" spans="2:24" ht="17.25" customHeight="1">
      <c r="B18" s="83" t="s">
        <v>74</v>
      </c>
      <c r="C18" s="85"/>
      <c r="D18" s="85"/>
      <c r="E18" s="85"/>
      <c r="F18" s="85"/>
      <c r="G18" s="85"/>
      <c r="H18" s="85"/>
      <c r="I18" s="89">
        <f>MIN(I8:I17)</f>
        <v>32.299999999999997</v>
      </c>
      <c r="J18" s="89">
        <f>MIN(J8:J15)</f>
        <v>35.1</v>
      </c>
      <c r="K18" s="89">
        <f>MIN(K8:K15)</f>
        <v>12.3</v>
      </c>
      <c r="L18" s="85"/>
      <c r="M18" s="85"/>
      <c r="N18" s="85"/>
      <c r="O18" s="85"/>
      <c r="P18" s="85"/>
      <c r="Q18" s="85"/>
      <c r="R18" s="85"/>
      <c r="S18" s="85"/>
      <c r="T18" s="85"/>
      <c r="U18" s="85"/>
      <c r="V18" s="86"/>
    </row>
    <row r="19" spans="2:24" ht="17.25" customHeight="1">
      <c r="B19" s="83" t="s">
        <v>75</v>
      </c>
      <c r="C19" s="85"/>
      <c r="D19" s="85"/>
      <c r="E19" s="85"/>
      <c r="F19" s="85"/>
      <c r="G19" s="85"/>
      <c r="H19" s="85"/>
      <c r="I19" s="89">
        <f>AVERAGE(I8:I17)</f>
        <v>42.81111111111111</v>
      </c>
      <c r="J19" s="89">
        <f>AVERAGE(J8:J15)</f>
        <v>41.274999999999999</v>
      </c>
      <c r="K19" s="89">
        <f>AVERAGE(K8:K15)</f>
        <v>28.1875</v>
      </c>
      <c r="L19" s="85"/>
      <c r="M19" s="85"/>
      <c r="N19" s="85"/>
      <c r="O19" s="85"/>
      <c r="P19" s="85"/>
      <c r="Q19" s="85"/>
      <c r="R19" s="85"/>
      <c r="S19" s="85"/>
      <c r="T19" s="85"/>
      <c r="U19" s="85"/>
      <c r="V19" s="86"/>
    </row>
    <row r="20" spans="2:24" ht="17.25" customHeight="1" thickBot="1">
      <c r="B20" s="84" t="s">
        <v>76</v>
      </c>
      <c r="C20" s="92"/>
      <c r="D20" s="92"/>
      <c r="E20" s="92"/>
      <c r="F20" s="92"/>
      <c r="G20" s="92"/>
      <c r="H20" s="92"/>
      <c r="I20" s="91">
        <f>MAX(I8:I17)</f>
        <v>52.8</v>
      </c>
      <c r="J20" s="91">
        <f>MAX(J8:J15)</f>
        <v>47.4</v>
      </c>
      <c r="K20" s="91">
        <f>MAX(K8:K15)</f>
        <v>44</v>
      </c>
      <c r="L20" s="92"/>
      <c r="M20" s="92"/>
      <c r="N20" s="92"/>
      <c r="O20" s="92"/>
      <c r="P20" s="92"/>
      <c r="Q20" s="92"/>
      <c r="R20" s="92"/>
      <c r="S20" s="92"/>
      <c r="T20" s="92"/>
      <c r="U20" s="92"/>
      <c r="V20" s="9"/>
    </row>
    <row r="21" spans="2:24" s="133" customFormat="1" ht="17.25" customHeight="1">
      <c r="B21" s="132"/>
      <c r="C21" s="132"/>
      <c r="D21" s="132"/>
      <c r="E21" s="132"/>
      <c r="F21" s="132"/>
      <c r="G21" s="132"/>
      <c r="H21" s="132"/>
      <c r="I21" s="134"/>
      <c r="J21" s="134"/>
      <c r="K21" s="134"/>
      <c r="L21" s="132"/>
      <c r="M21" s="132"/>
      <c r="N21" s="132"/>
      <c r="O21" s="132"/>
      <c r="P21" s="132"/>
      <c r="Q21" s="132"/>
      <c r="R21" s="132"/>
      <c r="S21" s="132"/>
      <c r="T21" s="132"/>
      <c r="U21" s="132"/>
      <c r="V21" s="132"/>
    </row>
    <row r="22" spans="2:24" s="133" customFormat="1" ht="17.25" customHeight="1" thickBot="1">
      <c r="B22" s="132"/>
      <c r="C22" s="132"/>
      <c r="D22" s="132"/>
      <c r="E22" s="132"/>
      <c r="F22" s="132"/>
      <c r="G22" s="132"/>
      <c r="H22" s="132"/>
      <c r="I22" s="134"/>
      <c r="J22" s="134"/>
      <c r="K22" s="134"/>
      <c r="L22" s="132"/>
      <c r="M22" s="132"/>
      <c r="N22" s="132"/>
      <c r="O22" s="132"/>
      <c r="P22" s="132"/>
      <c r="Q22" s="132"/>
      <c r="R22" s="132"/>
      <c r="S22" s="132"/>
      <c r="T22" s="132"/>
      <c r="U22" s="132"/>
      <c r="V22" s="132"/>
    </row>
    <row r="23" spans="2:24" ht="17.25" customHeight="1">
      <c r="B23" s="257" t="s">
        <v>98</v>
      </c>
      <c r="C23" s="258"/>
      <c r="D23" s="258"/>
      <c r="E23" s="258"/>
      <c r="F23" s="258"/>
      <c r="G23" s="258"/>
      <c r="H23" s="258"/>
      <c r="I23" s="258"/>
      <c r="J23" s="258"/>
      <c r="K23" s="258"/>
      <c r="L23" s="258"/>
      <c r="M23" s="258"/>
      <c r="N23" s="258"/>
      <c r="O23" s="258"/>
      <c r="P23" s="258"/>
      <c r="Q23" s="258"/>
      <c r="R23" s="258"/>
      <c r="S23" s="258"/>
      <c r="T23" s="258"/>
      <c r="U23" s="258"/>
      <c r="V23" s="258"/>
      <c r="W23" s="258"/>
      <c r="X23" s="259"/>
    </row>
    <row r="24" spans="2:24" ht="17.25" customHeight="1" thickBot="1">
      <c r="B24" s="260"/>
      <c r="C24" s="261"/>
      <c r="D24" s="261"/>
      <c r="E24" s="261"/>
      <c r="F24" s="261"/>
      <c r="G24" s="261"/>
      <c r="H24" s="261"/>
      <c r="I24" s="261"/>
      <c r="J24" s="261"/>
      <c r="K24" s="261"/>
      <c r="L24" s="261"/>
      <c r="M24" s="261"/>
      <c r="N24" s="261"/>
      <c r="O24" s="261"/>
      <c r="P24" s="261"/>
      <c r="Q24" s="261"/>
      <c r="R24" s="261"/>
      <c r="S24" s="261"/>
      <c r="T24" s="261"/>
      <c r="U24" s="261"/>
      <c r="V24" s="261"/>
      <c r="W24" s="261"/>
      <c r="X24" s="262"/>
    </row>
    <row r="25" spans="2:24" ht="17.25" customHeight="1">
      <c r="B25" s="167" t="s">
        <v>82</v>
      </c>
      <c r="C25" s="171"/>
      <c r="D25" s="171"/>
      <c r="E25" s="85"/>
      <c r="F25" s="85"/>
      <c r="G25" s="85"/>
      <c r="H25" s="89">
        <v>40</v>
      </c>
      <c r="I25" s="88">
        <f ca="1">MAX(J32:L34)</f>
        <v>204.93323211260142</v>
      </c>
      <c r="J25" s="171" t="s">
        <v>85</v>
      </c>
      <c r="K25" s="171"/>
      <c r="L25" s="171"/>
      <c r="M25" s="171" t="s">
        <v>86</v>
      </c>
      <c r="N25" s="171"/>
      <c r="O25" s="171"/>
      <c r="P25" s="171"/>
      <c r="Q25" s="85"/>
      <c r="R25" s="85"/>
      <c r="S25" s="85"/>
      <c r="T25" s="85"/>
      <c r="U25" s="85"/>
      <c r="V25" s="85"/>
      <c r="W25" s="85"/>
      <c r="X25" s="86"/>
    </row>
    <row r="26" spans="2:24" ht="17.25" customHeight="1" thickBot="1">
      <c r="B26" s="119">
        <f ca="1">(D31-D27)/(COUNT(D27:D31)-1)</f>
        <v>-50.824175824175832</v>
      </c>
      <c r="C26" s="85" t="s">
        <v>80</v>
      </c>
      <c r="D26" s="85" t="s">
        <v>81</v>
      </c>
      <c r="E26" s="85" t="s">
        <v>1</v>
      </c>
      <c r="F26" s="85" t="s">
        <v>2</v>
      </c>
      <c r="G26" s="85" t="s">
        <v>29</v>
      </c>
      <c r="H26" s="85" t="s">
        <v>30</v>
      </c>
      <c r="I26" s="85" t="s">
        <v>31</v>
      </c>
      <c r="J26" s="85" t="s">
        <v>32</v>
      </c>
      <c r="K26" s="85" t="s">
        <v>33</v>
      </c>
      <c r="L26" s="85" t="s">
        <v>34</v>
      </c>
      <c r="M26" s="85" t="s">
        <v>80</v>
      </c>
      <c r="N26" s="85" t="s">
        <v>62</v>
      </c>
      <c r="O26" s="85" t="str">
        <f>M26</f>
        <v>Tcp</v>
      </c>
      <c r="P26" s="85" t="str">
        <f>N26</f>
        <v>Ev</v>
      </c>
      <c r="Q26" s="85"/>
      <c r="R26" s="85"/>
      <c r="S26" s="85"/>
      <c r="T26" s="85"/>
      <c r="U26" s="85"/>
      <c r="V26" s="85"/>
      <c r="W26" s="85"/>
      <c r="X26" s="86"/>
    </row>
    <row r="27" spans="2:24" ht="17.25" customHeight="1">
      <c r="B27" s="94" t="s">
        <v>16</v>
      </c>
      <c r="C27" s="95">
        <v>2800</v>
      </c>
      <c r="D27" s="96">
        <f>10^6/C27</f>
        <v>357.14285714285717</v>
      </c>
      <c r="E27" s="97">
        <f>getPlanckianLocusX(C27)</f>
        <v>0.45135712117346938</v>
      </c>
      <c r="F27" s="97">
        <f>getPlanckianLocusY(C27)</f>
        <v>0.40870323087186561</v>
      </c>
      <c r="G27" s="96">
        <f>getXYZ(H$25,E27,F27,0)</f>
        <v>44.174558660631327</v>
      </c>
      <c r="H27" s="96">
        <f>getXYZ(H$25,E27,F27,1)</f>
        <v>40</v>
      </c>
      <c r="I27" s="96">
        <f>getXYZ(H$25,E27,F27,2)</f>
        <v>13.695966890806217</v>
      </c>
      <c r="J27" s="95">
        <f>255*(G27*$S$12+H27*$T$12+I27*$U$12+$V$12)^0.5</f>
        <v>204.93323211260142</v>
      </c>
      <c r="K27" s="95">
        <f>255*(G27*$S$13+H27*$T$13+I27*$U$13+$V$13)^0.5</f>
        <v>148.5030627204938</v>
      </c>
      <c r="L27" s="95">
        <f>255*(G27*$S$14+H27*$T$14+I27*$U$14+$V$14)^0.5</f>
        <v>74.463734436944421</v>
      </c>
      <c r="M27" s="98">
        <v>2840</v>
      </c>
      <c r="N27" s="96">
        <v>44.8</v>
      </c>
      <c r="O27" s="99">
        <f>M27/C27-1</f>
        <v>1.4285714285714235E-2</v>
      </c>
      <c r="P27" s="100">
        <f>N27/H27-1</f>
        <v>0.11999999999999988</v>
      </c>
      <c r="Q27" s="85"/>
      <c r="R27" s="85"/>
      <c r="S27" s="85"/>
      <c r="T27" s="85"/>
      <c r="U27" s="85"/>
      <c r="V27" s="85"/>
      <c r="W27" s="85"/>
      <c r="X27" s="86"/>
    </row>
    <row r="28" spans="2:24" ht="17.25" customHeight="1">
      <c r="B28" s="101"/>
      <c r="C28" s="102">
        <f ca="1">10^6/D28</f>
        <v>3264.5739910313901</v>
      </c>
      <c r="D28" s="103">
        <f ca="1">D27+B$26</f>
        <v>306.31868131868134</v>
      </c>
      <c r="E28" s="104">
        <f t="shared" ref="E28:E31" ca="1" si="11">getPlanckianLocusX(C28)</f>
        <v>0.41909913983916475</v>
      </c>
      <c r="F28" s="104">
        <f t="shared" ref="F28:F31" ca="1" si="12">getPlanckianLocusY(C28)</f>
        <v>0.39733924869800669</v>
      </c>
      <c r="G28" s="103">
        <f ca="1">getXYZ(H$25,E28,F28,0)</f>
        <v>42.190560455576481</v>
      </c>
      <c r="H28" s="103">
        <f ca="1">getXYZ(H$25,E28,F28,1)</f>
        <v>40</v>
      </c>
      <c r="I28" s="103">
        <f ca="1">getXYZ(H$25,E28,F28,2)</f>
        <v>18.479081748336675</v>
      </c>
      <c r="J28" s="102">
        <f ca="1">255*(G28*$S$12+H28*$T$12+I28*$U$12+$V$12)^0.5</f>
        <v>196.1805140908597</v>
      </c>
      <c r="K28" s="102">
        <f ca="1">255*(G28*$S$13+H28*$T$13+I28*$U$13+$V$13)^0.5</f>
        <v>151.41907899182041</v>
      </c>
      <c r="L28" s="102">
        <f ca="1">255*(G28*$S$14+H28*$T$14+I28*$U$14+$V$14)^0.5</f>
        <v>88.018391151227732</v>
      </c>
      <c r="M28" s="105">
        <v>3346</v>
      </c>
      <c r="N28" s="103">
        <v>44.5</v>
      </c>
      <c r="O28" s="106">
        <f t="shared" ref="O28:O31" ca="1" si="13">M28/C28-1</f>
        <v>2.4942307692307653E-2</v>
      </c>
      <c r="P28" s="107">
        <f t="shared" ref="P28:P31" ca="1" si="14">N28/H28-1</f>
        <v>0.11250000000000004</v>
      </c>
      <c r="Q28" s="85"/>
      <c r="R28" s="85"/>
      <c r="S28" s="85"/>
      <c r="T28" s="85"/>
      <c r="U28" s="85"/>
      <c r="V28" s="85"/>
      <c r="W28" s="85"/>
      <c r="X28" s="86"/>
    </row>
    <row r="29" spans="2:24" ht="17.25" customHeight="1">
      <c r="B29" s="101" t="s">
        <v>17</v>
      </c>
      <c r="C29" s="102">
        <f t="shared" ref="C29:C30" ca="1" si="15">10^6/D29</f>
        <v>3913.9784946236555</v>
      </c>
      <c r="D29" s="103">
        <f ca="1">D28+B$26</f>
        <v>255.49450549450552</v>
      </c>
      <c r="E29" s="104">
        <f t="shared" ca="1" si="11"/>
        <v>0.38441869980488508</v>
      </c>
      <c r="F29" s="104">
        <f t="shared" ca="1" si="12"/>
        <v>0.37914987223695873</v>
      </c>
      <c r="G29" s="103">
        <f ca="1">getXYZ(H$25,E29,F29,0)</f>
        <v>40.555856979388189</v>
      </c>
      <c r="H29" s="103">
        <f ca="1">getXYZ(H$25,E29,F29,1)</f>
        <v>40</v>
      </c>
      <c r="I29" s="103">
        <f ca="1">getXYZ(H$25,E29,F29,2)</f>
        <v>24.943321390375441</v>
      </c>
      <c r="J29" s="102">
        <f ca="1">255*(G29*$S$12+H29*$T$12+I29*$U$12+$V$12)^0.5</f>
        <v>187.33448625436208</v>
      </c>
      <c r="K29" s="102">
        <f ca="1">255*(G29*$S$13+H29*$T$13+I29*$U$13+$V$13)^0.5</f>
        <v>153.86908879282478</v>
      </c>
      <c r="L29" s="102">
        <f ca="1">255*(G29*$S$14+H29*$T$14+I29*$U$14+$V$14)^0.5</f>
        <v>103.69813567287322</v>
      </c>
      <c r="M29" s="105">
        <v>3948</v>
      </c>
      <c r="N29" s="103">
        <v>44.6</v>
      </c>
      <c r="O29" s="106">
        <f t="shared" ca="1" si="13"/>
        <v>8.6923076923077769E-3</v>
      </c>
      <c r="P29" s="107">
        <f t="shared" ca="1" si="14"/>
        <v>0.11499999999999999</v>
      </c>
      <c r="Q29" s="85"/>
      <c r="R29" s="85"/>
      <c r="S29" s="85"/>
      <c r="T29" s="85"/>
      <c r="U29" s="85"/>
      <c r="V29" s="85"/>
      <c r="W29" s="85"/>
      <c r="X29" s="86"/>
    </row>
    <row r="30" spans="2:24" ht="17.25" customHeight="1">
      <c r="B30" s="101"/>
      <c r="C30" s="102">
        <f t="shared" ca="1" si="15"/>
        <v>4885.9060402684554</v>
      </c>
      <c r="D30" s="103">
        <f ca="1">D29+B$26</f>
        <v>204.67032967032969</v>
      </c>
      <c r="E30" s="104">
        <f t="shared" ca="1" si="11"/>
        <v>0.34827515488597371</v>
      </c>
      <c r="F30" s="104">
        <f t="shared" ca="1" si="12"/>
        <v>0.35418119316186264</v>
      </c>
      <c r="G30" s="103">
        <f ca="1">getXYZ(H$25,E30,F30,0)</f>
        <v>39.332992446813535</v>
      </c>
      <c r="H30" s="103">
        <f ca="1">getXYZ(H$25,E30,F30,1)</f>
        <v>40</v>
      </c>
      <c r="I30" s="103">
        <f ca="1">getXYZ(H$25,E30,F30,2)</f>
        <v>33.603551820006963</v>
      </c>
      <c r="J30" s="102">
        <f ca="1">255*(G30*$S$12+H30*$T$12+I30*$U$12+$V$12)^0.5</f>
        <v>178.32186423499419</v>
      </c>
      <c r="K30" s="102">
        <f ca="1">255*(G30*$S$13+H30*$T$13+I30*$U$13+$V$13)^0.5</f>
        <v>155.80976509238982</v>
      </c>
      <c r="L30" s="102">
        <f ca="1">255*(G30*$S$14+H30*$T$14+I30*$U$14+$V$14)^0.5</f>
        <v>121.68782132658482</v>
      </c>
      <c r="M30" s="105">
        <v>4945</v>
      </c>
      <c r="N30" s="103">
        <v>45</v>
      </c>
      <c r="O30" s="106">
        <f t="shared" ca="1" si="13"/>
        <v>1.2094780219780388E-2</v>
      </c>
      <c r="P30" s="107">
        <f t="shared" ca="1" si="14"/>
        <v>0.125</v>
      </c>
      <c r="Q30" s="85"/>
      <c r="R30" s="85"/>
      <c r="S30" s="85"/>
      <c r="T30" s="85"/>
      <c r="U30" s="85"/>
      <c r="V30" s="85"/>
      <c r="W30" s="85"/>
      <c r="X30" s="86"/>
    </row>
    <row r="31" spans="2:24" ht="17.25" customHeight="1" thickBot="1">
      <c r="B31" s="108" t="s">
        <v>38</v>
      </c>
      <c r="C31" s="109">
        <v>6500</v>
      </c>
      <c r="D31" s="110">
        <f t="shared" ref="D31" si="16">10^6/C31</f>
        <v>153.84615384615384</v>
      </c>
      <c r="E31" s="111">
        <f t="shared" si="11"/>
        <v>0.31349410751024126</v>
      </c>
      <c r="F31" s="111">
        <f t="shared" si="12"/>
        <v>0.32366253911989207</v>
      </c>
      <c r="G31" s="110">
        <f>getXYZ(H$25,E31,F31,0)</f>
        <v>38.743329192522438</v>
      </c>
      <c r="H31" s="110">
        <f>getXYZ(H$25,E31,F31,1)</f>
        <v>40</v>
      </c>
      <c r="I31" s="110">
        <f>getXYZ(H$25,E31,F31,2)</f>
        <v>44.84218091553204</v>
      </c>
      <c r="J31" s="112">
        <f>255*(G31*$S$12+H31*$T$12+I31*$U$12+$V$12)^0.5</f>
        <v>169.73646672911173</v>
      </c>
      <c r="K31" s="112">
        <f>255*(G31*$S$13+H31*$T$13+I31*$U$13+$V$13)^0.5</f>
        <v>156.98104494640376</v>
      </c>
      <c r="L31" s="112">
        <f>255*(G31*$S$14+H31*$T$14+I31*$U$14+$V$14)^0.5</f>
        <v>141.7671746754931</v>
      </c>
      <c r="M31" s="109">
        <v>6567</v>
      </c>
      <c r="N31" s="110">
        <v>45.4</v>
      </c>
      <c r="O31" s="113">
        <f t="shared" si="13"/>
        <v>1.0307692307692351E-2</v>
      </c>
      <c r="P31" s="114">
        <f t="shared" si="14"/>
        <v>0.13500000000000001</v>
      </c>
      <c r="Q31" s="85"/>
      <c r="R31" s="85"/>
      <c r="S31" s="85"/>
      <c r="T31" s="85"/>
      <c r="U31" s="85"/>
      <c r="V31" s="85"/>
      <c r="W31" s="85"/>
      <c r="X31" s="86"/>
    </row>
    <row r="32" spans="2:24" ht="17.25" customHeight="1">
      <c r="B32" s="83" t="s">
        <v>83</v>
      </c>
      <c r="C32" s="88">
        <f ca="1">MIN(C27:C31)</f>
        <v>2800</v>
      </c>
      <c r="D32" s="89">
        <f t="shared" ref="D32:L32" ca="1" si="17">MIN(D27:D31)</f>
        <v>153.84615384615384</v>
      </c>
      <c r="E32" s="90">
        <f t="shared" ca="1" si="17"/>
        <v>0.31349410751024126</v>
      </c>
      <c r="F32" s="90">
        <f t="shared" ca="1" si="17"/>
        <v>0.32366253911989207</v>
      </c>
      <c r="G32" s="89">
        <f t="shared" ca="1" si="17"/>
        <v>38.743329192522438</v>
      </c>
      <c r="H32" s="89">
        <f t="shared" ca="1" si="17"/>
        <v>40</v>
      </c>
      <c r="I32" s="89">
        <f t="shared" ca="1" si="17"/>
        <v>13.695966890806217</v>
      </c>
      <c r="J32" s="88">
        <f t="shared" ca="1" si="17"/>
        <v>169.73646672911173</v>
      </c>
      <c r="K32" s="88">
        <f t="shared" ca="1" si="17"/>
        <v>148.5030627204938</v>
      </c>
      <c r="L32" s="88">
        <f t="shared" ca="1" si="17"/>
        <v>74.463734436944421</v>
      </c>
      <c r="M32" s="76">
        <f ca="1">MIN(J32:L32)</f>
        <v>74.463734436944421</v>
      </c>
      <c r="N32" s="89"/>
      <c r="O32" s="117"/>
      <c r="P32" s="117"/>
      <c r="Q32" s="85"/>
      <c r="R32" s="85"/>
      <c r="S32" s="85"/>
      <c r="T32" s="85"/>
      <c r="U32" s="85"/>
      <c r="V32" s="85"/>
      <c r="W32" s="85"/>
      <c r="X32" s="86"/>
    </row>
    <row r="33" spans="2:26" ht="17.25" customHeight="1">
      <c r="B33" s="83" t="s">
        <v>84</v>
      </c>
      <c r="C33" s="88">
        <f ca="1">MAX(C27:C31)</f>
        <v>6500</v>
      </c>
      <c r="D33" s="89">
        <f t="shared" ref="D33:L33" ca="1" si="18">MAX(D27:D31)</f>
        <v>357.14285714285717</v>
      </c>
      <c r="E33" s="90">
        <f t="shared" ca="1" si="18"/>
        <v>0.45135712117346938</v>
      </c>
      <c r="F33" s="90">
        <f t="shared" ca="1" si="18"/>
        <v>0.40870323087186561</v>
      </c>
      <c r="G33" s="89">
        <f t="shared" ca="1" si="18"/>
        <v>44.174558660631327</v>
      </c>
      <c r="H33" s="89">
        <f t="shared" ca="1" si="18"/>
        <v>40</v>
      </c>
      <c r="I33" s="89">
        <f t="shared" ca="1" si="18"/>
        <v>44.84218091553204</v>
      </c>
      <c r="J33" s="88">
        <f t="shared" ca="1" si="18"/>
        <v>204.93323211260142</v>
      </c>
      <c r="K33" s="88">
        <f t="shared" ca="1" si="18"/>
        <v>156.98104494640376</v>
      </c>
      <c r="L33" s="88">
        <f t="shared" ca="1" si="18"/>
        <v>141.7671746754931</v>
      </c>
      <c r="M33" s="76">
        <f ca="1">MAX(J33:L33)</f>
        <v>204.93323211260142</v>
      </c>
      <c r="N33" s="85" t="s">
        <v>1</v>
      </c>
      <c r="O33" s="89" t="s">
        <v>2</v>
      </c>
      <c r="P33" s="120" t="s">
        <v>49</v>
      </c>
      <c r="Q33" s="85"/>
      <c r="R33" s="85"/>
      <c r="S33" s="85"/>
      <c r="T33" s="85"/>
      <c r="U33" s="85"/>
      <c r="V33" s="85"/>
      <c r="W33" s="85"/>
      <c r="X33" s="86"/>
    </row>
    <row r="34" spans="2:26" ht="17.25" customHeight="1">
      <c r="B34" s="83" t="s">
        <v>87</v>
      </c>
      <c r="C34" s="85"/>
      <c r="D34" s="85"/>
      <c r="E34" s="90">
        <f>1/3</f>
        <v>0.33333333333333331</v>
      </c>
      <c r="F34" s="90">
        <f>E34</f>
        <v>0.33333333333333331</v>
      </c>
      <c r="G34" s="89">
        <f>getXYZ(H$25,E34,F34,0)</f>
        <v>40</v>
      </c>
      <c r="H34" s="89">
        <f>getXYZ(H$25,E34,F34,1)</f>
        <v>40</v>
      </c>
      <c r="I34" s="89">
        <f>getXYZ(H$25,E34,F34,2)</f>
        <v>40.000000000000007</v>
      </c>
      <c r="J34" s="88">
        <f>255*(G34*$S$12+H34*$T$12+I34*$U$12+$V$12)^0.5</f>
        <v>177.18156957956805</v>
      </c>
      <c r="K34" s="88">
        <f>255*(G34*$S$13+H34*$T$13+I34*$U$13+$V$13)^0.5</f>
        <v>155.1432795354448</v>
      </c>
      <c r="L34" s="88">
        <f>255*(G34*$S$14+H34*$T$14+I34*$U$14+$V$14)^0.5</f>
        <v>133.5929691726007</v>
      </c>
      <c r="N34" s="85">
        <v>0.33279999999999998</v>
      </c>
      <c r="O34" s="90">
        <v>0.33550000000000002</v>
      </c>
      <c r="P34" s="121">
        <f>((E34-N34)^2+(F34-O34)^2)^0.5</f>
        <v>2.2313423961573117E-3</v>
      </c>
      <c r="Q34" s="85"/>
      <c r="R34" s="85"/>
      <c r="S34" s="85"/>
      <c r="T34" s="85"/>
      <c r="U34" s="85"/>
      <c r="V34" s="85"/>
      <c r="W34" s="85"/>
      <c r="X34" s="86"/>
    </row>
    <row r="35" spans="2:26" ht="17.25" customHeight="1">
      <c r="B35" s="83"/>
      <c r="C35" s="85"/>
      <c r="D35" s="85"/>
      <c r="E35" s="85"/>
      <c r="F35" s="85"/>
      <c r="G35" s="85"/>
      <c r="H35" s="85"/>
      <c r="I35" s="85"/>
      <c r="J35" s="85"/>
      <c r="K35" s="85"/>
      <c r="L35" s="85"/>
      <c r="M35" s="85"/>
      <c r="N35" s="85"/>
      <c r="O35" s="85"/>
      <c r="P35" s="85"/>
      <c r="Q35" s="85"/>
      <c r="R35" s="85"/>
      <c r="S35" s="85"/>
      <c r="T35" s="85"/>
      <c r="U35" s="85"/>
      <c r="V35" s="85"/>
      <c r="W35" s="85"/>
      <c r="X35" s="86"/>
    </row>
    <row r="36" spans="2:26" ht="17.25" customHeight="1">
      <c r="B36" s="83"/>
      <c r="C36" s="85"/>
      <c r="D36" s="85"/>
      <c r="E36" s="85"/>
      <c r="F36" s="85"/>
      <c r="G36" s="85"/>
      <c r="H36" s="85"/>
      <c r="I36" s="85"/>
      <c r="J36" s="85"/>
      <c r="K36" s="85"/>
      <c r="L36" s="85"/>
      <c r="M36" s="85"/>
      <c r="N36" s="85"/>
      <c r="O36" s="85"/>
      <c r="P36" s="85"/>
      <c r="Q36" s="85"/>
      <c r="R36" s="85"/>
      <c r="S36" s="85"/>
      <c r="T36" s="85"/>
      <c r="U36" s="85"/>
      <c r="V36" s="85"/>
      <c r="W36" s="85"/>
      <c r="X36" s="86"/>
    </row>
    <row r="37" spans="2:26" ht="17.25" customHeight="1" thickBot="1">
      <c r="B37" s="84"/>
      <c r="C37" s="92"/>
      <c r="D37" s="92"/>
      <c r="E37" s="92"/>
      <c r="F37" s="92"/>
      <c r="G37" s="92"/>
      <c r="H37" s="92"/>
      <c r="I37" s="92"/>
      <c r="J37" s="92"/>
      <c r="K37" s="92"/>
      <c r="L37" s="92"/>
      <c r="M37" s="92"/>
      <c r="N37" s="92"/>
      <c r="O37" s="92"/>
      <c r="P37" s="92"/>
      <c r="Q37" s="92"/>
      <c r="R37" s="92"/>
      <c r="S37" s="92"/>
      <c r="T37" s="92"/>
      <c r="U37" s="92"/>
      <c r="V37" s="92"/>
      <c r="W37" s="92"/>
      <c r="X37" s="9"/>
    </row>
    <row r="39" spans="2:26" ht="17.25" customHeight="1" thickBot="1"/>
    <row r="40" spans="2:26" ht="17.25" customHeight="1">
      <c r="B40" s="257" t="s">
        <v>101</v>
      </c>
      <c r="C40" s="258"/>
      <c r="D40" s="258"/>
      <c r="E40" s="258"/>
      <c r="F40" s="258"/>
      <c r="G40" s="258"/>
      <c r="H40" s="258"/>
      <c r="I40" s="258"/>
      <c r="J40" s="258"/>
      <c r="K40" s="258"/>
      <c r="L40" s="258"/>
      <c r="M40" s="258"/>
      <c r="N40" s="258"/>
      <c r="O40" s="258"/>
      <c r="P40" s="258"/>
      <c r="Q40" s="258"/>
      <c r="R40" s="258"/>
      <c r="S40" s="258"/>
      <c r="T40" s="258"/>
      <c r="U40" s="258"/>
      <c r="V40" s="258"/>
      <c r="W40" s="258"/>
      <c r="X40" s="258"/>
      <c r="Y40" s="258"/>
      <c r="Z40" s="259"/>
    </row>
    <row r="41" spans="2:26" ht="17.25" customHeight="1" thickBot="1">
      <c r="B41" s="260"/>
      <c r="C41" s="261"/>
      <c r="D41" s="261"/>
      <c r="E41" s="261"/>
      <c r="F41" s="261"/>
      <c r="G41" s="261"/>
      <c r="H41" s="261"/>
      <c r="I41" s="261"/>
      <c r="J41" s="261"/>
      <c r="K41" s="261"/>
      <c r="L41" s="261"/>
      <c r="M41" s="261"/>
      <c r="N41" s="261"/>
      <c r="O41" s="261"/>
      <c r="P41" s="261"/>
      <c r="Q41" s="261"/>
      <c r="R41" s="261"/>
      <c r="S41" s="261"/>
      <c r="T41" s="261"/>
      <c r="U41" s="261"/>
      <c r="V41" s="261"/>
      <c r="W41" s="261"/>
      <c r="X41" s="261"/>
      <c r="Y41" s="261"/>
      <c r="Z41" s="262"/>
    </row>
    <row r="42" spans="2:26" ht="17.25" customHeight="1">
      <c r="D42" s="229" t="s">
        <v>28</v>
      </c>
      <c r="E42" s="229"/>
      <c r="F42" s="229"/>
      <c r="G42" s="229"/>
      <c r="H42" s="229"/>
      <c r="I42" s="229"/>
      <c r="J42" s="229" t="s">
        <v>88</v>
      </c>
      <c r="K42" s="229"/>
      <c r="L42" s="229"/>
      <c r="M42" s="229"/>
    </row>
    <row r="43" spans="2:26" ht="17.25" customHeight="1">
      <c r="D43" s="82" t="str">
        <f t="shared" ref="D43:F44" si="19">G26</f>
        <v>X</v>
      </c>
      <c r="E43" s="82" t="str">
        <f t="shared" si="19"/>
        <v>Y</v>
      </c>
      <c r="F43" s="82" t="str">
        <f t="shared" si="19"/>
        <v>Z</v>
      </c>
      <c r="G43" s="87" t="s">
        <v>32</v>
      </c>
      <c r="H43" s="87" t="s">
        <v>33</v>
      </c>
      <c r="I43" s="87" t="s">
        <v>34</v>
      </c>
      <c r="J43" s="82" t="s">
        <v>0</v>
      </c>
      <c r="K43" s="82" t="str">
        <f>J26</f>
        <v>R</v>
      </c>
      <c r="L43" s="82" t="str">
        <f>K26</f>
        <v>G</v>
      </c>
      <c r="M43" s="82" t="str">
        <f>L26</f>
        <v>B</v>
      </c>
      <c r="Y43" s="76"/>
    </row>
    <row r="44" spans="2:26" ht="17.25" customHeight="1">
      <c r="D44" s="75">
        <f t="shared" si="19"/>
        <v>44.174558660631327</v>
      </c>
      <c r="E44" s="75">
        <f t="shared" si="19"/>
        <v>40</v>
      </c>
      <c r="F44" s="75">
        <f t="shared" si="19"/>
        <v>13.695966890806217</v>
      </c>
      <c r="G44" s="76">
        <f>J27</f>
        <v>204.93323211260142</v>
      </c>
      <c r="H44" s="76">
        <f>K27</f>
        <v>148.5030627204938</v>
      </c>
      <c r="I44" s="76">
        <f>L27</f>
        <v>74.463734436944421</v>
      </c>
      <c r="J44" s="82">
        <v>0</v>
      </c>
      <c r="K44" s="82">
        <v>2065</v>
      </c>
      <c r="L44" s="82">
        <v>1385</v>
      </c>
      <c r="M44" s="82">
        <v>735</v>
      </c>
      <c r="P44" s="133">
        <v>2067</v>
      </c>
      <c r="Q44" s="133">
        <v>1399</v>
      </c>
      <c r="R44" s="133">
        <v>741</v>
      </c>
      <c r="S44" s="74">
        <f>K44/P44-1</f>
        <v>-9.6758587324630163E-4</v>
      </c>
      <c r="T44" s="74">
        <f t="shared" ref="T44:T58" si="20">L44/Q44-1</f>
        <v>-1.0007147962830643E-2</v>
      </c>
      <c r="U44" s="74">
        <f t="shared" ref="U44:U58" si="21">M44/R44-1</f>
        <v>-8.0971659919027994E-3</v>
      </c>
    </row>
    <row r="45" spans="2:26" ht="17.25" customHeight="1">
      <c r="D45" s="75">
        <f>D44</f>
        <v>44.174558660631327</v>
      </c>
      <c r="E45" s="75">
        <f t="shared" ref="E45:E46" si="22">E44</f>
        <v>40</v>
      </c>
      <c r="F45" s="75">
        <f t="shared" ref="F45:G46" si="23">F44</f>
        <v>13.695966890806217</v>
      </c>
      <c r="G45" s="76">
        <f>G44</f>
        <v>204.93323211260142</v>
      </c>
      <c r="H45" s="76">
        <f t="shared" ref="H45:I46" si="24">H44</f>
        <v>148.5030627204938</v>
      </c>
      <c r="I45" s="76">
        <f t="shared" si="24"/>
        <v>74.463734436944421</v>
      </c>
      <c r="J45" s="82">
        <v>1</v>
      </c>
      <c r="K45" s="82">
        <v>77</v>
      </c>
      <c r="L45" s="82">
        <v>52</v>
      </c>
      <c r="M45" s="82">
        <v>28</v>
      </c>
      <c r="P45" s="133">
        <v>78</v>
      </c>
      <c r="Q45" s="133">
        <v>52</v>
      </c>
      <c r="R45" s="133">
        <v>28</v>
      </c>
      <c r="S45" s="74">
        <f t="shared" ref="S45:S58" si="25">K45/P45-1</f>
        <v>-1.2820512820512775E-2</v>
      </c>
      <c r="T45" s="74">
        <f t="shared" si="20"/>
        <v>0</v>
      </c>
      <c r="U45" s="74">
        <f t="shared" si="21"/>
        <v>0</v>
      </c>
    </row>
    <row r="46" spans="2:26" ht="17.25" customHeight="1">
      <c r="D46" s="75">
        <f t="shared" ref="D46" si="26">D45</f>
        <v>44.174558660631327</v>
      </c>
      <c r="E46" s="75">
        <f t="shared" si="22"/>
        <v>40</v>
      </c>
      <c r="F46" s="75">
        <f t="shared" si="23"/>
        <v>13.695966890806217</v>
      </c>
      <c r="G46" s="76">
        <f t="shared" si="23"/>
        <v>204.93323211260142</v>
      </c>
      <c r="H46" s="76">
        <f t="shared" si="24"/>
        <v>148.5030627204938</v>
      </c>
      <c r="I46" s="76">
        <f t="shared" si="24"/>
        <v>74.463734436944421</v>
      </c>
      <c r="J46" s="82">
        <v>2</v>
      </c>
      <c r="K46" s="82">
        <v>4354</v>
      </c>
      <c r="L46" s="82">
        <v>2920</v>
      </c>
      <c r="M46" s="82">
        <v>1560</v>
      </c>
      <c r="P46" s="133">
        <v>4383</v>
      </c>
      <c r="Q46" s="133">
        <v>2960</v>
      </c>
      <c r="R46" s="133">
        <v>1575</v>
      </c>
      <c r="S46" s="74">
        <f t="shared" si="25"/>
        <v>-6.616472735569201E-3</v>
      </c>
      <c r="T46" s="74">
        <f t="shared" si="20"/>
        <v>-1.3513513513513487E-2</v>
      </c>
      <c r="U46" s="74">
        <f t="shared" si="21"/>
        <v>-9.52380952380949E-3</v>
      </c>
      <c r="X46" s="133"/>
      <c r="Z46" s="133"/>
    </row>
    <row r="47" spans="2:26" ht="17.25" customHeight="1">
      <c r="D47" s="75">
        <f t="shared" ref="D47:I47" ca="1" si="27">G28</f>
        <v>42.190560455576481</v>
      </c>
      <c r="E47" s="75">
        <f t="shared" ca="1" si="27"/>
        <v>40</v>
      </c>
      <c r="F47" s="75">
        <f t="shared" ca="1" si="27"/>
        <v>18.479081748336675</v>
      </c>
      <c r="G47" s="76">
        <f t="shared" ca="1" si="27"/>
        <v>196.1805140908597</v>
      </c>
      <c r="H47" s="76">
        <f t="shared" ca="1" si="27"/>
        <v>151.41907899182041</v>
      </c>
      <c r="I47" s="76">
        <f t="shared" ca="1" si="27"/>
        <v>88.018391151227732</v>
      </c>
      <c r="J47" s="82">
        <f>J44</f>
        <v>0</v>
      </c>
      <c r="K47" s="82">
        <v>1886</v>
      </c>
      <c r="L47" s="82">
        <v>1375</v>
      </c>
      <c r="M47" s="82">
        <v>790</v>
      </c>
      <c r="P47" s="133">
        <v>1897</v>
      </c>
      <c r="Q47" s="133">
        <v>1394</v>
      </c>
      <c r="R47" s="133">
        <v>797</v>
      </c>
      <c r="S47" s="74">
        <f t="shared" si="25"/>
        <v>-5.7986294148655304E-3</v>
      </c>
      <c r="T47" s="74">
        <f t="shared" si="20"/>
        <v>-1.3629842180774787E-2</v>
      </c>
      <c r="U47" s="74">
        <f t="shared" si="21"/>
        <v>-8.7829360100376563E-3</v>
      </c>
    </row>
    <row r="48" spans="2:26" ht="17.25" customHeight="1">
      <c r="D48" s="75">
        <f ca="1">D47</f>
        <v>42.190560455576481</v>
      </c>
      <c r="E48" s="75">
        <f t="shared" ref="E48:E49" ca="1" si="28">E47</f>
        <v>40</v>
      </c>
      <c r="F48" s="75">
        <f t="shared" ref="F48:G49" ca="1" si="29">F47</f>
        <v>18.479081748336675</v>
      </c>
      <c r="G48" s="76">
        <f ca="1">G47</f>
        <v>196.1805140908597</v>
      </c>
      <c r="H48" s="76">
        <f t="shared" ref="H48:I49" ca="1" si="30">H47</f>
        <v>151.41907899182041</v>
      </c>
      <c r="I48" s="76">
        <f t="shared" ca="1" si="30"/>
        <v>88.018391151227732</v>
      </c>
      <c r="J48" s="82">
        <f t="shared" ref="J48:J58" si="31">J45</f>
        <v>1</v>
      </c>
      <c r="K48" s="82">
        <v>71</v>
      </c>
      <c r="L48" s="82">
        <v>52</v>
      </c>
      <c r="M48" s="82">
        <v>30</v>
      </c>
      <c r="P48" s="133">
        <v>71</v>
      </c>
      <c r="Q48" s="133">
        <v>52</v>
      </c>
      <c r="R48" s="133">
        <v>30</v>
      </c>
      <c r="S48" s="74">
        <f t="shared" si="25"/>
        <v>0</v>
      </c>
      <c r="T48" s="74">
        <f t="shared" si="20"/>
        <v>0</v>
      </c>
      <c r="U48" s="74">
        <f t="shared" si="21"/>
        <v>0</v>
      </c>
    </row>
    <row r="49" spans="2:25" ht="17.25" customHeight="1">
      <c r="D49" s="75">
        <f t="shared" ref="D49" ca="1" si="32">D48</f>
        <v>42.190560455576481</v>
      </c>
      <c r="E49" s="75">
        <f t="shared" ca="1" si="28"/>
        <v>40</v>
      </c>
      <c r="F49" s="75">
        <f t="shared" ca="1" si="29"/>
        <v>18.479081748336675</v>
      </c>
      <c r="G49" s="76">
        <f t="shared" ca="1" si="29"/>
        <v>196.1805140908597</v>
      </c>
      <c r="H49" s="76">
        <f t="shared" ca="1" si="30"/>
        <v>151.41907899182041</v>
      </c>
      <c r="I49" s="76">
        <f t="shared" ca="1" si="30"/>
        <v>88.018391151227732</v>
      </c>
      <c r="J49" s="82">
        <f t="shared" si="31"/>
        <v>2</v>
      </c>
      <c r="K49" s="82">
        <v>3989</v>
      </c>
      <c r="L49" s="82">
        <v>2902</v>
      </c>
      <c r="M49" s="82">
        <v>1681</v>
      </c>
      <c r="P49" s="133">
        <v>4013</v>
      </c>
      <c r="Q49" s="133">
        <v>2924</v>
      </c>
      <c r="R49" s="133">
        <v>1697</v>
      </c>
      <c r="S49" s="74">
        <f t="shared" si="25"/>
        <v>-5.9805631696985273E-3</v>
      </c>
      <c r="T49" s="74">
        <f t="shared" si="20"/>
        <v>-7.523939808481539E-3</v>
      </c>
      <c r="U49" s="74">
        <f t="shared" si="21"/>
        <v>-9.4284030642309835E-3</v>
      </c>
    </row>
    <row r="50" spans="2:25" ht="17.25" customHeight="1">
      <c r="D50" s="75">
        <f t="shared" ref="D50:I50" ca="1" si="33">G29</f>
        <v>40.555856979388189</v>
      </c>
      <c r="E50" s="75">
        <f t="shared" ca="1" si="33"/>
        <v>40</v>
      </c>
      <c r="F50" s="75">
        <f t="shared" ca="1" si="33"/>
        <v>24.943321390375441</v>
      </c>
      <c r="G50" s="76">
        <f t="shared" ca="1" si="33"/>
        <v>187.33448625436208</v>
      </c>
      <c r="H50" s="76">
        <f t="shared" ca="1" si="33"/>
        <v>153.86908879282478</v>
      </c>
      <c r="I50" s="76">
        <f t="shared" ca="1" si="33"/>
        <v>103.69813567287322</v>
      </c>
      <c r="J50" s="82">
        <f t="shared" si="31"/>
        <v>0</v>
      </c>
      <c r="K50" s="82">
        <v>1719</v>
      </c>
      <c r="L50" s="82">
        <v>1391</v>
      </c>
      <c r="M50" s="82">
        <v>880</v>
      </c>
      <c r="P50" s="133">
        <v>1731</v>
      </c>
      <c r="Q50" s="133">
        <v>1409</v>
      </c>
      <c r="R50" s="133">
        <v>886</v>
      </c>
      <c r="S50" s="74">
        <f t="shared" si="25"/>
        <v>-6.9324090121317683E-3</v>
      </c>
      <c r="T50" s="74">
        <f t="shared" si="20"/>
        <v>-1.2775017743080208E-2</v>
      </c>
      <c r="U50" s="74">
        <f t="shared" si="21"/>
        <v>-6.7720090293453827E-3</v>
      </c>
    </row>
    <row r="51" spans="2:25" ht="17.25" customHeight="1">
      <c r="D51" s="75">
        <f ca="1">D50</f>
        <v>40.555856979388189</v>
      </c>
      <c r="E51" s="75">
        <f t="shared" ref="E51:E52" ca="1" si="34">E50</f>
        <v>40</v>
      </c>
      <c r="F51" s="75">
        <f t="shared" ref="F51:G52" ca="1" si="35">F50</f>
        <v>24.943321390375441</v>
      </c>
      <c r="G51" s="76">
        <f ca="1">G50</f>
        <v>187.33448625436208</v>
      </c>
      <c r="H51" s="76">
        <f t="shared" ref="H51:I52" ca="1" si="36">H50</f>
        <v>153.86908879282478</v>
      </c>
      <c r="I51" s="76">
        <f t="shared" ca="1" si="36"/>
        <v>103.69813567287322</v>
      </c>
      <c r="J51" s="82">
        <f t="shared" si="31"/>
        <v>1</v>
      </c>
      <c r="K51" s="82">
        <v>64</v>
      </c>
      <c r="L51" s="82">
        <v>52</v>
      </c>
      <c r="M51" s="82">
        <v>33</v>
      </c>
      <c r="P51" s="133">
        <v>65</v>
      </c>
      <c r="Q51" s="133">
        <v>53</v>
      </c>
      <c r="R51" s="133">
        <v>33</v>
      </c>
      <c r="S51" s="74">
        <f t="shared" si="25"/>
        <v>-1.538461538461533E-2</v>
      </c>
      <c r="T51" s="74">
        <f t="shared" si="20"/>
        <v>-1.8867924528301883E-2</v>
      </c>
      <c r="U51" s="74">
        <f t="shared" si="21"/>
        <v>0</v>
      </c>
    </row>
    <row r="52" spans="2:25" ht="17.25" customHeight="1">
      <c r="D52" s="75">
        <f t="shared" ref="D52" ca="1" si="37">D51</f>
        <v>40.555856979388189</v>
      </c>
      <c r="E52" s="75">
        <f t="shared" ca="1" si="34"/>
        <v>40</v>
      </c>
      <c r="F52" s="75">
        <f t="shared" ca="1" si="35"/>
        <v>24.943321390375441</v>
      </c>
      <c r="G52" s="76">
        <f t="shared" ca="1" si="35"/>
        <v>187.33448625436208</v>
      </c>
      <c r="H52" s="76">
        <f t="shared" ca="1" si="36"/>
        <v>153.86908879282478</v>
      </c>
      <c r="I52" s="76">
        <f t="shared" ca="1" si="36"/>
        <v>103.69813567287322</v>
      </c>
      <c r="J52" s="82">
        <f t="shared" si="31"/>
        <v>2</v>
      </c>
      <c r="K52" s="82">
        <v>3616</v>
      </c>
      <c r="L52" s="82">
        <v>2935</v>
      </c>
      <c r="M52" s="82">
        <v>1858</v>
      </c>
      <c r="P52" s="133">
        <v>3642</v>
      </c>
      <c r="Q52" s="133">
        <v>2960</v>
      </c>
      <c r="R52" s="133">
        <v>1872</v>
      </c>
      <c r="S52" s="74">
        <f t="shared" si="25"/>
        <v>-7.1389346512904517E-3</v>
      </c>
      <c r="T52" s="74">
        <f t="shared" si="20"/>
        <v>-8.4459459459459429E-3</v>
      </c>
      <c r="U52" s="74">
        <f t="shared" si="21"/>
        <v>-7.4786324786324521E-3</v>
      </c>
    </row>
    <row r="53" spans="2:25" ht="17.25" customHeight="1">
      <c r="D53" s="75">
        <f t="shared" ref="D53:I53" ca="1" si="38">G30</f>
        <v>39.332992446813535</v>
      </c>
      <c r="E53" s="75">
        <f t="shared" ca="1" si="38"/>
        <v>40</v>
      </c>
      <c r="F53" s="75">
        <f t="shared" ca="1" si="38"/>
        <v>33.603551820006963</v>
      </c>
      <c r="G53" s="76">
        <f t="shared" ca="1" si="38"/>
        <v>178.32186423499419</v>
      </c>
      <c r="H53" s="76">
        <f t="shared" ca="1" si="38"/>
        <v>155.80976509238982</v>
      </c>
      <c r="I53" s="76">
        <f t="shared" ca="1" si="38"/>
        <v>121.68782132658482</v>
      </c>
      <c r="J53" s="82">
        <f t="shared" si="31"/>
        <v>0</v>
      </c>
      <c r="K53" s="82">
        <v>1554</v>
      </c>
      <c r="L53" s="82">
        <v>1407</v>
      </c>
      <c r="M53" s="82">
        <v>1008</v>
      </c>
      <c r="P53" s="133">
        <v>1564</v>
      </c>
      <c r="Q53" s="133">
        <v>1421</v>
      </c>
      <c r="R53" s="133">
        <v>1012</v>
      </c>
      <c r="S53" s="74">
        <f t="shared" si="25"/>
        <v>-6.3938618925831747E-3</v>
      </c>
      <c r="T53" s="74">
        <f t="shared" si="20"/>
        <v>-9.8522167487684609E-3</v>
      </c>
      <c r="U53" s="74">
        <f t="shared" si="21"/>
        <v>-3.9525691699604515E-3</v>
      </c>
    </row>
    <row r="54" spans="2:25" ht="17.25" customHeight="1">
      <c r="D54" s="75">
        <f ca="1">D53</f>
        <v>39.332992446813535</v>
      </c>
      <c r="E54" s="75">
        <f t="shared" ref="E54:E55" ca="1" si="39">E53</f>
        <v>40</v>
      </c>
      <c r="F54" s="75">
        <f t="shared" ref="F54:G55" ca="1" si="40">F53</f>
        <v>33.603551820006963</v>
      </c>
      <c r="G54" s="76">
        <f ca="1">G53</f>
        <v>178.32186423499419</v>
      </c>
      <c r="H54" s="76">
        <f t="shared" ref="H54:I55" ca="1" si="41">H53</f>
        <v>155.80976509238982</v>
      </c>
      <c r="I54" s="76">
        <f t="shared" ca="1" si="41"/>
        <v>121.68782132658482</v>
      </c>
      <c r="J54" s="82">
        <f t="shared" si="31"/>
        <v>1</v>
      </c>
      <c r="K54" s="82">
        <v>58</v>
      </c>
      <c r="L54" s="82">
        <v>53</v>
      </c>
      <c r="M54" s="82">
        <v>38</v>
      </c>
      <c r="P54" s="133">
        <v>59</v>
      </c>
      <c r="Q54" s="133">
        <v>53</v>
      </c>
      <c r="R54" s="133">
        <v>38</v>
      </c>
      <c r="S54" s="74">
        <f t="shared" si="25"/>
        <v>-1.6949152542372836E-2</v>
      </c>
      <c r="T54" s="74">
        <f t="shared" si="20"/>
        <v>0</v>
      </c>
      <c r="U54" s="74">
        <f t="shared" si="21"/>
        <v>0</v>
      </c>
    </row>
    <row r="55" spans="2:25" ht="17.25" customHeight="1">
      <c r="D55" s="75">
        <f t="shared" ref="D55" ca="1" si="42">D54</f>
        <v>39.332992446813535</v>
      </c>
      <c r="E55" s="75">
        <f t="shared" ca="1" si="39"/>
        <v>40</v>
      </c>
      <c r="F55" s="75">
        <f t="shared" ca="1" si="40"/>
        <v>33.603551820006963</v>
      </c>
      <c r="G55" s="76">
        <f t="shared" ca="1" si="40"/>
        <v>178.32186423499419</v>
      </c>
      <c r="H55" s="76">
        <f t="shared" ca="1" si="41"/>
        <v>155.80976509238982</v>
      </c>
      <c r="I55" s="76">
        <f t="shared" ca="1" si="41"/>
        <v>121.68782132658482</v>
      </c>
      <c r="J55" s="82">
        <f t="shared" si="31"/>
        <v>2</v>
      </c>
      <c r="K55" s="82">
        <v>3290</v>
      </c>
      <c r="L55" s="82">
        <v>2965</v>
      </c>
      <c r="M55" s="82">
        <v>2125</v>
      </c>
      <c r="P55" s="133">
        <v>3296</v>
      </c>
      <c r="Q55" s="133">
        <v>2991</v>
      </c>
      <c r="R55" s="133">
        <v>2150</v>
      </c>
      <c r="S55" s="74">
        <f t="shared" si="25"/>
        <v>-1.8203883495145901E-3</v>
      </c>
      <c r="T55" s="74">
        <f t="shared" si="20"/>
        <v>-8.6927449013707303E-3</v>
      </c>
      <c r="U55" s="74">
        <f t="shared" si="21"/>
        <v>-1.1627906976744207E-2</v>
      </c>
    </row>
    <row r="56" spans="2:25" ht="17.25" customHeight="1">
      <c r="D56" s="75">
        <f t="shared" ref="D56:I56" si="43">G31</f>
        <v>38.743329192522438</v>
      </c>
      <c r="E56" s="75">
        <f t="shared" si="43"/>
        <v>40</v>
      </c>
      <c r="F56" s="75">
        <f t="shared" si="43"/>
        <v>44.84218091553204</v>
      </c>
      <c r="G56" s="76">
        <f t="shared" si="43"/>
        <v>169.73646672911173</v>
      </c>
      <c r="H56" s="76">
        <f t="shared" si="43"/>
        <v>156.98104494640376</v>
      </c>
      <c r="I56" s="76">
        <f t="shared" si="43"/>
        <v>141.7671746754931</v>
      </c>
      <c r="J56" s="82">
        <f t="shared" si="31"/>
        <v>0</v>
      </c>
      <c r="K56" s="82">
        <v>1440</v>
      </c>
      <c r="L56" s="82">
        <v>1429</v>
      </c>
      <c r="M56" s="82">
        <v>1182</v>
      </c>
      <c r="P56" s="133">
        <v>1444</v>
      </c>
      <c r="Q56" s="133">
        <v>1437</v>
      </c>
      <c r="R56" s="133">
        <v>1184</v>
      </c>
      <c r="S56" s="74">
        <f t="shared" si="25"/>
        <v>-2.7700831024930483E-3</v>
      </c>
      <c r="T56" s="74">
        <f t="shared" si="20"/>
        <v>-5.5671537926235137E-3</v>
      </c>
      <c r="U56" s="74">
        <f t="shared" si="21"/>
        <v>-1.6891891891891442E-3</v>
      </c>
    </row>
    <row r="57" spans="2:25" ht="17.25" customHeight="1">
      <c r="D57" s="75">
        <f>D56</f>
        <v>38.743329192522438</v>
      </c>
      <c r="E57" s="75">
        <f t="shared" ref="E57:E58" si="44">E56</f>
        <v>40</v>
      </c>
      <c r="F57" s="75">
        <f t="shared" ref="F57:G58" si="45">F56</f>
        <v>44.84218091553204</v>
      </c>
      <c r="G57" s="76">
        <f>G56</f>
        <v>169.73646672911173</v>
      </c>
      <c r="H57" s="76">
        <f t="shared" ref="H57:I58" si="46">H56</f>
        <v>156.98104494640376</v>
      </c>
      <c r="I57" s="76">
        <f t="shared" si="46"/>
        <v>141.7671746754931</v>
      </c>
      <c r="J57" s="82">
        <f t="shared" si="31"/>
        <v>1</v>
      </c>
      <c r="K57" s="82">
        <v>54</v>
      </c>
      <c r="L57" s="82">
        <v>53</v>
      </c>
      <c r="M57" s="82">
        <v>44</v>
      </c>
      <c r="P57" s="133">
        <v>54</v>
      </c>
      <c r="Q57" s="133">
        <v>54</v>
      </c>
      <c r="R57" s="133">
        <v>44</v>
      </c>
      <c r="S57" s="74">
        <f t="shared" si="25"/>
        <v>0</v>
      </c>
      <c r="T57" s="74">
        <f t="shared" si="20"/>
        <v>-1.851851851851849E-2</v>
      </c>
      <c r="U57" s="74">
        <f t="shared" si="21"/>
        <v>0</v>
      </c>
    </row>
    <row r="58" spans="2:25" ht="17.25" customHeight="1">
      <c r="D58" s="75">
        <f t="shared" ref="D58" si="47">D57</f>
        <v>38.743329192522438</v>
      </c>
      <c r="E58" s="75">
        <f t="shared" si="44"/>
        <v>40</v>
      </c>
      <c r="F58" s="75">
        <f t="shared" si="45"/>
        <v>44.84218091553204</v>
      </c>
      <c r="G58" s="76">
        <f t="shared" si="45"/>
        <v>169.73646672911173</v>
      </c>
      <c r="H58" s="76">
        <f t="shared" si="46"/>
        <v>156.98104494640376</v>
      </c>
      <c r="I58" s="76">
        <f t="shared" si="46"/>
        <v>141.7671746754931</v>
      </c>
      <c r="J58" s="82">
        <f t="shared" si="31"/>
        <v>2</v>
      </c>
      <c r="K58" s="82">
        <v>3016</v>
      </c>
      <c r="L58" s="82">
        <v>2994</v>
      </c>
      <c r="M58" s="82">
        <v>2477</v>
      </c>
      <c r="P58" s="133">
        <v>3040</v>
      </c>
      <c r="Q58" s="133">
        <v>3030</v>
      </c>
      <c r="R58" s="133">
        <v>2497</v>
      </c>
      <c r="S58" s="74">
        <f t="shared" si="25"/>
        <v>-7.8947368421052877E-3</v>
      </c>
      <c r="T58" s="74">
        <f t="shared" si="20"/>
        <v>-1.1881188118811892E-2</v>
      </c>
      <c r="U58" s="74">
        <f t="shared" si="21"/>
        <v>-8.0096115338406104E-3</v>
      </c>
    </row>
    <row r="60" spans="2:25" s="87" customFormat="1" ht="17.25" customHeight="1">
      <c r="K60" s="253" t="s">
        <v>90</v>
      </c>
      <c r="L60" s="253"/>
      <c r="M60" s="87">
        <f>J62</f>
        <v>1349.7333333333333</v>
      </c>
      <c r="N60" s="229" t="s">
        <v>99</v>
      </c>
      <c r="O60" s="229"/>
      <c r="P60" s="229"/>
      <c r="Q60" s="229"/>
      <c r="R60" s="229"/>
      <c r="S60" s="229"/>
      <c r="T60" s="229" t="s">
        <v>100</v>
      </c>
      <c r="U60" s="229"/>
      <c r="V60" s="229"/>
      <c r="W60" s="229"/>
      <c r="X60" s="229"/>
      <c r="Y60" s="229"/>
    </row>
    <row r="61" spans="2:25" ht="17.25" customHeight="1">
      <c r="C61" s="87" t="s">
        <v>0</v>
      </c>
      <c r="D61" s="87" t="s">
        <v>29</v>
      </c>
      <c r="E61" s="87" t="s">
        <v>30</v>
      </c>
      <c r="F61" s="87" t="s">
        <v>31</v>
      </c>
      <c r="G61" s="87" t="s">
        <v>32</v>
      </c>
      <c r="H61" s="87" t="s">
        <v>33</v>
      </c>
      <c r="I61" s="87" t="s">
        <v>34</v>
      </c>
      <c r="J61" s="87" t="s">
        <v>89</v>
      </c>
      <c r="K61" s="87" t="s">
        <v>32</v>
      </c>
      <c r="L61" s="87" t="s">
        <v>33</v>
      </c>
      <c r="M61" s="87" t="s">
        <v>34</v>
      </c>
      <c r="N61" s="87" t="s">
        <v>29</v>
      </c>
      <c r="O61" s="87" t="s">
        <v>30</v>
      </c>
      <c r="P61" s="87" t="s">
        <v>31</v>
      </c>
      <c r="T61" s="87" t="s">
        <v>29</v>
      </c>
      <c r="U61" s="87" t="s">
        <v>30</v>
      </c>
      <c r="V61" s="87" t="s">
        <v>31</v>
      </c>
    </row>
    <row r="62" spans="2:25" ht="17.25" customHeight="1">
      <c r="B62" s="76">
        <f>C27</f>
        <v>2800</v>
      </c>
      <c r="C62" s="82">
        <f>J44</f>
        <v>0</v>
      </c>
      <c r="D62" s="75">
        <f>D44</f>
        <v>44.174558660631327</v>
      </c>
      <c r="E62" s="75">
        <f t="shared" ref="E62:F62" si="48">E44</f>
        <v>40</v>
      </c>
      <c r="F62" s="75">
        <f t="shared" si="48"/>
        <v>13.695966890806217</v>
      </c>
      <c r="G62" s="82">
        <f>K44</f>
        <v>2065</v>
      </c>
      <c r="H62" s="87">
        <f t="shared" ref="H62:I62" si="49">L44</f>
        <v>1385</v>
      </c>
      <c r="I62" s="87">
        <f t="shared" si="49"/>
        <v>735</v>
      </c>
      <c r="J62" s="87">
        <f>AVERAGE(G62:I66)</f>
        <v>1349.7333333333333</v>
      </c>
      <c r="K62" s="76">
        <f>$M$60/$J62*G62</f>
        <v>2065</v>
      </c>
      <c r="L62" s="76">
        <f t="shared" ref="L62:L76" si="50">$M$60/$J62*H62</f>
        <v>1385</v>
      </c>
      <c r="M62" s="76">
        <f t="shared" ref="M62:M76" si="51">$M$60/$J62*I62</f>
        <v>735</v>
      </c>
      <c r="N62" s="75">
        <f ca="1">$M$79*($F$79*$G62+$G$79*$H62+$H$79*$I62)</f>
        <v>44.169846501944349</v>
      </c>
      <c r="O62" s="75">
        <f ca="1">$M$79*($F$80*$G62+$G$80*$H62+$H$80*$I62)</f>
        <v>40.136408818717534</v>
      </c>
      <c r="P62" s="75">
        <f ca="1">$M$79*($F$81*$G62+$G$81*$H62+$H$81*$I62)</f>
        <v>13.387244295274066</v>
      </c>
      <c r="Q62" s="74">
        <f ca="1">N62/D62-1</f>
        <v>-1.0667132462327533E-4</v>
      </c>
      <c r="R62" s="74">
        <f t="shared" ref="R62:R76" ca="1" si="52">O62/E62-1</f>
        <v>3.4102204679382631E-3</v>
      </c>
      <c r="S62" s="74">
        <f t="shared" ref="S62:S76" ca="1" si="53">P62/F62-1</f>
        <v>-2.2541131852428009E-2</v>
      </c>
      <c r="T62" s="75">
        <f ca="1">($F$82*$G62+$G$82*$H62+$H$82*$I62)</f>
        <v>44.195003221194966</v>
      </c>
      <c r="U62" s="75">
        <f ca="1">($F$83*$G62+$G$83*$H62+$H$83*$I62)</f>
        <v>40.141277743084807</v>
      </c>
      <c r="V62" s="75">
        <f ca="1">($F$84*$G62+$G$84*$H62+$H$84*$I62)</f>
        <v>13.728348312161913</v>
      </c>
      <c r="W62" s="74">
        <f ca="1">T62/D62-1</f>
        <v>4.6281301236539285E-4</v>
      </c>
      <c r="X62" s="74">
        <f t="shared" ref="X62:Y62" ca="1" si="54">U62/E62-1</f>
        <v>3.5319435771201668E-3</v>
      </c>
      <c r="Y62" s="74">
        <f t="shared" ca="1" si="54"/>
        <v>2.3643034196756396E-3</v>
      </c>
    </row>
    <row r="63" spans="2:25" s="87" customFormat="1" ht="17.25" customHeight="1">
      <c r="B63" s="76">
        <f ca="1">C28</f>
        <v>3264.5739910313901</v>
      </c>
      <c r="C63" s="87">
        <f>J47</f>
        <v>0</v>
      </c>
      <c r="D63" s="75">
        <f ca="1">D47</f>
        <v>42.190560455576481</v>
      </c>
      <c r="E63" s="75">
        <f ca="1">E47</f>
        <v>40</v>
      </c>
      <c r="F63" s="75">
        <f ca="1">F47</f>
        <v>18.479081748336675</v>
      </c>
      <c r="G63" s="87">
        <f>K47</f>
        <v>1886</v>
      </c>
      <c r="H63" s="87">
        <f>L47</f>
        <v>1375</v>
      </c>
      <c r="I63" s="87">
        <f>M47</f>
        <v>790</v>
      </c>
      <c r="J63" s="87">
        <f>J62</f>
        <v>1349.7333333333333</v>
      </c>
      <c r="K63" s="76">
        <f t="shared" ref="K63:K76" si="55">$M$60/$J63*G63</f>
        <v>1886</v>
      </c>
      <c r="L63" s="76">
        <f t="shared" si="50"/>
        <v>1375</v>
      </c>
      <c r="M63" s="76">
        <f t="shared" si="51"/>
        <v>790</v>
      </c>
      <c r="N63" s="75">
        <f ca="1">$M$79*($F$79*$G63+$G$79*$H63+$H$79*$I63)</f>
        <v>42.092138882630934</v>
      </c>
      <c r="O63" s="75">
        <f ca="1">$M$79*($F$80*$G63+$G$80*$H63+$H$80*$I63)</f>
        <v>39.704014079293259</v>
      </c>
      <c r="P63" s="75">
        <f ca="1">$M$79*($F$81*$G63+$G$81*$H63+$H$81*$I63)</f>
        <v>18.181999173647178</v>
      </c>
      <c r="Q63" s="74">
        <f t="shared" ref="Q63:Q76" ca="1" si="56">N63/D63-1</f>
        <v>-2.3327865731761488E-3</v>
      </c>
      <c r="R63" s="74">
        <f t="shared" ca="1" si="52"/>
        <v>-7.3996480176685697E-3</v>
      </c>
      <c r="S63" s="74">
        <f t="shared" ca="1" si="53"/>
        <v>-1.6076695732797353E-2</v>
      </c>
      <c r="T63" s="75">
        <f ca="1">($F$82*$G63+$G$82*$H63+$H$82*$I63)</f>
        <v>42.125650620107045</v>
      </c>
      <c r="U63" s="75">
        <f ca="1">($F$83*$G63+$G$83*$H63+$H$83*$I63)</f>
        <v>39.759036673537452</v>
      </c>
      <c r="V63" s="75">
        <f ca="1">($F$84*$G63+$G$84*$H63+$H$84*$I63)</f>
        <v>18.44541603768106</v>
      </c>
      <c r="W63" s="74">
        <f t="shared" ref="W63:W66" ca="1" si="57">T63/D63-1</f>
        <v>-1.5384918988640139E-3</v>
      </c>
      <c r="X63" s="74">
        <f t="shared" ref="X63:X66" ca="1" si="58">U63/E63-1</f>
        <v>-6.0240831615636647E-3</v>
      </c>
      <c r="Y63" s="74">
        <f t="shared" ref="Y63:Y66" ca="1" si="59">V63/F63-1</f>
        <v>-1.8218281143025372E-3</v>
      </c>
    </row>
    <row r="64" spans="2:25" s="87" customFormat="1" ht="17.25" customHeight="1">
      <c r="B64" s="76">
        <f ca="1">C29</f>
        <v>3913.9784946236555</v>
      </c>
      <c r="C64" s="87">
        <f>J50</f>
        <v>0</v>
      </c>
      <c r="D64" s="75">
        <f ca="1">D50</f>
        <v>40.555856979388189</v>
      </c>
      <c r="E64" s="75">
        <f ca="1">E50</f>
        <v>40</v>
      </c>
      <c r="F64" s="75">
        <f ca="1">F50</f>
        <v>24.943321390375441</v>
      </c>
      <c r="G64" s="87">
        <f>K50</f>
        <v>1719</v>
      </c>
      <c r="H64" s="87">
        <f>L50</f>
        <v>1391</v>
      </c>
      <c r="I64" s="87">
        <f>M50</f>
        <v>880</v>
      </c>
      <c r="J64" s="87">
        <f t="shared" ref="J64:J66" si="60">J63</f>
        <v>1349.7333333333333</v>
      </c>
      <c r="K64" s="76">
        <f t="shared" si="55"/>
        <v>1719</v>
      </c>
      <c r="L64" s="76">
        <f t="shared" si="50"/>
        <v>1391</v>
      </c>
      <c r="M64" s="76">
        <f t="shared" si="51"/>
        <v>880</v>
      </c>
      <c r="N64" s="75">
        <f ca="1">$M$79*($F$79*$G64+$G$79*$H64+$H$79*$I64)</f>
        <v>40.605114613582003</v>
      </c>
      <c r="O64" s="75">
        <f ca="1">$M$79*($F$80*$G64+$G$80*$H64+$H$80*$I64)</f>
        <v>39.960624919943392</v>
      </c>
      <c r="P64" s="75">
        <f ca="1">$M$79*($F$81*$G64+$G$81*$H64+$H$81*$I64)</f>
        <v>24.734972281449146</v>
      </c>
      <c r="Q64" s="74">
        <f t="shared" ca="1" si="56"/>
        <v>1.2145627749611254E-3</v>
      </c>
      <c r="R64" s="74">
        <f t="shared" ca="1" si="52"/>
        <v>-9.8437700141518203E-4</v>
      </c>
      <c r="S64" s="74">
        <f t="shared" ca="1" si="53"/>
        <v>-8.3529015909921123E-3</v>
      </c>
      <c r="T64" s="75">
        <f ca="1">($F$82*$G64+$G$82*$H64+$H$82*$I64)</f>
        <v>40.635417069623067</v>
      </c>
      <c r="U64" s="75">
        <f ca="1">($F$83*$G64+$G$83*$H64+$H$83*$I64)</f>
        <v>40.044179329036218</v>
      </c>
      <c r="V64" s="75">
        <f ca="1">($F$84*$G64+$G$84*$H64+$H$84*$I64)</f>
        <v>24.900924369551753</v>
      </c>
      <c r="W64" s="74">
        <f t="shared" ca="1" si="57"/>
        <v>1.9617410692447379E-3</v>
      </c>
      <c r="X64" s="74">
        <f t="shared" ca="1" si="58"/>
        <v>1.104483225905506E-3</v>
      </c>
      <c r="Y64" s="74">
        <f t="shared" ca="1" si="59"/>
        <v>-1.6997343761945283E-3</v>
      </c>
    </row>
    <row r="65" spans="2:25" s="87" customFormat="1" ht="17.25" customHeight="1">
      <c r="B65" s="76">
        <f ca="1">C30</f>
        <v>4885.9060402684554</v>
      </c>
      <c r="C65" s="87">
        <f>J53</f>
        <v>0</v>
      </c>
      <c r="D65" s="75">
        <f ca="1">D53</f>
        <v>39.332992446813535</v>
      </c>
      <c r="E65" s="75">
        <f ca="1">E53</f>
        <v>40</v>
      </c>
      <c r="F65" s="75">
        <f ca="1">F53</f>
        <v>33.603551820006963</v>
      </c>
      <c r="G65" s="87">
        <f>K53</f>
        <v>1554</v>
      </c>
      <c r="H65" s="87">
        <f>L53</f>
        <v>1407</v>
      </c>
      <c r="I65" s="87">
        <f>M53</f>
        <v>1008</v>
      </c>
      <c r="J65" s="87">
        <f t="shared" si="60"/>
        <v>1349.7333333333333</v>
      </c>
      <c r="K65" s="76">
        <f t="shared" si="55"/>
        <v>1554</v>
      </c>
      <c r="L65" s="76">
        <f t="shared" si="50"/>
        <v>1407</v>
      </c>
      <c r="M65" s="76">
        <f t="shared" si="51"/>
        <v>1008</v>
      </c>
      <c r="N65" s="75">
        <f ca="1">$M$79*($F$79*$G65+$G$79*$H65+$H$79*$I65)</f>
        <v>39.304431832346303</v>
      </c>
      <c r="O65" s="75">
        <f ca="1">$M$79*($F$80*$G65+$G$80*$H65+$H$80*$I65)</f>
        <v>40.078565122408428</v>
      </c>
      <c r="P65" s="75">
        <f ca="1">$M$79*($F$81*$G65+$G$81*$H65+$H$81*$I65)</f>
        <v>33.644898628516216</v>
      </c>
      <c r="Q65" s="74">
        <f t="shared" ca="1" si="56"/>
        <v>-7.261236099910251E-4</v>
      </c>
      <c r="R65" s="74">
        <f t="shared" ca="1" si="52"/>
        <v>1.9641280602107347E-3</v>
      </c>
      <c r="S65" s="74">
        <f t="shared" ca="1" si="53"/>
        <v>1.2304297096545902E-3</v>
      </c>
      <c r="T65" s="75">
        <f ca="1">($F$82*$G65+$G$82*$H65+$H$82*$I65)</f>
        <v>39.285652444454449</v>
      </c>
      <c r="U65" s="75">
        <f ca="1">($F$83*$G65+$G$83*$H65+$H$83*$I65)</f>
        <v>40.08813580176006</v>
      </c>
      <c r="V65" s="75">
        <f ca="1">($F$84*$G65+$G$84*$H65+$H$84*$I65)</f>
        <v>33.666891831615672</v>
      </c>
      <c r="W65" s="74">
        <f t="shared" ca="1" si="57"/>
        <v>-1.2035698128765038E-3</v>
      </c>
      <c r="X65" s="74">
        <f t="shared" ca="1" si="58"/>
        <v>2.203395044001466E-3</v>
      </c>
      <c r="Y65" s="74">
        <f t="shared" ca="1" si="59"/>
        <v>1.8849201402275639E-3</v>
      </c>
    </row>
    <row r="66" spans="2:25" s="87" customFormat="1" ht="17.25" customHeight="1">
      <c r="B66" s="76">
        <f>C31</f>
        <v>6500</v>
      </c>
      <c r="C66" s="87">
        <f>J56</f>
        <v>0</v>
      </c>
      <c r="D66" s="75">
        <f>D56</f>
        <v>38.743329192522438</v>
      </c>
      <c r="E66" s="75">
        <f>E56</f>
        <v>40</v>
      </c>
      <c r="F66" s="75">
        <f>F56</f>
        <v>44.84218091553204</v>
      </c>
      <c r="G66" s="87">
        <f>K56</f>
        <v>1440</v>
      </c>
      <c r="H66" s="87">
        <f>L56</f>
        <v>1429</v>
      </c>
      <c r="I66" s="87">
        <f>M56</f>
        <v>1182</v>
      </c>
      <c r="J66" s="87">
        <f t="shared" si="60"/>
        <v>1349.7333333333333</v>
      </c>
      <c r="K66" s="76">
        <f t="shared" si="55"/>
        <v>1440</v>
      </c>
      <c r="L66" s="76">
        <f t="shared" si="50"/>
        <v>1429</v>
      </c>
      <c r="M66" s="76">
        <f t="shared" si="51"/>
        <v>1182</v>
      </c>
      <c r="N66" s="75">
        <f ca="1">$M$79*($F$79*$G66+$G$79*$H66+$H$79*$I66)</f>
        <v>38.893930606144643</v>
      </c>
      <c r="O66" s="75">
        <f ca="1">$M$79*($F$80*$G66+$G$80*$H66+$H$80*$I66)</f>
        <v>40.195701976633387</v>
      </c>
      <c r="P66" s="75">
        <f ca="1">$M$79*($F$81*$G66+$G$81*$H66+$H$81*$I66)</f>
        <v>44.994627300348682</v>
      </c>
      <c r="Q66" s="74">
        <f t="shared" ca="1" si="56"/>
        <v>3.8871572670959864E-3</v>
      </c>
      <c r="R66" s="74">
        <f t="shared" ca="1" si="52"/>
        <v>4.8925494158347238E-3</v>
      </c>
      <c r="S66" s="74">
        <f t="shared" ca="1" si="53"/>
        <v>3.3996202170407663E-3</v>
      </c>
      <c r="T66" s="75">
        <f ca="1">($F$82*$G66+$G$82*$H66+$H$82*$I66)</f>
        <v>38.755137873552734</v>
      </c>
      <c r="U66" s="75">
        <f ca="1">($F$83*$G66+$G$83*$H66+$H$83*$I66)</f>
        <v>39.965146522006812</v>
      </c>
      <c r="V66" s="75">
        <f ca="1">($F$84*$G66+$G$84*$H66+$H$84*$I66)</f>
        <v>44.822094801610561</v>
      </c>
      <c r="W66" s="74">
        <f t="shared" ca="1" si="57"/>
        <v>3.0479262563143372E-4</v>
      </c>
      <c r="X66" s="74">
        <f t="shared" ca="1" si="58"/>
        <v>-8.713369498296597E-4</v>
      </c>
      <c r="Y66" s="74">
        <f t="shared" ca="1" si="59"/>
        <v>-4.4792901485579684E-4</v>
      </c>
    </row>
    <row r="67" spans="2:25" s="87" customFormat="1" ht="17.25" customHeight="1">
      <c r="B67" s="76">
        <f>B62</f>
        <v>2800</v>
      </c>
      <c r="C67" s="87">
        <f>J45</f>
        <v>1</v>
      </c>
      <c r="D67" s="75">
        <f>D45</f>
        <v>44.174558660631327</v>
      </c>
      <c r="E67" s="75">
        <f>E45</f>
        <v>40</v>
      </c>
      <c r="F67" s="75">
        <f>F45</f>
        <v>13.695966890806217</v>
      </c>
      <c r="G67" s="87">
        <f>K45</f>
        <v>77</v>
      </c>
      <c r="H67" s="87">
        <f>L45</f>
        <v>52</v>
      </c>
      <c r="I67" s="87">
        <f>M45</f>
        <v>28</v>
      </c>
      <c r="J67" s="87">
        <f>AVERAGE(G67:I71)</f>
        <v>50.6</v>
      </c>
      <c r="K67" s="76">
        <f t="shared" si="55"/>
        <v>2053.942028985507</v>
      </c>
      <c r="L67" s="76">
        <f t="shared" si="50"/>
        <v>1387.0777338603425</v>
      </c>
      <c r="M67" s="76">
        <f t="shared" si="51"/>
        <v>746.88801054018438</v>
      </c>
      <c r="N67" s="75">
        <f ca="1">$M$80*($F$79*$G67+$G$79*$H67+$H$79*$I67)</f>
        <v>44.108147775396354</v>
      </c>
      <c r="O67" s="75">
        <f ca="1">$M$80*($F$80*$G67+$G$80*$H67+$H$80*$I67)</f>
        <v>40.16408139301673</v>
      </c>
      <c r="P67" s="75">
        <f ca="1">$M$80*($F$81*$G67+$G$81*$H67+$H$81*$I67)</f>
        <v>14.177597978433049</v>
      </c>
      <c r="Q67" s="74">
        <f t="shared" ca="1" si="56"/>
        <v>-1.5033740516836591E-3</v>
      </c>
      <c r="R67" s="74">
        <f t="shared" ca="1" si="52"/>
        <v>4.1020348254181549E-3</v>
      </c>
      <c r="S67" s="74">
        <f t="shared" ca="1" si="53"/>
        <v>3.5165906245738565E-2</v>
      </c>
      <c r="T67" s="75">
        <f ca="1">($F$85*$G67+$G$85*$H67+$H$85*$I67)</f>
        <v>44.094275686143305</v>
      </c>
      <c r="U67" s="75">
        <f ca="1">($F$86*$G67+$G$86*$H67+$H$86*$I67)</f>
        <v>40.103701700116751</v>
      </c>
      <c r="V67" s="75">
        <f ca="1">($F$87*$G67+$G$87*$H67+$H$87*$I67)</f>
        <v>13.856956867286947</v>
      </c>
      <c r="W67" s="74">
        <f t="shared" ref="W67" ca="1" si="61">T67/D67-1</f>
        <v>-1.8174029785965606E-3</v>
      </c>
      <c r="X67" s="74">
        <f t="shared" ref="X67" ca="1" si="62">U67/E67-1</f>
        <v>2.5925425029187377E-3</v>
      </c>
      <c r="Y67" s="74">
        <f t="shared" ref="Y67" ca="1" si="63">V67/F67-1</f>
        <v>1.1754553567795201E-2</v>
      </c>
    </row>
    <row r="68" spans="2:25" ht="17.25" customHeight="1">
      <c r="B68" s="76">
        <f t="shared" ref="B68:B76" ca="1" si="64">B63</f>
        <v>3264.5739910313901</v>
      </c>
      <c r="C68" s="87">
        <f>J48</f>
        <v>1</v>
      </c>
      <c r="D68" s="75">
        <f ca="1">D48</f>
        <v>42.190560455576481</v>
      </c>
      <c r="E68" s="75">
        <f ca="1">E48</f>
        <v>40</v>
      </c>
      <c r="F68" s="75">
        <f ca="1">F48</f>
        <v>18.479081748336675</v>
      </c>
      <c r="G68" s="87">
        <f>K48</f>
        <v>71</v>
      </c>
      <c r="H68" s="87">
        <f>L48</f>
        <v>52</v>
      </c>
      <c r="I68" s="87">
        <f>M48</f>
        <v>30</v>
      </c>
      <c r="J68" s="87">
        <f t="shared" ref="J68:J71" si="65">J67</f>
        <v>50.6</v>
      </c>
      <c r="K68" s="76">
        <f t="shared" si="55"/>
        <v>1893.8945981554675</v>
      </c>
      <c r="L68" s="76">
        <f t="shared" si="50"/>
        <v>1387.0777338603425</v>
      </c>
      <c r="M68" s="76">
        <f t="shared" si="51"/>
        <v>800.23715415019763</v>
      </c>
      <c r="N68" s="75">
        <f ca="1">$M$80*($F$79*$G68+$G$79*$H68+$H$79*$I68)</f>
        <v>42.369393594566795</v>
      </c>
      <c r="O68" s="75">
        <f ca="1">$M$80*($F$80*$G68+$G$80*$H68+$H$80*$I68)</f>
        <v>40.044828368196427</v>
      </c>
      <c r="P68" s="75">
        <f ca="1">$M$80*($F$81*$G68+$G$81*$H68+$H$81*$I68)</f>
        <v>18.607122154577819</v>
      </c>
      <c r="Q68" s="74">
        <f t="shared" ca="1" si="56"/>
        <v>4.2387002461987677E-3</v>
      </c>
      <c r="R68" s="74">
        <f t="shared" ca="1" si="52"/>
        <v>1.120709204910586E-3</v>
      </c>
      <c r="S68" s="74">
        <f t="shared" ca="1" si="53"/>
        <v>6.9289377029067012E-3</v>
      </c>
      <c r="T68" s="75">
        <f ca="1">($F$85*$G68+$G$85*$H68+$H$85*$I68)</f>
        <v>42.368273574268869</v>
      </c>
      <c r="U68" s="75">
        <f ca="1">($F$86*$G68+$G$86*$H68+$H$86*$I68)</f>
        <v>39.956772126812872</v>
      </c>
      <c r="V68" s="75">
        <f ca="1">($F$87*$G68+$G$87*$H68+$H$87*$I68)</f>
        <v>18.345260681655866</v>
      </c>
      <c r="W68" s="74">
        <f t="shared" ref="W68:W72" ca="1" si="66">T68/D68-1</f>
        <v>4.2121535427221968E-3</v>
      </c>
      <c r="X68" s="74">
        <f t="shared" ref="X68:X72" ca="1" si="67">U68/E68-1</f>
        <v>-1.0806968296781516E-3</v>
      </c>
      <c r="Y68" s="74">
        <f t="shared" ref="Y68:Y72" ca="1" si="68">V68/F68-1</f>
        <v>-7.2417595475411378E-3</v>
      </c>
    </row>
    <row r="69" spans="2:25" s="87" customFormat="1" ht="17.25" customHeight="1">
      <c r="B69" s="76">
        <f t="shared" ca="1" si="64"/>
        <v>3913.9784946236555</v>
      </c>
      <c r="C69" s="87">
        <f>J51</f>
        <v>1</v>
      </c>
      <c r="D69" s="75">
        <f ca="1">D51</f>
        <v>40.555856979388189</v>
      </c>
      <c r="E69" s="75">
        <f ca="1">E51</f>
        <v>40</v>
      </c>
      <c r="F69" s="75">
        <f ca="1">F51</f>
        <v>24.943321390375441</v>
      </c>
      <c r="G69" s="87">
        <f>K51</f>
        <v>64</v>
      </c>
      <c r="H69" s="87">
        <f>L51</f>
        <v>52</v>
      </c>
      <c r="I69" s="87">
        <f>M51</f>
        <v>33</v>
      </c>
      <c r="J69" s="87">
        <f t="shared" si="65"/>
        <v>50.6</v>
      </c>
      <c r="K69" s="76">
        <f t="shared" si="55"/>
        <v>1707.1725955204215</v>
      </c>
      <c r="L69" s="76">
        <f t="shared" si="50"/>
        <v>1387.0777338603425</v>
      </c>
      <c r="M69" s="76">
        <f t="shared" si="51"/>
        <v>880.26086956521738</v>
      </c>
      <c r="N69" s="75">
        <f ca="1">$M$80*($F$79*$G69+$G$79*$H69+$H$79*$I69)</f>
        <v>40.416553854920508</v>
      </c>
      <c r="O69" s="75">
        <f ca="1">$M$80*($F$80*$G69+$G$80*$H69+$H$80*$I69)</f>
        <v>39.841238961587898</v>
      </c>
      <c r="P69" s="75">
        <f ca="1">$M$80*($F$81*$G69+$G$81*$H69+$H$81*$I69)</f>
        <v>24.88433529939962</v>
      </c>
      <c r="Q69" s="74">
        <f t="shared" ca="1" si="56"/>
        <v>-3.4348460331754538E-3</v>
      </c>
      <c r="R69" s="74">
        <f t="shared" ca="1" si="52"/>
        <v>-3.9690259603025746E-3</v>
      </c>
      <c r="S69" s="74">
        <f t="shared" ca="1" si="53"/>
        <v>-2.3648049933951976E-3</v>
      </c>
      <c r="T69" s="75">
        <f ca="1">($F$85*$G69+$G$85*$H69+$H$85*$I69)</f>
        <v>40.431888263117919</v>
      </c>
      <c r="U69" s="75">
        <f ca="1">($F$86*$G69+$G$86*$H69+$H$86*$I69)</f>
        <v>39.754031582720671</v>
      </c>
      <c r="V69" s="75">
        <f ca="1">($F$87*$G69+$G$87*$H69+$H$87*$I69)</f>
        <v>24.706873777549443</v>
      </c>
      <c r="W69" s="74">
        <f t="shared" ca="1" si="66"/>
        <v>-3.0567401481190748E-3</v>
      </c>
      <c r="X69" s="74">
        <f t="shared" ca="1" si="67"/>
        <v>-6.149210431983243E-3</v>
      </c>
      <c r="Y69" s="74">
        <f t="shared" ca="1" si="68"/>
        <v>-9.479395671710078E-3</v>
      </c>
    </row>
    <row r="70" spans="2:25" s="87" customFormat="1" ht="17.25" customHeight="1">
      <c r="B70" s="76">
        <f t="shared" ca="1" si="64"/>
        <v>4885.9060402684554</v>
      </c>
      <c r="C70" s="87">
        <f>J54</f>
        <v>1</v>
      </c>
      <c r="D70" s="75">
        <f ca="1">D54</f>
        <v>39.332992446813535</v>
      </c>
      <c r="E70" s="75">
        <f ca="1">E54</f>
        <v>40</v>
      </c>
      <c r="F70" s="75">
        <f ca="1">F54</f>
        <v>33.603551820006963</v>
      </c>
      <c r="G70" s="87">
        <f>K54</f>
        <v>58</v>
      </c>
      <c r="H70" s="87">
        <f>L54</f>
        <v>53</v>
      </c>
      <c r="I70" s="87">
        <f>M54</f>
        <v>38</v>
      </c>
      <c r="J70" s="87">
        <f t="shared" si="65"/>
        <v>50.6</v>
      </c>
      <c r="K70" s="76">
        <f t="shared" si="55"/>
        <v>1547.125164690382</v>
      </c>
      <c r="L70" s="76">
        <f t="shared" si="50"/>
        <v>1413.752305665349</v>
      </c>
      <c r="M70" s="76">
        <f t="shared" si="51"/>
        <v>1013.6337285902503</v>
      </c>
      <c r="N70" s="75">
        <f ca="1">$M$80*($F$79*$G70+$G$79*$H70+$H$79*$I70)</f>
        <v>39.320398333756444</v>
      </c>
      <c r="O70" s="75">
        <f ca="1">$M$80*($F$80*$G70+$G$80*$H70+$H$80*$I70)</f>
        <v>40.274657530132636</v>
      </c>
      <c r="P70" s="75">
        <f ca="1">$M$80*($F$81*$G70+$G$81*$H70+$H$81*$I70)</f>
        <v>33.954656041400384</v>
      </c>
      <c r="Q70" s="74">
        <f t="shared" ca="1" si="56"/>
        <v>-3.2019208998956827E-4</v>
      </c>
      <c r="R70" s="74">
        <f t="shared" ca="1" si="52"/>
        <v>6.8664382533158985E-3</v>
      </c>
      <c r="S70" s="74">
        <f t="shared" ca="1" si="53"/>
        <v>1.0448425906703696E-2</v>
      </c>
      <c r="T70" s="75">
        <f ca="1">($F$85*$G70+$G$85*$H70+$H$85*$I70)</f>
        <v>39.356020411312677</v>
      </c>
      <c r="U70" s="75">
        <f ca="1">($F$86*$G70+$G$86*$H70+$H$86*$I70)</f>
        <v>40.249603350642431</v>
      </c>
      <c r="V70" s="75">
        <f ca="1">($F$87*$G70+$G$87*$H70+$H$87*$I70)</f>
        <v>33.891024860151425</v>
      </c>
      <c r="W70" s="74">
        <f t="shared" ca="1" si="66"/>
        <v>5.854617985214805E-4</v>
      </c>
      <c r="X70" s="74">
        <f t="shared" ca="1" si="67"/>
        <v>6.2400837660607777E-3</v>
      </c>
      <c r="Y70" s="74">
        <f t="shared" ca="1" si="68"/>
        <v>8.554840919325235E-3</v>
      </c>
    </row>
    <row r="71" spans="2:25" s="87" customFormat="1" ht="17.25" customHeight="1">
      <c r="B71" s="76">
        <f t="shared" si="64"/>
        <v>6500</v>
      </c>
      <c r="C71" s="87">
        <f>J57</f>
        <v>1</v>
      </c>
      <c r="D71" s="75">
        <f>D57</f>
        <v>38.743329192522438</v>
      </c>
      <c r="E71" s="75">
        <f>E57</f>
        <v>40</v>
      </c>
      <c r="F71" s="75">
        <f>F57</f>
        <v>44.84218091553204</v>
      </c>
      <c r="G71" s="87">
        <f>K57</f>
        <v>54</v>
      </c>
      <c r="H71" s="87">
        <f>L57</f>
        <v>53</v>
      </c>
      <c r="I71" s="87">
        <f>M57</f>
        <v>44</v>
      </c>
      <c r="J71" s="87">
        <f t="shared" si="65"/>
        <v>50.6</v>
      </c>
      <c r="K71" s="76">
        <f t="shared" si="55"/>
        <v>1440.4268774703557</v>
      </c>
      <c r="L71" s="76">
        <f t="shared" si="50"/>
        <v>1413.752305665349</v>
      </c>
      <c r="M71" s="76">
        <f t="shared" si="51"/>
        <v>1173.6811594202898</v>
      </c>
      <c r="N71" s="75">
        <f ca="1">$M$80*($F$79*$G71+$G$79*$H71+$H$79*$I71)</f>
        <v>38.691176512454156</v>
      </c>
      <c r="O71" s="75">
        <f ca="1">$M$80*($F$80*$G71+$G$80*$H71+$H$80*$I71)</f>
        <v>39.743929370025178</v>
      </c>
      <c r="P71" s="75">
        <f ca="1">$M$80*($F$81*$G71+$G$81*$H71+$H$81*$I71)</f>
        <v>44.673716734067192</v>
      </c>
      <c r="Q71" s="74">
        <f t="shared" ca="1" si="56"/>
        <v>-1.3461073468706841E-3</v>
      </c>
      <c r="R71" s="74">
        <f t="shared" ca="1" si="52"/>
        <v>-6.4017657493705693E-3</v>
      </c>
      <c r="S71" s="74">
        <f t="shared" ca="1" si="53"/>
        <v>-3.7568239997555208E-3</v>
      </c>
      <c r="T71" s="75">
        <f ca="1">($F$85*$G71+$G$85*$H71+$H$85*$I71)</f>
        <v>38.746339072314314</v>
      </c>
      <c r="U71" s="75">
        <f ca="1">($F$86*$G71+$G$86*$H71+$H$86*$I71)</f>
        <v>39.932391341776118</v>
      </c>
      <c r="V71" s="75">
        <f ca="1">($F$87*$G71+$G$87*$H71+$H$87*$I71)</f>
        <v>44.760037923639615</v>
      </c>
      <c r="W71" s="74">
        <f t="shared" ca="1" si="66"/>
        <v>7.7687691135697179E-5</v>
      </c>
      <c r="X71" s="74">
        <f t="shared" ca="1" si="67"/>
        <v>-1.6902164555970822E-3</v>
      </c>
      <c r="Y71" s="74">
        <f t="shared" ca="1" si="68"/>
        <v>-1.8318241935456614E-3</v>
      </c>
    </row>
    <row r="72" spans="2:25" ht="17.25" customHeight="1">
      <c r="B72" s="76">
        <f t="shared" si="64"/>
        <v>2800</v>
      </c>
      <c r="C72" s="87">
        <f>J46</f>
        <v>2</v>
      </c>
      <c r="D72" s="75">
        <f t="shared" ref="D72:F72" si="69">D46</f>
        <v>44.174558660631327</v>
      </c>
      <c r="E72" s="75">
        <f t="shared" si="69"/>
        <v>40</v>
      </c>
      <c r="F72" s="75">
        <f t="shared" si="69"/>
        <v>13.695966890806217</v>
      </c>
      <c r="G72" s="87">
        <f>K46</f>
        <v>4354</v>
      </c>
      <c r="H72" s="87">
        <f>L46</f>
        <v>2920</v>
      </c>
      <c r="I72" s="87">
        <f>M46</f>
        <v>1560</v>
      </c>
      <c r="J72" s="87">
        <f>AVERAGE(G72:I76)</f>
        <v>2845.4666666666667</v>
      </c>
      <c r="K72" s="76">
        <f t="shared" si="55"/>
        <v>2065.298814488543</v>
      </c>
      <c r="L72" s="76">
        <f t="shared" si="50"/>
        <v>1385.0878590506536</v>
      </c>
      <c r="M72" s="76">
        <f t="shared" si="51"/>
        <v>739.97844524623963</v>
      </c>
      <c r="N72" s="75">
        <f ca="1">$M$81*($F$79*$G72+$G$79*$H72+$H$79*$I72)</f>
        <v>44.195705766409517</v>
      </c>
      <c r="O72" s="75">
        <f ca="1">$M$81*($F$80*$G72+$G$80*$H72+$H$80*$I72)</f>
        <v>40.121000082711177</v>
      </c>
      <c r="P72" s="75">
        <f ca="1">$M$81*($F$81*$G72+$G$81*$H72+$H$81*$I72)</f>
        <v>13.69462136413155</v>
      </c>
      <c r="Q72" s="74">
        <f t="shared" ca="1" si="56"/>
        <v>4.7871685466405189E-4</v>
      </c>
      <c r="R72" s="74">
        <f t="shared" ca="1" si="52"/>
        <v>3.0250020677793366E-3</v>
      </c>
      <c r="S72" s="74">
        <f t="shared" ca="1" si="53"/>
        <v>-9.8242547269200564E-5</v>
      </c>
      <c r="T72" s="75">
        <f ca="1">($F$88*$G72+$G$88*$H72+$H$88*$I72)</f>
        <v>44.182125126197093</v>
      </c>
      <c r="U72" s="75">
        <f ca="1">($F$89*$G72+$G$89*$H72+$H$89*$I72)</f>
        <v>40.151080271771868</v>
      </c>
      <c r="V72" s="75">
        <f ca="1">($F$90*$G72+$G$90*$H72+$H$90*$I72)</f>
        <v>13.656707315024128</v>
      </c>
      <c r="W72" s="74">
        <f t="shared" ca="1" si="66"/>
        <v>1.7128559503887253E-4</v>
      </c>
      <c r="X72" s="74">
        <f t="shared" ca="1" si="67"/>
        <v>3.7770067942966001E-3</v>
      </c>
      <c r="Y72" s="74">
        <f t="shared" ca="1" si="68"/>
        <v>-2.8665063295707505E-3</v>
      </c>
    </row>
    <row r="73" spans="2:25" ht="17.25" customHeight="1">
      <c r="B73" s="76">
        <f t="shared" ca="1" si="64"/>
        <v>3264.5739910313901</v>
      </c>
      <c r="C73" s="87">
        <f>J49</f>
        <v>2</v>
      </c>
      <c r="D73" s="75">
        <f ca="1">D49</f>
        <v>42.190560455576481</v>
      </c>
      <c r="E73" s="75">
        <f ca="1">E49</f>
        <v>40</v>
      </c>
      <c r="F73" s="75">
        <f ca="1">F49</f>
        <v>18.479081748336675</v>
      </c>
      <c r="G73" s="87">
        <f>K49</f>
        <v>3989</v>
      </c>
      <c r="H73" s="87">
        <f>L49</f>
        <v>2902</v>
      </c>
      <c r="I73" s="87">
        <f>M49</f>
        <v>1681</v>
      </c>
      <c r="J73" s="87">
        <f t="shared" ref="J73:J76" si="70">J72</f>
        <v>2845.4666666666667</v>
      </c>
      <c r="K73" s="76">
        <f t="shared" si="55"/>
        <v>1892.1628321072114</v>
      </c>
      <c r="L73" s="76">
        <f t="shared" si="50"/>
        <v>1376.5496462208894</v>
      </c>
      <c r="M73" s="76">
        <f t="shared" si="51"/>
        <v>797.37420926854406</v>
      </c>
      <c r="N73" s="75">
        <f ca="1">$M$81*($F$79*$G73+$G$79*$H73+$H$79*$I73)</f>
        <v>42.216771013491204</v>
      </c>
      <c r="O73" s="75">
        <f ca="1">$M$81*($F$80*$G73+$G$80*$H73+$H$80*$I73)</f>
        <v>39.723388113073653</v>
      </c>
      <c r="P73" s="75">
        <f ca="1">$M$81*($F$81*$G73+$G$81*$H73+$H$81*$I73)</f>
        <v>18.57922217608516</v>
      </c>
      <c r="Q73" s="74">
        <f t="shared" ca="1" si="56"/>
        <v>6.2124223124082611E-4</v>
      </c>
      <c r="R73" s="74">
        <f t="shared" ca="1" si="52"/>
        <v>-6.915297173158641E-3</v>
      </c>
      <c r="S73" s="74">
        <f t="shared" ca="1" si="53"/>
        <v>5.4191235859162301E-3</v>
      </c>
      <c r="T73" s="75">
        <f ca="1">($F$88*$G73+$G$88*$H73+$H$88*$I73)</f>
        <v>42.187968123844342</v>
      </c>
      <c r="U73" s="75">
        <f ca="1">($F$89*$G73+$G$89*$H73+$H$89*$I73)</f>
        <v>39.755306432321476</v>
      </c>
      <c r="V73" s="75">
        <f ca="1">($F$90*$G73+$G$90*$H73+$H$90*$I73)</f>
        <v>18.569751351112807</v>
      </c>
      <c r="W73" s="74">
        <f t="shared" ref="W73:W76" ca="1" si="71">T73/D73-1</f>
        <v>-6.1443405921735028E-5</v>
      </c>
      <c r="X73" s="74">
        <f t="shared" ref="X73:X76" ca="1" si="72">U73/E73-1</f>
        <v>-6.1173391919631115E-3</v>
      </c>
      <c r="Y73" s="74">
        <f t="shared" ref="Y73:Y76" ca="1" si="73">V73/F73-1</f>
        <v>4.9066075907311379E-3</v>
      </c>
    </row>
    <row r="74" spans="2:25" ht="17.25" customHeight="1">
      <c r="B74" s="76">
        <f t="shared" ca="1" si="64"/>
        <v>3913.9784946236555</v>
      </c>
      <c r="C74" s="87">
        <f>J52</f>
        <v>2</v>
      </c>
      <c r="D74" s="75">
        <f t="shared" ref="D74:F74" ca="1" si="74">D52</f>
        <v>40.555856979388189</v>
      </c>
      <c r="E74" s="75">
        <f t="shared" ca="1" si="74"/>
        <v>40</v>
      </c>
      <c r="F74" s="75">
        <f t="shared" ca="1" si="74"/>
        <v>24.943321390375441</v>
      </c>
      <c r="G74" s="87">
        <f>K52</f>
        <v>3616</v>
      </c>
      <c r="H74" s="87">
        <f>L52</f>
        <v>2935</v>
      </c>
      <c r="I74" s="87">
        <f>M52</f>
        <v>1858</v>
      </c>
      <c r="J74" s="87">
        <f t="shared" si="70"/>
        <v>2845.4666666666667</v>
      </c>
      <c r="K74" s="76">
        <f t="shared" si="55"/>
        <v>1715.2320884682067</v>
      </c>
      <c r="L74" s="76">
        <f t="shared" si="50"/>
        <v>1392.2030364087905</v>
      </c>
      <c r="M74" s="76">
        <f t="shared" si="51"/>
        <v>881.33330209455971</v>
      </c>
      <c r="N74" s="75">
        <f ca="1">$M$81*($F$79*$G74+$G$79*$H74+$H$79*$I74)</f>
        <v>40.578125921516659</v>
      </c>
      <c r="O74" s="75">
        <f ca="1">$M$81*($F$80*$G74+$G$80*$H74+$H$80*$I74)</f>
        <v>39.995545335695304</v>
      </c>
      <c r="P74" s="75">
        <f ca="1">$M$81*($F$81*$G74+$G$81*$H74+$H$81*$I74)</f>
        <v>24.828218645503675</v>
      </c>
      <c r="Q74" s="74">
        <f t="shared" ca="1" si="56"/>
        <v>5.4909312210527084E-4</v>
      </c>
      <c r="R74" s="74">
        <f t="shared" ca="1" si="52"/>
        <v>-1.1136660761734696E-4</v>
      </c>
      <c r="S74" s="74">
        <f t="shared" ca="1" si="53"/>
        <v>-4.6145716951784266E-3</v>
      </c>
      <c r="T74" s="75">
        <f ca="1">($F$88*$G74+$G$88*$H74+$H$88*$I74)</f>
        <v>40.528166487367187</v>
      </c>
      <c r="U74" s="75">
        <f ca="1">($F$89*$G74+$G$89*$H74+$H$89*$I74)</f>
        <v>40.030514087973671</v>
      </c>
      <c r="V74" s="75">
        <f ca="1">($F$90*$G74+$G$90*$H74+$H$90*$I74)</f>
        <v>24.853492773909394</v>
      </c>
      <c r="W74" s="74">
        <f t="shared" ca="1" si="71"/>
        <v>-6.8277418068307671E-4</v>
      </c>
      <c r="X74" s="74">
        <f t="shared" ca="1" si="72"/>
        <v>7.6285219934169035E-4</v>
      </c>
      <c r="Y74" s="74">
        <f t="shared" ca="1" si="73"/>
        <v>-3.6013093469062785E-3</v>
      </c>
    </row>
    <row r="75" spans="2:25" ht="17.25" customHeight="1">
      <c r="B75" s="76">
        <f t="shared" ca="1" si="64"/>
        <v>4885.9060402684554</v>
      </c>
      <c r="C75" s="87">
        <f>J55</f>
        <v>2</v>
      </c>
      <c r="D75" s="75">
        <f t="shared" ref="D75:F75" ca="1" si="75">D55</f>
        <v>39.332992446813535</v>
      </c>
      <c r="E75" s="75">
        <f t="shared" ca="1" si="75"/>
        <v>40</v>
      </c>
      <c r="F75" s="75">
        <f t="shared" ca="1" si="75"/>
        <v>33.603551820006963</v>
      </c>
      <c r="G75" s="87">
        <f>K55</f>
        <v>3290</v>
      </c>
      <c r="H75" s="87">
        <f>L55</f>
        <v>2965</v>
      </c>
      <c r="I75" s="87">
        <f>M55</f>
        <v>2125</v>
      </c>
      <c r="J75" s="87">
        <f t="shared" si="70"/>
        <v>2845.4666666666667</v>
      </c>
      <c r="K75" s="76">
        <f t="shared" si="55"/>
        <v>1560.595567218031</v>
      </c>
      <c r="L75" s="76">
        <f t="shared" si="50"/>
        <v>1406.4333911250644</v>
      </c>
      <c r="M75" s="76">
        <f t="shared" si="51"/>
        <v>1007.9834590693969</v>
      </c>
      <c r="N75" s="75">
        <f ca="1">$M$81*($F$79*$G75+$G$79*$H75+$H$79*$I75)</f>
        <v>39.378962057416814</v>
      </c>
      <c r="O75" s="75">
        <f ca="1">$M$81*($F$80*$G75+$G$80*$H75+$H$80*$I75)</f>
        <v>40.057668984101284</v>
      </c>
      <c r="P75" s="75">
        <f ca="1">$M$81*($F$81*$G75+$G$81*$H75+$H$81*$I75)</f>
        <v>33.605955161981093</v>
      </c>
      <c r="Q75" s="74">
        <f t="shared" ca="1" si="56"/>
        <v>1.1687290425572705E-3</v>
      </c>
      <c r="R75" s="74">
        <f t="shared" ca="1" si="52"/>
        <v>1.4417246025320019E-3</v>
      </c>
      <c r="S75" s="74">
        <f t="shared" ca="1" si="53"/>
        <v>7.1520474591579841E-5</v>
      </c>
      <c r="T75" s="75">
        <f ca="1">($F$88*$G75+$G$88*$H75+$H$88*$I75)</f>
        <v>39.367076268822629</v>
      </c>
      <c r="U75" s="75">
        <f ca="1">($F$89*$G75+$G$89*$H75+$H$89*$I75)</f>
        <v>40.089819867666058</v>
      </c>
      <c r="V75" s="75">
        <f ca="1">($F$90*$G75+$G$90*$H75+$H$90*$I75)</f>
        <v>33.663138459473195</v>
      </c>
      <c r="W75" s="74">
        <f t="shared" ca="1" si="71"/>
        <v>8.6654535769636887E-4</v>
      </c>
      <c r="X75" s="74">
        <f t="shared" ca="1" si="72"/>
        <v>2.2454966916514163E-3</v>
      </c>
      <c r="Y75" s="74">
        <f t="shared" ca="1" si="73"/>
        <v>1.7732244432195898E-3</v>
      </c>
    </row>
    <row r="76" spans="2:25" ht="17.25" customHeight="1">
      <c r="B76" s="76">
        <f t="shared" si="64"/>
        <v>6500</v>
      </c>
      <c r="C76" s="87">
        <f>J58</f>
        <v>2</v>
      </c>
      <c r="D76" s="75">
        <f t="shared" ref="D76:F76" si="76">D58</f>
        <v>38.743329192522438</v>
      </c>
      <c r="E76" s="75">
        <f t="shared" si="76"/>
        <v>40</v>
      </c>
      <c r="F76" s="75">
        <f t="shared" si="76"/>
        <v>44.84218091553204</v>
      </c>
      <c r="G76" s="87">
        <f>K58</f>
        <v>3016</v>
      </c>
      <c r="H76" s="87">
        <f>L58</f>
        <v>2994</v>
      </c>
      <c r="I76" s="87">
        <f>M58</f>
        <v>2477</v>
      </c>
      <c r="J76" s="87">
        <f t="shared" si="70"/>
        <v>2845.4666666666667</v>
      </c>
      <c r="K76" s="76">
        <f t="shared" si="55"/>
        <v>1430.62499414273</v>
      </c>
      <c r="L76" s="76">
        <f t="shared" si="50"/>
        <v>1420.1894006841292</v>
      </c>
      <c r="M76" s="76">
        <f t="shared" si="51"/>
        <v>1174.9529544070099</v>
      </c>
      <c r="N76" s="75">
        <f ca="1">$M$81*($F$79*$G76+$G$79*$H76+$H$79*$I76)</f>
        <v>38.649052306213079</v>
      </c>
      <c r="O76" s="75">
        <f ca="1">$M$81*($F$80*$G76+$G$80*$H76+$H$80*$I76)</f>
        <v>39.947230224189454</v>
      </c>
      <c r="P76" s="75">
        <f ca="1">$M$81*($F$81*$G76+$G$81*$H76+$H$81*$I76)</f>
        <v>44.73564056016312</v>
      </c>
      <c r="Q76" s="74">
        <f t="shared" ca="1" si="56"/>
        <v>-2.43337080922712E-3</v>
      </c>
      <c r="R76" s="74">
        <f t="shared" ca="1" si="52"/>
        <v>-1.3192443952636523E-3</v>
      </c>
      <c r="S76" s="74">
        <f t="shared" ca="1" si="53"/>
        <v>-2.3758959353383791E-3</v>
      </c>
      <c r="T76" s="75">
        <f ca="1">($F$88*$G76+$G$88*$H76+$H$88*$I76)</f>
        <v>38.731853550925663</v>
      </c>
      <c r="U76" s="75">
        <f ca="1">($F$89*$G76+$G$89*$H76+$H$89*$I76)</f>
        <v>39.970965792918086</v>
      </c>
      <c r="V76" s="75">
        <f ca="1">($F$90*$G76+$G$90*$H76+$H$90*$I76)</f>
        <v>44.821635617381652</v>
      </c>
      <c r="W76" s="74">
        <f t="shared" ca="1" si="71"/>
        <v>-2.9619657979695901E-4</v>
      </c>
      <c r="X76" s="74">
        <f t="shared" ca="1" si="72"/>
        <v>-7.2585517704781832E-4</v>
      </c>
      <c r="Y76" s="74">
        <f t="shared" ca="1" si="73"/>
        <v>-4.5816902146411653E-4</v>
      </c>
    </row>
    <row r="77" spans="2:25" s="87" customFormat="1" ht="17.25" customHeight="1">
      <c r="B77" s="76"/>
      <c r="D77" s="75"/>
      <c r="E77" s="75"/>
      <c r="F77" s="75"/>
      <c r="K77" s="76"/>
      <c r="L77" s="76"/>
      <c r="M77" s="76"/>
      <c r="N77" s="75"/>
      <c r="O77" s="75"/>
      <c r="P77" s="75"/>
      <c r="Q77" s="74"/>
      <c r="R77" s="74"/>
      <c r="S77" s="74"/>
      <c r="T77" s="75"/>
      <c r="U77" s="75"/>
      <c r="V77" s="75"/>
      <c r="W77" s="74"/>
      <c r="X77" s="74"/>
      <c r="Y77" s="74"/>
    </row>
    <row r="78" spans="2:25" ht="17.25" customHeight="1">
      <c r="B78" s="263" t="s">
        <v>42</v>
      </c>
      <c r="C78" s="263"/>
      <c r="D78" s="263"/>
      <c r="E78" s="229" t="s">
        <v>96</v>
      </c>
      <c r="F78" s="229"/>
      <c r="G78" s="229"/>
      <c r="H78" s="229"/>
      <c r="L78" s="82">
        <v>0</v>
      </c>
      <c r="M78" s="87" t="s">
        <v>92</v>
      </c>
      <c r="N78" s="87" t="s">
        <v>93</v>
      </c>
      <c r="O78" s="87" t="s">
        <v>94</v>
      </c>
      <c r="P78" s="82">
        <f ca="1">L78*AVERAGE(O79:O81)+(1-L78)*O79</f>
        <v>5.002377464704848</v>
      </c>
      <c r="S78" s="229" t="s">
        <v>95</v>
      </c>
      <c r="T78" s="229"/>
      <c r="U78" s="229"/>
      <c r="V78" s="229" t="str">
        <f>T60</f>
        <v>CCM per Range</v>
      </c>
      <c r="W78" s="229"/>
      <c r="X78" s="229"/>
    </row>
    <row r="79" spans="2:25" ht="17.25" customHeight="1">
      <c r="B79" s="116">
        <f t="array" aca="1" ref="B79:D79" ca="1">LINEST(D$62:D$76,K$62:M$76,FALSE)</f>
        <v>4.2572457324690383E-3</v>
      </c>
      <c r="C79" s="116">
        <f ca="1"/>
        <v>1.131857114429567E-2</v>
      </c>
      <c r="D79" s="116">
        <f ca="1"/>
        <v>1.228307498969981E-2</v>
      </c>
      <c r="E79" s="229" t="s">
        <v>91</v>
      </c>
      <c r="F79" s="122">
        <f ca="1">D79</f>
        <v>1.228307498969981E-2</v>
      </c>
      <c r="G79" s="122">
        <f ca="1">C79</f>
        <v>1.131857114429567E-2</v>
      </c>
      <c r="H79" s="122">
        <f ca="1">B79</f>
        <v>4.2572457324690383E-3</v>
      </c>
      <c r="L79" s="87" t="s">
        <v>36</v>
      </c>
      <c r="M79" s="122">
        <v>1</v>
      </c>
      <c r="N79" s="82">
        <v>375</v>
      </c>
      <c r="O79" s="82">
        <f ca="1">AVERAGE(U62:U66)/AVERAGE(H62:H66)/N79*65535</f>
        <v>5.002377464704848</v>
      </c>
      <c r="P79" s="74">
        <f ca="1">O79/P$78-1</f>
        <v>0</v>
      </c>
      <c r="R79" s="87" t="s">
        <v>0</v>
      </c>
      <c r="S79" s="87" t="s">
        <v>32</v>
      </c>
      <c r="T79" s="87" t="s">
        <v>33</v>
      </c>
      <c r="U79" s="87" t="s">
        <v>34</v>
      </c>
      <c r="V79" s="87" t="s">
        <v>29</v>
      </c>
      <c r="W79" s="87" t="s">
        <v>30</v>
      </c>
      <c r="X79" s="87" t="s">
        <v>31</v>
      </c>
    </row>
    <row r="80" spans="2:25" ht="17.25" customHeight="1" thickBot="1">
      <c r="B80" s="116">
        <f t="array" aca="1" ref="B80:D80" ca="1">LINEST(E$62:E$76,K$62:M$76,FALSE)</f>
        <v>-3.6248498076780155E-3</v>
      </c>
      <c r="C80" s="116">
        <f ca="1"/>
        <v>3.1593592165504954E-2</v>
      </c>
      <c r="D80" s="116">
        <f ca="1"/>
        <v>-4.6317274666512359E-4</v>
      </c>
      <c r="E80" s="229"/>
      <c r="F80" s="122">
        <f t="shared" ref="F80:F82" ca="1" si="77">D80</f>
        <v>-4.6317274666512359E-4</v>
      </c>
      <c r="G80" s="122">
        <f t="shared" ref="G80:G82" ca="1" si="78">C80</f>
        <v>3.1593592165504954E-2</v>
      </c>
      <c r="H80" s="122">
        <f t="shared" ref="H80:H82" ca="1" si="79">B80</f>
        <v>-3.6248498076780155E-3</v>
      </c>
      <c r="L80" s="87" t="s">
        <v>37</v>
      </c>
      <c r="M80" s="122">
        <f>M60/J67</f>
        <v>26.674571805006586</v>
      </c>
      <c r="N80" s="82">
        <v>10500</v>
      </c>
      <c r="O80" s="87">
        <f ca="1">AVERAGE(U67:U71)/AVERAGE(H67:H71)/N80*65535</f>
        <v>4.7643659157357625</v>
      </c>
      <c r="P80" s="74">
        <f ca="1">O80/P$78-1</f>
        <v>-4.7579685988995757E-2</v>
      </c>
      <c r="Q80" s="76">
        <f t="shared" ref="Q80:Q94" si="80">B62</f>
        <v>2800</v>
      </c>
      <c r="R80" s="82">
        <f t="shared" ref="R80:R94" si="81">C62</f>
        <v>0</v>
      </c>
      <c r="S80" s="82">
        <f t="shared" ref="S80:U84" si="82">$N$79*G62/65535</f>
        <v>11.816205081254292</v>
      </c>
      <c r="T80" s="87">
        <f t="shared" si="82"/>
        <v>7.9251544975967043</v>
      </c>
      <c r="U80" s="87">
        <f t="shared" si="82"/>
        <v>4.2057679102769514</v>
      </c>
      <c r="V80" s="75">
        <f ca="1">($I$82*$S80+$J$82*$T80+$K$82*$U80)</f>
        <v>44.195003221194966</v>
      </c>
      <c r="W80" s="75">
        <f ca="1">($I$83*$S80+$J$83*$T80+$K$83*$U80)</f>
        <v>40.141277743084814</v>
      </c>
      <c r="X80" s="75">
        <f ca="1">($I$84*$S80+$J$84*$T80+$K$84*$U80)</f>
        <v>13.728348312161913</v>
      </c>
    </row>
    <row r="81" spans="2:24" ht="17.25" customHeight="1" thickBot="1">
      <c r="B81" s="116">
        <f t="array" aca="1" ref="B81:D81" ca="1">LINEST(F$62:F$76,K$62:M$76,FALSE)</f>
        <v>6.2387221101221323E-2</v>
      </c>
      <c r="C81" s="116">
        <f ca="1"/>
        <v>-1.3183366677925967E-2</v>
      </c>
      <c r="D81" s="116">
        <f ca="1"/>
        <v>-6.8805812906518873E-3</v>
      </c>
      <c r="E81" s="229"/>
      <c r="F81" s="122">
        <f t="shared" ca="1" si="77"/>
        <v>-6.8805812906518873E-3</v>
      </c>
      <c r="G81" s="122">
        <f t="shared" ca="1" si="78"/>
        <v>-1.3183366677925967E-2</v>
      </c>
      <c r="H81" s="122">
        <f t="shared" ca="1" si="79"/>
        <v>6.2387221101221323E-2</v>
      </c>
      <c r="I81" s="254" t="s">
        <v>97</v>
      </c>
      <c r="J81" s="255"/>
      <c r="K81" s="256"/>
      <c r="L81" s="87" t="s">
        <v>56</v>
      </c>
      <c r="M81" s="122">
        <f>M60/J72</f>
        <v>0.47434515720912795</v>
      </c>
      <c r="N81" s="82">
        <v>155</v>
      </c>
      <c r="O81" s="87">
        <f ca="1">AVERAGE(U72:U76)/AVERAGE(H72:H76)/N81*65535</f>
        <v>5.7461478757702791</v>
      </c>
      <c r="P81" s="74">
        <f ca="1">O81/P$78-1</f>
        <v>0.14868338431340566</v>
      </c>
      <c r="Q81" s="76">
        <f t="shared" ca="1" si="80"/>
        <v>3264.5739910313901</v>
      </c>
      <c r="R81" s="87">
        <f t="shared" si="81"/>
        <v>0</v>
      </c>
      <c r="S81" s="87">
        <f t="shared" si="82"/>
        <v>10.791943236438545</v>
      </c>
      <c r="T81" s="87">
        <f t="shared" si="82"/>
        <v>7.8679331654840921</v>
      </c>
      <c r="U81" s="87">
        <f t="shared" si="82"/>
        <v>4.5204852368963149</v>
      </c>
      <c r="V81" s="75">
        <f ca="1">($I$82*$S81+$J$82*$T81+$K$82*$U81)</f>
        <v>42.125650620107045</v>
      </c>
      <c r="W81" s="75">
        <f ca="1">($I$83*$S81+$J$83*$T81+$K$83*$U81)</f>
        <v>39.759036673537452</v>
      </c>
      <c r="X81" s="75">
        <f ca="1">($I$84*$S81+$J$84*$T81+$K$84*$U81)</f>
        <v>18.445416037681056</v>
      </c>
    </row>
    <row r="82" spans="2:24" ht="17.25" customHeight="1">
      <c r="B82" s="116">
        <f t="array" aca="1" ref="B82:D82" ca="1">LINEST(D$62:D$66,G$62:I$66,FALSE)</f>
        <v>3.07566677169069E-3</v>
      </c>
      <c r="C82" s="116">
        <f ca="1"/>
        <v>1.2688814832618673E-2</v>
      </c>
      <c r="D82" s="116">
        <f ca="1"/>
        <v>1.1796793995557118E-2</v>
      </c>
      <c r="E82" s="229">
        <v>0</v>
      </c>
      <c r="F82" s="87">
        <f t="shared" ca="1" si="77"/>
        <v>1.1796793995557118E-2</v>
      </c>
      <c r="G82" s="87">
        <f t="shared" ca="1" si="78"/>
        <v>1.2688814832618673E-2</v>
      </c>
      <c r="H82" s="87">
        <f t="shared" ca="1" si="79"/>
        <v>3.07566677169069E-3</v>
      </c>
      <c r="I82" s="94">
        <f t="shared" ref="I82:K84" ca="1" si="83">F82*65535/$N$79</f>
        <v>2.061607718663562</v>
      </c>
      <c r="J82" s="98">
        <f t="shared" ca="1" si="83"/>
        <v>2.2174972801484394</v>
      </c>
      <c r="K82" s="123">
        <f t="shared" ca="1" si="83"/>
        <v>0.53750352502066501</v>
      </c>
      <c r="M82" s="56" t="str">
        <f>linefmt("Compensation",0)</f>
        <v>"Compensation",0,</v>
      </c>
      <c r="N82" s="56"/>
      <c r="O82" s="56"/>
      <c r="P82" s="56"/>
      <c r="Q82" s="76">
        <f t="shared" ca="1" si="80"/>
        <v>3913.9784946236555</v>
      </c>
      <c r="R82" s="87">
        <f t="shared" si="81"/>
        <v>0</v>
      </c>
      <c r="S82" s="87">
        <f t="shared" si="82"/>
        <v>9.8363469901579315</v>
      </c>
      <c r="T82" s="87">
        <f t="shared" si="82"/>
        <v>7.9594872968642711</v>
      </c>
      <c r="U82" s="87">
        <f t="shared" si="82"/>
        <v>5.0354772259098191</v>
      </c>
      <c r="V82" s="75">
        <f ca="1">($I$82*$S82+$J$82*$T82+$K$82*$U82)</f>
        <v>40.635417069623067</v>
      </c>
      <c r="W82" s="75">
        <f ca="1">($I$83*$S82+$J$83*$T82+$K$83*$U82)</f>
        <v>40.044179329036233</v>
      </c>
      <c r="X82" s="75">
        <f ca="1">($I$84*$S82+$J$84*$T82+$K$84*$U82)</f>
        <v>24.900924369551753</v>
      </c>
    </row>
    <row r="83" spans="2:24" ht="17.25" customHeight="1">
      <c r="B83" s="116">
        <f t="array" aca="1" ref="B83:D83" ca="1">LINEST(E$62:E$66,G$62:I$66,FALSE)</f>
        <v>-6.2556411858672879E-3</v>
      </c>
      <c r="C83" s="116">
        <f ca="1"/>
        <v>3.4890848954746242E-2</v>
      </c>
      <c r="D83" s="116">
        <f ca="1"/>
        <v>-1.7359088559933584E-3</v>
      </c>
      <c r="E83" s="229"/>
      <c r="F83" s="87">
        <f t="shared" ref="F83:F90" ca="1" si="84">D83</f>
        <v>-1.7359088559933584E-3</v>
      </c>
      <c r="G83" s="87">
        <f t="shared" ref="G83:G90" ca="1" si="85">C83</f>
        <v>3.4890848954746242E-2</v>
      </c>
      <c r="H83" s="87">
        <f t="shared" ref="H83:H90" ca="1" si="86">B83</f>
        <v>-6.2556411858672879E-3</v>
      </c>
      <c r="I83" s="101">
        <f t="shared" ca="1" si="83"/>
        <v>-0.3033674316733993</v>
      </c>
      <c r="J83" s="105">
        <f t="shared" ca="1" si="83"/>
        <v>6.097524763331454</v>
      </c>
      <c r="K83" s="124">
        <f t="shared" ca="1" si="83"/>
        <v>-1.0932358536421671</v>
      </c>
      <c r="M83" s="56" t="str">
        <f>linefmt("CardGain",1,1,1)</f>
        <v>"CardGain",1,1,1,</v>
      </c>
      <c r="N83" s="56"/>
      <c r="O83" s="56"/>
      <c r="P83" s="56"/>
      <c r="Q83" s="76">
        <f t="shared" ca="1" si="80"/>
        <v>4885.9060402684554</v>
      </c>
      <c r="R83" s="87">
        <f t="shared" si="81"/>
        <v>0</v>
      </c>
      <c r="S83" s="87">
        <f t="shared" si="82"/>
        <v>8.8921950102998402</v>
      </c>
      <c r="T83" s="87">
        <f t="shared" si="82"/>
        <v>8.0510414282444493</v>
      </c>
      <c r="U83" s="87">
        <f t="shared" si="82"/>
        <v>5.7679102769512474</v>
      </c>
      <c r="V83" s="75">
        <f ca="1">($I$82*$S83+$J$82*$T83+$K$82*$U83)</f>
        <v>39.285652444454449</v>
      </c>
      <c r="W83" s="75">
        <f ca="1">($I$83*$S83+$J$83*$T83+$K$83*$U83)</f>
        <v>40.08813580176006</v>
      </c>
      <c r="X83" s="75">
        <f ca="1">($I$84*$S83+$J$84*$T83+$K$84*$U83)</f>
        <v>33.666891831615665</v>
      </c>
    </row>
    <row r="84" spans="2:24" ht="17.25" customHeight="1" thickBot="1">
      <c r="B84" s="116">
        <f t="array" aca="1" ref="B84:D84" ca="1">LINEST(F$62:F$66,G$62:I$66,FALSE)</f>
        <v>6.116323971379397E-2</v>
      </c>
      <c r="C84" s="116">
        <f ca="1"/>
        <v>-1.2300342694059533E-2</v>
      </c>
      <c r="D84" s="116">
        <f ca="1"/>
        <v>-6.8719894654741889E-3</v>
      </c>
      <c r="E84" s="229"/>
      <c r="F84" s="87">
        <f t="shared" ca="1" si="84"/>
        <v>-6.8719894654741889E-3</v>
      </c>
      <c r="G84" s="87">
        <f t="shared" ca="1" si="85"/>
        <v>-1.2300342694059533E-2</v>
      </c>
      <c r="H84" s="87">
        <f t="shared" ca="1" si="86"/>
        <v>6.116323971379397E-2</v>
      </c>
      <c r="I84" s="126">
        <f t="shared" ca="1" si="83"/>
        <v>-1.2009488789862692</v>
      </c>
      <c r="J84" s="127">
        <f t="shared" ca="1" si="83"/>
        <v>-2.1496078892138439</v>
      </c>
      <c r="K84" s="128">
        <f t="shared" ca="1" si="83"/>
        <v>10.688887772382634</v>
      </c>
      <c r="M84" s="56" t="str">
        <f ca="1">linefmt("Range",1-P79,1-P80,1-P81)</f>
        <v>"Range",1,1.04758,0.8513166,</v>
      </c>
      <c r="N84" s="56"/>
      <c r="O84" s="56"/>
      <c r="P84" s="56"/>
      <c r="Q84" s="76">
        <f t="shared" si="80"/>
        <v>6500</v>
      </c>
      <c r="R84" s="87">
        <f t="shared" si="81"/>
        <v>0</v>
      </c>
      <c r="S84" s="87">
        <f t="shared" si="82"/>
        <v>8.2398718242160669</v>
      </c>
      <c r="T84" s="87">
        <f t="shared" si="82"/>
        <v>8.1769283588921944</v>
      </c>
      <c r="U84" s="87">
        <f t="shared" si="82"/>
        <v>6.7635614557106889</v>
      </c>
      <c r="V84" s="75">
        <f ca="1">($I$82*$S84+$J$82*$T84+$K$82*$U84)</f>
        <v>38.755137873552727</v>
      </c>
      <c r="W84" s="75">
        <f ca="1">($I$83*$S84+$J$83*$T84+$K$83*$U84)</f>
        <v>39.965146522006819</v>
      </c>
      <c r="X84" s="75">
        <f ca="1">($I$84*$S84+$J$84*$T84+$K$84*$U84)</f>
        <v>44.822094801610568</v>
      </c>
    </row>
    <row r="85" spans="2:24" ht="17.25" customHeight="1">
      <c r="B85" s="116">
        <f t="array" aca="1" ref="B85:D85" ca="1">LINEST(D$67:D$71,G$67:I$71,FALSE)</f>
        <v>0.11592572905384144</v>
      </c>
      <c r="C85" s="116">
        <f ca="1"/>
        <v>0.30235707290766484</v>
      </c>
      <c r="D85" s="116">
        <f ca="1"/>
        <v>0.32630892833035291</v>
      </c>
      <c r="E85" s="229">
        <f>E82+1</f>
        <v>1</v>
      </c>
      <c r="F85" s="87">
        <f t="shared" ca="1" si="84"/>
        <v>0.32630892833035291</v>
      </c>
      <c r="G85" s="87">
        <f t="shared" ca="1" si="85"/>
        <v>0.30235707290766484</v>
      </c>
      <c r="H85" s="87">
        <f t="shared" ca="1" si="86"/>
        <v>0.11592572905384144</v>
      </c>
      <c r="I85" s="94">
        <f t="shared" ref="I85:K87" ca="1" si="87">F85*65535/$N$80</f>
        <v>2.0366338683933027</v>
      </c>
      <c r="J85" s="98">
        <f t="shared" ca="1" si="87"/>
        <v>1.8871400736194108</v>
      </c>
      <c r="K85" s="123">
        <f t="shared" ca="1" si="87"/>
        <v>0.72354215748033324</v>
      </c>
      <c r="M85" s="56" t="str">
        <f>linefmt("CCM" )</f>
        <v>"CCM",</v>
      </c>
      <c r="N85" s="56"/>
      <c r="O85" s="56"/>
      <c r="P85" s="56"/>
      <c r="Q85" s="76">
        <f t="shared" si="80"/>
        <v>2800</v>
      </c>
      <c r="R85" s="87">
        <f t="shared" si="81"/>
        <v>1</v>
      </c>
      <c r="S85" s="87">
        <f t="shared" ref="S85:U89" si="88">$N$80*G67/65535</f>
        <v>12.336919203479058</v>
      </c>
      <c r="T85" s="87">
        <f t="shared" si="88"/>
        <v>8.3314259555962469</v>
      </c>
      <c r="U85" s="87">
        <f t="shared" si="88"/>
        <v>4.486152437628748</v>
      </c>
      <c r="V85" s="75">
        <f ca="1">($I$85*$S85+$J$85*$T85+$K$85*$U85)</f>
        <v>44.094275686143305</v>
      </c>
      <c r="W85" s="75">
        <f ca="1">($I$86*$S85+$J$86*$T85+$K$86*$U85)</f>
        <v>40.103701700116758</v>
      </c>
      <c r="X85" s="75">
        <f ca="1">($I$87*$S85+$J$87*$T85+$K$87*$U85)</f>
        <v>13.856956867286939</v>
      </c>
    </row>
    <row r="86" spans="2:24" ht="17.25" customHeight="1">
      <c r="B86" s="116">
        <f t="array" aca="1" ref="B86:D86" ca="1">LINEST(E$67:E$71,G$67:I$71,FALSE)</f>
        <v>-4.6984062856513159E-2</v>
      </c>
      <c r="C86" s="116">
        <f ca="1"/>
        <v>0.78345352979518856</v>
      </c>
      <c r="D86" s="116">
        <f ca="1"/>
        <v>8.8269079318093659E-3</v>
      </c>
      <c r="E86" s="229"/>
      <c r="F86" s="87">
        <f t="shared" ca="1" si="84"/>
        <v>8.8269079318093659E-3</v>
      </c>
      <c r="G86" s="87">
        <f t="shared" ca="1" si="85"/>
        <v>0.78345352979518856</v>
      </c>
      <c r="H86" s="87">
        <f t="shared" ca="1" si="86"/>
        <v>-4.6984062856513159E-2</v>
      </c>
      <c r="I86" s="101">
        <f t="shared" ca="1" si="87"/>
        <v>5.5092515362964452E-2</v>
      </c>
      <c r="J86" s="105">
        <f t="shared" ca="1" si="87"/>
        <v>4.8898692452502557</v>
      </c>
      <c r="K86" s="124">
        <f t="shared" ca="1" si="87"/>
        <v>-0.2932476723144371</v>
      </c>
      <c r="M86" s="56" t="str">
        <f t="shared" ref="M86:M94" ca="1" si="89">linefmt("",I82,J82,K82)</f>
        <v>2.061608,2.217497,0.5375035,</v>
      </c>
      <c r="N86" s="56"/>
      <c r="O86" s="56"/>
      <c r="P86" s="56"/>
      <c r="Q86" s="76">
        <f t="shared" ca="1" si="80"/>
        <v>3264.5739910313901</v>
      </c>
      <c r="R86" s="87">
        <f t="shared" si="81"/>
        <v>1</v>
      </c>
      <c r="S86" s="87">
        <f t="shared" si="88"/>
        <v>11.375600823987183</v>
      </c>
      <c r="T86" s="87">
        <f t="shared" si="88"/>
        <v>8.3314259555962469</v>
      </c>
      <c r="U86" s="87">
        <f t="shared" si="88"/>
        <v>4.8065918974593727</v>
      </c>
      <c r="V86" s="75">
        <f ca="1">($I$85*$S86+$J$85*$T86+$K$85*$U86)</f>
        <v>42.368273574268876</v>
      </c>
      <c r="W86" s="75">
        <f ca="1">($I$86*$S86+$J$86*$T86+$K$86*$U86)</f>
        <v>39.956772126812879</v>
      </c>
      <c r="X86" s="75">
        <f ca="1">($I$87*$S86+$J$87*$T86+$K$87*$U86)</f>
        <v>18.345260681655851</v>
      </c>
    </row>
    <row r="87" spans="2:24" ht="17.25" customHeight="1" thickBot="1">
      <c r="B87" s="116">
        <f t="array" aca="1" ref="B87:D87" ca="1">LINEST(F$67:F$71,G$67:I$71,FALSE)</f>
        <v>1.6878879686947681</v>
      </c>
      <c r="C87" s="116">
        <f ca="1"/>
        <v>-0.36781663785124064</v>
      </c>
      <c r="D87" s="116">
        <f ca="1"/>
        <v>-0.18542131282989671</v>
      </c>
      <c r="E87" s="229"/>
      <c r="F87" s="87">
        <f t="shared" ca="1" si="84"/>
        <v>-0.18542131282989671</v>
      </c>
      <c r="G87" s="87">
        <f t="shared" ca="1" si="85"/>
        <v>-0.36781663785124064</v>
      </c>
      <c r="H87" s="87">
        <f t="shared" ca="1" si="86"/>
        <v>1.6878879686947681</v>
      </c>
      <c r="I87" s="108">
        <f t="shared" ca="1" si="87"/>
        <v>-1.1572938796483125</v>
      </c>
      <c r="J87" s="109">
        <f t="shared" ca="1" si="87"/>
        <v>-2.2957012725315291</v>
      </c>
      <c r="K87" s="125">
        <f t="shared" ca="1" si="87"/>
        <v>10.534832193182059</v>
      </c>
      <c r="M87" s="56" t="str">
        <f t="shared" ca="1" si="89"/>
        <v>-0.3033674,6.097525,-1.093236,</v>
      </c>
      <c r="N87" s="56"/>
      <c r="O87" s="56"/>
      <c r="P87" s="56"/>
      <c r="Q87" s="76">
        <f t="shared" ca="1" si="80"/>
        <v>3913.9784946236555</v>
      </c>
      <c r="R87" s="87">
        <f t="shared" si="81"/>
        <v>1</v>
      </c>
      <c r="S87" s="87">
        <f t="shared" si="88"/>
        <v>10.254062714579996</v>
      </c>
      <c r="T87" s="87">
        <f t="shared" si="88"/>
        <v>8.3314259555962469</v>
      </c>
      <c r="U87" s="87">
        <f t="shared" si="88"/>
        <v>5.28725108720531</v>
      </c>
      <c r="V87" s="75">
        <f ca="1">($I$85*$S87+$J$85*$T87+$K$85*$U87)</f>
        <v>40.431888263117926</v>
      </c>
      <c r="W87" s="75">
        <f ca="1">($I$86*$S87+$J$86*$T87+$K$86*$U87)</f>
        <v>39.754031582720678</v>
      </c>
      <c r="X87" s="75">
        <f ca="1">($I$87*$S87+$J$87*$T87+$K$87*$U87)</f>
        <v>24.706873777549433</v>
      </c>
    </row>
    <row r="88" spans="2:24" ht="17.25" customHeight="1">
      <c r="B88" s="116">
        <f t="array" aca="1" ref="B88:D88" ca="1">LINEST(D$72:D$76,G$72:I$76,FALSE)</f>
        <v>2.5296665373945701E-3</v>
      </c>
      <c r="C88" s="116">
        <f ca="1"/>
        <v>4.7302786794215521E-3</v>
      </c>
      <c r="D88" s="116">
        <f ca="1"/>
        <v>6.068771608624398E-3</v>
      </c>
      <c r="E88" s="229">
        <f>E85+1</f>
        <v>2</v>
      </c>
      <c r="F88" s="87">
        <f t="shared" ca="1" si="84"/>
        <v>6.068771608624398E-3</v>
      </c>
      <c r="G88" s="87">
        <f t="shared" ca="1" si="85"/>
        <v>4.7302786794215521E-3</v>
      </c>
      <c r="H88" s="87">
        <f t="shared" ca="1" si="86"/>
        <v>2.5296665373945701E-3</v>
      </c>
      <c r="I88" s="129">
        <f t="shared" ref="I88:K90" ca="1" si="90">F88*65535/$N$81</f>
        <v>2.5659157894916125</v>
      </c>
      <c r="J88" s="130">
        <f t="shared" ca="1" si="90"/>
        <v>1.9999923435863964</v>
      </c>
      <c r="K88" s="131">
        <f t="shared" ca="1" si="90"/>
        <v>1.0695593324396979</v>
      </c>
      <c r="M88" s="56" t="str">
        <f t="shared" ca="1" si="89"/>
        <v>-1.200949,-2.149608,10.68889,</v>
      </c>
      <c r="N88" s="56"/>
      <c r="O88" s="56"/>
      <c r="P88" s="56"/>
      <c r="Q88" s="76">
        <f t="shared" ca="1" si="80"/>
        <v>4885.9060402684554</v>
      </c>
      <c r="R88" s="87">
        <f t="shared" si="81"/>
        <v>1</v>
      </c>
      <c r="S88" s="87">
        <f t="shared" si="88"/>
        <v>9.2927443350881216</v>
      </c>
      <c r="T88" s="87">
        <f t="shared" si="88"/>
        <v>8.4916456855115587</v>
      </c>
      <c r="U88" s="87">
        <f t="shared" si="88"/>
        <v>6.088349736781872</v>
      </c>
      <c r="V88" s="75">
        <f ca="1">($I$85*$S88+$J$85*$T88+$K$85*$U88)</f>
        <v>39.356020411312677</v>
      </c>
      <c r="W88" s="75">
        <f ca="1">($I$86*$S88+$J$86*$T88+$K$86*$U88)</f>
        <v>40.249603350642438</v>
      </c>
      <c r="X88" s="75">
        <f ca="1">($I$87*$S88+$J$87*$T88+$K$87*$U88)</f>
        <v>33.891024860151404</v>
      </c>
    </row>
    <row r="89" spans="2:24" ht="17.25" customHeight="1">
      <c r="B89" s="116">
        <f t="array" aca="1" ref="B89:D89" ca="1">LINEST(E$72:E$76,G$72:I$76,FALSE)</f>
        <v>-1.7690276560977823E-3</v>
      </c>
      <c r="C89" s="116">
        <f ca="1"/>
        <v>1.5060554557683611E-2</v>
      </c>
      <c r="D89" s="116">
        <f ca="1"/>
        <v>-2.4484517527600789E-4</v>
      </c>
      <c r="E89" s="229"/>
      <c r="F89" s="87">
        <f t="shared" ca="1" si="84"/>
        <v>-2.4484517527600789E-4</v>
      </c>
      <c r="G89" s="87">
        <f t="shared" ca="1" si="85"/>
        <v>1.5060554557683611E-2</v>
      </c>
      <c r="H89" s="87">
        <f t="shared" ca="1" si="86"/>
        <v>-1.7690276560977823E-3</v>
      </c>
      <c r="I89" s="101">
        <f t="shared" ca="1" si="90"/>
        <v>-0.10352211975298822</v>
      </c>
      <c r="J89" s="105">
        <f t="shared" ca="1" si="90"/>
        <v>6.3676996318567456</v>
      </c>
      <c r="K89" s="124">
        <f t="shared" ca="1" si="90"/>
        <v>-0.74795630607979458</v>
      </c>
      <c r="M89" s="56" t="str">
        <f t="shared" ca="1" si="89"/>
        <v>2.036634,1.88714,0.7235422,</v>
      </c>
      <c r="N89" s="56"/>
      <c r="O89" s="56"/>
      <c r="P89" s="56"/>
      <c r="Q89" s="76">
        <f t="shared" si="80"/>
        <v>6500</v>
      </c>
      <c r="R89" s="87">
        <f t="shared" si="81"/>
        <v>1</v>
      </c>
      <c r="S89" s="87">
        <f t="shared" si="88"/>
        <v>8.6518654154268706</v>
      </c>
      <c r="T89" s="87">
        <f t="shared" si="88"/>
        <v>8.4916456855115587</v>
      </c>
      <c r="U89" s="87">
        <f t="shared" si="88"/>
        <v>7.0496681162737467</v>
      </c>
      <c r="V89" s="75">
        <f ca="1">($I$85*$S89+$J$85*$T89+$K$85*$U89)</f>
        <v>38.746339072314314</v>
      </c>
      <c r="W89" s="75">
        <f ca="1">($I$86*$S89+$J$86*$T89+$K$86*$U89)</f>
        <v>39.932391341776125</v>
      </c>
      <c r="X89" s="75">
        <f ca="1">($I$87*$S89+$J$87*$T89+$K$87*$U89)</f>
        <v>44.760037923639615</v>
      </c>
    </row>
    <row r="90" spans="2:24" ht="17.25" customHeight="1" thickBot="1">
      <c r="B90" s="116">
        <f t="array" aca="1" ref="B90:D90" ca="1">LINEST(F$72:F$76,G$72:I$76,FALSE)</f>
        <v>2.9605806134086282E-2</v>
      </c>
      <c r="C90" s="116">
        <f ca="1"/>
        <v>-6.156195062809686E-3</v>
      </c>
      <c r="D90" s="116">
        <f ca="1"/>
        <v>-3.3422739252977011E-3</v>
      </c>
      <c r="E90" s="229"/>
      <c r="F90" s="87">
        <f t="shared" ca="1" si="84"/>
        <v>-3.3422739252977011E-3</v>
      </c>
      <c r="G90" s="87">
        <f t="shared" ca="1" si="85"/>
        <v>-6.156195062809686E-3</v>
      </c>
      <c r="H90" s="87">
        <f t="shared" ca="1" si="86"/>
        <v>2.9605806134086282E-2</v>
      </c>
      <c r="I90" s="108">
        <f t="shared" ca="1" si="90"/>
        <v>-1.4131349786734506</v>
      </c>
      <c r="J90" s="109">
        <f t="shared" ca="1" si="90"/>
        <v>-2.602878989943437</v>
      </c>
      <c r="K90" s="125">
        <f t="shared" ca="1" si="90"/>
        <v>12.517525838692546</v>
      </c>
      <c r="M90" s="56" t="str">
        <f t="shared" ca="1" si="89"/>
        <v>5.509251E-02,4.889869,-0.2932477,</v>
      </c>
      <c r="N90" s="56"/>
      <c r="O90" s="56"/>
      <c r="P90" s="56"/>
      <c r="Q90" s="76">
        <f t="shared" si="80"/>
        <v>2800</v>
      </c>
      <c r="R90" s="87">
        <f t="shared" si="81"/>
        <v>2</v>
      </c>
      <c r="S90" s="87">
        <f t="shared" ref="S90:U94" si="91">$N$81*G72/65535</f>
        <v>10.297856107423515</v>
      </c>
      <c r="T90" s="87">
        <f t="shared" si="91"/>
        <v>6.9062333104448008</v>
      </c>
      <c r="U90" s="87">
        <f t="shared" si="91"/>
        <v>3.689631494621195</v>
      </c>
      <c r="V90" s="75">
        <f ca="1">($I$88*$S90+$J$88*$T90+$K$88*$U90)</f>
        <v>44.1821251261971</v>
      </c>
      <c r="W90" s="75">
        <f ca="1">($I$89*$S90+$J$89*$T90+$K$89*$U90)</f>
        <v>40.151080271771868</v>
      </c>
      <c r="X90" s="75">
        <f ca="1">($I$90*$S90+$J$90*$T90+$K$90*$U90)</f>
        <v>13.656707315024128</v>
      </c>
    </row>
    <row r="91" spans="2:24" ht="17.25" customHeight="1">
      <c r="M91" s="56" t="str">
        <f t="shared" ca="1" si="89"/>
        <v>-1.157294,-2.295701,10.53483,</v>
      </c>
      <c r="N91" s="56"/>
      <c r="O91" s="56"/>
      <c r="P91" s="56"/>
      <c r="Q91" s="76">
        <f t="shared" ca="1" si="80"/>
        <v>3264.5739910313901</v>
      </c>
      <c r="R91" s="87">
        <f t="shared" si="81"/>
        <v>2</v>
      </c>
      <c r="S91" s="87">
        <f t="shared" si="91"/>
        <v>9.4345769436179143</v>
      </c>
      <c r="T91" s="87">
        <f t="shared" si="91"/>
        <v>6.8636606393530171</v>
      </c>
      <c r="U91" s="87">
        <f t="shared" si="91"/>
        <v>3.9758144502937363</v>
      </c>
      <c r="V91" s="75">
        <f ca="1">($I$88*$S91+$J$88*$T91+$K$88*$U91)</f>
        <v>42.187968123844342</v>
      </c>
      <c r="W91" s="75">
        <f ca="1">($I$89*$S91+$J$89*$T91+$K$89*$U91)</f>
        <v>39.755306432321476</v>
      </c>
      <c r="X91" s="75">
        <f ca="1">($I$90*$S91+$J$90*$T91+$K$90*$U91)</f>
        <v>18.569751351112807</v>
      </c>
    </row>
    <row r="92" spans="2:24" ht="17.25" customHeight="1">
      <c r="M92" s="56" t="str">
        <f t="shared" ca="1" si="89"/>
        <v>2.565916,1.999992,1.069559,</v>
      </c>
      <c r="N92" s="56"/>
      <c r="O92" s="56"/>
      <c r="P92" s="56"/>
      <c r="Q92" s="76">
        <f t="shared" ca="1" si="80"/>
        <v>3913.9784946236555</v>
      </c>
      <c r="R92" s="87">
        <f t="shared" si="81"/>
        <v>2</v>
      </c>
      <c r="S92" s="87">
        <f t="shared" si="91"/>
        <v>8.5523765926604103</v>
      </c>
      <c r="T92" s="87">
        <f t="shared" si="91"/>
        <v>6.9417105363546199</v>
      </c>
      <c r="U92" s="87">
        <f t="shared" si="91"/>
        <v>4.3944457160296029</v>
      </c>
      <c r="V92" s="75">
        <f ca="1">($I$88*$S92+$J$88*$T92+$K$88*$U92)</f>
        <v>40.528166487367194</v>
      </c>
      <c r="W92" s="75">
        <f ca="1">($I$89*$S92+$J$89*$T92+$K$89*$U92)</f>
        <v>40.030514087973678</v>
      </c>
      <c r="X92" s="75">
        <f ca="1">($I$90*$S92+$J$90*$T92+$K$90*$U92)</f>
        <v>24.853492773909402</v>
      </c>
    </row>
    <row r="93" spans="2:24" ht="17.25" customHeight="1">
      <c r="M93" s="56" t="str">
        <f t="shared" ca="1" si="89"/>
        <v>-0.1035221,6.3677,-0.7479563,</v>
      </c>
      <c r="N93" s="56"/>
      <c r="O93" s="56"/>
      <c r="P93" s="56"/>
      <c r="Q93" s="76">
        <f t="shared" ca="1" si="80"/>
        <v>4885.9060402684554</v>
      </c>
      <c r="R93" s="87">
        <f t="shared" si="81"/>
        <v>2</v>
      </c>
      <c r="S93" s="87">
        <f t="shared" si="91"/>
        <v>7.7813382162203402</v>
      </c>
      <c r="T93" s="87">
        <f t="shared" si="91"/>
        <v>7.012664988174258</v>
      </c>
      <c r="U93" s="87">
        <f t="shared" si="91"/>
        <v>5.0259403372243838</v>
      </c>
      <c r="V93" s="75">
        <f ca="1">($I$88*$S93+$J$88*$T93+$K$88*$U93)</f>
        <v>39.367076268822636</v>
      </c>
      <c r="W93" s="75">
        <f ca="1">($I$89*$S93+$J$89*$T93+$K$89*$U93)</f>
        <v>40.089819867666058</v>
      </c>
      <c r="X93" s="75">
        <f ca="1">($I$90*$S93+$J$90*$T93+$K$90*$U93)</f>
        <v>33.663138459473195</v>
      </c>
    </row>
    <row r="94" spans="2:24" ht="17.25" customHeight="1">
      <c r="M94" s="56" t="str">
        <f t="shared" ca="1" si="89"/>
        <v>-1.413135,-2.602879,12.51753,</v>
      </c>
      <c r="N94" s="56"/>
      <c r="O94" s="56"/>
      <c r="P94" s="56"/>
      <c r="Q94" s="76">
        <f t="shared" si="80"/>
        <v>6500</v>
      </c>
      <c r="R94" s="87">
        <f t="shared" si="81"/>
        <v>2</v>
      </c>
      <c r="S94" s="87">
        <f t="shared" si="91"/>
        <v>7.1332875562676437</v>
      </c>
      <c r="T94" s="87">
        <f t="shared" si="91"/>
        <v>7.0812542915999082</v>
      </c>
      <c r="U94" s="87">
        <f t="shared" si="91"/>
        <v>5.8584725719081403</v>
      </c>
      <c r="V94" s="75">
        <f ca="1">($I$88*$S94+$J$88*$T94+$K$88*$U94)</f>
        <v>38.731853550925663</v>
      </c>
      <c r="W94" s="75">
        <f ca="1">($I$89*$S94+$J$89*$T94+$K$89*$U94)</f>
        <v>39.970965792918093</v>
      </c>
      <c r="X94" s="75">
        <f ca="1">($I$90*$S94+$J$90*$T94+$K$90*$U94)</f>
        <v>44.821635617381652</v>
      </c>
    </row>
    <row r="101" spans="30:31" ht="17.25" customHeight="1">
      <c r="AD101" s="76"/>
      <c r="AE101" s="87"/>
    </row>
    <row r="102" spans="30:31" ht="17.25" customHeight="1">
      <c r="AD102" s="76"/>
    </row>
    <row r="103" spans="30:31" ht="17.25" customHeight="1">
      <c r="AD103" s="76"/>
    </row>
  </sheetData>
  <mergeCells count="24">
    <mergeCell ref="B3:V4"/>
    <mergeCell ref="B23:X24"/>
    <mergeCell ref="V78:X78"/>
    <mergeCell ref="T60:Y60"/>
    <mergeCell ref="S78:U78"/>
    <mergeCell ref="E78:H78"/>
    <mergeCell ref="B78:D78"/>
    <mergeCell ref="B25:D25"/>
    <mergeCell ref="O7:Q7"/>
    <mergeCell ref="L16:N16"/>
    <mergeCell ref="S7:V7"/>
    <mergeCell ref="S11:V11"/>
    <mergeCell ref="J25:L25"/>
    <mergeCell ref="M25:P25"/>
    <mergeCell ref="D42:I42"/>
    <mergeCell ref="B40:Z41"/>
    <mergeCell ref="J42:M42"/>
    <mergeCell ref="E82:E84"/>
    <mergeCell ref="E85:E87"/>
    <mergeCell ref="E88:E90"/>
    <mergeCell ref="N60:S60"/>
    <mergeCell ref="K60:L60"/>
    <mergeCell ref="E79:E81"/>
    <mergeCell ref="I81:K81"/>
  </mergeCells>
  <pageMargins left="0.7" right="0.7" top="0.75" bottom="0.75" header="0.3" footer="0.3"/>
  <pageSetup orientation="portrait" r:id="rId1"/>
  <drawing r:id="rId2"/>
  <legacyDrawing r:id="rId3"/>
  <controls>
    <control shapeId="3075" r:id="rId4" name="cbOpenColor"/>
    <control shapeId="3074" r:id="rId5" name="cbMeasure"/>
  </controls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C5"/>
  <sheetViews>
    <sheetView workbookViewId="0">
      <selection activeCell="A5" sqref="A5:C5"/>
    </sheetView>
  </sheetViews>
  <sheetFormatPr defaultRowHeight="15"/>
  <sheetData>
    <row r="1" spans="1:3">
      <c r="A1" s="11">
        <v>445.5</v>
      </c>
      <c r="B1" s="11">
        <v>1050</v>
      </c>
    </row>
    <row r="5" spans="1:3">
      <c r="A5">
        <v>379.8</v>
      </c>
      <c r="B5">
        <v>431.5</v>
      </c>
      <c r="C5">
        <v>404.4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45</vt:i4>
      </vt:variant>
    </vt:vector>
  </HeadingPairs>
  <TitlesOfParts>
    <vt:vector size="48" baseType="lpstr">
      <vt:lpstr>EVB CCT Cal</vt:lpstr>
      <vt:lpstr>Monitor Cal</vt:lpstr>
      <vt:lpstr>Sheet1</vt:lpstr>
      <vt:lpstr>AVG</vt:lpstr>
      <vt:lpstr>Blue</vt:lpstr>
      <vt:lpstr>cmpA0</vt:lpstr>
      <vt:lpstr>cmpAN</vt:lpstr>
      <vt:lpstr>cmpCWF0</vt:lpstr>
      <vt:lpstr>cmpCWFN</vt:lpstr>
      <vt:lpstr>cmpSet</vt:lpstr>
      <vt:lpstr>cmpTest</vt:lpstr>
      <vt:lpstr>cmpThres</vt:lpstr>
      <vt:lpstr>code000</vt:lpstr>
      <vt:lpstr>code001</vt:lpstr>
      <vt:lpstr>code002</vt:lpstr>
      <vt:lpstr>code010</vt:lpstr>
      <vt:lpstr>code011</vt:lpstr>
      <vt:lpstr>code012</vt:lpstr>
      <vt:lpstr>code020</vt:lpstr>
      <vt:lpstr>code021</vt:lpstr>
      <vt:lpstr>code022</vt:lpstr>
      <vt:lpstr>code100</vt:lpstr>
      <vt:lpstr>code101</vt:lpstr>
      <vt:lpstr>code102</vt:lpstr>
      <vt:lpstr>code110</vt:lpstr>
      <vt:lpstr>code111</vt:lpstr>
      <vt:lpstr>code112</vt:lpstr>
      <vt:lpstr>code120</vt:lpstr>
      <vt:lpstr>code121</vt:lpstr>
      <vt:lpstr>code122</vt:lpstr>
      <vt:lpstr>code200</vt:lpstr>
      <vt:lpstr>code201</vt:lpstr>
      <vt:lpstr>code202</vt:lpstr>
      <vt:lpstr>code210</vt:lpstr>
      <vt:lpstr>code211</vt:lpstr>
      <vt:lpstr>code212</vt:lpstr>
      <vt:lpstr>code220</vt:lpstr>
      <vt:lpstr>code221</vt:lpstr>
      <vt:lpstr>code222</vt:lpstr>
      <vt:lpstr>Gain</vt:lpstr>
      <vt:lpstr>Green</vt:lpstr>
      <vt:lpstr>HI</vt:lpstr>
      <vt:lpstr>HS</vt:lpstr>
      <vt:lpstr>LO</vt:lpstr>
      <vt:lpstr>RangeList</vt:lpstr>
      <vt:lpstr>Red</vt:lpstr>
      <vt:lpstr>RGBdata</vt:lpstr>
      <vt:lpstr>setData</vt:lpstr>
    </vt:vector>
  </TitlesOfParts>
  <Company>Intersil Corporation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jgetchel</dc:creator>
  <cp:lastModifiedBy>jgetchel</cp:lastModifiedBy>
  <dcterms:created xsi:type="dcterms:W3CDTF">2014-04-15T02:33:46Z</dcterms:created>
  <dcterms:modified xsi:type="dcterms:W3CDTF">2014-12-02T22:18:01Z</dcterms:modified>
</cp:coreProperties>
</file>