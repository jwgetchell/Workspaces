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charts/chart4.xml" ContentType="application/vnd.openxmlformats-officedocument.drawingml.chart+xml"/>
  <Override PartName="/xl/activeX/activeX19.xml" ContentType="application/vnd.ms-office.activeX+xml"/>
  <Override PartName="/xl/activeX/activeX5.xml" ContentType="application/vnd.ms-office.activeX+xml"/>
  <Override PartName="/xl/charts/chart2.xml" ContentType="application/vnd.openxmlformats-officedocument.drawingml.chart+xml"/>
  <Override PartName="/xl/activeX/activeX12.bin" ContentType="application/vnd.ms-office.activeX"/>
  <Override PartName="/xl/activeX/activeX17.xml" ContentType="application/vnd.ms-office.activeX+xml"/>
  <Override PartName="/xl/drawings/drawing4.xml" ContentType="application/vnd.openxmlformats-officedocument.drawing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charts/chart5.xml" ContentType="application/vnd.openxmlformats-officedocument.drawingml.chart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charts/chart3.xml" ContentType="application/vnd.openxmlformats-officedocument.drawingml.chart+xml"/>
  <Override PartName="/xl/activeX/activeX20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825" yWindow="1830" windowWidth="16575" windowHeight="1515" firstSheet="3" activeTab="3"/>
  </bookViews>
  <sheets>
    <sheet name="EVB CCT Cal" sheetId="2" r:id="rId1"/>
    <sheet name="Monitor Cal" sheetId="3" r:id="rId2"/>
    <sheet name="Simple" sheetId="4" r:id="rId3"/>
    <sheet name="pink noise" sheetId="5" r:id="rId4"/>
  </sheets>
  <functionGroups/>
  <definedNames>
    <definedName name="AVG">'EVB CCT Cal'!$B$4</definedName>
    <definedName name="Bcomp">'EVB CCT Cal'!$C$12</definedName>
    <definedName name="Blue">'EVB CCT Cal'!$S$62</definedName>
    <definedName name="blueCount0" localSheetId="0">'EVB CCT Cal'!#REF!</definedName>
    <definedName name="blueCount0" localSheetId="3">#REF!</definedName>
    <definedName name="blueCount0">#REF!</definedName>
    <definedName name="blueCount1" localSheetId="0">'EVB CCT Cal'!#REF!</definedName>
    <definedName name="blueCount1" localSheetId="3">#REF!</definedName>
    <definedName name="blueCount1">#REF!</definedName>
    <definedName name="blueCount2" localSheetId="0">'EVB CCT Cal'!#REF!</definedName>
    <definedName name="blueCount2" localSheetId="3">#REF!</definedName>
    <definedName name="blueCount2">#REF!</definedName>
    <definedName name="blueCount3" localSheetId="0">'EVB CCT Cal'!#REF!</definedName>
    <definedName name="blueCount3" localSheetId="3">#REF!</definedName>
    <definedName name="blueCount3">#REF!</definedName>
    <definedName name="blueVal" localSheetId="0">'EVB CCT Cal'!#REF!</definedName>
    <definedName name="blueVal" localSheetId="3">#REF!</definedName>
    <definedName name="blueVal">#REF!</definedName>
    <definedName name="Bratio">'EVB CCT Cal'!$D$12</definedName>
    <definedName name="Btarget">'EVB CCT Cal'!$M$6</definedName>
    <definedName name="cmpA0">'EVB CCT Cal'!$E$6</definedName>
    <definedName name="cmpAN">'EVB CCT Cal'!$E$7</definedName>
    <definedName name="cmpCWF0">'EVB CCT Cal'!$H$6</definedName>
    <definedName name="cmpCWFN">'EVB CCT Cal'!$H$7</definedName>
    <definedName name="cmpSet">'EVB CCT Cal'!$C$9</definedName>
    <definedName name="cmpTest">'EVB CCT Cal'!$C$7</definedName>
    <definedName name="cmpThres">'EVB CCT Cal'!$B$7</definedName>
    <definedName name="code000">'EVB CCT Cal'!$G$23</definedName>
    <definedName name="code001">'EVB CCT Cal'!$I$23</definedName>
    <definedName name="code002">'EVB CCT Cal'!$L$23</definedName>
    <definedName name="code003">'EVB CCT Cal'!$M$23</definedName>
    <definedName name="code010">'EVB CCT Cal'!$G$24</definedName>
    <definedName name="code011">'EVB CCT Cal'!$I$24</definedName>
    <definedName name="code012">'EVB CCT Cal'!$L$24</definedName>
    <definedName name="code013">'EVB CCT Cal'!$M$24</definedName>
    <definedName name="code020">'EVB CCT Cal'!$G$25</definedName>
    <definedName name="code021">'EVB CCT Cal'!$I$25</definedName>
    <definedName name="code022">'EVB CCT Cal'!$L$25</definedName>
    <definedName name="code023">'EVB CCT Cal'!$M$25</definedName>
    <definedName name="code100">'EVB CCT Cal'!$G$17</definedName>
    <definedName name="code101">'EVB CCT Cal'!$I$17</definedName>
    <definedName name="code102">'EVB CCT Cal'!$L$17</definedName>
    <definedName name="code103">'EVB CCT Cal'!$M$17</definedName>
    <definedName name="code110">'EVB CCT Cal'!$G$18</definedName>
    <definedName name="code111">'EVB CCT Cal'!$I$18</definedName>
    <definedName name="code112">'EVB CCT Cal'!$L$18</definedName>
    <definedName name="code113">'EVB CCT Cal'!$M$18</definedName>
    <definedName name="code120">'EVB CCT Cal'!$G$19</definedName>
    <definedName name="code121">'EVB CCT Cal'!$I$19</definedName>
    <definedName name="code122">'EVB CCT Cal'!$L$19</definedName>
    <definedName name="code123">'EVB CCT Cal'!$M$19</definedName>
    <definedName name="code200">'EVB CCT Cal'!$G$20</definedName>
    <definedName name="code201">'EVB CCT Cal'!$I$20</definedName>
    <definedName name="code202">'EVB CCT Cal'!$L$20</definedName>
    <definedName name="code203">'EVB CCT Cal'!$M$20</definedName>
    <definedName name="code210">'EVB CCT Cal'!$G$21</definedName>
    <definedName name="code211">'EVB CCT Cal'!$I$21</definedName>
    <definedName name="code212">'EVB CCT Cal'!$L$21</definedName>
    <definedName name="code213">'EVB CCT Cal'!$M$21</definedName>
    <definedName name="code220">'EVB CCT Cal'!$G$22</definedName>
    <definedName name="code221">'EVB CCT Cal'!$I$22</definedName>
    <definedName name="code222">'EVB CCT Cal'!$L$22</definedName>
    <definedName name="code223">'EVB CCT Cal'!$M$22</definedName>
    <definedName name="Gain">'EVB CCT Cal'!$S$66</definedName>
    <definedName name="Green">'EVB CCT Cal'!$R$63</definedName>
    <definedName name="greenCount0" localSheetId="0">'EVB CCT Cal'!#REF!</definedName>
    <definedName name="greenCount0" localSheetId="3">#REF!</definedName>
    <definedName name="greenCount0">#REF!</definedName>
    <definedName name="greenCount1" localSheetId="0">'EVB CCT Cal'!#REF!</definedName>
    <definedName name="greenCount1" localSheetId="3">#REF!</definedName>
    <definedName name="greenCount1">#REF!</definedName>
    <definedName name="greenCount2" localSheetId="0">'EVB CCT Cal'!#REF!</definedName>
    <definedName name="greenCount2" localSheetId="3">#REF!</definedName>
    <definedName name="greenCount2">#REF!</definedName>
    <definedName name="greenCount3" localSheetId="0">'EVB CCT Cal'!#REF!</definedName>
    <definedName name="greenCount3" localSheetId="3">#REF!</definedName>
    <definedName name="greenCount3">#REF!</definedName>
    <definedName name="greenVal" localSheetId="0">'EVB CCT Cal'!#REF!</definedName>
    <definedName name="greenVal" localSheetId="3">#REF!</definedName>
    <definedName name="greenVal">#REF!</definedName>
    <definedName name="HI">'EVB CCT Cal'!$C$41</definedName>
    <definedName name="HS">'EVB CCT Cal'!$C$42</definedName>
    <definedName name="LO">'EVB CCT Cal'!$C$40</definedName>
    <definedName name="RangeList">'EVB CCT Cal'!$B$40:$B$42</definedName>
    <definedName name="Ratio">'EVB CCT Cal'!$R$62</definedName>
    <definedName name="Rcomp">'EVB CCT Cal'!$C$11</definedName>
    <definedName name="Red">'EVB CCT Cal'!$Q$62</definedName>
    <definedName name="redCount0" localSheetId="0">'EVB CCT Cal'!#REF!</definedName>
    <definedName name="redCount0" localSheetId="3">#REF!</definedName>
    <definedName name="redCount0">#REF!</definedName>
    <definedName name="redCount1" localSheetId="0">'EVB CCT Cal'!#REF!</definedName>
    <definedName name="redCount1" localSheetId="3">#REF!</definedName>
    <definedName name="redCount1">#REF!</definedName>
    <definedName name="redCount2" localSheetId="0">'EVB CCT Cal'!#REF!</definedName>
    <definedName name="redCount2" localSheetId="3">#REF!</definedName>
    <definedName name="redCount2">#REF!</definedName>
    <definedName name="redCount3" localSheetId="0">'EVB CCT Cal'!#REF!</definedName>
    <definedName name="redCount3" localSheetId="3">#REF!</definedName>
    <definedName name="redCount3">#REF!</definedName>
    <definedName name="redVal" localSheetId="0">'EVB CCT Cal'!#REF!</definedName>
    <definedName name="redVal" localSheetId="3">#REF!</definedName>
    <definedName name="redVal">#REF!</definedName>
    <definedName name="RGBdata">'Monitor Cal'!$K$44:$M$58</definedName>
    <definedName name="Rratio">'EVB CCT Cal'!$D$11</definedName>
    <definedName name="Rtarget">'EVB CCT Cal'!$M$5</definedName>
    <definedName name="setData">'Monitor Cal'!$G$44:$I$58</definedName>
    <definedName name="solver_adj" localSheetId="0" hidden="1">'EVB CCT Cal'!$C$12</definedName>
    <definedName name="solver_adj" localSheetId="1" hidden="1">'Monitor Cal'!$H$25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st" localSheetId="0" hidden="1">1</definedName>
    <definedName name="solver_est" localSheetId="1" hidden="1">1</definedName>
    <definedName name="solver_itr" localSheetId="0" hidden="1">100</definedName>
    <definedName name="solver_itr" localSheetId="1" hidden="1">100</definedName>
    <definedName name="solver_lin" localSheetId="0" hidden="1">2</definedName>
    <definedName name="solver_lin" localSheetId="1" hidden="1">2</definedName>
    <definedName name="solver_neg" localSheetId="0" hidden="1">2</definedName>
    <definedName name="solver_neg" localSheetId="1" hidden="1">2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'EVB CCT Cal'!$M$6</definedName>
    <definedName name="solver_opt" localSheetId="1" hidden="1">'Monitor Cal'!$I$25</definedName>
    <definedName name="solver_pre" localSheetId="0" hidden="1">0.000001</definedName>
    <definedName name="solver_pre" localSheetId="1" hidden="1">0.000001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tim" localSheetId="0" hidden="1">100</definedName>
    <definedName name="solver_tim" localSheetId="1" hidden="1">100</definedName>
    <definedName name="solver_tol" localSheetId="0" hidden="1">0.05</definedName>
    <definedName name="solver_tol" localSheetId="1" hidden="1">0.05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200</definedName>
  </definedNames>
  <calcPr calcId="125725" calcMode="manual" iterate="1"/>
</workbook>
</file>

<file path=xl/calcChain.xml><?xml version="1.0" encoding="utf-8"?>
<calcChain xmlns="http://schemas.openxmlformats.org/spreadsheetml/2006/main">
  <c r="AB12" i="5"/>
  <c r="Z12"/>
  <c r="Y15"/>
  <c r="Z15" s="1"/>
  <c r="Y13"/>
  <c r="Z13" s="1"/>
  <c r="Q7"/>
  <c r="AA139" s="1"/>
  <c r="AB139" s="1"/>
  <c r="Q3"/>
  <c r="H10" s="1"/>
  <c r="U13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X12"/>
  <c r="S3"/>
  <c r="J10" s="1"/>
  <c r="R3"/>
  <c r="I9" s="1"/>
  <c r="G267"/>
  <c r="F267"/>
  <c r="E267"/>
  <c r="G266"/>
  <c r="F266"/>
  <c r="E266"/>
  <c r="G265"/>
  <c r="F265"/>
  <c r="E265"/>
  <c r="G264"/>
  <c r="F264"/>
  <c r="E264"/>
  <c r="G263"/>
  <c r="F263"/>
  <c r="E263"/>
  <c r="G262"/>
  <c r="F262"/>
  <c r="E262"/>
  <c r="G261"/>
  <c r="F261"/>
  <c r="E261"/>
  <c r="G260"/>
  <c r="F260"/>
  <c r="E260"/>
  <c r="G259"/>
  <c r="F259"/>
  <c r="E259"/>
  <c r="G258"/>
  <c r="F258"/>
  <c r="E258"/>
  <c r="G257"/>
  <c r="F257"/>
  <c r="E257"/>
  <c r="G256"/>
  <c r="F256"/>
  <c r="E256"/>
  <c r="G255"/>
  <c r="F255"/>
  <c r="E255"/>
  <c r="G254"/>
  <c r="F254"/>
  <c r="E254"/>
  <c r="G253"/>
  <c r="F253"/>
  <c r="E253"/>
  <c r="G252"/>
  <c r="F252"/>
  <c r="E252"/>
  <c r="G251"/>
  <c r="F251"/>
  <c r="E251"/>
  <c r="G250"/>
  <c r="F250"/>
  <c r="E250"/>
  <c r="G249"/>
  <c r="F249"/>
  <c r="E249"/>
  <c r="G248"/>
  <c r="F248"/>
  <c r="E248"/>
  <c r="G247"/>
  <c r="F247"/>
  <c r="E247"/>
  <c r="G246"/>
  <c r="F246"/>
  <c r="E246"/>
  <c r="G245"/>
  <c r="F245"/>
  <c r="E245"/>
  <c r="G244"/>
  <c r="F244"/>
  <c r="E244"/>
  <c r="G243"/>
  <c r="F243"/>
  <c r="E243"/>
  <c r="G242"/>
  <c r="F242"/>
  <c r="E242"/>
  <c r="G241"/>
  <c r="F241"/>
  <c r="E241"/>
  <c r="G240"/>
  <c r="F240"/>
  <c r="E240"/>
  <c r="G239"/>
  <c r="F239"/>
  <c r="E239"/>
  <c r="G238"/>
  <c r="F238"/>
  <c r="E238"/>
  <c r="G237"/>
  <c r="F237"/>
  <c r="E237"/>
  <c r="G236"/>
  <c r="F236"/>
  <c r="E236"/>
  <c r="G235"/>
  <c r="F235"/>
  <c r="E235"/>
  <c r="G234"/>
  <c r="F234"/>
  <c r="E234"/>
  <c r="G233"/>
  <c r="F233"/>
  <c r="E233"/>
  <c r="G232"/>
  <c r="F232"/>
  <c r="E232"/>
  <c r="G231"/>
  <c r="F231"/>
  <c r="E231"/>
  <c r="G230"/>
  <c r="F230"/>
  <c r="E230"/>
  <c r="G229"/>
  <c r="F229"/>
  <c r="E229"/>
  <c r="G228"/>
  <c r="F228"/>
  <c r="E228"/>
  <c r="G227"/>
  <c r="F227"/>
  <c r="E227"/>
  <c r="G226"/>
  <c r="F226"/>
  <c r="E226"/>
  <c r="G225"/>
  <c r="F225"/>
  <c r="E225"/>
  <c r="G224"/>
  <c r="F224"/>
  <c r="E224"/>
  <c r="G223"/>
  <c r="F223"/>
  <c r="E223"/>
  <c r="G222"/>
  <c r="F222"/>
  <c r="E222"/>
  <c r="G221"/>
  <c r="F221"/>
  <c r="E221"/>
  <c r="G220"/>
  <c r="F220"/>
  <c r="E220"/>
  <c r="G219"/>
  <c r="F219"/>
  <c r="E219"/>
  <c r="G218"/>
  <c r="F218"/>
  <c r="E218"/>
  <c r="G217"/>
  <c r="F217"/>
  <c r="E217"/>
  <c r="G216"/>
  <c r="F216"/>
  <c r="E216"/>
  <c r="G215"/>
  <c r="F215"/>
  <c r="E215"/>
  <c r="G214"/>
  <c r="F214"/>
  <c r="E214"/>
  <c r="G213"/>
  <c r="F213"/>
  <c r="E213"/>
  <c r="G212"/>
  <c r="F212"/>
  <c r="E212"/>
  <c r="G211"/>
  <c r="F211"/>
  <c r="E211"/>
  <c r="G210"/>
  <c r="F210"/>
  <c r="E210"/>
  <c r="G209"/>
  <c r="F209"/>
  <c r="E209"/>
  <c r="G208"/>
  <c r="F208"/>
  <c r="E208"/>
  <c r="G207"/>
  <c r="F207"/>
  <c r="E207"/>
  <c r="G206"/>
  <c r="F206"/>
  <c r="E206"/>
  <c r="G205"/>
  <c r="F205"/>
  <c r="E205"/>
  <c r="G204"/>
  <c r="F204"/>
  <c r="E204"/>
  <c r="G203"/>
  <c r="F203"/>
  <c r="E203"/>
  <c r="G202"/>
  <c r="F202"/>
  <c r="E202"/>
  <c r="G201"/>
  <c r="F201"/>
  <c r="E201"/>
  <c r="G200"/>
  <c r="F200"/>
  <c r="E200"/>
  <c r="G199"/>
  <c r="F199"/>
  <c r="E199"/>
  <c r="G198"/>
  <c r="F198"/>
  <c r="E198"/>
  <c r="G197"/>
  <c r="F197"/>
  <c r="E197"/>
  <c r="G196"/>
  <c r="F196"/>
  <c r="E196"/>
  <c r="G195"/>
  <c r="F195"/>
  <c r="E195"/>
  <c r="G194"/>
  <c r="F194"/>
  <c r="E194"/>
  <c r="G193"/>
  <c r="F193"/>
  <c r="E193"/>
  <c r="G192"/>
  <c r="F192"/>
  <c r="E192"/>
  <c r="G191"/>
  <c r="F191"/>
  <c r="E191"/>
  <c r="G190"/>
  <c r="F190"/>
  <c r="E190"/>
  <c r="G189"/>
  <c r="F189"/>
  <c r="E189"/>
  <c r="G188"/>
  <c r="F188"/>
  <c r="E188"/>
  <c r="G187"/>
  <c r="F187"/>
  <c r="E187"/>
  <c r="G186"/>
  <c r="F186"/>
  <c r="E186"/>
  <c r="G185"/>
  <c r="F185"/>
  <c r="E185"/>
  <c r="G184"/>
  <c r="F184"/>
  <c r="E184"/>
  <c r="G183"/>
  <c r="F183"/>
  <c r="E183"/>
  <c r="G182"/>
  <c r="F182"/>
  <c r="E182"/>
  <c r="G181"/>
  <c r="F181"/>
  <c r="E181"/>
  <c r="G180"/>
  <c r="F180"/>
  <c r="E180"/>
  <c r="G179"/>
  <c r="F179"/>
  <c r="E179"/>
  <c r="G178"/>
  <c r="F178"/>
  <c r="E178"/>
  <c r="G177"/>
  <c r="F177"/>
  <c r="E177"/>
  <c r="G176"/>
  <c r="F176"/>
  <c r="E176"/>
  <c r="G175"/>
  <c r="F175"/>
  <c r="E175"/>
  <c r="G174"/>
  <c r="F174"/>
  <c r="E174"/>
  <c r="G173"/>
  <c r="F173"/>
  <c r="E173"/>
  <c r="G172"/>
  <c r="F172"/>
  <c r="E172"/>
  <c r="G171"/>
  <c r="F171"/>
  <c r="E171"/>
  <c r="G170"/>
  <c r="F170"/>
  <c r="E170"/>
  <c r="G169"/>
  <c r="F169"/>
  <c r="E169"/>
  <c r="G168"/>
  <c r="F168"/>
  <c r="E168"/>
  <c r="G167"/>
  <c r="F167"/>
  <c r="E167"/>
  <c r="G166"/>
  <c r="F166"/>
  <c r="E166"/>
  <c r="G165"/>
  <c r="F165"/>
  <c r="E165"/>
  <c r="G164"/>
  <c r="F164"/>
  <c r="E164"/>
  <c r="G163"/>
  <c r="F163"/>
  <c r="E163"/>
  <c r="G162"/>
  <c r="F162"/>
  <c r="E162"/>
  <c r="G161"/>
  <c r="F161"/>
  <c r="E161"/>
  <c r="G160"/>
  <c r="F160"/>
  <c r="E160"/>
  <c r="G159"/>
  <c r="F159"/>
  <c r="E159"/>
  <c r="G158"/>
  <c r="F158"/>
  <c r="E158"/>
  <c r="G157"/>
  <c r="F157"/>
  <c r="E157"/>
  <c r="G156"/>
  <c r="F156"/>
  <c r="E156"/>
  <c r="G155"/>
  <c r="F155"/>
  <c r="E155"/>
  <c r="G154"/>
  <c r="F154"/>
  <c r="E154"/>
  <c r="G153"/>
  <c r="F153"/>
  <c r="E153"/>
  <c r="G152"/>
  <c r="F152"/>
  <c r="E152"/>
  <c r="G151"/>
  <c r="F151"/>
  <c r="E151"/>
  <c r="G150"/>
  <c r="F150"/>
  <c r="E150"/>
  <c r="G149"/>
  <c r="F149"/>
  <c r="E149"/>
  <c r="G148"/>
  <c r="F148"/>
  <c r="E148"/>
  <c r="G147"/>
  <c r="F147"/>
  <c r="E147"/>
  <c r="G146"/>
  <c r="F146"/>
  <c r="E146"/>
  <c r="G145"/>
  <c r="F145"/>
  <c r="E145"/>
  <c r="G144"/>
  <c r="F144"/>
  <c r="E144"/>
  <c r="G143"/>
  <c r="F143"/>
  <c r="E143"/>
  <c r="G142"/>
  <c r="F142"/>
  <c r="E142"/>
  <c r="G141"/>
  <c r="F141"/>
  <c r="E141"/>
  <c r="G140"/>
  <c r="F140"/>
  <c r="E140"/>
  <c r="G139"/>
  <c r="F139"/>
  <c r="E139"/>
  <c r="G138"/>
  <c r="F138"/>
  <c r="E138"/>
  <c r="G137"/>
  <c r="F137"/>
  <c r="E137"/>
  <c r="G136"/>
  <c r="F136"/>
  <c r="E136"/>
  <c r="G135"/>
  <c r="F135"/>
  <c r="E135"/>
  <c r="G134"/>
  <c r="F134"/>
  <c r="E134"/>
  <c r="G133"/>
  <c r="F133"/>
  <c r="E133"/>
  <c r="G132"/>
  <c r="F132"/>
  <c r="E132"/>
  <c r="G131"/>
  <c r="F131"/>
  <c r="E131"/>
  <c r="G130"/>
  <c r="F130"/>
  <c r="E130"/>
  <c r="G129"/>
  <c r="F129"/>
  <c r="E129"/>
  <c r="G128"/>
  <c r="F128"/>
  <c r="E128"/>
  <c r="G127"/>
  <c r="F127"/>
  <c r="E127"/>
  <c r="G126"/>
  <c r="F126"/>
  <c r="E126"/>
  <c r="G125"/>
  <c r="F125"/>
  <c r="E125"/>
  <c r="G124"/>
  <c r="F124"/>
  <c r="E124"/>
  <c r="G123"/>
  <c r="F123"/>
  <c r="E123"/>
  <c r="G122"/>
  <c r="F122"/>
  <c r="E122"/>
  <c r="G121"/>
  <c r="F121"/>
  <c r="E121"/>
  <c r="G120"/>
  <c r="F120"/>
  <c r="E120"/>
  <c r="G119"/>
  <c r="F119"/>
  <c r="E119"/>
  <c r="G118"/>
  <c r="F118"/>
  <c r="E118"/>
  <c r="G117"/>
  <c r="F117"/>
  <c r="E117"/>
  <c r="G116"/>
  <c r="F116"/>
  <c r="E116"/>
  <c r="G115"/>
  <c r="F115"/>
  <c r="E115"/>
  <c r="G114"/>
  <c r="F114"/>
  <c r="E114"/>
  <c r="G113"/>
  <c r="F113"/>
  <c r="E113"/>
  <c r="G112"/>
  <c r="F112"/>
  <c r="E112"/>
  <c r="G111"/>
  <c r="F111"/>
  <c r="E111"/>
  <c r="G110"/>
  <c r="F110"/>
  <c r="E110"/>
  <c r="G109"/>
  <c r="F109"/>
  <c r="E109"/>
  <c r="G108"/>
  <c r="F108"/>
  <c r="E108"/>
  <c r="G107"/>
  <c r="F107"/>
  <c r="E107"/>
  <c r="G106"/>
  <c r="F106"/>
  <c r="E106"/>
  <c r="G105"/>
  <c r="F105"/>
  <c r="E105"/>
  <c r="G104"/>
  <c r="F104"/>
  <c r="E104"/>
  <c r="G103"/>
  <c r="F103"/>
  <c r="E103"/>
  <c r="G102"/>
  <c r="F102"/>
  <c r="E102"/>
  <c r="G101"/>
  <c r="F101"/>
  <c r="E101"/>
  <c r="G100"/>
  <c r="F100"/>
  <c r="E100"/>
  <c r="G99"/>
  <c r="F99"/>
  <c r="E99"/>
  <c r="G98"/>
  <c r="F98"/>
  <c r="E98"/>
  <c r="G97"/>
  <c r="F97"/>
  <c r="E97"/>
  <c r="G96"/>
  <c r="F96"/>
  <c r="E96"/>
  <c r="G95"/>
  <c r="F95"/>
  <c r="E95"/>
  <c r="G94"/>
  <c r="F94"/>
  <c r="E94"/>
  <c r="G93"/>
  <c r="F93"/>
  <c r="E93"/>
  <c r="G92"/>
  <c r="F92"/>
  <c r="E92"/>
  <c r="G91"/>
  <c r="F91"/>
  <c r="E91"/>
  <c r="G90"/>
  <c r="F90"/>
  <c r="E90"/>
  <c r="G89"/>
  <c r="F89"/>
  <c r="E89"/>
  <c r="G88"/>
  <c r="F88"/>
  <c r="E88"/>
  <c r="G87"/>
  <c r="F87"/>
  <c r="E87"/>
  <c r="G86"/>
  <c r="F86"/>
  <c r="E86"/>
  <c r="G85"/>
  <c r="F85"/>
  <c r="E85"/>
  <c r="G84"/>
  <c r="F84"/>
  <c r="E84"/>
  <c r="G83"/>
  <c r="F83"/>
  <c r="E83"/>
  <c r="G82"/>
  <c r="F82"/>
  <c r="E82"/>
  <c r="G81"/>
  <c r="F81"/>
  <c r="E81"/>
  <c r="G80"/>
  <c r="F80"/>
  <c r="E80"/>
  <c r="G79"/>
  <c r="F79"/>
  <c r="E79"/>
  <c r="G78"/>
  <c r="F78"/>
  <c r="E78"/>
  <c r="G77"/>
  <c r="F77"/>
  <c r="E77"/>
  <c r="G76"/>
  <c r="F76"/>
  <c r="E76"/>
  <c r="G75"/>
  <c r="F75"/>
  <c r="E75"/>
  <c r="G74"/>
  <c r="F74"/>
  <c r="E74"/>
  <c r="G73"/>
  <c r="F73"/>
  <c r="E73"/>
  <c r="G72"/>
  <c r="F72"/>
  <c r="E72"/>
  <c r="G71"/>
  <c r="F71"/>
  <c r="E71"/>
  <c r="G70"/>
  <c r="F70"/>
  <c r="E70"/>
  <c r="G69"/>
  <c r="F69"/>
  <c r="E69"/>
  <c r="G68"/>
  <c r="F68"/>
  <c r="E68"/>
  <c r="G67"/>
  <c r="F67"/>
  <c r="E67"/>
  <c r="G66"/>
  <c r="F66"/>
  <c r="E66"/>
  <c r="G65"/>
  <c r="F65"/>
  <c r="E65"/>
  <c r="G64"/>
  <c r="F64"/>
  <c r="E64"/>
  <c r="G63"/>
  <c r="F63"/>
  <c r="E63"/>
  <c r="G62"/>
  <c r="F62"/>
  <c r="E62"/>
  <c r="G61"/>
  <c r="F61"/>
  <c r="E61"/>
  <c r="G60"/>
  <c r="F60"/>
  <c r="E60"/>
  <c r="G59"/>
  <c r="F59"/>
  <c r="E59"/>
  <c r="G58"/>
  <c r="F58"/>
  <c r="E58"/>
  <c r="G57"/>
  <c r="F57"/>
  <c r="E57"/>
  <c r="G56"/>
  <c r="F56"/>
  <c r="E56"/>
  <c r="G55"/>
  <c r="F55"/>
  <c r="E55"/>
  <c r="G54"/>
  <c r="F54"/>
  <c r="E54"/>
  <c r="G53"/>
  <c r="F53"/>
  <c r="E53"/>
  <c r="G52"/>
  <c r="F52"/>
  <c r="E52"/>
  <c r="G51"/>
  <c r="F51"/>
  <c r="E51"/>
  <c r="G50"/>
  <c r="F50"/>
  <c r="E50"/>
  <c r="G49"/>
  <c r="F49"/>
  <c r="E49"/>
  <c r="G48"/>
  <c r="F48"/>
  <c r="E48"/>
  <c r="G47"/>
  <c r="F47"/>
  <c r="E47"/>
  <c r="G46"/>
  <c r="F46"/>
  <c r="E46"/>
  <c r="G45"/>
  <c r="F45"/>
  <c r="E45"/>
  <c r="G44"/>
  <c r="F44"/>
  <c r="E44"/>
  <c r="G43"/>
  <c r="F43"/>
  <c r="E43"/>
  <c r="G42"/>
  <c r="F42"/>
  <c r="E42"/>
  <c r="G41"/>
  <c r="F41"/>
  <c r="E41"/>
  <c r="G40"/>
  <c r="F40"/>
  <c r="E40"/>
  <c r="G39"/>
  <c r="F39"/>
  <c r="E39"/>
  <c r="G38"/>
  <c r="F38"/>
  <c r="E38"/>
  <c r="G37"/>
  <c r="F37"/>
  <c r="E37"/>
  <c r="G36"/>
  <c r="F36"/>
  <c r="E36"/>
  <c r="G35"/>
  <c r="F35"/>
  <c r="E35"/>
  <c r="G34"/>
  <c r="F34"/>
  <c r="E34"/>
  <c r="G33"/>
  <c r="F33"/>
  <c r="E33"/>
  <c r="G32"/>
  <c r="F32"/>
  <c r="E32"/>
  <c r="G31"/>
  <c r="F31"/>
  <c r="E31"/>
  <c r="G30"/>
  <c r="F30"/>
  <c r="E30"/>
  <c r="G29"/>
  <c r="F29"/>
  <c r="E29"/>
  <c r="G28"/>
  <c r="F28"/>
  <c r="E28"/>
  <c r="G27"/>
  <c r="F27"/>
  <c r="E27"/>
  <c r="G26"/>
  <c r="F26"/>
  <c r="E26"/>
  <c r="G25"/>
  <c r="F25"/>
  <c r="E25"/>
  <c r="G24"/>
  <c r="F24"/>
  <c r="E24"/>
  <c r="G23"/>
  <c r="F23"/>
  <c r="E23"/>
  <c r="G22"/>
  <c r="F22"/>
  <c r="E22"/>
  <c r="G21"/>
  <c r="F21"/>
  <c r="E21"/>
  <c r="G20"/>
  <c r="F20"/>
  <c r="E20"/>
  <c r="G19"/>
  <c r="F19"/>
  <c r="E19"/>
  <c r="G18"/>
  <c r="F18"/>
  <c r="E18"/>
  <c r="G17"/>
  <c r="F17"/>
  <c r="E17"/>
  <c r="G16"/>
  <c r="F16"/>
  <c r="E16"/>
  <c r="G15"/>
  <c r="F15"/>
  <c r="E15"/>
  <c r="G14"/>
  <c r="F14"/>
  <c r="E14"/>
  <c r="G13"/>
  <c r="F13"/>
  <c r="E13"/>
  <c r="G12"/>
  <c r="F12"/>
  <c r="E12"/>
  <c r="G11"/>
  <c r="F11"/>
  <c r="E11"/>
  <c r="G10"/>
  <c r="F10"/>
  <c r="E10"/>
  <c r="G9"/>
  <c r="F9"/>
  <c r="E9"/>
  <c r="G8"/>
  <c r="F8"/>
  <c r="E8"/>
  <c r="G7"/>
  <c r="F7"/>
  <c r="E7"/>
  <c r="G6"/>
  <c r="F6"/>
  <c r="E6"/>
  <c r="G5"/>
  <c r="F5"/>
  <c r="E5"/>
  <c r="G4"/>
  <c r="F4"/>
  <c r="E4"/>
  <c r="G3"/>
  <c r="F3"/>
  <c r="E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G2"/>
  <c r="F2"/>
  <c r="E2"/>
  <c r="M1"/>
  <c r="P1" s="1"/>
  <c r="S1" s="1"/>
  <c r="L1"/>
  <c r="O1" s="1"/>
  <c r="R1" s="1"/>
  <c r="K1"/>
  <c r="N1" s="1"/>
  <c r="Q1" s="1"/>
  <c r="P11" i="4"/>
  <c r="P12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0"/>
  <c r="P9"/>
  <c r="P8"/>
  <c r="P7"/>
  <c r="P6"/>
  <c r="P5"/>
  <c r="P4"/>
  <c r="P3"/>
  <c r="U9" i="5" l="1"/>
  <c r="Y17"/>
  <c r="Z17" s="1"/>
  <c r="Y25"/>
  <c r="Z25" s="1"/>
  <c r="Y33"/>
  <c r="Z33" s="1"/>
  <c r="Y41"/>
  <c r="Z41" s="1"/>
  <c r="Y49"/>
  <c r="Z49" s="1"/>
  <c r="Y57"/>
  <c r="Z57" s="1"/>
  <c r="Y65"/>
  <c r="Z65" s="1"/>
  <c r="Y73"/>
  <c r="Z73" s="1"/>
  <c r="Y81"/>
  <c r="Z81" s="1"/>
  <c r="Y89"/>
  <c r="Z89" s="1"/>
  <c r="Y97"/>
  <c r="Z97" s="1"/>
  <c r="Y105"/>
  <c r="Z105" s="1"/>
  <c r="Y113"/>
  <c r="Z113" s="1"/>
  <c r="Y121"/>
  <c r="Z121" s="1"/>
  <c r="Y129"/>
  <c r="Z129" s="1"/>
  <c r="Y137"/>
  <c r="Z137" s="1"/>
  <c r="Y23"/>
  <c r="Z23" s="1"/>
  <c r="Y31"/>
  <c r="Z31" s="1"/>
  <c r="Y39"/>
  <c r="Z39" s="1"/>
  <c r="Y47"/>
  <c r="Z47" s="1"/>
  <c r="Y55"/>
  <c r="Z55" s="1"/>
  <c r="Y63"/>
  <c r="Z63" s="1"/>
  <c r="Y71"/>
  <c r="Z71" s="1"/>
  <c r="Y79"/>
  <c r="Z79" s="1"/>
  <c r="Y87"/>
  <c r="Z87" s="1"/>
  <c r="Y95"/>
  <c r="Z95" s="1"/>
  <c r="Y103"/>
  <c r="Z103" s="1"/>
  <c r="Y111"/>
  <c r="Z111" s="1"/>
  <c r="Y119"/>
  <c r="Z119" s="1"/>
  <c r="Y127"/>
  <c r="Z127" s="1"/>
  <c r="Y135"/>
  <c r="Z135" s="1"/>
  <c r="Y21"/>
  <c r="Z21" s="1"/>
  <c r="Y29"/>
  <c r="Z29" s="1"/>
  <c r="Y37"/>
  <c r="Z37" s="1"/>
  <c r="Y45"/>
  <c r="Z45" s="1"/>
  <c r="Y53"/>
  <c r="Z53" s="1"/>
  <c r="Y61"/>
  <c r="Z61" s="1"/>
  <c r="Y69"/>
  <c r="Z69" s="1"/>
  <c r="Y77"/>
  <c r="Z77" s="1"/>
  <c r="Y85"/>
  <c r="Z85" s="1"/>
  <c r="Y93"/>
  <c r="Z93" s="1"/>
  <c r="Y101"/>
  <c r="Z101" s="1"/>
  <c r="Y109"/>
  <c r="Z109" s="1"/>
  <c r="Y117"/>
  <c r="Z117" s="1"/>
  <c r="Y125"/>
  <c r="Z125" s="1"/>
  <c r="Y133"/>
  <c r="Z133" s="1"/>
  <c r="Y19"/>
  <c r="Z19" s="1"/>
  <c r="Y27"/>
  <c r="Z27" s="1"/>
  <c r="Y35"/>
  <c r="Z35" s="1"/>
  <c r="Y43"/>
  <c r="Z43" s="1"/>
  <c r="Y51"/>
  <c r="Z51" s="1"/>
  <c r="Y59"/>
  <c r="Z59" s="1"/>
  <c r="Y67"/>
  <c r="Z67" s="1"/>
  <c r="Y75"/>
  <c r="Z75" s="1"/>
  <c r="Y83"/>
  <c r="Z83" s="1"/>
  <c r="Y91"/>
  <c r="Z91" s="1"/>
  <c r="Y99"/>
  <c r="Z99" s="1"/>
  <c r="Y107"/>
  <c r="Z107" s="1"/>
  <c r="Y115"/>
  <c r="Z115" s="1"/>
  <c r="Y123"/>
  <c r="Z123" s="1"/>
  <c r="Y131"/>
  <c r="Z131" s="1"/>
  <c r="Y139"/>
  <c r="Z139" s="1"/>
  <c r="V13"/>
  <c r="AA14"/>
  <c r="AB14" s="1"/>
  <c r="AA16"/>
  <c r="AB16" s="1"/>
  <c r="AA18"/>
  <c r="AB18" s="1"/>
  <c r="AA20"/>
  <c r="AB20" s="1"/>
  <c r="AA22"/>
  <c r="AB22" s="1"/>
  <c r="AA24"/>
  <c r="AB24" s="1"/>
  <c r="AA26"/>
  <c r="AB26" s="1"/>
  <c r="AA28"/>
  <c r="AB28" s="1"/>
  <c r="AA30"/>
  <c r="AB30" s="1"/>
  <c r="AA32"/>
  <c r="AB32" s="1"/>
  <c r="AA34"/>
  <c r="AB34" s="1"/>
  <c r="AA36"/>
  <c r="AB36" s="1"/>
  <c r="AA38"/>
  <c r="AB38" s="1"/>
  <c r="AA40"/>
  <c r="AB40" s="1"/>
  <c r="AA42"/>
  <c r="AB42" s="1"/>
  <c r="AA44"/>
  <c r="AB44" s="1"/>
  <c r="AA46"/>
  <c r="AB46" s="1"/>
  <c r="AA48"/>
  <c r="AB48" s="1"/>
  <c r="AA50"/>
  <c r="AB50" s="1"/>
  <c r="AA52"/>
  <c r="AB52" s="1"/>
  <c r="AA54"/>
  <c r="AB54" s="1"/>
  <c r="AA56"/>
  <c r="AB56" s="1"/>
  <c r="AA58"/>
  <c r="AB58" s="1"/>
  <c r="AA60"/>
  <c r="AB60" s="1"/>
  <c r="AA62"/>
  <c r="AB62" s="1"/>
  <c r="AA64"/>
  <c r="AB64" s="1"/>
  <c r="AA66"/>
  <c r="AB66" s="1"/>
  <c r="AA68"/>
  <c r="AB68" s="1"/>
  <c r="AA70"/>
  <c r="AB70" s="1"/>
  <c r="AA72"/>
  <c r="AB72" s="1"/>
  <c r="AA74"/>
  <c r="AB74" s="1"/>
  <c r="AA76"/>
  <c r="AB76" s="1"/>
  <c r="AA78"/>
  <c r="AB78" s="1"/>
  <c r="AA80"/>
  <c r="AB80" s="1"/>
  <c r="AA82"/>
  <c r="AB82" s="1"/>
  <c r="AA84"/>
  <c r="AB84" s="1"/>
  <c r="AA86"/>
  <c r="AB86" s="1"/>
  <c r="AA88"/>
  <c r="AB88" s="1"/>
  <c r="AA90"/>
  <c r="AB90" s="1"/>
  <c r="AA92"/>
  <c r="AB92" s="1"/>
  <c r="AA94"/>
  <c r="AB94" s="1"/>
  <c r="AA96"/>
  <c r="AB96" s="1"/>
  <c r="AA98"/>
  <c r="AB98" s="1"/>
  <c r="AA100"/>
  <c r="AB100" s="1"/>
  <c r="AA102"/>
  <c r="AB102" s="1"/>
  <c r="AA104"/>
  <c r="AB104" s="1"/>
  <c r="AA106"/>
  <c r="AB106" s="1"/>
  <c r="AA108"/>
  <c r="AB108" s="1"/>
  <c r="AA110"/>
  <c r="AB110" s="1"/>
  <c r="AA112"/>
  <c r="AB112" s="1"/>
  <c r="AA114"/>
  <c r="AB114" s="1"/>
  <c r="AA116"/>
  <c r="AB116" s="1"/>
  <c r="AA118"/>
  <c r="AB118" s="1"/>
  <c r="AA120"/>
  <c r="AB120" s="1"/>
  <c r="AA122"/>
  <c r="AB122" s="1"/>
  <c r="AA124"/>
  <c r="AB124" s="1"/>
  <c r="AA126"/>
  <c r="AB126" s="1"/>
  <c r="AA128"/>
  <c r="AB128" s="1"/>
  <c r="AA130"/>
  <c r="AB130" s="1"/>
  <c r="AA132"/>
  <c r="AB132" s="1"/>
  <c r="AA134"/>
  <c r="AB134" s="1"/>
  <c r="AA136"/>
  <c r="AB136" s="1"/>
  <c r="AA138"/>
  <c r="AB138" s="1"/>
  <c r="AA140"/>
  <c r="AB140" s="1"/>
  <c r="Y14"/>
  <c r="Y16"/>
  <c r="Z16" s="1"/>
  <c r="Y18"/>
  <c r="Z18" s="1"/>
  <c r="Y20"/>
  <c r="Z20" s="1"/>
  <c r="Y22"/>
  <c r="Z22" s="1"/>
  <c r="Y24"/>
  <c r="Z24" s="1"/>
  <c r="Y26"/>
  <c r="Z26" s="1"/>
  <c r="Y28"/>
  <c r="Z28" s="1"/>
  <c r="Y30"/>
  <c r="Z30" s="1"/>
  <c r="Y32"/>
  <c r="Z32" s="1"/>
  <c r="Y34"/>
  <c r="Z34" s="1"/>
  <c r="Y36"/>
  <c r="Z36" s="1"/>
  <c r="Y38"/>
  <c r="Z38" s="1"/>
  <c r="Y40"/>
  <c r="Z40" s="1"/>
  <c r="Y42"/>
  <c r="Z42" s="1"/>
  <c r="Y44"/>
  <c r="Z44" s="1"/>
  <c r="Y46"/>
  <c r="Z46" s="1"/>
  <c r="Y48"/>
  <c r="Z48" s="1"/>
  <c r="Y50"/>
  <c r="Z50" s="1"/>
  <c r="Y52"/>
  <c r="Z52" s="1"/>
  <c r="Y54"/>
  <c r="Z54" s="1"/>
  <c r="Y56"/>
  <c r="Z56" s="1"/>
  <c r="Y58"/>
  <c r="Z58" s="1"/>
  <c r="Y60"/>
  <c r="Z60" s="1"/>
  <c r="Y62"/>
  <c r="Z62" s="1"/>
  <c r="Y64"/>
  <c r="Z64" s="1"/>
  <c r="Y66"/>
  <c r="Z66" s="1"/>
  <c r="Y68"/>
  <c r="Z68" s="1"/>
  <c r="Y70"/>
  <c r="Z70" s="1"/>
  <c r="Y72"/>
  <c r="Z72" s="1"/>
  <c r="Y74"/>
  <c r="Z74" s="1"/>
  <c r="Y76"/>
  <c r="Z76" s="1"/>
  <c r="Y78"/>
  <c r="Z78" s="1"/>
  <c r="Y80"/>
  <c r="Z80" s="1"/>
  <c r="Y82"/>
  <c r="Z82" s="1"/>
  <c r="Y84"/>
  <c r="Z84" s="1"/>
  <c r="Y86"/>
  <c r="Z86" s="1"/>
  <c r="Y88"/>
  <c r="Z88" s="1"/>
  <c r="Y90"/>
  <c r="Z90" s="1"/>
  <c r="Y92"/>
  <c r="Z92" s="1"/>
  <c r="Y94"/>
  <c r="Z94" s="1"/>
  <c r="Y96"/>
  <c r="Z96" s="1"/>
  <c r="Y98"/>
  <c r="Z98" s="1"/>
  <c r="Y100"/>
  <c r="Z100" s="1"/>
  <c r="Y102"/>
  <c r="Z102" s="1"/>
  <c r="Y104"/>
  <c r="Z104" s="1"/>
  <c r="Y106"/>
  <c r="Z106" s="1"/>
  <c r="Y108"/>
  <c r="Z108" s="1"/>
  <c r="Y110"/>
  <c r="Z110" s="1"/>
  <c r="Y112"/>
  <c r="Z112" s="1"/>
  <c r="Y114"/>
  <c r="Z114" s="1"/>
  <c r="Y116"/>
  <c r="Z116" s="1"/>
  <c r="Y118"/>
  <c r="Z118" s="1"/>
  <c r="Y120"/>
  <c r="Z120" s="1"/>
  <c r="Y122"/>
  <c r="Z122" s="1"/>
  <c r="Y124"/>
  <c r="Z124" s="1"/>
  <c r="Y126"/>
  <c r="Z126" s="1"/>
  <c r="Y128"/>
  <c r="Z128" s="1"/>
  <c r="Y130"/>
  <c r="Z130" s="1"/>
  <c r="Y132"/>
  <c r="Z132" s="1"/>
  <c r="Y134"/>
  <c r="Z134" s="1"/>
  <c r="Y136"/>
  <c r="Z136" s="1"/>
  <c r="Y138"/>
  <c r="Z138" s="1"/>
  <c r="Y140"/>
  <c r="Z140" s="1"/>
  <c r="W137"/>
  <c r="X137" s="1"/>
  <c r="W13"/>
  <c r="X13" s="1"/>
  <c r="AA13"/>
  <c r="AB13" s="1"/>
  <c r="AA15"/>
  <c r="AB15" s="1"/>
  <c r="AA17"/>
  <c r="AB17" s="1"/>
  <c r="AA19"/>
  <c r="AB19" s="1"/>
  <c r="AA21"/>
  <c r="AB21" s="1"/>
  <c r="AA23"/>
  <c r="AB23" s="1"/>
  <c r="AA25"/>
  <c r="AB25" s="1"/>
  <c r="AA27"/>
  <c r="AB27" s="1"/>
  <c r="AA29"/>
  <c r="AB29" s="1"/>
  <c r="AA31"/>
  <c r="AB31" s="1"/>
  <c r="AA33"/>
  <c r="AB33" s="1"/>
  <c r="AA35"/>
  <c r="AB35" s="1"/>
  <c r="AA37"/>
  <c r="AB37" s="1"/>
  <c r="AA39"/>
  <c r="AB39" s="1"/>
  <c r="AA41"/>
  <c r="AB41" s="1"/>
  <c r="AA43"/>
  <c r="AB43" s="1"/>
  <c r="AA45"/>
  <c r="AB45" s="1"/>
  <c r="AA47"/>
  <c r="AB47" s="1"/>
  <c r="AA49"/>
  <c r="AB49" s="1"/>
  <c r="AA51"/>
  <c r="AB51" s="1"/>
  <c r="AA53"/>
  <c r="AB53" s="1"/>
  <c r="AA55"/>
  <c r="AB55" s="1"/>
  <c r="AA57"/>
  <c r="AB57" s="1"/>
  <c r="AA59"/>
  <c r="AB59" s="1"/>
  <c r="AA61"/>
  <c r="AB61" s="1"/>
  <c r="AA63"/>
  <c r="AB63" s="1"/>
  <c r="AA65"/>
  <c r="AB65" s="1"/>
  <c r="AA67"/>
  <c r="AB67" s="1"/>
  <c r="AA69"/>
  <c r="AB69" s="1"/>
  <c r="AA71"/>
  <c r="AB71" s="1"/>
  <c r="AA73"/>
  <c r="AB73" s="1"/>
  <c r="AA75"/>
  <c r="AB75" s="1"/>
  <c r="AA77"/>
  <c r="AB77" s="1"/>
  <c r="AA79"/>
  <c r="AB79" s="1"/>
  <c r="AA81"/>
  <c r="AB81" s="1"/>
  <c r="AA83"/>
  <c r="AB83" s="1"/>
  <c r="AA85"/>
  <c r="AB85" s="1"/>
  <c r="AA87"/>
  <c r="AB87" s="1"/>
  <c r="AA89"/>
  <c r="AB89" s="1"/>
  <c r="AA91"/>
  <c r="AB91" s="1"/>
  <c r="AA93"/>
  <c r="AB93" s="1"/>
  <c r="AA95"/>
  <c r="AB95" s="1"/>
  <c r="AA97"/>
  <c r="AB97" s="1"/>
  <c r="AA99"/>
  <c r="AB99" s="1"/>
  <c r="AA101"/>
  <c r="AB101" s="1"/>
  <c r="AA103"/>
  <c r="AB103" s="1"/>
  <c r="AA105"/>
  <c r="AB105" s="1"/>
  <c r="AA107"/>
  <c r="AB107" s="1"/>
  <c r="AA109"/>
  <c r="AB109" s="1"/>
  <c r="AA111"/>
  <c r="AB111" s="1"/>
  <c r="AA113"/>
  <c r="AB113" s="1"/>
  <c r="AA115"/>
  <c r="AB115" s="1"/>
  <c r="AA117"/>
  <c r="AB117" s="1"/>
  <c r="AA119"/>
  <c r="AB119" s="1"/>
  <c r="AA121"/>
  <c r="AB121" s="1"/>
  <c r="AA123"/>
  <c r="AB123" s="1"/>
  <c r="AA125"/>
  <c r="AB125" s="1"/>
  <c r="AA127"/>
  <c r="AB127" s="1"/>
  <c r="AA129"/>
  <c r="AB129" s="1"/>
  <c r="AA131"/>
  <c r="AB131" s="1"/>
  <c r="AA133"/>
  <c r="AB133" s="1"/>
  <c r="AA135"/>
  <c r="AB135" s="1"/>
  <c r="AA137"/>
  <c r="AB137" s="1"/>
  <c r="W16"/>
  <c r="X16" s="1"/>
  <c r="W20"/>
  <c r="X20" s="1"/>
  <c r="W24"/>
  <c r="X24" s="1"/>
  <c r="W28"/>
  <c r="X28" s="1"/>
  <c r="W32"/>
  <c r="X32" s="1"/>
  <c r="W36"/>
  <c r="X36" s="1"/>
  <c r="W40"/>
  <c r="X40" s="1"/>
  <c r="W44"/>
  <c r="X44" s="1"/>
  <c r="W48"/>
  <c r="X48" s="1"/>
  <c r="W52"/>
  <c r="X52" s="1"/>
  <c r="W56"/>
  <c r="X56" s="1"/>
  <c r="W60"/>
  <c r="X60" s="1"/>
  <c r="W64"/>
  <c r="X64" s="1"/>
  <c r="W68"/>
  <c r="X68" s="1"/>
  <c r="W72"/>
  <c r="X72" s="1"/>
  <c r="W76"/>
  <c r="X76" s="1"/>
  <c r="W80"/>
  <c r="X80" s="1"/>
  <c r="W84"/>
  <c r="X84" s="1"/>
  <c r="W88"/>
  <c r="X88" s="1"/>
  <c r="W92"/>
  <c r="X92" s="1"/>
  <c r="W96"/>
  <c r="X96" s="1"/>
  <c r="W100"/>
  <c r="X100" s="1"/>
  <c r="W104"/>
  <c r="X104" s="1"/>
  <c r="W108"/>
  <c r="X108" s="1"/>
  <c r="W112"/>
  <c r="X112" s="1"/>
  <c r="W116"/>
  <c r="X116" s="1"/>
  <c r="W120"/>
  <c r="X120" s="1"/>
  <c r="W124"/>
  <c r="X124" s="1"/>
  <c r="W128"/>
  <c r="X128" s="1"/>
  <c r="W132"/>
  <c r="X132" s="1"/>
  <c r="W136"/>
  <c r="X136" s="1"/>
  <c r="W140"/>
  <c r="X140" s="1"/>
  <c r="W15"/>
  <c r="X15" s="1"/>
  <c r="W19"/>
  <c r="X19" s="1"/>
  <c r="W23"/>
  <c r="X23" s="1"/>
  <c r="W27"/>
  <c r="X27" s="1"/>
  <c r="W31"/>
  <c r="X31" s="1"/>
  <c r="W35"/>
  <c r="X35" s="1"/>
  <c r="W39"/>
  <c r="X39" s="1"/>
  <c r="W43"/>
  <c r="X43" s="1"/>
  <c r="W47"/>
  <c r="X47" s="1"/>
  <c r="W51"/>
  <c r="X51" s="1"/>
  <c r="W55"/>
  <c r="X55" s="1"/>
  <c r="W59"/>
  <c r="X59" s="1"/>
  <c r="W63"/>
  <c r="X63" s="1"/>
  <c r="W67"/>
  <c r="X67" s="1"/>
  <c r="W71"/>
  <c r="X71" s="1"/>
  <c r="W75"/>
  <c r="X75" s="1"/>
  <c r="W79"/>
  <c r="X79" s="1"/>
  <c r="W83"/>
  <c r="X83" s="1"/>
  <c r="W87"/>
  <c r="X87" s="1"/>
  <c r="W91"/>
  <c r="X91" s="1"/>
  <c r="W95"/>
  <c r="X95" s="1"/>
  <c r="W99"/>
  <c r="X99" s="1"/>
  <c r="W103"/>
  <c r="X103" s="1"/>
  <c r="W107"/>
  <c r="X107" s="1"/>
  <c r="W111"/>
  <c r="X111" s="1"/>
  <c r="W115"/>
  <c r="X115" s="1"/>
  <c r="W119"/>
  <c r="X119" s="1"/>
  <c r="W123"/>
  <c r="X123" s="1"/>
  <c r="W127"/>
  <c r="X127" s="1"/>
  <c r="W131"/>
  <c r="X131" s="1"/>
  <c r="W135"/>
  <c r="X135" s="1"/>
  <c r="W139"/>
  <c r="X139" s="1"/>
  <c r="W14"/>
  <c r="X14" s="1"/>
  <c r="W18"/>
  <c r="X18" s="1"/>
  <c r="W22"/>
  <c r="X22" s="1"/>
  <c r="W26"/>
  <c r="X26" s="1"/>
  <c r="W30"/>
  <c r="X30" s="1"/>
  <c r="W34"/>
  <c r="X34" s="1"/>
  <c r="W38"/>
  <c r="X38" s="1"/>
  <c r="W42"/>
  <c r="X42" s="1"/>
  <c r="W46"/>
  <c r="X46" s="1"/>
  <c r="W50"/>
  <c r="X50" s="1"/>
  <c r="W54"/>
  <c r="X54" s="1"/>
  <c r="W58"/>
  <c r="X58" s="1"/>
  <c r="W62"/>
  <c r="X62" s="1"/>
  <c r="W66"/>
  <c r="X66" s="1"/>
  <c r="W70"/>
  <c r="X70" s="1"/>
  <c r="W74"/>
  <c r="X74" s="1"/>
  <c r="W78"/>
  <c r="X78" s="1"/>
  <c r="W82"/>
  <c r="X82" s="1"/>
  <c r="W86"/>
  <c r="X86" s="1"/>
  <c r="W90"/>
  <c r="X90" s="1"/>
  <c r="W94"/>
  <c r="X94" s="1"/>
  <c r="W98"/>
  <c r="X98" s="1"/>
  <c r="W102"/>
  <c r="X102" s="1"/>
  <c r="W106"/>
  <c r="X106" s="1"/>
  <c r="W110"/>
  <c r="X110" s="1"/>
  <c r="W114"/>
  <c r="X114" s="1"/>
  <c r="W118"/>
  <c r="X118" s="1"/>
  <c r="W122"/>
  <c r="X122" s="1"/>
  <c r="W126"/>
  <c r="X126" s="1"/>
  <c r="W130"/>
  <c r="X130" s="1"/>
  <c r="W134"/>
  <c r="X134" s="1"/>
  <c r="W138"/>
  <c r="X138" s="1"/>
  <c r="W17"/>
  <c r="X17" s="1"/>
  <c r="W21"/>
  <c r="X21" s="1"/>
  <c r="W25"/>
  <c r="X25" s="1"/>
  <c r="W29"/>
  <c r="X29" s="1"/>
  <c r="W33"/>
  <c r="X33" s="1"/>
  <c r="W37"/>
  <c r="X37" s="1"/>
  <c r="W41"/>
  <c r="X41" s="1"/>
  <c r="W45"/>
  <c r="X45" s="1"/>
  <c r="W49"/>
  <c r="X49" s="1"/>
  <c r="W53"/>
  <c r="X53" s="1"/>
  <c r="W57"/>
  <c r="X57" s="1"/>
  <c r="W61"/>
  <c r="X61" s="1"/>
  <c r="W65"/>
  <c r="X65" s="1"/>
  <c r="W69"/>
  <c r="X69" s="1"/>
  <c r="W73"/>
  <c r="X73" s="1"/>
  <c r="W77"/>
  <c r="X77" s="1"/>
  <c r="W81"/>
  <c r="X81" s="1"/>
  <c r="W85"/>
  <c r="X85" s="1"/>
  <c r="W89"/>
  <c r="X89" s="1"/>
  <c r="W93"/>
  <c r="X93" s="1"/>
  <c r="W97"/>
  <c r="X97" s="1"/>
  <c r="W101"/>
  <c r="X101" s="1"/>
  <c r="W105"/>
  <c r="X105" s="1"/>
  <c r="W109"/>
  <c r="X109" s="1"/>
  <c r="W113"/>
  <c r="X113" s="1"/>
  <c r="W117"/>
  <c r="X117" s="1"/>
  <c r="W121"/>
  <c r="X121" s="1"/>
  <c r="W125"/>
  <c r="X125" s="1"/>
  <c r="W129"/>
  <c r="X129" s="1"/>
  <c r="W133"/>
  <c r="X133" s="1"/>
  <c r="H9"/>
  <c r="H8"/>
  <c r="H12"/>
  <c r="I10"/>
  <c r="I264"/>
  <c r="I260"/>
  <c r="I256"/>
  <c r="I252"/>
  <c r="I248"/>
  <c r="I244"/>
  <c r="I240"/>
  <c r="I236"/>
  <c r="I232"/>
  <c r="I228"/>
  <c r="I224"/>
  <c r="I220"/>
  <c r="I216"/>
  <c r="I212"/>
  <c r="I208"/>
  <c r="I204"/>
  <c r="I200"/>
  <c r="I196"/>
  <c r="I192"/>
  <c r="I188"/>
  <c r="I184"/>
  <c r="I180"/>
  <c r="I176"/>
  <c r="I172"/>
  <c r="I168"/>
  <c r="I164"/>
  <c r="I160"/>
  <c r="I156"/>
  <c r="I152"/>
  <c r="I148"/>
  <c r="I144"/>
  <c r="I140"/>
  <c r="I136"/>
  <c r="I132"/>
  <c r="I128"/>
  <c r="I124"/>
  <c r="I120"/>
  <c r="I116"/>
  <c r="I112"/>
  <c r="I108"/>
  <c r="I104"/>
  <c r="I100"/>
  <c r="I96"/>
  <c r="I92"/>
  <c r="I88"/>
  <c r="I84"/>
  <c r="I80"/>
  <c r="I76"/>
  <c r="I72"/>
  <c r="I68"/>
  <c r="I64"/>
  <c r="I60"/>
  <c r="I56"/>
  <c r="I52"/>
  <c r="I48"/>
  <c r="I44"/>
  <c r="I40"/>
  <c r="I36"/>
  <c r="I32"/>
  <c r="I28"/>
  <c r="I24"/>
  <c r="I20"/>
  <c r="I16"/>
  <c r="I12"/>
  <c r="I267"/>
  <c r="I263"/>
  <c r="I259"/>
  <c r="I255"/>
  <c r="I251"/>
  <c r="I247"/>
  <c r="I243"/>
  <c r="I239"/>
  <c r="I235"/>
  <c r="I231"/>
  <c r="I227"/>
  <c r="I223"/>
  <c r="I219"/>
  <c r="I215"/>
  <c r="I211"/>
  <c r="I207"/>
  <c r="I203"/>
  <c r="I199"/>
  <c r="I195"/>
  <c r="I191"/>
  <c r="I187"/>
  <c r="I183"/>
  <c r="I179"/>
  <c r="I175"/>
  <c r="I171"/>
  <c r="I167"/>
  <c r="I163"/>
  <c r="I159"/>
  <c r="I155"/>
  <c r="I151"/>
  <c r="I147"/>
  <c r="I143"/>
  <c r="I139"/>
  <c r="I135"/>
  <c r="I131"/>
  <c r="I127"/>
  <c r="I123"/>
  <c r="I119"/>
  <c r="I115"/>
  <c r="I111"/>
  <c r="I107"/>
  <c r="I103"/>
  <c r="I99"/>
  <c r="I95"/>
  <c r="I91"/>
  <c r="I87"/>
  <c r="I83"/>
  <c r="I79"/>
  <c r="I75"/>
  <c r="I71"/>
  <c r="I67"/>
  <c r="I63"/>
  <c r="I59"/>
  <c r="I55"/>
  <c r="I51"/>
  <c r="I47"/>
  <c r="I43"/>
  <c r="I39"/>
  <c r="I35"/>
  <c r="I31"/>
  <c r="I27"/>
  <c r="I23"/>
  <c r="I19"/>
  <c r="I15"/>
  <c r="I266"/>
  <c r="I262"/>
  <c r="I258"/>
  <c r="I254"/>
  <c r="I250"/>
  <c r="I246"/>
  <c r="I242"/>
  <c r="I238"/>
  <c r="I234"/>
  <c r="I230"/>
  <c r="I226"/>
  <c r="I222"/>
  <c r="I218"/>
  <c r="I214"/>
  <c r="I210"/>
  <c r="I206"/>
  <c r="I202"/>
  <c r="I198"/>
  <c r="I194"/>
  <c r="I190"/>
  <c r="I186"/>
  <c r="I182"/>
  <c r="I178"/>
  <c r="I174"/>
  <c r="I170"/>
  <c r="I166"/>
  <c r="I162"/>
  <c r="I158"/>
  <c r="I154"/>
  <c r="I150"/>
  <c r="I146"/>
  <c r="I142"/>
  <c r="I138"/>
  <c r="I134"/>
  <c r="I130"/>
  <c r="I126"/>
  <c r="I122"/>
  <c r="I118"/>
  <c r="I114"/>
  <c r="I110"/>
  <c r="I106"/>
  <c r="I102"/>
  <c r="I98"/>
  <c r="I94"/>
  <c r="I90"/>
  <c r="I86"/>
  <c r="I82"/>
  <c r="I78"/>
  <c r="I74"/>
  <c r="I70"/>
  <c r="I66"/>
  <c r="I62"/>
  <c r="I58"/>
  <c r="I54"/>
  <c r="I50"/>
  <c r="I46"/>
  <c r="I42"/>
  <c r="I38"/>
  <c r="I34"/>
  <c r="I30"/>
  <c r="I26"/>
  <c r="I22"/>
  <c r="I18"/>
  <c r="I14"/>
  <c r="I265"/>
  <c r="I261"/>
  <c r="I257"/>
  <c r="I253"/>
  <c r="I249"/>
  <c r="I245"/>
  <c r="I241"/>
  <c r="I237"/>
  <c r="I233"/>
  <c r="I229"/>
  <c r="I225"/>
  <c r="I221"/>
  <c r="I217"/>
  <c r="I213"/>
  <c r="I209"/>
  <c r="I205"/>
  <c r="I201"/>
  <c r="I197"/>
  <c r="I193"/>
  <c r="I189"/>
  <c r="I185"/>
  <c r="I181"/>
  <c r="I177"/>
  <c r="I173"/>
  <c r="I169"/>
  <c r="I165"/>
  <c r="I161"/>
  <c r="I157"/>
  <c r="I153"/>
  <c r="I149"/>
  <c r="I145"/>
  <c r="I141"/>
  <c r="I137"/>
  <c r="I133"/>
  <c r="I129"/>
  <c r="I125"/>
  <c r="I121"/>
  <c r="I117"/>
  <c r="I113"/>
  <c r="I109"/>
  <c r="I105"/>
  <c r="I101"/>
  <c r="I97"/>
  <c r="I93"/>
  <c r="I89"/>
  <c r="I85"/>
  <c r="I81"/>
  <c r="I77"/>
  <c r="I73"/>
  <c r="I69"/>
  <c r="I65"/>
  <c r="I61"/>
  <c r="I57"/>
  <c r="I53"/>
  <c r="I49"/>
  <c r="I45"/>
  <c r="I41"/>
  <c r="I37"/>
  <c r="I33"/>
  <c r="I29"/>
  <c r="I25"/>
  <c r="I21"/>
  <c r="I17"/>
  <c r="I13"/>
  <c r="J8"/>
  <c r="I11"/>
  <c r="H267"/>
  <c r="H263"/>
  <c r="H259"/>
  <c r="H255"/>
  <c r="H251"/>
  <c r="H247"/>
  <c r="H243"/>
  <c r="H239"/>
  <c r="H235"/>
  <c r="H231"/>
  <c r="H227"/>
  <c r="H223"/>
  <c r="H219"/>
  <c r="H215"/>
  <c r="H211"/>
  <c r="H207"/>
  <c r="H203"/>
  <c r="H199"/>
  <c r="H195"/>
  <c r="H191"/>
  <c r="H187"/>
  <c r="H183"/>
  <c r="H179"/>
  <c r="H175"/>
  <c r="H171"/>
  <c r="H167"/>
  <c r="H163"/>
  <c r="H159"/>
  <c r="H155"/>
  <c r="H151"/>
  <c r="H147"/>
  <c r="H143"/>
  <c r="H139"/>
  <c r="H135"/>
  <c r="H131"/>
  <c r="H127"/>
  <c r="H123"/>
  <c r="H119"/>
  <c r="H115"/>
  <c r="H111"/>
  <c r="H107"/>
  <c r="H103"/>
  <c r="H99"/>
  <c r="H95"/>
  <c r="H91"/>
  <c r="H87"/>
  <c r="H83"/>
  <c r="H79"/>
  <c r="H75"/>
  <c r="H71"/>
  <c r="H67"/>
  <c r="H63"/>
  <c r="H59"/>
  <c r="H55"/>
  <c r="H51"/>
  <c r="H47"/>
  <c r="H43"/>
  <c r="H39"/>
  <c r="H35"/>
  <c r="H31"/>
  <c r="H27"/>
  <c r="H23"/>
  <c r="H19"/>
  <c r="H15"/>
  <c r="H266"/>
  <c r="H262"/>
  <c r="H258"/>
  <c r="H254"/>
  <c r="H250"/>
  <c r="H246"/>
  <c r="H242"/>
  <c r="H238"/>
  <c r="H234"/>
  <c r="H230"/>
  <c r="H226"/>
  <c r="H222"/>
  <c r="H218"/>
  <c r="H214"/>
  <c r="H210"/>
  <c r="H206"/>
  <c r="H202"/>
  <c r="H198"/>
  <c r="H194"/>
  <c r="H190"/>
  <c r="H186"/>
  <c r="H182"/>
  <c r="H178"/>
  <c r="H174"/>
  <c r="H170"/>
  <c r="H166"/>
  <c r="H162"/>
  <c r="H158"/>
  <c r="H154"/>
  <c r="H150"/>
  <c r="H146"/>
  <c r="H142"/>
  <c r="H138"/>
  <c r="H134"/>
  <c r="H130"/>
  <c r="H126"/>
  <c r="H122"/>
  <c r="H118"/>
  <c r="H114"/>
  <c r="H110"/>
  <c r="H106"/>
  <c r="H102"/>
  <c r="H98"/>
  <c r="H94"/>
  <c r="H90"/>
  <c r="H86"/>
  <c r="H82"/>
  <c r="H78"/>
  <c r="H74"/>
  <c r="H70"/>
  <c r="H66"/>
  <c r="H62"/>
  <c r="H58"/>
  <c r="H54"/>
  <c r="H50"/>
  <c r="H46"/>
  <c r="H42"/>
  <c r="H38"/>
  <c r="H34"/>
  <c r="H30"/>
  <c r="H26"/>
  <c r="H22"/>
  <c r="H18"/>
  <c r="H14"/>
  <c r="H265"/>
  <c r="H261"/>
  <c r="H257"/>
  <c r="H253"/>
  <c r="H249"/>
  <c r="H245"/>
  <c r="H241"/>
  <c r="H237"/>
  <c r="H233"/>
  <c r="H229"/>
  <c r="H225"/>
  <c r="H221"/>
  <c r="H217"/>
  <c r="H213"/>
  <c r="H209"/>
  <c r="H205"/>
  <c r="H201"/>
  <c r="H197"/>
  <c r="H193"/>
  <c r="H189"/>
  <c r="H185"/>
  <c r="H181"/>
  <c r="H177"/>
  <c r="H173"/>
  <c r="H169"/>
  <c r="H165"/>
  <c r="H161"/>
  <c r="H157"/>
  <c r="H153"/>
  <c r="H149"/>
  <c r="H145"/>
  <c r="H141"/>
  <c r="H137"/>
  <c r="H133"/>
  <c r="H129"/>
  <c r="H125"/>
  <c r="H121"/>
  <c r="H117"/>
  <c r="H113"/>
  <c r="H109"/>
  <c r="H105"/>
  <c r="H101"/>
  <c r="H97"/>
  <c r="H93"/>
  <c r="H89"/>
  <c r="H85"/>
  <c r="H81"/>
  <c r="H77"/>
  <c r="H73"/>
  <c r="H69"/>
  <c r="H65"/>
  <c r="H61"/>
  <c r="H57"/>
  <c r="H53"/>
  <c r="H49"/>
  <c r="H45"/>
  <c r="H41"/>
  <c r="H37"/>
  <c r="H33"/>
  <c r="H29"/>
  <c r="H25"/>
  <c r="H21"/>
  <c r="H17"/>
  <c r="H13"/>
  <c r="H264"/>
  <c r="H260"/>
  <c r="H256"/>
  <c r="H252"/>
  <c r="H248"/>
  <c r="H244"/>
  <c r="H240"/>
  <c r="H236"/>
  <c r="H232"/>
  <c r="H228"/>
  <c r="H224"/>
  <c r="H220"/>
  <c r="H216"/>
  <c r="H212"/>
  <c r="H208"/>
  <c r="H204"/>
  <c r="H200"/>
  <c r="H196"/>
  <c r="H192"/>
  <c r="H188"/>
  <c r="H184"/>
  <c r="H180"/>
  <c r="H176"/>
  <c r="H172"/>
  <c r="H168"/>
  <c r="H164"/>
  <c r="H160"/>
  <c r="H156"/>
  <c r="H152"/>
  <c r="H148"/>
  <c r="H144"/>
  <c r="H140"/>
  <c r="H136"/>
  <c r="H132"/>
  <c r="H128"/>
  <c r="H124"/>
  <c r="H120"/>
  <c r="H116"/>
  <c r="H112"/>
  <c r="H108"/>
  <c r="H104"/>
  <c r="H100"/>
  <c r="H96"/>
  <c r="H92"/>
  <c r="H88"/>
  <c r="H84"/>
  <c r="H80"/>
  <c r="H76"/>
  <c r="H72"/>
  <c r="H68"/>
  <c r="H64"/>
  <c r="H60"/>
  <c r="H56"/>
  <c r="H52"/>
  <c r="H48"/>
  <c r="H44"/>
  <c r="H40"/>
  <c r="H36"/>
  <c r="H32"/>
  <c r="H28"/>
  <c r="H24"/>
  <c r="H20"/>
  <c r="H16"/>
  <c r="I8"/>
  <c r="J9"/>
  <c r="H11"/>
  <c r="J265"/>
  <c r="J261"/>
  <c r="J257"/>
  <c r="J253"/>
  <c r="J249"/>
  <c r="J245"/>
  <c r="J241"/>
  <c r="J237"/>
  <c r="J233"/>
  <c r="J229"/>
  <c r="J225"/>
  <c r="J221"/>
  <c r="J217"/>
  <c r="J213"/>
  <c r="J209"/>
  <c r="J205"/>
  <c r="J201"/>
  <c r="J197"/>
  <c r="J193"/>
  <c r="J189"/>
  <c r="J185"/>
  <c r="J181"/>
  <c r="J177"/>
  <c r="J173"/>
  <c r="J169"/>
  <c r="J165"/>
  <c r="J161"/>
  <c r="J157"/>
  <c r="J153"/>
  <c r="J149"/>
  <c r="J145"/>
  <c r="J141"/>
  <c r="J137"/>
  <c r="J133"/>
  <c r="J129"/>
  <c r="J125"/>
  <c r="J121"/>
  <c r="J117"/>
  <c r="J113"/>
  <c r="J109"/>
  <c r="J105"/>
  <c r="J101"/>
  <c r="J97"/>
  <c r="J93"/>
  <c r="J89"/>
  <c r="J85"/>
  <c r="J81"/>
  <c r="J77"/>
  <c r="J73"/>
  <c r="J69"/>
  <c r="J65"/>
  <c r="J61"/>
  <c r="J57"/>
  <c r="J53"/>
  <c r="J49"/>
  <c r="J45"/>
  <c r="J41"/>
  <c r="J37"/>
  <c r="J33"/>
  <c r="J29"/>
  <c r="J25"/>
  <c r="J21"/>
  <c r="J17"/>
  <c r="J13"/>
  <c r="J264"/>
  <c r="J260"/>
  <c r="J256"/>
  <c r="J252"/>
  <c r="J248"/>
  <c r="J244"/>
  <c r="J240"/>
  <c r="J236"/>
  <c r="J232"/>
  <c r="J228"/>
  <c r="J224"/>
  <c r="J220"/>
  <c r="J216"/>
  <c r="J212"/>
  <c r="J208"/>
  <c r="J204"/>
  <c r="J200"/>
  <c r="J196"/>
  <c r="J192"/>
  <c r="J188"/>
  <c r="J184"/>
  <c r="J180"/>
  <c r="J176"/>
  <c r="J172"/>
  <c r="J168"/>
  <c r="J164"/>
  <c r="J160"/>
  <c r="J156"/>
  <c r="J152"/>
  <c r="J148"/>
  <c r="J144"/>
  <c r="J140"/>
  <c r="J136"/>
  <c r="J132"/>
  <c r="J128"/>
  <c r="J124"/>
  <c r="J120"/>
  <c r="J116"/>
  <c r="J112"/>
  <c r="J108"/>
  <c r="J104"/>
  <c r="J100"/>
  <c r="J96"/>
  <c r="J92"/>
  <c r="J88"/>
  <c r="J84"/>
  <c r="J80"/>
  <c r="J76"/>
  <c r="J72"/>
  <c r="J68"/>
  <c r="J64"/>
  <c r="J60"/>
  <c r="J56"/>
  <c r="J52"/>
  <c r="J48"/>
  <c r="J44"/>
  <c r="J40"/>
  <c r="J36"/>
  <c r="J32"/>
  <c r="J28"/>
  <c r="J24"/>
  <c r="J20"/>
  <c r="J16"/>
  <c r="J12"/>
  <c r="J267"/>
  <c r="J263"/>
  <c r="J259"/>
  <c r="J255"/>
  <c r="J251"/>
  <c r="J247"/>
  <c r="J243"/>
  <c r="J239"/>
  <c r="J235"/>
  <c r="J231"/>
  <c r="J227"/>
  <c r="J223"/>
  <c r="J219"/>
  <c r="J215"/>
  <c r="J211"/>
  <c r="J207"/>
  <c r="J203"/>
  <c r="J199"/>
  <c r="J195"/>
  <c r="J191"/>
  <c r="J187"/>
  <c r="J183"/>
  <c r="J179"/>
  <c r="J175"/>
  <c r="J171"/>
  <c r="J167"/>
  <c r="J163"/>
  <c r="J159"/>
  <c r="J155"/>
  <c r="J151"/>
  <c r="J147"/>
  <c r="J143"/>
  <c r="J139"/>
  <c r="J135"/>
  <c r="J131"/>
  <c r="J127"/>
  <c r="J123"/>
  <c r="J119"/>
  <c r="J115"/>
  <c r="J111"/>
  <c r="J107"/>
  <c r="J103"/>
  <c r="J99"/>
  <c r="J95"/>
  <c r="J91"/>
  <c r="J87"/>
  <c r="J83"/>
  <c r="J79"/>
  <c r="J75"/>
  <c r="J71"/>
  <c r="J67"/>
  <c r="J63"/>
  <c r="J59"/>
  <c r="J55"/>
  <c r="J51"/>
  <c r="J47"/>
  <c r="J43"/>
  <c r="J39"/>
  <c r="J35"/>
  <c r="J31"/>
  <c r="J27"/>
  <c r="J23"/>
  <c r="J19"/>
  <c r="J15"/>
  <c r="J266"/>
  <c r="J262"/>
  <c r="J258"/>
  <c r="J254"/>
  <c r="J250"/>
  <c r="J246"/>
  <c r="J242"/>
  <c r="J238"/>
  <c r="J234"/>
  <c r="J230"/>
  <c r="J226"/>
  <c r="J222"/>
  <c r="J218"/>
  <c r="J214"/>
  <c r="J210"/>
  <c r="J206"/>
  <c r="J202"/>
  <c r="J198"/>
  <c r="J194"/>
  <c r="J190"/>
  <c r="J186"/>
  <c r="J182"/>
  <c r="J178"/>
  <c r="J174"/>
  <c r="J170"/>
  <c r="J166"/>
  <c r="J162"/>
  <c r="J158"/>
  <c r="J154"/>
  <c r="J150"/>
  <c r="J146"/>
  <c r="J142"/>
  <c r="J138"/>
  <c r="J134"/>
  <c r="J130"/>
  <c r="J126"/>
  <c r="J122"/>
  <c r="J118"/>
  <c r="J114"/>
  <c r="J110"/>
  <c r="J106"/>
  <c r="J102"/>
  <c r="J98"/>
  <c r="J94"/>
  <c r="J90"/>
  <c r="J86"/>
  <c r="J82"/>
  <c r="J78"/>
  <c r="J74"/>
  <c r="J70"/>
  <c r="J66"/>
  <c r="J62"/>
  <c r="J58"/>
  <c r="J54"/>
  <c r="J50"/>
  <c r="J46"/>
  <c r="J42"/>
  <c r="J38"/>
  <c r="J34"/>
  <c r="J30"/>
  <c r="J26"/>
  <c r="J22"/>
  <c r="J18"/>
  <c r="J14"/>
  <c r="J11"/>
  <c r="H3"/>
  <c r="I4"/>
  <c r="J5"/>
  <c r="H7"/>
  <c r="J2"/>
  <c r="H4"/>
  <c r="I5"/>
  <c r="J6"/>
  <c r="I2"/>
  <c r="J3"/>
  <c r="H5"/>
  <c r="I6"/>
  <c r="J7"/>
  <c r="H2"/>
  <c r="I3"/>
  <c r="J4"/>
  <c r="H6"/>
  <c r="I7"/>
  <c r="P2" i="4"/>
  <c r="N2"/>
  <c r="M2"/>
  <c r="L2"/>
  <c r="O2"/>
  <c r="O1"/>
  <c r="N1"/>
  <c r="M1"/>
  <c r="L1"/>
  <c r="G285"/>
  <c r="F285"/>
  <c r="G284"/>
  <c r="F284"/>
  <c r="G283"/>
  <c r="F283"/>
  <c r="G282"/>
  <c r="F282"/>
  <c r="G281"/>
  <c r="F281"/>
  <c r="G280"/>
  <c r="F280"/>
  <c r="G279"/>
  <c r="F279"/>
  <c r="G278"/>
  <c r="F278"/>
  <c r="G277"/>
  <c r="F277"/>
  <c r="G276"/>
  <c r="F276"/>
  <c r="G275"/>
  <c r="F275"/>
  <c r="G274"/>
  <c r="F274"/>
  <c r="G273"/>
  <c r="F273"/>
  <c r="G272"/>
  <c r="F272"/>
  <c r="G271"/>
  <c r="F271"/>
  <c r="G270"/>
  <c r="F270"/>
  <c r="G269"/>
  <c r="F269"/>
  <c r="G268"/>
  <c r="F268"/>
  <c r="G267"/>
  <c r="F267"/>
  <c r="G266"/>
  <c r="F266"/>
  <c r="G265"/>
  <c r="F265"/>
  <c r="G264"/>
  <c r="F264"/>
  <c r="G263"/>
  <c r="F263"/>
  <c r="G262"/>
  <c r="F262"/>
  <c r="G261"/>
  <c r="F261"/>
  <c r="G260"/>
  <c r="F260"/>
  <c r="G259"/>
  <c r="F259"/>
  <c r="G258"/>
  <c r="F258"/>
  <c r="G257"/>
  <c r="F257"/>
  <c r="G256"/>
  <c r="F256"/>
  <c r="G255"/>
  <c r="F255"/>
  <c r="G254"/>
  <c r="F254"/>
  <c r="G253"/>
  <c r="F253"/>
  <c r="G252"/>
  <c r="F252"/>
  <c r="G251"/>
  <c r="F251"/>
  <c r="G250"/>
  <c r="F250"/>
  <c r="G249"/>
  <c r="F249"/>
  <c r="G248"/>
  <c r="F248"/>
  <c r="G247"/>
  <c r="F247"/>
  <c r="G246"/>
  <c r="F246"/>
  <c r="G245"/>
  <c r="F245"/>
  <c r="G244"/>
  <c r="F244"/>
  <c r="G243"/>
  <c r="F243"/>
  <c r="G242"/>
  <c r="F242"/>
  <c r="G241"/>
  <c r="F241"/>
  <c r="G240"/>
  <c r="F240"/>
  <c r="G239"/>
  <c r="F239"/>
  <c r="G238"/>
  <c r="F238"/>
  <c r="G237"/>
  <c r="F237"/>
  <c r="G236"/>
  <c r="F236"/>
  <c r="G235"/>
  <c r="F235"/>
  <c r="G234"/>
  <c r="F234"/>
  <c r="G233"/>
  <c r="F233"/>
  <c r="G232"/>
  <c r="F232"/>
  <c r="G231"/>
  <c r="F231"/>
  <c r="G230"/>
  <c r="F230"/>
  <c r="G229"/>
  <c r="F229"/>
  <c r="G228"/>
  <c r="F228"/>
  <c r="G227"/>
  <c r="F227"/>
  <c r="G226"/>
  <c r="F226"/>
  <c r="G225"/>
  <c r="F225"/>
  <c r="G224"/>
  <c r="F224"/>
  <c r="G223"/>
  <c r="F223"/>
  <c r="G222"/>
  <c r="F222"/>
  <c r="G221"/>
  <c r="F221"/>
  <c r="G220"/>
  <c r="F220"/>
  <c r="G219"/>
  <c r="F219"/>
  <c r="G218"/>
  <c r="F218"/>
  <c r="G217"/>
  <c r="F217"/>
  <c r="G216"/>
  <c r="F216"/>
  <c r="G215"/>
  <c r="F215"/>
  <c r="G214"/>
  <c r="F214"/>
  <c r="G213"/>
  <c r="F213"/>
  <c r="G212"/>
  <c r="F212"/>
  <c r="G211"/>
  <c r="F211"/>
  <c r="G210"/>
  <c r="F210"/>
  <c r="G209"/>
  <c r="F209"/>
  <c r="G208"/>
  <c r="F208"/>
  <c r="G207"/>
  <c r="F207"/>
  <c r="G206"/>
  <c r="F206"/>
  <c r="G205"/>
  <c r="F205"/>
  <c r="G204"/>
  <c r="F204"/>
  <c r="G203"/>
  <c r="F203"/>
  <c r="G202"/>
  <c r="F202"/>
  <c r="G201"/>
  <c r="F201"/>
  <c r="G200"/>
  <c r="F200"/>
  <c r="G199"/>
  <c r="F199"/>
  <c r="G198"/>
  <c r="F198"/>
  <c r="G197"/>
  <c r="F197"/>
  <c r="G196"/>
  <c r="F196"/>
  <c r="G195"/>
  <c r="F195"/>
  <c r="G194"/>
  <c r="F194"/>
  <c r="G193"/>
  <c r="F193"/>
  <c r="G192"/>
  <c r="F192"/>
  <c r="G191"/>
  <c r="F191"/>
  <c r="G190"/>
  <c r="F190"/>
  <c r="G189"/>
  <c r="F189"/>
  <c r="G188"/>
  <c r="F188"/>
  <c r="G187"/>
  <c r="F187"/>
  <c r="G186"/>
  <c r="F186"/>
  <c r="G185"/>
  <c r="F185"/>
  <c r="G184"/>
  <c r="F184"/>
  <c r="G183"/>
  <c r="F183"/>
  <c r="G182"/>
  <c r="F182"/>
  <c r="G181"/>
  <c r="F181"/>
  <c r="G180"/>
  <c r="F180"/>
  <c r="G179"/>
  <c r="F179"/>
  <c r="G178"/>
  <c r="F178"/>
  <c r="G177"/>
  <c r="F177"/>
  <c r="G176"/>
  <c r="F176"/>
  <c r="G175"/>
  <c r="F175"/>
  <c r="G174"/>
  <c r="F174"/>
  <c r="G173"/>
  <c r="F173"/>
  <c r="G172"/>
  <c r="F172"/>
  <c r="G171"/>
  <c r="F171"/>
  <c r="G170"/>
  <c r="F170"/>
  <c r="G169"/>
  <c r="F169"/>
  <c r="G168"/>
  <c r="F168"/>
  <c r="G167"/>
  <c r="F167"/>
  <c r="G166"/>
  <c r="F166"/>
  <c r="G165"/>
  <c r="F165"/>
  <c r="G164"/>
  <c r="F164"/>
  <c r="G163"/>
  <c r="F163"/>
  <c r="G162"/>
  <c r="F162"/>
  <c r="G161"/>
  <c r="F161"/>
  <c r="G160"/>
  <c r="F160"/>
  <c r="G159"/>
  <c r="F159"/>
  <c r="G158"/>
  <c r="F158"/>
  <c r="G157"/>
  <c r="F157"/>
  <c r="G156"/>
  <c r="F156"/>
  <c r="G155"/>
  <c r="F155"/>
  <c r="G154"/>
  <c r="F154"/>
  <c r="G153"/>
  <c r="F153"/>
  <c r="G152"/>
  <c r="F152"/>
  <c r="G151"/>
  <c r="F151"/>
  <c r="G150"/>
  <c r="F150"/>
  <c r="G149"/>
  <c r="F149"/>
  <c r="G148"/>
  <c r="F148"/>
  <c r="G147"/>
  <c r="F147"/>
  <c r="G146"/>
  <c r="F146"/>
  <c r="G145"/>
  <c r="F145"/>
  <c r="G144"/>
  <c r="F144"/>
  <c r="G143"/>
  <c r="F143"/>
  <c r="G142"/>
  <c r="F142"/>
  <c r="G141"/>
  <c r="F141"/>
  <c r="G140"/>
  <c r="F140"/>
  <c r="G139"/>
  <c r="F139"/>
  <c r="G138"/>
  <c r="F138"/>
  <c r="G137"/>
  <c r="F137"/>
  <c r="G136"/>
  <c r="F136"/>
  <c r="G135"/>
  <c r="F135"/>
  <c r="G134"/>
  <c r="F134"/>
  <c r="G133"/>
  <c r="F133"/>
  <c r="G132"/>
  <c r="F132"/>
  <c r="G131"/>
  <c r="F131"/>
  <c r="G130"/>
  <c r="F130"/>
  <c r="G129"/>
  <c r="F129"/>
  <c r="G128"/>
  <c r="F128"/>
  <c r="G127"/>
  <c r="F127"/>
  <c r="G126"/>
  <c r="F126"/>
  <c r="G125"/>
  <c r="F125"/>
  <c r="G124"/>
  <c r="F124"/>
  <c r="G123"/>
  <c r="F123"/>
  <c r="G122"/>
  <c r="F122"/>
  <c r="G121"/>
  <c r="F121"/>
  <c r="G120"/>
  <c r="F120"/>
  <c r="G119"/>
  <c r="F119"/>
  <c r="G118"/>
  <c r="F118"/>
  <c r="G117"/>
  <c r="F117"/>
  <c r="G116"/>
  <c r="F116"/>
  <c r="G115"/>
  <c r="F115"/>
  <c r="G114"/>
  <c r="F114"/>
  <c r="G113"/>
  <c r="F113"/>
  <c r="G112"/>
  <c r="F112"/>
  <c r="G111"/>
  <c r="F111"/>
  <c r="G110"/>
  <c r="F110"/>
  <c r="G109"/>
  <c r="F109"/>
  <c r="G108"/>
  <c r="F108"/>
  <c r="G107"/>
  <c r="F107"/>
  <c r="G106"/>
  <c r="F106"/>
  <c r="G105"/>
  <c r="F105"/>
  <c r="G104"/>
  <c r="F104"/>
  <c r="G103"/>
  <c r="F103"/>
  <c r="G102"/>
  <c r="F102"/>
  <c r="G101"/>
  <c r="F101"/>
  <c r="G100"/>
  <c r="F100"/>
  <c r="G99"/>
  <c r="F99"/>
  <c r="G98"/>
  <c r="F98"/>
  <c r="G97"/>
  <c r="F97"/>
  <c r="G96"/>
  <c r="F96"/>
  <c r="G95"/>
  <c r="F95"/>
  <c r="G94"/>
  <c r="F94"/>
  <c r="G93"/>
  <c r="F93"/>
  <c r="G92"/>
  <c r="F92"/>
  <c r="G91"/>
  <c r="F91"/>
  <c r="G90"/>
  <c r="F90"/>
  <c r="G89"/>
  <c r="F89"/>
  <c r="G88"/>
  <c r="F88"/>
  <c r="G87"/>
  <c r="F87"/>
  <c r="G86"/>
  <c r="F86"/>
  <c r="G85"/>
  <c r="F85"/>
  <c r="G84"/>
  <c r="F84"/>
  <c r="G83"/>
  <c r="F83"/>
  <c r="G82"/>
  <c r="F82"/>
  <c r="G81"/>
  <c r="F81"/>
  <c r="G80"/>
  <c r="F80"/>
  <c r="G79"/>
  <c r="F79"/>
  <c r="G78"/>
  <c r="F78"/>
  <c r="G77"/>
  <c r="F77"/>
  <c r="G76"/>
  <c r="F76"/>
  <c r="G75"/>
  <c r="F75"/>
  <c r="G74"/>
  <c r="F74"/>
  <c r="G73"/>
  <c r="F73"/>
  <c r="G72"/>
  <c r="F72"/>
  <c r="G71"/>
  <c r="F71"/>
  <c r="G70"/>
  <c r="F70"/>
  <c r="G69"/>
  <c r="F69"/>
  <c r="G68"/>
  <c r="F68"/>
  <c r="G67"/>
  <c r="F67"/>
  <c r="G66"/>
  <c r="F66"/>
  <c r="G65"/>
  <c r="F65"/>
  <c r="G64"/>
  <c r="F64"/>
  <c r="G63"/>
  <c r="F63"/>
  <c r="G62"/>
  <c r="F62"/>
  <c r="G61"/>
  <c r="F61"/>
  <c r="G60"/>
  <c r="F60"/>
  <c r="G59"/>
  <c r="F59"/>
  <c r="G58"/>
  <c r="F58"/>
  <c r="G57"/>
  <c r="F57"/>
  <c r="G56"/>
  <c r="F56"/>
  <c r="G55"/>
  <c r="F55"/>
  <c r="G54"/>
  <c r="F54"/>
  <c r="G53"/>
  <c r="F53"/>
  <c r="G52"/>
  <c r="F52"/>
  <c r="G51"/>
  <c r="F51"/>
  <c r="G50"/>
  <c r="F50"/>
  <c r="G49"/>
  <c r="F49"/>
  <c r="G48"/>
  <c r="F48"/>
  <c r="G47"/>
  <c r="F47"/>
  <c r="G46"/>
  <c r="F46"/>
  <c r="G45"/>
  <c r="F45"/>
  <c r="G44"/>
  <c r="F44"/>
  <c r="G43"/>
  <c r="F43"/>
  <c r="G42"/>
  <c r="F42"/>
  <c r="G41"/>
  <c r="F41"/>
  <c r="G40"/>
  <c r="F40"/>
  <c r="G39"/>
  <c r="F39"/>
  <c r="G38"/>
  <c r="F38"/>
  <c r="G37"/>
  <c r="F37"/>
  <c r="G36"/>
  <c r="F36"/>
  <c r="G35"/>
  <c r="F35"/>
  <c r="G34"/>
  <c r="F34"/>
  <c r="G33"/>
  <c r="F33"/>
  <c r="G32"/>
  <c r="F32"/>
  <c r="G31"/>
  <c r="F31"/>
  <c r="G30"/>
  <c r="F30"/>
  <c r="G29"/>
  <c r="F29"/>
  <c r="G28"/>
  <c r="F28"/>
  <c r="G27"/>
  <c r="F27"/>
  <c r="G26"/>
  <c r="F26"/>
  <c r="G25"/>
  <c r="F25"/>
  <c r="G24"/>
  <c r="F24"/>
  <c r="G23"/>
  <c r="F23"/>
  <c r="G22"/>
  <c r="F22"/>
  <c r="G21"/>
  <c r="F21"/>
  <c r="G20"/>
  <c r="F20"/>
  <c r="G19"/>
  <c r="F19"/>
  <c r="G18"/>
  <c r="F18"/>
  <c r="G17"/>
  <c r="F17"/>
  <c r="G16"/>
  <c r="F16"/>
  <c r="G15"/>
  <c r="F15"/>
  <c r="G14"/>
  <c r="F14"/>
  <c r="G13"/>
  <c r="F13"/>
  <c r="G12"/>
  <c r="F12"/>
  <c r="G11"/>
  <c r="F11"/>
  <c r="G10"/>
  <c r="F10"/>
  <c r="G9"/>
  <c r="F9"/>
  <c r="G8"/>
  <c r="F8"/>
  <c r="G7"/>
  <c r="F7"/>
  <c r="G6"/>
  <c r="F6"/>
  <c r="G5"/>
  <c r="F5"/>
  <c r="G4"/>
  <c r="F4"/>
  <c r="G3"/>
  <c r="F3"/>
  <c r="G2"/>
  <c r="F2"/>
  <c r="J3"/>
  <c r="J4" s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I3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F17" i="2"/>
  <c r="E17"/>
  <c r="D17"/>
  <c r="L133" i="5" l="1"/>
  <c r="L181"/>
  <c r="Y12"/>
  <c r="Z14"/>
  <c r="AA12"/>
  <c r="V14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V45" s="1"/>
  <c r="V46" s="1"/>
  <c r="V47" s="1"/>
  <c r="V48" s="1"/>
  <c r="V49" s="1"/>
  <c r="V50" s="1"/>
  <c r="V51" s="1"/>
  <c r="V52" s="1"/>
  <c r="V53" s="1"/>
  <c r="V54" s="1"/>
  <c r="V55" s="1"/>
  <c r="V56" s="1"/>
  <c r="V57" s="1"/>
  <c r="V58" s="1"/>
  <c r="V59" s="1"/>
  <c r="V60" s="1"/>
  <c r="V61" s="1"/>
  <c r="V62" s="1"/>
  <c r="V63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V113" s="1"/>
  <c r="V114" s="1"/>
  <c r="V115" s="1"/>
  <c r="V116" s="1"/>
  <c r="V117" s="1"/>
  <c r="V118" s="1"/>
  <c r="V119" s="1"/>
  <c r="V120" s="1"/>
  <c r="V121" s="1"/>
  <c r="V122" s="1"/>
  <c r="V123" s="1"/>
  <c r="V124" s="1"/>
  <c r="V125" s="1"/>
  <c r="V126" s="1"/>
  <c r="V127" s="1"/>
  <c r="V128" s="1"/>
  <c r="V129" s="1"/>
  <c r="V130" s="1"/>
  <c r="V131" s="1"/>
  <c r="V132" s="1"/>
  <c r="V133" s="1"/>
  <c r="V134" s="1"/>
  <c r="V135" s="1"/>
  <c r="V136" s="1"/>
  <c r="V137" s="1"/>
  <c r="V138" s="1"/>
  <c r="V139" s="1"/>
  <c r="V140" s="1"/>
  <c r="W12"/>
  <c r="M170"/>
  <c r="L149"/>
  <c r="L165"/>
  <c r="L197"/>
  <c r="L213"/>
  <c r="K192"/>
  <c r="K208"/>
  <c r="M154"/>
  <c r="K176"/>
  <c r="M138"/>
  <c r="M186"/>
  <c r="M202"/>
  <c r="K144"/>
  <c r="K160"/>
  <c r="K128"/>
  <c r="M122"/>
  <c r="L117"/>
  <c r="K112"/>
  <c r="M106"/>
  <c r="L101"/>
  <c r="K96"/>
  <c r="M90"/>
  <c r="L85"/>
  <c r="K80"/>
  <c r="M74"/>
  <c r="L69"/>
  <c r="K64"/>
  <c r="M58"/>
  <c r="L53"/>
  <c r="K48"/>
  <c r="M42"/>
  <c r="L37"/>
  <c r="K32"/>
  <c r="M26"/>
  <c r="L21"/>
  <c r="K16"/>
  <c r="L216"/>
  <c r="K211"/>
  <c r="M205"/>
  <c r="L200"/>
  <c r="K195"/>
  <c r="M189"/>
  <c r="L184"/>
  <c r="K179"/>
  <c r="M173"/>
  <c r="L168"/>
  <c r="K163"/>
  <c r="M157"/>
  <c r="L152"/>
  <c r="K147"/>
  <c r="M141"/>
  <c r="L136"/>
  <c r="K131"/>
  <c r="M125"/>
  <c r="L120"/>
  <c r="K115"/>
  <c r="M109"/>
  <c r="L104"/>
  <c r="K99"/>
  <c r="M93"/>
  <c r="L88"/>
  <c r="K83"/>
  <c r="M77"/>
  <c r="L72"/>
  <c r="K67"/>
  <c r="M61"/>
  <c r="L56"/>
  <c r="K51"/>
  <c r="M45"/>
  <c r="L40"/>
  <c r="K35"/>
  <c r="M29"/>
  <c r="L24"/>
  <c r="K19"/>
  <c r="M13"/>
  <c r="K214"/>
  <c r="M208"/>
  <c r="M192"/>
  <c r="M176"/>
  <c r="M160"/>
  <c r="M144"/>
  <c r="L123"/>
  <c r="L107"/>
  <c r="M96"/>
  <c r="K86"/>
  <c r="K70"/>
  <c r="K54"/>
  <c r="M32"/>
  <c r="M16"/>
  <c r="K217"/>
  <c r="K201"/>
  <c r="K185"/>
  <c r="K169"/>
  <c r="K153"/>
  <c r="K137"/>
  <c r="K121"/>
  <c r="K105"/>
  <c r="K89"/>
  <c r="K73"/>
  <c r="K57"/>
  <c r="L46"/>
  <c r="M35"/>
  <c r="K25"/>
  <c r="M214"/>
  <c r="L209"/>
  <c r="K204"/>
  <c r="M198"/>
  <c r="L193"/>
  <c r="K188"/>
  <c r="M182"/>
  <c r="L177"/>
  <c r="K172"/>
  <c r="M166"/>
  <c r="L161"/>
  <c r="K156"/>
  <c r="M150"/>
  <c r="L145"/>
  <c r="K140"/>
  <c r="M134"/>
  <c r="L129"/>
  <c r="K124"/>
  <c r="M118"/>
  <c r="L113"/>
  <c r="K108"/>
  <c r="M102"/>
  <c r="L97"/>
  <c r="K92"/>
  <c r="M86"/>
  <c r="L81"/>
  <c r="K76"/>
  <c r="M70"/>
  <c r="L65"/>
  <c r="K60"/>
  <c r="M54"/>
  <c r="L49"/>
  <c r="K44"/>
  <c r="M38"/>
  <c r="L33"/>
  <c r="K28"/>
  <c r="M22"/>
  <c r="L17"/>
  <c r="M217"/>
  <c r="L212"/>
  <c r="K207"/>
  <c r="M201"/>
  <c r="L196"/>
  <c r="K191"/>
  <c r="M185"/>
  <c r="L180"/>
  <c r="K175"/>
  <c r="M169"/>
  <c r="L164"/>
  <c r="K159"/>
  <c r="M153"/>
  <c r="L148"/>
  <c r="K143"/>
  <c r="M137"/>
  <c r="L132"/>
  <c r="K127"/>
  <c r="M121"/>
  <c r="L116"/>
  <c r="K111"/>
  <c r="M105"/>
  <c r="L100"/>
  <c r="K95"/>
  <c r="M89"/>
  <c r="L84"/>
  <c r="K79"/>
  <c r="M73"/>
  <c r="L68"/>
  <c r="K63"/>
  <c r="M57"/>
  <c r="L52"/>
  <c r="K47"/>
  <c r="M41"/>
  <c r="L36"/>
  <c r="K31"/>
  <c r="M25"/>
  <c r="L20"/>
  <c r="K15"/>
  <c r="L215"/>
  <c r="K210"/>
  <c r="M204"/>
  <c r="L199"/>
  <c r="K194"/>
  <c r="M188"/>
  <c r="L183"/>
  <c r="K178"/>
  <c r="M172"/>
  <c r="L167"/>
  <c r="K162"/>
  <c r="M156"/>
  <c r="L151"/>
  <c r="K146"/>
  <c r="M140"/>
  <c r="L135"/>
  <c r="K130"/>
  <c r="M124"/>
  <c r="L119"/>
  <c r="K114"/>
  <c r="M108"/>
  <c r="L103"/>
  <c r="K98"/>
  <c r="M92"/>
  <c r="L87"/>
  <c r="K82"/>
  <c r="M76"/>
  <c r="L71"/>
  <c r="K66"/>
  <c r="M60"/>
  <c r="L55"/>
  <c r="K50"/>
  <c r="M44"/>
  <c r="L39"/>
  <c r="K34"/>
  <c r="M28"/>
  <c r="L23"/>
  <c r="K18"/>
  <c r="K213"/>
  <c r="M207"/>
  <c r="L202"/>
  <c r="K197"/>
  <c r="M191"/>
  <c r="L186"/>
  <c r="K181"/>
  <c r="M175"/>
  <c r="L170"/>
  <c r="K165"/>
  <c r="M159"/>
  <c r="L154"/>
  <c r="K149"/>
  <c r="M143"/>
  <c r="L138"/>
  <c r="K133"/>
  <c r="M127"/>
  <c r="L122"/>
  <c r="K117"/>
  <c r="M111"/>
  <c r="L106"/>
  <c r="K101"/>
  <c r="M95"/>
  <c r="L90"/>
  <c r="K85"/>
  <c r="M79"/>
  <c r="L74"/>
  <c r="K69"/>
  <c r="M63"/>
  <c r="L58"/>
  <c r="K53"/>
  <c r="M47"/>
  <c r="L42"/>
  <c r="K37"/>
  <c r="M31"/>
  <c r="L26"/>
  <c r="K21"/>
  <c r="M15"/>
  <c r="K198"/>
  <c r="K182"/>
  <c r="K166"/>
  <c r="K150"/>
  <c r="K134"/>
  <c r="K118"/>
  <c r="K102"/>
  <c r="M80"/>
  <c r="L59"/>
  <c r="L43"/>
  <c r="L27"/>
  <c r="M211"/>
  <c r="M195"/>
  <c r="M179"/>
  <c r="M163"/>
  <c r="M147"/>
  <c r="M131"/>
  <c r="M115"/>
  <c r="M99"/>
  <c r="L78"/>
  <c r="L62"/>
  <c r="L14"/>
  <c r="K216"/>
  <c r="M210"/>
  <c r="L205"/>
  <c r="K200"/>
  <c r="M194"/>
  <c r="L189"/>
  <c r="K184"/>
  <c r="M178"/>
  <c r="L173"/>
  <c r="K168"/>
  <c r="M162"/>
  <c r="L157"/>
  <c r="K152"/>
  <c r="M146"/>
  <c r="L141"/>
  <c r="K136"/>
  <c r="M130"/>
  <c r="L125"/>
  <c r="K120"/>
  <c r="M114"/>
  <c r="L109"/>
  <c r="K104"/>
  <c r="M98"/>
  <c r="L93"/>
  <c r="K88"/>
  <c r="M82"/>
  <c r="L77"/>
  <c r="K72"/>
  <c r="M66"/>
  <c r="L61"/>
  <c r="K56"/>
  <c r="M50"/>
  <c r="L45"/>
  <c r="K40"/>
  <c r="M34"/>
  <c r="L29"/>
  <c r="K24"/>
  <c r="M18"/>
  <c r="L13"/>
  <c r="M213"/>
  <c r="L208"/>
  <c r="K203"/>
  <c r="M197"/>
  <c r="L192"/>
  <c r="K187"/>
  <c r="M181"/>
  <c r="L176"/>
  <c r="K171"/>
  <c r="M165"/>
  <c r="L160"/>
  <c r="K155"/>
  <c r="M149"/>
  <c r="L144"/>
  <c r="K139"/>
  <c r="M133"/>
  <c r="L128"/>
  <c r="K123"/>
  <c r="M117"/>
  <c r="L112"/>
  <c r="K107"/>
  <c r="M101"/>
  <c r="L96"/>
  <c r="K91"/>
  <c r="M85"/>
  <c r="L80"/>
  <c r="K75"/>
  <c r="M69"/>
  <c r="L64"/>
  <c r="K59"/>
  <c r="M53"/>
  <c r="L48"/>
  <c r="K43"/>
  <c r="M37"/>
  <c r="L32"/>
  <c r="K27"/>
  <c r="M21"/>
  <c r="L16"/>
  <c r="M216"/>
  <c r="L211"/>
  <c r="K206"/>
  <c r="M200"/>
  <c r="L195"/>
  <c r="K190"/>
  <c r="M184"/>
  <c r="L179"/>
  <c r="K174"/>
  <c r="M168"/>
  <c r="L163"/>
  <c r="K158"/>
  <c r="M152"/>
  <c r="L147"/>
  <c r="K142"/>
  <c r="M136"/>
  <c r="L131"/>
  <c r="K126"/>
  <c r="M120"/>
  <c r="L115"/>
  <c r="K110"/>
  <c r="M104"/>
  <c r="L99"/>
  <c r="K94"/>
  <c r="M88"/>
  <c r="L83"/>
  <c r="K78"/>
  <c r="M72"/>
  <c r="L67"/>
  <c r="K62"/>
  <c r="M56"/>
  <c r="L51"/>
  <c r="K46"/>
  <c r="M40"/>
  <c r="L35"/>
  <c r="K30"/>
  <c r="M24"/>
  <c r="L19"/>
  <c r="K14"/>
  <c r="L214"/>
  <c r="K209"/>
  <c r="M203"/>
  <c r="L198"/>
  <c r="K193"/>
  <c r="M187"/>
  <c r="L182"/>
  <c r="K177"/>
  <c r="M171"/>
  <c r="L166"/>
  <c r="K161"/>
  <c r="M155"/>
  <c r="L150"/>
  <c r="K145"/>
  <c r="M139"/>
  <c r="L134"/>
  <c r="K129"/>
  <c r="M123"/>
  <c r="L118"/>
  <c r="K113"/>
  <c r="M107"/>
  <c r="L102"/>
  <c r="K97"/>
  <c r="M91"/>
  <c r="L86"/>
  <c r="K81"/>
  <c r="M75"/>
  <c r="L70"/>
  <c r="K65"/>
  <c r="M59"/>
  <c r="L54"/>
  <c r="K49"/>
  <c r="M43"/>
  <c r="L38"/>
  <c r="K33"/>
  <c r="M27"/>
  <c r="L22"/>
  <c r="K17"/>
  <c r="L203"/>
  <c r="L187"/>
  <c r="L171"/>
  <c r="L155"/>
  <c r="L139"/>
  <c r="M128"/>
  <c r="M112"/>
  <c r="L91"/>
  <c r="L75"/>
  <c r="M64"/>
  <c r="M48"/>
  <c r="K38"/>
  <c r="K22"/>
  <c r="L206"/>
  <c r="L190"/>
  <c r="L174"/>
  <c r="L158"/>
  <c r="L142"/>
  <c r="L126"/>
  <c r="L110"/>
  <c r="L94"/>
  <c r="M83"/>
  <c r="M67"/>
  <c r="M51"/>
  <c r="K41"/>
  <c r="L30"/>
  <c r="M19"/>
  <c r="L217"/>
  <c r="K212"/>
  <c r="M206"/>
  <c r="L201"/>
  <c r="K196"/>
  <c r="M190"/>
  <c r="L185"/>
  <c r="K180"/>
  <c r="M174"/>
  <c r="L169"/>
  <c r="K164"/>
  <c r="M158"/>
  <c r="L153"/>
  <c r="K148"/>
  <c r="M142"/>
  <c r="L137"/>
  <c r="K132"/>
  <c r="M126"/>
  <c r="L121"/>
  <c r="K116"/>
  <c r="M110"/>
  <c r="L105"/>
  <c r="K100"/>
  <c r="M94"/>
  <c r="L89"/>
  <c r="K84"/>
  <c r="M78"/>
  <c r="L73"/>
  <c r="K68"/>
  <c r="M62"/>
  <c r="L57"/>
  <c r="K52"/>
  <c r="M46"/>
  <c r="L41"/>
  <c r="K36"/>
  <c r="M30"/>
  <c r="L25"/>
  <c r="K20"/>
  <c r="M14"/>
  <c r="K215"/>
  <c r="M209"/>
  <c r="L204"/>
  <c r="K199"/>
  <c r="M193"/>
  <c r="L188"/>
  <c r="K183"/>
  <c r="M177"/>
  <c r="L172"/>
  <c r="K167"/>
  <c r="M161"/>
  <c r="L156"/>
  <c r="K151"/>
  <c r="M145"/>
  <c r="L140"/>
  <c r="K135"/>
  <c r="M129"/>
  <c r="L124"/>
  <c r="K119"/>
  <c r="M113"/>
  <c r="L108"/>
  <c r="K103"/>
  <c r="M97"/>
  <c r="L92"/>
  <c r="K87"/>
  <c r="M81"/>
  <c r="L76"/>
  <c r="K71"/>
  <c r="M65"/>
  <c r="L60"/>
  <c r="K55"/>
  <c r="M49"/>
  <c r="L44"/>
  <c r="K39"/>
  <c r="M33"/>
  <c r="L28"/>
  <c r="K23"/>
  <c r="M17"/>
  <c r="M212"/>
  <c r="L207"/>
  <c r="K202"/>
  <c r="M196"/>
  <c r="L191"/>
  <c r="K186"/>
  <c r="M180"/>
  <c r="L175"/>
  <c r="K170"/>
  <c r="M164"/>
  <c r="L159"/>
  <c r="K154"/>
  <c r="M148"/>
  <c r="L143"/>
  <c r="K138"/>
  <c r="M132"/>
  <c r="L127"/>
  <c r="K122"/>
  <c r="M116"/>
  <c r="L111"/>
  <c r="K106"/>
  <c r="M100"/>
  <c r="L95"/>
  <c r="K90"/>
  <c r="M84"/>
  <c r="L79"/>
  <c r="K74"/>
  <c r="M68"/>
  <c r="L63"/>
  <c r="K58"/>
  <c r="M52"/>
  <c r="L47"/>
  <c r="K42"/>
  <c r="M36"/>
  <c r="L31"/>
  <c r="K26"/>
  <c r="M20"/>
  <c r="L15"/>
  <c r="M215"/>
  <c r="L210"/>
  <c r="K205"/>
  <c r="M199"/>
  <c r="L194"/>
  <c r="K189"/>
  <c r="M183"/>
  <c r="L178"/>
  <c r="K173"/>
  <c r="M167"/>
  <c r="L162"/>
  <c r="K157"/>
  <c r="M151"/>
  <c r="L146"/>
  <c r="K141"/>
  <c r="M135"/>
  <c r="L130"/>
  <c r="K125"/>
  <c r="M119"/>
  <c r="L114"/>
  <c r="K109"/>
  <c r="M103"/>
  <c r="L98"/>
  <c r="K93"/>
  <c r="M87"/>
  <c r="L82"/>
  <c r="K77"/>
  <c r="M71"/>
  <c r="L66"/>
  <c r="K61"/>
  <c r="M55"/>
  <c r="L50"/>
  <c r="K45"/>
  <c r="M39"/>
  <c r="L34"/>
  <c r="K29"/>
  <c r="M23"/>
  <c r="L18"/>
  <c r="K13"/>
  <c r="K12"/>
  <c r="L12"/>
  <c r="M12"/>
  <c r="J31" i="4"/>
  <c r="N30"/>
  <c r="I31"/>
  <c r="M30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AA10" i="2"/>
  <c r="AC10" s="1"/>
  <c r="Z10"/>
  <c r="AB10" s="1"/>
  <c r="W8"/>
  <c r="W7"/>
  <c r="J32" i="4" l="1"/>
  <c r="N31"/>
  <c r="I32"/>
  <c r="M31"/>
  <c r="T63" i="2"/>
  <c r="K25"/>
  <c r="K24"/>
  <c r="K23"/>
  <c r="K22"/>
  <c r="K21"/>
  <c r="K20"/>
  <c r="J32" s="1"/>
  <c r="K19"/>
  <c r="K18"/>
  <c r="K17"/>
  <c r="J33" i="4" l="1"/>
  <c r="N32"/>
  <c r="I33"/>
  <c r="M32"/>
  <c r="AA66" i="2"/>
  <c r="Z66"/>
  <c r="AA65"/>
  <c r="Z65"/>
  <c r="AA64"/>
  <c r="Z64"/>
  <c r="AA63"/>
  <c r="Z63"/>
  <c r="AA62"/>
  <c r="Z62"/>
  <c r="AA61"/>
  <c r="Z61"/>
  <c r="Y60"/>
  <c r="AA60" s="1"/>
  <c r="X60"/>
  <c r="Z60" s="1"/>
  <c r="J31"/>
  <c r="N25"/>
  <c r="N24"/>
  <c r="N20"/>
  <c r="N17"/>
  <c r="N23"/>
  <c r="AH13"/>
  <c r="AG13"/>
  <c r="AH11"/>
  <c r="AG11"/>
  <c r="AF13"/>
  <c r="AF11"/>
  <c r="AC3"/>
  <c r="AB3"/>
  <c r="AA3"/>
  <c r="Z3"/>
  <c r="Y3"/>
  <c r="X3"/>
  <c r="AB4"/>
  <c r="X4"/>
  <c r="J34" i="4" l="1"/>
  <c r="N33"/>
  <c r="I34"/>
  <c r="M33"/>
  <c r="O20" i="2"/>
  <c r="O17"/>
  <c r="J30"/>
  <c r="O23"/>
  <c r="I4"/>
  <c r="L4" s="1"/>
  <c r="H4"/>
  <c r="K4" s="1"/>
  <c r="G4"/>
  <c r="J4" s="1"/>
  <c r="Z6"/>
  <c r="W6"/>
  <c r="Z4"/>
  <c r="W4"/>
  <c r="J17" i="3"/>
  <c r="J35" i="4" l="1"/>
  <c r="N34"/>
  <c r="I35"/>
  <c r="M34"/>
  <c r="V78" i="3"/>
  <c r="E85"/>
  <c r="E88" s="1"/>
  <c r="B66"/>
  <c r="Q84" s="1"/>
  <c r="B62"/>
  <c r="B67" s="1"/>
  <c r="Q85" s="1"/>
  <c r="I76"/>
  <c r="U94" s="1"/>
  <c r="H76"/>
  <c r="T94" s="1"/>
  <c r="G76"/>
  <c r="S94" s="1"/>
  <c r="I71"/>
  <c r="U89" s="1"/>
  <c r="H71"/>
  <c r="T89" s="1"/>
  <c r="G71"/>
  <c r="S89" s="1"/>
  <c r="I66"/>
  <c r="U84" s="1"/>
  <c r="H66"/>
  <c r="T84" s="1"/>
  <c r="G66"/>
  <c r="S84" s="1"/>
  <c r="I75"/>
  <c r="U93" s="1"/>
  <c r="H75"/>
  <c r="T93" s="1"/>
  <c r="G75"/>
  <c r="S93" s="1"/>
  <c r="I70"/>
  <c r="U88" s="1"/>
  <c r="H70"/>
  <c r="T88" s="1"/>
  <c r="G70"/>
  <c r="S88" s="1"/>
  <c r="I65"/>
  <c r="U83" s="1"/>
  <c r="H65"/>
  <c r="T83" s="1"/>
  <c r="G65"/>
  <c r="S83" s="1"/>
  <c r="I74"/>
  <c r="U92" s="1"/>
  <c r="H74"/>
  <c r="T92" s="1"/>
  <c r="G74"/>
  <c r="S92" s="1"/>
  <c r="I69"/>
  <c r="U87" s="1"/>
  <c r="H69"/>
  <c r="T87" s="1"/>
  <c r="G69"/>
  <c r="S87" s="1"/>
  <c r="I64"/>
  <c r="U82" s="1"/>
  <c r="H64"/>
  <c r="T82" s="1"/>
  <c r="G64"/>
  <c r="S82" s="1"/>
  <c r="I73"/>
  <c r="U91" s="1"/>
  <c r="H73"/>
  <c r="T91" s="1"/>
  <c r="G73"/>
  <c r="S91" s="1"/>
  <c r="I68"/>
  <c r="U86" s="1"/>
  <c r="H68"/>
  <c r="T86" s="1"/>
  <c r="G68"/>
  <c r="S86" s="1"/>
  <c r="I63"/>
  <c r="U81" s="1"/>
  <c r="H63"/>
  <c r="T81" s="1"/>
  <c r="G63"/>
  <c r="S81" s="1"/>
  <c r="I72"/>
  <c r="U90" s="1"/>
  <c r="H72"/>
  <c r="T90" s="1"/>
  <c r="G72"/>
  <c r="S90" s="1"/>
  <c r="C72"/>
  <c r="R90" s="1"/>
  <c r="I67"/>
  <c r="U85" s="1"/>
  <c r="H67"/>
  <c r="T85" s="1"/>
  <c r="G67"/>
  <c r="S85" s="1"/>
  <c r="C67"/>
  <c r="R85" s="1"/>
  <c r="C62"/>
  <c r="R80" s="1"/>
  <c r="I62"/>
  <c r="U80" s="1"/>
  <c r="H62"/>
  <c r="T80" s="1"/>
  <c r="G62"/>
  <c r="S80" s="1"/>
  <c r="U58"/>
  <c r="T58"/>
  <c r="S58"/>
  <c r="U57"/>
  <c r="T57"/>
  <c r="S57"/>
  <c r="U56"/>
  <c r="T56"/>
  <c r="S56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7"/>
  <c r="T47"/>
  <c r="S47"/>
  <c r="U46"/>
  <c r="T46"/>
  <c r="S46"/>
  <c r="U45"/>
  <c r="T45"/>
  <c r="S45"/>
  <c r="U44"/>
  <c r="T44"/>
  <c r="S44"/>
  <c r="F43"/>
  <c r="E43"/>
  <c r="D43"/>
  <c r="J49"/>
  <c r="C73" s="1"/>
  <c r="R91" s="1"/>
  <c r="J48"/>
  <c r="J51" s="1"/>
  <c r="J54" s="1"/>
  <c r="J57" s="1"/>
  <c r="C71" s="1"/>
  <c r="R89" s="1"/>
  <c r="J47"/>
  <c r="J50" s="1"/>
  <c r="M43"/>
  <c r="L43"/>
  <c r="K43"/>
  <c r="M83"/>
  <c r="M85"/>
  <c r="M82"/>
  <c r="J36" i="4" l="1"/>
  <c r="N35"/>
  <c r="I36"/>
  <c r="M35"/>
  <c r="Q80" i="3"/>
  <c r="J52"/>
  <c r="J55" s="1"/>
  <c r="J58" s="1"/>
  <c r="C76" s="1"/>
  <c r="R94" s="1"/>
  <c r="B71"/>
  <c r="B76" s="1"/>
  <c r="Q94" s="1"/>
  <c r="B72"/>
  <c r="Q90" s="1"/>
  <c r="J67"/>
  <c r="J68" s="1"/>
  <c r="J69" s="1"/>
  <c r="J70" s="1"/>
  <c r="J71" s="1"/>
  <c r="J72"/>
  <c r="J73" s="1"/>
  <c r="J74" s="1"/>
  <c r="J75" s="1"/>
  <c r="J76" s="1"/>
  <c r="J62"/>
  <c r="J63" s="1"/>
  <c r="J64" s="1"/>
  <c r="J65" s="1"/>
  <c r="J66" s="1"/>
  <c r="J53"/>
  <c r="C64"/>
  <c r="R82" s="1"/>
  <c r="C63"/>
  <c r="R81" s="1"/>
  <c r="C68"/>
  <c r="R86" s="1"/>
  <c r="C69"/>
  <c r="R87" s="1"/>
  <c r="C74"/>
  <c r="R92" s="1"/>
  <c r="C70"/>
  <c r="R88" s="1"/>
  <c r="C75"/>
  <c r="R93" s="1"/>
  <c r="E34"/>
  <c r="F34" s="1"/>
  <c r="O31"/>
  <c r="O27"/>
  <c r="P26"/>
  <c r="O26"/>
  <c r="E9"/>
  <c r="E8"/>
  <c r="D11"/>
  <c r="D8"/>
  <c r="C13"/>
  <c r="C8"/>
  <c r="F31"/>
  <c r="E31"/>
  <c r="J37" i="4" l="1"/>
  <c r="N36"/>
  <c r="I37"/>
  <c r="M36"/>
  <c r="Q89" i="3"/>
  <c r="M60"/>
  <c r="J56"/>
  <c r="C66" s="1"/>
  <c r="R84" s="1"/>
  <c r="C65"/>
  <c r="R83" s="1"/>
  <c r="P34"/>
  <c r="D31"/>
  <c r="D27"/>
  <c r="O17"/>
  <c r="K17"/>
  <c r="Q17" s="1"/>
  <c r="I18"/>
  <c r="I19"/>
  <c r="I20"/>
  <c r="K20"/>
  <c r="J20"/>
  <c r="K19"/>
  <c r="J19"/>
  <c r="K18"/>
  <c r="J18"/>
  <c r="D12"/>
  <c r="G12" s="1"/>
  <c r="C14"/>
  <c r="F14" s="1"/>
  <c r="F13"/>
  <c r="D13"/>
  <c r="G13" s="1"/>
  <c r="E10"/>
  <c r="E14" s="1"/>
  <c r="D10"/>
  <c r="D15" s="1"/>
  <c r="G15" s="1"/>
  <c r="G11"/>
  <c r="E11"/>
  <c r="H11" s="1"/>
  <c r="H9"/>
  <c r="D9"/>
  <c r="D14" s="1"/>
  <c r="G14" s="1"/>
  <c r="C9"/>
  <c r="C11" s="1"/>
  <c r="H8"/>
  <c r="G8"/>
  <c r="F8"/>
  <c r="B8"/>
  <c r="B9" s="1"/>
  <c r="B11" s="1"/>
  <c r="B10" s="1"/>
  <c r="B13" s="1"/>
  <c r="B14" s="1"/>
  <c r="B12" s="1"/>
  <c r="B15" s="1"/>
  <c r="I52" i="2"/>
  <c r="B7"/>
  <c r="M62"/>
  <c r="M61"/>
  <c r="H8"/>
  <c r="J55"/>
  <c r="I55"/>
  <c r="H55"/>
  <c r="J52"/>
  <c r="H52"/>
  <c r="R22"/>
  <c r="E27" i="3"/>
  <c r="F27"/>
  <c r="J38" i="4" l="1"/>
  <c r="N37"/>
  <c r="I38"/>
  <c r="M37"/>
  <c r="H9" i="2"/>
  <c r="K73" i="3"/>
  <c r="M80"/>
  <c r="M81"/>
  <c r="K62"/>
  <c r="L68"/>
  <c r="K63"/>
  <c r="L69"/>
  <c r="M72"/>
  <c r="K64"/>
  <c r="L67"/>
  <c r="M73"/>
  <c r="K66"/>
  <c r="L71"/>
  <c r="M76"/>
  <c r="K67"/>
  <c r="L72"/>
  <c r="M62"/>
  <c r="K68"/>
  <c r="L73"/>
  <c r="M63"/>
  <c r="K69"/>
  <c r="M75"/>
  <c r="K65"/>
  <c r="M64"/>
  <c r="K70"/>
  <c r="L75"/>
  <c r="M65"/>
  <c r="K71"/>
  <c r="L76"/>
  <c r="M66"/>
  <c r="K72"/>
  <c r="L62"/>
  <c r="M67"/>
  <c r="L74"/>
  <c r="M74"/>
  <c r="L70"/>
  <c r="L63"/>
  <c r="M68"/>
  <c r="K74"/>
  <c r="L64"/>
  <c r="M69"/>
  <c r="K75"/>
  <c r="L65"/>
  <c r="M70"/>
  <c r="K76"/>
  <c r="L66"/>
  <c r="M71"/>
  <c r="H10"/>
  <c r="H14"/>
  <c r="E15"/>
  <c r="H15" s="1"/>
  <c r="P17"/>
  <c r="C10"/>
  <c r="F10" s="1"/>
  <c r="F11"/>
  <c r="G9"/>
  <c r="F9"/>
  <c r="E13"/>
  <c r="C12"/>
  <c r="G10"/>
  <c r="K55" i="2"/>
  <c r="L55"/>
  <c r="K52"/>
  <c r="J49"/>
  <c r="I49"/>
  <c r="H49"/>
  <c r="B32"/>
  <c r="B35" s="1"/>
  <c r="B38" s="1"/>
  <c r="B31"/>
  <c r="B34" s="1"/>
  <c r="B37" s="1"/>
  <c r="B30"/>
  <c r="B33" s="1"/>
  <c r="B36" s="1"/>
  <c r="B42"/>
  <c r="K64" s="1"/>
  <c r="B41"/>
  <c r="K63" s="1"/>
  <c r="B40"/>
  <c r="K62" s="1"/>
  <c r="H32"/>
  <c r="H31"/>
  <c r="F32"/>
  <c r="F35" s="1"/>
  <c r="F38" s="1"/>
  <c r="E32"/>
  <c r="E35" s="1"/>
  <c r="E38" s="1"/>
  <c r="D32"/>
  <c r="D35" s="1"/>
  <c r="D38" s="1"/>
  <c r="F31"/>
  <c r="F34" s="1"/>
  <c r="F37" s="1"/>
  <c r="E31"/>
  <c r="E34" s="1"/>
  <c r="E37" s="1"/>
  <c r="D31"/>
  <c r="D34" s="1"/>
  <c r="D37" s="1"/>
  <c r="H30"/>
  <c r="F30"/>
  <c r="F33" s="1"/>
  <c r="F36" s="1"/>
  <c r="E30"/>
  <c r="E33" s="1"/>
  <c r="E36" s="1"/>
  <c r="D30"/>
  <c r="D33" s="1"/>
  <c r="D36" s="1"/>
  <c r="C19"/>
  <c r="C22" s="1"/>
  <c r="C36" s="1"/>
  <c r="C18"/>
  <c r="C21" s="1"/>
  <c r="C33" s="1"/>
  <c r="C17"/>
  <c r="C20" s="1"/>
  <c r="C30" s="1"/>
  <c r="E8"/>
  <c r="M11"/>
  <c r="M55"/>
  <c r="H27" i="3"/>
  <c r="J39" i="4" l="1"/>
  <c r="N38"/>
  <c r="I39"/>
  <c r="M38"/>
  <c r="Z9" i="2"/>
  <c r="F8"/>
  <c r="AB9" s="1"/>
  <c r="AB8" s="1"/>
  <c r="D8"/>
  <c r="E9"/>
  <c r="J6"/>
  <c r="L6"/>
  <c r="K6"/>
  <c r="AA4" s="1"/>
  <c r="J5"/>
  <c r="X11" s="1"/>
  <c r="K5"/>
  <c r="Z11" s="1"/>
  <c r="L5"/>
  <c r="AB11" s="1"/>
  <c r="S9" i="3" a="1"/>
  <c r="E12"/>
  <c r="H12" s="1"/>
  <c r="H13"/>
  <c r="F12"/>
  <c r="C15"/>
  <c r="F15" s="1"/>
  <c r="C50" i="2"/>
  <c r="C53" s="1"/>
  <c r="C56" s="1"/>
  <c r="B64"/>
  <c r="C49"/>
  <c r="C52" s="1"/>
  <c r="C55" s="1"/>
  <c r="B61"/>
  <c r="C51"/>
  <c r="C54" s="1"/>
  <c r="C57" s="1"/>
  <c r="B67"/>
  <c r="K49"/>
  <c r="L49"/>
  <c r="L52"/>
  <c r="K7"/>
  <c r="M52"/>
  <c r="M49"/>
  <c r="J40" i="4" l="1"/>
  <c r="N39"/>
  <c r="I40"/>
  <c r="M39"/>
  <c r="X7" i="2"/>
  <c r="X9"/>
  <c r="Y4"/>
  <c r="AC4"/>
  <c r="K8"/>
  <c r="J8" s="1"/>
  <c r="AA6"/>
  <c r="U9" i="3"/>
  <c r="S13" s="1"/>
  <c r="V9"/>
  <c r="V13" s="1"/>
  <c r="S9"/>
  <c r="U13" s="1"/>
  <c r="T9"/>
  <c r="T13" s="1"/>
  <c r="S10" a="1"/>
  <c r="S8" a="1"/>
  <c r="J41" i="4" l="1"/>
  <c r="N40"/>
  <c r="I41"/>
  <c r="M40"/>
  <c r="AA9" i="2"/>
  <c r="L8"/>
  <c r="AC9" s="1"/>
  <c r="AC8" s="1"/>
  <c r="C9"/>
  <c r="E10" s="1"/>
  <c r="Z5" s="1"/>
  <c r="D17" i="3"/>
  <c r="T10"/>
  <c r="T14" s="1"/>
  <c r="U10"/>
  <c r="S14" s="1"/>
  <c r="V10"/>
  <c r="V14" s="1"/>
  <c r="S10"/>
  <c r="U14" s="1"/>
  <c r="M14"/>
  <c r="P14" s="1"/>
  <c r="M12"/>
  <c r="P12" s="1"/>
  <c r="M8"/>
  <c r="P8" s="1"/>
  <c r="M15"/>
  <c r="P15" s="1"/>
  <c r="M11"/>
  <c r="P11" s="1"/>
  <c r="M9"/>
  <c r="P9" s="1"/>
  <c r="M13"/>
  <c r="P13" s="1"/>
  <c r="M10"/>
  <c r="P10" s="1"/>
  <c r="V8"/>
  <c r="V12" s="1"/>
  <c r="S8"/>
  <c r="U12" s="1"/>
  <c r="T8"/>
  <c r="T12" s="1"/>
  <c r="U8"/>
  <c r="S12" s="1"/>
  <c r="R19" i="2"/>
  <c r="J42" i="4" l="1"/>
  <c r="N41"/>
  <c r="I42"/>
  <c r="M41"/>
  <c r="AC11" i="2"/>
  <c r="M6" s="1"/>
  <c r="Y7"/>
  <c r="Y9"/>
  <c r="P63"/>
  <c r="D12"/>
  <c r="W5"/>
  <c r="AF12" s="1"/>
  <c r="AF14" s="1"/>
  <c r="S14"/>
  <c r="H10"/>
  <c r="K10" s="1"/>
  <c r="AA5" s="1"/>
  <c r="M12" s="1"/>
  <c r="N12" s="1"/>
  <c r="D11"/>
  <c r="N18"/>
  <c r="L11" i="3"/>
  <c r="O11" s="1"/>
  <c r="L15"/>
  <c r="O15" s="1"/>
  <c r="C17"/>
  <c r="E17"/>
  <c r="N11"/>
  <c r="Q11" s="1"/>
  <c r="N13"/>
  <c r="Q13" s="1"/>
  <c r="N10"/>
  <c r="Q10" s="1"/>
  <c r="N14"/>
  <c r="Q14" s="1"/>
  <c r="N12"/>
  <c r="Q12" s="1"/>
  <c r="N8"/>
  <c r="Q8" s="1"/>
  <c r="N15"/>
  <c r="Q15" s="1"/>
  <c r="N9"/>
  <c r="Q9" s="1"/>
  <c r="L9"/>
  <c r="O9" s="1"/>
  <c r="L12"/>
  <c r="O12" s="1"/>
  <c r="L8"/>
  <c r="O8" s="1"/>
  <c r="L13"/>
  <c r="O13" s="1"/>
  <c r="L10"/>
  <c r="O10" s="1"/>
  <c r="L14"/>
  <c r="O14" s="1"/>
  <c r="J43" i="4" l="1"/>
  <c r="N42"/>
  <c r="I43"/>
  <c r="M42"/>
  <c r="H17" i="2"/>
  <c r="G31" s="1"/>
  <c r="Q63"/>
  <c r="J24"/>
  <c r="J20"/>
  <c r="I32" s="1"/>
  <c r="J25"/>
  <c r="J21"/>
  <c r="J19"/>
  <c r="J17"/>
  <c r="I31" s="1"/>
  <c r="J22"/>
  <c r="J18"/>
  <c r="J23"/>
  <c r="I30" s="1"/>
  <c r="S63"/>
  <c r="Y11"/>
  <c r="M5" s="1"/>
  <c r="H23"/>
  <c r="G30" s="1"/>
  <c r="H19"/>
  <c r="H24"/>
  <c r="H20"/>
  <c r="H25"/>
  <c r="H21"/>
  <c r="H22"/>
  <c r="H18"/>
  <c r="AA11"/>
  <c r="O24"/>
  <c r="O18"/>
  <c r="N21"/>
  <c r="O21" s="1"/>
  <c r="N19"/>
  <c r="J44" i="4" l="1"/>
  <c r="N43"/>
  <c r="I44"/>
  <c r="M43"/>
  <c r="O25" i="2"/>
  <c r="O19"/>
  <c r="P23"/>
  <c r="G32"/>
  <c r="C63" s="1" a="1"/>
  <c r="P17"/>
  <c r="N22"/>
  <c r="AG12"/>
  <c r="AG14"/>
  <c r="AH14"/>
  <c r="J45" i="4" l="1"/>
  <c r="N44"/>
  <c r="I45"/>
  <c r="M44"/>
  <c r="O22" i="2"/>
  <c r="P19"/>
  <c r="C62" a="1"/>
  <c r="P20"/>
  <c r="Q15" s="1"/>
  <c r="E63"/>
  <c r="C63"/>
  <c r="D63"/>
  <c r="C61" a="1"/>
  <c r="P25"/>
  <c r="AH12"/>
  <c r="J46" i="4" l="1"/>
  <c r="N45"/>
  <c r="I46"/>
  <c r="M45"/>
  <c r="I35" i="2"/>
  <c r="J33"/>
  <c r="J34"/>
  <c r="J35"/>
  <c r="E62"/>
  <c r="C62"/>
  <c r="D62"/>
  <c r="H63" s="1"/>
  <c r="H35"/>
  <c r="H34"/>
  <c r="H33"/>
  <c r="M63"/>
  <c r="G34"/>
  <c r="I33"/>
  <c r="G33"/>
  <c r="I34"/>
  <c r="G35"/>
  <c r="C61"/>
  <c r="D61"/>
  <c r="E61"/>
  <c r="G61" s="1"/>
  <c r="P22"/>
  <c r="Q16" s="1"/>
  <c r="I47" i="4" l="1"/>
  <c r="M46"/>
  <c r="J47"/>
  <c r="N46"/>
  <c r="G38" i="2"/>
  <c r="J36"/>
  <c r="J37"/>
  <c r="J38"/>
  <c r="H61"/>
  <c r="I62"/>
  <c r="I63"/>
  <c r="G63"/>
  <c r="I61"/>
  <c r="H36"/>
  <c r="H38"/>
  <c r="M64"/>
  <c r="H37"/>
  <c r="I36"/>
  <c r="I37"/>
  <c r="G36"/>
  <c r="G37"/>
  <c r="I38"/>
  <c r="G62"/>
  <c r="H62"/>
  <c r="F61"/>
  <c r="C65" a="1"/>
  <c r="C64" a="1"/>
  <c r="C66" a="1"/>
  <c r="R23"/>
  <c r="R25"/>
  <c r="R24"/>
  <c r="R21"/>
  <c r="J48" i="4" l="1"/>
  <c r="N47"/>
  <c r="I48"/>
  <c r="M47"/>
  <c r="D41" i="2" a="1"/>
  <c r="E41" s="1"/>
  <c r="D40" a="1"/>
  <c r="F40" s="1"/>
  <c r="D42" a="1"/>
  <c r="E42" s="1"/>
  <c r="D64"/>
  <c r="E64"/>
  <c r="C64"/>
  <c r="C65"/>
  <c r="D65"/>
  <c r="E65"/>
  <c r="E66"/>
  <c r="D66"/>
  <c r="C66"/>
  <c r="I66" s="1"/>
  <c r="C69" a="1"/>
  <c r="C67" a="1"/>
  <c r="C68" a="1"/>
  <c r="I49" i="4" l="1"/>
  <c r="M48"/>
  <c r="J49"/>
  <c r="N48"/>
  <c r="D40" i="2"/>
  <c r="G41"/>
  <c r="G40"/>
  <c r="D41"/>
  <c r="E40"/>
  <c r="F41"/>
  <c r="C40" s="1"/>
  <c r="G42"/>
  <c r="D42"/>
  <c r="F42"/>
  <c r="H66"/>
  <c r="I65"/>
  <c r="G65"/>
  <c r="C67"/>
  <c r="E67"/>
  <c r="D67"/>
  <c r="G66"/>
  <c r="I64"/>
  <c r="D68"/>
  <c r="C68"/>
  <c r="E68"/>
  <c r="H65"/>
  <c r="F64"/>
  <c r="H64"/>
  <c r="D69"/>
  <c r="E69"/>
  <c r="C69"/>
  <c r="G64"/>
  <c r="R28"/>
  <c r="R26"/>
  <c r="R27"/>
  <c r="I50" i="4" l="1"/>
  <c r="M49"/>
  <c r="J50"/>
  <c r="N49"/>
  <c r="K42" i="2"/>
  <c r="I42"/>
  <c r="H42"/>
  <c r="K41"/>
  <c r="J42"/>
  <c r="H40"/>
  <c r="I41"/>
  <c r="J40"/>
  <c r="I40"/>
  <c r="K40"/>
  <c r="J41"/>
  <c r="H41"/>
  <c r="G69"/>
  <c r="G67"/>
  <c r="G68"/>
  <c r="H69"/>
  <c r="I67"/>
  <c r="C42"/>
  <c r="D51" s="1"/>
  <c r="D49"/>
  <c r="C41"/>
  <c r="I69"/>
  <c r="I68"/>
  <c r="H67"/>
  <c r="H68"/>
  <c r="F67"/>
  <c r="G34" i="3"/>
  <c r="G27"/>
  <c r="R31" i="2"/>
  <c r="I27" i="3"/>
  <c r="H34"/>
  <c r="R20" i="2"/>
  <c r="G31" i="3"/>
  <c r="H31"/>
  <c r="I34"/>
  <c r="I31"/>
  <c r="R30" i="2"/>
  <c r="R29"/>
  <c r="J51" i="4" l="1"/>
  <c r="N50"/>
  <c r="I51"/>
  <c r="M50"/>
  <c r="N37" i="2"/>
  <c r="S65"/>
  <c r="Q65"/>
  <c r="R65"/>
  <c r="Q69" s="1"/>
  <c r="N49"/>
  <c r="O49"/>
  <c r="P49"/>
  <c r="P51"/>
  <c r="N51"/>
  <c r="O51"/>
  <c r="N39"/>
  <c r="D54"/>
  <c r="N38"/>
  <c r="D52"/>
  <c r="N40"/>
  <c r="N41"/>
  <c r="D50"/>
  <c r="N42"/>
  <c r="E56" i="3"/>
  <c r="F56"/>
  <c r="E44"/>
  <c r="D44"/>
  <c r="F44"/>
  <c r="D56"/>
  <c r="P31"/>
  <c r="P27"/>
  <c r="J27"/>
  <c r="G44" s="1"/>
  <c r="G45" s="1"/>
  <c r="G46" s="1"/>
  <c r="L27"/>
  <c r="I44" s="1"/>
  <c r="I45" s="1"/>
  <c r="I46" s="1"/>
  <c r="K27"/>
  <c r="H44" s="1"/>
  <c r="H45" s="1"/>
  <c r="H46" s="1"/>
  <c r="L34"/>
  <c r="K34"/>
  <c r="J34"/>
  <c r="K31"/>
  <c r="H56" s="1"/>
  <c r="H57" s="1"/>
  <c r="H58" s="1"/>
  <c r="J31"/>
  <c r="G56" s="1"/>
  <c r="G57" s="1"/>
  <c r="G58" s="1"/>
  <c r="L31"/>
  <c r="I56" s="1"/>
  <c r="I57" s="1"/>
  <c r="I58" s="1"/>
  <c r="J52" i="4" l="1"/>
  <c r="N51"/>
  <c r="I52"/>
  <c r="M51"/>
  <c r="N52" i="2"/>
  <c r="O52"/>
  <c r="P52"/>
  <c r="O54"/>
  <c r="P54"/>
  <c r="N54"/>
  <c r="O50"/>
  <c r="P50"/>
  <c r="N50"/>
  <c r="R67"/>
  <c r="Q67"/>
  <c r="Q49"/>
  <c r="Q51"/>
  <c r="D55"/>
  <c r="D57"/>
  <c r="D53"/>
  <c r="R49"/>
  <c r="F49"/>
  <c r="F51"/>
  <c r="R51"/>
  <c r="F45" i="3"/>
  <c r="F62"/>
  <c r="E57"/>
  <c r="E66"/>
  <c r="D57"/>
  <c r="D66"/>
  <c r="F57"/>
  <c r="F66"/>
  <c r="E45"/>
  <c r="E62"/>
  <c r="D45"/>
  <c r="D62"/>
  <c r="R69" i="2"/>
  <c r="S49"/>
  <c r="S51"/>
  <c r="I53" i="4" l="1"/>
  <c r="M52"/>
  <c r="J53"/>
  <c r="N52"/>
  <c r="N57" i="2"/>
  <c r="O57"/>
  <c r="P57"/>
  <c r="P55"/>
  <c r="N55"/>
  <c r="O55"/>
  <c r="N53"/>
  <c r="O53"/>
  <c r="P53"/>
  <c r="E49"/>
  <c r="Q50"/>
  <c r="G51"/>
  <c r="G49"/>
  <c r="D56"/>
  <c r="R50"/>
  <c r="F50"/>
  <c r="F52"/>
  <c r="R52"/>
  <c r="Q54"/>
  <c r="Q52"/>
  <c r="E51"/>
  <c r="R54"/>
  <c r="F54"/>
  <c r="F46" i="3"/>
  <c r="F72" s="1"/>
  <c r="F67"/>
  <c r="E46"/>
  <c r="E72" s="1"/>
  <c r="E67"/>
  <c r="D46"/>
  <c r="D72" s="1"/>
  <c r="D67"/>
  <c r="F58"/>
  <c r="F76" s="1"/>
  <c r="F71"/>
  <c r="E58"/>
  <c r="E76" s="1"/>
  <c r="E71"/>
  <c r="D58"/>
  <c r="D76" s="1"/>
  <c r="D71"/>
  <c r="S54" i="2"/>
  <c r="S52"/>
  <c r="S50"/>
  <c r="I54" i="4" l="1"/>
  <c r="M53"/>
  <c r="J54"/>
  <c r="N53"/>
  <c r="N56" i="2"/>
  <c r="O56"/>
  <c r="P56"/>
  <c r="E50"/>
  <c r="E54"/>
  <c r="E52"/>
  <c r="Q53"/>
  <c r="G54"/>
  <c r="G52"/>
  <c r="G50"/>
  <c r="F55"/>
  <c r="R55"/>
  <c r="F53"/>
  <c r="R53"/>
  <c r="Q57"/>
  <c r="R57"/>
  <c r="F57"/>
  <c r="Q55"/>
  <c r="S53"/>
  <c r="S57"/>
  <c r="S55"/>
  <c r="J55" i="4" l="1"/>
  <c r="N54"/>
  <c r="I55"/>
  <c r="M54"/>
  <c r="E53" i="2"/>
  <c r="E55"/>
  <c r="G55"/>
  <c r="G57"/>
  <c r="G53"/>
  <c r="Q56"/>
  <c r="F56"/>
  <c r="R56"/>
  <c r="E57"/>
  <c r="S56"/>
  <c r="I56" i="4" l="1"/>
  <c r="M55"/>
  <c r="J56"/>
  <c r="N55"/>
  <c r="G56" i="2"/>
  <c r="E56"/>
  <c r="I57" i="4" l="1"/>
  <c r="M56"/>
  <c r="J57"/>
  <c r="N56"/>
  <c r="H3"/>
  <c r="L3" s="1"/>
  <c r="I58" l="1"/>
  <c r="M57"/>
  <c r="J58"/>
  <c r="N57"/>
  <c r="H4"/>
  <c r="L4" s="1"/>
  <c r="K3"/>
  <c r="O3" s="1"/>
  <c r="I59" l="1"/>
  <c r="M58"/>
  <c r="J59"/>
  <c r="N58"/>
  <c r="H5"/>
  <c r="K4"/>
  <c r="O4" s="1"/>
  <c r="H6" l="1"/>
  <c r="L5"/>
  <c r="I60"/>
  <c r="M59"/>
  <c r="J60"/>
  <c r="N59"/>
  <c r="K5"/>
  <c r="K6" l="1"/>
  <c r="O5"/>
  <c r="J61"/>
  <c r="N60"/>
  <c r="H7"/>
  <c r="L6"/>
  <c r="I61"/>
  <c r="M60"/>
  <c r="I62" l="1"/>
  <c r="M61"/>
  <c r="H8"/>
  <c r="L7"/>
  <c r="K7"/>
  <c r="O6"/>
  <c r="J62"/>
  <c r="N61"/>
  <c r="J63" l="1"/>
  <c r="N62"/>
  <c r="K8"/>
  <c r="O7"/>
  <c r="I63"/>
  <c r="M62"/>
  <c r="H9"/>
  <c r="L8"/>
  <c r="I64" l="1"/>
  <c r="M63"/>
  <c r="J64"/>
  <c r="N63"/>
  <c r="H10"/>
  <c r="L9"/>
  <c r="K9"/>
  <c r="O8"/>
  <c r="H11" l="1"/>
  <c r="L10"/>
  <c r="I65"/>
  <c r="M64"/>
  <c r="J65"/>
  <c r="N64"/>
  <c r="K10"/>
  <c r="O9"/>
  <c r="J66" l="1"/>
  <c r="N65"/>
  <c r="H12"/>
  <c r="L11"/>
  <c r="K11"/>
  <c r="O10"/>
  <c r="I66"/>
  <c r="M65"/>
  <c r="K12" l="1"/>
  <c r="O11"/>
  <c r="J67"/>
  <c r="N66"/>
  <c r="H13"/>
  <c r="L12"/>
  <c r="I67"/>
  <c r="M66"/>
  <c r="H14" l="1"/>
  <c r="L13"/>
  <c r="K13"/>
  <c r="O12"/>
  <c r="I68"/>
  <c r="M67"/>
  <c r="J68"/>
  <c r="N67"/>
  <c r="K14" l="1"/>
  <c r="O13"/>
  <c r="I69"/>
  <c r="M68"/>
  <c r="H15"/>
  <c r="L14"/>
  <c r="J69"/>
  <c r="N68"/>
  <c r="J70" l="1"/>
  <c r="N69"/>
  <c r="H16"/>
  <c r="L15"/>
  <c r="K15"/>
  <c r="O14"/>
  <c r="I70"/>
  <c r="M69"/>
  <c r="K16" l="1"/>
  <c r="O15"/>
  <c r="J71"/>
  <c r="N70"/>
  <c r="H17"/>
  <c r="L16"/>
  <c r="I71"/>
  <c r="M70"/>
  <c r="H18" l="1"/>
  <c r="L17"/>
  <c r="K17"/>
  <c r="O16"/>
  <c r="J72"/>
  <c r="N71"/>
  <c r="I72"/>
  <c r="M71"/>
  <c r="J73" l="1"/>
  <c r="N72"/>
  <c r="H19"/>
  <c r="L18"/>
  <c r="K18"/>
  <c r="O17"/>
  <c r="I73"/>
  <c r="M72"/>
  <c r="H20" l="1"/>
  <c r="L19"/>
  <c r="K19"/>
  <c r="O18"/>
  <c r="J74"/>
  <c r="N73"/>
  <c r="I74"/>
  <c r="M73"/>
  <c r="K20" l="1"/>
  <c r="O19"/>
  <c r="J75"/>
  <c r="N74"/>
  <c r="H21"/>
  <c r="L20"/>
  <c r="I75"/>
  <c r="M74"/>
  <c r="I76" l="1"/>
  <c r="M75"/>
  <c r="H22"/>
  <c r="L21"/>
  <c r="K21"/>
  <c r="O20"/>
  <c r="J76"/>
  <c r="N75"/>
  <c r="H23" l="1"/>
  <c r="L22"/>
  <c r="K22"/>
  <c r="O21"/>
  <c r="I77"/>
  <c r="M76"/>
  <c r="J77"/>
  <c r="N76"/>
  <c r="K23" l="1"/>
  <c r="O22"/>
  <c r="I78"/>
  <c r="M77"/>
  <c r="H24"/>
  <c r="L23"/>
  <c r="J78"/>
  <c r="N77"/>
  <c r="J79" l="1"/>
  <c r="N78"/>
  <c r="H25"/>
  <c r="L24"/>
  <c r="K24"/>
  <c r="O23"/>
  <c r="I79"/>
  <c r="M78"/>
  <c r="H26" l="1"/>
  <c r="L25"/>
  <c r="K25"/>
  <c r="O24"/>
  <c r="J80"/>
  <c r="N79"/>
  <c r="I80"/>
  <c r="M79"/>
  <c r="K26" l="1"/>
  <c r="O25"/>
  <c r="J81"/>
  <c r="N80"/>
  <c r="H27"/>
  <c r="L26"/>
  <c r="I81"/>
  <c r="M80"/>
  <c r="I82" l="1"/>
  <c r="M81"/>
  <c r="H28"/>
  <c r="L27"/>
  <c r="K27"/>
  <c r="O26"/>
  <c r="J82"/>
  <c r="N81"/>
  <c r="J83" l="1"/>
  <c r="N82"/>
  <c r="H29"/>
  <c r="L28"/>
  <c r="K28"/>
  <c r="O27"/>
  <c r="I83"/>
  <c r="M82"/>
  <c r="I84" l="1"/>
  <c r="M83"/>
  <c r="K29"/>
  <c r="O28"/>
  <c r="J84"/>
  <c r="N83"/>
  <c r="H30"/>
  <c r="L29"/>
  <c r="K30" l="1"/>
  <c r="O29"/>
  <c r="J85"/>
  <c r="N84"/>
  <c r="I85"/>
  <c r="M84"/>
  <c r="H31"/>
  <c r="L30"/>
  <c r="H32" l="1"/>
  <c r="L31"/>
  <c r="J86"/>
  <c r="N85"/>
  <c r="I86"/>
  <c r="M85"/>
  <c r="K31"/>
  <c r="O30"/>
  <c r="J87" l="1"/>
  <c r="N86"/>
  <c r="I87"/>
  <c r="M86"/>
  <c r="H33"/>
  <c r="L32"/>
  <c r="K32"/>
  <c r="O31"/>
  <c r="K33" l="1"/>
  <c r="O32"/>
  <c r="I88"/>
  <c r="M87"/>
  <c r="H34"/>
  <c r="L33"/>
  <c r="J88"/>
  <c r="N87"/>
  <c r="J89" l="1"/>
  <c r="N88"/>
  <c r="I89"/>
  <c r="M88"/>
  <c r="H35"/>
  <c r="L34"/>
  <c r="K34"/>
  <c r="O33"/>
  <c r="K35" l="1"/>
  <c r="O34"/>
  <c r="I90"/>
  <c r="M89"/>
  <c r="H36"/>
  <c r="L35"/>
  <c r="J90"/>
  <c r="N89"/>
  <c r="H37" l="1"/>
  <c r="L36"/>
  <c r="K36"/>
  <c r="O35"/>
  <c r="J91"/>
  <c r="N90"/>
  <c r="I91"/>
  <c r="M90"/>
  <c r="K37" l="1"/>
  <c r="O36"/>
  <c r="J92"/>
  <c r="N91"/>
  <c r="H38"/>
  <c r="L37"/>
  <c r="I92"/>
  <c r="M91"/>
  <c r="J93" l="1"/>
  <c r="N92"/>
  <c r="H39"/>
  <c r="L38"/>
  <c r="K38"/>
  <c r="O37"/>
  <c r="I93"/>
  <c r="M92"/>
  <c r="I94" l="1"/>
  <c r="M93"/>
  <c r="H40"/>
  <c r="L39"/>
  <c r="K39"/>
  <c r="O38"/>
  <c r="J94"/>
  <c r="N93"/>
  <c r="H41" l="1"/>
  <c r="L40"/>
  <c r="K40"/>
  <c r="O39"/>
  <c r="I95"/>
  <c r="M94"/>
  <c r="J95"/>
  <c r="N94"/>
  <c r="K41" l="1"/>
  <c r="O40"/>
  <c r="I96"/>
  <c r="M95"/>
  <c r="H42"/>
  <c r="L41"/>
  <c r="J96"/>
  <c r="N95"/>
  <c r="J97" l="1"/>
  <c r="N96"/>
  <c r="I97"/>
  <c r="M96"/>
  <c r="H43"/>
  <c r="L42"/>
  <c r="K42"/>
  <c r="O41"/>
  <c r="K43" l="1"/>
  <c r="O42"/>
  <c r="I98"/>
  <c r="M97"/>
  <c r="H44"/>
  <c r="L43"/>
  <c r="J98"/>
  <c r="N97"/>
  <c r="J99" l="1"/>
  <c r="N98"/>
  <c r="I99"/>
  <c r="M98"/>
  <c r="H45"/>
  <c r="L44"/>
  <c r="K44"/>
  <c r="O43"/>
  <c r="K45" l="1"/>
  <c r="O44"/>
  <c r="I100"/>
  <c r="M99"/>
  <c r="H46"/>
  <c r="L45"/>
  <c r="J100"/>
  <c r="N99"/>
  <c r="I101" l="1"/>
  <c r="M100"/>
  <c r="H47"/>
  <c r="L46"/>
  <c r="K46"/>
  <c r="O45"/>
  <c r="J101"/>
  <c r="N100"/>
  <c r="J102" l="1"/>
  <c r="N101"/>
  <c r="H48"/>
  <c r="L47"/>
  <c r="K47"/>
  <c r="O46"/>
  <c r="I102"/>
  <c r="M101"/>
  <c r="I103" l="1"/>
  <c r="M102"/>
  <c r="H49"/>
  <c r="L48"/>
  <c r="K48"/>
  <c r="O47"/>
  <c r="J103"/>
  <c r="N102"/>
  <c r="J104" l="1"/>
  <c r="N103"/>
  <c r="H50"/>
  <c r="L49"/>
  <c r="K49"/>
  <c r="O48"/>
  <c r="I104"/>
  <c r="M103"/>
  <c r="I105" l="1"/>
  <c r="M104"/>
  <c r="H51"/>
  <c r="L50"/>
  <c r="K50"/>
  <c r="O49"/>
  <c r="J105"/>
  <c r="N104"/>
  <c r="H52" l="1"/>
  <c r="L51"/>
  <c r="K51"/>
  <c r="O50"/>
  <c r="I106"/>
  <c r="M105"/>
  <c r="J106"/>
  <c r="N105"/>
  <c r="K52" l="1"/>
  <c r="O51"/>
  <c r="I107"/>
  <c r="M106"/>
  <c r="H53"/>
  <c r="L52"/>
  <c r="J107"/>
  <c r="N106"/>
  <c r="I108" l="1"/>
  <c r="M107"/>
  <c r="H54"/>
  <c r="L53"/>
  <c r="K53"/>
  <c r="O52"/>
  <c r="J108"/>
  <c r="N107"/>
  <c r="K54" l="1"/>
  <c r="O53"/>
  <c r="I109"/>
  <c r="M108"/>
  <c r="J109"/>
  <c r="N108"/>
  <c r="H55"/>
  <c r="L54"/>
  <c r="H56" l="1"/>
  <c r="L55"/>
  <c r="I110"/>
  <c r="M109"/>
  <c r="J110"/>
  <c r="N109"/>
  <c r="K55"/>
  <c r="O54"/>
  <c r="K56" l="1"/>
  <c r="O55"/>
  <c r="I111"/>
  <c r="M110"/>
  <c r="J111"/>
  <c r="N110"/>
  <c r="H57"/>
  <c r="L56"/>
  <c r="H58" l="1"/>
  <c r="L57"/>
  <c r="I112"/>
  <c r="M111"/>
  <c r="J112"/>
  <c r="N111"/>
  <c r="K57"/>
  <c r="O56"/>
  <c r="K58" l="1"/>
  <c r="O57"/>
  <c r="I113"/>
  <c r="M112"/>
  <c r="J113"/>
  <c r="N112"/>
  <c r="H59"/>
  <c r="L58"/>
  <c r="H60" l="1"/>
  <c r="L59"/>
  <c r="I114"/>
  <c r="M113"/>
  <c r="J114"/>
  <c r="N113"/>
  <c r="K59"/>
  <c r="O58"/>
  <c r="K60" l="1"/>
  <c r="O59"/>
  <c r="I115"/>
  <c r="M114"/>
  <c r="J115"/>
  <c r="N114"/>
  <c r="H61"/>
  <c r="L60"/>
  <c r="H62" l="1"/>
  <c r="L61"/>
  <c r="I116"/>
  <c r="M115"/>
  <c r="J116"/>
  <c r="N115"/>
  <c r="K61"/>
  <c r="O60"/>
  <c r="K62" l="1"/>
  <c r="O61"/>
  <c r="I117"/>
  <c r="M116"/>
  <c r="J117"/>
  <c r="N116"/>
  <c r="H63"/>
  <c r="L62"/>
  <c r="H64" l="1"/>
  <c r="L63"/>
  <c r="I118"/>
  <c r="M117"/>
  <c r="J118"/>
  <c r="N117"/>
  <c r="K63"/>
  <c r="O62"/>
  <c r="K64" l="1"/>
  <c r="O63"/>
  <c r="I119"/>
  <c r="M118"/>
  <c r="J119"/>
  <c r="N118"/>
  <c r="H65"/>
  <c r="L64"/>
  <c r="H66" l="1"/>
  <c r="L65"/>
  <c r="I120"/>
  <c r="M119"/>
  <c r="J120"/>
  <c r="N119"/>
  <c r="K65"/>
  <c r="O64"/>
  <c r="K66" l="1"/>
  <c r="O65"/>
  <c r="I121"/>
  <c r="M120"/>
  <c r="J121"/>
  <c r="N120"/>
  <c r="H67"/>
  <c r="L66"/>
  <c r="H68" l="1"/>
  <c r="L67"/>
  <c r="I122"/>
  <c r="M121"/>
  <c r="J122"/>
  <c r="N121"/>
  <c r="K67"/>
  <c r="O66"/>
  <c r="K68" l="1"/>
  <c r="O67"/>
  <c r="I123"/>
  <c r="M122"/>
  <c r="J123"/>
  <c r="N122"/>
  <c r="H69"/>
  <c r="L68"/>
  <c r="H70" l="1"/>
  <c r="L69"/>
  <c r="I124"/>
  <c r="M123"/>
  <c r="J124"/>
  <c r="N123"/>
  <c r="K69"/>
  <c r="O68"/>
  <c r="K70" l="1"/>
  <c r="O69"/>
  <c r="I125"/>
  <c r="M124"/>
  <c r="J125"/>
  <c r="N124"/>
  <c r="H71"/>
  <c r="L70"/>
  <c r="H72" l="1"/>
  <c r="L71"/>
  <c r="I126"/>
  <c r="M125"/>
  <c r="J126"/>
  <c r="N125"/>
  <c r="K71"/>
  <c r="O70"/>
  <c r="J127" l="1"/>
  <c r="N126"/>
  <c r="H73"/>
  <c r="L72"/>
  <c r="K72"/>
  <c r="O71"/>
  <c r="I127"/>
  <c r="M126"/>
  <c r="H74" l="1"/>
  <c r="L73"/>
  <c r="K73"/>
  <c r="O72"/>
  <c r="J128"/>
  <c r="N127"/>
  <c r="I128"/>
  <c r="M127"/>
  <c r="I129" l="1"/>
  <c r="M128"/>
  <c r="K74"/>
  <c r="O73"/>
  <c r="J129"/>
  <c r="N128"/>
  <c r="H75"/>
  <c r="L74"/>
  <c r="K75" l="1"/>
  <c r="O74"/>
  <c r="J130"/>
  <c r="N129"/>
  <c r="I130"/>
  <c r="M129"/>
  <c r="H76"/>
  <c r="L75"/>
  <c r="H77" l="1"/>
  <c r="L76"/>
  <c r="J131"/>
  <c r="N130"/>
  <c r="I131"/>
  <c r="M130"/>
  <c r="K76"/>
  <c r="O75"/>
  <c r="K77" l="1"/>
  <c r="O76"/>
  <c r="J132"/>
  <c r="N131"/>
  <c r="I132"/>
  <c r="M131"/>
  <c r="H78"/>
  <c r="L77"/>
  <c r="H79" l="1"/>
  <c r="L78"/>
  <c r="J133"/>
  <c r="N132"/>
  <c r="I133"/>
  <c r="M132"/>
  <c r="K78"/>
  <c r="O77"/>
  <c r="J134" l="1"/>
  <c r="N133"/>
  <c r="I134"/>
  <c r="M133"/>
  <c r="H80"/>
  <c r="L79"/>
  <c r="K79"/>
  <c r="O78"/>
  <c r="K80" l="1"/>
  <c r="O79"/>
  <c r="I135"/>
  <c r="M134"/>
  <c r="H81"/>
  <c r="L80"/>
  <c r="J135"/>
  <c r="N134"/>
  <c r="J136" l="1"/>
  <c r="N135"/>
  <c r="I136"/>
  <c r="M135"/>
  <c r="H82"/>
  <c r="L81"/>
  <c r="K81"/>
  <c r="O80"/>
  <c r="K82" l="1"/>
  <c r="O81"/>
  <c r="I137"/>
  <c r="M136"/>
  <c r="H83"/>
  <c r="L82"/>
  <c r="J137"/>
  <c r="N136"/>
  <c r="J138" l="1"/>
  <c r="N137"/>
  <c r="H84"/>
  <c r="L83"/>
  <c r="K83"/>
  <c r="O82"/>
  <c r="I138"/>
  <c r="M137"/>
  <c r="H85" l="1"/>
  <c r="L84"/>
  <c r="K84"/>
  <c r="O83"/>
  <c r="J139"/>
  <c r="N138"/>
  <c r="I139"/>
  <c r="M138"/>
  <c r="K85" l="1"/>
  <c r="O84"/>
  <c r="J140"/>
  <c r="N139"/>
  <c r="H86"/>
  <c r="L85"/>
  <c r="I140"/>
  <c r="M139"/>
  <c r="H87" l="1"/>
  <c r="L86"/>
  <c r="K86"/>
  <c r="O85"/>
  <c r="I141"/>
  <c r="M140"/>
  <c r="J141"/>
  <c r="N140"/>
  <c r="J142" l="1"/>
  <c r="N141"/>
  <c r="K87"/>
  <c r="O86"/>
  <c r="I142"/>
  <c r="M141"/>
  <c r="H88"/>
  <c r="L87"/>
  <c r="K88" l="1"/>
  <c r="O87"/>
  <c r="I143"/>
  <c r="M142"/>
  <c r="J143"/>
  <c r="N142"/>
  <c r="H89"/>
  <c r="L88"/>
  <c r="I144" l="1"/>
  <c r="M143"/>
  <c r="J144"/>
  <c r="N143"/>
  <c r="K89"/>
  <c r="O88"/>
  <c r="H90"/>
  <c r="L89"/>
  <c r="K90" l="1"/>
  <c r="O89"/>
  <c r="I145"/>
  <c r="M144"/>
  <c r="H91"/>
  <c r="L90"/>
  <c r="J145"/>
  <c r="N144"/>
  <c r="I146" l="1"/>
  <c r="M145"/>
  <c r="H92"/>
  <c r="L91"/>
  <c r="K91"/>
  <c r="O90"/>
  <c r="J146"/>
  <c r="N145"/>
  <c r="J147" l="1"/>
  <c r="N146"/>
  <c r="H93"/>
  <c r="L92"/>
  <c r="K92"/>
  <c r="O91"/>
  <c r="I147"/>
  <c r="M146"/>
  <c r="I148" l="1"/>
  <c r="M147"/>
  <c r="H94"/>
  <c r="L93"/>
  <c r="K93"/>
  <c r="O92"/>
  <c r="J148"/>
  <c r="N147"/>
  <c r="H95" l="1"/>
  <c r="L94"/>
  <c r="K94"/>
  <c r="O93"/>
  <c r="I149"/>
  <c r="M148"/>
  <c r="J149"/>
  <c r="N148"/>
  <c r="J150" l="1"/>
  <c r="N149"/>
  <c r="K95"/>
  <c r="O94"/>
  <c r="I150"/>
  <c r="M149"/>
  <c r="H96"/>
  <c r="L95"/>
  <c r="H97" l="1"/>
  <c r="L96"/>
  <c r="K96"/>
  <c r="O95"/>
  <c r="I151"/>
  <c r="M150"/>
  <c r="J151"/>
  <c r="N150"/>
  <c r="J152" l="1"/>
  <c r="N151"/>
  <c r="K97"/>
  <c r="O96"/>
  <c r="I152"/>
  <c r="M151"/>
  <c r="H98"/>
  <c r="L97"/>
  <c r="H99" l="1"/>
  <c r="L98"/>
  <c r="K98"/>
  <c r="O97"/>
  <c r="I153"/>
  <c r="M152"/>
  <c r="J153"/>
  <c r="N152"/>
  <c r="K99" l="1"/>
  <c r="O98"/>
  <c r="I154"/>
  <c r="M153"/>
  <c r="H100"/>
  <c r="L99"/>
  <c r="J154"/>
  <c r="N153"/>
  <c r="I155" l="1"/>
  <c r="M154"/>
  <c r="H101"/>
  <c r="L100"/>
  <c r="K100"/>
  <c r="O99"/>
  <c r="J155"/>
  <c r="N154"/>
  <c r="H102" l="1"/>
  <c r="L101"/>
  <c r="K101"/>
  <c r="O100"/>
  <c r="I156"/>
  <c r="M155"/>
  <c r="J156"/>
  <c r="N155"/>
  <c r="K102" l="1"/>
  <c r="O101"/>
  <c r="I157"/>
  <c r="M156"/>
  <c r="H103"/>
  <c r="L102"/>
  <c r="J157"/>
  <c r="N156"/>
  <c r="J158" l="1"/>
  <c r="N157"/>
  <c r="I158"/>
  <c r="M157"/>
  <c r="H104"/>
  <c r="L103"/>
  <c r="K103"/>
  <c r="O102"/>
  <c r="K104" l="1"/>
  <c r="O103"/>
  <c r="I159"/>
  <c r="M158"/>
  <c r="H105"/>
  <c r="L104"/>
  <c r="J159"/>
  <c r="N158"/>
  <c r="J160" l="1"/>
  <c r="N159"/>
  <c r="I160"/>
  <c r="M159"/>
  <c r="H106"/>
  <c r="L105"/>
  <c r="K105"/>
  <c r="O104"/>
  <c r="K106" l="1"/>
  <c r="O105"/>
  <c r="I161"/>
  <c r="M160"/>
  <c r="H107"/>
  <c r="L106"/>
  <c r="J161"/>
  <c r="N160"/>
  <c r="I162" l="1"/>
  <c r="M161"/>
  <c r="H108"/>
  <c r="L107"/>
  <c r="K107"/>
  <c r="O106"/>
  <c r="J162"/>
  <c r="N161"/>
  <c r="K108" l="1"/>
  <c r="O107"/>
  <c r="I163"/>
  <c r="M162"/>
  <c r="J163"/>
  <c r="N162"/>
  <c r="H109"/>
  <c r="L108"/>
  <c r="H110" l="1"/>
  <c r="L109"/>
  <c r="J164"/>
  <c r="N163"/>
  <c r="K109"/>
  <c r="O108"/>
  <c r="I164"/>
  <c r="M163"/>
  <c r="J165" l="1"/>
  <c r="N164"/>
  <c r="K110"/>
  <c r="O109"/>
  <c r="H111"/>
  <c r="L110"/>
  <c r="I165"/>
  <c r="M164"/>
  <c r="K111" l="1"/>
  <c r="O110"/>
  <c r="H112"/>
  <c r="L111"/>
  <c r="J166"/>
  <c r="N165"/>
  <c r="I166"/>
  <c r="M165"/>
  <c r="I167" l="1"/>
  <c r="M166"/>
  <c r="H113"/>
  <c r="L112"/>
  <c r="J167"/>
  <c r="N166"/>
  <c r="K112"/>
  <c r="O111"/>
  <c r="K113" l="1"/>
  <c r="O112"/>
  <c r="H114"/>
  <c r="L113"/>
  <c r="J168"/>
  <c r="N167"/>
  <c r="I168"/>
  <c r="M167"/>
  <c r="I169" l="1"/>
  <c r="M168"/>
  <c r="H115"/>
  <c r="L114"/>
  <c r="J169"/>
  <c r="N168"/>
  <c r="K114"/>
  <c r="O113"/>
  <c r="K115" l="1"/>
  <c r="O114"/>
  <c r="H116"/>
  <c r="L115"/>
  <c r="J170"/>
  <c r="N169"/>
  <c r="I170"/>
  <c r="M169"/>
  <c r="I171" l="1"/>
  <c r="M170"/>
  <c r="H117"/>
  <c r="L116"/>
  <c r="J171"/>
  <c r="N170"/>
  <c r="K116"/>
  <c r="O115"/>
  <c r="K117" l="1"/>
  <c r="O116"/>
  <c r="H118"/>
  <c r="L117"/>
  <c r="J172"/>
  <c r="N171"/>
  <c r="I172"/>
  <c r="M171"/>
  <c r="I173" l="1"/>
  <c r="M172"/>
  <c r="H119"/>
  <c r="L118"/>
  <c r="J173"/>
  <c r="N172"/>
  <c r="K118"/>
  <c r="O117"/>
  <c r="K119" l="1"/>
  <c r="O118"/>
  <c r="H120"/>
  <c r="L119"/>
  <c r="J174"/>
  <c r="N173"/>
  <c r="I174"/>
  <c r="M173"/>
  <c r="H121" l="1"/>
  <c r="L120"/>
  <c r="J175"/>
  <c r="N174"/>
  <c r="K120"/>
  <c r="O119"/>
  <c r="I175"/>
  <c r="M174"/>
  <c r="I176" l="1"/>
  <c r="M175"/>
  <c r="J176"/>
  <c r="N175"/>
  <c r="K121"/>
  <c r="O120"/>
  <c r="H122"/>
  <c r="L121"/>
  <c r="H123" l="1"/>
  <c r="L122"/>
  <c r="J177"/>
  <c r="N176"/>
  <c r="K122"/>
  <c r="O121"/>
  <c r="I177"/>
  <c r="M176"/>
  <c r="J178" l="1"/>
  <c r="N177"/>
  <c r="K123"/>
  <c r="O122"/>
  <c r="H124"/>
  <c r="L123"/>
  <c r="I178"/>
  <c r="M177"/>
  <c r="I179" l="1"/>
  <c r="M178"/>
  <c r="K124"/>
  <c r="O123"/>
  <c r="H125"/>
  <c r="L124"/>
  <c r="J179"/>
  <c r="N178"/>
  <c r="K125" l="1"/>
  <c r="O124"/>
  <c r="H126"/>
  <c r="L125"/>
  <c r="I180"/>
  <c r="M179"/>
  <c r="J180"/>
  <c r="N179"/>
  <c r="I181" l="1"/>
  <c r="M180"/>
  <c r="K126"/>
  <c r="O125"/>
  <c r="J181"/>
  <c r="N180"/>
  <c r="H127"/>
  <c r="L126"/>
  <c r="K127" l="1"/>
  <c r="O126"/>
  <c r="J182"/>
  <c r="N181"/>
  <c r="I182"/>
  <c r="M181"/>
  <c r="H128"/>
  <c r="L127"/>
  <c r="J183" l="1"/>
  <c r="N182"/>
  <c r="I183"/>
  <c r="M182"/>
  <c r="K128"/>
  <c r="O127"/>
  <c r="H129"/>
  <c r="L128"/>
  <c r="H130" l="1"/>
  <c r="L129"/>
  <c r="I184"/>
  <c r="M183"/>
  <c r="K129"/>
  <c r="O128"/>
  <c r="J184"/>
  <c r="N183"/>
  <c r="J185" l="1"/>
  <c r="N184"/>
  <c r="I185"/>
  <c r="M184"/>
  <c r="K130"/>
  <c r="O129"/>
  <c r="H131"/>
  <c r="L130"/>
  <c r="H132" l="1"/>
  <c r="L131"/>
  <c r="I186"/>
  <c r="M185"/>
  <c r="K131"/>
  <c r="O130"/>
  <c r="J186"/>
  <c r="N185"/>
  <c r="J187" l="1"/>
  <c r="N186"/>
  <c r="I187"/>
  <c r="M186"/>
  <c r="K132"/>
  <c r="O131"/>
  <c r="H133"/>
  <c r="L132"/>
  <c r="H134" l="1"/>
  <c r="L133"/>
  <c r="I188"/>
  <c r="M187"/>
  <c r="K133"/>
  <c r="O132"/>
  <c r="J188"/>
  <c r="N187"/>
  <c r="I189" l="1"/>
  <c r="M188"/>
  <c r="K134"/>
  <c r="O133"/>
  <c r="H135"/>
  <c r="L134"/>
  <c r="J189"/>
  <c r="N188"/>
  <c r="J190" l="1"/>
  <c r="N189"/>
  <c r="K135"/>
  <c r="O134"/>
  <c r="H136"/>
  <c r="L135"/>
  <c r="I190"/>
  <c r="M189"/>
  <c r="K136" l="1"/>
  <c r="O135"/>
  <c r="H137"/>
  <c r="L136"/>
  <c r="J191"/>
  <c r="N190"/>
  <c r="I191"/>
  <c r="M190"/>
  <c r="I192" l="1"/>
  <c r="M191"/>
  <c r="H138"/>
  <c r="L137"/>
  <c r="J192"/>
  <c r="N191"/>
  <c r="K137"/>
  <c r="O136"/>
  <c r="K138" l="1"/>
  <c r="O137"/>
  <c r="H139"/>
  <c r="L138"/>
  <c r="J193"/>
  <c r="N192"/>
  <c r="I193"/>
  <c r="M192"/>
  <c r="I194" l="1"/>
  <c r="M193"/>
  <c r="H140"/>
  <c r="L139"/>
  <c r="J194"/>
  <c r="N193"/>
  <c r="K139"/>
  <c r="O138"/>
  <c r="K140" l="1"/>
  <c r="O139"/>
  <c r="H141"/>
  <c r="L140"/>
  <c r="J195"/>
  <c r="N194"/>
  <c r="I195"/>
  <c r="M194"/>
  <c r="I196" l="1"/>
  <c r="M195"/>
  <c r="H142"/>
  <c r="L141"/>
  <c r="J196"/>
  <c r="N195"/>
  <c r="K141"/>
  <c r="O140"/>
  <c r="K142" l="1"/>
  <c r="O141"/>
  <c r="H143"/>
  <c r="L142"/>
  <c r="J197"/>
  <c r="N196"/>
  <c r="I197"/>
  <c r="M196"/>
  <c r="I198" l="1"/>
  <c r="M197"/>
  <c r="H144"/>
  <c r="L143"/>
  <c r="J198"/>
  <c r="N197"/>
  <c r="K143"/>
  <c r="O142"/>
  <c r="J199" l="1"/>
  <c r="N198"/>
  <c r="I199"/>
  <c r="M198"/>
  <c r="K144"/>
  <c r="O143"/>
  <c r="H145"/>
  <c r="L144"/>
  <c r="H146" l="1"/>
  <c r="L145"/>
  <c r="I200"/>
  <c r="M199"/>
  <c r="K145"/>
  <c r="O144"/>
  <c r="J200"/>
  <c r="N199"/>
  <c r="J201" l="1"/>
  <c r="N200"/>
  <c r="I201"/>
  <c r="M200"/>
  <c r="K146"/>
  <c r="O145"/>
  <c r="H147"/>
  <c r="L146"/>
  <c r="H148" l="1"/>
  <c r="L147"/>
  <c r="I202"/>
  <c r="M201"/>
  <c r="K147"/>
  <c r="O146"/>
  <c r="J202"/>
  <c r="N201"/>
  <c r="J203" l="1"/>
  <c r="N202"/>
  <c r="I203"/>
  <c r="M202"/>
  <c r="K148"/>
  <c r="O147"/>
  <c r="H149"/>
  <c r="L148"/>
  <c r="H150" l="1"/>
  <c r="L149"/>
  <c r="I204"/>
  <c r="M203"/>
  <c r="K149"/>
  <c r="O148"/>
  <c r="J204"/>
  <c r="N203"/>
  <c r="J205" l="1"/>
  <c r="N204"/>
  <c r="I205"/>
  <c r="M204"/>
  <c r="K150"/>
  <c r="O149"/>
  <c r="H151"/>
  <c r="L150"/>
  <c r="H152" l="1"/>
  <c r="L151"/>
  <c r="I206"/>
  <c r="M205"/>
  <c r="K151"/>
  <c r="O150"/>
  <c r="J206"/>
  <c r="N205"/>
  <c r="J207" l="1"/>
  <c r="N206"/>
  <c r="I207"/>
  <c r="M206"/>
  <c r="K152"/>
  <c r="O151"/>
  <c r="H153"/>
  <c r="L152"/>
  <c r="H154" l="1"/>
  <c r="L153"/>
  <c r="I208"/>
  <c r="M207"/>
  <c r="K153"/>
  <c r="O152"/>
  <c r="J208"/>
  <c r="N207"/>
  <c r="I209" l="1"/>
  <c r="M208"/>
  <c r="K154"/>
  <c r="O153"/>
  <c r="H155"/>
  <c r="L154"/>
  <c r="J209"/>
  <c r="N208"/>
  <c r="K155" l="1"/>
  <c r="O154"/>
  <c r="H156"/>
  <c r="L155"/>
  <c r="I210"/>
  <c r="M209"/>
  <c r="J210"/>
  <c r="N209"/>
  <c r="J211" l="1"/>
  <c r="N210"/>
  <c r="H157"/>
  <c r="L156"/>
  <c r="I211"/>
  <c r="M210"/>
  <c r="K156"/>
  <c r="O155"/>
  <c r="K157" l="1"/>
  <c r="O156"/>
  <c r="H158"/>
  <c r="L157"/>
  <c r="I212"/>
  <c r="M211"/>
  <c r="J212"/>
  <c r="N211"/>
  <c r="J213" l="1"/>
  <c r="N212"/>
  <c r="H159"/>
  <c r="L158"/>
  <c r="I213"/>
  <c r="M212"/>
  <c r="K158"/>
  <c r="O157"/>
  <c r="K159" l="1"/>
  <c r="O158"/>
  <c r="H160"/>
  <c r="L159"/>
  <c r="I214"/>
  <c r="M213"/>
  <c r="J214"/>
  <c r="N213"/>
  <c r="H161" l="1"/>
  <c r="L160"/>
  <c r="I215"/>
  <c r="M214"/>
  <c r="K160"/>
  <c r="O159"/>
  <c r="J215"/>
  <c r="N214"/>
  <c r="I216" l="1"/>
  <c r="M215"/>
  <c r="K161"/>
  <c r="O160"/>
  <c r="H162"/>
  <c r="L161"/>
  <c r="J216"/>
  <c r="N215"/>
  <c r="H163" l="1"/>
  <c r="L162"/>
  <c r="I217"/>
  <c r="M216"/>
  <c r="J217"/>
  <c r="N216"/>
  <c r="K162"/>
  <c r="O161"/>
  <c r="K163" l="1"/>
  <c r="O162"/>
  <c r="I218"/>
  <c r="M217"/>
  <c r="J218"/>
  <c r="N217"/>
  <c r="H164"/>
  <c r="L163"/>
  <c r="H165" l="1"/>
  <c r="L164"/>
  <c r="I219"/>
  <c r="M218"/>
  <c r="J219"/>
  <c r="N218"/>
  <c r="K164"/>
  <c r="O163"/>
  <c r="K165" l="1"/>
  <c r="O164"/>
  <c r="I220"/>
  <c r="M219"/>
  <c r="J220"/>
  <c r="N219"/>
  <c r="H166"/>
  <c r="L165"/>
  <c r="H167" l="1"/>
  <c r="L166"/>
  <c r="I221"/>
  <c r="M220"/>
  <c r="J221"/>
  <c r="N220"/>
  <c r="K166"/>
  <c r="O165"/>
  <c r="K167" l="1"/>
  <c r="O166"/>
  <c r="I222"/>
  <c r="M221"/>
  <c r="J222"/>
  <c r="N221"/>
  <c r="H168"/>
  <c r="L167"/>
  <c r="I223" l="1"/>
  <c r="M222"/>
  <c r="J223"/>
  <c r="N222"/>
  <c r="K168"/>
  <c r="O167"/>
  <c r="H169"/>
  <c r="L168"/>
  <c r="J224" l="1"/>
  <c r="N223"/>
  <c r="K169"/>
  <c r="O168"/>
  <c r="I224"/>
  <c r="M223"/>
  <c r="H170"/>
  <c r="L169"/>
  <c r="H171" l="1"/>
  <c r="L170"/>
  <c r="K170"/>
  <c r="O169"/>
  <c r="I225"/>
  <c r="M224"/>
  <c r="J225"/>
  <c r="N224"/>
  <c r="K171" l="1"/>
  <c r="O170"/>
  <c r="I226"/>
  <c r="M225"/>
  <c r="H172"/>
  <c r="L171"/>
  <c r="J226"/>
  <c r="N225"/>
  <c r="J227" l="1"/>
  <c r="N226"/>
  <c r="I227"/>
  <c r="M226"/>
  <c r="H173"/>
  <c r="L172"/>
  <c r="K172"/>
  <c r="O171"/>
  <c r="K173" l="1"/>
  <c r="O172"/>
  <c r="I228"/>
  <c r="M227"/>
  <c r="H174"/>
  <c r="L173"/>
  <c r="J228"/>
  <c r="N227"/>
  <c r="J229" l="1"/>
  <c r="N228"/>
  <c r="I229"/>
  <c r="M228"/>
  <c r="H175"/>
  <c r="L174"/>
  <c r="K174"/>
  <c r="O173"/>
  <c r="K175" l="1"/>
  <c r="O174"/>
  <c r="I230"/>
  <c r="M229"/>
  <c r="H176"/>
  <c r="L175"/>
  <c r="J230"/>
  <c r="N229"/>
  <c r="J231" l="1"/>
  <c r="N230"/>
  <c r="I231"/>
  <c r="M230"/>
  <c r="H177"/>
  <c r="L176"/>
  <c r="K176"/>
  <c r="O175"/>
  <c r="K177" l="1"/>
  <c r="O176"/>
  <c r="I232"/>
  <c r="M231"/>
  <c r="H178"/>
  <c r="L177"/>
  <c r="J232"/>
  <c r="N231"/>
  <c r="I233" l="1"/>
  <c r="M232"/>
  <c r="H179"/>
  <c r="L178"/>
  <c r="K178"/>
  <c r="O177"/>
  <c r="J233"/>
  <c r="N232"/>
  <c r="J234" l="1"/>
  <c r="N233"/>
  <c r="H180"/>
  <c r="L179"/>
  <c r="K179"/>
  <c r="O178"/>
  <c r="I234"/>
  <c r="M233"/>
  <c r="K180" l="1"/>
  <c r="O179"/>
  <c r="J235"/>
  <c r="N234"/>
  <c r="I235"/>
  <c r="M234"/>
  <c r="H181"/>
  <c r="L180"/>
  <c r="H182" l="1"/>
  <c r="L181"/>
  <c r="J236"/>
  <c r="N235"/>
  <c r="I236"/>
  <c r="M235"/>
  <c r="K181"/>
  <c r="O180"/>
  <c r="K182" l="1"/>
  <c r="O181"/>
  <c r="I237"/>
  <c r="M236"/>
  <c r="H183"/>
  <c r="L182"/>
  <c r="J237"/>
  <c r="N236"/>
  <c r="J238" l="1"/>
  <c r="N237"/>
  <c r="I238"/>
  <c r="M237"/>
  <c r="H184"/>
  <c r="L183"/>
  <c r="K183"/>
  <c r="O182"/>
  <c r="K184" l="1"/>
  <c r="O183"/>
  <c r="I239"/>
  <c r="M238"/>
  <c r="H185"/>
  <c r="L184"/>
  <c r="J239"/>
  <c r="N238"/>
  <c r="J240" l="1"/>
  <c r="N239"/>
  <c r="I240"/>
  <c r="M239"/>
  <c r="H186"/>
  <c r="L185"/>
  <c r="K185"/>
  <c r="O184"/>
  <c r="K186" l="1"/>
  <c r="O185"/>
  <c r="I241"/>
  <c r="M240"/>
  <c r="H187"/>
  <c r="L186"/>
  <c r="J241"/>
  <c r="N240"/>
  <c r="J242" l="1"/>
  <c r="N241"/>
  <c r="I242"/>
  <c r="M241"/>
  <c r="H188"/>
  <c r="L187"/>
  <c r="K187"/>
  <c r="O186"/>
  <c r="K218" i="5" l="1"/>
  <c r="K188" i="4"/>
  <c r="O187"/>
  <c r="I243"/>
  <c r="M242"/>
  <c r="H189"/>
  <c r="L188"/>
  <c r="J243"/>
  <c r="N242"/>
  <c r="M218" i="5" l="1"/>
  <c r="M219"/>
  <c r="K219"/>
  <c r="L218"/>
  <c r="K220"/>
  <c r="J244" i="4"/>
  <c r="N243"/>
  <c r="I244"/>
  <c r="M243"/>
  <c r="H190"/>
  <c r="L189"/>
  <c r="K189"/>
  <c r="O188"/>
  <c r="L219" i="5" l="1"/>
  <c r="K190" i="4"/>
  <c r="O189"/>
  <c r="I245"/>
  <c r="M244"/>
  <c r="H191"/>
  <c r="L190"/>
  <c r="J245"/>
  <c r="N244"/>
  <c r="M220" i="5" l="1"/>
  <c r="L220"/>
  <c r="K221"/>
  <c r="J246" i="4"/>
  <c r="N245"/>
  <c r="I246"/>
  <c r="M245"/>
  <c r="H192"/>
  <c r="L191"/>
  <c r="K191"/>
  <c r="O190"/>
  <c r="M221" i="5" l="1"/>
  <c r="K222"/>
  <c r="L221"/>
  <c r="K192" i="4"/>
  <c r="O191"/>
  <c r="I247"/>
  <c r="M246"/>
  <c r="H193"/>
  <c r="L192"/>
  <c r="J247"/>
  <c r="N246"/>
  <c r="K223" i="5" l="1"/>
  <c r="L222"/>
  <c r="M222"/>
  <c r="J248" i="4"/>
  <c r="N247"/>
  <c r="I248"/>
  <c r="M247"/>
  <c r="H194"/>
  <c r="L193"/>
  <c r="K193"/>
  <c r="O192"/>
  <c r="L223" i="5" l="1"/>
  <c r="M223"/>
  <c r="K224"/>
  <c r="K194" i="4"/>
  <c r="O193"/>
  <c r="I249"/>
  <c r="M248"/>
  <c r="H195"/>
  <c r="L194"/>
  <c r="J249"/>
  <c r="N248"/>
  <c r="L224" i="5" l="1"/>
  <c r="K225"/>
  <c r="M224"/>
  <c r="I250" i="4"/>
  <c r="M249"/>
  <c r="H196"/>
  <c r="L195"/>
  <c r="K195"/>
  <c r="O194"/>
  <c r="J250"/>
  <c r="N249"/>
  <c r="L225" i="5" l="1"/>
  <c r="M225"/>
  <c r="K226"/>
  <c r="J251" i="4"/>
  <c r="N250"/>
  <c r="H197"/>
  <c r="L196"/>
  <c r="K196"/>
  <c r="O195"/>
  <c r="I251"/>
  <c r="M250"/>
  <c r="M226" i="5" l="1"/>
  <c r="L226"/>
  <c r="K227"/>
  <c r="I252" i="4"/>
  <c r="M251"/>
  <c r="H198"/>
  <c r="L197"/>
  <c r="K197"/>
  <c r="O196"/>
  <c r="J252"/>
  <c r="N251"/>
  <c r="K228" i="5" l="1"/>
  <c r="L227"/>
  <c r="M227"/>
  <c r="J253" i="4"/>
  <c r="N252"/>
  <c r="H199"/>
  <c r="L198"/>
  <c r="K198"/>
  <c r="O197"/>
  <c r="I253"/>
  <c r="M252"/>
  <c r="K229" i="5" l="1"/>
  <c r="M228"/>
  <c r="L228"/>
  <c r="I254" i="4"/>
  <c r="M253"/>
  <c r="K199"/>
  <c r="O198"/>
  <c r="J254"/>
  <c r="N253"/>
  <c r="H200"/>
  <c r="L199"/>
  <c r="L229" i="5" l="1"/>
  <c r="K230"/>
  <c r="M229"/>
  <c r="H201" i="4"/>
  <c r="L200"/>
  <c r="J255"/>
  <c r="N254"/>
  <c r="I255"/>
  <c r="M254"/>
  <c r="K200"/>
  <c r="O199"/>
  <c r="L230" i="5" l="1"/>
  <c r="M230"/>
  <c r="K231"/>
  <c r="K201" i="4"/>
  <c r="O200"/>
  <c r="J256"/>
  <c r="N255"/>
  <c r="I256"/>
  <c r="M255"/>
  <c r="H202"/>
  <c r="L201"/>
  <c r="K232" i="5" l="1"/>
  <c r="L231"/>
  <c r="M231"/>
  <c r="H203" i="4"/>
  <c r="L202"/>
  <c r="J257"/>
  <c r="N256"/>
  <c r="I257"/>
  <c r="M256"/>
  <c r="K202"/>
  <c r="O201"/>
  <c r="L232" i="5" l="1"/>
  <c r="M232"/>
  <c r="K233"/>
  <c r="J258" i="4"/>
  <c r="N257"/>
  <c r="I258"/>
  <c r="M257"/>
  <c r="H204"/>
  <c r="L203"/>
  <c r="K203"/>
  <c r="O202"/>
  <c r="M233" i="5" l="1"/>
  <c r="K234"/>
  <c r="L233"/>
  <c r="I259" i="4"/>
  <c r="M258"/>
  <c r="H205"/>
  <c r="L204"/>
  <c r="J259"/>
  <c r="N258"/>
  <c r="K204"/>
  <c r="O203"/>
  <c r="K235" i="5" l="1"/>
  <c r="L234"/>
  <c r="M234"/>
  <c r="K205" i="4"/>
  <c r="O204"/>
  <c r="H206"/>
  <c r="L205"/>
  <c r="J260"/>
  <c r="N259"/>
  <c r="I260"/>
  <c r="M259"/>
  <c r="K236" i="5" l="1"/>
  <c r="L235"/>
  <c r="M235"/>
  <c r="I261" i="4"/>
  <c r="M260"/>
  <c r="H207"/>
  <c r="L206"/>
  <c r="J261"/>
  <c r="N260"/>
  <c r="K206"/>
  <c r="O205"/>
  <c r="M236" i="5" l="1"/>
  <c r="K237"/>
  <c r="L236"/>
  <c r="H208" i="4"/>
  <c r="L207"/>
  <c r="J262"/>
  <c r="N261"/>
  <c r="I262"/>
  <c r="M261"/>
  <c r="K207"/>
  <c r="O206"/>
  <c r="M237" i="5" l="1"/>
  <c r="K238"/>
  <c r="L237"/>
  <c r="K208" i="4"/>
  <c r="O207"/>
  <c r="I263"/>
  <c r="M262"/>
  <c r="H209"/>
  <c r="L208"/>
  <c r="J263"/>
  <c r="N262"/>
  <c r="M238" i="5" l="1"/>
  <c r="L238"/>
  <c r="K239"/>
  <c r="J264" i="4"/>
  <c r="N263"/>
  <c r="H210"/>
  <c r="L209"/>
  <c r="K209"/>
  <c r="O208"/>
  <c r="I264"/>
  <c r="M263"/>
  <c r="L239" i="5" l="1"/>
  <c r="M239"/>
  <c r="K240"/>
  <c r="I265" i="4"/>
  <c r="M264"/>
  <c r="K210"/>
  <c r="O209"/>
  <c r="J265"/>
  <c r="N264"/>
  <c r="H211"/>
  <c r="L210"/>
  <c r="L240" i="5" l="1"/>
  <c r="M240"/>
  <c r="K241"/>
  <c r="H212" i="4"/>
  <c r="L211"/>
  <c r="K211"/>
  <c r="O210"/>
  <c r="J266"/>
  <c r="N265"/>
  <c r="I266"/>
  <c r="M265"/>
  <c r="M241" i="5" l="1"/>
  <c r="L241"/>
  <c r="K242"/>
  <c r="K212" i="4"/>
  <c r="O211"/>
  <c r="J267"/>
  <c r="N266"/>
  <c r="H213"/>
  <c r="L212"/>
  <c r="I267"/>
  <c r="M266"/>
  <c r="L242" i="5" l="1"/>
  <c r="M242"/>
  <c r="K243"/>
  <c r="I268" i="4"/>
  <c r="M267"/>
  <c r="H214"/>
  <c r="L213"/>
  <c r="K213"/>
  <c r="O212"/>
  <c r="J268"/>
  <c r="N267"/>
  <c r="M243" i="5" l="1"/>
  <c r="K244"/>
  <c r="L243"/>
  <c r="H215" i="4"/>
  <c r="L214"/>
  <c r="K214"/>
  <c r="O213"/>
  <c r="I269"/>
  <c r="M268"/>
  <c r="J269"/>
  <c r="N268"/>
  <c r="K245" i="5" l="1"/>
  <c r="M244"/>
  <c r="L244"/>
  <c r="K215" i="4"/>
  <c r="O214"/>
  <c r="I270"/>
  <c r="M269"/>
  <c r="H216"/>
  <c r="L215"/>
  <c r="J270"/>
  <c r="N269"/>
  <c r="K246" i="5" l="1"/>
  <c r="M245"/>
  <c r="L245"/>
  <c r="J271" i="4"/>
  <c r="N270"/>
  <c r="H217"/>
  <c r="L216"/>
  <c r="K216"/>
  <c r="O215"/>
  <c r="I271"/>
  <c r="M270"/>
  <c r="M246" i="5" l="1"/>
  <c r="K247"/>
  <c r="L246"/>
  <c r="K217" i="4"/>
  <c r="O216"/>
  <c r="J272"/>
  <c r="N271"/>
  <c r="I272"/>
  <c r="M271"/>
  <c r="H218"/>
  <c r="L217"/>
  <c r="L247" i="5" l="1"/>
  <c r="K248"/>
  <c r="M247"/>
  <c r="H219" i="4"/>
  <c r="L218"/>
  <c r="J273"/>
  <c r="N272"/>
  <c r="I273"/>
  <c r="M272"/>
  <c r="K218"/>
  <c r="O217"/>
  <c r="K249" i="5" l="1"/>
  <c r="L248"/>
  <c r="M248"/>
  <c r="K219" i="4"/>
  <c r="O218"/>
  <c r="I274"/>
  <c r="M273"/>
  <c r="H220"/>
  <c r="L219"/>
  <c r="J274"/>
  <c r="N273"/>
  <c r="M249" i="5" l="1"/>
  <c r="K250"/>
  <c r="L249"/>
  <c r="I275" i="4"/>
  <c r="M274"/>
  <c r="H221"/>
  <c r="L220"/>
  <c r="K220"/>
  <c r="O219"/>
  <c r="J275"/>
  <c r="N274"/>
  <c r="M250" i="5" l="1"/>
  <c r="K251"/>
  <c r="L250"/>
  <c r="H222" i="4"/>
  <c r="L221"/>
  <c r="K221"/>
  <c r="O220"/>
  <c r="I276"/>
  <c r="M275"/>
  <c r="J276"/>
  <c r="N275"/>
  <c r="K252" i="5" l="1"/>
  <c r="M251"/>
  <c r="L251"/>
  <c r="K222" i="4"/>
  <c r="O221"/>
  <c r="I277"/>
  <c r="M276"/>
  <c r="H223"/>
  <c r="L222"/>
  <c r="J277"/>
  <c r="N276"/>
  <c r="M252" i="5" l="1"/>
  <c r="K253"/>
  <c r="L252"/>
  <c r="J278" i="4"/>
  <c r="N277"/>
  <c r="I278"/>
  <c r="M277"/>
  <c r="H224"/>
  <c r="L223"/>
  <c r="K223"/>
  <c r="O222"/>
  <c r="K254" i="5" l="1"/>
  <c r="M253"/>
  <c r="L253"/>
  <c r="K224" i="4"/>
  <c r="O223"/>
  <c r="I279"/>
  <c r="M278"/>
  <c r="H225"/>
  <c r="L224"/>
  <c r="J279"/>
  <c r="N278"/>
  <c r="M254" i="5" l="1"/>
  <c r="K255"/>
  <c r="L254"/>
  <c r="I280" i="4"/>
  <c r="M279"/>
  <c r="H226"/>
  <c r="L225"/>
  <c r="K225"/>
  <c r="O224"/>
  <c r="J280"/>
  <c r="N279"/>
  <c r="L255" i="5" l="1"/>
  <c r="K256"/>
  <c r="M255"/>
  <c r="H227" i="4"/>
  <c r="L226"/>
  <c r="K226"/>
  <c r="O225"/>
  <c r="I281"/>
  <c r="M280"/>
  <c r="J281"/>
  <c r="N280"/>
  <c r="M256" i="5" l="1"/>
  <c r="K257"/>
  <c r="L256"/>
  <c r="K227" i="4"/>
  <c r="O226"/>
  <c r="I282"/>
  <c r="M281"/>
  <c r="H228"/>
  <c r="L227"/>
  <c r="J282"/>
  <c r="N281"/>
  <c r="K258" i="5" l="1"/>
  <c r="M257"/>
  <c r="L257"/>
  <c r="I283" i="4"/>
  <c r="M282"/>
  <c r="H229"/>
  <c r="L228"/>
  <c r="K228"/>
  <c r="O227"/>
  <c r="J283"/>
  <c r="N282"/>
  <c r="K259" i="5" l="1"/>
  <c r="L258"/>
  <c r="M258"/>
  <c r="J284" i="4"/>
  <c r="N283"/>
  <c r="H230"/>
  <c r="L229"/>
  <c r="K229"/>
  <c r="O228"/>
  <c r="I284"/>
  <c r="M283"/>
  <c r="M259" i="5" l="1"/>
  <c r="K260"/>
  <c r="L259"/>
  <c r="K261"/>
  <c r="H231" i="4"/>
  <c r="L230"/>
  <c r="K230"/>
  <c r="O229"/>
  <c r="J285"/>
  <c r="N285" s="1"/>
  <c r="N284"/>
  <c r="I285"/>
  <c r="M285" s="1"/>
  <c r="M284"/>
  <c r="L260" i="5" l="1"/>
  <c r="M260"/>
  <c r="K231" i="4"/>
  <c r="O230"/>
  <c r="H232"/>
  <c r="L231"/>
  <c r="M261" i="5" l="1"/>
  <c r="L261"/>
  <c r="K262"/>
  <c r="H233" i="4"/>
  <c r="L232"/>
  <c r="K232"/>
  <c r="O231"/>
  <c r="M262" i="5" l="1"/>
  <c r="K263"/>
  <c r="L262"/>
  <c r="K233" i="4"/>
  <c r="O232"/>
  <c r="H234"/>
  <c r="L233"/>
  <c r="K264" i="5" l="1"/>
  <c r="M263"/>
  <c r="L263"/>
  <c r="K234" i="4"/>
  <c r="O233"/>
  <c r="H235"/>
  <c r="L234"/>
  <c r="M264" i="5" l="1"/>
  <c r="L264"/>
  <c r="K265"/>
  <c r="K235" i="4"/>
  <c r="O234"/>
  <c r="H236"/>
  <c r="L235"/>
  <c r="M265" i="5" l="1"/>
  <c r="L265"/>
  <c r="K266"/>
  <c r="K236" i="4"/>
  <c r="O235"/>
  <c r="H237"/>
  <c r="L236"/>
  <c r="L266" i="5" l="1"/>
  <c r="K267"/>
  <c r="M266"/>
  <c r="H238" i="4"/>
  <c r="L237"/>
  <c r="K237"/>
  <c r="O236"/>
  <c r="Q4" i="5" l="1"/>
  <c r="N267" s="1"/>
  <c r="M267"/>
  <c r="L267"/>
  <c r="K238" i="4"/>
  <c r="O237"/>
  <c r="H239"/>
  <c r="L238"/>
  <c r="S4" i="5" l="1"/>
  <c r="P267" s="1"/>
  <c r="R4"/>
  <c r="O267" s="1"/>
  <c r="N208"/>
  <c r="N192"/>
  <c r="N58"/>
  <c r="N135"/>
  <c r="N202"/>
  <c r="N87"/>
  <c r="N52"/>
  <c r="N129"/>
  <c r="N94"/>
  <c r="N59"/>
  <c r="N24"/>
  <c r="N213"/>
  <c r="N98"/>
  <c r="N63"/>
  <c r="N28"/>
  <c r="N201"/>
  <c r="N99"/>
  <c r="N64"/>
  <c r="N29"/>
  <c r="N61"/>
  <c r="N26"/>
  <c r="N167"/>
  <c r="N132"/>
  <c r="N38"/>
  <c r="N209"/>
  <c r="N174"/>
  <c r="N139"/>
  <c r="N104"/>
  <c r="N37"/>
  <c r="N178"/>
  <c r="N143"/>
  <c r="N108"/>
  <c r="N185"/>
  <c r="N214"/>
  <c r="N183"/>
  <c r="N41"/>
  <c r="N190"/>
  <c r="N155"/>
  <c r="N53"/>
  <c r="N194"/>
  <c r="N159"/>
  <c r="N124"/>
  <c r="N195"/>
  <c r="N176"/>
  <c r="N49"/>
  <c r="N14"/>
  <c r="N200"/>
  <c r="N204"/>
  <c r="N19"/>
  <c r="N76"/>
  <c r="N147"/>
  <c r="N13"/>
  <c r="N170"/>
  <c r="N71"/>
  <c r="N45"/>
  <c r="N151"/>
  <c r="N116"/>
  <c r="N193"/>
  <c r="N158"/>
  <c r="N123"/>
  <c r="N88"/>
  <c r="N21"/>
  <c r="N162"/>
  <c r="N127"/>
  <c r="N92"/>
  <c r="N137"/>
  <c r="N163"/>
  <c r="N128"/>
  <c r="N125"/>
  <c r="N90"/>
  <c r="N196"/>
  <c r="N17"/>
  <c r="N203"/>
  <c r="N168"/>
  <c r="N101"/>
  <c r="N207"/>
  <c r="N172"/>
  <c r="N121"/>
  <c r="N141"/>
  <c r="N212"/>
  <c r="N22"/>
  <c r="N33"/>
  <c r="N184"/>
  <c r="N117"/>
  <c r="N188"/>
  <c r="N169"/>
  <c r="N144"/>
  <c r="N77"/>
  <c r="N36"/>
  <c r="N113"/>
  <c r="N78"/>
  <c r="N43"/>
  <c r="N197"/>
  <c r="N82"/>
  <c r="N47"/>
  <c r="N153"/>
  <c r="N83"/>
  <c r="N48"/>
  <c r="N160"/>
  <c r="N157"/>
  <c r="N39"/>
  <c r="N50"/>
  <c r="N15"/>
  <c r="N57"/>
  <c r="N51"/>
  <c r="N16"/>
  <c r="N55"/>
  <c r="N20"/>
  <c r="N97"/>
  <c r="N62"/>
  <c r="N27"/>
  <c r="N66"/>
  <c r="N31"/>
  <c r="N67"/>
  <c r="N32"/>
  <c r="N112"/>
  <c r="N42"/>
  <c r="N109"/>
  <c r="N74"/>
  <c r="N215"/>
  <c r="N180"/>
  <c r="N187"/>
  <c r="N152"/>
  <c r="N166"/>
  <c r="N85"/>
  <c r="N191"/>
  <c r="N156"/>
  <c r="N73"/>
  <c r="N186"/>
  <c r="N189"/>
  <c r="N154"/>
  <c r="N81"/>
  <c r="N46"/>
  <c r="N150"/>
  <c r="N165"/>
  <c r="N198"/>
  <c r="N181"/>
  <c r="N105"/>
  <c r="N100"/>
  <c r="N177"/>
  <c r="N142"/>
  <c r="N107"/>
  <c r="N72"/>
  <c r="N182"/>
  <c r="N146"/>
  <c r="N122"/>
  <c r="N173"/>
  <c r="N138"/>
  <c r="N23"/>
  <c r="N65"/>
  <c r="N30"/>
  <c r="N216"/>
  <c r="N102"/>
  <c r="N149"/>
  <c r="N34"/>
  <c r="N25"/>
  <c r="N54"/>
  <c r="N35"/>
  <c r="N205"/>
  <c r="N93"/>
  <c r="N199"/>
  <c r="N103"/>
  <c r="N68"/>
  <c r="N145"/>
  <c r="N110"/>
  <c r="N75"/>
  <c r="N40"/>
  <c r="N114"/>
  <c r="N79"/>
  <c r="N44"/>
  <c r="N115"/>
  <c r="N80"/>
  <c r="N106"/>
  <c r="N119"/>
  <c r="N84"/>
  <c r="N161"/>
  <c r="N126"/>
  <c r="N91"/>
  <c r="N56"/>
  <c r="N134"/>
  <c r="N130"/>
  <c r="N95"/>
  <c r="N60"/>
  <c r="N86"/>
  <c r="N131"/>
  <c r="N96"/>
  <c r="N12"/>
  <c r="N164"/>
  <c r="N206"/>
  <c r="N171"/>
  <c r="N136"/>
  <c r="N118"/>
  <c r="N69"/>
  <c r="N210"/>
  <c r="N175"/>
  <c r="N140"/>
  <c r="N70"/>
  <c r="N211"/>
  <c r="N179"/>
  <c r="N148"/>
  <c r="N120"/>
  <c r="N133"/>
  <c r="N18"/>
  <c r="N217"/>
  <c r="N111"/>
  <c r="N89"/>
  <c r="N218"/>
  <c r="N220"/>
  <c r="N219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H240" i="4"/>
  <c r="L239"/>
  <c r="K239"/>
  <c r="O238"/>
  <c r="P170" i="5" l="1"/>
  <c r="P119"/>
  <c r="P151"/>
  <c r="P116"/>
  <c r="P19"/>
  <c r="P48"/>
  <c r="P43"/>
  <c r="P194"/>
  <c r="P127"/>
  <c r="P198"/>
  <c r="P13"/>
  <c r="P186"/>
  <c r="P113"/>
  <c r="P196"/>
  <c r="P81"/>
  <c r="P46"/>
  <c r="P123"/>
  <c r="P88"/>
  <c r="P53"/>
  <c r="P18"/>
  <c r="P211"/>
  <c r="P207"/>
  <c r="P57"/>
  <c r="P22"/>
  <c r="P93"/>
  <c r="P58"/>
  <c r="P202"/>
  <c r="P212"/>
  <c r="P16"/>
  <c r="P36"/>
  <c r="P142"/>
  <c r="P184"/>
  <c r="P149"/>
  <c r="P47"/>
  <c r="P189"/>
  <c r="P199"/>
  <c r="P215"/>
  <c r="P180"/>
  <c r="P65"/>
  <c r="P30"/>
  <c r="P107"/>
  <c r="P72"/>
  <c r="P37"/>
  <c r="P163"/>
  <c r="P191"/>
  <c r="P76"/>
  <c r="P41"/>
  <c r="P176"/>
  <c r="P77"/>
  <c r="P42"/>
  <c r="P148"/>
  <c r="P49"/>
  <c r="P39"/>
  <c r="P145"/>
  <c r="P110"/>
  <c r="P187"/>
  <c r="P152"/>
  <c r="P117"/>
  <c r="P82"/>
  <c r="P147"/>
  <c r="P15"/>
  <c r="P156"/>
  <c r="P121"/>
  <c r="P86"/>
  <c r="P160"/>
  <c r="P157"/>
  <c r="P122"/>
  <c r="P161"/>
  <c r="P126"/>
  <c r="P203"/>
  <c r="P168"/>
  <c r="P133"/>
  <c r="P98"/>
  <c r="P195"/>
  <c r="P31"/>
  <c r="P172"/>
  <c r="P137"/>
  <c r="P102"/>
  <c r="P208"/>
  <c r="P173"/>
  <c r="P135"/>
  <c r="P206"/>
  <c r="P27"/>
  <c r="P213"/>
  <c r="P178"/>
  <c r="P179"/>
  <c r="P111"/>
  <c r="P217"/>
  <c r="P182"/>
  <c r="P192"/>
  <c r="P99"/>
  <c r="P103"/>
  <c r="P68"/>
  <c r="P209"/>
  <c r="P174"/>
  <c r="P79"/>
  <c r="P55"/>
  <c r="P190"/>
  <c r="P197"/>
  <c r="P131"/>
  <c r="P95"/>
  <c r="P201"/>
  <c r="P166"/>
  <c r="P144"/>
  <c r="P23"/>
  <c r="P129"/>
  <c r="P94"/>
  <c r="P171"/>
  <c r="P136"/>
  <c r="P101"/>
  <c r="P66"/>
  <c r="P140"/>
  <c r="P105"/>
  <c r="P70"/>
  <c r="P141"/>
  <c r="P106"/>
  <c r="P12"/>
  <c r="P216"/>
  <c r="P181"/>
  <c r="P146"/>
  <c r="P185"/>
  <c r="P150"/>
  <c r="P96"/>
  <c r="P162"/>
  <c r="P71"/>
  <c r="P164"/>
  <c r="P14"/>
  <c r="P91"/>
  <c r="P56"/>
  <c r="P21"/>
  <c r="P115"/>
  <c r="P175"/>
  <c r="P60"/>
  <c r="P25"/>
  <c r="P26"/>
  <c r="P183"/>
  <c r="P177"/>
  <c r="P87"/>
  <c r="P52"/>
  <c r="P193"/>
  <c r="P158"/>
  <c r="P67"/>
  <c r="P112"/>
  <c r="P200"/>
  <c r="P165"/>
  <c r="P130"/>
  <c r="P63"/>
  <c r="P204"/>
  <c r="P169"/>
  <c r="P134"/>
  <c r="P205"/>
  <c r="P167"/>
  <c r="P132"/>
  <c r="P17"/>
  <c r="P51"/>
  <c r="P59"/>
  <c r="P24"/>
  <c r="P210"/>
  <c r="P80"/>
  <c r="P143"/>
  <c r="P28"/>
  <c r="P214"/>
  <c r="P32"/>
  <c r="P29"/>
  <c r="P154"/>
  <c r="P33"/>
  <c r="P75"/>
  <c r="P40"/>
  <c r="P159"/>
  <c r="P44"/>
  <c r="P45"/>
  <c r="P84"/>
  <c r="P100"/>
  <c r="P78"/>
  <c r="P83"/>
  <c r="P128"/>
  <c r="P155"/>
  <c r="P120"/>
  <c r="P85"/>
  <c r="P50"/>
  <c r="P124"/>
  <c r="P89"/>
  <c r="P54"/>
  <c r="P35"/>
  <c r="P125"/>
  <c r="P90"/>
  <c r="P92"/>
  <c r="P20"/>
  <c r="P97"/>
  <c r="P62"/>
  <c r="P139"/>
  <c r="P104"/>
  <c r="P69"/>
  <c r="P34"/>
  <c r="P108"/>
  <c r="P73"/>
  <c r="P38"/>
  <c r="P109"/>
  <c r="P74"/>
  <c r="P64"/>
  <c r="P114"/>
  <c r="P188"/>
  <c r="P153"/>
  <c r="P118"/>
  <c r="P138"/>
  <c r="P61"/>
  <c r="P219"/>
  <c r="P218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Q5"/>
  <c r="O213"/>
  <c r="O149"/>
  <c r="O197"/>
  <c r="O181"/>
  <c r="O165"/>
  <c r="O133"/>
  <c r="O50"/>
  <c r="O66"/>
  <c r="O31"/>
  <c r="O172"/>
  <c r="O137"/>
  <c r="O214"/>
  <c r="O179"/>
  <c r="O144"/>
  <c r="O109"/>
  <c r="O27"/>
  <c r="O42"/>
  <c r="O183"/>
  <c r="O148"/>
  <c r="O113"/>
  <c r="O184"/>
  <c r="O98"/>
  <c r="O79"/>
  <c r="O146"/>
  <c r="O111"/>
  <c r="O217"/>
  <c r="O38"/>
  <c r="O189"/>
  <c r="O122"/>
  <c r="O193"/>
  <c r="O54"/>
  <c r="O19"/>
  <c r="O205"/>
  <c r="O23"/>
  <c r="O103"/>
  <c r="O68"/>
  <c r="O33"/>
  <c r="O130"/>
  <c r="O95"/>
  <c r="O201"/>
  <c r="O190"/>
  <c r="O22"/>
  <c r="O208"/>
  <c r="O173"/>
  <c r="O106"/>
  <c r="O212"/>
  <c r="O177"/>
  <c r="O34"/>
  <c r="O15"/>
  <c r="O210"/>
  <c r="O175"/>
  <c r="O60"/>
  <c r="O25"/>
  <c r="O174"/>
  <c r="O102"/>
  <c r="O67"/>
  <c r="O32"/>
  <c r="O186"/>
  <c r="O71"/>
  <c r="O36"/>
  <c r="O72"/>
  <c r="O37"/>
  <c r="O191"/>
  <c r="O76"/>
  <c r="O41"/>
  <c r="O118"/>
  <c r="O83"/>
  <c r="O48"/>
  <c r="O13"/>
  <c r="O202"/>
  <c r="O87"/>
  <c r="O52"/>
  <c r="O17"/>
  <c r="O88"/>
  <c r="O53"/>
  <c r="O28"/>
  <c r="O121"/>
  <c r="O206"/>
  <c r="O198"/>
  <c r="O163"/>
  <c r="O128"/>
  <c r="O93"/>
  <c r="O26"/>
  <c r="O167"/>
  <c r="O132"/>
  <c r="O97"/>
  <c r="O168"/>
  <c r="O155"/>
  <c r="O166"/>
  <c r="O131"/>
  <c r="O96"/>
  <c r="O61"/>
  <c r="O78"/>
  <c r="O65"/>
  <c r="O158"/>
  <c r="O77"/>
  <c r="O178"/>
  <c r="O207"/>
  <c r="O194"/>
  <c r="O159"/>
  <c r="O44"/>
  <c r="O126"/>
  <c r="O171"/>
  <c r="O86"/>
  <c r="O51"/>
  <c r="O16"/>
  <c r="O170"/>
  <c r="O55"/>
  <c r="O20"/>
  <c r="O107"/>
  <c r="O56"/>
  <c r="O21"/>
  <c r="O63"/>
  <c r="O18"/>
  <c r="O124"/>
  <c r="O89"/>
  <c r="O110"/>
  <c r="O135"/>
  <c r="O100"/>
  <c r="O136"/>
  <c r="O101"/>
  <c r="O127"/>
  <c r="O140"/>
  <c r="O105"/>
  <c r="O203"/>
  <c r="O182"/>
  <c r="O147"/>
  <c r="O112"/>
  <c r="O151"/>
  <c r="O116"/>
  <c r="O81"/>
  <c r="O152"/>
  <c r="O117"/>
  <c r="O185"/>
  <c r="O142"/>
  <c r="O187"/>
  <c r="O192"/>
  <c r="O157"/>
  <c r="O90"/>
  <c r="O196"/>
  <c r="O161"/>
  <c r="O123"/>
  <c r="O12"/>
  <c r="O114"/>
  <c r="O108"/>
  <c r="O73"/>
  <c r="O150"/>
  <c r="O115"/>
  <c r="O80"/>
  <c r="O45"/>
  <c r="O119"/>
  <c r="O84"/>
  <c r="O49"/>
  <c r="O120"/>
  <c r="O85"/>
  <c r="O143"/>
  <c r="O82"/>
  <c r="O47"/>
  <c r="O188"/>
  <c r="O153"/>
  <c r="O91"/>
  <c r="O195"/>
  <c r="O160"/>
  <c r="O125"/>
  <c r="O58"/>
  <c r="O199"/>
  <c r="O164"/>
  <c r="O129"/>
  <c r="O200"/>
  <c r="O204"/>
  <c r="O169"/>
  <c r="O94"/>
  <c r="O139"/>
  <c r="O211"/>
  <c r="O176"/>
  <c r="O141"/>
  <c r="O62"/>
  <c r="O74"/>
  <c r="O215"/>
  <c r="O180"/>
  <c r="O145"/>
  <c r="O46"/>
  <c r="O216"/>
  <c r="O156"/>
  <c r="O70"/>
  <c r="O35"/>
  <c r="O14"/>
  <c r="O154"/>
  <c r="O39"/>
  <c r="O40"/>
  <c r="O75"/>
  <c r="O59"/>
  <c r="O138"/>
  <c r="O209"/>
  <c r="O24"/>
  <c r="O162"/>
  <c r="O92"/>
  <c r="O57"/>
  <c r="O30"/>
  <c r="O134"/>
  <c r="O99"/>
  <c r="O64"/>
  <c r="O29"/>
  <c r="O43"/>
  <c r="O104"/>
  <c r="O69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K240" i="4"/>
  <c r="O239"/>
  <c r="H241"/>
  <c r="L240"/>
  <c r="S5" i="5" l="1"/>
  <c r="R5"/>
  <c r="H242" i="4"/>
  <c r="L241"/>
  <c r="K241"/>
  <c r="O240"/>
  <c r="K242" l="1"/>
  <c r="O241"/>
  <c r="H243"/>
  <c r="L242"/>
  <c r="H244" l="1"/>
  <c r="L243"/>
  <c r="K243"/>
  <c r="O242"/>
  <c r="K244" l="1"/>
  <c r="O243"/>
  <c r="H245"/>
  <c r="L244"/>
  <c r="H246" l="1"/>
  <c r="L245"/>
  <c r="K245"/>
  <c r="O244"/>
  <c r="K246" l="1"/>
  <c r="O245"/>
  <c r="H247"/>
  <c r="L246"/>
  <c r="H248" l="1"/>
  <c r="L247"/>
  <c r="K247"/>
  <c r="O246"/>
  <c r="K248" l="1"/>
  <c r="O247"/>
  <c r="H249"/>
  <c r="L248"/>
  <c r="K249" l="1"/>
  <c r="O248"/>
  <c r="H250"/>
  <c r="L249"/>
  <c r="H251" l="1"/>
  <c r="L250"/>
  <c r="K250"/>
  <c r="O249"/>
  <c r="K251" l="1"/>
  <c r="O250"/>
  <c r="H252"/>
  <c r="L251"/>
  <c r="K252" l="1"/>
  <c r="O251"/>
  <c r="H253"/>
  <c r="L252"/>
  <c r="H254" l="1"/>
  <c r="L253"/>
  <c r="K253"/>
  <c r="O252"/>
  <c r="K254" l="1"/>
  <c r="O253"/>
  <c r="H255"/>
  <c r="L254"/>
  <c r="H256" l="1"/>
  <c r="L255"/>
  <c r="K255"/>
  <c r="O254"/>
  <c r="K256" l="1"/>
  <c r="O255"/>
  <c r="H257"/>
  <c r="L256"/>
  <c r="H258" l="1"/>
  <c r="L257"/>
  <c r="K257"/>
  <c r="O256"/>
  <c r="K258" l="1"/>
  <c r="O257"/>
  <c r="H259"/>
  <c r="L258"/>
  <c r="H260" l="1"/>
  <c r="L259"/>
  <c r="K259"/>
  <c r="O258"/>
  <c r="K260" l="1"/>
  <c r="O259"/>
  <c r="H261"/>
  <c r="L260"/>
  <c r="H262" l="1"/>
  <c r="L261"/>
  <c r="K261"/>
  <c r="O260"/>
  <c r="K262" l="1"/>
  <c r="O261"/>
  <c r="H263"/>
  <c r="L262"/>
  <c r="H264" l="1"/>
  <c r="L263"/>
  <c r="K263"/>
  <c r="O262"/>
  <c r="K264" l="1"/>
  <c r="O263"/>
  <c r="H265"/>
  <c r="L264"/>
  <c r="H266" l="1"/>
  <c r="L265"/>
  <c r="K265"/>
  <c r="O264"/>
  <c r="K266" l="1"/>
  <c r="O265"/>
  <c r="H267"/>
  <c r="L266"/>
  <c r="K267" l="1"/>
  <c r="O266"/>
  <c r="H268"/>
  <c r="L267"/>
  <c r="H269" l="1"/>
  <c r="L268"/>
  <c r="K268"/>
  <c r="O267"/>
  <c r="K269" l="1"/>
  <c r="O268"/>
  <c r="H270"/>
  <c r="L269"/>
  <c r="K270" l="1"/>
  <c r="O269"/>
  <c r="H271"/>
  <c r="L270"/>
  <c r="H272" l="1"/>
  <c r="L271"/>
  <c r="K271"/>
  <c r="O270"/>
  <c r="K272" l="1"/>
  <c r="O271"/>
  <c r="H273"/>
  <c r="L272"/>
  <c r="H274" l="1"/>
  <c r="L273"/>
  <c r="K273"/>
  <c r="O272"/>
  <c r="K274" l="1"/>
  <c r="O273"/>
  <c r="H275"/>
  <c r="L274"/>
  <c r="H276" l="1"/>
  <c r="L275"/>
  <c r="K275"/>
  <c r="O274"/>
  <c r="H277" l="1"/>
  <c r="L276"/>
  <c r="K276"/>
  <c r="O275"/>
  <c r="K277" l="1"/>
  <c r="O276"/>
  <c r="H278"/>
  <c r="L277"/>
  <c r="H279" l="1"/>
  <c r="L278"/>
  <c r="K278"/>
  <c r="O277"/>
  <c r="K279" l="1"/>
  <c r="O278"/>
  <c r="H280"/>
  <c r="L279"/>
  <c r="H281" l="1"/>
  <c r="L280"/>
  <c r="K280"/>
  <c r="O279"/>
  <c r="K281" l="1"/>
  <c r="O280"/>
  <c r="H282"/>
  <c r="L281"/>
  <c r="H283" l="1"/>
  <c r="L282"/>
  <c r="K282"/>
  <c r="O281"/>
  <c r="K283" l="1"/>
  <c r="O282"/>
  <c r="H284"/>
  <c r="L283"/>
  <c r="H285" l="1"/>
  <c r="L285" s="1"/>
  <c r="L284"/>
  <c r="K284"/>
  <c r="O283"/>
  <c r="K285" l="1"/>
  <c r="O285" s="1"/>
  <c r="O284"/>
  <c r="I25" i="3" l="1"/>
  <c r="B26"/>
  <c r="C28"/>
  <c r="D28"/>
  <c r="E28"/>
  <c r="F28"/>
  <c r="G28"/>
  <c r="H28"/>
  <c r="I28"/>
  <c r="J28"/>
  <c r="K28"/>
  <c r="L28"/>
  <c r="O28"/>
  <c r="P28"/>
  <c r="C29"/>
  <c r="D29"/>
  <c r="E29"/>
  <c r="F29"/>
  <c r="G29"/>
  <c r="H29"/>
  <c r="I29"/>
  <c r="J29"/>
  <c r="K29"/>
  <c r="L29"/>
  <c r="O29"/>
  <c r="P29"/>
  <c r="C30"/>
  <c r="D30"/>
  <c r="E30"/>
  <c r="F30"/>
  <c r="G30"/>
  <c r="H30"/>
  <c r="I30"/>
  <c r="J30"/>
  <c r="K30"/>
  <c r="L30"/>
  <c r="O30"/>
  <c r="P30"/>
  <c r="C32"/>
  <c r="D32"/>
  <c r="E32"/>
  <c r="F32"/>
  <c r="G32"/>
  <c r="H32"/>
  <c r="I32"/>
  <c r="J32"/>
  <c r="K32"/>
  <c r="L32"/>
  <c r="M32"/>
  <c r="C33"/>
  <c r="D33"/>
  <c r="E33"/>
  <c r="F33"/>
  <c r="G33"/>
  <c r="H33"/>
  <c r="I33"/>
  <c r="J33"/>
  <c r="K33"/>
  <c r="L33"/>
  <c r="M33"/>
  <c r="D47"/>
  <c r="E47"/>
  <c r="F47"/>
  <c r="G47"/>
  <c r="H47"/>
  <c r="I47"/>
  <c r="D48"/>
  <c r="E48"/>
  <c r="F48"/>
  <c r="G48"/>
  <c r="H48"/>
  <c r="I48"/>
  <c r="D49"/>
  <c r="E49"/>
  <c r="F49"/>
  <c r="G49"/>
  <c r="H49"/>
  <c r="I49"/>
  <c r="D50"/>
  <c r="E50"/>
  <c r="F50"/>
  <c r="G50"/>
  <c r="H50"/>
  <c r="I50"/>
  <c r="D51"/>
  <c r="E51"/>
  <c r="F51"/>
  <c r="G51"/>
  <c r="H51"/>
  <c r="I51"/>
  <c r="D52"/>
  <c r="E52"/>
  <c r="F52"/>
  <c r="G52"/>
  <c r="H52"/>
  <c r="I52"/>
  <c r="D53"/>
  <c r="E53"/>
  <c r="F53"/>
  <c r="G53"/>
  <c r="H53"/>
  <c r="I53"/>
  <c r="D54"/>
  <c r="E54"/>
  <c r="F54"/>
  <c r="G54"/>
  <c r="H54"/>
  <c r="I54"/>
  <c r="D55"/>
  <c r="E55"/>
  <c r="F55"/>
  <c r="G55"/>
  <c r="H55"/>
  <c r="I55"/>
  <c r="N62"/>
  <c r="O62"/>
  <c r="P62"/>
  <c r="Q62"/>
  <c r="R62"/>
  <c r="S62"/>
  <c r="T62"/>
  <c r="U62"/>
  <c r="V62"/>
  <c r="W62"/>
  <c r="X62"/>
  <c r="Y62"/>
  <c r="B63"/>
  <c r="D63"/>
  <c r="E63"/>
  <c r="F63"/>
  <c r="N63"/>
  <c r="O63"/>
  <c r="P63"/>
  <c r="Q63"/>
  <c r="R63"/>
  <c r="S63"/>
  <c r="T63"/>
  <c r="U63"/>
  <c r="V63"/>
  <c r="W63"/>
  <c r="X63"/>
  <c r="Y63"/>
  <c r="B64"/>
  <c r="D64"/>
  <c r="E64"/>
  <c r="F64"/>
  <c r="N64"/>
  <c r="O64"/>
  <c r="P64"/>
  <c r="Q64"/>
  <c r="R64"/>
  <c r="S64"/>
  <c r="T64"/>
  <c r="U64"/>
  <c r="V64"/>
  <c r="W64"/>
  <c r="X64"/>
  <c r="Y64"/>
  <c r="B65"/>
  <c r="D65"/>
  <c r="E65"/>
  <c r="F65"/>
  <c r="N65"/>
  <c r="O65"/>
  <c r="P65"/>
  <c r="Q65"/>
  <c r="R65"/>
  <c r="S65"/>
  <c r="T65"/>
  <c r="U65"/>
  <c r="V65"/>
  <c r="W65"/>
  <c r="X65"/>
  <c r="Y65"/>
  <c r="N66"/>
  <c r="O66"/>
  <c r="P66"/>
  <c r="Q66"/>
  <c r="R66"/>
  <c r="S66"/>
  <c r="T66"/>
  <c r="U66"/>
  <c r="V66"/>
  <c r="W66"/>
  <c r="X66"/>
  <c r="Y66"/>
  <c r="N67"/>
  <c r="O67"/>
  <c r="P67"/>
  <c r="Q67"/>
  <c r="R67"/>
  <c r="S67"/>
  <c r="T67"/>
  <c r="U67"/>
  <c r="V67"/>
  <c r="W67"/>
  <c r="X67"/>
  <c r="Y67"/>
  <c r="B68"/>
  <c r="D68"/>
  <c r="E68"/>
  <c r="F68"/>
  <c r="N68"/>
  <c r="O68"/>
  <c r="P68"/>
  <c r="Q68"/>
  <c r="R68"/>
  <c r="S68"/>
  <c r="T68"/>
  <c r="U68"/>
  <c r="V68"/>
  <c r="W68"/>
  <c r="X68"/>
  <c r="Y68"/>
  <c r="B69"/>
  <c r="D69"/>
  <c r="E69"/>
  <c r="F69"/>
  <c r="N69"/>
  <c r="O69"/>
  <c r="P69"/>
  <c r="Q69"/>
  <c r="R69"/>
  <c r="S69"/>
  <c r="T69"/>
  <c r="U69"/>
  <c r="V69"/>
  <c r="W69"/>
  <c r="X69"/>
  <c r="Y69"/>
  <c r="B70"/>
  <c r="D70"/>
  <c r="E70"/>
  <c r="F70"/>
  <c r="N70"/>
  <c r="O70"/>
  <c r="P70"/>
  <c r="Q70"/>
  <c r="R70"/>
  <c r="S70"/>
  <c r="T70"/>
  <c r="U70"/>
  <c r="V70"/>
  <c r="W70"/>
  <c r="X70"/>
  <c r="Y70"/>
  <c r="N71"/>
  <c r="O71"/>
  <c r="P71"/>
  <c r="Q71"/>
  <c r="R71"/>
  <c r="S71"/>
  <c r="T71"/>
  <c r="U71"/>
  <c r="V71"/>
  <c r="W71"/>
  <c r="X71"/>
  <c r="Y71"/>
  <c r="N72"/>
  <c r="O72"/>
  <c r="P72"/>
  <c r="Q72"/>
  <c r="R72"/>
  <c r="S72"/>
  <c r="T72"/>
  <c r="U72"/>
  <c r="V72"/>
  <c r="W72"/>
  <c r="X72"/>
  <c r="Y72"/>
  <c r="B73"/>
  <c r="D73"/>
  <c r="E73"/>
  <c r="F73"/>
  <c r="N73"/>
  <c r="O73"/>
  <c r="P73"/>
  <c r="Q73"/>
  <c r="R73"/>
  <c r="S73"/>
  <c r="T73"/>
  <c r="U73"/>
  <c r="V73"/>
  <c r="W73"/>
  <c r="X73"/>
  <c r="Y73"/>
  <c r="B74"/>
  <c r="D74"/>
  <c r="E74"/>
  <c r="F74"/>
  <c r="N74"/>
  <c r="O74"/>
  <c r="P74"/>
  <c r="Q74"/>
  <c r="R74"/>
  <c r="S74"/>
  <c r="T74"/>
  <c r="U74"/>
  <c r="V74"/>
  <c r="W74"/>
  <c r="X74"/>
  <c r="Y74"/>
  <c r="B75"/>
  <c r="D75"/>
  <c r="E75"/>
  <c r="F75"/>
  <c r="N75"/>
  <c r="O75"/>
  <c r="P75"/>
  <c r="Q75"/>
  <c r="R75"/>
  <c r="S75"/>
  <c r="T75"/>
  <c r="U75"/>
  <c r="V75"/>
  <c r="W75"/>
  <c r="X75"/>
  <c r="Y75"/>
  <c r="N76"/>
  <c r="O76"/>
  <c r="P76"/>
  <c r="Q76"/>
  <c r="R76"/>
  <c r="S76"/>
  <c r="T76"/>
  <c r="U76"/>
  <c r="V76"/>
  <c r="W76"/>
  <c r="X76"/>
  <c r="Y76"/>
  <c r="P78"/>
  <c r="B79" a="1"/>
  <c r="B79"/>
  <c r="C79"/>
  <c r="D79"/>
  <c r="F79"/>
  <c r="G79"/>
  <c r="H79"/>
  <c r="O79"/>
  <c r="P79"/>
  <c r="B80" a="1"/>
  <c r="B80"/>
  <c r="C80"/>
  <c r="D80"/>
  <c r="F80"/>
  <c r="G80"/>
  <c r="H80"/>
  <c r="O80"/>
  <c r="P80"/>
  <c r="V80"/>
  <c r="W80"/>
  <c r="X80"/>
  <c r="B81" a="1"/>
  <c r="B81"/>
  <c r="C81"/>
  <c r="D81"/>
  <c r="F81"/>
  <c r="G81"/>
  <c r="H81"/>
  <c r="O81"/>
  <c r="P81"/>
  <c r="Q81"/>
  <c r="V81"/>
  <c r="W81"/>
  <c r="X81"/>
  <c r="B82" a="1"/>
  <c r="B82"/>
  <c r="C82"/>
  <c r="D82"/>
  <c r="F82"/>
  <c r="G82"/>
  <c r="H82"/>
  <c r="I82"/>
  <c r="J82"/>
  <c r="K82"/>
  <c r="Q82"/>
  <c r="V82"/>
  <c r="W82"/>
  <c r="X82"/>
  <c r="B83" a="1"/>
  <c r="B83"/>
  <c r="C83"/>
  <c r="D83"/>
  <c r="F83"/>
  <c r="G83"/>
  <c r="H83"/>
  <c r="I83"/>
  <c r="J83"/>
  <c r="K83"/>
  <c r="Q83"/>
  <c r="V83"/>
  <c r="W83"/>
  <c r="X83"/>
  <c r="B84" a="1"/>
  <c r="B84"/>
  <c r="C84"/>
  <c r="D84"/>
  <c r="F84"/>
  <c r="G84"/>
  <c r="H84"/>
  <c r="I84"/>
  <c r="J84"/>
  <c r="K84"/>
  <c r="M84"/>
  <c r="V84"/>
  <c r="W84"/>
  <c r="X84"/>
  <c r="B85" a="1"/>
  <c r="B85"/>
  <c r="C85"/>
  <c r="D85"/>
  <c r="F85"/>
  <c r="G85"/>
  <c r="H85"/>
  <c r="I85"/>
  <c r="J85"/>
  <c r="K85"/>
  <c r="V85"/>
  <c r="W85"/>
  <c r="X85"/>
  <c r="B86" a="1"/>
  <c r="B86"/>
  <c r="C86"/>
  <c r="D86"/>
  <c r="F86"/>
  <c r="G86"/>
  <c r="H86"/>
  <c r="I86"/>
  <c r="J86"/>
  <c r="K86"/>
  <c r="M86"/>
  <c r="Q86"/>
  <c r="V86"/>
  <c r="W86"/>
  <c r="X86"/>
  <c r="B87" a="1"/>
  <c r="B87"/>
  <c r="C87"/>
  <c r="D87"/>
  <c r="F87"/>
  <c r="G87"/>
  <c r="H87"/>
  <c r="I87"/>
  <c r="J87"/>
  <c r="K87"/>
  <c r="M87"/>
  <c r="Q87"/>
  <c r="V87"/>
  <c r="W87"/>
  <c r="X87"/>
  <c r="B88" a="1"/>
  <c r="B88"/>
  <c r="C88"/>
  <c r="D88"/>
  <c r="F88"/>
  <c r="G88"/>
  <c r="H88"/>
  <c r="I88"/>
  <c r="J88"/>
  <c r="K88"/>
  <c r="M88"/>
  <c r="Q88"/>
  <c r="V88"/>
  <c r="W88"/>
  <c r="X88"/>
  <c r="B89" a="1"/>
  <c r="B89"/>
  <c r="C89"/>
  <c r="D89"/>
  <c r="F89"/>
  <c r="G89"/>
  <c r="H89"/>
  <c r="I89"/>
  <c r="J89"/>
  <c r="K89"/>
  <c r="M89"/>
  <c r="V89"/>
  <c r="W89"/>
  <c r="X89"/>
  <c r="B90" a="1"/>
  <c r="B90"/>
  <c r="C90"/>
  <c r="D90"/>
  <c r="F90"/>
  <c r="G90"/>
  <c r="H90"/>
  <c r="I90"/>
  <c r="J90"/>
  <c r="K90"/>
  <c r="M90"/>
  <c r="V90"/>
  <c r="W90"/>
  <c r="X90"/>
  <c r="M91"/>
  <c r="Q91"/>
  <c r="V91"/>
  <c r="W91"/>
  <c r="X91"/>
  <c r="M92"/>
  <c r="Q92"/>
  <c r="V92"/>
  <c r="W92"/>
  <c r="X92"/>
  <c r="M93"/>
  <c r="Q93"/>
  <c r="V93"/>
  <c r="W93"/>
  <c r="X93"/>
  <c r="M94"/>
  <c r="V94"/>
  <c r="W94"/>
  <c r="X94"/>
</calcChain>
</file>

<file path=xl/sharedStrings.xml><?xml version="1.0" encoding="utf-8"?>
<sst xmlns="http://schemas.openxmlformats.org/spreadsheetml/2006/main" count="1026" uniqueCount="898">
  <si>
    <t>Range</t>
  </si>
  <si>
    <t>x</t>
  </si>
  <si>
    <t>y</t>
  </si>
  <si>
    <t>setI2cAddr</t>
  </si>
  <si>
    <t>writeByte</t>
  </si>
  <si>
    <t>readWord</t>
  </si>
  <si>
    <t>writeWord</t>
  </si>
  <si>
    <t>readByte</t>
  </si>
  <si>
    <t>dSetRange</t>
  </si>
  <si>
    <t>dSetResolution</t>
  </si>
  <si>
    <t>dGetRed</t>
  </si>
  <si>
    <t>dGetGreen</t>
  </si>
  <si>
    <t>dGetBlue</t>
  </si>
  <si>
    <t>Balance IR Compensation</t>
  </si>
  <si>
    <t>1) Adjust compensation to balance IR stop band attenuation such that incandescent (A) and fluorescent(CWF) lighting measure the same value at equal lux levels.</t>
  </si>
  <si>
    <t>Range Lo</t>
  </si>
  <si>
    <t>A</t>
  </si>
  <si>
    <t>CWF</t>
  </si>
  <si>
    <t>CWF'</t>
  </si>
  <si>
    <t>CWF' is scaled so that it has same lux level with A</t>
  </si>
  <si>
    <t>Lux</t>
  </si>
  <si>
    <t>2) Record Lux from (Chroma meter CL-200) and ADC code(ISL29125) with range &amp; compensation set to zero.</t>
  </si>
  <si>
    <t>3) Increase the compensation until the ADC code is about 25% of the value measured at 0 compensation  with incandescent lighting (green value).</t>
  </si>
  <si>
    <t>m</t>
  </si>
  <si>
    <t>CompSet</t>
  </si>
  <si>
    <t>Chroma Meter</t>
  </si>
  <si>
    <t>DUT</t>
  </si>
  <si>
    <t>Source</t>
  </si>
  <si>
    <t>X</t>
  </si>
  <si>
    <t>Y</t>
  </si>
  <si>
    <t>Z</t>
  </si>
  <si>
    <t>R</t>
  </si>
  <si>
    <t>G</t>
  </si>
  <si>
    <t>B</t>
  </si>
  <si>
    <r>
      <t>R</t>
    </r>
    <r>
      <rPr>
        <vertAlign val="subscript"/>
        <sz val="11"/>
        <color theme="1"/>
        <rFont val="Calibri"/>
        <family val="2"/>
        <scheme val="minor"/>
      </rPr>
      <t>LO</t>
    </r>
    <r>
      <rPr>
        <sz val="11"/>
        <color theme="1"/>
        <rFont val="Calibri"/>
        <family val="2"/>
        <scheme val="minor"/>
      </rPr>
      <t>/R</t>
    </r>
    <r>
      <rPr>
        <vertAlign val="subscript"/>
        <sz val="11"/>
        <color theme="1"/>
        <rFont val="Calibri"/>
        <family val="2"/>
        <scheme val="minor"/>
      </rPr>
      <t>HI</t>
    </r>
  </si>
  <si>
    <t>LO</t>
  </si>
  <si>
    <t>HI</t>
  </si>
  <si>
    <t>D65</t>
  </si>
  <si>
    <t>6) The CCM is calculated using a linear regression to provide the best fit to the data points measured.  Then plug these values back to formula to get corrected lux value comparing with a Konica-Minolta CL-200A</t>
  </si>
  <si>
    <t>←</t>
  </si>
  <si>
    <t>LINEST</t>
  </si>
  <si>
    <t>Re-Shuffle/Scale</t>
  </si>
  <si>
    <t>LUX</t>
  </si>
  <si>
    <t>McCamy CCT Approximation</t>
  </si>
  <si>
    <t>Verify Results</t>
  </si>
  <si>
    <r>
      <rPr>
        <u/>
        <sz val="11"/>
        <color theme="1"/>
        <rFont val="Calibri"/>
        <family val="2"/>
      </rPr>
      <t>Δ</t>
    </r>
    <r>
      <rPr>
        <u/>
        <sz val="11"/>
        <color theme="1"/>
        <rFont val="Calibri"/>
        <family val="2"/>
        <scheme val="minor"/>
      </rPr>
      <t xml:space="preserve"> Range</t>
    </r>
  </si>
  <si>
    <t>CCM corrected</t>
  </si>
  <si>
    <t>Δxy</t>
  </si>
  <si>
    <t>CCT</t>
  </si>
  <si>
    <t>X'</t>
  </si>
  <si>
    <t>Y'</t>
  </si>
  <si>
    <t>Z'</t>
  </si>
  <si>
    <t>x'</t>
  </si>
  <si>
    <t>y'</t>
  </si>
  <si>
    <t>HS</t>
  </si>
  <si>
    <r>
      <t>R</t>
    </r>
    <r>
      <rPr>
        <vertAlign val="subscript"/>
        <sz val="11"/>
        <color theme="1"/>
        <rFont val="Calibri"/>
        <family val="2"/>
        <scheme val="minor"/>
      </rPr>
      <t>HS</t>
    </r>
    <r>
      <rPr>
        <sz val="11"/>
        <color theme="1"/>
        <rFont val="Calibri"/>
        <family val="2"/>
        <scheme val="minor"/>
      </rPr>
      <t>/R</t>
    </r>
    <r>
      <rPr>
        <vertAlign val="subscript"/>
        <sz val="11"/>
        <color theme="1"/>
        <rFont val="Calibri"/>
        <family val="2"/>
        <scheme val="minor"/>
      </rPr>
      <t>LO</t>
    </r>
  </si>
  <si>
    <t>Calculate single CCM for all ranges</t>
  </si>
  <si>
    <t>Rds/Meas</t>
  </si>
  <si>
    <r>
      <t xml:space="preserve">4) Set compensation to the intersection of the 2 lines (A and CWF') the result is at  (orange value). </t>
    </r>
    <r>
      <rPr>
        <b/>
        <sz val="11"/>
        <color theme="1"/>
        <rFont val="Calibri"/>
        <family val="2"/>
        <scheme val="minor"/>
      </rPr>
      <t>This is the best compensation setting</t>
    </r>
    <r>
      <rPr>
        <b/>
        <sz val="10"/>
        <color theme="1"/>
        <rFont val="Calibri"/>
        <family val="2"/>
        <scheme val="minor"/>
      </rPr>
      <t>.</t>
    </r>
  </si>
  <si>
    <t>CM GUI Nom. FS</t>
  </si>
  <si>
    <t>Ev</t>
  </si>
  <si>
    <t>Calculate CCM per Range</t>
  </si>
  <si>
    <t>Use Meter (single CCM)</t>
  </si>
  <si>
    <t>Functional APIs</t>
  </si>
  <si>
    <t>Constants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</si>
  <si>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</si>
  <si>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</si>
  <si>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</t>
    </r>
    <r>
      <rPr>
        <vertAlign val="superscript"/>
        <sz val="11"/>
        <color theme="1"/>
        <rFont val="Calibri"/>
        <family val="2"/>
        <scheme val="minor"/>
      </rPr>
      <t>2</t>
    </r>
  </si>
  <si>
    <t>R'</t>
  </si>
  <si>
    <t>G'</t>
  </si>
  <si>
    <t>B'</t>
  </si>
  <si>
    <t>Error</t>
  </si>
  <si>
    <t>MIN</t>
  </si>
  <si>
    <t>MID</t>
  </si>
  <si>
    <t>MAX</t>
  </si>
  <si>
    <t>CCM</t>
  </si>
  <si>
    <t>Test</t>
  </si>
  <si>
    <t>Measure</t>
  </si>
  <si>
    <t>Tcp</t>
  </si>
  <si>
    <r>
      <t>MK</t>
    </r>
    <r>
      <rPr>
        <vertAlign val="superscript"/>
        <sz val="11"/>
        <color theme="1"/>
        <rFont val="Calibri"/>
        <family val="2"/>
        <scheme val="minor"/>
      </rPr>
      <t>-1</t>
    </r>
  </si>
  <si>
    <t>Calibration Points</t>
  </si>
  <si>
    <t>Min</t>
  </si>
  <si>
    <t>Max</t>
  </si>
  <si>
    <t>Set Color</t>
  </si>
  <si>
    <t>Verify</t>
  </si>
  <si>
    <t>E</t>
  </si>
  <si>
    <t>DUT Measure</t>
  </si>
  <si>
    <t>AVG</t>
  </si>
  <si>
    <t>Scaled to</t>
  </si>
  <si>
    <t>All</t>
  </si>
  <si>
    <r>
      <t>R/R</t>
    </r>
    <r>
      <rPr>
        <vertAlign val="subscript"/>
        <sz val="11"/>
        <color theme="1"/>
        <rFont val="Calibri"/>
        <family val="2"/>
        <scheme val="minor"/>
      </rPr>
      <t>LO</t>
    </r>
  </si>
  <si>
    <t>Nom.</t>
  </si>
  <si>
    <r>
      <t>Sys</t>
    </r>
    <r>
      <rPr>
        <vertAlign val="subscript"/>
        <sz val="11"/>
        <color theme="1"/>
        <rFont val="Calibri"/>
        <family val="2"/>
        <scheme val="minor"/>
      </rPr>
      <t>GAIN</t>
    </r>
  </si>
  <si>
    <t>RGB in "Lux"</t>
  </si>
  <si>
    <t>LSB based CCM</t>
  </si>
  <si>
    <t>"Lux" based CCM</t>
  </si>
  <si>
    <t>Calculate DUT Calibration Points</t>
  </si>
  <si>
    <t>Single CCM</t>
  </si>
  <si>
    <t>CCM per Range</t>
  </si>
  <si>
    <t>Calibrate DUT</t>
  </si>
  <si>
    <t xml:space="preserve">Monitor Calibration </t>
  </si>
  <si>
    <t>XYZ</t>
  </si>
  <si>
    <t>RGB</t>
  </si>
  <si>
    <t>C</t>
  </si>
  <si>
    <t>Ratio</t>
  </si>
  <si>
    <t>IR</t>
  </si>
  <si>
    <t>Comp=0</t>
  </si>
  <si>
    <t>Comp</t>
  </si>
  <si>
    <t>HZ</t>
  </si>
  <si>
    <t>U30</t>
  </si>
  <si>
    <t>U35</t>
  </si>
  <si>
    <t>Meter</t>
  </si>
  <si>
    <t>Rcomp=</t>
  </si>
  <si>
    <t>Bcomp=</t>
  </si>
  <si>
    <t>A/CWF'</t>
  </si>
  <si>
    <t>Measure XYX. RGB</t>
  </si>
  <si>
    <t>← Sleep (ms)</t>
  </si>
  <si>
    <t>Hex</t>
  </si>
  <si>
    <r>
      <t>F/P</t>
    </r>
    <r>
      <rPr>
        <sz val="11"/>
        <color theme="1"/>
        <rFont val="Calibri"/>
        <family val="2"/>
      </rPr>
      <t>̅</t>
    </r>
  </si>
  <si>
    <t>Sample</t>
  </si>
  <si>
    <t>0</t>
  </si>
  <si>
    <t>Pre filter capture average</t>
  </si>
  <si>
    <t>Post filter Offset</t>
  </si>
  <si>
    <t>AC RMS</t>
  </si>
  <si>
    <t>←-----------------------------------HIDE--------------------------------------→</t>
  </si>
  <si>
    <t>#/samples</t>
  </si>
  <si>
    <t>FFT post scale</t>
  </si>
  <si>
    <t>f (mHz)</t>
  </si>
  <si>
    <t>dBc</t>
  </si>
  <si>
    <r>
      <t>Mag</t>
    </r>
    <r>
      <rPr>
        <vertAlign val="superscript"/>
        <sz val="11"/>
        <color theme="1"/>
        <rFont val="Calibri"/>
        <family val="2"/>
        <scheme val="minor"/>
      </rPr>
      <t>2</t>
    </r>
  </si>
  <si>
    <t>Red</t>
  </si>
  <si>
    <t>Green</t>
  </si>
  <si>
    <t>Blue</t>
  </si>
  <si>
    <t>1.27115280062891E-002+1.38376506770122E-002i</t>
  </si>
  <si>
    <t>-2.51067246638471E-002+2.78784906655901E-002i</t>
  </si>
  <si>
    <t>-1.13570128015646E-002+2.03356747328321E-002i</t>
  </si>
  <si>
    <t>7.09556922672578E-003+2.09178802728449E-002i</t>
  </si>
  <si>
    <t>-3.55131479008452E-003+5.99240905360164E-003i</t>
  </si>
  <si>
    <t>1.45321981410933E-002-1.58026774528129E-003i</t>
  </si>
  <si>
    <t>2.89490620251912E-002+2.41862500705968E-002i</t>
  </si>
  <si>
    <t>4.8132422971348E-003+1.35365576039409E-002i</t>
  </si>
  <si>
    <t>-1.37031025086121E-002+3.13497445838877E-002i</t>
  </si>
  <si>
    <t>-1.00720196725166E-002+2.1602841089802E-003i</t>
  </si>
  <si>
    <t>1.85153262202196E-002+1.93312062115227E-003i</t>
  </si>
  <si>
    <t>-3.62882858901408E-003+1.31320326552033E-002i</t>
  </si>
  <si>
    <t>-1.31956949187828E-002-7.32280656127088E-003i</t>
  </si>
  <si>
    <t>4.82033455747397E-003-1.84638791320663E-004i</t>
  </si>
  <si>
    <t>4.38821156273369E-003+7.21114716369649E-003i</t>
  </si>
  <si>
    <t>-1.36286252443937E-002+1.19900249850414E-002i</t>
  </si>
  <si>
    <t>-5.37724757354216E-003+4.03166528194414E-003i</t>
  </si>
  <si>
    <t>4.48848065283073E-003+6.82338973745801E-004i</t>
  </si>
  <si>
    <t>-1.94989557367491E-003+9.88319870316201E-003i</t>
  </si>
  <si>
    <t>5.2776226079231E-003+3.0424948540457E-003i</t>
  </si>
  <si>
    <t>-1.67237181907323E-004+2.40571017239174E-003i</t>
  </si>
  <si>
    <t>4.80212283010615E-004+3.55137110825318E-003i</t>
  </si>
  <si>
    <t>2.5298192306919E-004+2.83032320944959E-003i</t>
  </si>
  <si>
    <t>5.96784206619728E-004+3.16695003584752E-003i</t>
  </si>
  <si>
    <t>-9.37314429512212E-004+4.20294047207224E-003i</t>
  </si>
  <si>
    <t>2.11786027502807E-004+9.10080270412226E-004i</t>
  </si>
  <si>
    <t>2.63553286962079E-003+1.09977285339915E-003i</t>
  </si>
  <si>
    <t>-2.4590458671755E-003+6.51658815950464E-003i</t>
  </si>
  <si>
    <t>1.86915848929185E-003+2.26387564343441E-003i</t>
  </si>
  <si>
    <t>7.88533647721884E-004+4.58530035750996E-004i</t>
  </si>
  <si>
    <t>-4.83195971780979E-003+6.37186381585779E-004i</t>
  </si>
  <si>
    <t>-3.03023372575317E-003+1.85314262227695E-003i</t>
  </si>
  <si>
    <t>2.34897463857215E-003+4.44307406612028E-003i</t>
  </si>
  <si>
    <t>-4.2418173659228E-003+9.78168191139291E-003i</t>
  </si>
  <si>
    <t>-3.4618910688841E-003+1.99724789028626E-003i</t>
  </si>
  <si>
    <t>5.01000092739918E-003+7.26036725669277E-004i</t>
  </si>
  <si>
    <t>-6.47898681698778E-004+1.25163809395444E-003i</t>
  </si>
  <si>
    <t>2.39524160614998E-003-3.7536605170818E-003i</t>
  </si>
  <si>
    <t>2.75987543757317E-003+4.18480742576912E-003i</t>
  </si>
  <si>
    <t>-1.57348007535583E-003+8.23781782333977E-004i</t>
  </si>
  <si>
    <t>-8.05494691923793E-004+7.99528674857903E-004i</t>
  </si>
  <si>
    <t>1.24097877579934E-004+1.10911270582734E-003i</t>
  </si>
  <si>
    <t>2.00651432615146E-004+5.58089499824671E-004i</t>
  </si>
  <si>
    <t>-1.0620620657819E-004-1.45012965508475E-004i</t>
  </si>
  <si>
    <t>-7.77203229353602E-004+9.78541777109617E-004i</t>
  </si>
  <si>
    <t>-9.20869822901589E-005+8.60610807188189E-004i</t>
  </si>
  <si>
    <t>-1.28610430804122E-004+7.89313012307868E-004i</t>
  </si>
  <si>
    <t>-1.22286396065363E-003+7.00806744169776E-004i</t>
  </si>
  <si>
    <t>-1.51760074073648E-003+9.20891560582609E-004i</t>
  </si>
  <si>
    <t>-7.44931411466819E-005+2.54657938154571E-003i</t>
  </si>
  <si>
    <t>-1.20800962120183E-003+1.73236741875232E-003i</t>
  </si>
  <si>
    <t>7.38282879817958E-004+7.19231120117955E-004i</t>
  </si>
  <si>
    <t>3.52819398036461E-003+2.65339882466213E-003i</t>
  </si>
  <si>
    <t>-8.4819055549227E-004+8.35699009910745E-004i</t>
  </si>
  <si>
    <t>2.6091498661684E-003+6.81807526459603E-004i</t>
  </si>
  <si>
    <t>8.98328879298506E-004+9.87644661072948E-005i</t>
  </si>
  <si>
    <t>-2.41089045168277E-003-1.02513593843641E-003i</t>
  </si>
  <si>
    <t>4.77187572892006E-005+7.72529684642867E-004i</t>
  </si>
  <si>
    <t>-2.26455054891197E-003+3.22023762156735E-003i</t>
  </si>
  <si>
    <t>-9.78359404942562E-006+4.22445080924671E-003i</t>
  </si>
  <si>
    <t>-1.22539449241571E-004+7.75569003079684E-004i</t>
  </si>
  <si>
    <t>-1.15218486331431E-003-1.51259302709653E-003i</t>
  </si>
  <si>
    <t>-1.45624457599849E-003+2.64002453464682E-004i</t>
  </si>
  <si>
    <t>7.70002281814542E-004-1.26304722115824E-003i</t>
  </si>
  <si>
    <t>2.9615921665256E-004+1.29780023232386E-003i</t>
  </si>
  <si>
    <t>-7.42022227603464E-004+6.51767597555852E-004i</t>
  </si>
  <si>
    <t>-9.26450962409185E-004-5.23389762684903E-004i</t>
  </si>
  <si>
    <t>8.48684439304652E-004+3.98038273169802E-004i</t>
  </si>
  <si>
    <t>-1.66160327028235E-004+5.45685453620314E-004i</t>
  </si>
  <si>
    <t>-3.09882524660137E-004+5.90939162742703E-004i</t>
  </si>
  <si>
    <t>5.41299066506439E-005+2.70229757643917E-004i</t>
  </si>
  <si>
    <t>-7.67767690570523E-004+6.57087616627751E-004i</t>
  </si>
  <si>
    <t>-1.14359577921503E-003+1.49363870351265E-004i</t>
  </si>
  <si>
    <t>-2.3070523780241E-004+2.80213749571182E-005i</t>
  </si>
  <si>
    <t>-8.75672114361081E-004+1.51300849170667E-003i</t>
  </si>
  <si>
    <t>1.84842090573624E-004+1.06365113138619E-003i</t>
  </si>
  <si>
    <t>-2.53674197618052E-003-4.71574198210562E-004i</t>
  </si>
  <si>
    <t>-7.110417731659E-004+1.60383028600369E-003i</t>
  </si>
  <si>
    <t>2.09367834939309E-003+6.5886153375893E-004i</t>
  </si>
  <si>
    <t>-2.81019718519382E-003+2.27750487943675E-003i</t>
  </si>
  <si>
    <t>-8.7803287402482E-004+1.01592186532533E-003i</t>
  </si>
  <si>
    <t>-6.21757787886373E-004-7.88415888254129E-004i</t>
  </si>
  <si>
    <t>1.62303135729252E-004+9.60853192889067E-004i</t>
  </si>
  <si>
    <t>6.26030914811638E-004-1.86714771873768E-004i</t>
  </si>
  <si>
    <t>-2.94023926803188E-004+4.00246346263129E-004i</t>
  </si>
  <si>
    <t>-6.60804939748626E-004-7.84912525789608E-004i</t>
  </si>
  <si>
    <t>-4.95343254945636E-004+7.79606274744899E-004i</t>
  </si>
  <si>
    <t>-5.49611658895895E-004+9.86385889958053E-004i</t>
  </si>
  <si>
    <t>-1.84740228785905E-003+1.12609966119063E-004i</t>
  </si>
  <si>
    <t>-1.80119287885748E-003+3.78919612872695E-004i</t>
  </si>
  <si>
    <t>-5.16673906528958E-004-2.03779960069821E-004i</t>
  </si>
  <si>
    <t>-5.20355788483948E-004+4.87306702033982E-004i</t>
  </si>
  <si>
    <t>-2.61918337245961E-004+3.89593950127128E-004i</t>
  </si>
  <si>
    <t>-3.72892017664129E-005+2.95906997795681E-004i</t>
  </si>
  <si>
    <t>-3.90635922826394E-004+8.51620786528291E-004i</t>
  </si>
  <si>
    <t>-7.61951425001446E-004+4.40964524403639E-004i</t>
  </si>
  <si>
    <t>-8.76693093997711E-004-3.2340571582771E-004i</t>
  </si>
  <si>
    <t>4.09817885532793E-004+4.42987113912792E-004i</t>
  </si>
  <si>
    <t>-5.92076307885181E-005+3.73050952961374E-004i</t>
  </si>
  <si>
    <t>-2.43260606419806E-003-3.82608574580324E-004i</t>
  </si>
  <si>
    <t>-1.54822746087788E-004+8.43208127279966E-004i</t>
  </si>
  <si>
    <t>1.30266516784905E-004+4.03685725515258E-004i</t>
  </si>
  <si>
    <t>-2.02550605758984E-004+3.15083408218022E-005i</t>
  </si>
  <si>
    <t>-1.7083177759984E-003+5.67004904765833E-004i</t>
  </si>
  <si>
    <t>-1.04028579941431E-003+8.84553430181647E-004i</t>
  </si>
  <si>
    <t>1.92237387935021E-003-2.12963297644578E-004i</t>
  </si>
  <si>
    <t>8.02035589108934E-004-3.4097213333789E-004i</t>
  </si>
  <si>
    <t>-1.78321740083941E-003+6.6819758167641E-004i</t>
  </si>
  <si>
    <t>-1.89812708022975E-003+5.15046495313799E-004i</t>
  </si>
  <si>
    <t>-3.50546150477281E-004+6.28881583032786E-004i</t>
  </si>
  <si>
    <t>2.94232201545713E-004+1.10782961462069E-003i</t>
  </si>
  <si>
    <t>-8.54890220666591E-004+2.72770681707847E-004i</t>
  </si>
  <si>
    <t>-1.26593300866134E-003-1.19785040126331E-004i</t>
  </si>
  <si>
    <t>-9.21641956866117E-004-1.58101315580625E-004i</t>
  </si>
  <si>
    <t>-8.5734842550588E-004+6.31054741094378E-005i</t>
  </si>
  <si>
    <t>-8.01571781701293E-004+9.42457038235339E-006i</t>
  </si>
  <si>
    <t>-7.02043926768906E-004+1.51396518783479E-004i</t>
  </si>
  <si>
    <t>-5.36721824738419E-004-2.15395386021688E-005i</t>
  </si>
  <si>
    <t>-1.05842668488594E-003+1.59118169306402E-004i</t>
  </si>
  <si>
    <t>-1.63613448751474E-003+5.70560494031425E-004i</t>
  </si>
  <si>
    <t>-5.40927066623422E-004+5.04757975775422E-004i</t>
  </si>
  <si>
    <t>-9.26286088830986E-004+7.78194135948159E-004i</t>
  </si>
  <si>
    <t>-4.85031798521289E-004-9.11559835647485E-004i</t>
  </si>
  <si>
    <t>-3.45481950930257E-004-2.65169435461333E-004i</t>
  </si>
  <si>
    <t>-4.56543182729887E-005+1.11711518214698E-003i</t>
  </si>
  <si>
    <t>3.87162156911414E-004+2.52258037798626E-003i</t>
  </si>
  <si>
    <t>-5.33697215495402E-004-4.64982854220833E-004i</t>
  </si>
  <si>
    <t>1.33913440315573E-004</t>
  </si>
  <si>
    <t>-5.33697215495411E-004+4.6498285422085E-004i</t>
  </si>
  <si>
    <t>3.87162156911376E-004-2.52258037798627E-003i</t>
  </si>
  <si>
    <t>-4.56543182730113E-005-1.11711518214699E-003i</t>
  </si>
  <si>
    <t>-3.45481950930267E-004+2.6516943546135E-004i</t>
  </si>
  <si>
    <t>-4.85031798521286E-004+9.11559835647492E-004i</t>
  </si>
  <si>
    <t>-9.26286088830984E-004-7.78194135948142E-004i</t>
  </si>
  <si>
    <t>-5.40927066623434E-004-5.04757975775391E-004i</t>
  </si>
  <si>
    <t>-1.63613448751476E-003-5.70560494031409E-004i</t>
  </si>
  <si>
    <t>-1.05842668488596E-003-1.59118169306395E-004i</t>
  </si>
  <si>
    <t>-5.36721824738421E-004+2.1539538602163E-005i</t>
  </si>
  <si>
    <t>-7.02043926768906E-004-1.51396518783456E-004i</t>
  </si>
  <si>
    <t>-8.01571781701302E-004-9.42457038234732E-006i</t>
  </si>
  <si>
    <t>-8.57348425505876E-004-6.31054741094426E-005i</t>
  </si>
  <si>
    <t>-9.21641956866117E-004+1.58101315580635E-004i</t>
  </si>
  <si>
    <t>-1.26593300866134E-003+1.19785040126348E-004i</t>
  </si>
  <si>
    <t>-8.54890220666597E-004-2.72770681707855E-004i</t>
  </si>
  <si>
    <t>2.94232201545699E-004-1.10782961462069E-003i</t>
  </si>
  <si>
    <t>-3.50546150477286E-004-6.28881583032783E-004i</t>
  </si>
  <si>
    <t>-1.89812708022976E-003-5.1504649531379E-004i</t>
  </si>
  <si>
    <t>-1.78321740083941E-003-6.68197581676394E-004i</t>
  </si>
  <si>
    <t>8.02035589108933E-004+3.40972133337894E-004i</t>
  </si>
  <si>
    <t>1.92237387935021E-003+2.12963297644567E-004i</t>
  </si>
  <si>
    <t>-1.04028579941431E-003-8.84553430181636E-004i</t>
  </si>
  <si>
    <t>-1.7083177759984E-003-5.67004904765823E-004i</t>
  </si>
  <si>
    <t>-2.02550605758988E-004-3.15083408217874E-005i</t>
  </si>
  <si>
    <t>1.30266516784897E-004-4.03685725515257E-004i</t>
  </si>
  <si>
    <t>-1.54822746087793E-004-8.43208127279963E-004i</t>
  </si>
  <si>
    <t>-2.43260606419807E-003+3.8260857458034E-004i</t>
  </si>
  <si>
    <t>-5.92076307885135E-005-3.73050952961371E-004i</t>
  </si>
  <si>
    <t>4.09817885532809E-004-4.42987113912788E-004i</t>
  </si>
  <si>
    <t>-8.76693093997709E-004+3.23405715827723E-004i</t>
  </si>
  <si>
    <t>-7.61951425001446E-004-4.4096452440364E-004i</t>
  </si>
  <si>
    <t>-3.90635922826405E-004-8.51620786528285E-004i</t>
  </si>
  <si>
    <t>-3.72892017664246E-005-2.9590699779569E-004i</t>
  </si>
  <si>
    <t>-2.61918337245968E-004-3.89593950127132E-004i</t>
  </si>
  <si>
    <t>-5.20355788483954E-004-4.87306702033972E-004i</t>
  </si>
  <si>
    <t>-5.16673906528959E-004+2.03779960069831E-004i</t>
  </si>
  <si>
    <t>-1.80119287885748E-003-3.78919612872684E-004i</t>
  </si>
  <si>
    <t>-1.84740228785905E-003-1.12609966119045E-004i</t>
  </si>
  <si>
    <t>-5.49611658895904E-004-9.86385889958051E-004i</t>
  </si>
  <si>
    <t>-4.95343254945652E-004-7.79606274744898E-004i</t>
  </si>
  <si>
    <t>-6.60804939748621E-004+7.8491252578961E-004i</t>
  </si>
  <si>
    <t>-2.94023926803197E-004-4.00246346263119E-004i</t>
  </si>
  <si>
    <t>6.26030914811632E-004+1.86714771873772E-004i</t>
  </si>
  <si>
    <t>1.62303135729253E-004-9.60853192889065E-004i</t>
  </si>
  <si>
    <t>-6.21757787886368E-004+7.88415888254137E-004i</t>
  </si>
  <si>
    <t>-8.78032874024825E-004-1.01592186532532E-003i</t>
  </si>
  <si>
    <t>-2.81019718519382E-003-2.27750487943675E-003i</t>
  </si>
  <si>
    <t>2.09367834939308E-003-6.5886153375894E-004i</t>
  </si>
  <si>
    <t>-7.11041773165913E-004-1.60383028600368E-003i</t>
  </si>
  <si>
    <t>-2.53674197618052E-003+4.71574198210563E-004i</t>
  </si>
  <si>
    <t>1.84842090573623E-004-1.06365113138618E-003i</t>
  </si>
  <si>
    <t>-8.75672114361098E-004-1.51300849170665E-003i</t>
  </si>
  <si>
    <t>-2.30705237802404E-004-2.80213749571199E-005i</t>
  </si>
  <si>
    <t>-1.14359577921502E-003-1.49363870351247E-004i</t>
  </si>
  <si>
    <t>-7.67767690570524E-004-6.5708761662774E-004i</t>
  </si>
  <si>
    <t>5.41299066506374E-005-2.70229757643891E-004i</t>
  </si>
  <si>
    <t>-3.0988252466015E-004-5.90939162742699E-004i</t>
  </si>
  <si>
    <t>-1.66160327028239E-004-5.45685453620313E-004i</t>
  </si>
  <si>
    <t>8.48684439304647E-004-3.98038273169788E-004i</t>
  </si>
  <si>
    <t>-9.26450962409167E-004+5.23389762684914E-004i</t>
  </si>
  <si>
    <t>-7.42022227603439E-004-6.51767597555841E-004i</t>
  </si>
  <si>
    <t>2.96159216652552E-004-1.29780023232385E-003i</t>
  </si>
  <si>
    <t>7.70002281814543E-004+1.26304722115824E-003i</t>
  </si>
  <si>
    <t>-1.45624457599851E-003-2.64002453464671E-004i</t>
  </si>
  <si>
    <t>-1.15218486331431E-003+1.51259302709651E-003i</t>
  </si>
  <si>
    <t>-1.2253944924158E-004-7.75569003079698E-004i</t>
  </si>
  <si>
    <t>-9.78359404945489E-006-4.22445080924671E-003i</t>
  </si>
  <si>
    <t>-2.264550548912E-003-3.22023762156733E-003i</t>
  </si>
  <si>
    <t>4.77187572891924E-005-7.72529684642857E-004i</t>
  </si>
  <si>
    <t>-2.4108904516828E-003+1.02513593843643E-003i</t>
  </si>
  <si>
    <t>8.98328879298495E-004-9.87644661073018E-005i</t>
  </si>
  <si>
    <t>2.60914986616838E-003-6.81807526459635E-004i</t>
  </si>
  <si>
    <t>-8.48190555492272E-004-8.35699009910743E-004i</t>
  </si>
  <si>
    <t>3.52819398036459E-003-2.65339882466214E-003i</t>
  </si>
  <si>
    <t>7.38282879817945E-004-7.19231120117963E-004i</t>
  </si>
  <si>
    <t>-1.20800962120182E-003-1.73236741875231E-003i</t>
  </si>
  <si>
    <t>-7.4493141146694E-005-2.54657938154571E-003i</t>
  </si>
  <si>
    <t>-1.51760074073649E-003-9.20891560582594E-004i</t>
  </si>
  <si>
    <t>-1.22286396065363E-003-7.00806744169788E-004i</t>
  </si>
  <si>
    <t>-1.28610430804129E-004-7.89313012307866E-004i</t>
  </si>
  <si>
    <t>-9.20869822901699E-005-8.60610807188194E-004i</t>
  </si>
  <si>
    <t>-7.7720322935361E-004-9.78541777109627E-004i</t>
  </si>
  <si>
    <t>-1.06206206578194E-004+1.45012965508482E-004i</t>
  </si>
  <si>
    <t>2.00651432615129E-004-5.58089499824666E-004i</t>
  </si>
  <si>
    <t>1.24097877579937E-004-1.10911270582734E-003i</t>
  </si>
  <si>
    <t>-8.05494691923797E-004-7.99528674857881E-004i</t>
  </si>
  <si>
    <t>-1.57348007535584E-003-8.23781782333968E-004i</t>
  </si>
  <si>
    <t>2.75987543757314E-003-4.18480742576912E-003i</t>
  </si>
  <si>
    <t>2.39524160614999E-003+3.75366051708179E-003i</t>
  </si>
  <si>
    <t>-6.47898681698784E-004-1.25163809395443E-003i</t>
  </si>
  <si>
    <t>5.01000092739917E-003-7.26036725669286E-004i</t>
  </si>
  <si>
    <t>-3.4618910688841E-003-1.99724789028623E-003i</t>
  </si>
  <si>
    <t>-4.24181736592283E-003-9.78168191139288E-003i</t>
  </si>
  <si>
    <t>2.34897463857212E-003-4.44307406612028E-003i</t>
  </si>
  <si>
    <t>-3.03023372575318E-003-1.85314262227695E-003i</t>
  </si>
  <si>
    <t>-4.83195971780981E-003-6.37186381585756E-004i</t>
  </si>
  <si>
    <t>7.88533647721883E-004-4.58530035751033E-004i</t>
  </si>
  <si>
    <t>1.86915848929184E-003-2.26387564343444E-003i</t>
  </si>
  <si>
    <t>-2.45904586717554E-003-6.51658815950464E-003i</t>
  </si>
  <si>
    <t>2.63553286962078E-003-1.09977285339917E-003i</t>
  </si>
  <si>
    <t>2.11786027502799E-004-9.10080270412224E-004i</t>
  </si>
  <si>
    <t>-9.37314429512255E-004-4.20294047207223E-003i</t>
  </si>
  <si>
    <t>5.96784206619711E-004-3.16695003584753E-003i</t>
  </si>
  <si>
    <t>2.52981923069165E-004-2.8303232094496E-003i</t>
  </si>
  <si>
    <t>4.80212283010598E-004-3.55137110825319E-003i</t>
  </si>
  <si>
    <t>-1.67237181907338E-004-2.40571017239174E-003i</t>
  </si>
  <si>
    <t>5.27762260792309E-003-3.04249485404573E-003i</t>
  </si>
  <si>
    <t>-1.94989557367496E-003-9.883198703162E-003i</t>
  </si>
  <si>
    <t>4.48848065283074E-003-6.82338973745827E-004i</t>
  </si>
  <si>
    <t>-5.37724757354219E-003-4.03166528194411E-003i</t>
  </si>
  <si>
    <t>-1.36286252443938E-002-1.19900249850414E-002i</t>
  </si>
  <si>
    <t>4.38821156273363E-003-7.21114716369653E-003i</t>
  </si>
  <si>
    <t>4.82033455747399E-003+1.84638791320623E-004i</t>
  </si>
  <si>
    <t>-1.31956949187828E-002+7.32280656127095E-003i</t>
  </si>
  <si>
    <t>-3.62882858901414E-003-1.31320326552033E-002i</t>
  </si>
  <si>
    <t>1.85153262202196E-002-1.93312062115236E-003i</t>
  </si>
  <si>
    <t>-1.00720196725166E-002-2.16028410898015E-003i</t>
  </si>
  <si>
    <t>-1.37031025086123E-002-3.13497445838877E-002i</t>
  </si>
  <si>
    <t>4.81324229713475E-003-1.3536557603941E-002i</t>
  </si>
  <si>
    <t>2.8949062025191E-002-2.4186250070597E-002i</t>
  </si>
  <si>
    <t>1.45321981410934E-002+1.58026774528121E-003i</t>
  </si>
  <si>
    <t>-3.55131479008456E-003-5.99240905360166E-003i</t>
  </si>
  <si>
    <t>7.09556922672569E-003-2.09178802728449E-002i</t>
  </si>
  <si>
    <t>-1.13570128015647E-002-2.03356747328321E-002i</t>
  </si>
  <si>
    <t>-2.51067246638472E-002-2.787849066559E-002i</t>
  </si>
  <si>
    <t>1.2711528006289E-002-1.38376506770124E-002i</t>
  </si>
  <si>
    <t>5.2237752294629E-003-5.07340756165357E-003i</t>
  </si>
  <si>
    <t>-1.95601349319938E-002+5.46763181680769E-002i</t>
  </si>
  <si>
    <t>-9.00322858735532E-003+5.65819516011941E-002i</t>
  </si>
  <si>
    <t>-7.08491719813634E-003+3.27871477092262E-002i</t>
  </si>
  <si>
    <t>-3.79676013845376E-002+8.8079039113407E-003i</t>
  </si>
  <si>
    <t>2.15747097835494E-002+4.3775792467895E-005i</t>
  </si>
  <si>
    <t>3.17144280669421E-002+2.36793485961269E-002i</t>
  </si>
  <si>
    <t>-2.88521389171611E-003+1.95128525769475E-002i</t>
  </si>
  <si>
    <t>-2.9079098353841E-002+4.7939134027309E-002i</t>
  </si>
  <si>
    <t>-9.9898292665065E-004+3.87087810129014E-003i</t>
  </si>
  <si>
    <t>4.21654909887857E-002+8.4662501769325E-003i</t>
  </si>
  <si>
    <t>9.07913343803493E-003+2.83913432932011E-002i</t>
  </si>
  <si>
    <t>-1.99622532589678E-002-2.96755838458607E-003i</t>
  </si>
  <si>
    <t>1.69568587687872E-003-8.35069886117925E-003i</t>
  </si>
  <si>
    <t>1.53161700423378E-002+4.95472707744244E-003i</t>
  </si>
  <si>
    <t>-1.21991219679337E-002+8.49444600471674E-003i</t>
  </si>
  <si>
    <t>-1.25460029445708E-002+6.29759886462159E-003i</t>
  </si>
  <si>
    <t>9.34404780745636E-004-3.01954402403911E-003i</t>
  </si>
  <si>
    <t>1.42067991305025E-003+1.76459315105126E-002i</t>
  </si>
  <si>
    <t>1.01453079454001E-002+2.03708083186221E-003i</t>
  </si>
  <si>
    <t>2.17800152431895E-003+3.34670624363298E-003i</t>
  </si>
  <si>
    <t>6.53666286386769E-004+6.08121640100536E-003i</t>
  </si>
  <si>
    <t>9.44896887975506E-004+3.9074192314485E-003i</t>
  </si>
  <si>
    <t>1.39599392980749E-003+4.90301119135618E-003i</t>
  </si>
  <si>
    <t>-1.76083292376338E-004+6.36327873022019E-003i</t>
  </si>
  <si>
    <t>1.37844974835163E-004+1.9315992986248E-003i</t>
  </si>
  <si>
    <t>2.73572673193362E-003+1.99119162816548E-003i</t>
  </si>
  <si>
    <t>-4.12924085316914E-004+7.73399949780736E-003i</t>
  </si>
  <si>
    <t>6.29167713999712E-003+2.26867625658934E-003i</t>
  </si>
  <si>
    <t>1.45060275606975E-003+9.74661440937271E-004i</t>
  </si>
  <si>
    <t>-1.03836934693014E-002-1.46009136744629E-003i</t>
  </si>
  <si>
    <t>-1.09312134994341E-002-9.18188939025174E-004i</t>
  </si>
  <si>
    <t>4.34457394460777E-003+8.25841811371916E-003i</t>
  </si>
  <si>
    <t>-2.44816961108236E-003+1.36143215596544E-002i</t>
  </si>
  <si>
    <t>-1.29210294247004E-003+7.047541164673E-003i</t>
  </si>
  <si>
    <t>1.93949409337348E-003+2.66772433441189E-003i</t>
  </si>
  <si>
    <t>-2.52203640621268E-003+6.30719311644269E-004i</t>
  </si>
  <si>
    <t>1.86813175524958E-003-4.75529993676653E-003i</t>
  </si>
  <si>
    <t>2.94856530978065E-003+7.01397364095804E-003i</t>
  </si>
  <si>
    <t>9.10765586692829E-004+3.05218106050699E-003i</t>
  </si>
  <si>
    <t>9.30681396683407E-004+2.31263245474199E-003i</t>
  </si>
  <si>
    <t>-1.87862772826659E-003+8.36379293602474E-004i</t>
  </si>
  <si>
    <t>-9.14953359841154E-004-2.25681224842279E-004i</t>
  </si>
  <si>
    <t>-5.49050498034217E-004+1.2477452815511E-003i</t>
  </si>
  <si>
    <t>-3.95206127968508E-004+1.38961261668301E-003i</t>
  </si>
  <si>
    <t>4.12058699391054E-006+9.40484974224356E-004i</t>
  </si>
  <si>
    <t>-3.62293553183891E-004+1.0400359726259E-003i</t>
  </si>
  <si>
    <t>-1.75037117407491E-003+8.95582112319534E-004i</t>
  </si>
  <si>
    <t>-8.14477770724282E-004+6.56604452780375E-004i</t>
  </si>
  <si>
    <t>7.7340051915701E-004+3.89461810020509E-003i</t>
  </si>
  <si>
    <t>-1.65696306193942E-003+2.16126744293413E-003i</t>
  </si>
  <si>
    <t>1.89348931867203E-003-1.96084520025194E-003i</t>
  </si>
  <si>
    <t>3.04738671556228E-003+3.66445035599785E-003i</t>
  </si>
  <si>
    <t>-2.46719242552817E-003+2.57787007774188E-003i</t>
  </si>
  <si>
    <t>3.62314438770122E-003+2.06045572050335E-003i</t>
  </si>
  <si>
    <t>1.21925772083599E-003+5.24453195272936E-004i</t>
  </si>
  <si>
    <t>-4.5046013257663E-003-1.05804038068811E-003i</t>
  </si>
  <si>
    <t>2.33899941194051E-003-4.73666635670244E-004i</t>
  </si>
  <si>
    <t>2.16285223272304E-003+2.53272719159402E-003i</t>
  </si>
  <si>
    <t>6.34235767750829E-004+4.43803655978449E-003i</t>
  </si>
  <si>
    <t>2.69893975389974E-003-2.10140421142163E-003i</t>
  </si>
  <si>
    <t>-4.53849430589826E-003+2.83940597423849E-003i</t>
  </si>
  <si>
    <t>-2.52719885025975E-003-3.82437982818341E-003i</t>
  </si>
  <si>
    <t>-2.16945172390518E-003+2.09419170935041E-004i</t>
  </si>
  <si>
    <t>7.35864651124273E-004+1.68718459491651E-003i</t>
  </si>
  <si>
    <t>-2.20112681603786E-003+2.31081486707487E-003i</t>
  </si>
  <si>
    <t>-1.70232419185591E-003-4.47002373136849E-004i</t>
  </si>
  <si>
    <t>-4.57366775650821E-004-8.97334991258522E-004i</t>
  </si>
  <si>
    <t>-3.75695455928862E-004+8.88957791356326E-005i</t>
  </si>
  <si>
    <t>-4.56646555779761E-004+1.73015454181227E-005i</t>
  </si>
  <si>
    <t>1.19693681725561E-004-5.67470345986191E-004i</t>
  </si>
  <si>
    <t>-1.27360983310384E-003-7.26630015168227E-005i</t>
  </si>
  <si>
    <t>-2.37653500198696E-003-1.28315250057882E-003i</t>
  </si>
  <si>
    <t>2.66612863233361E-004-1.98515537509016E-004i</t>
  </si>
  <si>
    <t>-1.03821494797149E-004+1.76049502861251E-003i</t>
  </si>
  <si>
    <t>-2.42708308156265E-003-6.1699544436224E-004i</t>
  </si>
  <si>
    <t>-2.42908599977255E-003+3.07429512003377E-003i</t>
  </si>
  <si>
    <t>1.17766910449987E-003-9.89390139294887E-004i</t>
  </si>
  <si>
    <t>1.88620644276175E-003-6.73895280989265E-004i</t>
  </si>
  <si>
    <t>-4.77418126581611E-003+2.2509822107336E-003i</t>
  </si>
  <si>
    <t>-2.33128995827969E-003+1.68706613761334E-003i</t>
  </si>
  <si>
    <t>-1.95520785286809E-003+3.33691350205543E-003i</t>
  </si>
  <si>
    <t>-8.95089745614328E-004-8.58167183080696E-004i</t>
  </si>
  <si>
    <t>6.71293084531846E-004-2.25903346705257E-004i</t>
  </si>
  <si>
    <t>1.12964903241906E-003+3.27726698038546E-003i</t>
  </si>
  <si>
    <t>-2.80304072594083E-003+6.98689704294205E-004i</t>
  </si>
  <si>
    <t>-3.66867867272327E-004+1.83548228349028E-003i</t>
  </si>
  <si>
    <t>-1.63862709473368E-003+1.47901379165718E-003i</t>
  </si>
  <si>
    <t>-2.07496119092263E-003-2.09602817872917E-004i</t>
  </si>
  <si>
    <t>-3.40327567542078E-003+1.93260402367223E-003i</t>
  </si>
  <si>
    <t>-5.96659807548449E-004-7.53316606166138E-005i</t>
  </si>
  <si>
    <t>-1.05009406602701E-003+3.93582214742325E-004i</t>
  </si>
  <si>
    <t>-8.50128184850206E-004+3.65849695188666E-004i</t>
  </si>
  <si>
    <t>-6.55937855749122E-004+4.28351754444392E-004i</t>
  </si>
  <si>
    <t>-1.20458875856939E-003-1.54597155722649E-004i</t>
  </si>
  <si>
    <t>-1.77791243668617E-003-2.57209680761469E-004i</t>
  </si>
  <si>
    <t>-1.83609595002424E-003-3.2032689539282E-004i</t>
  </si>
  <si>
    <t>6.47081739215484E-004+1.36750692116646E-003i</t>
  </si>
  <si>
    <t>-1.92694809308914E-003+6.55279853330244E-004i</t>
  </si>
  <si>
    <t>-2.08347014083657E-003+1.14811585421749E-003i</t>
  </si>
  <si>
    <t>-1.54482188234326E-003+3.50860368931999E-003i</t>
  </si>
  <si>
    <t>-1.85891714526002E-004+7.86464976354032E-004i</t>
  </si>
  <si>
    <t>-2.22820524657275E-003+1.51026915991346E-003i</t>
  </si>
  <si>
    <t>-4.15355972950268E-003+9.94505239112655E-004i</t>
  </si>
  <si>
    <t>2.93864496810116E-003+2.98636041874677E-004i</t>
  </si>
  <si>
    <t>2.55783053692864E-003-1.95258805645646E-004i</t>
  </si>
  <si>
    <t>8.63709084165426E-004+2.52057563584175E-003i</t>
  </si>
  <si>
    <t>-2.29512339041312E-003+1.8566353369758E-003i</t>
  </si>
  <si>
    <t>-1.14492298271675E-003-1.38754582003471E-003i</t>
  </si>
  <si>
    <t>-4.25184131051312E-004-1.23108739610331E-003i</t>
  </si>
  <si>
    <t>2.26172192489538E-004-1.0117790259176E-003i</t>
  </si>
  <si>
    <t>-7.39219790950565E-004-9.22152501840337E-004i</t>
  </si>
  <si>
    <t>-4.79263233231123E-004+3.40789170535463E-004i</t>
  </si>
  <si>
    <t>-6.25896912714391E-005+3.31068693800521E-005i</t>
  </si>
  <si>
    <t>-4.003955955555E-004-1.1384292483547E-004i</t>
  </si>
  <si>
    <t>-5.93788225468432E-004+2.01760757991346E-007i</t>
  </si>
  <si>
    <t>-6.26284238455222E-004+1.43695314370773E-004i</t>
  </si>
  <si>
    <t>-9.42963684643086E-004-1.04478651879027E-005i</t>
  </si>
  <si>
    <t>-4.84078087716531E-004-9.3492788930314E-004i</t>
  </si>
  <si>
    <t>-5.6437151823689E-004+6.12185912967161E-004i</t>
  </si>
  <si>
    <t>-8.82294810093383E-004+1.41335684040442E-004i</t>
  </si>
  <si>
    <t>-2.3268263607488E-004+4.51771294072371E-004i</t>
  </si>
  <si>
    <t>1.23336078105642E-003-1.05648203402255E-003i</t>
  </si>
  <si>
    <t>-1.17891585099944E-003+4.8860704996169E-004i</t>
  </si>
  <si>
    <t>-1.24618035703987E-004+1.97677594994236E-003i</t>
  </si>
  <si>
    <t>2.5654357425171E-005+5.50880179400901E-004i</t>
  </si>
  <si>
    <t>9.66951428822613E-004-7.90026194539798E-004i</t>
  </si>
  <si>
    <t>-3.05293885128738E-003</t>
  </si>
  <si>
    <t>9.66951428822619E-004+7.90026194539796E-004i</t>
  </si>
  <si>
    <t>2.56543574251207E-005-5.50880179400907E-004i</t>
  </si>
  <si>
    <t>-1.24618035704048E-004-1.97677594994236E-003i</t>
  </si>
  <si>
    <t>-1.17891585099947E-003-4.88607049961679E-004i</t>
  </si>
  <si>
    <t>1.23336078105641E-003+1.05648203402252E-003i</t>
  </si>
  <si>
    <t>-2.32682636074878E-004-4.5177129407235E-004i</t>
  </si>
  <si>
    <t>-8.82294810093394E-004-1.41335684040414E-004i</t>
  </si>
  <si>
    <t>-5.64371518236908E-004-6.12185912967158E-004i</t>
  </si>
  <si>
    <t>-4.84078087716566E-004+9.34927889303137E-004i</t>
  </si>
  <si>
    <t>-9.42963684643084E-004+1.04478651879081E-005i</t>
  </si>
  <si>
    <t>-6.26284238455226E-004-1.43695314370727E-004i</t>
  </si>
  <si>
    <t>-5.93788225468458E-004-2.01760757973998E-007i</t>
  </si>
  <si>
    <t>-4.00395595555495E-004+1.13842924835459E-004i</t>
  </si>
  <si>
    <t>-6.25896912714264E-005-3.31068693800486E-005i</t>
  </si>
  <si>
    <t>-4.79263233231119E-004-3.40789170535448E-004i</t>
  </si>
  <si>
    <t>-7.39219790950565E-004+9.22152501840325E-004i</t>
  </si>
  <si>
    <t>2.26172192489533E-004+1.01177902591759E-003i</t>
  </si>
  <si>
    <t>-4.25184131051313E-004+1.23108739610332E-003i</t>
  </si>
  <si>
    <t>-1.14492298271675E-003+1.38754582003472E-003i</t>
  </si>
  <si>
    <t>-2.29512339041312E-003-1.85663533697578E-003i</t>
  </si>
  <si>
    <t>8.63709084165411E-004-2.52057563584174E-003i</t>
  </si>
  <si>
    <t>2.55783053692864E-003+1.95258805645636E-004i</t>
  </si>
  <si>
    <t>2.93864496810118E-003-2.98636041874686E-004i</t>
  </si>
  <si>
    <t>-4.15355972950269E-003-9.94505239112637E-004i</t>
  </si>
  <si>
    <t>-2.22820524657276E-003-1.51026915991343E-003i</t>
  </si>
  <si>
    <t>-1.85891714526014E-004-7.86464976354025E-004i</t>
  </si>
  <si>
    <t>-1.54482188234328E-003-3.50860368931998E-003i</t>
  </si>
  <si>
    <t>-2.08347014083657E-003-1.14811585421748E-003i</t>
  </si>
  <si>
    <t>-1.92694809308913E-003-6.55279853330221E-004i</t>
  </si>
  <si>
    <t>6.47081739215502E-004-1.36750692116645E-003i</t>
  </si>
  <si>
    <t>-1.83609595002423E-003+3.20326895392832E-004i</t>
  </si>
  <si>
    <t>-1.77791243668616E-003+2.57209680761456E-004i</t>
  </si>
  <si>
    <t>-1.20458875856939E-003+1.54597155722654E-004i</t>
  </si>
  <si>
    <t>-6.5593785574914E-004-4.28351754444397E-004i</t>
  </si>
  <si>
    <t>-8.50128184850232E-004-3.65849695188665E-004i</t>
  </si>
  <si>
    <t>-1.05009406602702E-003-3.93582214742317E-004i</t>
  </si>
  <si>
    <t>-5.96659807548452E-004+7.53316606166156E-005i</t>
  </si>
  <si>
    <t>-3.40327567542078E-003-1.9326040236722E-003i</t>
  </si>
  <si>
    <t>-2.07496119092263E-003+2.09602817872937E-004i</t>
  </si>
  <si>
    <t>-1.63862709473369E-003-1.47901379165718E-003i</t>
  </si>
  <si>
    <t>-3.66867867272349E-004-1.83548228349028E-003i</t>
  </si>
  <si>
    <t>-2.80304072594083E-003-6.9868970429419E-004i</t>
  </si>
  <si>
    <t>1.12964903241903E-003-3.27726698038545E-003i</t>
  </si>
  <si>
    <t>6.71293084531831E-004+2.25903346705259E-004i</t>
  </si>
  <si>
    <t>-8.9508974561431E-004+8.58167183080707E-004i</t>
  </si>
  <si>
    <t>-1.9552078528681E-003-3.33691350205542E-003i</t>
  </si>
  <si>
    <t>-2.33128995827969E-003-1.68706613761332E-003i</t>
  </si>
  <si>
    <t>-4.77418126581611E-003-2.2509822107336E-003i</t>
  </si>
  <si>
    <t>1.88620644276174E-003+6.73895280989261E-004i</t>
  </si>
  <si>
    <t>1.17766910449986E-003+9.89390139294878E-004i</t>
  </si>
  <si>
    <t>-2.42908599977257E-003-3.07429512003377E-003i</t>
  </si>
  <si>
    <t>-2.42708308156264E-003+6.16995444362271E-004i</t>
  </si>
  <si>
    <t>-1.0382149479717E-004-1.76049502861248E-003i</t>
  </si>
  <si>
    <t>2.66612863233365E-004+1.98515537509017E-004i</t>
  </si>
  <si>
    <t>-2.37653500198691E-003+1.28315250057884E-003i</t>
  </si>
  <si>
    <t>-1.27360983310384E-003+7.26630015168345E-005i</t>
  </si>
  <si>
    <t>1.19693681725555E-004+5.67470345986216E-004i</t>
  </si>
  <si>
    <t>-4.56646555779772E-004-1.73015454181102E-005i</t>
  </si>
  <si>
    <t>-3.75695455928843E-004-8.88957791356471E-005i</t>
  </si>
  <si>
    <t>-4.57366775650807E-004+8.97334991258541E-004i</t>
  </si>
  <si>
    <t>-1.70232419185587E-003+4.47002373136888E-004i</t>
  </si>
  <si>
    <t>-2.20112681603783E-003-2.31081486707484E-003i</t>
  </si>
  <si>
    <t>7.3586465112426E-004-1.68718459491651E-003i</t>
  </si>
  <si>
    <t>-2.16945172390518E-003-2.09419170935041E-004i</t>
  </si>
  <si>
    <t>-2.52719885025974E-003+3.82437982818343E-003i</t>
  </si>
  <si>
    <t>-4.53849430589831E-003-2.8394059742385E-003i</t>
  </si>
  <si>
    <t>2.69893975389973E-003+2.10140421142159E-003i</t>
  </si>
  <si>
    <t>6.34235767750797E-004-4.43803655978451E-003i</t>
  </si>
  <si>
    <t>2.16285223272304E-003-2.53272719159403E-003i</t>
  </si>
  <si>
    <t>2.3389994119405E-003+4.73666635670244E-004i</t>
  </si>
  <si>
    <t>-4.50460132576632E-003+1.05804038068815E-003i</t>
  </si>
  <si>
    <t>1.21925772083597E-003-5.24453195272949E-004i</t>
  </si>
  <si>
    <t>3.6231443877012E-003-2.06045572050339E-003i</t>
  </si>
  <si>
    <t>-2.46719242552819E-003-2.57787007774187E-003i</t>
  </si>
  <si>
    <t>3.04738671556224E-003-3.66445035599786E-003i</t>
  </si>
  <si>
    <t>1.89348931867202E-003+1.96084520025193E-003i</t>
  </si>
  <si>
    <t>-1.65696306193941E-003-2.16126744293411E-003i</t>
  </si>
  <si>
    <t>7.73400519156998E-004-3.89461810020508E-003i</t>
  </si>
  <si>
    <t>-8.1447777072429E-004-6.5660445278036E-004i</t>
  </si>
  <si>
    <t>-1.75037117407491E-003-8.95582112319544E-004i</t>
  </si>
  <si>
    <t>-3.62293553183902E-004-1.04003597262589E-003i</t>
  </si>
  <si>
    <t>4.12058699389472E-006-9.40484974224372E-004i</t>
  </si>
  <si>
    <t>-3.95206127968519E-004-1.38961261668303E-003i</t>
  </si>
  <si>
    <t>-5.4905049803423E-004-1.24774528155107E-003i</t>
  </si>
  <si>
    <t>-9.14953359841174E-004+2.25681224842307E-004i</t>
  </si>
  <si>
    <t>-1.87862772826659E-003-8.36379293602464E-004i</t>
  </si>
  <si>
    <t>9.3068139668341E-004-2.31263245474197E-003i</t>
  </si>
  <si>
    <t>9.10765586692818E-004-3.05218106050699E-003i</t>
  </si>
  <si>
    <t>2.94856530978059E-003-7.01397364095804E-003i</t>
  </si>
  <si>
    <t>1.86813175524959E-003+4.75529993676652E-003i</t>
  </si>
  <si>
    <t>-2.52203640621267E-003-6.30719311644255E-004i</t>
  </si>
  <si>
    <t>1.93949409337346E-003-2.66772433441188E-003i</t>
  </si>
  <si>
    <t>-1.29210294247006E-003-7.04754116467296E-003i</t>
  </si>
  <si>
    <t>-2.44816961108241E-003-1.36143215596544E-002i</t>
  </si>
  <si>
    <t>4.34457394460773E-003-8.25841811371919E-003i</t>
  </si>
  <si>
    <t>-1.09312134994341E-002+9.18188939025186E-004i</t>
  </si>
  <si>
    <t>-1.03836934693014E-002+1.46009136744634E-003i</t>
  </si>
  <si>
    <t>1.45060275606973E-003-9.74661440937328E-004i</t>
  </si>
  <si>
    <t>6.2916771399971E-003-2.26867625658941E-003i</t>
  </si>
  <si>
    <t>-4.1292408531696E-004-7.73399949780737E-003i</t>
  </si>
  <si>
    <t>2.73572673193361E-003-1.9911916281655E-003i</t>
  </si>
  <si>
    <t>1.37844974835146E-004-1.9315992986248E-003i</t>
  </si>
  <si>
    <t>-1.76083292376385E-004-6.36327873022019E-003i</t>
  </si>
  <si>
    <t>1.39599392980747E-003-4.9030111913562E-003i</t>
  </si>
  <si>
    <t>9.44896887975478E-004-3.90741923144852E-003i</t>
  </si>
  <si>
    <t>6.53666286386729E-004-6.08121640100538E-003i</t>
  </si>
  <si>
    <t>2.17800152431893E-003-3.34670624363299E-003i</t>
  </si>
  <si>
    <t>1.01453079454E-002-2.03708083186225E-003i</t>
  </si>
  <si>
    <t>1.42067991305016E-003-1.76459315105126E-002i</t>
  </si>
  <si>
    <t>9.34404780745662E-004+3.01954402403911E-003i</t>
  </si>
  <si>
    <t>-1.25460029445709E-002-6.29759886462152E-003i</t>
  </si>
  <si>
    <t>-1.21991219679337E-002-8.49444600471672E-003i</t>
  </si>
  <si>
    <t>1.53161700423377E-002-4.95472707744253E-003i</t>
  </si>
  <si>
    <t>1.69568587687876E-003+8.35069886117923E-003i</t>
  </si>
  <si>
    <t>-1.99622532589678E-002+2.96755838458616E-003i</t>
  </si>
  <si>
    <t>9.07913343803481E-003-2.83913432932012E-002i</t>
  </si>
  <si>
    <t>4.21654909887857E-002-8.46625017693271E-003i</t>
  </si>
  <si>
    <t>-9.98982926650675E-004-3.87087810129012E-003i</t>
  </si>
  <si>
    <t>-2.90790983538413E-002-4.79391340273088E-002i</t>
  </si>
  <si>
    <t>-2.88521389171618E-003-1.95128525769475E-002i</t>
  </si>
  <si>
    <t>3.17144280669421E-002-2.36793485961271E-002i</t>
  </si>
  <si>
    <t>2.15747097835495E-002-4.37757924680052E-005i</t>
  </si>
  <si>
    <t>-3.79676013845377E-002-8.80790391134055E-003i</t>
  </si>
  <si>
    <t>-7.08491719813647E-003-3.27871477092262E-002i</t>
  </si>
  <si>
    <t>-9.00322858735561E-003-5.65819516011941E-002i</t>
  </si>
  <si>
    <t>-1.95601349319941E-002-5.46763181680769E-002i</t>
  </si>
  <si>
    <t>5.22377522946289E-003+5.07340756165343E-003i</t>
  </si>
  <si>
    <t>-1.76581176792301E-002-9.65454930717025E-003i</t>
  </si>
  <si>
    <t>-5.19111111697018E-002+4.85704944173029E-002i</t>
  </si>
  <si>
    <t>-1.85137920068707E-002+4.33769368772209E-002i</t>
  </si>
  <si>
    <t>4.78433493633314E-003+3.00937699020715E-002i</t>
  </si>
  <si>
    <t>-1.97981745722552E-002+2.22000294805864E-002i</t>
  </si>
  <si>
    <t>4.90189191728523E-002-1.56033784478917E-002i</t>
  </si>
  <si>
    <t>3.35851034110579E-002+2.71246141889548E-002i</t>
  </si>
  <si>
    <t>-5.04898380074979E-003+2.85259765477417E-002i</t>
  </si>
  <si>
    <t>-1.37673139033324E-002+3.21493742137129E-002i</t>
  </si>
  <si>
    <t>-1.74756572191734E-003+3.95189221306288E-003i</t>
  </si>
  <si>
    <t>2.52262189136951E-002-2.22542683313729E-005i</t>
  </si>
  <si>
    <t>-7.00796155696173E-003+3.95302800231701E-002i</t>
  </si>
  <si>
    <t>-2.92567473606256E-002-8.50223976000117E-003i</t>
  </si>
  <si>
    <t>1.78260749654484E-003+4.56439233321701E-003i</t>
  </si>
  <si>
    <t>1.62445740586774E-002+8.32773964025212E-003i</t>
  </si>
  <si>
    <t>2.28364704436014E-004+8.26991578036659E-003i</t>
  </si>
  <si>
    <t>-1.43633501319082E-002+1.11638171700543E-002i</t>
  </si>
  <si>
    <t>-2.55228382293257E-003+1.82100370575812E-003i</t>
  </si>
  <si>
    <t>3.11386724790782E-003+2.00939116755131E-002i</t>
  </si>
  <si>
    <t>5.82559358304232E-003+8.55885125846578E-003i</t>
  </si>
  <si>
    <t>-3.69310009037701E-003+5.57496944663232E-003i</t>
  </si>
  <si>
    <t>-1.203171730238E-003+7.29925850891488E-003i</t>
  </si>
  <si>
    <t>5.97411311798559E-005+5.35580563106529E-003i</t>
  </si>
  <si>
    <t>-3.27185354871564E-004+5.90314671924717E-003i</t>
  </si>
  <si>
    <t>-3.0757093603645E-003+6.34623866571247E-003i</t>
  </si>
  <si>
    <t>4.18809866283863E-004+5.56591444708038E-003i</t>
  </si>
  <si>
    <t>5.11804645292955E-003+2.83040929868566E-003i</t>
  </si>
  <si>
    <t>-4.50676604809317E-003+8.90082674484387E-003i</t>
  </si>
  <si>
    <t>9.32860227224438E-003+1.23567666209188E-003i</t>
  </si>
  <si>
    <t>7.72540718927223E-003-1.58679167888124E-003i</t>
  </si>
  <si>
    <t>-8.78874433488032E-003+5.13473985386396E-004i</t>
  </si>
  <si>
    <t>-6.74317851924735E-003-6.19539566822012E-003i</t>
  </si>
  <si>
    <t>-2.7551320391442E-003+9.14610920662045E-003i</t>
  </si>
  <si>
    <t>-7.46042779044543E-003+1.17227200194267E-002i</t>
  </si>
  <si>
    <t>1.39199751567804E-003+3.01072572664847E-003i</t>
  </si>
  <si>
    <t>8.15141554449444E-003+6.87002029446715E-003i</t>
  </si>
  <si>
    <t>-1.56603620551572E-003+8.08277372269276E-004i</t>
  </si>
  <si>
    <t>2.89600713990109E-003-3.50877658669381E-003i</t>
  </si>
  <si>
    <t>-1.92834559500716E-003+4.56652408888625E-003i</t>
  </si>
  <si>
    <t>-1.65129902675558E-003+2.08968674257068E-003i</t>
  </si>
  <si>
    <t>-2.00252659419926E-003-2.99481135870584E-004i</t>
  </si>
  <si>
    <t>-1.45805651471407E-003+4.57594221656393E-003i</t>
  </si>
  <si>
    <t>2.13369421554742E-004+3.42934706906236E-003i</t>
  </si>
  <si>
    <t>-8.09238809418252E-004+1.71188529741622E-003i</t>
  </si>
  <si>
    <t>-1.42405248405326E-003+1.04240001392306E-003i</t>
  </si>
  <si>
    <t>-8.6713240801526E-004+1.46923225701E-003i</t>
  </si>
  <si>
    <t>-8.41438142246716E-004+1.39639206631621E-003i</t>
  </si>
  <si>
    <t>-2.11975360787492E-003+1.50446846927524E-003i</t>
  </si>
  <si>
    <t>-2.85115539907132E-004+1.33963713513259E-003i</t>
  </si>
  <si>
    <t>-3.41900218911089E-004+3.41352223514745E-003i</t>
  </si>
  <si>
    <t>-2.7090189366265E-003+1.13039981855728E-003i</t>
  </si>
  <si>
    <t>2.96908311937311E-004+1.10264079672969E-003i</t>
  </si>
  <si>
    <t>3.1793564505987E-003+3.33190861762045E-003i</t>
  </si>
  <si>
    <t>-4.19870798289086E-004+2.32085822587428E-003i</t>
  </si>
  <si>
    <t>-1.8126323209352E-003+1.09628259495413E-003i</t>
  </si>
  <si>
    <t>-4.35264190479856E-003-6.74334808953472E-004i</t>
  </si>
  <si>
    <t>-1.30087470231194E-003-4.73921914626642E-004i</t>
  </si>
  <si>
    <t>-9.81770107050684E-006-1.88529627548072E-003i</t>
  </si>
  <si>
    <t>-1.65653581364773E-003+5.31051989718858E-003i</t>
  </si>
  <si>
    <t>-3.00959346106682E-003+3.04210168728408E-003i</t>
  </si>
  <si>
    <t>1.89660337498051E-003-1.03989054550116E-003i</t>
  </si>
  <si>
    <t>7.73980492233904E-005+1.423006254855E-003i</t>
  </si>
  <si>
    <t>7.49709308713105E-004+2.08232511175169E-003i</t>
  </si>
  <si>
    <t>-7.19389045012104E-004+2.78055990431646E-003i</t>
  </si>
  <si>
    <t>-1.88805049620802E-003+1.51271250904748E-003i</t>
  </si>
  <si>
    <t>-5.66031496935404E-004+2.93384362671404E-003i</t>
  </si>
  <si>
    <t>-1.58110819795096E-003+8.96804610784023E-004i</t>
  </si>
  <si>
    <t>2.27187455030971E-004+3.08221361334849E-004i</t>
  </si>
  <si>
    <t>-6.09965920581196E-004+1.16299899201396E-003i</t>
  </si>
  <si>
    <t>-8.07031642680052E-004+9.67517265728448E-004i</t>
  </si>
  <si>
    <t>-4.06083574711819E-004+8.05253039597679E-004i</t>
  </si>
  <si>
    <t>-1.28378999893022E-003+2.736718070243E-004i</t>
  </si>
  <si>
    <t>-1.29048097998663E-003+3.44538023815255E-004i</t>
  </si>
  <si>
    <t>-1.50804758248643E-003+1.53069506265593E-003i</t>
  </si>
  <si>
    <t>-1.48969111907488E-003+2.84562760298786E-003i</t>
  </si>
  <si>
    <t>-1.00864825526205E-003+1.98189262523376E-003i</t>
  </si>
  <si>
    <t>8.81030099882086E-004+1.11691851295116E-003i</t>
  </si>
  <si>
    <t>-6.1973492233491E-004+2.26025695524315E-003i</t>
  </si>
  <si>
    <t>2.76546844698474E-003+1.00421548083777E-003i</t>
  </si>
  <si>
    <t>-6.13317660903006E-004+2.3562213932703E-003i</t>
  </si>
  <si>
    <t>-3.38254991071194E-003+4.79922852541722E-006i</t>
  </si>
  <si>
    <t>-1.27991008267673E-003-1.09219487514304E-004i</t>
  </si>
  <si>
    <t>3.72705687252681E-003+8.99096952501296E-004i</t>
  </si>
  <si>
    <t>8.03939518184522E-004+2.22021829340308E-003i</t>
  </si>
  <si>
    <t>-9.41538800938156E-004+1.98513608796076E-003i</t>
  </si>
  <si>
    <t>-4.68409781822808E-003-2.35488858252138E-004i</t>
  </si>
  <si>
    <t>-1.39794329374423E-003+8.09630807413802E-004i</t>
  </si>
  <si>
    <t>-1.18396804818803E-003+1.78552252151898E-003i</t>
  </si>
  <si>
    <t>-2.14055760386891E-003-1.35878576264273E-003i</t>
  </si>
  <si>
    <t>-3.17917794682799E-003+5.65498027313399E-004i</t>
  </si>
  <si>
    <t>-4.69945489184175E-004-7.38956551381487E-004i</t>
  </si>
  <si>
    <t>-1.41951872041965E-003-3.5055342384821E-005i</t>
  </si>
  <si>
    <t>-8.68599555218559E-004+4.02820827273057E-005i</t>
  </si>
  <si>
    <t>-7.79678014235461E-004-1.15630932493593E-004i</t>
  </si>
  <si>
    <t>-9.07223281474907E-004+3.83830222179224E-004i</t>
  </si>
  <si>
    <t>-1.21051609077415E-003+1.25715151718619E-003i</t>
  </si>
  <si>
    <t>-1.35272630337075E-003-1.46270012812888E-003i</t>
  </si>
  <si>
    <t>-4.57148308563316E-004+9.0081288656936E-004i</t>
  </si>
  <si>
    <t>-1.13581890675471E-003-1.392081303705E-003i</t>
  </si>
  <si>
    <t>-3.70082690621679E-003+9.66143707327808E-004i</t>
  </si>
  <si>
    <t>-2.20656702889236E-003-3.58070056082146E-004i</t>
  </si>
  <si>
    <t>7.91506519401395E-004+7.74759702836036E-004i</t>
  </si>
  <si>
    <t>-9.05590325845544E-004+1.7221320963458E-003i</t>
  </si>
  <si>
    <t>-3.4498207810637E-003-2.24592019716652E-003i</t>
  </si>
  <si>
    <t>-9.61823840347218E-004+1.16019406934374E-003i</t>
  </si>
  <si>
    <t>-2.0216440909052E-003-1.47121695746408E-004i</t>
  </si>
  <si>
    <t>-3.24728938030883E-003-1.73807247924218E-003i</t>
  </si>
  <si>
    <t>-9.15512210821112E-004+3.49290136968113E-004i</t>
  </si>
  <si>
    <t>-1.0138059478491E-003-1.34289254276289E-004i</t>
  </si>
  <si>
    <t>-1.35479592836228E-003+1.50537390877818E-003i</t>
  </si>
  <si>
    <t>-2.34340910997268E-004+2.0324915068778E-003i</t>
  </si>
  <si>
    <t>-1.79546165977537E-003+1.5882912891787E-003i</t>
  </si>
  <si>
    <t>-2.05373246290805E-003+8.84619813418953E-004i</t>
  </si>
  <si>
    <t>-1.36238560847068E-003+1.13583853053344E-003i</t>
  </si>
  <si>
    <t>-9.38154284972494E-004+5.52624900580114E-004i</t>
  </si>
  <si>
    <t>-1.00486296820856E-003+1.582231793857E-004i</t>
  </si>
  <si>
    <t>-1.09687304699312E-003+3.16798127754647E-004i</t>
  </si>
  <si>
    <t>-6.73249195131113E-004+1.33974094338782E-004i</t>
  </si>
  <si>
    <t>-1.43832426746398E-003-2.76581535621094E-004i</t>
  </si>
  <si>
    <t>-1.00227510607404E-003+4.19228174966844E-004i</t>
  </si>
  <si>
    <t>-1.40371643183195E-003+9.75539958559292E-005i</t>
  </si>
  <si>
    <t>-9.91742008753654E-005+1.34115343586686E-004i</t>
  </si>
  <si>
    <t>4.35676424188873E-004-6.6088844483405E-004i</t>
  </si>
  <si>
    <t>-3.43152552997083E-003+6.16644164572553E-004i</t>
  </si>
  <si>
    <t>-3.51445087074727E-003-1.04720692564013E-003i</t>
  </si>
  <si>
    <t>-1.47154098234113E-003+5.00593714394756E-004i</t>
  </si>
  <si>
    <t>1.59489499914225E-003+3.2199650486379E-004i</t>
  </si>
  <si>
    <t>-2.42490689329924E-005</t>
  </si>
  <si>
    <t>1.59489499914225E-003-3.21996504863815E-004i</t>
  </si>
  <si>
    <t>-1.47154098234118E-003-5.00593714394773E-004i</t>
  </si>
  <si>
    <t>-3.51445087074731E-003+1.04720692564014E-003i</t>
  </si>
  <si>
    <t>-3.43152552997085E-003-6.16644164572529E-004i</t>
  </si>
  <si>
    <t>4.35676424188859E-004+6.60888444834036E-004i</t>
  </si>
  <si>
    <t>-9.91742008753412E-005-1.3411534358665E-004i</t>
  </si>
  <si>
    <t>-1.40371643183196E-003-9.75539958558945E-005i</t>
  </si>
  <si>
    <t>-1.00227510607406E-003-4.19228174966845E-004i</t>
  </si>
  <si>
    <t>-1.438324267464E-003+2.76581535621101E-004i</t>
  </si>
  <si>
    <t>-6.73249195131118E-004-1.33974094338777E-004i</t>
  </si>
  <si>
    <t>-1.09687304699313E-003-3.16798127754619E-004i</t>
  </si>
  <si>
    <t>-1.00486296820859E-003-1.582231793857E-004i</t>
  </si>
  <si>
    <t>-9.38154284972488E-004-5.52624900580128E-004i</t>
  </si>
  <si>
    <t>-1.36238560847069E-003-1.13583853053343E-003i</t>
  </si>
  <si>
    <t>-2.05373246290805E-003-8.8461981341893E-004i</t>
  </si>
  <si>
    <t>-1.79546165977538E-003-1.58829128917869E-003i</t>
  </si>
  <si>
    <t>-2.34340910997291E-004-2.03249150687781E-003i</t>
  </si>
  <si>
    <t>-1.3547959283623E-003-1.50537390877818E-003i</t>
  </si>
  <si>
    <t>-1.01380594784912E-003+1.34289254276292E-004i</t>
  </si>
  <si>
    <t>-9.15512210821111E-004-3.49290136968097E-004i</t>
  </si>
  <si>
    <t>-3.24728938030883E-003+1.7380724792422E-003i</t>
  </si>
  <si>
    <t>-2.0216440909052E-003+1.47121695746418E-004i</t>
  </si>
  <si>
    <t>-9.6182384034722E-004-1.16019406934374E-003i</t>
  </si>
  <si>
    <t>-3.44982078106369E-003+2.24592019716653E-003i</t>
  </si>
  <si>
    <t>-9.05590325845552E-004-1.72213209634579E-003i</t>
  </si>
  <si>
    <t>7.91506519401373E-004-7.74759702836034E-004i</t>
  </si>
  <si>
    <t>-2.20656702889235E-003+3.58070056082157E-004i</t>
  </si>
  <si>
    <t>-3.7008269062168E-003-9.66143707327781E-004i</t>
  </si>
  <si>
    <t>-1.1358189067547E-003+1.39208130370501E-003i</t>
  </si>
  <si>
    <t>-4.57148308563286E-004-9.00812886569357E-004i</t>
  </si>
  <si>
    <t>-1.35272630337074E-003+1.46270012812888E-003i</t>
  </si>
  <si>
    <t>-1.21051609077415E-003-1.2571515171862E-003i</t>
  </si>
  <si>
    <t>-9.07223281474909E-004-3.83830222179225E-004i</t>
  </si>
  <si>
    <t>-7.79678014235479E-004+1.15630932493582E-004i</t>
  </si>
  <si>
    <t>-8.68599555218579E-004-4.02820827273072E-005i</t>
  </si>
  <si>
    <t>-1.41951872041966E-003+3.50553423848357E-005i</t>
  </si>
  <si>
    <t>-4.69945489184176E-004+7.38956551381494E-004i</t>
  </si>
  <si>
    <t>-3.17917794682798E-003-5.65498027313366E-004i</t>
  </si>
  <si>
    <t>-2.1405576038689E-003+1.35878576264275E-003i</t>
  </si>
  <si>
    <t>-1.18396804818804E-003-1.78552252151898E-003i</t>
  </si>
  <si>
    <t>-1.39794329374424E-003-8.09630807413792E-004i</t>
  </si>
  <si>
    <t>-4.68409781822809E-003+2.35488858252164E-004i</t>
  </si>
  <si>
    <t>-9.41538800938173E-004-1.98513608796075E-003i</t>
  </si>
  <si>
    <t>8.03939518184501E-004-2.22021829340308E-003i</t>
  </si>
  <si>
    <t>3.72705687252682E-003-8.99096952501309E-004i</t>
  </si>
  <si>
    <t>-1.27991008267672E-003+1.09219487514314E-004i</t>
  </si>
  <si>
    <t>-3.38254991071193E-003-4.79922852539673E-006i</t>
  </si>
  <si>
    <t>-6.13317660903012E-004-2.35622139327029E-003i</t>
  </si>
  <si>
    <t>2.76546844698474E-003-1.00421548083778E-003i</t>
  </si>
  <si>
    <t>-6.19734922334929E-004-2.26025695524314E-003i</t>
  </si>
  <si>
    <t>8.81030099882078E-004-1.11691851295119E-003i</t>
  </si>
  <si>
    <t>-1.00864825526204E-003-1.98189262523374E-003i</t>
  </si>
  <si>
    <t>-1.4896911190749E-003-2.84562760298783E-003i</t>
  </si>
  <si>
    <t>-1.50804758248644E-003-1.53069506265592E-003i</t>
  </si>
  <si>
    <t>-1.29048097998661E-003-3.44538023815244E-004i</t>
  </si>
  <si>
    <t>-1.28378999893021E-003-2.73671807024291E-004i</t>
  </si>
  <si>
    <t>-4.06083574711828E-004-8.0525303959765E-004i</t>
  </si>
  <si>
    <t>-8.07031642680095E-004-9.67517265728434E-004i</t>
  </si>
  <si>
    <t>-6.09965920581192E-004-1.16299899201396E-003i</t>
  </si>
  <si>
    <t>2.27187455030971E-004-3.08221361334831E-004i</t>
  </si>
  <si>
    <t>-1.58110819795093E-003-8.96804610784003E-004i</t>
  </si>
  <si>
    <t>-5.66031496935368E-004-2.93384362671403E-003i</t>
  </si>
  <si>
    <t>-1.88805049620803E-003-1.51271250904748E-003i</t>
  </si>
  <si>
    <t>-7.19389045012108E-004-2.78055990431646E-003i</t>
  </si>
  <si>
    <t>7.49709308713111E-004-2.0823251117517E-003i</t>
  </si>
  <si>
    <t>7.73980492233708E-005-1.42300625485505E-003i</t>
  </si>
  <si>
    <t>1.8966033749805E-003+1.03989054550111E-003i</t>
  </si>
  <si>
    <t>-3.00959346106685E-003-3.04210168728407E-003i</t>
  </si>
  <si>
    <t>-1.65653581364776E-003-5.31051989718859E-003i</t>
  </si>
  <si>
    <t>-9.81770107050863E-006+1.88529627548076E-003i</t>
  </si>
  <si>
    <t>-1.30087470231197E-003+4.73921914626653E-004i</t>
  </si>
  <si>
    <t>-4.35264190479857E-003+6.7433480895347E-004i</t>
  </si>
  <si>
    <t>-1.81263232093521E-003-1.09628259495413E-003i</t>
  </si>
  <si>
    <t>-4.19870798289106E-004-2.32085822587428E-003i</t>
  </si>
  <si>
    <t>3.17935645059867E-003-3.33190861762046E-003i</t>
  </si>
  <si>
    <t>2.96908311937288E-004-1.10264079672971E-003i</t>
  </si>
  <si>
    <t>-2.70901893662648E-003-1.13039981855726E-003i</t>
  </si>
  <si>
    <t>-3.419002189111E-004-3.41352223514745E-003i</t>
  </si>
  <si>
    <t>-2.8511553990714E-004-1.33963713513259E-003i</t>
  </si>
  <si>
    <t>-2.11975360787493E-003-1.50446846927524E-003i</t>
  </si>
  <si>
    <t>-8.41438142246718E-004-1.39639206631621E-003i</t>
  </si>
  <si>
    <t>-8.6713240801527E-004-1.46923225701001E-003i</t>
  </si>
  <si>
    <t>-1.42405248405326E-003-1.04240001392307E-003i</t>
  </si>
  <si>
    <t>-8.09238809418263E-004-1.71188529741619E-003i</t>
  </si>
  <si>
    <t>2.13369421554706E-004-3.42934706906237E-003i</t>
  </si>
  <si>
    <t>-1.45805651471409E-003-4.57594221656393E-003i</t>
  </si>
  <si>
    <t>-2.00252659419925E-003+2.99481135870605E-004i</t>
  </si>
  <si>
    <t>-1.65129902675558E-003-2.08968674257066E-003i</t>
  </si>
  <si>
    <t>-1.9283455950072E-003-4.56652408888623E-003i</t>
  </si>
  <si>
    <t>2.89600713990107E-003+3.50877658669379E-003i</t>
  </si>
  <si>
    <t>-1.56603620551572E-003-8.08277372269262E-004i</t>
  </si>
  <si>
    <t>8.15141554449441E-003-6.87002029446717E-003i</t>
  </si>
  <si>
    <t>1.39199751567804E-003-3.01072572664845E-003i</t>
  </si>
  <si>
    <t>-7.46042779044546E-003-1.17227200194266E-002i</t>
  </si>
  <si>
    <t>-2.75513203914424E-003-9.14610920662045E-003i</t>
  </si>
  <si>
    <t>-6.74317851924734E-003+6.19539566822013E-003i</t>
  </si>
  <si>
    <t>-8.78874433488032E-003-5.13473985386353E-004i</t>
  </si>
  <si>
    <t>7.72540718927224E-003+1.58679167888115E-003i</t>
  </si>
  <si>
    <t>9.32860227224438E-003-1.23567666209197E-003i</t>
  </si>
  <si>
    <t>-4.50676604809322E-003-8.90082674484387E-003i</t>
  </si>
  <si>
    <t>5.11804645292954E-003-2.8304092986857E-003i</t>
  </si>
  <si>
    <t>4.18809866283822E-004-5.56591444708036E-003i</t>
  </si>
  <si>
    <t>-3.07570936036454E-003-6.34623866571246E-003i</t>
  </si>
  <si>
    <t>-3.27185354871587E-004-5.90314671924718E-003i</t>
  </si>
  <si>
    <t>5.97411311798164E-005-5.35580563106529E-003i</t>
  </si>
  <si>
    <t>-1.20317173023804E-003-7.29925850891489E-003i</t>
  </si>
  <si>
    <t>-3.69310009037702E-003-5.5749694466323E-003i</t>
  </si>
  <si>
    <t>5.82559358304228E-003-8.55885125846582E-003i</t>
  </si>
  <si>
    <t>3.11386724790773E-003-2.00939116755131E-002i</t>
  </si>
  <si>
    <t>-2.55228382293257E-003-1.82100370575812E-003i</t>
  </si>
  <si>
    <t>-1.43633501319082E-002-1.11638171700542E-002i</t>
  </si>
  <si>
    <t>2.28364704435987E-004-8.2699157803666E-003i</t>
  </si>
  <si>
    <t>1.62445740586774E-002-8.32773964025224E-003i</t>
  </si>
  <si>
    <t>1.78260749654482E-003-4.56439233321705E-003i</t>
  </si>
  <si>
    <t>-2.92567473606255E-002+8.50223976000131E-003i</t>
  </si>
  <si>
    <t>-7.0079615569619E-003-3.95302800231701E-002i</t>
  </si>
  <si>
    <t>2.52262189136951E-002+2.22542683312353E-005i</t>
  </si>
  <si>
    <t>-1.74756572191737E-003-3.95189221306288E-003i</t>
  </si>
  <si>
    <t>-1.37673139033326E-002-3.21493742137129E-002i</t>
  </si>
  <si>
    <t>-5.04898380074988E-003-2.85259765477417E-002i</t>
  </si>
  <si>
    <t>3.35851034110578E-002-2.71246141889551E-002i</t>
  </si>
  <si>
    <t>4.90189191728524E-002+1.56033784478915E-002i</t>
  </si>
  <si>
    <t>-1.97981745722553E-002-2.22000294805864E-002i</t>
  </si>
  <si>
    <t>4.78433493633301E-003-3.00937699020716E-002i</t>
  </si>
  <si>
    <t>-1.85137920068709E-002-4.33769368772209E-002i</t>
  </si>
  <si>
    <t>-5.1911111169702E-002-4.85704944173027E-002i</t>
  </si>
  <si>
    <t>-1.76581176792301E-002+9.65454930717023E-003i</t>
  </si>
</sst>
</file>

<file path=xl/styles.xml><?xml version="1.0" encoding="utf-8"?>
<styleSheet xmlns="http://schemas.openxmlformats.org/spreadsheetml/2006/main">
  <numFmts count="5">
    <numFmt numFmtId="164" formatCode="0.0%"/>
    <numFmt numFmtId="165" formatCode="0.0000"/>
    <numFmt numFmtId="166" formatCode="0.0"/>
    <numFmt numFmtId="167" formatCode="0.000"/>
    <numFmt numFmtId="168" formatCode="0.000%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u/>
      <sz val="11"/>
      <color theme="1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gray0625">
        <bgColor rgb="FFFFFF00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30">
    <xf numFmtId="0" fontId="0" fillId="0" borderId="0" xfId="0"/>
    <xf numFmtId="0" fontId="0" fillId="0" borderId="14" xfId="0" applyBorder="1"/>
    <xf numFmtId="0" fontId="0" fillId="0" borderId="16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4" fontId="0" fillId="4" borderId="20" xfId="0" applyNumberForma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 wrapText="1"/>
    </xf>
    <xf numFmtId="0" fontId="0" fillId="7" borderId="0" xfId="0" applyFill="1" applyBorder="1" applyAlignment="1">
      <alignment horizontal="center" vertical="center"/>
    </xf>
    <xf numFmtId="166" fontId="0" fillId="7" borderId="0" xfId="0" applyNumberFormat="1" applyFill="1" applyBorder="1" applyAlignment="1">
      <alignment horizontal="center" vertical="center"/>
    </xf>
    <xf numFmtId="166" fontId="0" fillId="7" borderId="2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166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6" fontId="0" fillId="4" borderId="20" xfId="0" applyNumberFormat="1" applyFill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/>
    <xf numFmtId="0" fontId="0" fillId="0" borderId="20" xfId="0" applyBorder="1"/>
    <xf numFmtId="0" fontId="0" fillId="0" borderId="0" xfId="0" applyAlignment="1"/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166" fontId="0" fillId="0" borderId="35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64" fontId="11" fillId="0" borderId="0" xfId="0" applyNumberFormat="1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8" borderId="2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0" borderId="16" xfId="0" applyNumberFormat="1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168" fontId="0" fillId="0" borderId="0" xfId="0" applyNumberFormat="1" applyBorder="1" applyAlignment="1">
      <alignment vertical="center"/>
    </xf>
    <xf numFmtId="0" fontId="1" fillId="8" borderId="16" xfId="0" applyFont="1" applyFill="1" applyBorder="1" applyAlignment="1">
      <alignment horizontal="center" vertical="center"/>
    </xf>
    <xf numFmtId="1" fontId="0" fillId="6" borderId="16" xfId="0" applyNumberForma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168" fontId="0" fillId="0" borderId="15" xfId="0" applyNumberFormat="1" applyBorder="1" applyAlignment="1">
      <alignment vertical="center"/>
    </xf>
    <xf numFmtId="168" fontId="0" fillId="0" borderId="16" xfId="0" applyNumberFormat="1" applyBorder="1" applyAlignment="1">
      <alignment vertical="center"/>
    </xf>
    <xf numFmtId="1" fontId="0" fillId="0" borderId="13" xfId="0" applyNumberFormat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0" borderId="15" xfId="0" applyBorder="1"/>
    <xf numFmtId="0" fontId="1" fillId="9" borderId="0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6" fontId="1" fillId="8" borderId="0" xfId="0" applyNumberFormat="1" applyFont="1" applyFill="1" applyBorder="1" applyAlignment="1">
      <alignment horizontal="center" vertical="center"/>
    </xf>
    <xf numFmtId="166" fontId="1" fillId="8" borderId="20" xfId="0" applyNumberFormat="1" applyFont="1" applyFill="1" applyBorder="1" applyAlignment="1">
      <alignment horizontal="center" vertical="center"/>
    </xf>
    <xf numFmtId="1" fontId="1" fillId="8" borderId="0" xfId="0" applyNumberFormat="1" applyFont="1" applyFill="1" applyBorder="1" applyAlignment="1">
      <alignment horizontal="center" vertical="center"/>
    </xf>
    <xf numFmtId="1" fontId="1" fillId="8" borderId="20" xfId="0" applyNumberFormat="1" applyFont="1" applyFill="1" applyBorder="1" applyAlignment="1">
      <alignment horizontal="center" vertical="center"/>
    </xf>
    <xf numFmtId="164" fontId="1" fillId="8" borderId="0" xfId="0" applyNumberFormat="1" applyFont="1" applyFill="1" applyBorder="1" applyAlignment="1">
      <alignment horizontal="center" vertical="center"/>
    </xf>
    <xf numFmtId="164" fontId="1" fillId="8" borderId="2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6" xfId="0" applyFill="1" applyBorder="1" applyAlignment="1">
      <alignment horizontal="center" vertical="center"/>
    </xf>
    <xf numFmtId="2" fontId="0" fillId="0" borderId="16" xfId="0" applyNumberFormat="1" applyBorder="1" applyAlignment="1">
      <alignment vertical="center" wrapText="1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2" xfId="0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4" xfId="0" applyFill="1" applyBorder="1" applyAlignment="1">
      <alignment horizontal="center" vertical="center"/>
    </xf>
    <xf numFmtId="0" fontId="0" fillId="0" borderId="25" xfId="0" applyBorder="1"/>
    <xf numFmtId="0" fontId="0" fillId="0" borderId="25" xfId="0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/>
    </xf>
    <xf numFmtId="11" fontId="0" fillId="0" borderId="0" xfId="0" applyNumberFormat="1" applyBorder="1" applyAlignment="1">
      <alignment horizontal="center" vertical="center"/>
    </xf>
    <xf numFmtId="11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4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1" fillId="0" borderId="17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1" fillId="0" borderId="15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0" fillId="0" borderId="16" xfId="0" applyBorder="1" applyAlignment="1">
      <alignment vertical="center"/>
    </xf>
    <xf numFmtId="0" fontId="1" fillId="0" borderId="13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166" fontId="0" fillId="5" borderId="6" xfId="0" applyNumberFormat="1" applyFont="1" applyFill="1" applyBorder="1" applyAlignment="1">
      <alignment horizontal="center" vertical="center"/>
    </xf>
    <xf numFmtId="166" fontId="0" fillId="5" borderId="10" xfId="0" applyNumberFormat="1" applyFon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6" fontId="0" fillId="5" borderId="10" xfId="0" applyNumberFormat="1" applyFill="1" applyBorder="1" applyAlignment="1">
      <alignment horizontal="center" vertical="center"/>
    </xf>
    <xf numFmtId="166" fontId="1" fillId="8" borderId="6" xfId="0" applyNumberFormat="1" applyFont="1" applyFill="1" applyBorder="1" applyAlignment="1">
      <alignment horizontal="center" vertical="center"/>
    </xf>
    <xf numFmtId="166" fontId="0" fillId="5" borderId="39" xfId="0" applyNumberFormat="1" applyFill="1" applyBorder="1" applyAlignment="1">
      <alignment horizontal="center" vertical="center"/>
    </xf>
    <xf numFmtId="166" fontId="0" fillId="5" borderId="44" xfId="0" applyNumberFormat="1" applyFill="1" applyBorder="1" applyAlignment="1">
      <alignment horizontal="center" vertical="center"/>
    </xf>
    <xf numFmtId="166" fontId="0" fillId="5" borderId="42" xfId="0" applyNumberFormat="1" applyFill="1" applyBorder="1" applyAlignment="1">
      <alignment horizontal="center" vertical="center"/>
    </xf>
    <xf numFmtId="0" fontId="1" fillId="0" borderId="18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8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6" fillId="0" borderId="17" xfId="0" applyFont="1" applyBorder="1" applyAlignment="1">
      <alignment horizontal="left" vertical="center" wrapText="1"/>
    </xf>
    <xf numFmtId="0" fontId="1" fillId="0" borderId="19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8" fillId="0" borderId="28" xfId="0" applyFont="1" applyBorder="1" applyAlignment="1">
      <alignment horizontal="left" vertical="top"/>
    </xf>
    <xf numFmtId="0" fontId="8" fillId="0" borderId="26" xfId="0" applyFont="1" applyBorder="1" applyAlignment="1">
      <alignment horizontal="left" vertical="top"/>
    </xf>
    <xf numFmtId="0" fontId="2" fillId="0" borderId="1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0" fillId="2" borderId="0" xfId="0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4" borderId="25" xfId="0" applyFill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9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9" fillId="0" borderId="0" xfId="1" applyAlignment="1" applyProtection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" fillId="0" borderId="17" xfId="0" applyNumberFormat="1" applyFont="1" applyBorder="1" applyAlignment="1">
      <alignment horizontal="left" vertical="center" wrapText="1"/>
    </xf>
    <xf numFmtId="2" fontId="1" fillId="0" borderId="19" xfId="0" applyNumberFormat="1" applyFont="1" applyBorder="1" applyAlignment="1">
      <alignment horizontal="left" vertical="center" wrapText="1"/>
    </xf>
    <xf numFmtId="2" fontId="1" fillId="0" borderId="18" xfId="0" applyNumberFormat="1" applyFont="1" applyBorder="1" applyAlignment="1">
      <alignment horizontal="left" vertical="center" wrapText="1"/>
    </xf>
    <xf numFmtId="2" fontId="1" fillId="0" borderId="13" xfId="0" applyNumberFormat="1" applyFont="1" applyBorder="1" applyAlignment="1">
      <alignment horizontal="left" vertical="center" wrapText="1"/>
    </xf>
    <xf numFmtId="2" fontId="1" fillId="0" borderId="20" xfId="0" applyNumberFormat="1" applyFont="1" applyBorder="1" applyAlignment="1">
      <alignment horizontal="left" vertical="center" wrapText="1"/>
    </xf>
    <xf numFmtId="2" fontId="1" fillId="0" borderId="14" xfId="0" applyNumberFormat="1" applyFont="1" applyBorder="1" applyAlignment="1">
      <alignment horizontal="left" vertical="center" wrapText="1"/>
    </xf>
    <xf numFmtId="0" fontId="8" fillId="0" borderId="28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'EVB CCT Cal'!$X$3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pPr>
              <a:solidFill>
                <a:srgbClr val="C00000"/>
              </a:solidFill>
            </c:spPr>
          </c:marker>
          <c:xVal>
            <c:numRef>
              <c:f>'EVB CCT Cal'!$W$4:$W$8</c:f>
              <c:numCache>
                <c:formatCode>General</c:formatCode>
                <c:ptCount val="5"/>
                <c:pt idx="0">
                  <c:v>0</c:v>
                </c:pt>
                <c:pt idx="1">
                  <c:v>26</c:v>
                </c:pt>
                <c:pt idx="2">
                  <c:v>25</c:v>
                </c:pt>
                <c:pt idx="3" formatCode="0.0">
                  <c:v>21.155884873842233</c:v>
                </c:pt>
                <c:pt idx="4" formatCode="0.0">
                  <c:v>22.125689615658576</c:v>
                </c:pt>
              </c:numCache>
            </c:numRef>
          </c:xVal>
          <c:yVal>
            <c:numRef>
              <c:f>'EVB CCT Cal'!$X$4:$X$8</c:f>
              <c:numCache>
                <c:formatCode>0</c:formatCode>
                <c:ptCount val="5"/>
                <c:pt idx="0">
                  <c:v>4162</c:v>
                </c:pt>
                <c:pt idx="3">
                  <c:v>135.50138243580159</c:v>
                </c:pt>
              </c:numCache>
            </c:numRef>
          </c:yVal>
        </c:ser>
        <c:ser>
          <c:idx val="1"/>
          <c:order val="1"/>
          <c:tx>
            <c:strRef>
              <c:f>'EVB CCT Cal'!$Y$3</c:f>
              <c:strCache>
                <c:ptCount val="1"/>
                <c:pt idx="0">
                  <c:v>CWF'R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square"/>
            <c:size val="7"/>
            <c:spPr>
              <a:solidFill>
                <a:srgbClr val="C00000"/>
              </a:solidFill>
            </c:spPr>
          </c:marker>
          <c:xVal>
            <c:numRef>
              <c:f>'EVB CCT Cal'!$W$4:$W$8</c:f>
              <c:numCache>
                <c:formatCode>General</c:formatCode>
                <c:ptCount val="5"/>
                <c:pt idx="0">
                  <c:v>0</c:v>
                </c:pt>
                <c:pt idx="1">
                  <c:v>26</c:v>
                </c:pt>
                <c:pt idx="2">
                  <c:v>25</c:v>
                </c:pt>
                <c:pt idx="3" formatCode="0.0">
                  <c:v>21.155884873842233</c:v>
                </c:pt>
                <c:pt idx="4" formatCode="0.0">
                  <c:v>22.125689615658576</c:v>
                </c:pt>
              </c:numCache>
            </c:numRef>
          </c:xVal>
          <c:yVal>
            <c:numRef>
              <c:f>'EVB CCT Cal'!$Y$4:$Y$8</c:f>
              <c:numCache>
                <c:formatCode>0</c:formatCode>
                <c:ptCount val="5"/>
                <c:pt idx="0">
                  <c:v>294.84432922877511</c:v>
                </c:pt>
                <c:pt idx="3">
                  <c:v>111.44255549179238</c:v>
                </c:pt>
              </c:numCache>
            </c:numRef>
          </c:yVal>
        </c:ser>
        <c:ser>
          <c:idx val="2"/>
          <c:order val="2"/>
          <c:tx>
            <c:strRef>
              <c:f>'EVB CCT Cal'!$Z$3</c:f>
              <c:strCache>
                <c:ptCount val="1"/>
                <c:pt idx="0">
                  <c:v>AG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</c:spPr>
          </c:marker>
          <c:xVal>
            <c:numRef>
              <c:f>'EVB CCT Cal'!$W$4:$W$8</c:f>
              <c:numCache>
                <c:formatCode>General</c:formatCode>
                <c:ptCount val="5"/>
                <c:pt idx="0">
                  <c:v>0</c:v>
                </c:pt>
                <c:pt idx="1">
                  <c:v>26</c:v>
                </c:pt>
                <c:pt idx="2">
                  <c:v>25</c:v>
                </c:pt>
                <c:pt idx="3" formatCode="0.0">
                  <c:v>21.155884873842233</c:v>
                </c:pt>
                <c:pt idx="4" formatCode="0.0">
                  <c:v>22.125689615658576</c:v>
                </c:pt>
              </c:numCache>
            </c:numRef>
          </c:xVal>
          <c:yVal>
            <c:numRef>
              <c:f>'EVB CCT Cal'!$Z$4:$Z$8</c:f>
              <c:numCache>
                <c:formatCode>0</c:formatCode>
                <c:ptCount val="5"/>
                <c:pt idx="0">
                  <c:v>5195</c:v>
                </c:pt>
                <c:pt idx="1">
                  <c:v>1230.5200000000004</c:v>
                </c:pt>
                <c:pt idx="2">
                  <c:v>1383</c:v>
                </c:pt>
              </c:numCache>
            </c:numRef>
          </c:yVal>
        </c:ser>
        <c:ser>
          <c:idx val="3"/>
          <c:order val="3"/>
          <c:tx>
            <c:strRef>
              <c:f>'EVB CCT Cal'!$AA$3</c:f>
              <c:strCache>
                <c:ptCount val="1"/>
                <c:pt idx="0">
                  <c:v>CWF'G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</c:spPr>
          </c:marker>
          <c:xVal>
            <c:numRef>
              <c:f>'EVB CCT Cal'!$W$4:$W$8</c:f>
              <c:numCache>
                <c:formatCode>General</c:formatCode>
                <c:ptCount val="5"/>
                <c:pt idx="0">
                  <c:v>0</c:v>
                </c:pt>
                <c:pt idx="1">
                  <c:v>26</c:v>
                </c:pt>
                <c:pt idx="2">
                  <c:v>25</c:v>
                </c:pt>
                <c:pt idx="3" formatCode="0.0">
                  <c:v>21.155884873842233</c:v>
                </c:pt>
                <c:pt idx="4" formatCode="0.0">
                  <c:v>22.125689615658576</c:v>
                </c:pt>
              </c:numCache>
            </c:numRef>
          </c:xVal>
          <c:yVal>
            <c:numRef>
              <c:f>'EVB CCT Cal'!$AA$4:$AA$8</c:f>
              <c:numCache>
                <c:formatCode>0</c:formatCode>
                <c:ptCount val="5"/>
                <c:pt idx="0">
                  <c:v>1250.6934543097861</c:v>
                </c:pt>
                <c:pt idx="1">
                  <c:v>1197.5576098509396</c:v>
                </c:pt>
                <c:pt idx="2">
                  <c:v>1199.6012961762799</c:v>
                </c:pt>
              </c:numCache>
            </c:numRef>
          </c:yVal>
        </c:ser>
        <c:ser>
          <c:idx val="4"/>
          <c:order val="4"/>
          <c:tx>
            <c:strRef>
              <c:f>'EVB CCT Cal'!$AB$3</c:f>
              <c:strCache>
                <c:ptCount val="1"/>
                <c:pt idx="0">
                  <c:v>AB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</c:spPr>
          </c:marker>
          <c:xVal>
            <c:numRef>
              <c:f>'EVB CCT Cal'!$W$4:$W$8</c:f>
              <c:numCache>
                <c:formatCode>General</c:formatCode>
                <c:ptCount val="5"/>
                <c:pt idx="0">
                  <c:v>0</c:v>
                </c:pt>
                <c:pt idx="1">
                  <c:v>26</c:v>
                </c:pt>
                <c:pt idx="2">
                  <c:v>25</c:v>
                </c:pt>
                <c:pt idx="3" formatCode="0.0">
                  <c:v>21.155884873842233</c:v>
                </c:pt>
                <c:pt idx="4" formatCode="0.0">
                  <c:v>22.125689615658576</c:v>
                </c:pt>
              </c:numCache>
            </c:numRef>
          </c:xVal>
          <c:yVal>
            <c:numRef>
              <c:f>'EVB CCT Cal'!$AB$4:$AB$8</c:f>
              <c:numCache>
                <c:formatCode>0</c:formatCode>
                <c:ptCount val="5"/>
                <c:pt idx="0">
                  <c:v>4405</c:v>
                </c:pt>
                <c:pt idx="4">
                  <c:v>426.22538757451912</c:v>
                </c:pt>
              </c:numCache>
            </c:numRef>
          </c:yVal>
        </c:ser>
        <c:ser>
          <c:idx val="5"/>
          <c:order val="5"/>
          <c:tx>
            <c:strRef>
              <c:f>'EVB CCT Cal'!$AC$3</c:f>
              <c:strCache>
                <c:ptCount val="1"/>
                <c:pt idx="0">
                  <c:v>CWF'B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</c:spPr>
          </c:marker>
          <c:xVal>
            <c:numRef>
              <c:f>'EVB CCT Cal'!$W$4:$W$8</c:f>
              <c:numCache>
                <c:formatCode>General</c:formatCode>
                <c:ptCount val="5"/>
                <c:pt idx="0">
                  <c:v>0</c:v>
                </c:pt>
                <c:pt idx="1">
                  <c:v>26</c:v>
                </c:pt>
                <c:pt idx="2">
                  <c:v>25</c:v>
                </c:pt>
                <c:pt idx="3" formatCode="0.0">
                  <c:v>21.155884873842233</c:v>
                </c:pt>
                <c:pt idx="4" formatCode="0.0">
                  <c:v>22.125689615658576</c:v>
                </c:pt>
              </c:numCache>
            </c:numRef>
          </c:xVal>
          <c:yVal>
            <c:numRef>
              <c:f>'EVB CCT Cal'!$AC$4:$AC$8</c:f>
              <c:numCache>
                <c:formatCode>0</c:formatCode>
                <c:ptCount val="5"/>
                <c:pt idx="0">
                  <c:v>1025.0364225534672</c:v>
                </c:pt>
                <c:pt idx="4">
                  <c:v>969.8639262556095</c:v>
                </c:pt>
              </c:numCache>
            </c:numRef>
          </c:yVal>
        </c:ser>
        <c:axId val="169333888"/>
        <c:axId val="169335808"/>
      </c:scatterChart>
      <c:valAx>
        <c:axId val="169333888"/>
        <c:scaling>
          <c:orientation val="minMax"/>
        </c:scaling>
        <c:axPos val="b"/>
        <c:numFmt formatCode="General" sourceLinked="1"/>
        <c:tickLblPos val="nextTo"/>
        <c:crossAx val="169335808"/>
        <c:crosses val="autoZero"/>
        <c:crossBetween val="midCat"/>
      </c:valAx>
      <c:valAx>
        <c:axId val="169335808"/>
        <c:scaling>
          <c:orientation val="minMax"/>
        </c:scaling>
        <c:axPos val="l"/>
        <c:majorGridlines/>
        <c:numFmt formatCode="0" sourceLinked="1"/>
        <c:tickLblPos val="nextTo"/>
        <c:crossAx val="169333888"/>
        <c:crosses val="autoZero"/>
        <c:crossBetween val="midCat"/>
      </c:valAx>
    </c:plotArea>
    <c:legend>
      <c:legendPos val="r"/>
    </c:legend>
    <c:plotVisOnly val="1"/>
    <c:dispBlanksAs val="span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DUT Calibration Points</a:t>
            </a:r>
          </a:p>
        </c:rich>
      </c:tx>
      <c:layout>
        <c:manualLayout>
          <c:xMode val="edge"/>
          <c:yMode val="edge"/>
          <c:x val="0.2962014435695538"/>
          <c:y val="4.1666666666666664E-2"/>
        </c:manualLayout>
      </c:layout>
      <c:overlay val="1"/>
    </c:title>
    <c:plotArea>
      <c:layout>
        <c:manualLayout>
          <c:layoutTarget val="inner"/>
          <c:xMode val="edge"/>
          <c:yMode val="edge"/>
          <c:x val="0.14459951881014874"/>
          <c:y val="5.1400554097404488E-2"/>
          <c:w val="0.69523140857392862"/>
          <c:h val="0.77706401283173065"/>
        </c:manualLayout>
      </c:layout>
      <c:lineChart>
        <c:grouping val="standard"/>
        <c:ser>
          <c:idx val="0"/>
          <c:order val="0"/>
          <c:tx>
            <c:strRef>
              <c:f>'Monitor Cal'!$C$26</c:f>
              <c:strCache>
                <c:ptCount val="1"/>
                <c:pt idx="0">
                  <c:v>Tcp</c:v>
                </c:pt>
              </c:strCache>
            </c:strRef>
          </c:tx>
          <c:cat>
            <c:strRef>
              <c:f>'Monitor Cal'!$B$27:$B$31</c:f>
              <c:strCache>
                <c:ptCount val="5"/>
                <c:pt idx="0">
                  <c:v>A</c:v>
                </c:pt>
                <c:pt idx="2">
                  <c:v>CWF</c:v>
                </c:pt>
                <c:pt idx="4">
                  <c:v>D65</c:v>
                </c:pt>
              </c:strCache>
            </c:strRef>
          </c:cat>
          <c:val>
            <c:numRef>
              <c:f>'Monitor Cal'!$C$27:$C$31</c:f>
              <c:numCache>
                <c:formatCode>0</c:formatCode>
                <c:ptCount val="5"/>
                <c:pt idx="0">
                  <c:v>2800</c:v>
                </c:pt>
                <c:pt idx="1">
                  <c:v>3264.5739910313901</c:v>
                </c:pt>
                <c:pt idx="2">
                  <c:v>3913.9784946236555</c:v>
                </c:pt>
                <c:pt idx="3">
                  <c:v>4885.9060402684554</c:v>
                </c:pt>
                <c:pt idx="4" formatCode="General">
                  <c:v>6500</c:v>
                </c:pt>
              </c:numCache>
            </c:numRef>
          </c:val>
        </c:ser>
        <c:marker val="1"/>
        <c:axId val="170586880"/>
        <c:axId val="170589184"/>
      </c:lineChart>
      <c:lineChart>
        <c:grouping val="standard"/>
        <c:ser>
          <c:idx val="1"/>
          <c:order val="1"/>
          <c:tx>
            <c:strRef>
              <c:f>'Monitor Cal'!$D$26</c:f>
              <c:strCache>
                <c:ptCount val="1"/>
                <c:pt idx="0">
                  <c:v>MK-1</c:v>
                </c:pt>
              </c:strCache>
            </c:strRef>
          </c:tx>
          <c:cat>
            <c:strRef>
              <c:f>'Monitor Cal'!$B$27:$B$31</c:f>
              <c:strCache>
                <c:ptCount val="5"/>
                <c:pt idx="0">
                  <c:v>A</c:v>
                </c:pt>
                <c:pt idx="2">
                  <c:v>CWF</c:v>
                </c:pt>
                <c:pt idx="4">
                  <c:v>D65</c:v>
                </c:pt>
              </c:strCache>
            </c:strRef>
          </c:cat>
          <c:val>
            <c:numRef>
              <c:f>'Monitor Cal'!$D$27:$D$31</c:f>
              <c:numCache>
                <c:formatCode>0.0</c:formatCode>
                <c:ptCount val="5"/>
                <c:pt idx="0">
                  <c:v>357.14285714285717</c:v>
                </c:pt>
                <c:pt idx="1">
                  <c:v>306.31868131868134</c:v>
                </c:pt>
                <c:pt idx="2">
                  <c:v>255.49450549450552</c:v>
                </c:pt>
                <c:pt idx="3">
                  <c:v>204.67032967032969</c:v>
                </c:pt>
                <c:pt idx="4">
                  <c:v>153.84615384615384</c:v>
                </c:pt>
              </c:numCache>
            </c:numRef>
          </c:val>
        </c:ser>
        <c:marker val="1"/>
        <c:axId val="170470400"/>
        <c:axId val="170468480"/>
      </c:lineChart>
      <c:catAx>
        <c:axId val="170586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Equivalent Light Source</a:t>
                </a:r>
              </a:p>
            </c:rich>
          </c:tx>
        </c:title>
        <c:numFmt formatCode="General" sourceLinked="0"/>
        <c:tickLblPos val="nextTo"/>
        <c:crossAx val="170589184"/>
        <c:crosses val="autoZero"/>
        <c:auto val="1"/>
        <c:lblAlgn val="ctr"/>
        <c:lblOffset val="100"/>
      </c:catAx>
      <c:valAx>
        <c:axId val="170589184"/>
        <c:scaling>
          <c:orientation val="minMax"/>
          <c:min val="25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Tcp (K)</a:t>
                </a:r>
              </a:p>
            </c:rich>
          </c:tx>
        </c:title>
        <c:numFmt formatCode="0" sourceLinked="1"/>
        <c:tickLblPos val="nextTo"/>
        <c:crossAx val="170586880"/>
        <c:crosses val="autoZero"/>
        <c:crossBetween val="between"/>
      </c:valAx>
      <c:valAx>
        <c:axId val="170468480"/>
        <c:scaling>
          <c:orientation val="minMax"/>
          <c:min val="15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MK-1</a:t>
                </a:r>
              </a:p>
            </c:rich>
          </c:tx>
        </c:title>
        <c:numFmt formatCode="0.0" sourceLinked="1"/>
        <c:tickLblPos val="nextTo"/>
        <c:crossAx val="170470400"/>
        <c:crosses val="max"/>
        <c:crossBetween val="between"/>
      </c:valAx>
      <c:catAx>
        <c:axId val="170470400"/>
        <c:scaling>
          <c:orientation val="minMax"/>
        </c:scaling>
        <c:delete val="1"/>
        <c:axPos val="b"/>
        <c:numFmt formatCode="General" sourceLinked="1"/>
        <c:tickLblPos val="none"/>
        <c:crossAx val="170468480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0.18645822397200496"/>
          <c:y val="0.44869021580635754"/>
          <c:w val="0.14409733158355331"/>
          <c:h val="0.16743438320210158"/>
        </c:manualLayout>
      </c:layout>
      <c:spPr>
        <a:solidFill>
          <a:schemeClr val="bg1"/>
        </a:solidFill>
      </c:spPr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Simple!$A$2:$A$102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xVal>
          <c:yVal>
            <c:numRef>
              <c:f>Simple!$L$2:$L$102</c:f>
              <c:numCache>
                <c:formatCode>General</c:formatCode>
                <c:ptCount val="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</c:numCache>
            </c:numRef>
          </c:yVal>
        </c:ser>
        <c:ser>
          <c:idx val="1"/>
          <c:order val="1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Simple!$A$2:$A$102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xVal>
          <c:yVal>
            <c:numRef>
              <c:f>Simple!$M$2:$M$102</c:f>
              <c:numCache>
                <c:formatCode>General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</c:numCache>
            </c:numRef>
          </c:yVal>
        </c:ser>
        <c:ser>
          <c:idx val="2"/>
          <c:order val="2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Simple!$A$2:$A$102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xVal>
          <c:yVal>
            <c:numRef>
              <c:f>Simple!$N$2:$N$102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yVal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Simple!$A$2:$A$102</c:f>
              <c:numCache>
                <c:formatCode>General</c:formatCode>
                <c:ptCount val="1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</c:numCache>
            </c:numRef>
          </c:xVal>
          <c:yVal>
            <c:numRef>
              <c:f>Simple!$O$2:$O$102</c:f>
              <c:numCache>
                <c:formatCode>General</c:formatCode>
                <c:ptCount val="101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6</c:v>
                </c:pt>
                <c:pt idx="68">
                  <c:v>6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  <c:pt idx="89">
                  <c:v>6</c:v>
                </c:pt>
                <c:pt idx="90">
                  <c:v>6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6</c:v>
                </c:pt>
                <c:pt idx="96">
                  <c:v>6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</c:numCache>
            </c:numRef>
          </c:yVal>
        </c:ser>
        <c:axId val="171103744"/>
        <c:axId val="171105280"/>
      </c:scatterChart>
      <c:valAx>
        <c:axId val="171103744"/>
        <c:scaling>
          <c:orientation val="minMax"/>
        </c:scaling>
        <c:axPos val="b"/>
        <c:numFmt formatCode="General" sourceLinked="1"/>
        <c:tickLblPos val="nextTo"/>
        <c:crossAx val="171105280"/>
        <c:crosses val="autoZero"/>
        <c:crossBetween val="midCat"/>
      </c:valAx>
      <c:valAx>
        <c:axId val="171105280"/>
        <c:scaling>
          <c:orientation val="minMax"/>
        </c:scaling>
        <c:axPos val="l"/>
        <c:majorGridlines/>
        <c:numFmt formatCode="General" sourceLinked="1"/>
        <c:tickLblPos val="nextTo"/>
        <c:crossAx val="171103744"/>
        <c:crosses val="autoZero"/>
        <c:crossBetween val="midCat"/>
      </c:valAx>
    </c:plotArea>
    <c:dispBlanksAs val="gap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Simple!$A$2:$A$285</c:f>
              <c:numCache>
                <c:formatCode>General</c:formatCode>
                <c:ptCount val="28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</c:numCache>
            </c:numRef>
          </c:xVal>
          <c:yVal>
            <c:numRef>
              <c:f>Simple!$L$2:$L$285</c:f>
              <c:numCache>
                <c:formatCode>General</c:formatCode>
                <c:ptCount val="28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</c:numCache>
            </c:numRef>
          </c:yVal>
        </c:ser>
        <c:ser>
          <c:idx val="1"/>
          <c:order val="1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Simple!$A$2:$A$285</c:f>
              <c:numCache>
                <c:formatCode>General</c:formatCode>
                <c:ptCount val="28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</c:numCache>
            </c:numRef>
          </c:xVal>
          <c:yVal>
            <c:numRef>
              <c:f>Simple!$M$2:$M$285</c:f>
              <c:numCache>
                <c:formatCode>General</c:formatCode>
                <c:ptCount val="28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3</c:v>
                </c:pt>
              </c:numCache>
            </c:numRef>
          </c:yVal>
        </c:ser>
        <c:ser>
          <c:idx val="2"/>
          <c:order val="2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Simple!$A$2:$A$285</c:f>
              <c:numCache>
                <c:formatCode>General</c:formatCode>
                <c:ptCount val="28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</c:numCache>
            </c:numRef>
          </c:xVal>
          <c:yVal>
            <c:numRef>
              <c:f>Simple!$N$2:$N$285</c:f>
              <c:numCache>
                <c:formatCode>General</c:formatCode>
                <c:ptCount val="2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</c:numCache>
            </c:numRef>
          </c:yVal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Simple!$A$2:$A$285</c:f>
              <c:numCache>
                <c:formatCode>General</c:formatCode>
                <c:ptCount val="284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</c:numCache>
            </c:numRef>
          </c:xVal>
          <c:yVal>
            <c:numRef>
              <c:f>Simple!$O$2:$O$285</c:f>
              <c:numCache>
                <c:formatCode>General</c:formatCode>
                <c:ptCount val="284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6</c:v>
                </c:pt>
                <c:pt idx="68">
                  <c:v>6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  <c:pt idx="89">
                  <c:v>6</c:v>
                </c:pt>
                <c:pt idx="90">
                  <c:v>6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6</c:v>
                </c:pt>
                <c:pt idx="96">
                  <c:v>6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6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6</c:v>
                </c:pt>
                <c:pt idx="112">
                  <c:v>7</c:v>
                </c:pt>
                <c:pt idx="113">
                  <c:v>7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7</c:v>
                </c:pt>
                <c:pt idx="139">
                  <c:v>7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7</c:v>
                </c:pt>
                <c:pt idx="159">
                  <c:v>7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7</c:v>
                </c:pt>
                <c:pt idx="185">
                  <c:v>6</c:v>
                </c:pt>
                <c:pt idx="186">
                  <c:v>7</c:v>
                </c:pt>
                <c:pt idx="187">
                  <c:v>7</c:v>
                </c:pt>
                <c:pt idx="188">
                  <c:v>6</c:v>
                </c:pt>
                <c:pt idx="189">
                  <c:v>6</c:v>
                </c:pt>
                <c:pt idx="190">
                  <c:v>7</c:v>
                </c:pt>
                <c:pt idx="191">
                  <c:v>7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6</c:v>
                </c:pt>
                <c:pt idx="202">
                  <c:v>6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6</c:v>
                </c:pt>
                <c:pt idx="211">
                  <c:v>6</c:v>
                </c:pt>
                <c:pt idx="212">
                  <c:v>7</c:v>
                </c:pt>
                <c:pt idx="213">
                  <c:v>6</c:v>
                </c:pt>
                <c:pt idx="214">
                  <c:v>6</c:v>
                </c:pt>
                <c:pt idx="215">
                  <c:v>7</c:v>
                </c:pt>
                <c:pt idx="216">
                  <c:v>7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7</c:v>
                </c:pt>
                <c:pt idx="221">
                  <c:v>6</c:v>
                </c:pt>
                <c:pt idx="222">
                  <c:v>6</c:v>
                </c:pt>
                <c:pt idx="223">
                  <c:v>7</c:v>
                </c:pt>
                <c:pt idx="224">
                  <c:v>7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6</c:v>
                </c:pt>
                <c:pt idx="243">
                  <c:v>6</c:v>
                </c:pt>
                <c:pt idx="244">
                  <c:v>7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6</c:v>
                </c:pt>
                <c:pt idx="283">
                  <c:v>6</c:v>
                </c:pt>
              </c:numCache>
            </c:numRef>
          </c:yVal>
        </c:ser>
        <c:axId val="170762624"/>
        <c:axId val="170764160"/>
      </c:scatterChart>
      <c:valAx>
        <c:axId val="170762624"/>
        <c:scaling>
          <c:orientation val="minMax"/>
        </c:scaling>
        <c:axPos val="b"/>
        <c:numFmt formatCode="General" sourceLinked="1"/>
        <c:tickLblPos val="nextTo"/>
        <c:crossAx val="170764160"/>
        <c:crosses val="autoZero"/>
        <c:crossBetween val="midCat"/>
      </c:valAx>
      <c:valAx>
        <c:axId val="170764160"/>
        <c:scaling>
          <c:orientation val="minMax"/>
        </c:scaling>
        <c:axPos val="l"/>
        <c:majorGridlines/>
        <c:numFmt formatCode="General" sourceLinked="1"/>
        <c:tickLblPos val="nextTo"/>
        <c:crossAx val="170762624"/>
        <c:crosses val="autoZero"/>
        <c:crossBetween val="midCat"/>
      </c:valAx>
    </c:plotArea>
    <c:dispBlanksAs val="gap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Time Domain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'pink noise'!$K$1</c:f>
              <c:strCache>
                <c:ptCount val="1"/>
                <c:pt idx="0">
                  <c:v>R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'pink noise'!$A$12:$A$267</c:f>
              <c:numCache>
                <c:formatCode>General</c:formatCode>
                <c:ptCount val="256"/>
                <c:pt idx="0">
                  <c:v>3000</c:v>
                </c:pt>
                <c:pt idx="1">
                  <c:v>3300</c:v>
                </c:pt>
                <c:pt idx="2">
                  <c:v>3600</c:v>
                </c:pt>
                <c:pt idx="3">
                  <c:v>3900</c:v>
                </c:pt>
                <c:pt idx="4">
                  <c:v>4200</c:v>
                </c:pt>
                <c:pt idx="5">
                  <c:v>4500</c:v>
                </c:pt>
                <c:pt idx="6">
                  <c:v>4800</c:v>
                </c:pt>
                <c:pt idx="7">
                  <c:v>5100</c:v>
                </c:pt>
                <c:pt idx="8">
                  <c:v>5400</c:v>
                </c:pt>
                <c:pt idx="9">
                  <c:v>5700</c:v>
                </c:pt>
                <c:pt idx="10">
                  <c:v>6000</c:v>
                </c:pt>
                <c:pt idx="11">
                  <c:v>6300</c:v>
                </c:pt>
                <c:pt idx="12">
                  <c:v>6600</c:v>
                </c:pt>
                <c:pt idx="13">
                  <c:v>6900</c:v>
                </c:pt>
                <c:pt idx="14">
                  <c:v>7200</c:v>
                </c:pt>
                <c:pt idx="15">
                  <c:v>7500</c:v>
                </c:pt>
                <c:pt idx="16">
                  <c:v>7800</c:v>
                </c:pt>
                <c:pt idx="17">
                  <c:v>8100</c:v>
                </c:pt>
                <c:pt idx="18">
                  <c:v>8400</c:v>
                </c:pt>
                <c:pt idx="19">
                  <c:v>8700</c:v>
                </c:pt>
                <c:pt idx="20">
                  <c:v>9000</c:v>
                </c:pt>
                <c:pt idx="21">
                  <c:v>9300</c:v>
                </c:pt>
                <c:pt idx="22">
                  <c:v>9600</c:v>
                </c:pt>
                <c:pt idx="23">
                  <c:v>9900</c:v>
                </c:pt>
                <c:pt idx="24">
                  <c:v>10200</c:v>
                </c:pt>
                <c:pt idx="25">
                  <c:v>10500</c:v>
                </c:pt>
                <c:pt idx="26">
                  <c:v>10800</c:v>
                </c:pt>
                <c:pt idx="27">
                  <c:v>11100</c:v>
                </c:pt>
                <c:pt idx="28">
                  <c:v>11400</c:v>
                </c:pt>
                <c:pt idx="29">
                  <c:v>11700</c:v>
                </c:pt>
                <c:pt idx="30">
                  <c:v>12000</c:v>
                </c:pt>
                <c:pt idx="31">
                  <c:v>12300</c:v>
                </c:pt>
                <c:pt idx="32">
                  <c:v>12600</c:v>
                </c:pt>
                <c:pt idx="33">
                  <c:v>12900</c:v>
                </c:pt>
                <c:pt idx="34">
                  <c:v>13200</c:v>
                </c:pt>
                <c:pt idx="35">
                  <c:v>13500</c:v>
                </c:pt>
                <c:pt idx="36">
                  <c:v>13800</c:v>
                </c:pt>
                <c:pt idx="37">
                  <c:v>14100</c:v>
                </c:pt>
                <c:pt idx="38">
                  <c:v>14400</c:v>
                </c:pt>
                <c:pt idx="39">
                  <c:v>14700</c:v>
                </c:pt>
                <c:pt idx="40">
                  <c:v>15000</c:v>
                </c:pt>
                <c:pt idx="41">
                  <c:v>15300</c:v>
                </c:pt>
                <c:pt idx="42">
                  <c:v>15600</c:v>
                </c:pt>
                <c:pt idx="43">
                  <c:v>15900</c:v>
                </c:pt>
                <c:pt idx="44">
                  <c:v>16200</c:v>
                </c:pt>
                <c:pt idx="45">
                  <c:v>16500</c:v>
                </c:pt>
                <c:pt idx="46">
                  <c:v>16800</c:v>
                </c:pt>
                <c:pt idx="47">
                  <c:v>17100</c:v>
                </c:pt>
                <c:pt idx="48">
                  <c:v>17400</c:v>
                </c:pt>
                <c:pt idx="49">
                  <c:v>17700</c:v>
                </c:pt>
                <c:pt idx="50">
                  <c:v>18000</c:v>
                </c:pt>
                <c:pt idx="51">
                  <c:v>18300</c:v>
                </c:pt>
                <c:pt idx="52">
                  <c:v>18600</c:v>
                </c:pt>
                <c:pt idx="53">
                  <c:v>18900</c:v>
                </c:pt>
                <c:pt idx="54">
                  <c:v>19200</c:v>
                </c:pt>
                <c:pt idx="55">
                  <c:v>19500</c:v>
                </c:pt>
                <c:pt idx="56">
                  <c:v>19800</c:v>
                </c:pt>
                <c:pt idx="57">
                  <c:v>20100</c:v>
                </c:pt>
                <c:pt idx="58">
                  <c:v>20400</c:v>
                </c:pt>
                <c:pt idx="59">
                  <c:v>20700</c:v>
                </c:pt>
                <c:pt idx="60">
                  <c:v>21000</c:v>
                </c:pt>
                <c:pt idx="61">
                  <c:v>21300</c:v>
                </c:pt>
                <c:pt idx="62">
                  <c:v>21600</c:v>
                </c:pt>
                <c:pt idx="63">
                  <c:v>21900</c:v>
                </c:pt>
                <c:pt idx="64">
                  <c:v>22200</c:v>
                </c:pt>
                <c:pt idx="65">
                  <c:v>22500</c:v>
                </c:pt>
                <c:pt idx="66">
                  <c:v>22800</c:v>
                </c:pt>
                <c:pt idx="67">
                  <c:v>23100</c:v>
                </c:pt>
                <c:pt idx="68">
                  <c:v>23400</c:v>
                </c:pt>
                <c:pt idx="69">
                  <c:v>23700</c:v>
                </c:pt>
                <c:pt idx="70">
                  <c:v>24000</c:v>
                </c:pt>
                <c:pt idx="71">
                  <c:v>24300</c:v>
                </c:pt>
                <c:pt idx="72">
                  <c:v>24600</c:v>
                </c:pt>
                <c:pt idx="73">
                  <c:v>24900</c:v>
                </c:pt>
                <c:pt idx="74">
                  <c:v>25200</c:v>
                </c:pt>
                <c:pt idx="75">
                  <c:v>25500</c:v>
                </c:pt>
                <c:pt idx="76">
                  <c:v>25800</c:v>
                </c:pt>
                <c:pt idx="77">
                  <c:v>26100</c:v>
                </c:pt>
                <c:pt idx="78">
                  <c:v>26400</c:v>
                </c:pt>
                <c:pt idx="79">
                  <c:v>26700</c:v>
                </c:pt>
                <c:pt idx="80">
                  <c:v>27000</c:v>
                </c:pt>
                <c:pt idx="81">
                  <c:v>27300</c:v>
                </c:pt>
                <c:pt idx="82">
                  <c:v>27600</c:v>
                </c:pt>
                <c:pt idx="83">
                  <c:v>27900</c:v>
                </c:pt>
                <c:pt idx="84">
                  <c:v>28200</c:v>
                </c:pt>
                <c:pt idx="85">
                  <c:v>28500</c:v>
                </c:pt>
                <c:pt idx="86">
                  <c:v>28800</c:v>
                </c:pt>
                <c:pt idx="87">
                  <c:v>29100</c:v>
                </c:pt>
                <c:pt idx="88">
                  <c:v>29400</c:v>
                </c:pt>
                <c:pt idx="89">
                  <c:v>29700</c:v>
                </c:pt>
                <c:pt idx="90">
                  <c:v>30000</c:v>
                </c:pt>
                <c:pt idx="91">
                  <c:v>30300</c:v>
                </c:pt>
                <c:pt idx="92">
                  <c:v>30600</c:v>
                </c:pt>
                <c:pt idx="93">
                  <c:v>30900</c:v>
                </c:pt>
                <c:pt idx="94">
                  <c:v>31200</c:v>
                </c:pt>
                <c:pt idx="95">
                  <c:v>31500</c:v>
                </c:pt>
                <c:pt idx="96">
                  <c:v>31800</c:v>
                </c:pt>
                <c:pt idx="97">
                  <c:v>32100</c:v>
                </c:pt>
                <c:pt idx="98">
                  <c:v>32400</c:v>
                </c:pt>
                <c:pt idx="99">
                  <c:v>32700</c:v>
                </c:pt>
                <c:pt idx="100">
                  <c:v>33000</c:v>
                </c:pt>
                <c:pt idx="101">
                  <c:v>33300</c:v>
                </c:pt>
                <c:pt idx="102">
                  <c:v>33600</c:v>
                </c:pt>
                <c:pt idx="103">
                  <c:v>33900</c:v>
                </c:pt>
                <c:pt idx="104">
                  <c:v>34200</c:v>
                </c:pt>
                <c:pt idx="105">
                  <c:v>34500</c:v>
                </c:pt>
                <c:pt idx="106">
                  <c:v>34800</c:v>
                </c:pt>
                <c:pt idx="107">
                  <c:v>35100</c:v>
                </c:pt>
                <c:pt idx="108">
                  <c:v>35400</c:v>
                </c:pt>
                <c:pt idx="109">
                  <c:v>35700</c:v>
                </c:pt>
                <c:pt idx="110">
                  <c:v>36000</c:v>
                </c:pt>
                <c:pt idx="111">
                  <c:v>36300</c:v>
                </c:pt>
                <c:pt idx="112">
                  <c:v>36600</c:v>
                </c:pt>
                <c:pt idx="113">
                  <c:v>36900</c:v>
                </c:pt>
                <c:pt idx="114">
                  <c:v>37200</c:v>
                </c:pt>
                <c:pt idx="115">
                  <c:v>37500</c:v>
                </c:pt>
                <c:pt idx="116">
                  <c:v>37800</c:v>
                </c:pt>
                <c:pt idx="117">
                  <c:v>38100</c:v>
                </c:pt>
                <c:pt idx="118">
                  <c:v>38400</c:v>
                </c:pt>
                <c:pt idx="119">
                  <c:v>38700</c:v>
                </c:pt>
                <c:pt idx="120">
                  <c:v>39000</c:v>
                </c:pt>
                <c:pt idx="121">
                  <c:v>39300</c:v>
                </c:pt>
                <c:pt idx="122">
                  <c:v>39600</c:v>
                </c:pt>
                <c:pt idx="123">
                  <c:v>39900</c:v>
                </c:pt>
                <c:pt idx="124">
                  <c:v>40200</c:v>
                </c:pt>
                <c:pt idx="125">
                  <c:v>40500</c:v>
                </c:pt>
                <c:pt idx="126">
                  <c:v>40800</c:v>
                </c:pt>
                <c:pt idx="127">
                  <c:v>41100</c:v>
                </c:pt>
                <c:pt idx="128">
                  <c:v>41400</c:v>
                </c:pt>
                <c:pt idx="129">
                  <c:v>41700</c:v>
                </c:pt>
                <c:pt idx="130">
                  <c:v>42000</c:v>
                </c:pt>
                <c:pt idx="131">
                  <c:v>42300</c:v>
                </c:pt>
                <c:pt idx="132">
                  <c:v>42600</c:v>
                </c:pt>
                <c:pt idx="133">
                  <c:v>42900</c:v>
                </c:pt>
                <c:pt idx="134">
                  <c:v>43200</c:v>
                </c:pt>
                <c:pt idx="135">
                  <c:v>43500</c:v>
                </c:pt>
                <c:pt idx="136">
                  <c:v>43800</c:v>
                </c:pt>
                <c:pt idx="137">
                  <c:v>44100</c:v>
                </c:pt>
                <c:pt idx="138">
                  <c:v>44400</c:v>
                </c:pt>
                <c:pt idx="139">
                  <c:v>44700</c:v>
                </c:pt>
                <c:pt idx="140">
                  <c:v>45000</c:v>
                </c:pt>
                <c:pt idx="141">
                  <c:v>45300</c:v>
                </c:pt>
                <c:pt idx="142">
                  <c:v>45600</c:v>
                </c:pt>
                <c:pt idx="143">
                  <c:v>45900</c:v>
                </c:pt>
                <c:pt idx="144">
                  <c:v>46200</c:v>
                </c:pt>
                <c:pt idx="145">
                  <c:v>46500</c:v>
                </c:pt>
                <c:pt idx="146">
                  <c:v>46800</c:v>
                </c:pt>
                <c:pt idx="147">
                  <c:v>47100</c:v>
                </c:pt>
                <c:pt idx="148">
                  <c:v>47400</c:v>
                </c:pt>
                <c:pt idx="149">
                  <c:v>47700</c:v>
                </c:pt>
                <c:pt idx="150">
                  <c:v>48000</c:v>
                </c:pt>
                <c:pt idx="151">
                  <c:v>48300</c:v>
                </c:pt>
                <c:pt idx="152">
                  <c:v>48600</c:v>
                </c:pt>
                <c:pt idx="153">
                  <c:v>48900</c:v>
                </c:pt>
                <c:pt idx="154">
                  <c:v>49200</c:v>
                </c:pt>
                <c:pt idx="155">
                  <c:v>49500</c:v>
                </c:pt>
                <c:pt idx="156">
                  <c:v>49800</c:v>
                </c:pt>
                <c:pt idx="157">
                  <c:v>50100</c:v>
                </c:pt>
                <c:pt idx="158">
                  <c:v>50400</c:v>
                </c:pt>
                <c:pt idx="159">
                  <c:v>50700</c:v>
                </c:pt>
                <c:pt idx="160">
                  <c:v>51000</c:v>
                </c:pt>
                <c:pt idx="161">
                  <c:v>51300</c:v>
                </c:pt>
                <c:pt idx="162">
                  <c:v>51600</c:v>
                </c:pt>
                <c:pt idx="163">
                  <c:v>51900</c:v>
                </c:pt>
                <c:pt idx="164">
                  <c:v>52200</c:v>
                </c:pt>
                <c:pt idx="165">
                  <c:v>52500</c:v>
                </c:pt>
                <c:pt idx="166">
                  <c:v>52800</c:v>
                </c:pt>
                <c:pt idx="167">
                  <c:v>53100</c:v>
                </c:pt>
                <c:pt idx="168">
                  <c:v>53400</c:v>
                </c:pt>
                <c:pt idx="169">
                  <c:v>53700</c:v>
                </c:pt>
                <c:pt idx="170">
                  <c:v>54000</c:v>
                </c:pt>
                <c:pt idx="171">
                  <c:v>54300</c:v>
                </c:pt>
                <c:pt idx="172">
                  <c:v>54600</c:v>
                </c:pt>
                <c:pt idx="173">
                  <c:v>54900</c:v>
                </c:pt>
                <c:pt idx="174">
                  <c:v>55200</c:v>
                </c:pt>
                <c:pt idx="175">
                  <c:v>55500</c:v>
                </c:pt>
                <c:pt idx="176">
                  <c:v>55800</c:v>
                </c:pt>
                <c:pt idx="177">
                  <c:v>56100</c:v>
                </c:pt>
                <c:pt idx="178">
                  <c:v>56400</c:v>
                </c:pt>
                <c:pt idx="179">
                  <c:v>56700</c:v>
                </c:pt>
                <c:pt idx="180">
                  <c:v>57000</c:v>
                </c:pt>
                <c:pt idx="181">
                  <c:v>57300</c:v>
                </c:pt>
                <c:pt idx="182">
                  <c:v>57600</c:v>
                </c:pt>
                <c:pt idx="183">
                  <c:v>57900</c:v>
                </c:pt>
                <c:pt idx="184">
                  <c:v>58200</c:v>
                </c:pt>
                <c:pt idx="185">
                  <c:v>58500</c:v>
                </c:pt>
                <c:pt idx="186">
                  <c:v>58800</c:v>
                </c:pt>
                <c:pt idx="187">
                  <c:v>59100</c:v>
                </c:pt>
                <c:pt idx="188">
                  <c:v>59400</c:v>
                </c:pt>
                <c:pt idx="189">
                  <c:v>59700</c:v>
                </c:pt>
                <c:pt idx="190">
                  <c:v>60000</c:v>
                </c:pt>
                <c:pt idx="191">
                  <c:v>60300</c:v>
                </c:pt>
                <c:pt idx="192">
                  <c:v>60600</c:v>
                </c:pt>
                <c:pt idx="193">
                  <c:v>60900</c:v>
                </c:pt>
                <c:pt idx="194">
                  <c:v>61200</c:v>
                </c:pt>
                <c:pt idx="195">
                  <c:v>61500</c:v>
                </c:pt>
                <c:pt idx="196">
                  <c:v>61800</c:v>
                </c:pt>
                <c:pt idx="197">
                  <c:v>62100</c:v>
                </c:pt>
                <c:pt idx="198">
                  <c:v>62400</c:v>
                </c:pt>
                <c:pt idx="199">
                  <c:v>62700</c:v>
                </c:pt>
                <c:pt idx="200">
                  <c:v>63000</c:v>
                </c:pt>
                <c:pt idx="201">
                  <c:v>63300</c:v>
                </c:pt>
                <c:pt idx="202">
                  <c:v>63600</c:v>
                </c:pt>
                <c:pt idx="203">
                  <c:v>63900</c:v>
                </c:pt>
                <c:pt idx="204">
                  <c:v>64200</c:v>
                </c:pt>
                <c:pt idx="205">
                  <c:v>64500</c:v>
                </c:pt>
                <c:pt idx="206">
                  <c:v>64800</c:v>
                </c:pt>
                <c:pt idx="207">
                  <c:v>65100</c:v>
                </c:pt>
                <c:pt idx="208">
                  <c:v>65400</c:v>
                </c:pt>
                <c:pt idx="209">
                  <c:v>65700</c:v>
                </c:pt>
                <c:pt idx="210">
                  <c:v>66000</c:v>
                </c:pt>
                <c:pt idx="211">
                  <c:v>66300</c:v>
                </c:pt>
                <c:pt idx="212">
                  <c:v>66600</c:v>
                </c:pt>
                <c:pt idx="213">
                  <c:v>66900</c:v>
                </c:pt>
                <c:pt idx="214">
                  <c:v>67200</c:v>
                </c:pt>
                <c:pt idx="215">
                  <c:v>67500</c:v>
                </c:pt>
                <c:pt idx="216">
                  <c:v>67800</c:v>
                </c:pt>
                <c:pt idx="217">
                  <c:v>68100</c:v>
                </c:pt>
                <c:pt idx="218">
                  <c:v>68400</c:v>
                </c:pt>
                <c:pt idx="219">
                  <c:v>68700</c:v>
                </c:pt>
                <c:pt idx="220">
                  <c:v>69000</c:v>
                </c:pt>
                <c:pt idx="221">
                  <c:v>69300</c:v>
                </c:pt>
                <c:pt idx="222">
                  <c:v>69600</c:v>
                </c:pt>
                <c:pt idx="223">
                  <c:v>69900</c:v>
                </c:pt>
                <c:pt idx="224">
                  <c:v>70200</c:v>
                </c:pt>
                <c:pt idx="225">
                  <c:v>70500</c:v>
                </c:pt>
                <c:pt idx="226">
                  <c:v>70800</c:v>
                </c:pt>
                <c:pt idx="227">
                  <c:v>71100</c:v>
                </c:pt>
                <c:pt idx="228">
                  <c:v>71400</c:v>
                </c:pt>
                <c:pt idx="229">
                  <c:v>71700</c:v>
                </c:pt>
                <c:pt idx="230">
                  <c:v>72000</c:v>
                </c:pt>
                <c:pt idx="231">
                  <c:v>72300</c:v>
                </c:pt>
                <c:pt idx="232">
                  <c:v>72600</c:v>
                </c:pt>
                <c:pt idx="233">
                  <c:v>72900</c:v>
                </c:pt>
                <c:pt idx="234">
                  <c:v>73200</c:v>
                </c:pt>
                <c:pt idx="235">
                  <c:v>73500</c:v>
                </c:pt>
                <c:pt idx="236">
                  <c:v>73800</c:v>
                </c:pt>
                <c:pt idx="237">
                  <c:v>74100</c:v>
                </c:pt>
                <c:pt idx="238">
                  <c:v>74400</c:v>
                </c:pt>
                <c:pt idx="239">
                  <c:v>74700</c:v>
                </c:pt>
                <c:pt idx="240">
                  <c:v>75000</c:v>
                </c:pt>
                <c:pt idx="241">
                  <c:v>75300</c:v>
                </c:pt>
                <c:pt idx="242">
                  <c:v>75600</c:v>
                </c:pt>
                <c:pt idx="243">
                  <c:v>75900</c:v>
                </c:pt>
                <c:pt idx="244">
                  <c:v>76200</c:v>
                </c:pt>
                <c:pt idx="245">
                  <c:v>76500</c:v>
                </c:pt>
                <c:pt idx="246">
                  <c:v>76800</c:v>
                </c:pt>
                <c:pt idx="247">
                  <c:v>77100</c:v>
                </c:pt>
                <c:pt idx="248">
                  <c:v>77400</c:v>
                </c:pt>
                <c:pt idx="249">
                  <c:v>77700</c:v>
                </c:pt>
                <c:pt idx="250">
                  <c:v>78000</c:v>
                </c:pt>
                <c:pt idx="251">
                  <c:v>78300</c:v>
                </c:pt>
                <c:pt idx="252">
                  <c:v>78600</c:v>
                </c:pt>
                <c:pt idx="253">
                  <c:v>78900</c:v>
                </c:pt>
                <c:pt idx="254">
                  <c:v>79200</c:v>
                </c:pt>
                <c:pt idx="255">
                  <c:v>79500</c:v>
                </c:pt>
              </c:numCache>
            </c:numRef>
          </c:xVal>
          <c:yVal>
            <c:numRef>
              <c:f>'pink noise'!$K$12:$K$267</c:f>
              <c:numCache>
                <c:formatCode>0.00%</c:formatCode>
                <c:ptCount val="256"/>
                <c:pt idx="0">
                  <c:v>-3.1790712057142413E-4</c:v>
                </c:pt>
                <c:pt idx="1">
                  <c:v>-6.6182118320005359E-4</c:v>
                </c:pt>
                <c:pt idx="2">
                  <c:v>-8.6877831823321133E-4</c:v>
                </c:pt>
                <c:pt idx="3">
                  <c:v>-9.7225688574979004E-4</c:v>
                </c:pt>
                <c:pt idx="4">
                  <c:v>-8.3834344543421747E-4</c:v>
                </c:pt>
                <c:pt idx="5">
                  <c:v>-7.926911362357269E-4</c:v>
                </c:pt>
                <c:pt idx="6">
                  <c:v>-7.4703882703723622E-4</c:v>
                </c:pt>
                <c:pt idx="7">
                  <c:v>-7.8964764895582754E-4</c:v>
                </c:pt>
                <c:pt idx="8">
                  <c:v>-7.0138651783874554E-4</c:v>
                </c:pt>
                <c:pt idx="9">
                  <c:v>-7.8051718711612933E-4</c:v>
                </c:pt>
                <c:pt idx="10">
                  <c:v>-7.9573462351562616E-4</c:v>
                </c:pt>
                <c:pt idx="11">
                  <c:v>-9.0834365287190307E-4</c:v>
                </c:pt>
                <c:pt idx="12">
                  <c:v>-6.8008210687944988E-4</c:v>
                </c:pt>
                <c:pt idx="13">
                  <c:v>-7.4703882703723622E-4</c:v>
                </c:pt>
                <c:pt idx="14">
                  <c:v>-7.7138672527643124E-4</c:v>
                </c:pt>
                <c:pt idx="15">
                  <c:v>-9.4790898751059502E-4</c:v>
                </c:pt>
                <c:pt idx="16">
                  <c:v>-1.0483440677472745E-3</c:v>
                </c:pt>
                <c:pt idx="17">
                  <c:v>-1.2431272536608346E-3</c:v>
                </c:pt>
                <c:pt idx="18">
                  <c:v>-8.9921319103220497E-4</c:v>
                </c:pt>
                <c:pt idx="19">
                  <c:v>-6.1008189944176429E-4</c:v>
                </c:pt>
                <c:pt idx="20">
                  <c:v>-4.9747287008548738E-4</c:v>
                </c:pt>
                <c:pt idx="21">
                  <c:v>-4.7921194640609109E-4</c:v>
                </c:pt>
                <c:pt idx="22">
                  <c:v>-4.0008127712870724E-4</c:v>
                </c:pt>
                <c:pt idx="23">
                  <c:v>-4.518205608869967E-4</c:v>
                </c:pt>
                <c:pt idx="24">
                  <c:v>-2.2051552761464407E-4</c:v>
                </c:pt>
                <c:pt idx="25">
                  <c:v>-2.2660250217444283E-4</c:v>
                </c:pt>
                <c:pt idx="26">
                  <c:v>-3.0268968417192726E-4</c:v>
                </c:pt>
                <c:pt idx="27">
                  <c:v>-1.4138485833726028E-4</c:v>
                </c:pt>
                <c:pt idx="28">
                  <c:v>-1.0514905301587098E-5</c:v>
                </c:pt>
                <c:pt idx="29">
                  <c:v>-7.1384650899574629E-5</c:v>
                </c:pt>
                <c:pt idx="30">
                  <c:v>-3.9399430256890851E-4</c:v>
                </c:pt>
                <c:pt idx="31">
                  <c:v>-7.2877790335783993E-4</c:v>
                </c:pt>
                <c:pt idx="32">
                  <c:v>-6.4660374680055677E-4</c:v>
                </c:pt>
                <c:pt idx="33">
                  <c:v>-4.4269009904729855E-4</c:v>
                </c:pt>
                <c:pt idx="34">
                  <c:v>-1.9616762937544908E-4</c:v>
                </c:pt>
                <c:pt idx="35">
                  <c:v>-2.9051573505232975E-4</c:v>
                </c:pt>
                <c:pt idx="36">
                  <c:v>-1.2312393465786401E-4</c:v>
                </c:pt>
                <c:pt idx="37">
                  <c:v>1.659043818010408E-6</c:v>
                </c:pt>
                <c:pt idx="38">
                  <c:v>1.9919967497406666E-5</c:v>
                </c:pt>
                <c:pt idx="39">
                  <c:v>-4.0949778100580865E-5</c:v>
                </c:pt>
                <c:pt idx="40">
                  <c:v>-5.0080239940278991E-5</c:v>
                </c:pt>
                <c:pt idx="41">
                  <c:v>2.0557269157126862E-4</c:v>
                </c:pt>
                <c:pt idx="42">
                  <c:v>4.2470377572402372E-4</c:v>
                </c:pt>
                <c:pt idx="43">
                  <c:v>4.2470377572402372E-4</c:v>
                </c:pt>
                <c:pt idx="44">
                  <c:v>3.4557310644663992E-4</c:v>
                </c:pt>
                <c:pt idx="45">
                  <c:v>1.9035525517177175E-4</c:v>
                </c:pt>
                <c:pt idx="46">
                  <c:v>3.2731218276724368E-4</c:v>
                </c:pt>
                <c:pt idx="47">
                  <c:v>1.3252899685368359E-4</c:v>
                </c:pt>
                <c:pt idx="48">
                  <c:v>2.1470315341096674E-4</c:v>
                </c:pt>
                <c:pt idx="49">
                  <c:v>1.447029459732811E-4</c:v>
                </c:pt>
                <c:pt idx="50">
                  <c:v>3.5470356828633807E-4</c:v>
                </c:pt>
                <c:pt idx="51">
                  <c:v>3.4557310644663992E-4</c:v>
                </c:pt>
                <c:pt idx="52">
                  <c:v>1.6296386965267736E-4</c:v>
                </c:pt>
                <c:pt idx="53">
                  <c:v>1.2035504773408609E-4</c:v>
                </c:pt>
                <c:pt idx="54">
                  <c:v>1.659043818010408E-6</c:v>
                </c:pt>
                <c:pt idx="55">
                  <c:v>1.6296386965267736E-4</c:v>
                </c:pt>
                <c:pt idx="56">
                  <c:v>-1.4138485833726028E-4</c:v>
                </c:pt>
                <c:pt idx="57">
                  <c:v>-2.1442855305484532E-4</c:v>
                </c:pt>
                <c:pt idx="58">
                  <c:v>-3.790629082068148E-5</c:v>
                </c:pt>
                <c:pt idx="59">
                  <c:v>-3.1819316260882732E-5</c:v>
                </c:pt>
                <c:pt idx="60">
                  <c:v>1.0818109861448859E-4</c:v>
                </c:pt>
                <c:pt idx="61">
                  <c:v>3.2093916617004174E-5</c:v>
                </c:pt>
                <c:pt idx="62">
                  <c:v>1.9919967497406666E-5</c:v>
                </c:pt>
                <c:pt idx="63">
                  <c:v>1.8731176789187239E-4</c:v>
                </c:pt>
                <c:pt idx="64">
                  <c:v>1.051376113345892E-4</c:v>
                </c:pt>
                <c:pt idx="65">
                  <c:v>2.7557289900895433E-4</c:v>
                </c:pt>
                <c:pt idx="66">
                  <c:v>6.861576397579668E-5</c:v>
                </c:pt>
                <c:pt idx="67">
                  <c:v>3.69921004685835E-4</c:v>
                </c:pt>
                <c:pt idx="68">
                  <c:v>4.3383423756372186E-4</c:v>
                </c:pt>
                <c:pt idx="69">
                  <c:v>4.3992121212352059E-4</c:v>
                </c:pt>
                <c:pt idx="70">
                  <c:v>5.6774767787929443E-4</c:v>
                </c:pt>
                <c:pt idx="71">
                  <c:v>5.9818255067828818E-4</c:v>
                </c:pt>
                <c:pt idx="72">
                  <c:v>5.7383465243909327E-4</c:v>
                </c:pt>
                <c:pt idx="73">
                  <c:v>4.125298266044262E-4</c:v>
                </c:pt>
                <c:pt idx="74">
                  <c:v>1.8426828061197299E-4</c:v>
                </c:pt>
                <c:pt idx="75">
                  <c:v>3.3339915732704246E-4</c:v>
                </c:pt>
                <c:pt idx="76">
                  <c:v>2.3296407709036301E-4</c:v>
                </c:pt>
                <c:pt idx="77">
                  <c:v>2.7861638628885364E-4</c:v>
                </c:pt>
                <c:pt idx="78">
                  <c:v>2.4209453893006113E-4</c:v>
                </c:pt>
                <c:pt idx="79">
                  <c:v>3.5137403896903545E-5</c:v>
                </c:pt>
                <c:pt idx="80">
                  <c:v>-1.7486321841615342E-4</c:v>
                </c:pt>
                <c:pt idx="81">
                  <c:v>-2.8747224777243033E-4</c:v>
                </c:pt>
                <c:pt idx="82">
                  <c:v>-4.3051614992770104E-4</c:v>
                </c:pt>
                <c:pt idx="83">
                  <c:v>-4.4573358632719797E-4</c:v>
                </c:pt>
                <c:pt idx="84">
                  <c:v>-3.3312455697092095E-4</c:v>
                </c:pt>
                <c:pt idx="85">
                  <c:v>-1.8095019297595217E-4</c:v>
                </c:pt>
                <c:pt idx="86">
                  <c:v>-2.6921132409303409E-4</c:v>
                </c:pt>
                <c:pt idx="87">
                  <c:v>-3.1819316260882732E-5</c:v>
                </c:pt>
                <c:pt idx="88">
                  <c:v>4.7311353016501056E-5</c:v>
                </c:pt>
                <c:pt idx="89">
                  <c:v>-1.3834137105736091E-4</c:v>
                </c:pt>
                <c:pt idx="90">
                  <c:v>-2.7225481137293351E-4</c:v>
                </c:pt>
                <c:pt idx="91">
                  <c:v>-1.7790670569605278E-4</c:v>
                </c:pt>
                <c:pt idx="92">
                  <c:v>-2.9660270961212847E-4</c:v>
                </c:pt>
                <c:pt idx="93">
                  <c:v>-3.3921153153071979E-4</c:v>
                </c:pt>
                <c:pt idx="94">
                  <c:v>-3.6964640432971354E-4</c:v>
                </c:pt>
                <c:pt idx="95">
                  <c:v>-4.4269009904729855E-4</c:v>
                </c:pt>
                <c:pt idx="96">
                  <c:v>-3.7268989160961291E-4</c:v>
                </c:pt>
                <c:pt idx="97">
                  <c:v>-2.1747204033474468E-4</c:v>
                </c:pt>
                <c:pt idx="98">
                  <c:v>-2.1138506577494592E-4</c:v>
                </c:pt>
                <c:pt idx="99">
                  <c:v>-3.0268968417192726E-4</c:v>
                </c:pt>
                <c:pt idx="100">
                  <c:v>-1.5660229473675718E-4</c:v>
                </c:pt>
                <c:pt idx="101">
                  <c:v>2.6948592444915554E-4</c:v>
                </c:pt>
                <c:pt idx="102">
                  <c:v>1.7818130605217424E-4</c:v>
                </c:pt>
                <c:pt idx="103">
                  <c:v>8.9920174935092311E-5</c:v>
                </c:pt>
                <c:pt idx="104">
                  <c:v>2.9687730996824988E-4</c:v>
                </c:pt>
                <c:pt idx="105">
                  <c:v>1.9948571701146987E-4</c:v>
                </c:pt>
                <c:pt idx="106">
                  <c:v>1.051376113345892E-4</c:v>
                </c:pt>
                <c:pt idx="107">
                  <c:v>7.7746225815494827E-5</c:v>
                </c:pt>
                <c:pt idx="108">
                  <c:v>-5.0080239940278991E-5</c:v>
                </c:pt>
                <c:pt idx="109">
                  <c:v>-1.9616762937544908E-4</c:v>
                </c:pt>
                <c:pt idx="110">
                  <c:v>-1.4747183289705903E-4</c:v>
                </c:pt>
                <c:pt idx="111">
                  <c:v>-1.3834137105736091E-4</c:v>
                </c:pt>
                <c:pt idx="112">
                  <c:v>-3.3312455697092095E-4</c:v>
                </c:pt>
                <c:pt idx="113">
                  <c:v>-2.6921132409303409E-4</c:v>
                </c:pt>
                <c:pt idx="114">
                  <c:v>-1.7790670569605278E-4</c:v>
                </c:pt>
                <c:pt idx="115">
                  <c:v>-1.9921111665534844E-4</c:v>
                </c:pt>
                <c:pt idx="116">
                  <c:v>-9.5732549138769637E-5</c:v>
                </c:pt>
                <c:pt idx="117">
                  <c:v>-8.6602087299071504E-5</c:v>
                </c:pt>
                <c:pt idx="118">
                  <c:v>-3.0268968417192726E-4</c:v>
                </c:pt>
                <c:pt idx="119">
                  <c:v>-3.3312455697092095E-4</c:v>
                </c:pt>
                <c:pt idx="120">
                  <c:v>-3.2703758241112223E-4</c:v>
                </c:pt>
                <c:pt idx="121">
                  <c:v>-3.6660291704981412E-4</c:v>
                </c:pt>
                <c:pt idx="122">
                  <c:v>-4.2442917536790231E-4</c:v>
                </c:pt>
                <c:pt idx="123">
                  <c:v>-3.422550188106191E-4</c:v>
                </c:pt>
                <c:pt idx="124">
                  <c:v>-2.7529829865283282E-4</c:v>
                </c:pt>
                <c:pt idx="125">
                  <c:v>-3.3312455697092095E-4</c:v>
                </c:pt>
                <c:pt idx="126">
                  <c:v>-3.4529850609051852E-4</c:v>
                </c:pt>
                <c:pt idx="127">
                  <c:v>-2.9660270961212847E-4</c:v>
                </c:pt>
                <c:pt idx="128">
                  <c:v>-2.3268947673424158E-4</c:v>
                </c:pt>
                <c:pt idx="129">
                  <c:v>-1.6268926929655593E-4</c:v>
                </c:pt>
                <c:pt idx="130">
                  <c:v>-1.9921111665534844E-4</c:v>
                </c:pt>
                <c:pt idx="131">
                  <c:v>-2.0834157849504656E-4</c:v>
                </c:pt>
                <c:pt idx="132">
                  <c:v>-1.4442834561715964E-4</c:v>
                </c:pt>
                <c:pt idx="133">
                  <c:v>-1.4138485833726028E-4</c:v>
                </c:pt>
                <c:pt idx="134">
                  <c:v>-6.5297676339775873E-5</c:v>
                </c:pt>
                <c:pt idx="135">
                  <c:v>-4.4279307417883454E-6</c:v>
                </c:pt>
                <c:pt idx="136">
                  <c:v>7.1659251255696058E-5</c:v>
                </c:pt>
                <c:pt idx="137">
                  <c:v>1.0789505657708538E-5</c:v>
                </c:pt>
                <c:pt idx="138">
                  <c:v>1.0789505657708538E-5</c:v>
                </c:pt>
                <c:pt idx="139">
                  <c:v>2.6006942057205422E-5</c:v>
                </c:pt>
                <c:pt idx="140">
                  <c:v>2.0252920429136926E-4</c:v>
                </c:pt>
                <c:pt idx="141">
                  <c:v>2.6339894988935676E-4</c:v>
                </c:pt>
                <c:pt idx="142">
                  <c:v>3.0296428452804871E-4</c:v>
                </c:pt>
                <c:pt idx="143">
                  <c:v>9.9050636774790458E-5</c:v>
                </c:pt>
                <c:pt idx="144">
                  <c:v>4.1224378456702301E-5</c:v>
                </c:pt>
                <c:pt idx="145">
                  <c:v>-2.4486342585383907E-4</c:v>
                </c:pt>
                <c:pt idx="146">
                  <c:v>-4.6095102272669479E-4</c:v>
                </c:pt>
                <c:pt idx="147">
                  <c:v>-6.4964723408045613E-4</c:v>
                </c:pt>
                <c:pt idx="148">
                  <c:v>-5.91820975762368E-4</c:v>
                </c:pt>
                <c:pt idx="149">
                  <c:v>-4.9747287008548738E-4</c:v>
                </c:pt>
                <c:pt idx="150">
                  <c:v>-5.5834261568347488E-4</c:v>
                </c:pt>
                <c:pt idx="151">
                  <c:v>-8.9312621647240624E-4</c:v>
                </c:pt>
                <c:pt idx="152">
                  <c:v>-8.8095226735280879E-4</c:v>
                </c:pt>
                <c:pt idx="153">
                  <c:v>-8.6877831823321133E-4</c:v>
                </c:pt>
                <c:pt idx="154">
                  <c:v>-7.2573441607794056E-4</c:v>
                </c:pt>
                <c:pt idx="155">
                  <c:v>-6.3442979768095931E-4</c:v>
                </c:pt>
                <c:pt idx="156">
                  <c:v>-5.7964702664277054E-4</c:v>
                </c:pt>
                <c:pt idx="157">
                  <c:v>-5.4312517928397806E-4</c:v>
                </c:pt>
                <c:pt idx="158">
                  <c:v>-4.8225543368599045E-4</c:v>
                </c:pt>
                <c:pt idx="159">
                  <c:v>-4.8225543368599045E-4</c:v>
                </c:pt>
                <c:pt idx="160">
                  <c:v>-5.2486425560458177E-4</c:v>
                </c:pt>
                <c:pt idx="161">
                  <c:v>-3.6051594249001534E-4</c:v>
                </c:pt>
                <c:pt idx="162">
                  <c:v>5.948530213609856E-5</c:v>
                </c:pt>
                <c:pt idx="163">
                  <c:v>2.0861617885116799E-4</c:v>
                </c:pt>
                <c:pt idx="164">
                  <c:v>2.0252920429136926E-4</c:v>
                </c:pt>
                <c:pt idx="165">
                  <c:v>5.6441814856199183E-5</c:v>
                </c:pt>
                <c:pt idx="166">
                  <c:v>-1.8399368025585154E-4</c:v>
                </c:pt>
                <c:pt idx="167">
                  <c:v>-1.0790649825836713E-4</c:v>
                </c:pt>
                <c:pt idx="168">
                  <c:v>2.2383361525066489E-4</c:v>
                </c:pt>
                <c:pt idx="169">
                  <c:v>4.125298266044262E-4</c:v>
                </c:pt>
                <c:pt idx="170">
                  <c:v>3.8513844108533182E-4</c:v>
                </c:pt>
                <c:pt idx="171">
                  <c:v>1.051376113345892E-4</c:v>
                </c:pt>
                <c:pt idx="172">
                  <c:v>4.7025310979097844E-6</c:v>
                </c:pt>
                <c:pt idx="173">
                  <c:v>-3.6660291704981412E-4</c:v>
                </c:pt>
                <c:pt idx="174">
                  <c:v>-6.2834282312116047E-4</c:v>
                </c:pt>
                <c:pt idx="175">
                  <c:v>-7.6529975071663241E-4</c:v>
                </c:pt>
                <c:pt idx="176">
                  <c:v>-6.2529933584126111E-4</c:v>
                </c:pt>
                <c:pt idx="177">
                  <c:v>-2.5399388769353721E-4</c:v>
                </c:pt>
                <c:pt idx="178">
                  <c:v>-5.9210701779977118E-5</c:v>
                </c:pt>
                <c:pt idx="179">
                  <c:v>-1.3834137105736091E-4</c:v>
                </c:pt>
                <c:pt idx="180">
                  <c:v>7.4702738535595449E-5</c:v>
                </c:pt>
                <c:pt idx="181">
                  <c:v>2.4513802620996052E-4</c:v>
                </c:pt>
                <c:pt idx="182">
                  <c:v>5.4948675419989814E-4</c:v>
                </c:pt>
                <c:pt idx="183">
                  <c:v>7.1079158003456509E-4</c:v>
                </c:pt>
                <c:pt idx="184">
                  <c:v>1.0881840027420879E-3</c:v>
                </c:pt>
                <c:pt idx="185">
                  <c:v>1.1307928246606792E-3</c:v>
                </c:pt>
                <c:pt idx="186">
                  <c:v>1.1642711847395723E-3</c:v>
                </c:pt>
                <c:pt idx="187">
                  <c:v>1.0212272825843016E-3</c:v>
                </c:pt>
                <c:pt idx="188">
                  <c:v>1.0638361045028927E-3</c:v>
                </c:pt>
                <c:pt idx="189">
                  <c:v>6.9557414363506816E-4</c:v>
                </c:pt>
                <c:pt idx="190">
                  <c:v>3.4557310644663992E-4</c:v>
                </c:pt>
                <c:pt idx="191">
                  <c:v>3.4557310644663992E-4</c:v>
                </c:pt>
                <c:pt idx="192">
                  <c:v>-7.1384650899574629E-5</c:v>
                </c:pt>
                <c:pt idx="193">
                  <c:v>-2.9051573505232975E-4</c:v>
                </c:pt>
                <c:pt idx="194">
                  <c:v>-3.4834199337041788E-4</c:v>
                </c:pt>
                <c:pt idx="195">
                  <c:v>-6.1312538672166365E-4</c:v>
                </c:pt>
                <c:pt idx="196">
                  <c:v>-6.2834282312116047E-4</c:v>
                </c:pt>
                <c:pt idx="197">
                  <c:v>-7.1356046695834311E-4</c:v>
                </c:pt>
                <c:pt idx="198">
                  <c:v>-5.3399471744427986E-4</c:v>
                </c:pt>
                <c:pt idx="199">
                  <c:v>-5.2790774288448102E-4</c:v>
                </c:pt>
                <c:pt idx="200">
                  <c:v>-2.1747204033474468E-4</c:v>
                </c:pt>
                <c:pt idx="201">
                  <c:v>1.0789505657708538E-5</c:v>
                </c:pt>
                <c:pt idx="202">
                  <c:v>-1.7181973113625405E-4</c:v>
                </c:pt>
                <c:pt idx="203">
                  <c:v>8.3833200375293569E-5</c:v>
                </c:pt>
                <c:pt idx="204">
                  <c:v>1.9919967497406666E-5</c:v>
                </c:pt>
                <c:pt idx="205">
                  <c:v>-1.4747183289705903E-4</c:v>
                </c:pt>
                <c:pt idx="206">
                  <c:v>-1.0486301097846777E-4</c:v>
                </c:pt>
                <c:pt idx="207">
                  <c:v>2.1165966613106738E-4</c:v>
                </c:pt>
                <c:pt idx="208">
                  <c:v>4.3383423756372186E-4</c:v>
                </c:pt>
                <c:pt idx="209">
                  <c:v>4.2774726300392313E-4</c:v>
                </c:pt>
                <c:pt idx="210">
                  <c:v>3.7296449196573431E-4</c:v>
                </c:pt>
                <c:pt idx="211">
                  <c:v>4.3992121212352059E-4</c:v>
                </c:pt>
                <c:pt idx="212">
                  <c:v>4.6122562308281625E-4</c:v>
                </c:pt>
                <c:pt idx="213">
                  <c:v>5.7079116515919379E-4</c:v>
                </c:pt>
                <c:pt idx="214">
                  <c:v>6.7122624539587314E-4</c:v>
                </c:pt>
                <c:pt idx="215">
                  <c:v>1.0060098461848045E-3</c:v>
                </c:pt>
                <c:pt idx="216">
                  <c:v>1.1581842101797734E-3</c:v>
                </c:pt>
                <c:pt idx="217">
                  <c:v>1.3225325232943399E-3</c:v>
                </c:pt>
                <c:pt idx="218">
                  <c:v>1.0242707698642009E-3</c:v>
                </c:pt>
                <c:pt idx="219">
                  <c:v>9.6340102426621329E-4</c:v>
                </c:pt>
                <c:pt idx="220">
                  <c:v>9.7861846066571033E-4</c:v>
                </c:pt>
                <c:pt idx="221">
                  <c:v>9.4209661330691774E-4</c:v>
                </c:pt>
                <c:pt idx="222">
                  <c:v>7.9905271115164708E-4</c:v>
                </c:pt>
                <c:pt idx="223">
                  <c:v>8.5992245674963459E-4</c:v>
                </c:pt>
                <c:pt idx="224">
                  <c:v>5.4644326691999877E-4</c:v>
                </c:pt>
                <c:pt idx="225">
                  <c:v>4.4905167396321874E-4</c:v>
                </c:pt>
                <c:pt idx="226">
                  <c:v>2.3905105165016177E-4</c:v>
                </c:pt>
                <c:pt idx="227">
                  <c:v>1.2339853501398547E-4</c:v>
                </c:pt>
                <c:pt idx="228">
                  <c:v>1.051376113345892E-4</c:v>
                </c:pt>
                <c:pt idx="229">
                  <c:v>2.0252920429136926E-4</c:v>
                </c:pt>
                <c:pt idx="230">
                  <c:v>1.659043818010408E-6</c:v>
                </c:pt>
                <c:pt idx="231">
                  <c:v>-1.2312393465786401E-4</c:v>
                </c:pt>
                <c:pt idx="232">
                  <c:v>-7.4428138179473993E-5</c:v>
                </c:pt>
                <c:pt idx="233">
                  <c:v>-1.7790670569605278E-4</c:v>
                </c:pt>
                <c:pt idx="234">
                  <c:v>-2.1442855305484532E-4</c:v>
                </c:pt>
                <c:pt idx="235">
                  <c:v>-2.2051552761464407E-4</c:v>
                </c:pt>
                <c:pt idx="236">
                  <c:v>-1.4138485833726028E-4</c:v>
                </c:pt>
                <c:pt idx="237">
                  <c:v>5.0354840296400427E-5</c:v>
                </c:pt>
                <c:pt idx="238">
                  <c:v>-4.4279307417883454E-6</c:v>
                </c:pt>
                <c:pt idx="239">
                  <c:v>-6.2254189059876496E-5</c:v>
                </c:pt>
                <c:pt idx="240">
                  <c:v>-3.1819316260882732E-5</c:v>
                </c:pt>
                <c:pt idx="241">
                  <c:v>1.9948571701146987E-4</c:v>
                </c:pt>
                <c:pt idx="242">
                  <c:v>3.1818172092754553E-4</c:v>
                </c:pt>
                <c:pt idx="243">
                  <c:v>3.516600810064387E-4</c:v>
                </c:pt>
                <c:pt idx="244">
                  <c:v>5.3122583052050184E-4</c:v>
                </c:pt>
                <c:pt idx="245">
                  <c:v>7.0470460547476636E-4</c:v>
                </c:pt>
                <c:pt idx="246">
                  <c:v>8.325310712305402E-4</c:v>
                </c:pt>
                <c:pt idx="247">
                  <c:v>6.8644368179537018E-4</c:v>
                </c:pt>
                <c:pt idx="248">
                  <c:v>7.4426994011345831E-4</c:v>
                </c:pt>
                <c:pt idx="249">
                  <c:v>7.8992224931194888E-4</c:v>
                </c:pt>
                <c:pt idx="250">
                  <c:v>8.4774850763003702E-4</c:v>
                </c:pt>
                <c:pt idx="251">
                  <c:v>9.6644451154611277E-4</c:v>
                </c:pt>
                <c:pt idx="252">
                  <c:v>9.6340102426621329E-4</c:v>
                </c:pt>
                <c:pt idx="253">
                  <c:v>9.6948799882601213E-4</c:v>
                </c:pt>
                <c:pt idx="254">
                  <c:v>9.1774871506772261E-4</c:v>
                </c:pt>
                <c:pt idx="255">
                  <c:v>1.0060098461848045E-3</c:v>
                </c:pt>
              </c:numCache>
            </c:numRef>
          </c:yVal>
        </c:ser>
        <c:ser>
          <c:idx val="1"/>
          <c:order val="1"/>
          <c:tx>
            <c:strRef>
              <c:f>'pink noise'!$L$1</c:f>
              <c:strCache>
                <c:ptCount val="1"/>
                <c:pt idx="0">
                  <c:v>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'pink noise'!$A$12:$A$267</c:f>
              <c:numCache>
                <c:formatCode>General</c:formatCode>
                <c:ptCount val="256"/>
                <c:pt idx="0">
                  <c:v>3000</c:v>
                </c:pt>
                <c:pt idx="1">
                  <c:v>3300</c:v>
                </c:pt>
                <c:pt idx="2">
                  <c:v>3600</c:v>
                </c:pt>
                <c:pt idx="3">
                  <c:v>3900</c:v>
                </c:pt>
                <c:pt idx="4">
                  <c:v>4200</c:v>
                </c:pt>
                <c:pt idx="5">
                  <c:v>4500</c:v>
                </c:pt>
                <c:pt idx="6">
                  <c:v>4800</c:v>
                </c:pt>
                <c:pt idx="7">
                  <c:v>5100</c:v>
                </c:pt>
                <c:pt idx="8">
                  <c:v>5400</c:v>
                </c:pt>
                <c:pt idx="9">
                  <c:v>5700</c:v>
                </c:pt>
                <c:pt idx="10">
                  <c:v>6000</c:v>
                </c:pt>
                <c:pt idx="11">
                  <c:v>6300</c:v>
                </c:pt>
                <c:pt idx="12">
                  <c:v>6600</c:v>
                </c:pt>
                <c:pt idx="13">
                  <c:v>6900</c:v>
                </c:pt>
                <c:pt idx="14">
                  <c:v>7200</c:v>
                </c:pt>
                <c:pt idx="15">
                  <c:v>7500</c:v>
                </c:pt>
                <c:pt idx="16">
                  <c:v>7800</c:v>
                </c:pt>
                <c:pt idx="17">
                  <c:v>8100</c:v>
                </c:pt>
                <c:pt idx="18">
                  <c:v>8400</c:v>
                </c:pt>
                <c:pt idx="19">
                  <c:v>8700</c:v>
                </c:pt>
                <c:pt idx="20">
                  <c:v>9000</c:v>
                </c:pt>
                <c:pt idx="21">
                  <c:v>9300</c:v>
                </c:pt>
                <c:pt idx="22">
                  <c:v>9600</c:v>
                </c:pt>
                <c:pt idx="23">
                  <c:v>9900</c:v>
                </c:pt>
                <c:pt idx="24">
                  <c:v>10200</c:v>
                </c:pt>
                <c:pt idx="25">
                  <c:v>10500</c:v>
                </c:pt>
                <c:pt idx="26">
                  <c:v>10800</c:v>
                </c:pt>
                <c:pt idx="27">
                  <c:v>11100</c:v>
                </c:pt>
                <c:pt idx="28">
                  <c:v>11400</c:v>
                </c:pt>
                <c:pt idx="29">
                  <c:v>11700</c:v>
                </c:pt>
                <c:pt idx="30">
                  <c:v>12000</c:v>
                </c:pt>
                <c:pt idx="31">
                  <c:v>12300</c:v>
                </c:pt>
                <c:pt idx="32">
                  <c:v>12600</c:v>
                </c:pt>
                <c:pt idx="33">
                  <c:v>12900</c:v>
                </c:pt>
                <c:pt idx="34">
                  <c:v>13200</c:v>
                </c:pt>
                <c:pt idx="35">
                  <c:v>13500</c:v>
                </c:pt>
                <c:pt idx="36">
                  <c:v>13800</c:v>
                </c:pt>
                <c:pt idx="37">
                  <c:v>14100</c:v>
                </c:pt>
                <c:pt idx="38">
                  <c:v>14400</c:v>
                </c:pt>
                <c:pt idx="39">
                  <c:v>14700</c:v>
                </c:pt>
                <c:pt idx="40">
                  <c:v>15000</c:v>
                </c:pt>
                <c:pt idx="41">
                  <c:v>15300</c:v>
                </c:pt>
                <c:pt idx="42">
                  <c:v>15600</c:v>
                </c:pt>
                <c:pt idx="43">
                  <c:v>15900</c:v>
                </c:pt>
                <c:pt idx="44">
                  <c:v>16200</c:v>
                </c:pt>
                <c:pt idx="45">
                  <c:v>16500</c:v>
                </c:pt>
                <c:pt idx="46">
                  <c:v>16800</c:v>
                </c:pt>
                <c:pt idx="47">
                  <c:v>17100</c:v>
                </c:pt>
                <c:pt idx="48">
                  <c:v>17400</c:v>
                </c:pt>
                <c:pt idx="49">
                  <c:v>17700</c:v>
                </c:pt>
                <c:pt idx="50">
                  <c:v>18000</c:v>
                </c:pt>
                <c:pt idx="51">
                  <c:v>18300</c:v>
                </c:pt>
                <c:pt idx="52">
                  <c:v>18600</c:v>
                </c:pt>
                <c:pt idx="53">
                  <c:v>18900</c:v>
                </c:pt>
                <c:pt idx="54">
                  <c:v>19200</c:v>
                </c:pt>
                <c:pt idx="55">
                  <c:v>19500</c:v>
                </c:pt>
                <c:pt idx="56">
                  <c:v>19800</c:v>
                </c:pt>
                <c:pt idx="57">
                  <c:v>20100</c:v>
                </c:pt>
                <c:pt idx="58">
                  <c:v>20400</c:v>
                </c:pt>
                <c:pt idx="59">
                  <c:v>20700</c:v>
                </c:pt>
                <c:pt idx="60">
                  <c:v>21000</c:v>
                </c:pt>
                <c:pt idx="61">
                  <c:v>21300</c:v>
                </c:pt>
                <c:pt idx="62">
                  <c:v>21600</c:v>
                </c:pt>
                <c:pt idx="63">
                  <c:v>21900</c:v>
                </c:pt>
                <c:pt idx="64">
                  <c:v>22200</c:v>
                </c:pt>
                <c:pt idx="65">
                  <c:v>22500</c:v>
                </c:pt>
                <c:pt idx="66">
                  <c:v>22800</c:v>
                </c:pt>
                <c:pt idx="67">
                  <c:v>23100</c:v>
                </c:pt>
                <c:pt idx="68">
                  <c:v>23400</c:v>
                </c:pt>
                <c:pt idx="69">
                  <c:v>23700</c:v>
                </c:pt>
                <c:pt idx="70">
                  <c:v>24000</c:v>
                </c:pt>
                <c:pt idx="71">
                  <c:v>24300</c:v>
                </c:pt>
                <c:pt idx="72">
                  <c:v>24600</c:v>
                </c:pt>
                <c:pt idx="73">
                  <c:v>24900</c:v>
                </c:pt>
                <c:pt idx="74">
                  <c:v>25200</c:v>
                </c:pt>
                <c:pt idx="75">
                  <c:v>25500</c:v>
                </c:pt>
                <c:pt idx="76">
                  <c:v>25800</c:v>
                </c:pt>
                <c:pt idx="77">
                  <c:v>26100</c:v>
                </c:pt>
                <c:pt idx="78">
                  <c:v>26400</c:v>
                </c:pt>
                <c:pt idx="79">
                  <c:v>26700</c:v>
                </c:pt>
                <c:pt idx="80">
                  <c:v>27000</c:v>
                </c:pt>
                <c:pt idx="81">
                  <c:v>27300</c:v>
                </c:pt>
                <c:pt idx="82">
                  <c:v>27600</c:v>
                </c:pt>
                <c:pt idx="83">
                  <c:v>27900</c:v>
                </c:pt>
                <c:pt idx="84">
                  <c:v>28200</c:v>
                </c:pt>
                <c:pt idx="85">
                  <c:v>28500</c:v>
                </c:pt>
                <c:pt idx="86">
                  <c:v>28800</c:v>
                </c:pt>
                <c:pt idx="87">
                  <c:v>29100</c:v>
                </c:pt>
                <c:pt idx="88">
                  <c:v>29400</c:v>
                </c:pt>
                <c:pt idx="89">
                  <c:v>29700</c:v>
                </c:pt>
                <c:pt idx="90">
                  <c:v>30000</c:v>
                </c:pt>
                <c:pt idx="91">
                  <c:v>30300</c:v>
                </c:pt>
                <c:pt idx="92">
                  <c:v>30600</c:v>
                </c:pt>
                <c:pt idx="93">
                  <c:v>30900</c:v>
                </c:pt>
                <c:pt idx="94">
                  <c:v>31200</c:v>
                </c:pt>
                <c:pt idx="95">
                  <c:v>31500</c:v>
                </c:pt>
                <c:pt idx="96">
                  <c:v>31800</c:v>
                </c:pt>
                <c:pt idx="97">
                  <c:v>32100</c:v>
                </c:pt>
                <c:pt idx="98">
                  <c:v>32400</c:v>
                </c:pt>
                <c:pt idx="99">
                  <c:v>32700</c:v>
                </c:pt>
                <c:pt idx="100">
                  <c:v>33000</c:v>
                </c:pt>
                <c:pt idx="101">
                  <c:v>33300</c:v>
                </c:pt>
                <c:pt idx="102">
                  <c:v>33600</c:v>
                </c:pt>
                <c:pt idx="103">
                  <c:v>33900</c:v>
                </c:pt>
                <c:pt idx="104">
                  <c:v>34200</c:v>
                </c:pt>
                <c:pt idx="105">
                  <c:v>34500</c:v>
                </c:pt>
                <c:pt idx="106">
                  <c:v>34800</c:v>
                </c:pt>
                <c:pt idx="107">
                  <c:v>35100</c:v>
                </c:pt>
                <c:pt idx="108">
                  <c:v>35400</c:v>
                </c:pt>
                <c:pt idx="109">
                  <c:v>35700</c:v>
                </c:pt>
                <c:pt idx="110">
                  <c:v>36000</c:v>
                </c:pt>
                <c:pt idx="111">
                  <c:v>36300</c:v>
                </c:pt>
                <c:pt idx="112">
                  <c:v>36600</c:v>
                </c:pt>
                <c:pt idx="113">
                  <c:v>36900</c:v>
                </c:pt>
                <c:pt idx="114">
                  <c:v>37200</c:v>
                </c:pt>
                <c:pt idx="115">
                  <c:v>37500</c:v>
                </c:pt>
                <c:pt idx="116">
                  <c:v>37800</c:v>
                </c:pt>
                <c:pt idx="117">
                  <c:v>38100</c:v>
                </c:pt>
                <c:pt idx="118">
                  <c:v>38400</c:v>
                </c:pt>
                <c:pt idx="119">
                  <c:v>38700</c:v>
                </c:pt>
                <c:pt idx="120">
                  <c:v>39000</c:v>
                </c:pt>
                <c:pt idx="121">
                  <c:v>39300</c:v>
                </c:pt>
                <c:pt idx="122">
                  <c:v>39600</c:v>
                </c:pt>
                <c:pt idx="123">
                  <c:v>39900</c:v>
                </c:pt>
                <c:pt idx="124">
                  <c:v>40200</c:v>
                </c:pt>
                <c:pt idx="125">
                  <c:v>40500</c:v>
                </c:pt>
                <c:pt idx="126">
                  <c:v>40800</c:v>
                </c:pt>
                <c:pt idx="127">
                  <c:v>41100</c:v>
                </c:pt>
                <c:pt idx="128">
                  <c:v>41400</c:v>
                </c:pt>
                <c:pt idx="129">
                  <c:v>41700</c:v>
                </c:pt>
                <c:pt idx="130">
                  <c:v>42000</c:v>
                </c:pt>
                <c:pt idx="131">
                  <c:v>42300</c:v>
                </c:pt>
                <c:pt idx="132">
                  <c:v>42600</c:v>
                </c:pt>
                <c:pt idx="133">
                  <c:v>42900</c:v>
                </c:pt>
                <c:pt idx="134">
                  <c:v>43200</c:v>
                </c:pt>
                <c:pt idx="135">
                  <c:v>43500</c:v>
                </c:pt>
                <c:pt idx="136">
                  <c:v>43800</c:v>
                </c:pt>
                <c:pt idx="137">
                  <c:v>44100</c:v>
                </c:pt>
                <c:pt idx="138">
                  <c:v>44400</c:v>
                </c:pt>
                <c:pt idx="139">
                  <c:v>44700</c:v>
                </c:pt>
                <c:pt idx="140">
                  <c:v>45000</c:v>
                </c:pt>
                <c:pt idx="141">
                  <c:v>45300</c:v>
                </c:pt>
                <c:pt idx="142">
                  <c:v>45600</c:v>
                </c:pt>
                <c:pt idx="143">
                  <c:v>45900</c:v>
                </c:pt>
                <c:pt idx="144">
                  <c:v>46200</c:v>
                </c:pt>
                <c:pt idx="145">
                  <c:v>46500</c:v>
                </c:pt>
                <c:pt idx="146">
                  <c:v>46800</c:v>
                </c:pt>
                <c:pt idx="147">
                  <c:v>47100</c:v>
                </c:pt>
                <c:pt idx="148">
                  <c:v>47400</c:v>
                </c:pt>
                <c:pt idx="149">
                  <c:v>47700</c:v>
                </c:pt>
                <c:pt idx="150">
                  <c:v>48000</c:v>
                </c:pt>
                <c:pt idx="151">
                  <c:v>48300</c:v>
                </c:pt>
                <c:pt idx="152">
                  <c:v>48600</c:v>
                </c:pt>
                <c:pt idx="153">
                  <c:v>48900</c:v>
                </c:pt>
                <c:pt idx="154">
                  <c:v>49200</c:v>
                </c:pt>
                <c:pt idx="155">
                  <c:v>49500</c:v>
                </c:pt>
                <c:pt idx="156">
                  <c:v>49800</c:v>
                </c:pt>
                <c:pt idx="157">
                  <c:v>50100</c:v>
                </c:pt>
                <c:pt idx="158">
                  <c:v>50400</c:v>
                </c:pt>
                <c:pt idx="159">
                  <c:v>50700</c:v>
                </c:pt>
                <c:pt idx="160">
                  <c:v>51000</c:v>
                </c:pt>
                <c:pt idx="161">
                  <c:v>51300</c:v>
                </c:pt>
                <c:pt idx="162">
                  <c:v>51600</c:v>
                </c:pt>
                <c:pt idx="163">
                  <c:v>51900</c:v>
                </c:pt>
                <c:pt idx="164">
                  <c:v>52200</c:v>
                </c:pt>
                <c:pt idx="165">
                  <c:v>52500</c:v>
                </c:pt>
                <c:pt idx="166">
                  <c:v>52800</c:v>
                </c:pt>
                <c:pt idx="167">
                  <c:v>53100</c:v>
                </c:pt>
                <c:pt idx="168">
                  <c:v>53400</c:v>
                </c:pt>
                <c:pt idx="169">
                  <c:v>53700</c:v>
                </c:pt>
                <c:pt idx="170">
                  <c:v>54000</c:v>
                </c:pt>
                <c:pt idx="171">
                  <c:v>54300</c:v>
                </c:pt>
                <c:pt idx="172">
                  <c:v>54600</c:v>
                </c:pt>
                <c:pt idx="173">
                  <c:v>54900</c:v>
                </c:pt>
                <c:pt idx="174">
                  <c:v>55200</c:v>
                </c:pt>
                <c:pt idx="175">
                  <c:v>55500</c:v>
                </c:pt>
                <c:pt idx="176">
                  <c:v>55800</c:v>
                </c:pt>
                <c:pt idx="177">
                  <c:v>56100</c:v>
                </c:pt>
                <c:pt idx="178">
                  <c:v>56400</c:v>
                </c:pt>
                <c:pt idx="179">
                  <c:v>56700</c:v>
                </c:pt>
                <c:pt idx="180">
                  <c:v>57000</c:v>
                </c:pt>
                <c:pt idx="181">
                  <c:v>57300</c:v>
                </c:pt>
                <c:pt idx="182">
                  <c:v>57600</c:v>
                </c:pt>
                <c:pt idx="183">
                  <c:v>57900</c:v>
                </c:pt>
                <c:pt idx="184">
                  <c:v>58200</c:v>
                </c:pt>
                <c:pt idx="185">
                  <c:v>58500</c:v>
                </c:pt>
                <c:pt idx="186">
                  <c:v>58800</c:v>
                </c:pt>
                <c:pt idx="187">
                  <c:v>59100</c:v>
                </c:pt>
                <c:pt idx="188">
                  <c:v>59400</c:v>
                </c:pt>
                <c:pt idx="189">
                  <c:v>59700</c:v>
                </c:pt>
                <c:pt idx="190">
                  <c:v>60000</c:v>
                </c:pt>
                <c:pt idx="191">
                  <c:v>60300</c:v>
                </c:pt>
                <c:pt idx="192">
                  <c:v>60600</c:v>
                </c:pt>
                <c:pt idx="193">
                  <c:v>60900</c:v>
                </c:pt>
                <c:pt idx="194">
                  <c:v>61200</c:v>
                </c:pt>
                <c:pt idx="195">
                  <c:v>61500</c:v>
                </c:pt>
                <c:pt idx="196">
                  <c:v>61800</c:v>
                </c:pt>
                <c:pt idx="197">
                  <c:v>62100</c:v>
                </c:pt>
                <c:pt idx="198">
                  <c:v>62400</c:v>
                </c:pt>
                <c:pt idx="199">
                  <c:v>62700</c:v>
                </c:pt>
                <c:pt idx="200">
                  <c:v>63000</c:v>
                </c:pt>
                <c:pt idx="201">
                  <c:v>63300</c:v>
                </c:pt>
                <c:pt idx="202">
                  <c:v>63600</c:v>
                </c:pt>
                <c:pt idx="203">
                  <c:v>63900</c:v>
                </c:pt>
                <c:pt idx="204">
                  <c:v>64200</c:v>
                </c:pt>
                <c:pt idx="205">
                  <c:v>64500</c:v>
                </c:pt>
                <c:pt idx="206">
                  <c:v>64800</c:v>
                </c:pt>
                <c:pt idx="207">
                  <c:v>65100</c:v>
                </c:pt>
                <c:pt idx="208">
                  <c:v>65400</c:v>
                </c:pt>
                <c:pt idx="209">
                  <c:v>65700</c:v>
                </c:pt>
                <c:pt idx="210">
                  <c:v>66000</c:v>
                </c:pt>
                <c:pt idx="211">
                  <c:v>66300</c:v>
                </c:pt>
                <c:pt idx="212">
                  <c:v>66600</c:v>
                </c:pt>
                <c:pt idx="213">
                  <c:v>66900</c:v>
                </c:pt>
                <c:pt idx="214">
                  <c:v>67200</c:v>
                </c:pt>
                <c:pt idx="215">
                  <c:v>67500</c:v>
                </c:pt>
                <c:pt idx="216">
                  <c:v>67800</c:v>
                </c:pt>
                <c:pt idx="217">
                  <c:v>68100</c:v>
                </c:pt>
                <c:pt idx="218">
                  <c:v>68400</c:v>
                </c:pt>
                <c:pt idx="219">
                  <c:v>68700</c:v>
                </c:pt>
                <c:pt idx="220">
                  <c:v>69000</c:v>
                </c:pt>
                <c:pt idx="221">
                  <c:v>69300</c:v>
                </c:pt>
                <c:pt idx="222">
                  <c:v>69600</c:v>
                </c:pt>
                <c:pt idx="223">
                  <c:v>69900</c:v>
                </c:pt>
                <c:pt idx="224">
                  <c:v>70200</c:v>
                </c:pt>
                <c:pt idx="225">
                  <c:v>70500</c:v>
                </c:pt>
                <c:pt idx="226">
                  <c:v>70800</c:v>
                </c:pt>
                <c:pt idx="227">
                  <c:v>71100</c:v>
                </c:pt>
                <c:pt idx="228">
                  <c:v>71400</c:v>
                </c:pt>
                <c:pt idx="229">
                  <c:v>71700</c:v>
                </c:pt>
                <c:pt idx="230">
                  <c:v>72000</c:v>
                </c:pt>
                <c:pt idx="231">
                  <c:v>72300</c:v>
                </c:pt>
                <c:pt idx="232">
                  <c:v>72600</c:v>
                </c:pt>
                <c:pt idx="233">
                  <c:v>72900</c:v>
                </c:pt>
                <c:pt idx="234">
                  <c:v>73200</c:v>
                </c:pt>
                <c:pt idx="235">
                  <c:v>73500</c:v>
                </c:pt>
                <c:pt idx="236">
                  <c:v>73800</c:v>
                </c:pt>
                <c:pt idx="237">
                  <c:v>74100</c:v>
                </c:pt>
                <c:pt idx="238">
                  <c:v>74400</c:v>
                </c:pt>
                <c:pt idx="239">
                  <c:v>74700</c:v>
                </c:pt>
                <c:pt idx="240">
                  <c:v>75000</c:v>
                </c:pt>
                <c:pt idx="241">
                  <c:v>75300</c:v>
                </c:pt>
                <c:pt idx="242">
                  <c:v>75600</c:v>
                </c:pt>
                <c:pt idx="243">
                  <c:v>75900</c:v>
                </c:pt>
                <c:pt idx="244">
                  <c:v>76200</c:v>
                </c:pt>
                <c:pt idx="245">
                  <c:v>76500</c:v>
                </c:pt>
                <c:pt idx="246">
                  <c:v>76800</c:v>
                </c:pt>
                <c:pt idx="247">
                  <c:v>77100</c:v>
                </c:pt>
                <c:pt idx="248">
                  <c:v>77400</c:v>
                </c:pt>
                <c:pt idx="249">
                  <c:v>77700</c:v>
                </c:pt>
                <c:pt idx="250">
                  <c:v>78000</c:v>
                </c:pt>
                <c:pt idx="251">
                  <c:v>78300</c:v>
                </c:pt>
                <c:pt idx="252">
                  <c:v>78600</c:v>
                </c:pt>
                <c:pt idx="253">
                  <c:v>78900</c:v>
                </c:pt>
                <c:pt idx="254">
                  <c:v>79200</c:v>
                </c:pt>
                <c:pt idx="255">
                  <c:v>79500</c:v>
                </c:pt>
              </c:numCache>
            </c:numRef>
          </c:xVal>
          <c:yVal>
            <c:numRef>
              <c:f>'pink noise'!$L$12:$L$267</c:f>
              <c:numCache>
                <c:formatCode>0.00%</c:formatCode>
                <c:ptCount val="256"/>
                <c:pt idx="0">
                  <c:v>-5.6991193434267711E-4</c:v>
                </c:pt>
                <c:pt idx="1">
                  <c:v>-1.0672824653133971E-3</c:v>
                </c:pt>
                <c:pt idx="2">
                  <c:v>-1.2963346835235972E-3</c:v>
                </c:pt>
                <c:pt idx="3">
                  <c:v>-1.8296991344987771E-3</c:v>
                </c:pt>
                <c:pt idx="4">
                  <c:v>-1.4599434108165971E-3</c:v>
                </c:pt>
                <c:pt idx="5">
                  <c:v>-1.3585059998949371E-3</c:v>
                </c:pt>
                <c:pt idx="6">
                  <c:v>-1.7217173744853971E-3</c:v>
                </c:pt>
                <c:pt idx="7">
                  <c:v>-1.7380782472146972E-3</c:v>
                </c:pt>
                <c:pt idx="8">
                  <c:v>-1.7740721672191572E-3</c:v>
                </c:pt>
                <c:pt idx="9">
                  <c:v>-1.6399130108388973E-3</c:v>
                </c:pt>
                <c:pt idx="10">
                  <c:v>-1.7151730253936769E-3</c:v>
                </c:pt>
                <c:pt idx="11">
                  <c:v>-1.6857234544809371E-3</c:v>
                </c:pt>
                <c:pt idx="12">
                  <c:v>-1.2767016362484371E-3</c:v>
                </c:pt>
                <c:pt idx="13">
                  <c:v>-1.4533990617248769E-3</c:v>
                </c:pt>
                <c:pt idx="14">
                  <c:v>-1.201441621693657E-3</c:v>
                </c:pt>
                <c:pt idx="15">
                  <c:v>-1.528659076279657E-3</c:v>
                </c:pt>
                <c:pt idx="16">
                  <c:v>-1.6431851853847569E-3</c:v>
                </c:pt>
                <c:pt idx="17">
                  <c:v>-1.230891192606397E-3</c:v>
                </c:pt>
                <c:pt idx="18">
                  <c:v>-8.1859719982803716E-4</c:v>
                </c:pt>
                <c:pt idx="19">
                  <c:v>-2.8850492339871716E-4</c:v>
                </c:pt>
                <c:pt idx="20">
                  <c:v>-2.0342838520635717E-4</c:v>
                </c:pt>
                <c:pt idx="21">
                  <c:v>-8.2357927009537178E-5</c:v>
                </c:pt>
                <c:pt idx="22">
                  <c:v>-3.3275308821637183E-5</c:v>
                </c:pt>
                <c:pt idx="23">
                  <c:v>-3.6049276340763714E-4</c:v>
                </c:pt>
                <c:pt idx="24">
                  <c:v>-2.9832144703629719E-4</c:v>
                </c:pt>
                <c:pt idx="25">
                  <c:v>-3.441318906783372E-4</c:v>
                </c:pt>
                <c:pt idx="26">
                  <c:v>-2.2960578157323717E-4</c:v>
                </c:pt>
                <c:pt idx="27">
                  <c:v>-1.9688403611463717E-4</c:v>
                </c:pt>
                <c:pt idx="28">
                  <c:v>-4.4884147614585718E-4</c:v>
                </c:pt>
                <c:pt idx="29">
                  <c:v>-5.7972845798025718E-4</c:v>
                </c:pt>
                <c:pt idx="30">
                  <c:v>-8.7095199256179709E-4</c:v>
                </c:pt>
                <c:pt idx="31">
                  <c:v>-1.3617781744407972E-3</c:v>
                </c:pt>
                <c:pt idx="32">
                  <c:v>-1.545019949008957E-3</c:v>
                </c:pt>
                <c:pt idx="33">
                  <c:v>-1.0607381162216771E-3</c:v>
                </c:pt>
                <c:pt idx="34">
                  <c:v>-6.9752674163121723E-4</c:v>
                </c:pt>
                <c:pt idx="35">
                  <c:v>-4.586579997834372E-4</c:v>
                </c:pt>
                <c:pt idx="36">
                  <c:v>-5.9452705188517179E-5</c:v>
                </c:pt>
                <c:pt idx="37">
                  <c:v>6.8162102100022815E-5</c:v>
                </c:pt>
                <c:pt idx="38">
                  <c:v>7.1434276645882818E-5</c:v>
                </c:pt>
                <c:pt idx="39">
                  <c:v>-3.0003134275777181E-5</c:v>
                </c:pt>
                <c:pt idx="40">
                  <c:v>-1.3144054519743717E-4</c:v>
                </c:pt>
                <c:pt idx="41">
                  <c:v>9.2629602745428191E-6</c:v>
                </c:pt>
                <c:pt idx="42">
                  <c:v>4.5427869851150283E-4</c:v>
                </c:pt>
                <c:pt idx="43">
                  <c:v>7.2914136036374274E-4</c:v>
                </c:pt>
                <c:pt idx="44">
                  <c:v>6.2770394944208286E-4</c:v>
                </c:pt>
                <c:pt idx="45">
                  <c:v>4.9354479306182276E-4</c:v>
                </c:pt>
                <c:pt idx="46">
                  <c:v>5.4917176034144279E-4</c:v>
                </c:pt>
                <c:pt idx="47">
                  <c:v>2.2849865484716282E-4</c:v>
                </c:pt>
                <c:pt idx="48">
                  <c:v>2.8896007549702816E-5</c:v>
                </c:pt>
                <c:pt idx="49">
                  <c:v>3.495691130439828E-4</c:v>
                </c:pt>
                <c:pt idx="50">
                  <c:v>6.8333091672170279E-4</c:v>
                </c:pt>
                <c:pt idx="51">
                  <c:v>7.5859093127648286E-4</c:v>
                </c:pt>
                <c:pt idx="52">
                  <c:v>5.1645001488284279E-4</c:v>
                </c:pt>
                <c:pt idx="53">
                  <c:v>2.1540995666372278E-4</c:v>
                </c:pt>
                <c:pt idx="54">
                  <c:v>-2.0997273429807715E-4</c:v>
                </c:pt>
                <c:pt idx="55">
                  <c:v>-1.4452924338087718E-4</c:v>
                </c:pt>
                <c:pt idx="56">
                  <c:v>-3.9648668341209713E-4</c:v>
                </c:pt>
                <c:pt idx="57">
                  <c:v>-8.1859719982803716E-4</c:v>
                </c:pt>
                <c:pt idx="58">
                  <c:v>-6.059058543471371E-4</c:v>
                </c:pt>
                <c:pt idx="59">
                  <c:v>-3.5722058886177716E-4</c:v>
                </c:pt>
                <c:pt idx="60">
                  <c:v>-3.277710179490372E-4</c:v>
                </c:pt>
                <c:pt idx="61">
                  <c:v>-9.5446625192977175E-5</c:v>
                </c:pt>
                <c:pt idx="62">
                  <c:v>-4.3091832459217178E-5</c:v>
                </c:pt>
                <c:pt idx="63">
                  <c:v>2.088656075720028E-4</c:v>
                </c:pt>
                <c:pt idx="64">
                  <c:v>7.4706451191742807E-5</c:v>
                </c:pt>
                <c:pt idx="65">
                  <c:v>6.4079264762552282E-4</c:v>
                </c:pt>
                <c:pt idx="66">
                  <c:v>4.5100652396564279E-4</c:v>
                </c:pt>
                <c:pt idx="67">
                  <c:v>5.9825437852934274E-4</c:v>
                </c:pt>
                <c:pt idx="68">
                  <c:v>1.0170927203994227E-3</c:v>
                </c:pt>
                <c:pt idx="69">
                  <c:v>1.1970623204217228E-3</c:v>
                </c:pt>
                <c:pt idx="70">
                  <c:v>1.1381631785962428E-3</c:v>
                </c:pt>
                <c:pt idx="71">
                  <c:v>1.1119857822293627E-3</c:v>
                </c:pt>
                <c:pt idx="72">
                  <c:v>9.2874400766120274E-4</c:v>
                </c:pt>
                <c:pt idx="73">
                  <c:v>1.0269092440370027E-3</c:v>
                </c:pt>
                <c:pt idx="74">
                  <c:v>6.9969178945100284E-4</c:v>
                </c:pt>
                <c:pt idx="75">
                  <c:v>1.1414353531421029E-3</c:v>
                </c:pt>
                <c:pt idx="76">
                  <c:v>1.0269092440370027E-3</c:v>
                </c:pt>
                <c:pt idx="77">
                  <c:v>8.7966138947330279E-4</c:v>
                </c:pt>
                <c:pt idx="78">
                  <c:v>1.1087136076835028E-3</c:v>
                </c:pt>
                <c:pt idx="79">
                  <c:v>8.403952949229827E-4</c:v>
                </c:pt>
                <c:pt idx="80">
                  <c:v>4.4446217487392281E-4</c:v>
                </c:pt>
                <c:pt idx="81">
                  <c:v>3.9537955668602281E-4</c:v>
                </c:pt>
                <c:pt idx="82">
                  <c:v>2.0232125848028279E-4</c:v>
                </c:pt>
                <c:pt idx="83">
                  <c:v>2.415873530306028E-4</c:v>
                </c:pt>
                <c:pt idx="84">
                  <c:v>1.4342211665480283E-4</c:v>
                </c:pt>
                <c:pt idx="85">
                  <c:v>3.2666389122296277E-4</c:v>
                </c:pt>
                <c:pt idx="86">
                  <c:v>1.4014994210894281E-4</c:v>
                </c:pt>
                <c:pt idx="87">
                  <c:v>2.3177082939302281E-4</c:v>
                </c:pt>
                <c:pt idx="88">
                  <c:v>3.4302476395226282E-4</c:v>
                </c:pt>
                <c:pt idx="89">
                  <c:v>1.4342211665480283E-4</c:v>
                </c:pt>
                <c:pt idx="90">
                  <c:v>6.4889927554162812E-5</c:v>
                </c:pt>
                <c:pt idx="91">
                  <c:v>-1.4452924338087718E-4</c:v>
                </c:pt>
                <c:pt idx="92">
                  <c:v>-1.4452924338087718E-4</c:v>
                </c:pt>
                <c:pt idx="93">
                  <c:v>-2.1324490884393717E-4</c:v>
                </c:pt>
                <c:pt idx="94">
                  <c:v>-4.7829104705859714E-4</c:v>
                </c:pt>
                <c:pt idx="95">
                  <c:v>-5.044684434254771E-4</c:v>
                </c:pt>
                <c:pt idx="96">
                  <c:v>-4.3248060341655712E-4</c:v>
                </c:pt>
                <c:pt idx="97">
                  <c:v>-3.6049276340763714E-4</c:v>
                </c:pt>
                <c:pt idx="98">
                  <c:v>-2.3615013066495717E-4</c:v>
                </c:pt>
                <c:pt idx="99">
                  <c:v>-1.8052316338533719E-4</c:v>
                </c:pt>
                <c:pt idx="100">
                  <c:v>-1.0526314883055717E-4</c:v>
                </c:pt>
                <c:pt idx="101">
                  <c:v>2.841256221267828E-4</c:v>
                </c:pt>
                <c:pt idx="102">
                  <c:v>5.4917176034144279E-4</c:v>
                </c:pt>
                <c:pt idx="103">
                  <c:v>2.2522648030130283E-4</c:v>
                </c:pt>
                <c:pt idx="104">
                  <c:v>1.4996646574652283E-4</c:v>
                </c:pt>
                <c:pt idx="105">
                  <c:v>2.677647493974828E-4</c:v>
                </c:pt>
                <c:pt idx="106">
                  <c:v>2.0559343302614281E-4</c:v>
                </c:pt>
                <c:pt idx="107">
                  <c:v>-2.3458785184057178E-5</c:v>
                </c:pt>
                <c:pt idx="108">
                  <c:v>-2.2960578157323717E-4</c:v>
                </c:pt>
                <c:pt idx="109">
                  <c:v>-2.5905535248597715E-4</c:v>
                </c:pt>
                <c:pt idx="110">
                  <c:v>-2.3615013066495717E-4</c:v>
                </c:pt>
                <c:pt idx="111">
                  <c:v>-3.8667015977451717E-4</c:v>
                </c:pt>
                <c:pt idx="112">
                  <c:v>-5.8627280707197705E-4</c:v>
                </c:pt>
                <c:pt idx="113">
                  <c:v>-4.8483539615031717E-4</c:v>
                </c:pt>
                <c:pt idx="114">
                  <c:v>-1.5107359247259718E-4</c:v>
                </c:pt>
                <c:pt idx="115">
                  <c:v>1.3687776756308282E-4</c:v>
                </c:pt>
                <c:pt idx="116">
                  <c:v>-7.5813577917817172E-5</c:v>
                </c:pt>
                <c:pt idx="117">
                  <c:v>5.5073403916582818E-5</c:v>
                </c:pt>
                <c:pt idx="118">
                  <c:v>-1.0370087000617181E-5</c:v>
                </c:pt>
                <c:pt idx="119">
                  <c:v>-8.2357927009537178E-5</c:v>
                </c:pt>
                <c:pt idx="120">
                  <c:v>-3.8012581068279719E-4</c:v>
                </c:pt>
                <c:pt idx="121">
                  <c:v>-3.3758754158661711E-4</c:v>
                </c:pt>
                <c:pt idx="122">
                  <c:v>-2.4923882884839713E-4</c:v>
                </c:pt>
                <c:pt idx="123">
                  <c:v>-8.5630101555397181E-5</c:v>
                </c:pt>
                <c:pt idx="124">
                  <c:v>-2.3287795611909716E-4</c:v>
                </c:pt>
                <c:pt idx="125">
                  <c:v>-2.6887187612355717E-4</c:v>
                </c:pt>
                <c:pt idx="126">
                  <c:v>-1.6743446520189716E-4</c:v>
                </c:pt>
                <c:pt idx="127">
                  <c:v>-7.0979124547571805E-6</c:v>
                </c:pt>
                <c:pt idx="128">
                  <c:v>-2.0670055975221716E-4</c:v>
                </c:pt>
                <c:pt idx="129">
                  <c:v>1.7287168756754281E-4</c:v>
                </c:pt>
                <c:pt idx="130">
                  <c:v>3.168473675853828E-4</c:v>
                </c:pt>
                <c:pt idx="131">
                  <c:v>3.9537955668602281E-4</c:v>
                </c:pt>
                <c:pt idx="132">
                  <c:v>2.8739779667264279E-4</c:v>
                </c:pt>
                <c:pt idx="133">
                  <c:v>2.677647493974828E-4</c:v>
                </c:pt>
                <c:pt idx="134">
                  <c:v>2.350430039388828E-4</c:v>
                </c:pt>
                <c:pt idx="135">
                  <c:v>3.168473675853828E-4</c:v>
                </c:pt>
                <c:pt idx="136">
                  <c:v>2.3831517848474281E-4</c:v>
                </c:pt>
                <c:pt idx="137">
                  <c:v>-9.5446625192977175E-5</c:v>
                </c:pt>
                <c:pt idx="138">
                  <c:v>8.1250800283462813E-5</c:v>
                </c:pt>
                <c:pt idx="139">
                  <c:v>2.415873530306028E-4</c:v>
                </c:pt>
                <c:pt idx="140">
                  <c:v>-8.5630101555397181E-5</c:v>
                </c:pt>
                <c:pt idx="141">
                  <c:v>7.1434276645882818E-5</c:v>
                </c:pt>
                <c:pt idx="142">
                  <c:v>9.7611673012762813E-5</c:v>
                </c:pt>
                <c:pt idx="143">
                  <c:v>1.4996646574652283E-4</c:v>
                </c:pt>
                <c:pt idx="144">
                  <c:v>-5.9452705188517179E-5</c:v>
                </c:pt>
                <c:pt idx="145">
                  <c:v>-4.7829104705859714E-4</c:v>
                </c:pt>
                <c:pt idx="146">
                  <c:v>-5.044684434254771E-4</c:v>
                </c:pt>
                <c:pt idx="147">
                  <c:v>-6.8116586890191707E-4</c:v>
                </c:pt>
                <c:pt idx="148">
                  <c:v>-7.6624240709427711E-4</c:v>
                </c:pt>
                <c:pt idx="149">
                  <c:v>-6.3862759980573721E-4</c:v>
                </c:pt>
                <c:pt idx="150">
                  <c:v>-1.0018389743961971E-3</c:v>
                </c:pt>
                <c:pt idx="151">
                  <c:v>-1.1098207344095771E-3</c:v>
                </c:pt>
                <c:pt idx="152">
                  <c:v>-1.1916250980560769E-3</c:v>
                </c:pt>
                <c:pt idx="153">
                  <c:v>-1.1196372580471571E-3</c:v>
                </c:pt>
                <c:pt idx="154">
                  <c:v>-1.0836433380426972E-3</c:v>
                </c:pt>
                <c:pt idx="155">
                  <c:v>-7.2370413799809714E-4</c:v>
                </c:pt>
                <c:pt idx="156">
                  <c:v>-5.9608933070955713E-4</c:v>
                </c:pt>
                <c:pt idx="157">
                  <c:v>-9.2330678529555714E-4</c:v>
                </c:pt>
                <c:pt idx="158">
                  <c:v>-6.9425456708535713E-4</c:v>
                </c:pt>
                <c:pt idx="159">
                  <c:v>-3.5394841431591717E-4</c:v>
                </c:pt>
                <c:pt idx="160">
                  <c:v>-5.9281715616369714E-4</c:v>
                </c:pt>
                <c:pt idx="161">
                  <c:v>-3.6049276340763714E-4</c:v>
                </c:pt>
                <c:pt idx="162">
                  <c:v>7.797862573760281E-5</c:v>
                </c:pt>
                <c:pt idx="163">
                  <c:v>2.2195430575544281E-4</c:v>
                </c:pt>
                <c:pt idx="164">
                  <c:v>2.2522648030130283E-4</c:v>
                </c:pt>
                <c:pt idx="165">
                  <c:v>-8.5630101555397181E-5</c:v>
                </c:pt>
                <c:pt idx="166">
                  <c:v>-4.3575277796241717E-4</c:v>
                </c:pt>
                <c:pt idx="167">
                  <c:v>-1.3144054519743717E-4</c:v>
                </c:pt>
                <c:pt idx="168">
                  <c:v>4.6736739669494279E-4</c:v>
                </c:pt>
                <c:pt idx="169">
                  <c:v>6.1788742580450278E-4</c:v>
                </c:pt>
                <c:pt idx="170">
                  <c:v>2.7103692394334279E-4</c:v>
                </c:pt>
                <c:pt idx="171">
                  <c:v>1.0088384755862282E-4</c:v>
                </c:pt>
                <c:pt idx="172">
                  <c:v>-6.926922882609718E-5</c:v>
                </c:pt>
                <c:pt idx="173">
                  <c:v>-3.6376493795349719E-4</c:v>
                </c:pt>
                <c:pt idx="174">
                  <c:v>-7.8260327982357717E-4</c:v>
                </c:pt>
                <c:pt idx="175">
                  <c:v>-1.2112581453312371E-3</c:v>
                </c:pt>
                <c:pt idx="176">
                  <c:v>-1.0836433380426972E-3</c:v>
                </c:pt>
                <c:pt idx="177">
                  <c:v>-4.9792409433375713E-4</c:v>
                </c:pt>
                <c:pt idx="178">
                  <c:v>-5.2737366524649714E-4</c:v>
                </c:pt>
                <c:pt idx="179">
                  <c:v>-5.5682323615923715E-4</c:v>
                </c:pt>
                <c:pt idx="180">
                  <c:v>-3.8339798522865718E-4</c:v>
                </c:pt>
                <c:pt idx="181">
                  <c:v>3.2168182095562818E-5</c:v>
                </c:pt>
                <c:pt idx="182">
                  <c:v>1.5323864029238282E-4</c:v>
                </c:pt>
                <c:pt idx="183">
                  <c:v>6.9314744035928275E-4</c:v>
                </c:pt>
                <c:pt idx="184">
                  <c:v>1.0694475131331827E-3</c:v>
                </c:pt>
                <c:pt idx="185">
                  <c:v>1.2526892877013428E-3</c:v>
                </c:pt>
                <c:pt idx="186">
                  <c:v>1.4653806331822426E-3</c:v>
                </c:pt>
                <c:pt idx="187">
                  <c:v>1.3214049531644026E-3</c:v>
                </c:pt>
                <c:pt idx="188">
                  <c:v>1.2886832077058027E-3</c:v>
                </c:pt>
                <c:pt idx="189">
                  <c:v>8.2076224764782277E-4</c:v>
                </c:pt>
                <c:pt idx="190">
                  <c:v>2.4813170212232281E-4</c:v>
                </c:pt>
                <c:pt idx="191">
                  <c:v>-6.926922882609718E-5</c:v>
                </c:pt>
                <c:pt idx="192">
                  <c:v>-5.6663975979681723E-4</c:v>
                </c:pt>
                <c:pt idx="193">
                  <c:v>-8.6113546892421712E-4</c:v>
                </c:pt>
                <c:pt idx="194">
                  <c:v>-1.3126955562528971E-3</c:v>
                </c:pt>
                <c:pt idx="195">
                  <c:v>-1.6431851853847569E-3</c:v>
                </c:pt>
                <c:pt idx="196">
                  <c:v>-1.8624208799573772E-3</c:v>
                </c:pt>
                <c:pt idx="197">
                  <c:v>-2.255081825460577E-3</c:v>
                </c:pt>
                <c:pt idx="198">
                  <c:v>-2.0063965599752169E-3</c:v>
                </c:pt>
                <c:pt idx="199">
                  <c:v>-2.2747148727357371E-3</c:v>
                </c:pt>
                <c:pt idx="200">
                  <c:v>-1.6726347562974972E-3</c:v>
                </c:pt>
                <c:pt idx="201">
                  <c:v>-1.1261816071388771E-3</c:v>
                </c:pt>
                <c:pt idx="202">
                  <c:v>-1.0541937671299571E-3</c:v>
                </c:pt>
                <c:pt idx="203">
                  <c:v>-5.1428496706305718E-4</c:v>
                </c:pt>
                <c:pt idx="204">
                  <c:v>-2.6559970157769719E-4</c:v>
                </c:pt>
                <c:pt idx="205">
                  <c:v>-3.5394841431591717E-4</c:v>
                </c:pt>
                <c:pt idx="206">
                  <c:v>-6.9098239253949714E-4</c:v>
                </c:pt>
                <c:pt idx="207">
                  <c:v>-2.0670055975221716E-4</c:v>
                </c:pt>
                <c:pt idx="208">
                  <c:v>4.9354479306182276E-4</c:v>
                </c:pt>
                <c:pt idx="209">
                  <c:v>4.6736739669494279E-4</c:v>
                </c:pt>
                <c:pt idx="210">
                  <c:v>7.0950831308858281E-4</c:v>
                </c:pt>
                <c:pt idx="211">
                  <c:v>5.8516568034590278E-4</c:v>
                </c:pt>
                <c:pt idx="212">
                  <c:v>6.1788742580450278E-4</c:v>
                </c:pt>
                <c:pt idx="213">
                  <c:v>5.2953871306628275E-4</c:v>
                </c:pt>
                <c:pt idx="214">
                  <c:v>4.313734766904828E-4</c:v>
                </c:pt>
                <c:pt idx="215">
                  <c:v>7.3568570945546283E-4</c:v>
                </c:pt>
                <c:pt idx="216">
                  <c:v>9.9745967312426273E-4</c:v>
                </c:pt>
                <c:pt idx="217">
                  <c:v>1.6388058841128228E-3</c:v>
                </c:pt>
                <c:pt idx="218">
                  <c:v>1.1905179713300029E-3</c:v>
                </c:pt>
                <c:pt idx="219">
                  <c:v>9.6801010221152272E-4</c:v>
                </c:pt>
                <c:pt idx="220">
                  <c:v>1.1316188295045228E-3</c:v>
                </c:pt>
                <c:pt idx="221">
                  <c:v>8.8620573856502277E-4</c:v>
                </c:pt>
                <c:pt idx="222">
                  <c:v>1.1218023058669428E-3</c:v>
                </c:pt>
                <c:pt idx="223">
                  <c:v>9.9745967312426273E-4</c:v>
                </c:pt>
                <c:pt idx="224">
                  <c:v>9.1238313493190268E-4</c:v>
                </c:pt>
                <c:pt idx="225">
                  <c:v>9.7782662584910279E-4</c:v>
                </c:pt>
                <c:pt idx="226">
                  <c:v>8.6330051674400274E-4</c:v>
                </c:pt>
                <c:pt idx="227">
                  <c:v>8.7966138947330279E-4</c:v>
                </c:pt>
                <c:pt idx="228">
                  <c:v>6.8660309126756277E-4</c:v>
                </c:pt>
                <c:pt idx="229">
                  <c:v>1.0399979422204427E-3</c:v>
                </c:pt>
                <c:pt idx="230">
                  <c:v>8.8947791311088287E-4</c:v>
                </c:pt>
                <c:pt idx="231">
                  <c:v>8.3057877128540284E-4</c:v>
                </c:pt>
                <c:pt idx="232">
                  <c:v>7.3895788400132282E-4</c:v>
                </c:pt>
                <c:pt idx="233">
                  <c:v>5.3608306215800273E-4</c:v>
                </c:pt>
                <c:pt idx="234">
                  <c:v>5.0008914215354274E-4</c:v>
                </c:pt>
                <c:pt idx="235">
                  <c:v>5.4262741124972281E-4</c:v>
                </c:pt>
                <c:pt idx="236">
                  <c:v>3.495691130439828E-4</c:v>
                </c:pt>
                <c:pt idx="237">
                  <c:v>4.2482912759876282E-4</c:v>
                </c:pt>
                <c:pt idx="238">
                  <c:v>4.4119000032806277E-4</c:v>
                </c:pt>
                <c:pt idx="239">
                  <c:v>3.1357519303952281E-4</c:v>
                </c:pt>
                <c:pt idx="240">
                  <c:v>3.5284128758984284E-4</c:v>
                </c:pt>
                <c:pt idx="241">
                  <c:v>4.5755087305736277E-4</c:v>
                </c:pt>
                <c:pt idx="242">
                  <c:v>6.2770394944208286E-4</c:v>
                </c:pt>
                <c:pt idx="243">
                  <c:v>8.3385094583126283E-4</c:v>
                </c:pt>
                <c:pt idx="244">
                  <c:v>7.0623613854272271E-4</c:v>
                </c:pt>
                <c:pt idx="245">
                  <c:v>9.5164922948222277E-4</c:v>
                </c:pt>
                <c:pt idx="246">
                  <c:v>1.1676127495089826E-3</c:v>
                </c:pt>
                <c:pt idx="247">
                  <c:v>9.8764314948668287E-4</c:v>
                </c:pt>
                <c:pt idx="248">
                  <c:v>7.9785702582680273E-4</c:v>
                </c:pt>
                <c:pt idx="249">
                  <c:v>8.5675616765228276E-4</c:v>
                </c:pt>
                <c:pt idx="250">
                  <c:v>9.5164922948222277E-4</c:v>
                </c:pt>
                <c:pt idx="251">
                  <c:v>9.418327058446428E-4</c:v>
                </c:pt>
                <c:pt idx="252">
                  <c:v>1.2297840658803227E-3</c:v>
                </c:pt>
                <c:pt idx="253">
                  <c:v>1.1348910040503827E-3</c:v>
                </c:pt>
                <c:pt idx="254">
                  <c:v>1.2461449386096228E-3</c:v>
                </c:pt>
                <c:pt idx="255">
                  <c:v>1.2461449386096228E-3</c:v>
                </c:pt>
              </c:numCache>
            </c:numRef>
          </c:yVal>
        </c:ser>
        <c:ser>
          <c:idx val="2"/>
          <c:order val="2"/>
          <c:tx>
            <c:strRef>
              <c:f>'pink noise'!$M$1</c:f>
              <c:strCache>
                <c:ptCount val="1"/>
                <c:pt idx="0">
                  <c:v>B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'pink noise'!$A$12:$A$267</c:f>
              <c:numCache>
                <c:formatCode>General</c:formatCode>
                <c:ptCount val="256"/>
                <c:pt idx="0">
                  <c:v>3000</c:v>
                </c:pt>
                <c:pt idx="1">
                  <c:v>3300</c:v>
                </c:pt>
                <c:pt idx="2">
                  <c:v>3600</c:v>
                </c:pt>
                <c:pt idx="3">
                  <c:v>3900</c:v>
                </c:pt>
                <c:pt idx="4">
                  <c:v>4200</c:v>
                </c:pt>
                <c:pt idx="5">
                  <c:v>4500</c:v>
                </c:pt>
                <c:pt idx="6">
                  <c:v>4800</c:v>
                </c:pt>
                <c:pt idx="7">
                  <c:v>5100</c:v>
                </c:pt>
                <c:pt idx="8">
                  <c:v>5400</c:v>
                </c:pt>
                <c:pt idx="9">
                  <c:v>5700</c:v>
                </c:pt>
                <c:pt idx="10">
                  <c:v>6000</c:v>
                </c:pt>
                <c:pt idx="11">
                  <c:v>6300</c:v>
                </c:pt>
                <c:pt idx="12">
                  <c:v>6600</c:v>
                </c:pt>
                <c:pt idx="13">
                  <c:v>6900</c:v>
                </c:pt>
                <c:pt idx="14">
                  <c:v>7200</c:v>
                </c:pt>
                <c:pt idx="15">
                  <c:v>7500</c:v>
                </c:pt>
                <c:pt idx="16">
                  <c:v>7800</c:v>
                </c:pt>
                <c:pt idx="17">
                  <c:v>8100</c:v>
                </c:pt>
                <c:pt idx="18">
                  <c:v>8400</c:v>
                </c:pt>
                <c:pt idx="19">
                  <c:v>8700</c:v>
                </c:pt>
                <c:pt idx="20">
                  <c:v>9000</c:v>
                </c:pt>
                <c:pt idx="21">
                  <c:v>9300</c:v>
                </c:pt>
                <c:pt idx="22">
                  <c:v>9600</c:v>
                </c:pt>
                <c:pt idx="23">
                  <c:v>9900</c:v>
                </c:pt>
                <c:pt idx="24">
                  <c:v>10200</c:v>
                </c:pt>
                <c:pt idx="25">
                  <c:v>10500</c:v>
                </c:pt>
                <c:pt idx="26">
                  <c:v>10800</c:v>
                </c:pt>
                <c:pt idx="27">
                  <c:v>11100</c:v>
                </c:pt>
                <c:pt idx="28">
                  <c:v>11400</c:v>
                </c:pt>
                <c:pt idx="29">
                  <c:v>11700</c:v>
                </c:pt>
                <c:pt idx="30">
                  <c:v>12000</c:v>
                </c:pt>
                <c:pt idx="31">
                  <c:v>12300</c:v>
                </c:pt>
                <c:pt idx="32">
                  <c:v>12600</c:v>
                </c:pt>
                <c:pt idx="33">
                  <c:v>12900</c:v>
                </c:pt>
                <c:pt idx="34">
                  <c:v>13200</c:v>
                </c:pt>
                <c:pt idx="35">
                  <c:v>13500</c:v>
                </c:pt>
                <c:pt idx="36">
                  <c:v>13800</c:v>
                </c:pt>
                <c:pt idx="37">
                  <c:v>14100</c:v>
                </c:pt>
                <c:pt idx="38">
                  <c:v>14400</c:v>
                </c:pt>
                <c:pt idx="39">
                  <c:v>14700</c:v>
                </c:pt>
                <c:pt idx="40">
                  <c:v>15000</c:v>
                </c:pt>
                <c:pt idx="41">
                  <c:v>15300</c:v>
                </c:pt>
                <c:pt idx="42">
                  <c:v>15600</c:v>
                </c:pt>
                <c:pt idx="43">
                  <c:v>15900</c:v>
                </c:pt>
                <c:pt idx="44">
                  <c:v>16200</c:v>
                </c:pt>
                <c:pt idx="45">
                  <c:v>16500</c:v>
                </c:pt>
                <c:pt idx="46">
                  <c:v>16800</c:v>
                </c:pt>
                <c:pt idx="47">
                  <c:v>17100</c:v>
                </c:pt>
                <c:pt idx="48">
                  <c:v>17400</c:v>
                </c:pt>
                <c:pt idx="49">
                  <c:v>17700</c:v>
                </c:pt>
                <c:pt idx="50">
                  <c:v>18000</c:v>
                </c:pt>
                <c:pt idx="51">
                  <c:v>18300</c:v>
                </c:pt>
                <c:pt idx="52">
                  <c:v>18600</c:v>
                </c:pt>
                <c:pt idx="53">
                  <c:v>18900</c:v>
                </c:pt>
                <c:pt idx="54">
                  <c:v>19200</c:v>
                </c:pt>
                <c:pt idx="55">
                  <c:v>19500</c:v>
                </c:pt>
                <c:pt idx="56">
                  <c:v>19800</c:v>
                </c:pt>
                <c:pt idx="57">
                  <c:v>20100</c:v>
                </c:pt>
                <c:pt idx="58">
                  <c:v>20400</c:v>
                </c:pt>
                <c:pt idx="59">
                  <c:v>20700</c:v>
                </c:pt>
                <c:pt idx="60">
                  <c:v>21000</c:v>
                </c:pt>
                <c:pt idx="61">
                  <c:v>21300</c:v>
                </c:pt>
                <c:pt idx="62">
                  <c:v>21600</c:v>
                </c:pt>
                <c:pt idx="63">
                  <c:v>21900</c:v>
                </c:pt>
                <c:pt idx="64">
                  <c:v>22200</c:v>
                </c:pt>
                <c:pt idx="65">
                  <c:v>22500</c:v>
                </c:pt>
                <c:pt idx="66">
                  <c:v>22800</c:v>
                </c:pt>
                <c:pt idx="67">
                  <c:v>23100</c:v>
                </c:pt>
                <c:pt idx="68">
                  <c:v>23400</c:v>
                </c:pt>
                <c:pt idx="69">
                  <c:v>23700</c:v>
                </c:pt>
                <c:pt idx="70">
                  <c:v>24000</c:v>
                </c:pt>
                <c:pt idx="71">
                  <c:v>24300</c:v>
                </c:pt>
                <c:pt idx="72">
                  <c:v>24600</c:v>
                </c:pt>
                <c:pt idx="73">
                  <c:v>24900</c:v>
                </c:pt>
                <c:pt idx="74">
                  <c:v>25200</c:v>
                </c:pt>
                <c:pt idx="75">
                  <c:v>25500</c:v>
                </c:pt>
                <c:pt idx="76">
                  <c:v>25800</c:v>
                </c:pt>
                <c:pt idx="77">
                  <c:v>26100</c:v>
                </c:pt>
                <c:pt idx="78">
                  <c:v>26400</c:v>
                </c:pt>
                <c:pt idx="79">
                  <c:v>26700</c:v>
                </c:pt>
                <c:pt idx="80">
                  <c:v>27000</c:v>
                </c:pt>
                <c:pt idx="81">
                  <c:v>27300</c:v>
                </c:pt>
                <c:pt idx="82">
                  <c:v>27600</c:v>
                </c:pt>
                <c:pt idx="83">
                  <c:v>27900</c:v>
                </c:pt>
                <c:pt idx="84">
                  <c:v>28200</c:v>
                </c:pt>
                <c:pt idx="85">
                  <c:v>28500</c:v>
                </c:pt>
                <c:pt idx="86">
                  <c:v>28800</c:v>
                </c:pt>
                <c:pt idx="87">
                  <c:v>29100</c:v>
                </c:pt>
                <c:pt idx="88">
                  <c:v>29400</c:v>
                </c:pt>
                <c:pt idx="89">
                  <c:v>29700</c:v>
                </c:pt>
                <c:pt idx="90">
                  <c:v>30000</c:v>
                </c:pt>
                <c:pt idx="91">
                  <c:v>30300</c:v>
                </c:pt>
                <c:pt idx="92">
                  <c:v>30600</c:v>
                </c:pt>
                <c:pt idx="93">
                  <c:v>30900</c:v>
                </c:pt>
                <c:pt idx="94">
                  <c:v>31200</c:v>
                </c:pt>
                <c:pt idx="95">
                  <c:v>31500</c:v>
                </c:pt>
                <c:pt idx="96">
                  <c:v>31800</c:v>
                </c:pt>
                <c:pt idx="97">
                  <c:v>32100</c:v>
                </c:pt>
                <c:pt idx="98">
                  <c:v>32400</c:v>
                </c:pt>
                <c:pt idx="99">
                  <c:v>32700</c:v>
                </c:pt>
                <c:pt idx="100">
                  <c:v>33000</c:v>
                </c:pt>
                <c:pt idx="101">
                  <c:v>33300</c:v>
                </c:pt>
                <c:pt idx="102">
                  <c:v>33600</c:v>
                </c:pt>
                <c:pt idx="103">
                  <c:v>33900</c:v>
                </c:pt>
                <c:pt idx="104">
                  <c:v>34200</c:v>
                </c:pt>
                <c:pt idx="105">
                  <c:v>34500</c:v>
                </c:pt>
                <c:pt idx="106">
                  <c:v>34800</c:v>
                </c:pt>
                <c:pt idx="107">
                  <c:v>35100</c:v>
                </c:pt>
                <c:pt idx="108">
                  <c:v>35400</c:v>
                </c:pt>
                <c:pt idx="109">
                  <c:v>35700</c:v>
                </c:pt>
                <c:pt idx="110">
                  <c:v>36000</c:v>
                </c:pt>
                <c:pt idx="111">
                  <c:v>36300</c:v>
                </c:pt>
                <c:pt idx="112">
                  <c:v>36600</c:v>
                </c:pt>
                <c:pt idx="113">
                  <c:v>36900</c:v>
                </c:pt>
                <c:pt idx="114">
                  <c:v>37200</c:v>
                </c:pt>
                <c:pt idx="115">
                  <c:v>37500</c:v>
                </c:pt>
                <c:pt idx="116">
                  <c:v>37800</c:v>
                </c:pt>
                <c:pt idx="117">
                  <c:v>38100</c:v>
                </c:pt>
                <c:pt idx="118">
                  <c:v>38400</c:v>
                </c:pt>
                <c:pt idx="119">
                  <c:v>38700</c:v>
                </c:pt>
                <c:pt idx="120">
                  <c:v>39000</c:v>
                </c:pt>
                <c:pt idx="121">
                  <c:v>39300</c:v>
                </c:pt>
                <c:pt idx="122">
                  <c:v>39600</c:v>
                </c:pt>
                <c:pt idx="123">
                  <c:v>39900</c:v>
                </c:pt>
                <c:pt idx="124">
                  <c:v>40200</c:v>
                </c:pt>
                <c:pt idx="125">
                  <c:v>40500</c:v>
                </c:pt>
                <c:pt idx="126">
                  <c:v>40800</c:v>
                </c:pt>
                <c:pt idx="127">
                  <c:v>41100</c:v>
                </c:pt>
                <c:pt idx="128">
                  <c:v>41400</c:v>
                </c:pt>
                <c:pt idx="129">
                  <c:v>41700</c:v>
                </c:pt>
                <c:pt idx="130">
                  <c:v>42000</c:v>
                </c:pt>
                <c:pt idx="131">
                  <c:v>42300</c:v>
                </c:pt>
                <c:pt idx="132">
                  <c:v>42600</c:v>
                </c:pt>
                <c:pt idx="133">
                  <c:v>42900</c:v>
                </c:pt>
                <c:pt idx="134">
                  <c:v>43200</c:v>
                </c:pt>
                <c:pt idx="135">
                  <c:v>43500</c:v>
                </c:pt>
                <c:pt idx="136">
                  <c:v>43800</c:v>
                </c:pt>
                <c:pt idx="137">
                  <c:v>44100</c:v>
                </c:pt>
                <c:pt idx="138">
                  <c:v>44400</c:v>
                </c:pt>
                <c:pt idx="139">
                  <c:v>44700</c:v>
                </c:pt>
                <c:pt idx="140">
                  <c:v>45000</c:v>
                </c:pt>
                <c:pt idx="141">
                  <c:v>45300</c:v>
                </c:pt>
                <c:pt idx="142">
                  <c:v>45600</c:v>
                </c:pt>
                <c:pt idx="143">
                  <c:v>45900</c:v>
                </c:pt>
                <c:pt idx="144">
                  <c:v>46200</c:v>
                </c:pt>
                <c:pt idx="145">
                  <c:v>46500</c:v>
                </c:pt>
                <c:pt idx="146">
                  <c:v>46800</c:v>
                </c:pt>
                <c:pt idx="147">
                  <c:v>47100</c:v>
                </c:pt>
                <c:pt idx="148">
                  <c:v>47400</c:v>
                </c:pt>
                <c:pt idx="149">
                  <c:v>47700</c:v>
                </c:pt>
                <c:pt idx="150">
                  <c:v>48000</c:v>
                </c:pt>
                <c:pt idx="151">
                  <c:v>48300</c:v>
                </c:pt>
                <c:pt idx="152">
                  <c:v>48600</c:v>
                </c:pt>
                <c:pt idx="153">
                  <c:v>48900</c:v>
                </c:pt>
                <c:pt idx="154">
                  <c:v>49200</c:v>
                </c:pt>
                <c:pt idx="155">
                  <c:v>49500</c:v>
                </c:pt>
                <c:pt idx="156">
                  <c:v>49800</c:v>
                </c:pt>
                <c:pt idx="157">
                  <c:v>50100</c:v>
                </c:pt>
                <c:pt idx="158">
                  <c:v>50400</c:v>
                </c:pt>
                <c:pt idx="159">
                  <c:v>50700</c:v>
                </c:pt>
                <c:pt idx="160">
                  <c:v>51000</c:v>
                </c:pt>
                <c:pt idx="161">
                  <c:v>51300</c:v>
                </c:pt>
                <c:pt idx="162">
                  <c:v>51600</c:v>
                </c:pt>
                <c:pt idx="163">
                  <c:v>51900</c:v>
                </c:pt>
                <c:pt idx="164">
                  <c:v>52200</c:v>
                </c:pt>
                <c:pt idx="165">
                  <c:v>52500</c:v>
                </c:pt>
                <c:pt idx="166">
                  <c:v>52800</c:v>
                </c:pt>
                <c:pt idx="167">
                  <c:v>53100</c:v>
                </c:pt>
                <c:pt idx="168">
                  <c:v>53400</c:v>
                </c:pt>
                <c:pt idx="169">
                  <c:v>53700</c:v>
                </c:pt>
                <c:pt idx="170">
                  <c:v>54000</c:v>
                </c:pt>
                <c:pt idx="171">
                  <c:v>54300</c:v>
                </c:pt>
                <c:pt idx="172">
                  <c:v>54600</c:v>
                </c:pt>
                <c:pt idx="173">
                  <c:v>54900</c:v>
                </c:pt>
                <c:pt idx="174">
                  <c:v>55200</c:v>
                </c:pt>
                <c:pt idx="175">
                  <c:v>55500</c:v>
                </c:pt>
                <c:pt idx="176">
                  <c:v>55800</c:v>
                </c:pt>
                <c:pt idx="177">
                  <c:v>56100</c:v>
                </c:pt>
                <c:pt idx="178">
                  <c:v>56400</c:v>
                </c:pt>
                <c:pt idx="179">
                  <c:v>56700</c:v>
                </c:pt>
                <c:pt idx="180">
                  <c:v>57000</c:v>
                </c:pt>
                <c:pt idx="181">
                  <c:v>57300</c:v>
                </c:pt>
                <c:pt idx="182">
                  <c:v>57600</c:v>
                </c:pt>
                <c:pt idx="183">
                  <c:v>57900</c:v>
                </c:pt>
                <c:pt idx="184">
                  <c:v>58200</c:v>
                </c:pt>
                <c:pt idx="185">
                  <c:v>58500</c:v>
                </c:pt>
                <c:pt idx="186">
                  <c:v>58800</c:v>
                </c:pt>
                <c:pt idx="187">
                  <c:v>59100</c:v>
                </c:pt>
                <c:pt idx="188">
                  <c:v>59400</c:v>
                </c:pt>
                <c:pt idx="189">
                  <c:v>59700</c:v>
                </c:pt>
                <c:pt idx="190">
                  <c:v>60000</c:v>
                </c:pt>
                <c:pt idx="191">
                  <c:v>60300</c:v>
                </c:pt>
                <c:pt idx="192">
                  <c:v>60600</c:v>
                </c:pt>
                <c:pt idx="193">
                  <c:v>60900</c:v>
                </c:pt>
                <c:pt idx="194">
                  <c:v>61200</c:v>
                </c:pt>
                <c:pt idx="195">
                  <c:v>61500</c:v>
                </c:pt>
                <c:pt idx="196">
                  <c:v>61800</c:v>
                </c:pt>
                <c:pt idx="197">
                  <c:v>62100</c:v>
                </c:pt>
                <c:pt idx="198">
                  <c:v>62400</c:v>
                </c:pt>
                <c:pt idx="199">
                  <c:v>62700</c:v>
                </c:pt>
                <c:pt idx="200">
                  <c:v>63000</c:v>
                </c:pt>
                <c:pt idx="201">
                  <c:v>63300</c:v>
                </c:pt>
                <c:pt idx="202">
                  <c:v>63600</c:v>
                </c:pt>
                <c:pt idx="203">
                  <c:v>63900</c:v>
                </c:pt>
                <c:pt idx="204">
                  <c:v>64200</c:v>
                </c:pt>
                <c:pt idx="205">
                  <c:v>64500</c:v>
                </c:pt>
                <c:pt idx="206">
                  <c:v>64800</c:v>
                </c:pt>
                <c:pt idx="207">
                  <c:v>65100</c:v>
                </c:pt>
                <c:pt idx="208">
                  <c:v>65400</c:v>
                </c:pt>
                <c:pt idx="209">
                  <c:v>65700</c:v>
                </c:pt>
                <c:pt idx="210">
                  <c:v>66000</c:v>
                </c:pt>
                <c:pt idx="211">
                  <c:v>66300</c:v>
                </c:pt>
                <c:pt idx="212">
                  <c:v>66600</c:v>
                </c:pt>
                <c:pt idx="213">
                  <c:v>66900</c:v>
                </c:pt>
                <c:pt idx="214">
                  <c:v>67200</c:v>
                </c:pt>
                <c:pt idx="215">
                  <c:v>67500</c:v>
                </c:pt>
                <c:pt idx="216">
                  <c:v>67800</c:v>
                </c:pt>
                <c:pt idx="217">
                  <c:v>68100</c:v>
                </c:pt>
                <c:pt idx="218">
                  <c:v>68400</c:v>
                </c:pt>
                <c:pt idx="219">
                  <c:v>68700</c:v>
                </c:pt>
                <c:pt idx="220">
                  <c:v>69000</c:v>
                </c:pt>
                <c:pt idx="221">
                  <c:v>69300</c:v>
                </c:pt>
                <c:pt idx="222">
                  <c:v>69600</c:v>
                </c:pt>
                <c:pt idx="223">
                  <c:v>69900</c:v>
                </c:pt>
                <c:pt idx="224">
                  <c:v>70200</c:v>
                </c:pt>
                <c:pt idx="225">
                  <c:v>70500</c:v>
                </c:pt>
                <c:pt idx="226">
                  <c:v>70800</c:v>
                </c:pt>
                <c:pt idx="227">
                  <c:v>71100</c:v>
                </c:pt>
                <c:pt idx="228">
                  <c:v>71400</c:v>
                </c:pt>
                <c:pt idx="229">
                  <c:v>71700</c:v>
                </c:pt>
                <c:pt idx="230">
                  <c:v>72000</c:v>
                </c:pt>
                <c:pt idx="231">
                  <c:v>72300</c:v>
                </c:pt>
                <c:pt idx="232">
                  <c:v>72600</c:v>
                </c:pt>
                <c:pt idx="233">
                  <c:v>72900</c:v>
                </c:pt>
                <c:pt idx="234">
                  <c:v>73200</c:v>
                </c:pt>
                <c:pt idx="235">
                  <c:v>73500</c:v>
                </c:pt>
                <c:pt idx="236">
                  <c:v>73800</c:v>
                </c:pt>
                <c:pt idx="237">
                  <c:v>74100</c:v>
                </c:pt>
                <c:pt idx="238">
                  <c:v>74400</c:v>
                </c:pt>
                <c:pt idx="239">
                  <c:v>74700</c:v>
                </c:pt>
                <c:pt idx="240">
                  <c:v>75000</c:v>
                </c:pt>
                <c:pt idx="241">
                  <c:v>75300</c:v>
                </c:pt>
                <c:pt idx="242">
                  <c:v>75600</c:v>
                </c:pt>
                <c:pt idx="243">
                  <c:v>75900</c:v>
                </c:pt>
                <c:pt idx="244">
                  <c:v>76200</c:v>
                </c:pt>
                <c:pt idx="245">
                  <c:v>76500</c:v>
                </c:pt>
                <c:pt idx="246">
                  <c:v>76800</c:v>
                </c:pt>
                <c:pt idx="247">
                  <c:v>77100</c:v>
                </c:pt>
                <c:pt idx="248">
                  <c:v>77400</c:v>
                </c:pt>
                <c:pt idx="249">
                  <c:v>77700</c:v>
                </c:pt>
                <c:pt idx="250">
                  <c:v>78000</c:v>
                </c:pt>
                <c:pt idx="251">
                  <c:v>78300</c:v>
                </c:pt>
                <c:pt idx="252">
                  <c:v>78600</c:v>
                </c:pt>
                <c:pt idx="253">
                  <c:v>78900</c:v>
                </c:pt>
                <c:pt idx="254">
                  <c:v>79200</c:v>
                </c:pt>
                <c:pt idx="255">
                  <c:v>79500</c:v>
                </c:pt>
              </c:numCache>
            </c:numRef>
          </c:xVal>
          <c:yVal>
            <c:numRef>
              <c:f>'pink noise'!$M$12:$M$267</c:f>
              <c:numCache>
                <c:formatCode>0.00%</c:formatCode>
                <c:ptCount val="256"/>
                <c:pt idx="0">
                  <c:v>-1.1161864662238487E-3</c:v>
                </c:pt>
                <c:pt idx="1">
                  <c:v>-1.4475904083080774E-3</c:v>
                </c:pt>
                <c:pt idx="2">
                  <c:v>-1.8032434193252986E-3</c:v>
                </c:pt>
                <c:pt idx="3">
                  <c:v>-1.7951603963476345E-3</c:v>
                </c:pt>
                <c:pt idx="4">
                  <c:v>-1.8113264423029625E-3</c:v>
                </c:pt>
                <c:pt idx="5">
                  <c:v>-1.9810699248339093E-3</c:v>
                </c:pt>
                <c:pt idx="6">
                  <c:v>-1.5365036610623828E-3</c:v>
                </c:pt>
                <c:pt idx="7">
                  <c:v>-1.617333890839024E-3</c:v>
                </c:pt>
                <c:pt idx="8">
                  <c:v>-1.5284206380847187E-3</c:v>
                </c:pt>
                <c:pt idx="9">
                  <c:v>-1.3748432015091004E-3</c:v>
                </c:pt>
                <c:pt idx="10">
                  <c:v>-1.4314243623527493E-3</c:v>
                </c:pt>
                <c:pt idx="11">
                  <c:v>-1.4071752934197569E-3</c:v>
                </c:pt>
                <c:pt idx="12">
                  <c:v>-1.5445866840400467E-3</c:v>
                </c:pt>
                <c:pt idx="13">
                  <c:v>-1.5445866840400467E-3</c:v>
                </c:pt>
                <c:pt idx="14">
                  <c:v>-1.8598245801689473E-3</c:v>
                </c:pt>
                <c:pt idx="15">
                  <c:v>-1.7628283044369782E-3</c:v>
                </c:pt>
                <c:pt idx="16">
                  <c:v>-1.7466622584816497E-3</c:v>
                </c:pt>
                <c:pt idx="17">
                  <c:v>-1.8759906261242758E-3</c:v>
                </c:pt>
                <c:pt idx="18">
                  <c:v>-1.5365036610623828E-3</c:v>
                </c:pt>
                <c:pt idx="19">
                  <c:v>-1.1161864662238487E-3</c:v>
                </c:pt>
                <c:pt idx="20">
                  <c:v>-9.6260902964823039E-4</c:v>
                </c:pt>
                <c:pt idx="21">
                  <c:v>-1.2212657649334822E-3</c:v>
                </c:pt>
                <c:pt idx="22">
                  <c:v>-1.1727676270674977E-3</c:v>
                </c:pt>
                <c:pt idx="23">
                  <c:v>-1.3182620406654516E-3</c:v>
                </c:pt>
                <c:pt idx="24">
                  <c:v>-1.2293487879111464E-3</c:v>
                </c:pt>
                <c:pt idx="25">
                  <c:v>-1.0353562364472076E-3</c:v>
                </c:pt>
                <c:pt idx="26">
                  <c:v>-7.5245043222896344E-4</c:v>
                </c:pt>
                <c:pt idx="27">
                  <c:v>-4.5337858205539118E-4</c:v>
                </c:pt>
                <c:pt idx="28">
                  <c:v>-3.4021626036809358E-4</c:v>
                </c:pt>
                <c:pt idx="29">
                  <c:v>-4.2104649014473476E-4</c:v>
                </c:pt>
                <c:pt idx="30">
                  <c:v>-7.9286554711728411E-4</c:v>
                </c:pt>
                <c:pt idx="31">
                  <c:v>-1.3748432015091004E-3</c:v>
                </c:pt>
                <c:pt idx="32">
                  <c:v>-1.0515222824025356E-3</c:v>
                </c:pt>
                <c:pt idx="33">
                  <c:v>-5.2612578885436823E-4</c:v>
                </c:pt>
                <c:pt idx="34">
                  <c:v>1.1243302638109695E-4</c:v>
                </c:pt>
                <c:pt idx="35">
                  <c:v>2.4984441700138691E-4</c:v>
                </c:pt>
                <c:pt idx="36">
                  <c:v>4.1958789953233341E-4</c:v>
                </c:pt>
                <c:pt idx="37">
                  <c:v>2.7409348593437926E-4</c:v>
                </c:pt>
                <c:pt idx="38">
                  <c:v>-4.9227433172185385E-5</c:v>
                </c:pt>
                <c:pt idx="39">
                  <c:v>-2.8363509952444475E-4</c:v>
                </c:pt>
                <c:pt idx="40">
                  <c:v>-2.4978364239193037E-5</c:v>
                </c:pt>
                <c:pt idx="41">
                  <c:v>7.3537276714634283E-6</c:v>
                </c:pt>
                <c:pt idx="42">
                  <c:v>6.6207858886225678E-4</c:v>
                </c:pt>
                <c:pt idx="43">
                  <c:v>6.9441068077291332E-4</c:v>
                </c:pt>
                <c:pt idx="44">
                  <c:v>6.2974649695160035E-4</c:v>
                </c:pt>
                <c:pt idx="45">
                  <c:v>4.5191999144298983E-4</c:v>
                </c:pt>
                <c:pt idx="46">
                  <c:v>6.2974649695160035E-4</c:v>
                </c:pt>
                <c:pt idx="47">
                  <c:v>5.2466719824196693E-4</c:v>
                </c:pt>
                <c:pt idx="48">
                  <c:v>7.7524091054955455E-4</c:v>
                </c:pt>
                <c:pt idx="49">
                  <c:v>1.0338976458348062E-3</c:v>
                </c:pt>
                <c:pt idx="50">
                  <c:v>1.4057167028073555E-3</c:v>
                </c:pt>
                <c:pt idx="51">
                  <c:v>1.2763883351647298E-3</c:v>
                </c:pt>
                <c:pt idx="52">
                  <c:v>1.365301587919035E-3</c:v>
                </c:pt>
                <c:pt idx="53">
                  <c:v>9.6115043903582909E-4</c:v>
                </c:pt>
                <c:pt idx="54">
                  <c:v>5.7316533610795152E-4</c:v>
                </c:pt>
                <c:pt idx="55">
                  <c:v>3.95338830599341E-4</c:v>
                </c:pt>
                <c:pt idx="56">
                  <c:v>3.1602796604455773E-5</c:v>
                </c:pt>
                <c:pt idx="57">
                  <c:v>-3.3061387216857151E-5</c:v>
                </c:pt>
                <c:pt idx="58">
                  <c:v>1.6901418722474574E-4</c:v>
                </c:pt>
                <c:pt idx="59">
                  <c:v>-1.058085940158342E-4</c:v>
                </c:pt>
                <c:pt idx="60">
                  <c:v>-8.9642548060505961E-5</c:v>
                </c:pt>
                <c:pt idx="61">
                  <c:v>-7.2929530620068759E-7</c:v>
                </c:pt>
                <c:pt idx="62">
                  <c:v>5.5851865537448121E-5</c:v>
                </c:pt>
                <c:pt idx="63">
                  <c:v>1.8518023318007398E-4</c:v>
                </c:pt>
                <c:pt idx="64">
                  <c:v>3.4684069273335631E-4</c:v>
                </c:pt>
                <c:pt idx="65">
                  <c:v>4.8425208335364626E-4</c:v>
                </c:pt>
                <c:pt idx="66">
                  <c:v>4.1958789953233341E-4</c:v>
                </c:pt>
                <c:pt idx="67">
                  <c:v>8.1565602543787511E-4</c:v>
                </c:pt>
                <c:pt idx="68">
                  <c:v>8.1565602543787511E-4</c:v>
                </c:pt>
                <c:pt idx="69">
                  <c:v>6.9441068077291332E-4</c:v>
                </c:pt>
                <c:pt idx="70">
                  <c:v>7.7524091054955455E-4</c:v>
                </c:pt>
                <c:pt idx="71">
                  <c:v>7.6715788757189031E-4</c:v>
                </c:pt>
                <c:pt idx="72">
                  <c:v>5.7316533610795152E-4</c:v>
                </c:pt>
                <c:pt idx="73">
                  <c:v>4.8425208335364626E-4</c:v>
                </c:pt>
                <c:pt idx="74">
                  <c:v>2.7409348593437926E-4</c:v>
                </c:pt>
                <c:pt idx="75">
                  <c:v>6.3782951992926449E-4</c:v>
                </c:pt>
                <c:pt idx="76">
                  <c:v>9.0456927819218037E-4</c:v>
                </c:pt>
                <c:pt idx="77">
                  <c:v>1.0743127607231269E-3</c:v>
                </c:pt>
                <c:pt idx="78">
                  <c:v>1.0581467147677986E-3</c:v>
                </c:pt>
                <c:pt idx="79">
                  <c:v>8.6415416330385981E-4</c:v>
                </c:pt>
                <c:pt idx="80">
                  <c:v>9.369013701028368E-4</c:v>
                </c:pt>
                <c:pt idx="81">
                  <c:v>8.4798811734853154E-4</c:v>
                </c:pt>
                <c:pt idx="82">
                  <c:v>6.7824463481758516E-4</c:v>
                </c:pt>
                <c:pt idx="83">
                  <c:v>6.5399556588459275E-4</c:v>
                </c:pt>
                <c:pt idx="84">
                  <c:v>7.1057672672824158E-4</c:v>
                </c:pt>
                <c:pt idx="85">
                  <c:v>7.9140695650488271E-4</c:v>
                </c:pt>
                <c:pt idx="86">
                  <c:v>6.0549742801860806E-4</c:v>
                </c:pt>
                <c:pt idx="87">
                  <c:v>8.6415416330385981E-4</c:v>
                </c:pt>
                <c:pt idx="88">
                  <c:v>7.8332393352721858E-4</c:v>
                </c:pt>
                <c:pt idx="89">
                  <c:v>6.7016161183992091E-4</c:v>
                </c:pt>
                <c:pt idx="90">
                  <c:v>5.165841752643028E-4</c:v>
                </c:pt>
                <c:pt idx="91">
                  <c:v>7.2017911492776356E-5</c:v>
                </c:pt>
                <c:pt idx="92">
                  <c:v>-5.7310456149849506E-5</c:v>
                </c:pt>
                <c:pt idx="93">
                  <c:v>-1.689534126152892E-5</c:v>
                </c:pt>
                <c:pt idx="94">
                  <c:v>-2.4978364239193037E-5</c:v>
                </c:pt>
                <c:pt idx="95">
                  <c:v>-6.5393479127513627E-5</c:v>
                </c:pt>
                <c:pt idx="96">
                  <c:v>1.2859907233642517E-4</c:v>
                </c:pt>
                <c:pt idx="97">
                  <c:v>1.4476511829175339E-4</c:v>
                </c:pt>
                <c:pt idx="98">
                  <c:v>5.5851865537448121E-5</c:v>
                </c:pt>
                <c:pt idx="99">
                  <c:v>1.2859907233642517E-4</c:v>
                </c:pt>
                <c:pt idx="100">
                  <c:v>-1.689534126152892E-5</c:v>
                </c:pt>
                <c:pt idx="101">
                  <c:v>2.7409348593437926E-4</c:v>
                </c:pt>
                <c:pt idx="102">
                  <c:v>3.8725580762167687E-4</c:v>
                </c:pt>
                <c:pt idx="103">
                  <c:v>2.4984441700138691E-4</c:v>
                </c:pt>
                <c:pt idx="104">
                  <c:v>3.8725580762167687E-4</c:v>
                </c:pt>
                <c:pt idx="105">
                  <c:v>1.6093116424708163E-4</c:v>
                </c:pt>
                <c:pt idx="106">
                  <c:v>8.0100934470440476E-5</c:v>
                </c:pt>
                <c:pt idx="107">
                  <c:v>-4.9227433172185385E-5</c:v>
                </c:pt>
                <c:pt idx="108">
                  <c:v>-4.695446280107194E-4</c:v>
                </c:pt>
                <c:pt idx="109">
                  <c:v>-6.0695601863100946E-4</c:v>
                </c:pt>
                <c:pt idx="110">
                  <c:v>-9.0602786880458178E-4</c:v>
                </c:pt>
                <c:pt idx="111">
                  <c:v>-7.2820136329597115E-4</c:v>
                </c:pt>
                <c:pt idx="112">
                  <c:v>-7.1203531734064299E-4</c:v>
                </c:pt>
                <c:pt idx="113">
                  <c:v>-5.0995974289904007E-4</c:v>
                </c:pt>
                <c:pt idx="114">
                  <c:v>-3.078841684574371E-4</c:v>
                </c:pt>
                <c:pt idx="115">
                  <c:v>-1.7047277783714714E-4</c:v>
                </c:pt>
                <c:pt idx="116">
                  <c:v>-1.7855580081481125E-4</c:v>
                </c:pt>
                <c:pt idx="117">
                  <c:v>-1.058085940158342E-4</c:v>
                </c:pt>
                <c:pt idx="118">
                  <c:v>-3.2405021441276531E-4</c:v>
                </c:pt>
                <c:pt idx="119">
                  <c:v>-1.543067318818189E-4</c:v>
                </c:pt>
                <c:pt idx="120">
                  <c:v>-1.689534126152892E-5</c:v>
                </c:pt>
                <c:pt idx="121">
                  <c:v>1.6093116424708163E-4</c:v>
                </c:pt>
                <c:pt idx="122">
                  <c:v>4.7768842559784014E-5</c:v>
                </c:pt>
                <c:pt idx="123">
                  <c:v>9.6266980425768704E-5</c:v>
                </c:pt>
                <c:pt idx="124">
                  <c:v>1.0435000340343281E-4</c:v>
                </c:pt>
                <c:pt idx="125">
                  <c:v>1.0435000340343281E-4</c:v>
                </c:pt>
                <c:pt idx="126">
                  <c:v>1.4476511829175339E-4</c:v>
                </c:pt>
                <c:pt idx="127">
                  <c:v>3.2259162380036396E-4</c:v>
                </c:pt>
                <c:pt idx="128">
                  <c:v>8.0100934470440476E-5</c:v>
                </c:pt>
                <c:pt idx="129">
                  <c:v>2.0942930211306635E-4</c:v>
                </c:pt>
                <c:pt idx="130">
                  <c:v>3.0642557784503574E-4</c:v>
                </c:pt>
                <c:pt idx="131">
                  <c:v>3.9685819582119894E-5</c:v>
                </c:pt>
                <c:pt idx="132">
                  <c:v>5.5851865537448121E-5</c:v>
                </c:pt>
                <c:pt idx="133">
                  <c:v>1.4476511829175339E-4</c:v>
                </c:pt>
                <c:pt idx="134">
                  <c:v>3.1602796604455773E-5</c:v>
                </c:pt>
                <c:pt idx="135">
                  <c:v>1.0435000340343281E-4</c:v>
                </c:pt>
                <c:pt idx="136">
                  <c:v>5.5851865537448121E-5</c:v>
                </c:pt>
                <c:pt idx="137">
                  <c:v>-8.9642548060505961E-5</c:v>
                </c:pt>
                <c:pt idx="138">
                  <c:v>1.2051604935876105E-4</c:v>
                </c:pt>
                <c:pt idx="139">
                  <c:v>2.6601046295671513E-4</c:v>
                </c:pt>
                <c:pt idx="140">
                  <c:v>2.7409348593437926E-4</c:v>
                </c:pt>
                <c:pt idx="141">
                  <c:v>4.2767092250999749E-4</c:v>
                </c:pt>
                <c:pt idx="142">
                  <c:v>5.0850115228663866E-4</c:v>
                </c:pt>
                <c:pt idx="143">
                  <c:v>6.4591254290692862E-4</c:v>
                </c:pt>
                <c:pt idx="144">
                  <c:v>3.95338830599341E-4</c:v>
                </c:pt>
                <c:pt idx="145">
                  <c:v>5.5851865537448121E-5</c:v>
                </c:pt>
                <c:pt idx="146">
                  <c:v>5.5851865537448121E-5</c:v>
                </c:pt>
                <c:pt idx="147">
                  <c:v>-1.058085940158342E-4</c:v>
                </c:pt>
                <c:pt idx="148">
                  <c:v>-3.8063137525641414E-4</c:v>
                </c:pt>
                <c:pt idx="149">
                  <c:v>-8.2519763902794054E-4</c:v>
                </c:pt>
                <c:pt idx="150">
                  <c:v>-1.0353562364472076E-3</c:v>
                </c:pt>
                <c:pt idx="151">
                  <c:v>-1.2131827419558181E-3</c:v>
                </c:pt>
                <c:pt idx="152">
                  <c:v>-1.4799225002187339E-3</c:v>
                </c:pt>
                <c:pt idx="153">
                  <c:v>-1.3990922704420928E-3</c:v>
                </c:pt>
                <c:pt idx="154">
                  <c:v>-1.3586771555537721E-3</c:v>
                </c:pt>
                <c:pt idx="155">
                  <c:v>-1.3263450636431158E-3</c:v>
                </c:pt>
                <c:pt idx="156">
                  <c:v>-1.132352512179177E-3</c:v>
                </c:pt>
                <c:pt idx="157">
                  <c:v>-1.4475904083080774E-3</c:v>
                </c:pt>
                <c:pt idx="158">
                  <c:v>-1.2535978568441388E-3</c:v>
                </c:pt>
                <c:pt idx="159">
                  <c:v>-9.0602786880458178E-4</c:v>
                </c:pt>
                <c:pt idx="160">
                  <c:v>-6.5545415649699405E-4</c:v>
                </c:pt>
                <c:pt idx="161">
                  <c:v>-2.3513696165846005E-4</c:v>
                </c:pt>
                <c:pt idx="162">
                  <c:v>1.0435000340343281E-4</c:v>
                </c:pt>
                <c:pt idx="163">
                  <c:v>3.3875766975569217E-4</c:v>
                </c:pt>
                <c:pt idx="164">
                  <c:v>-1.689534126152892E-5</c:v>
                </c:pt>
                <c:pt idx="165">
                  <c:v>-3.8063137525641414E-4</c:v>
                </c:pt>
                <c:pt idx="166">
                  <c:v>-3.8871439823407822E-4</c:v>
                </c:pt>
                <c:pt idx="167">
                  <c:v>-3.1596719143510123E-4</c:v>
                </c:pt>
                <c:pt idx="168">
                  <c:v>3.0642557784503574E-4</c:v>
                </c:pt>
                <c:pt idx="169">
                  <c:v>5.9741440504094392E-4</c:v>
                </c:pt>
                <c:pt idx="170">
                  <c:v>5.2466719824196693E-4</c:v>
                </c:pt>
                <c:pt idx="171">
                  <c:v>2.7409348593437926E-4</c:v>
                </c:pt>
                <c:pt idx="172">
                  <c:v>-1.4622370890415479E-4</c:v>
                </c:pt>
                <c:pt idx="173">
                  <c:v>-1.8663882379247535E-4</c:v>
                </c:pt>
                <c:pt idx="174">
                  <c:v>-6.9586927138531472E-4</c:v>
                </c:pt>
                <c:pt idx="175">
                  <c:v>-4.8571067396604772E-4</c:v>
                </c:pt>
                <c:pt idx="176">
                  <c:v>-1.7047277783714714E-4</c:v>
                </c:pt>
                <c:pt idx="177">
                  <c:v>1.6093116424708163E-4</c:v>
                </c:pt>
                <c:pt idx="178">
                  <c:v>3.1450860082269982E-4</c:v>
                </c:pt>
                <c:pt idx="179">
                  <c:v>1.5284814126941752E-4</c:v>
                </c:pt>
                <c:pt idx="180">
                  <c:v>7.2017911492776356E-5</c:v>
                </c:pt>
                <c:pt idx="181">
                  <c:v>2.7409348593437926E-4</c:v>
                </c:pt>
                <c:pt idx="182">
                  <c:v>5.165841752643028E-4</c:v>
                </c:pt>
                <c:pt idx="183">
                  <c:v>1.0258146228571421E-3</c:v>
                </c:pt>
                <c:pt idx="184">
                  <c:v>1.0662297377454625E-3</c:v>
                </c:pt>
                <c:pt idx="185">
                  <c:v>1.6562904151149432E-3</c:v>
                </c:pt>
                <c:pt idx="186">
                  <c:v>1.6077922772489584E-3</c:v>
                </c:pt>
                <c:pt idx="187">
                  <c:v>1.3410525189860426E-3</c:v>
                </c:pt>
                <c:pt idx="188">
                  <c:v>1.4057167028073555E-3</c:v>
                </c:pt>
                <c:pt idx="189">
                  <c:v>1.1228108985891115E-3</c:v>
                </c:pt>
                <c:pt idx="190">
                  <c:v>5.0041812930897453E-4</c:v>
                </c:pt>
                <c:pt idx="191">
                  <c:v>1.4476511829175339E-4</c:v>
                </c:pt>
                <c:pt idx="192">
                  <c:v>-5.6654090374268879E-4</c:v>
                </c:pt>
                <c:pt idx="193">
                  <c:v>-8.413636849832687E-4</c:v>
                </c:pt>
                <c:pt idx="194">
                  <c:v>-1.0191901904918793E-3</c:v>
                </c:pt>
                <c:pt idx="195">
                  <c:v>-1.4556734312857415E-3</c:v>
                </c:pt>
                <c:pt idx="196">
                  <c:v>-1.972986901856245E-3</c:v>
                </c:pt>
                <c:pt idx="197">
                  <c:v>-1.8355755112359549E-3</c:v>
                </c:pt>
                <c:pt idx="198">
                  <c:v>-1.5041715691517263E-3</c:v>
                </c:pt>
                <c:pt idx="199">
                  <c:v>-1.5769187759507033E-3</c:v>
                </c:pt>
                <c:pt idx="200">
                  <c:v>-1.2131827419558181E-3</c:v>
                </c:pt>
                <c:pt idx="201">
                  <c:v>-8.4944670796093294E-4</c:v>
                </c:pt>
                <c:pt idx="202">
                  <c:v>-5.3420881183203236E-4</c:v>
                </c:pt>
                <c:pt idx="203">
                  <c:v>1.5436750649127546E-5</c:v>
                </c:pt>
                <c:pt idx="204">
                  <c:v>2.3367837104605867E-4</c:v>
                </c:pt>
                <c:pt idx="205">
                  <c:v>-1.1389161699349831E-4</c:v>
                </c:pt>
                <c:pt idx="206">
                  <c:v>3.3067464677802804E-4</c:v>
                </c:pt>
                <c:pt idx="207">
                  <c:v>7.9140695650488271E-4</c:v>
                </c:pt>
                <c:pt idx="208">
                  <c:v>6.9441068077291332E-4</c:v>
                </c:pt>
                <c:pt idx="209">
                  <c:v>5.3275022121963096E-4</c:v>
                </c:pt>
                <c:pt idx="210">
                  <c:v>7.1057672672824158E-4</c:v>
                </c:pt>
                <c:pt idx="211">
                  <c:v>6.9441068077291332E-4</c:v>
                </c:pt>
                <c:pt idx="212">
                  <c:v>8.7223718628152383E-4</c:v>
                </c:pt>
                <c:pt idx="213">
                  <c:v>7.9140695650488271E-4</c:v>
                </c:pt>
                <c:pt idx="214">
                  <c:v>7.9948997948254674E-4</c:v>
                </c:pt>
                <c:pt idx="215">
                  <c:v>6.5399556588459275E-4</c:v>
                </c:pt>
                <c:pt idx="216">
                  <c:v>1.0985618296561193E-3</c:v>
                </c:pt>
                <c:pt idx="217">
                  <c:v>8.8032020925918797E-4</c:v>
                </c:pt>
                <c:pt idx="218">
                  <c:v>9.2881834712517266E-4</c:v>
                </c:pt>
                <c:pt idx="219">
                  <c:v>1.0096485769018138E-3</c:v>
                </c:pt>
                <c:pt idx="220">
                  <c:v>1.0419806688124703E-3</c:v>
                </c:pt>
                <c:pt idx="221">
                  <c:v>9.8539950796882139E-4</c:v>
                </c:pt>
                <c:pt idx="222">
                  <c:v>1.0419806688124703E-3</c:v>
                </c:pt>
                <c:pt idx="223">
                  <c:v>1.0015655539241497E-3</c:v>
                </c:pt>
                <c:pt idx="224">
                  <c:v>7.4290881863889801E-4</c:v>
                </c:pt>
                <c:pt idx="225">
                  <c:v>7.0249370375057745E-4</c:v>
                </c:pt>
                <c:pt idx="226">
                  <c:v>8.0757300246021098E-4</c:v>
                </c:pt>
                <c:pt idx="227">
                  <c:v>4.2767092250999749E-4</c:v>
                </c:pt>
                <c:pt idx="228">
                  <c:v>5.165841752643028E-4</c:v>
                </c:pt>
                <c:pt idx="229">
                  <c:v>1.2051604935876105E-4</c:v>
                </c:pt>
                <c:pt idx="230">
                  <c:v>9.6266980425768704E-5</c:v>
                </c:pt>
                <c:pt idx="231">
                  <c:v>-8.8123182838648044E-6</c:v>
                </c:pt>
                <c:pt idx="232">
                  <c:v>-2.9171812250210888E-4</c:v>
                </c:pt>
                <c:pt idx="233">
                  <c:v>-6.2312206458633762E-4</c:v>
                </c:pt>
                <c:pt idx="234">
                  <c:v>-5.2612578885436823E-4</c:v>
                </c:pt>
                <c:pt idx="235">
                  <c:v>-3.8871439823407822E-4</c:v>
                </c:pt>
                <c:pt idx="236">
                  <c:v>-5.0187671992137594E-4</c:v>
                </c:pt>
                <c:pt idx="237">
                  <c:v>-3.5638230632342179E-4</c:v>
                </c:pt>
                <c:pt idx="238">
                  <c:v>-4.0488044418940654E-4</c:v>
                </c:pt>
                <c:pt idx="239">
                  <c:v>-2.5130300761378832E-4</c:v>
                </c:pt>
                <c:pt idx="240">
                  <c:v>2.3519773626791663E-5</c:v>
                </c:pt>
                <c:pt idx="241">
                  <c:v>-1.6238975485948301E-4</c:v>
                </c:pt>
                <c:pt idx="242">
                  <c:v>3.1602796604455773E-5</c:v>
                </c:pt>
                <c:pt idx="243">
                  <c:v>1.8518023318007398E-4</c:v>
                </c:pt>
                <c:pt idx="244">
                  <c:v>2.0134627913540219E-4</c:v>
                </c:pt>
                <c:pt idx="245">
                  <c:v>2.3367837104605867E-4</c:v>
                </c:pt>
                <c:pt idx="246">
                  <c:v>4.923351063313104E-4</c:v>
                </c:pt>
                <c:pt idx="247">
                  <c:v>5.0041812930897453E-4</c:v>
                </c:pt>
                <c:pt idx="248">
                  <c:v>6.6207858886225678E-4</c:v>
                </c:pt>
                <c:pt idx="249">
                  <c:v>8.7223718628152383E-4</c:v>
                </c:pt>
                <c:pt idx="250">
                  <c:v>8.3182207139320338E-4</c:v>
                </c:pt>
                <c:pt idx="251">
                  <c:v>1.0096485769018138E-3</c:v>
                </c:pt>
                <c:pt idx="252">
                  <c:v>1.2602222892094015E-3</c:v>
                </c:pt>
                <c:pt idx="253">
                  <c:v>1.1874750824104245E-3</c:v>
                </c:pt>
                <c:pt idx="254">
                  <c:v>1.1713090364550963E-3</c:v>
                </c:pt>
                <c:pt idx="255">
                  <c:v>1.3248864730307144E-3</c:v>
                </c:pt>
              </c:numCache>
            </c:numRef>
          </c:yVal>
        </c:ser>
        <c:axId val="177760896"/>
        <c:axId val="177771264"/>
      </c:scatterChart>
      <c:valAx>
        <c:axId val="177760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ms</a:t>
                </a:r>
              </a:p>
            </c:rich>
          </c:tx>
          <c:layout/>
        </c:title>
        <c:numFmt formatCode="General" sourceLinked="1"/>
        <c:tickLblPos val="nextTo"/>
        <c:crossAx val="177771264"/>
        <c:crosses val="autoZero"/>
        <c:crossBetween val="midCat"/>
      </c:valAx>
      <c:valAx>
        <c:axId val="177771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%/Value</a:t>
                </a:r>
              </a:p>
            </c:rich>
          </c:tx>
          <c:layout/>
        </c:title>
        <c:numFmt formatCode="0.00%" sourceLinked="1"/>
        <c:tickLblPos val="nextTo"/>
        <c:crossAx val="177760896"/>
        <c:crosses val="autoZero"/>
        <c:crossBetween val="midCat"/>
      </c:valAx>
    </c:plotArea>
    <c:legend>
      <c:legendPos val="r"/>
      <c:layout/>
    </c:legend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'pink noise'!$U$9:$X$9</c:f>
          <c:strCache>
            <c:ptCount val="1"/>
            <c:pt idx="0">
              <c:v>Frequency Domain: 12.6 mHz BW, DC = {45.6,42.4,17.2} %FSR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'pink noise'!$W$10:$X$10</c:f>
              <c:strCache>
                <c:ptCount val="1"/>
                <c:pt idx="0">
                  <c:v>Red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'pink noise'!$V$13:$V$140</c:f>
              <c:numCache>
                <c:formatCode>General</c:formatCode>
                <c:ptCount val="128"/>
                <c:pt idx="0">
                  <c:v>12.578616352201259</c:v>
                </c:pt>
                <c:pt idx="1">
                  <c:v>25.157232704402517</c:v>
                </c:pt>
                <c:pt idx="2">
                  <c:v>37.735849056603776</c:v>
                </c:pt>
                <c:pt idx="3">
                  <c:v>50.314465408805034</c:v>
                </c:pt>
                <c:pt idx="4">
                  <c:v>62.893081761006293</c:v>
                </c:pt>
                <c:pt idx="5">
                  <c:v>75.471698113207552</c:v>
                </c:pt>
                <c:pt idx="6">
                  <c:v>88.050314465408803</c:v>
                </c:pt>
                <c:pt idx="7">
                  <c:v>100.62893081761007</c:v>
                </c:pt>
                <c:pt idx="8">
                  <c:v>113.20754716981133</c:v>
                </c:pt>
                <c:pt idx="9">
                  <c:v>125.7861635220126</c:v>
                </c:pt>
                <c:pt idx="10">
                  <c:v>138.36477987421387</c:v>
                </c:pt>
                <c:pt idx="11">
                  <c:v>150.94339622641513</c:v>
                </c:pt>
                <c:pt idx="12">
                  <c:v>163.5220125786164</c:v>
                </c:pt>
                <c:pt idx="13">
                  <c:v>176.10062893081766</c:v>
                </c:pt>
                <c:pt idx="14">
                  <c:v>188.67924528301893</c:v>
                </c:pt>
                <c:pt idx="15">
                  <c:v>201.25786163522019</c:v>
                </c:pt>
                <c:pt idx="16">
                  <c:v>213.83647798742146</c:v>
                </c:pt>
                <c:pt idx="17">
                  <c:v>226.41509433962273</c:v>
                </c:pt>
                <c:pt idx="18">
                  <c:v>238.99371069182399</c:v>
                </c:pt>
                <c:pt idx="19">
                  <c:v>251.57232704402526</c:v>
                </c:pt>
                <c:pt idx="20">
                  <c:v>264.15094339622652</c:v>
                </c:pt>
                <c:pt idx="21">
                  <c:v>276.72955974842779</c:v>
                </c:pt>
                <c:pt idx="22">
                  <c:v>289.30817610062905</c:v>
                </c:pt>
                <c:pt idx="23">
                  <c:v>301.88679245283032</c:v>
                </c:pt>
                <c:pt idx="24">
                  <c:v>314.46540880503159</c:v>
                </c:pt>
                <c:pt idx="25">
                  <c:v>327.04402515723285</c:v>
                </c:pt>
                <c:pt idx="26">
                  <c:v>339.62264150943412</c:v>
                </c:pt>
                <c:pt idx="27">
                  <c:v>352.20125786163538</c:v>
                </c:pt>
                <c:pt idx="28">
                  <c:v>364.77987421383665</c:v>
                </c:pt>
                <c:pt idx="29">
                  <c:v>377.35849056603791</c:v>
                </c:pt>
                <c:pt idx="30">
                  <c:v>389.93710691823918</c:v>
                </c:pt>
                <c:pt idx="31">
                  <c:v>402.51572327044045</c:v>
                </c:pt>
                <c:pt idx="32">
                  <c:v>415.09433962264171</c:v>
                </c:pt>
                <c:pt idx="33">
                  <c:v>427.67295597484298</c:v>
                </c:pt>
                <c:pt idx="34">
                  <c:v>440.25157232704424</c:v>
                </c:pt>
                <c:pt idx="35">
                  <c:v>452.83018867924551</c:v>
                </c:pt>
                <c:pt idx="36">
                  <c:v>465.40880503144678</c:v>
                </c:pt>
                <c:pt idx="37">
                  <c:v>477.98742138364804</c:v>
                </c:pt>
                <c:pt idx="38">
                  <c:v>490.56603773584931</c:v>
                </c:pt>
                <c:pt idx="39">
                  <c:v>503.14465408805057</c:v>
                </c:pt>
                <c:pt idx="40">
                  <c:v>515.72327044025178</c:v>
                </c:pt>
                <c:pt idx="41">
                  <c:v>528.30188679245305</c:v>
                </c:pt>
                <c:pt idx="42">
                  <c:v>540.88050314465431</c:v>
                </c:pt>
                <c:pt idx="43">
                  <c:v>553.45911949685558</c:v>
                </c:pt>
                <c:pt idx="44">
                  <c:v>566.03773584905684</c:v>
                </c:pt>
                <c:pt idx="45">
                  <c:v>578.61635220125811</c:v>
                </c:pt>
                <c:pt idx="46">
                  <c:v>591.19496855345938</c:v>
                </c:pt>
                <c:pt idx="47">
                  <c:v>603.77358490566064</c:v>
                </c:pt>
                <c:pt idx="48">
                  <c:v>616.35220125786191</c:v>
                </c:pt>
                <c:pt idx="49">
                  <c:v>628.93081761006317</c:v>
                </c:pt>
                <c:pt idx="50">
                  <c:v>641.50943396226444</c:v>
                </c:pt>
                <c:pt idx="51">
                  <c:v>654.0880503144657</c:v>
                </c:pt>
                <c:pt idx="52">
                  <c:v>666.66666666666697</c:v>
                </c:pt>
                <c:pt idx="53">
                  <c:v>679.24528301886824</c:v>
                </c:pt>
                <c:pt idx="54">
                  <c:v>691.8238993710695</c:v>
                </c:pt>
                <c:pt idx="55">
                  <c:v>704.40251572327077</c:v>
                </c:pt>
                <c:pt idx="56">
                  <c:v>716.98113207547203</c:v>
                </c:pt>
                <c:pt idx="57">
                  <c:v>729.5597484276733</c:v>
                </c:pt>
                <c:pt idx="58">
                  <c:v>742.13836477987456</c:v>
                </c:pt>
                <c:pt idx="59">
                  <c:v>754.71698113207583</c:v>
                </c:pt>
                <c:pt idx="60">
                  <c:v>767.2955974842771</c:v>
                </c:pt>
                <c:pt idx="61">
                  <c:v>779.87421383647836</c:v>
                </c:pt>
                <c:pt idx="62">
                  <c:v>792.45283018867963</c:v>
                </c:pt>
                <c:pt idx="63">
                  <c:v>805.03144654088089</c:v>
                </c:pt>
                <c:pt idx="64">
                  <c:v>817.61006289308216</c:v>
                </c:pt>
                <c:pt idx="65">
                  <c:v>830.18867924528342</c:v>
                </c:pt>
                <c:pt idx="66">
                  <c:v>842.76729559748469</c:v>
                </c:pt>
                <c:pt idx="67">
                  <c:v>855.34591194968596</c:v>
                </c:pt>
                <c:pt idx="68">
                  <c:v>867.92452830188722</c:v>
                </c:pt>
                <c:pt idx="69">
                  <c:v>880.50314465408849</c:v>
                </c:pt>
                <c:pt idx="70">
                  <c:v>893.08176100628975</c:v>
                </c:pt>
                <c:pt idx="71">
                  <c:v>905.66037735849102</c:v>
                </c:pt>
                <c:pt idx="72">
                  <c:v>918.23899371069228</c:v>
                </c:pt>
                <c:pt idx="73">
                  <c:v>930.81761006289355</c:v>
                </c:pt>
                <c:pt idx="74">
                  <c:v>943.39622641509482</c:v>
                </c:pt>
                <c:pt idx="75">
                  <c:v>955.97484276729608</c:v>
                </c:pt>
                <c:pt idx="76">
                  <c:v>968.55345911949735</c:v>
                </c:pt>
                <c:pt idx="77">
                  <c:v>981.13207547169861</c:v>
                </c:pt>
                <c:pt idx="78">
                  <c:v>993.71069182389988</c:v>
                </c:pt>
                <c:pt idx="79">
                  <c:v>1006.2893081761011</c:v>
                </c:pt>
                <c:pt idx="80">
                  <c:v>1018.8679245283024</c:v>
                </c:pt>
                <c:pt idx="81">
                  <c:v>1031.4465408805036</c:v>
                </c:pt>
                <c:pt idx="82">
                  <c:v>1044.0251572327047</c:v>
                </c:pt>
                <c:pt idx="83">
                  <c:v>1056.6037735849059</c:v>
                </c:pt>
                <c:pt idx="84">
                  <c:v>1069.182389937107</c:v>
                </c:pt>
                <c:pt idx="85">
                  <c:v>1081.7610062893082</c:v>
                </c:pt>
                <c:pt idx="86">
                  <c:v>1094.3396226415093</c:v>
                </c:pt>
                <c:pt idx="87">
                  <c:v>1106.9182389937105</c:v>
                </c:pt>
                <c:pt idx="88">
                  <c:v>1119.4968553459116</c:v>
                </c:pt>
                <c:pt idx="89">
                  <c:v>1132.0754716981128</c:v>
                </c:pt>
                <c:pt idx="90">
                  <c:v>1144.6540880503139</c:v>
                </c:pt>
                <c:pt idx="91">
                  <c:v>1157.2327044025151</c:v>
                </c:pt>
                <c:pt idx="92">
                  <c:v>1169.8113207547162</c:v>
                </c:pt>
                <c:pt idx="93">
                  <c:v>1182.3899371069174</c:v>
                </c:pt>
                <c:pt idx="94">
                  <c:v>1194.9685534591185</c:v>
                </c:pt>
                <c:pt idx="95">
                  <c:v>1207.5471698113197</c:v>
                </c:pt>
                <c:pt idx="96">
                  <c:v>1220.1257861635208</c:v>
                </c:pt>
                <c:pt idx="97">
                  <c:v>1232.704402515722</c:v>
                </c:pt>
                <c:pt idx="98">
                  <c:v>1245.2830188679231</c:v>
                </c:pt>
                <c:pt idx="99">
                  <c:v>1257.8616352201243</c:v>
                </c:pt>
                <c:pt idx="100">
                  <c:v>1270.4402515723255</c:v>
                </c:pt>
                <c:pt idx="101">
                  <c:v>1283.0188679245266</c:v>
                </c:pt>
                <c:pt idx="102">
                  <c:v>1295.5974842767278</c:v>
                </c:pt>
                <c:pt idx="103">
                  <c:v>1308.1761006289289</c:v>
                </c:pt>
                <c:pt idx="104">
                  <c:v>1320.7547169811301</c:v>
                </c:pt>
                <c:pt idx="105">
                  <c:v>1333.3333333333312</c:v>
                </c:pt>
                <c:pt idx="106">
                  <c:v>1345.9119496855324</c:v>
                </c:pt>
                <c:pt idx="107">
                  <c:v>1358.4905660377335</c:v>
                </c:pt>
                <c:pt idx="108">
                  <c:v>1371.0691823899347</c:v>
                </c:pt>
                <c:pt idx="109">
                  <c:v>1383.6477987421358</c:v>
                </c:pt>
                <c:pt idx="110">
                  <c:v>1396.226415094337</c:v>
                </c:pt>
                <c:pt idx="111">
                  <c:v>1408.8050314465381</c:v>
                </c:pt>
                <c:pt idx="112">
                  <c:v>1421.3836477987393</c:v>
                </c:pt>
                <c:pt idx="113">
                  <c:v>1433.9622641509404</c:v>
                </c:pt>
                <c:pt idx="114">
                  <c:v>1446.5408805031416</c:v>
                </c:pt>
                <c:pt idx="115">
                  <c:v>1459.1194968553427</c:v>
                </c:pt>
                <c:pt idx="116">
                  <c:v>1471.6981132075439</c:v>
                </c:pt>
                <c:pt idx="117">
                  <c:v>1484.276729559745</c:v>
                </c:pt>
                <c:pt idx="118">
                  <c:v>1496.8553459119462</c:v>
                </c:pt>
                <c:pt idx="119">
                  <c:v>1509.4339622641473</c:v>
                </c:pt>
                <c:pt idx="120">
                  <c:v>1522.0125786163485</c:v>
                </c:pt>
                <c:pt idx="121">
                  <c:v>1534.5911949685496</c:v>
                </c:pt>
                <c:pt idx="122">
                  <c:v>1547.1698113207508</c:v>
                </c:pt>
                <c:pt idx="123">
                  <c:v>1559.7484276729519</c:v>
                </c:pt>
                <c:pt idx="124">
                  <c:v>1572.3270440251531</c:v>
                </c:pt>
                <c:pt idx="125">
                  <c:v>1584.9056603773543</c:v>
                </c:pt>
                <c:pt idx="126">
                  <c:v>1597.4842767295554</c:v>
                </c:pt>
                <c:pt idx="127">
                  <c:v>1610.0628930817566</c:v>
                </c:pt>
              </c:numCache>
            </c:numRef>
          </c:xVal>
          <c:yVal>
            <c:numRef>
              <c:f>'pink noise'!$X$13:$X$140</c:f>
              <c:numCache>
                <c:formatCode>0.0</c:formatCode>
                <c:ptCount val="128"/>
                <c:pt idx="0">
                  <c:v>-79.658989658872599</c:v>
                </c:pt>
                <c:pt idx="1">
                  <c:v>-73.652855554071039</c:v>
                </c:pt>
                <c:pt idx="2">
                  <c:v>-77.793349341834329</c:v>
                </c:pt>
                <c:pt idx="3">
                  <c:v>-78.254167067528428</c:v>
                </c:pt>
                <c:pt idx="4">
                  <c:v>-88.278238335870071</c:v>
                </c:pt>
                <c:pt idx="5">
                  <c:v>-81.839838145211132</c:v>
                </c:pt>
                <c:pt idx="6">
                  <c:v>-73.605399289469219</c:v>
                </c:pt>
                <c:pt idx="7">
                  <c:v>-81.990301412491107</c:v>
                </c:pt>
                <c:pt idx="8">
                  <c:v>-74.453501556599164</c:v>
                </c:pt>
                <c:pt idx="9">
                  <c:v>-84.879856443890262</c:v>
                </c:pt>
                <c:pt idx="10">
                  <c:v>-79.73980571046954</c:v>
                </c:pt>
                <c:pt idx="11">
                  <c:v>-82.451301366609869</c:v>
                </c:pt>
                <c:pt idx="12">
                  <c:v>-81.562936939806491</c:v>
                </c:pt>
                <c:pt idx="13">
                  <c:v>-91.469607167839442</c:v>
                </c:pt>
                <c:pt idx="14">
                  <c:v>-86.609240101675837</c:v>
                </c:pt>
                <c:pt idx="15">
                  <c:v>-79.958962293366142</c:v>
                </c:pt>
                <c:pt idx="16">
                  <c:v>-88.589102181953677</c:v>
                </c:pt>
                <c:pt idx="17">
                  <c:v>-91.996307303725558</c:v>
                </c:pt>
                <c:pt idx="18">
                  <c:v>-85.073725985783227</c:v>
                </c:pt>
                <c:pt idx="19">
                  <c:v>-89.44259977367318</c:v>
                </c:pt>
                <c:pt idx="20">
                  <c:v>-97.49171496121987</c:v>
                </c:pt>
                <c:pt idx="21">
                  <c:v>-94.050907214701198</c:v>
                </c:pt>
                <c:pt idx="22">
                  <c:v>-96.066238402119581</c:v>
                </c:pt>
                <c:pt idx="23">
                  <c:v>-94.973150396096585</c:v>
                </c:pt>
                <c:pt idx="24">
                  <c:v>-92.45565562754777</c:v>
                </c:pt>
                <c:pt idx="25">
                  <c:v>-105.72688113539932</c:v>
                </c:pt>
                <c:pt idx="26">
                  <c:v>-96.022994194022786</c:v>
                </c:pt>
                <c:pt idx="27">
                  <c:v>-88.27895222845838</c:v>
                </c:pt>
                <c:pt idx="28">
                  <c:v>-95.783006573381542</c:v>
                </c:pt>
                <c:pt idx="29">
                  <c:v>-105.93610161777256</c:v>
                </c:pt>
                <c:pt idx="30">
                  <c:v>-91.380179645031049</c:v>
                </c:pt>
                <c:pt idx="31">
                  <c:v>-94.128145043098854</c:v>
                </c:pt>
                <c:pt idx="32">
                  <c:v>-91.113427268532149</c:v>
                </c:pt>
                <c:pt idx="33">
                  <c:v>-84.580894652238769</c:v>
                </c:pt>
                <c:pt idx="34">
                  <c:v>-93.103465911015945</c:v>
                </c:pt>
                <c:pt idx="35">
                  <c:v>-91.050500005733568</c:v>
                </c:pt>
                <c:pt idx="36">
                  <c:v>-102.15691530247281</c:v>
                </c:pt>
                <c:pt idx="37">
                  <c:v>-92.164915291896605</c:v>
                </c:pt>
                <c:pt idx="38">
                  <c:v>-91.135675229270859</c:v>
                </c:pt>
                <c:pt idx="39">
                  <c:v>-100.14827343052899</c:v>
                </c:pt>
                <c:pt idx="40">
                  <c:v>-104.03813089486817</c:v>
                </c:pt>
                <c:pt idx="41">
                  <c:v>-104.18397175381435</c:v>
                </c:pt>
                <c:pt idx="42">
                  <c:v>-109.67548714218096</c:v>
                </c:pt>
                <c:pt idx="43">
                  <c:v>-120.04434769532565</c:v>
                </c:pt>
                <c:pt idx="44">
                  <c:v>-103.20185108519262</c:v>
                </c:pt>
                <c:pt idx="45">
                  <c:v>-106.39194059387087</c:v>
                </c:pt>
                <c:pt idx="46">
                  <c:v>-107.0787345681115</c:v>
                </c:pt>
                <c:pt idx="47">
                  <c:v>-102.15657481255369</c:v>
                </c:pt>
                <c:pt idx="48">
                  <c:v>-100.15282285155921</c:v>
                </c:pt>
                <c:pt idx="49">
                  <c:v>-97.014659123444147</c:v>
                </c:pt>
                <c:pt idx="50">
                  <c:v>-98.643795524691669</c:v>
                </c:pt>
                <c:pt idx="51">
                  <c:v>-104.87482140981639</c:v>
                </c:pt>
                <c:pt idx="52">
                  <c:v>-92.239694312923888</c:v>
                </c:pt>
                <c:pt idx="53">
                  <c:v>-103.62130698573648</c:v>
                </c:pt>
                <c:pt idx="54">
                  <c:v>-96.520666186574914</c:v>
                </c:pt>
                <c:pt idx="55">
                  <c:v>-106.01663098098561</c:v>
                </c:pt>
                <c:pt idx="56">
                  <c:v>-96.772190544923845</c:v>
                </c:pt>
                <c:pt idx="57">
                  <c:v>-107.36267576855299</c:v>
                </c:pt>
                <c:pt idx="58">
                  <c:v>-93.234728072481673</c:v>
                </c:pt>
                <c:pt idx="59">
                  <c:v>-92.622089690544811</c:v>
                </c:pt>
                <c:pt idx="60">
                  <c:v>-107.23802392783979</c:v>
                </c:pt>
                <c:pt idx="61">
                  <c:v>-99.555873363309814</c:v>
                </c:pt>
                <c:pt idx="62">
                  <c:v>-101.73239176425673</c:v>
                </c:pt>
                <c:pt idx="63">
                  <c:v>-101.73666427666399</c:v>
                </c:pt>
                <c:pt idx="64">
                  <c:v>-102.65289143566548</c:v>
                </c:pt>
                <c:pt idx="65">
                  <c:v>-105.24569958091909</c:v>
                </c:pt>
                <c:pt idx="66">
                  <c:v>-104.59810163055539</c:v>
                </c:pt>
                <c:pt idx="67">
                  <c:v>-105.69911313192893</c:v>
                </c:pt>
                <c:pt idx="68">
                  <c:v>-110.01358464427659</c:v>
                </c:pt>
                <c:pt idx="69">
                  <c:v>-108.65161274442359</c:v>
                </c:pt>
                <c:pt idx="70">
                  <c:v>-116.33200198367746</c:v>
                </c:pt>
                <c:pt idx="71">
                  <c:v>-105.04627669504153</c:v>
                </c:pt>
                <c:pt idx="72">
                  <c:v>-103.89860704897268</c:v>
                </c:pt>
                <c:pt idx="73">
                  <c:v>-117.81276798092964</c:v>
                </c:pt>
                <c:pt idx="74">
                  <c:v>-100.28598982389285</c:v>
                </c:pt>
                <c:pt idx="75">
                  <c:v>-104.47231960859534</c:v>
                </c:pt>
                <c:pt idx="76">
                  <c:v>-96.904444166503382</c:v>
                </c:pt>
                <c:pt idx="77">
                  <c:v>-100.25504082022923</c:v>
                </c:pt>
                <c:pt idx="78">
                  <c:v>-98.309221973215145</c:v>
                </c:pt>
                <c:pt idx="79">
                  <c:v>-93.970034213102807</c:v>
                </c:pt>
                <c:pt idx="80">
                  <c:v>-102.5774670119519</c:v>
                </c:pt>
                <c:pt idx="81">
                  <c:v>-105.10212719038833</c:v>
                </c:pt>
                <c:pt idx="82">
                  <c:v>-105.3621972097573</c:v>
                </c:pt>
                <c:pt idx="83">
                  <c:v>-108.83550692714391</c:v>
                </c:pt>
                <c:pt idx="84">
                  <c:v>-111.2167561093959</c:v>
                </c:pt>
                <c:pt idx="85">
                  <c:v>-104.91426216022992</c:v>
                </c:pt>
                <c:pt idx="86">
                  <c:v>-105.82725968247041</c:v>
                </c:pt>
                <c:pt idx="87">
                  <c:v>-104.08231376041934</c:v>
                </c:pt>
                <c:pt idx="88">
                  <c:v>-99.790181784417072</c:v>
                </c:pt>
                <c:pt idx="89">
                  <c:v>-99.83824324949012</c:v>
                </c:pt>
                <c:pt idx="90">
                  <c:v>-110.24527338275122</c:v>
                </c:pt>
                <c:pt idx="91">
                  <c:v>-108.07684706921704</c:v>
                </c:pt>
                <c:pt idx="92">
                  <c:v>-111.7057044867822</c:v>
                </c:pt>
                <c:pt idx="93">
                  <c:v>-115.64598850132582</c:v>
                </c:pt>
                <c:pt idx="94">
                  <c:v>-105.70329328834026</c:v>
                </c:pt>
                <c:pt idx="95">
                  <c:v>-106.24439079358328</c:v>
                </c:pt>
                <c:pt idx="96">
                  <c:v>-105.72647019860618</c:v>
                </c:pt>
                <c:pt idx="97">
                  <c:v>-109.52425844835889</c:v>
                </c:pt>
                <c:pt idx="98">
                  <c:v>-113.59411368322344</c:v>
                </c:pt>
                <c:pt idx="99">
                  <c:v>-97.30995371892277</c:v>
                </c:pt>
                <c:pt idx="100">
                  <c:v>-106.47482183950541</c:v>
                </c:pt>
                <c:pt idx="101">
                  <c:v>-112.58644539480522</c:v>
                </c:pt>
                <c:pt idx="102">
                  <c:v>-118.90300690739792</c:v>
                </c:pt>
                <c:pt idx="103">
                  <c:v>-100.03227689140465</c:v>
                </c:pt>
                <c:pt idx="104">
                  <c:v>-102.43159305452652</c:v>
                </c:pt>
                <c:pt idx="105">
                  <c:v>-99.407786516744864</c:v>
                </c:pt>
                <c:pt idx="106">
                  <c:v>-106.3321083666662</c:v>
                </c:pt>
                <c:pt idx="107">
                  <c:v>-99.542818189584352</c:v>
                </c:pt>
                <c:pt idx="108">
                  <c:v>-99.262474616530639</c:v>
                </c:pt>
                <c:pt idx="109">
                  <c:v>-107.99108058895946</c:v>
                </c:pt>
                <c:pt idx="110">
                  <c:v>-103.95203038565487</c:v>
                </c:pt>
                <c:pt idx="111">
                  <c:v>-106.0782586139797</c:v>
                </c:pt>
                <c:pt idx="112">
                  <c:v>-103.05059294889872</c:v>
                </c:pt>
                <c:pt idx="113">
                  <c:v>-105.72031769326767</c:v>
                </c:pt>
                <c:pt idx="114">
                  <c:v>-106.4509055374314</c:v>
                </c:pt>
                <c:pt idx="115">
                  <c:v>-107.05806939894967</c:v>
                </c:pt>
                <c:pt idx="116">
                  <c:v>-108.01281774172493</c:v>
                </c:pt>
                <c:pt idx="117">
                  <c:v>-110.53554412080626</c:v>
                </c:pt>
                <c:pt idx="118">
                  <c:v>-104.54724252540751</c:v>
                </c:pt>
                <c:pt idx="119">
                  <c:v>-100.36272364350133</c:v>
                </c:pt>
                <c:pt idx="120">
                  <c:v>-107.75460741464202</c:v>
                </c:pt>
                <c:pt idx="121">
                  <c:v>-103.48331776939334</c:v>
                </c:pt>
                <c:pt idx="122">
                  <c:v>-104.85914283945002</c:v>
                </c:pt>
                <c:pt idx="123">
                  <c:v>-112.35747197663095</c:v>
                </c:pt>
                <c:pt idx="124">
                  <c:v>-104.16831152555373</c:v>
                </c:pt>
                <c:pt idx="125">
                  <c:v>-96.999503111972345</c:v>
                </c:pt>
                <c:pt idx="126">
                  <c:v>-108.13877878168027</c:v>
                </c:pt>
                <c:pt idx="127">
                  <c:v>-122.60103478342955</c:v>
                </c:pt>
              </c:numCache>
            </c:numRef>
          </c:yVal>
        </c:ser>
        <c:ser>
          <c:idx val="1"/>
          <c:order val="1"/>
          <c:tx>
            <c:strRef>
              <c:f>'pink noise'!$Y$10:$Z$10</c:f>
              <c:strCache>
                <c:ptCount val="1"/>
                <c:pt idx="0">
                  <c:v>Green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'pink noise'!$V$13:$V$140</c:f>
              <c:numCache>
                <c:formatCode>General</c:formatCode>
                <c:ptCount val="128"/>
                <c:pt idx="0">
                  <c:v>12.578616352201259</c:v>
                </c:pt>
                <c:pt idx="1">
                  <c:v>25.157232704402517</c:v>
                </c:pt>
                <c:pt idx="2">
                  <c:v>37.735849056603776</c:v>
                </c:pt>
                <c:pt idx="3">
                  <c:v>50.314465408805034</c:v>
                </c:pt>
                <c:pt idx="4">
                  <c:v>62.893081761006293</c:v>
                </c:pt>
                <c:pt idx="5">
                  <c:v>75.471698113207552</c:v>
                </c:pt>
                <c:pt idx="6">
                  <c:v>88.050314465408803</c:v>
                </c:pt>
                <c:pt idx="7">
                  <c:v>100.62893081761007</c:v>
                </c:pt>
                <c:pt idx="8">
                  <c:v>113.20754716981133</c:v>
                </c:pt>
                <c:pt idx="9">
                  <c:v>125.7861635220126</c:v>
                </c:pt>
                <c:pt idx="10">
                  <c:v>138.36477987421387</c:v>
                </c:pt>
                <c:pt idx="11">
                  <c:v>150.94339622641513</c:v>
                </c:pt>
                <c:pt idx="12">
                  <c:v>163.5220125786164</c:v>
                </c:pt>
                <c:pt idx="13">
                  <c:v>176.10062893081766</c:v>
                </c:pt>
                <c:pt idx="14">
                  <c:v>188.67924528301893</c:v>
                </c:pt>
                <c:pt idx="15">
                  <c:v>201.25786163522019</c:v>
                </c:pt>
                <c:pt idx="16">
                  <c:v>213.83647798742146</c:v>
                </c:pt>
                <c:pt idx="17">
                  <c:v>226.41509433962273</c:v>
                </c:pt>
                <c:pt idx="18">
                  <c:v>238.99371069182399</c:v>
                </c:pt>
                <c:pt idx="19">
                  <c:v>251.57232704402526</c:v>
                </c:pt>
                <c:pt idx="20">
                  <c:v>264.15094339622652</c:v>
                </c:pt>
                <c:pt idx="21">
                  <c:v>276.72955974842779</c:v>
                </c:pt>
                <c:pt idx="22">
                  <c:v>289.30817610062905</c:v>
                </c:pt>
                <c:pt idx="23">
                  <c:v>301.88679245283032</c:v>
                </c:pt>
                <c:pt idx="24">
                  <c:v>314.46540880503159</c:v>
                </c:pt>
                <c:pt idx="25">
                  <c:v>327.04402515723285</c:v>
                </c:pt>
                <c:pt idx="26">
                  <c:v>339.62264150943412</c:v>
                </c:pt>
                <c:pt idx="27">
                  <c:v>352.20125786163538</c:v>
                </c:pt>
                <c:pt idx="28">
                  <c:v>364.77987421383665</c:v>
                </c:pt>
                <c:pt idx="29">
                  <c:v>377.35849056603791</c:v>
                </c:pt>
                <c:pt idx="30">
                  <c:v>389.93710691823918</c:v>
                </c:pt>
                <c:pt idx="31">
                  <c:v>402.51572327044045</c:v>
                </c:pt>
                <c:pt idx="32">
                  <c:v>415.09433962264171</c:v>
                </c:pt>
                <c:pt idx="33">
                  <c:v>427.67295597484298</c:v>
                </c:pt>
                <c:pt idx="34">
                  <c:v>440.25157232704424</c:v>
                </c:pt>
                <c:pt idx="35">
                  <c:v>452.83018867924551</c:v>
                </c:pt>
                <c:pt idx="36">
                  <c:v>465.40880503144678</c:v>
                </c:pt>
                <c:pt idx="37">
                  <c:v>477.98742138364804</c:v>
                </c:pt>
                <c:pt idx="38">
                  <c:v>490.56603773584931</c:v>
                </c:pt>
                <c:pt idx="39">
                  <c:v>503.14465408805057</c:v>
                </c:pt>
                <c:pt idx="40">
                  <c:v>515.72327044025178</c:v>
                </c:pt>
                <c:pt idx="41">
                  <c:v>528.30188679245305</c:v>
                </c:pt>
                <c:pt idx="42">
                  <c:v>540.88050314465431</c:v>
                </c:pt>
                <c:pt idx="43">
                  <c:v>553.45911949685558</c:v>
                </c:pt>
                <c:pt idx="44">
                  <c:v>566.03773584905684</c:v>
                </c:pt>
                <c:pt idx="45">
                  <c:v>578.61635220125811</c:v>
                </c:pt>
                <c:pt idx="46">
                  <c:v>591.19496855345938</c:v>
                </c:pt>
                <c:pt idx="47">
                  <c:v>603.77358490566064</c:v>
                </c:pt>
                <c:pt idx="48">
                  <c:v>616.35220125786191</c:v>
                </c:pt>
                <c:pt idx="49">
                  <c:v>628.93081761006317</c:v>
                </c:pt>
                <c:pt idx="50">
                  <c:v>641.50943396226444</c:v>
                </c:pt>
                <c:pt idx="51">
                  <c:v>654.0880503144657</c:v>
                </c:pt>
                <c:pt idx="52">
                  <c:v>666.66666666666697</c:v>
                </c:pt>
                <c:pt idx="53">
                  <c:v>679.24528301886824</c:v>
                </c:pt>
                <c:pt idx="54">
                  <c:v>691.8238993710695</c:v>
                </c:pt>
                <c:pt idx="55">
                  <c:v>704.40251572327077</c:v>
                </c:pt>
                <c:pt idx="56">
                  <c:v>716.98113207547203</c:v>
                </c:pt>
                <c:pt idx="57">
                  <c:v>729.5597484276733</c:v>
                </c:pt>
                <c:pt idx="58">
                  <c:v>742.13836477987456</c:v>
                </c:pt>
                <c:pt idx="59">
                  <c:v>754.71698113207583</c:v>
                </c:pt>
                <c:pt idx="60">
                  <c:v>767.2955974842771</c:v>
                </c:pt>
                <c:pt idx="61">
                  <c:v>779.87421383647836</c:v>
                </c:pt>
                <c:pt idx="62">
                  <c:v>792.45283018867963</c:v>
                </c:pt>
                <c:pt idx="63">
                  <c:v>805.03144654088089</c:v>
                </c:pt>
                <c:pt idx="64">
                  <c:v>817.61006289308216</c:v>
                </c:pt>
                <c:pt idx="65">
                  <c:v>830.18867924528342</c:v>
                </c:pt>
                <c:pt idx="66">
                  <c:v>842.76729559748469</c:v>
                </c:pt>
                <c:pt idx="67">
                  <c:v>855.34591194968596</c:v>
                </c:pt>
                <c:pt idx="68">
                  <c:v>867.92452830188722</c:v>
                </c:pt>
                <c:pt idx="69">
                  <c:v>880.50314465408849</c:v>
                </c:pt>
                <c:pt idx="70">
                  <c:v>893.08176100628975</c:v>
                </c:pt>
                <c:pt idx="71">
                  <c:v>905.66037735849102</c:v>
                </c:pt>
                <c:pt idx="72">
                  <c:v>918.23899371069228</c:v>
                </c:pt>
                <c:pt idx="73">
                  <c:v>930.81761006289355</c:v>
                </c:pt>
                <c:pt idx="74">
                  <c:v>943.39622641509482</c:v>
                </c:pt>
                <c:pt idx="75">
                  <c:v>955.97484276729608</c:v>
                </c:pt>
                <c:pt idx="76">
                  <c:v>968.55345911949735</c:v>
                </c:pt>
                <c:pt idx="77">
                  <c:v>981.13207547169861</c:v>
                </c:pt>
                <c:pt idx="78">
                  <c:v>993.71069182389988</c:v>
                </c:pt>
                <c:pt idx="79">
                  <c:v>1006.2893081761011</c:v>
                </c:pt>
                <c:pt idx="80">
                  <c:v>1018.8679245283024</c:v>
                </c:pt>
                <c:pt idx="81">
                  <c:v>1031.4465408805036</c:v>
                </c:pt>
                <c:pt idx="82">
                  <c:v>1044.0251572327047</c:v>
                </c:pt>
                <c:pt idx="83">
                  <c:v>1056.6037735849059</c:v>
                </c:pt>
                <c:pt idx="84">
                  <c:v>1069.182389937107</c:v>
                </c:pt>
                <c:pt idx="85">
                  <c:v>1081.7610062893082</c:v>
                </c:pt>
                <c:pt idx="86">
                  <c:v>1094.3396226415093</c:v>
                </c:pt>
                <c:pt idx="87">
                  <c:v>1106.9182389937105</c:v>
                </c:pt>
                <c:pt idx="88">
                  <c:v>1119.4968553459116</c:v>
                </c:pt>
                <c:pt idx="89">
                  <c:v>1132.0754716981128</c:v>
                </c:pt>
                <c:pt idx="90">
                  <c:v>1144.6540880503139</c:v>
                </c:pt>
                <c:pt idx="91">
                  <c:v>1157.2327044025151</c:v>
                </c:pt>
                <c:pt idx="92">
                  <c:v>1169.8113207547162</c:v>
                </c:pt>
                <c:pt idx="93">
                  <c:v>1182.3899371069174</c:v>
                </c:pt>
                <c:pt idx="94">
                  <c:v>1194.9685534591185</c:v>
                </c:pt>
                <c:pt idx="95">
                  <c:v>1207.5471698113197</c:v>
                </c:pt>
                <c:pt idx="96">
                  <c:v>1220.1257861635208</c:v>
                </c:pt>
                <c:pt idx="97">
                  <c:v>1232.704402515722</c:v>
                </c:pt>
                <c:pt idx="98">
                  <c:v>1245.2830188679231</c:v>
                </c:pt>
                <c:pt idx="99">
                  <c:v>1257.8616352201243</c:v>
                </c:pt>
                <c:pt idx="100">
                  <c:v>1270.4402515723255</c:v>
                </c:pt>
                <c:pt idx="101">
                  <c:v>1283.0188679245266</c:v>
                </c:pt>
                <c:pt idx="102">
                  <c:v>1295.5974842767278</c:v>
                </c:pt>
                <c:pt idx="103">
                  <c:v>1308.1761006289289</c:v>
                </c:pt>
                <c:pt idx="104">
                  <c:v>1320.7547169811301</c:v>
                </c:pt>
                <c:pt idx="105">
                  <c:v>1333.3333333333312</c:v>
                </c:pt>
                <c:pt idx="106">
                  <c:v>1345.9119496855324</c:v>
                </c:pt>
                <c:pt idx="107">
                  <c:v>1358.4905660377335</c:v>
                </c:pt>
                <c:pt idx="108">
                  <c:v>1371.0691823899347</c:v>
                </c:pt>
                <c:pt idx="109">
                  <c:v>1383.6477987421358</c:v>
                </c:pt>
                <c:pt idx="110">
                  <c:v>1396.226415094337</c:v>
                </c:pt>
                <c:pt idx="111">
                  <c:v>1408.8050314465381</c:v>
                </c:pt>
                <c:pt idx="112">
                  <c:v>1421.3836477987393</c:v>
                </c:pt>
                <c:pt idx="113">
                  <c:v>1433.9622641509404</c:v>
                </c:pt>
                <c:pt idx="114">
                  <c:v>1446.5408805031416</c:v>
                </c:pt>
                <c:pt idx="115">
                  <c:v>1459.1194968553427</c:v>
                </c:pt>
                <c:pt idx="116">
                  <c:v>1471.6981132075439</c:v>
                </c:pt>
                <c:pt idx="117">
                  <c:v>1484.276729559745</c:v>
                </c:pt>
                <c:pt idx="118">
                  <c:v>1496.8553459119462</c:v>
                </c:pt>
                <c:pt idx="119">
                  <c:v>1509.4339622641473</c:v>
                </c:pt>
                <c:pt idx="120">
                  <c:v>1522.0125786163485</c:v>
                </c:pt>
                <c:pt idx="121">
                  <c:v>1534.5911949685496</c:v>
                </c:pt>
                <c:pt idx="122">
                  <c:v>1547.1698113207508</c:v>
                </c:pt>
                <c:pt idx="123">
                  <c:v>1559.7484276729519</c:v>
                </c:pt>
                <c:pt idx="124">
                  <c:v>1572.3270440251531</c:v>
                </c:pt>
                <c:pt idx="125">
                  <c:v>1584.9056603773543</c:v>
                </c:pt>
                <c:pt idx="126">
                  <c:v>1597.4842767295554</c:v>
                </c:pt>
                <c:pt idx="127">
                  <c:v>1610.0628930817566</c:v>
                </c:pt>
              </c:numCache>
            </c:numRef>
          </c:xVal>
          <c:yVal>
            <c:numRef>
              <c:f>'pink noise'!$Z$13:$Z$140</c:f>
              <c:numCache>
                <c:formatCode>0.0</c:formatCode>
                <c:ptCount val="128"/>
                <c:pt idx="0">
                  <c:v>-87.892523646973558</c:v>
                </c:pt>
                <c:pt idx="1">
                  <c:v>-69.858515423395858</c:v>
                </c:pt>
                <c:pt idx="2">
                  <c:v>-69.975371064622962</c:v>
                </c:pt>
                <c:pt idx="3">
                  <c:v>-74.625247504401543</c:v>
                </c:pt>
                <c:pt idx="4">
                  <c:v>-73.321603246596752</c:v>
                </c:pt>
                <c:pt idx="5">
                  <c:v>-78.458601004442826</c:v>
                </c:pt>
                <c:pt idx="6">
                  <c:v>-73.188168403238734</c:v>
                </c:pt>
                <c:pt idx="7">
                  <c:v>-79.237175105814146</c:v>
                </c:pt>
                <c:pt idx="8">
                  <c:v>-70.163031847533276</c:v>
                </c:pt>
                <c:pt idx="9">
                  <c:v>-93.101298130751658</c:v>
                </c:pt>
                <c:pt idx="10">
                  <c:v>-72.466725824562815</c:v>
                </c:pt>
                <c:pt idx="11">
                  <c:v>-75.650948513680746</c:v>
                </c:pt>
                <c:pt idx="12">
                  <c:v>-79.0383958059668</c:v>
                </c:pt>
                <c:pt idx="13">
                  <c:v>-86.527582351626393</c:v>
                </c:pt>
                <c:pt idx="14">
                  <c:v>-81.002267688669434</c:v>
                </c:pt>
                <c:pt idx="15">
                  <c:v>-81.694102632064528</c:v>
                </c:pt>
                <c:pt idx="16">
                  <c:v>-82.191490563745276</c:v>
                </c:pt>
                <c:pt idx="17">
                  <c:v>-95.141533561182683</c:v>
                </c:pt>
                <c:pt idx="18">
                  <c:v>-80.17656659292642</c:v>
                </c:pt>
                <c:pt idx="19">
                  <c:v>-84.840557334131177</c:v>
                </c:pt>
                <c:pt idx="20">
                  <c:v>-93.111508961011523</c:v>
                </c:pt>
                <c:pt idx="21">
                  <c:v>-89.407818379158385</c:v>
                </c:pt>
                <c:pt idx="22">
                  <c:v>-93.052901621299952</c:v>
                </c:pt>
                <c:pt idx="23">
                  <c:v>-90.989736444404457</c:v>
                </c:pt>
                <c:pt idx="24">
                  <c:v>-89.0605749513999</c:v>
                </c:pt>
                <c:pt idx="25">
                  <c:v>-99.397116179905552</c:v>
                </c:pt>
                <c:pt idx="26">
                  <c:v>-94.549825565452608</c:v>
                </c:pt>
                <c:pt idx="27">
                  <c:v>-87.35707307265119</c:v>
                </c:pt>
                <c:pt idx="28">
                  <c:v>-88.631325922765868</c:v>
                </c:pt>
                <c:pt idx="29">
                  <c:v>-100.28852452052719</c:v>
                </c:pt>
                <c:pt idx="30">
                  <c:v>-84.725449003338156</c:v>
                </c:pt>
                <c:pt idx="31">
                  <c:v>-84.333616573124758</c:v>
                </c:pt>
                <c:pt idx="32">
                  <c:v>-85.738493899766183</c:v>
                </c:pt>
                <c:pt idx="33">
                  <c:v>-82.319385853658815</c:v>
                </c:pt>
                <c:pt idx="34">
                  <c:v>-88.033182269280445</c:v>
                </c:pt>
                <c:pt idx="35">
                  <c:v>-94.771871702040755</c:v>
                </c:pt>
                <c:pt idx="36">
                  <c:v>-96.839031347616128</c:v>
                </c:pt>
                <c:pt idx="37">
                  <c:v>-90.970648215525856</c:v>
                </c:pt>
                <c:pt idx="38">
                  <c:v>-87.511492868276406</c:v>
                </c:pt>
                <c:pt idx="39">
                  <c:v>-95.074867833528728</c:v>
                </c:pt>
                <c:pt idx="40">
                  <c:v>-97.203500423106306</c:v>
                </c:pt>
                <c:pt idx="41">
                  <c:v>-98.875374954065194</c:v>
                </c:pt>
                <c:pt idx="42">
                  <c:v>-105.65303799230327</c:v>
                </c:pt>
                <c:pt idx="43">
                  <c:v>-102.44630205248099</c:v>
                </c:pt>
                <c:pt idx="44">
                  <c:v>-101.94185435886625</c:v>
                </c:pt>
                <c:pt idx="45">
                  <c:v>-105.67039753805795</c:v>
                </c:pt>
                <c:pt idx="46">
                  <c:v>-104.299155587862</c:v>
                </c:pt>
                <c:pt idx="47">
                  <c:v>-99.265049533009645</c:v>
                </c:pt>
                <c:pt idx="48">
                  <c:v>-104.74534679848027</c:v>
                </c:pt>
                <c:pt idx="49">
                  <c:v>-93.160248228895156</c:v>
                </c:pt>
                <c:pt idx="50">
                  <c:v>-96.435467486774996</c:v>
                </c:pt>
                <c:pt idx="51">
                  <c:v>-96.42750391758409</c:v>
                </c:pt>
                <c:pt idx="52">
                  <c:v>-91.574436186057099</c:v>
                </c:pt>
                <c:pt idx="53">
                  <c:v>-94.088397451265109</c:v>
                </c:pt>
                <c:pt idx="54">
                  <c:v>-92.738856673444147</c:v>
                </c:pt>
                <c:pt idx="55">
                  <c:v>-102.67834516322957</c:v>
                </c:pt>
                <c:pt idx="56">
                  <c:v>-91.831172441033829</c:v>
                </c:pt>
                <c:pt idx="57">
                  <c:v>-97.582368601777034</c:v>
                </c:pt>
                <c:pt idx="58">
                  <c:v>-94.687170196180332</c:v>
                </c:pt>
                <c:pt idx="59">
                  <c:v>-92.105898198148708</c:v>
                </c:pt>
                <c:pt idx="60">
                  <c:v>-94.455594388347365</c:v>
                </c:pt>
                <c:pt idx="61">
                  <c:v>-90.564732504042396</c:v>
                </c:pt>
                <c:pt idx="62">
                  <c:v>-91.912717079264056</c:v>
                </c:pt>
                <c:pt idx="63">
                  <c:v>-98.370237200731168</c:v>
                </c:pt>
                <c:pt idx="64">
                  <c:v>-99.837970490832873</c:v>
                </c:pt>
                <c:pt idx="65">
                  <c:v>-95.05798258732554</c:v>
                </c:pt>
                <c:pt idx="66">
                  <c:v>-100.22709825185464</c:v>
                </c:pt>
                <c:pt idx="67">
                  <c:v>-105.07544947149432</c:v>
                </c:pt>
                <c:pt idx="68">
                  <c:v>-113.40421187356911</c:v>
                </c:pt>
                <c:pt idx="69">
                  <c:v>-111.93968448935209</c:v>
                </c:pt>
                <c:pt idx="70">
                  <c:v>-109.86961451639053</c:v>
                </c:pt>
                <c:pt idx="71">
                  <c:v>-103.02267664246821</c:v>
                </c:pt>
                <c:pt idx="72">
                  <c:v>-96.507623006124192</c:v>
                </c:pt>
                <c:pt idx="73">
                  <c:v>-114.70425547921282</c:v>
                </c:pt>
                <c:pt idx="74">
                  <c:v>-100.20974437028354</c:v>
                </c:pt>
                <c:pt idx="75">
                  <c:v>-97.163862269433395</c:v>
                </c:pt>
                <c:pt idx="76">
                  <c:v>-93.275939442729694</c:v>
                </c:pt>
                <c:pt idx="77">
                  <c:v>-101.39774269087313</c:v>
                </c:pt>
                <c:pt idx="78">
                  <c:v>-99.104006753377419</c:v>
                </c:pt>
                <c:pt idx="79">
                  <c:v>-90.687749463857102</c:v>
                </c:pt>
                <c:pt idx="80">
                  <c:v>-95.956635208104416</c:v>
                </c:pt>
                <c:pt idx="81">
                  <c:v>-93.388832356855588</c:v>
                </c:pt>
                <c:pt idx="82">
                  <c:v>-103.26898114792525</c:v>
                </c:pt>
                <c:pt idx="83">
                  <c:v>-108.13336515496373</c:v>
                </c:pt>
                <c:pt idx="84">
                  <c:v>-94.339707216568925</c:v>
                </c:pt>
                <c:pt idx="85">
                  <c:v>-95.923148237642692</c:v>
                </c:pt>
                <c:pt idx="86">
                  <c:v>-99.692388766714473</c:v>
                </c:pt>
                <c:pt idx="87">
                  <c:v>-98.259927858498457</c:v>
                </c:pt>
                <c:pt idx="88">
                  <c:v>-98.75322734229222</c:v>
                </c:pt>
                <c:pt idx="89">
                  <c:v>-93.285711930013463</c:v>
                </c:pt>
                <c:pt idx="90">
                  <c:v>-109.5542997892283</c:v>
                </c:pt>
                <c:pt idx="91">
                  <c:v>-104.14207728063772</c:v>
                </c:pt>
                <c:pt idx="92">
                  <c:v>-105.80992030945423</c:v>
                </c:pt>
                <c:pt idx="93">
                  <c:v>-107.25767599302389</c:v>
                </c:pt>
                <c:pt idx="94">
                  <c:v>-103.44979120873057</c:v>
                </c:pt>
                <c:pt idx="95">
                  <c:v>-100.04935426325483</c:v>
                </c:pt>
                <c:pt idx="96">
                  <c:v>-99.729397941526244</c:v>
                </c:pt>
                <c:pt idx="97">
                  <c:v>-101.54145874184069</c:v>
                </c:pt>
                <c:pt idx="98">
                  <c:v>-98.964871323575991</c:v>
                </c:pt>
                <c:pt idx="99">
                  <c:v>-97.610107500417371</c:v>
                </c:pt>
                <c:pt idx="100">
                  <c:v>-93.465297827412499</c:v>
                </c:pt>
                <c:pt idx="101">
                  <c:v>-106.98783508326869</c:v>
                </c:pt>
                <c:pt idx="102">
                  <c:v>-96.53664778244891</c:v>
                </c:pt>
                <c:pt idx="103">
                  <c:v>-92.527008105649813</c:v>
                </c:pt>
                <c:pt idx="104">
                  <c:v>-95.729954501874559</c:v>
                </c:pt>
                <c:pt idx="105">
                  <c:v>-96.954847984885134</c:v>
                </c:pt>
                <c:pt idx="106">
                  <c:v>-96.625365953186275</c:v>
                </c:pt>
                <c:pt idx="107">
                  <c:v>-95.735000621099275</c:v>
                </c:pt>
                <c:pt idx="108">
                  <c:v>-100.03725580108438</c:v>
                </c:pt>
                <c:pt idx="109">
                  <c:v>-102.84234373157054</c:v>
                </c:pt>
                <c:pt idx="110">
                  <c:v>-104.82403686641815</c:v>
                </c:pt>
                <c:pt idx="111">
                  <c:v>-103.68614124518466</c:v>
                </c:pt>
                <c:pt idx="112">
                  <c:v>-109.74888513819315</c:v>
                </c:pt>
                <c:pt idx="113">
                  <c:v>-128.13607826791633</c:v>
                </c:pt>
                <c:pt idx="114">
                  <c:v>-112.75011282811025</c:v>
                </c:pt>
                <c:pt idx="115">
                  <c:v>-109.66488600141975</c:v>
                </c:pt>
                <c:pt idx="116">
                  <c:v>-108.97927661428167</c:v>
                </c:pt>
                <c:pt idx="117">
                  <c:v>-105.64708566463236</c:v>
                </c:pt>
                <c:pt idx="118">
                  <c:v>-104.69046772887056</c:v>
                </c:pt>
                <c:pt idx="119">
                  <c:v>-106.72838880204709</c:v>
                </c:pt>
                <c:pt idx="120">
                  <c:v>-106.11520456328323</c:v>
                </c:pt>
                <c:pt idx="121">
                  <c:v>-111.01730803896291</c:v>
                </c:pt>
                <c:pt idx="122">
                  <c:v>-100.92586827096925</c:v>
                </c:pt>
                <c:pt idx="123">
                  <c:v>-103.01942867400467</c:v>
                </c:pt>
                <c:pt idx="124">
                  <c:v>-99.201143745715427</c:v>
                </c:pt>
                <c:pt idx="125">
                  <c:v>-110.30696666657947</c:v>
                </c:pt>
                <c:pt idx="126">
                  <c:v>-103.20867687490703</c:v>
                </c:pt>
                <c:pt idx="127">
                  <c:v>-95.443156018727038</c:v>
                </c:pt>
              </c:numCache>
            </c:numRef>
          </c:yVal>
        </c:ser>
        <c:ser>
          <c:idx val="2"/>
          <c:order val="2"/>
          <c:tx>
            <c:strRef>
              <c:f>'pink noise'!$AA$10:$AB$10</c:f>
              <c:strCache>
                <c:ptCount val="1"/>
                <c:pt idx="0">
                  <c:v>Blue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'pink noise'!$V$13:$V$140</c:f>
              <c:numCache>
                <c:formatCode>General</c:formatCode>
                <c:ptCount val="128"/>
                <c:pt idx="0">
                  <c:v>12.578616352201259</c:v>
                </c:pt>
                <c:pt idx="1">
                  <c:v>25.157232704402517</c:v>
                </c:pt>
                <c:pt idx="2">
                  <c:v>37.735849056603776</c:v>
                </c:pt>
                <c:pt idx="3">
                  <c:v>50.314465408805034</c:v>
                </c:pt>
                <c:pt idx="4">
                  <c:v>62.893081761006293</c:v>
                </c:pt>
                <c:pt idx="5">
                  <c:v>75.471698113207552</c:v>
                </c:pt>
                <c:pt idx="6">
                  <c:v>88.050314465408803</c:v>
                </c:pt>
                <c:pt idx="7">
                  <c:v>100.62893081761007</c:v>
                </c:pt>
                <c:pt idx="8">
                  <c:v>113.20754716981133</c:v>
                </c:pt>
                <c:pt idx="9">
                  <c:v>125.7861635220126</c:v>
                </c:pt>
                <c:pt idx="10">
                  <c:v>138.36477987421387</c:v>
                </c:pt>
                <c:pt idx="11">
                  <c:v>150.94339622641513</c:v>
                </c:pt>
                <c:pt idx="12">
                  <c:v>163.5220125786164</c:v>
                </c:pt>
                <c:pt idx="13">
                  <c:v>176.10062893081766</c:v>
                </c:pt>
                <c:pt idx="14">
                  <c:v>188.67924528301893</c:v>
                </c:pt>
                <c:pt idx="15">
                  <c:v>201.25786163522019</c:v>
                </c:pt>
                <c:pt idx="16">
                  <c:v>213.83647798742146</c:v>
                </c:pt>
                <c:pt idx="17">
                  <c:v>226.41509433962273</c:v>
                </c:pt>
                <c:pt idx="18">
                  <c:v>238.99371069182399</c:v>
                </c:pt>
                <c:pt idx="19">
                  <c:v>251.57232704402526</c:v>
                </c:pt>
                <c:pt idx="20">
                  <c:v>264.15094339622652</c:v>
                </c:pt>
                <c:pt idx="21">
                  <c:v>276.72955974842779</c:v>
                </c:pt>
                <c:pt idx="22">
                  <c:v>289.30817610062905</c:v>
                </c:pt>
                <c:pt idx="23">
                  <c:v>301.88679245283032</c:v>
                </c:pt>
                <c:pt idx="24">
                  <c:v>314.46540880503159</c:v>
                </c:pt>
                <c:pt idx="25">
                  <c:v>327.04402515723285</c:v>
                </c:pt>
                <c:pt idx="26">
                  <c:v>339.62264150943412</c:v>
                </c:pt>
                <c:pt idx="27">
                  <c:v>352.20125786163538</c:v>
                </c:pt>
                <c:pt idx="28">
                  <c:v>364.77987421383665</c:v>
                </c:pt>
                <c:pt idx="29">
                  <c:v>377.35849056603791</c:v>
                </c:pt>
                <c:pt idx="30">
                  <c:v>389.93710691823918</c:v>
                </c:pt>
                <c:pt idx="31">
                  <c:v>402.51572327044045</c:v>
                </c:pt>
                <c:pt idx="32">
                  <c:v>415.09433962264171</c:v>
                </c:pt>
                <c:pt idx="33">
                  <c:v>427.67295597484298</c:v>
                </c:pt>
                <c:pt idx="34">
                  <c:v>440.25157232704424</c:v>
                </c:pt>
                <c:pt idx="35">
                  <c:v>452.83018867924551</c:v>
                </c:pt>
                <c:pt idx="36">
                  <c:v>465.40880503144678</c:v>
                </c:pt>
                <c:pt idx="37">
                  <c:v>477.98742138364804</c:v>
                </c:pt>
                <c:pt idx="38">
                  <c:v>490.56603773584931</c:v>
                </c:pt>
                <c:pt idx="39">
                  <c:v>503.14465408805057</c:v>
                </c:pt>
                <c:pt idx="40">
                  <c:v>515.72327044025178</c:v>
                </c:pt>
                <c:pt idx="41">
                  <c:v>528.30188679245305</c:v>
                </c:pt>
                <c:pt idx="42">
                  <c:v>540.88050314465431</c:v>
                </c:pt>
                <c:pt idx="43">
                  <c:v>553.45911949685558</c:v>
                </c:pt>
                <c:pt idx="44">
                  <c:v>566.03773584905684</c:v>
                </c:pt>
                <c:pt idx="45">
                  <c:v>578.61635220125811</c:v>
                </c:pt>
                <c:pt idx="46">
                  <c:v>591.19496855345938</c:v>
                </c:pt>
                <c:pt idx="47">
                  <c:v>603.77358490566064</c:v>
                </c:pt>
                <c:pt idx="48">
                  <c:v>616.35220125786191</c:v>
                </c:pt>
                <c:pt idx="49">
                  <c:v>628.93081761006317</c:v>
                </c:pt>
                <c:pt idx="50">
                  <c:v>641.50943396226444</c:v>
                </c:pt>
                <c:pt idx="51">
                  <c:v>654.0880503144657</c:v>
                </c:pt>
                <c:pt idx="52">
                  <c:v>666.66666666666697</c:v>
                </c:pt>
                <c:pt idx="53">
                  <c:v>679.24528301886824</c:v>
                </c:pt>
                <c:pt idx="54">
                  <c:v>691.8238993710695</c:v>
                </c:pt>
                <c:pt idx="55">
                  <c:v>704.40251572327077</c:v>
                </c:pt>
                <c:pt idx="56">
                  <c:v>716.98113207547203</c:v>
                </c:pt>
                <c:pt idx="57">
                  <c:v>729.5597484276733</c:v>
                </c:pt>
                <c:pt idx="58">
                  <c:v>742.13836477987456</c:v>
                </c:pt>
                <c:pt idx="59">
                  <c:v>754.71698113207583</c:v>
                </c:pt>
                <c:pt idx="60">
                  <c:v>767.2955974842771</c:v>
                </c:pt>
                <c:pt idx="61">
                  <c:v>779.87421383647836</c:v>
                </c:pt>
                <c:pt idx="62">
                  <c:v>792.45283018867963</c:v>
                </c:pt>
                <c:pt idx="63">
                  <c:v>805.03144654088089</c:v>
                </c:pt>
                <c:pt idx="64">
                  <c:v>817.61006289308216</c:v>
                </c:pt>
                <c:pt idx="65">
                  <c:v>830.18867924528342</c:v>
                </c:pt>
                <c:pt idx="66">
                  <c:v>842.76729559748469</c:v>
                </c:pt>
                <c:pt idx="67">
                  <c:v>855.34591194968596</c:v>
                </c:pt>
                <c:pt idx="68">
                  <c:v>867.92452830188722</c:v>
                </c:pt>
                <c:pt idx="69">
                  <c:v>880.50314465408849</c:v>
                </c:pt>
                <c:pt idx="70">
                  <c:v>893.08176100628975</c:v>
                </c:pt>
                <c:pt idx="71">
                  <c:v>905.66037735849102</c:v>
                </c:pt>
                <c:pt idx="72">
                  <c:v>918.23899371069228</c:v>
                </c:pt>
                <c:pt idx="73">
                  <c:v>930.81761006289355</c:v>
                </c:pt>
                <c:pt idx="74">
                  <c:v>943.39622641509482</c:v>
                </c:pt>
                <c:pt idx="75">
                  <c:v>955.97484276729608</c:v>
                </c:pt>
                <c:pt idx="76">
                  <c:v>968.55345911949735</c:v>
                </c:pt>
                <c:pt idx="77">
                  <c:v>981.13207547169861</c:v>
                </c:pt>
                <c:pt idx="78">
                  <c:v>993.71069182389988</c:v>
                </c:pt>
                <c:pt idx="79">
                  <c:v>1006.2893081761011</c:v>
                </c:pt>
                <c:pt idx="80">
                  <c:v>1018.8679245283024</c:v>
                </c:pt>
                <c:pt idx="81">
                  <c:v>1031.4465408805036</c:v>
                </c:pt>
                <c:pt idx="82">
                  <c:v>1044.0251572327047</c:v>
                </c:pt>
                <c:pt idx="83">
                  <c:v>1056.6037735849059</c:v>
                </c:pt>
                <c:pt idx="84">
                  <c:v>1069.182389937107</c:v>
                </c:pt>
                <c:pt idx="85">
                  <c:v>1081.7610062893082</c:v>
                </c:pt>
                <c:pt idx="86">
                  <c:v>1094.3396226415093</c:v>
                </c:pt>
                <c:pt idx="87">
                  <c:v>1106.9182389937105</c:v>
                </c:pt>
                <c:pt idx="88">
                  <c:v>1119.4968553459116</c:v>
                </c:pt>
                <c:pt idx="89">
                  <c:v>1132.0754716981128</c:v>
                </c:pt>
                <c:pt idx="90">
                  <c:v>1144.6540880503139</c:v>
                </c:pt>
                <c:pt idx="91">
                  <c:v>1157.2327044025151</c:v>
                </c:pt>
                <c:pt idx="92">
                  <c:v>1169.8113207547162</c:v>
                </c:pt>
                <c:pt idx="93">
                  <c:v>1182.3899371069174</c:v>
                </c:pt>
                <c:pt idx="94">
                  <c:v>1194.9685534591185</c:v>
                </c:pt>
                <c:pt idx="95">
                  <c:v>1207.5471698113197</c:v>
                </c:pt>
                <c:pt idx="96">
                  <c:v>1220.1257861635208</c:v>
                </c:pt>
                <c:pt idx="97">
                  <c:v>1232.704402515722</c:v>
                </c:pt>
                <c:pt idx="98">
                  <c:v>1245.2830188679231</c:v>
                </c:pt>
                <c:pt idx="99">
                  <c:v>1257.8616352201243</c:v>
                </c:pt>
                <c:pt idx="100">
                  <c:v>1270.4402515723255</c:v>
                </c:pt>
                <c:pt idx="101">
                  <c:v>1283.0188679245266</c:v>
                </c:pt>
                <c:pt idx="102">
                  <c:v>1295.5974842767278</c:v>
                </c:pt>
                <c:pt idx="103">
                  <c:v>1308.1761006289289</c:v>
                </c:pt>
                <c:pt idx="104">
                  <c:v>1320.7547169811301</c:v>
                </c:pt>
                <c:pt idx="105">
                  <c:v>1333.3333333333312</c:v>
                </c:pt>
                <c:pt idx="106">
                  <c:v>1345.9119496855324</c:v>
                </c:pt>
                <c:pt idx="107">
                  <c:v>1358.4905660377335</c:v>
                </c:pt>
                <c:pt idx="108">
                  <c:v>1371.0691823899347</c:v>
                </c:pt>
                <c:pt idx="109">
                  <c:v>1383.6477987421358</c:v>
                </c:pt>
                <c:pt idx="110">
                  <c:v>1396.226415094337</c:v>
                </c:pt>
                <c:pt idx="111">
                  <c:v>1408.8050314465381</c:v>
                </c:pt>
                <c:pt idx="112">
                  <c:v>1421.3836477987393</c:v>
                </c:pt>
                <c:pt idx="113">
                  <c:v>1433.9622641509404</c:v>
                </c:pt>
                <c:pt idx="114">
                  <c:v>1446.5408805031416</c:v>
                </c:pt>
                <c:pt idx="115">
                  <c:v>1459.1194968553427</c:v>
                </c:pt>
                <c:pt idx="116">
                  <c:v>1471.6981132075439</c:v>
                </c:pt>
                <c:pt idx="117">
                  <c:v>1484.276729559745</c:v>
                </c:pt>
                <c:pt idx="118">
                  <c:v>1496.8553459119462</c:v>
                </c:pt>
                <c:pt idx="119">
                  <c:v>1509.4339622641473</c:v>
                </c:pt>
                <c:pt idx="120">
                  <c:v>1522.0125786163485</c:v>
                </c:pt>
                <c:pt idx="121">
                  <c:v>1534.5911949685496</c:v>
                </c:pt>
                <c:pt idx="122">
                  <c:v>1547.1698113207508</c:v>
                </c:pt>
                <c:pt idx="123">
                  <c:v>1559.7484276729519</c:v>
                </c:pt>
                <c:pt idx="124">
                  <c:v>1572.3270440251531</c:v>
                </c:pt>
                <c:pt idx="125">
                  <c:v>1584.9056603773543</c:v>
                </c:pt>
                <c:pt idx="126">
                  <c:v>1597.4842767295554</c:v>
                </c:pt>
                <c:pt idx="127">
                  <c:v>1610.0628930817566</c:v>
                </c:pt>
              </c:numCache>
            </c:numRef>
          </c:xVal>
          <c:yVal>
            <c:numRef>
              <c:f>'pink noise'!$AB$13:$AB$140</c:f>
              <c:numCache>
                <c:formatCode>0.0</c:formatCode>
                <c:ptCount val="128"/>
                <c:pt idx="0">
                  <c:v>-79.06275941963743</c:v>
                </c:pt>
                <c:pt idx="1">
                  <c:v>-68.101289163273378</c:v>
                </c:pt>
                <c:pt idx="2">
                  <c:v>-71.66554712931412</c:v>
                </c:pt>
                <c:pt idx="3">
                  <c:v>-75.459582831495467</c:v>
                </c:pt>
                <c:pt idx="4">
                  <c:v>-75.669022693529499</c:v>
                </c:pt>
                <c:pt idx="5">
                  <c:v>-70.911094778701184</c:v>
                </c:pt>
                <c:pt idx="6">
                  <c:v>-72.433749071724876</c:v>
                </c:pt>
                <c:pt idx="7">
                  <c:v>-75.898741377439038</c:v>
                </c:pt>
                <c:pt idx="8">
                  <c:v>-74.262823215138894</c:v>
                </c:pt>
                <c:pt idx="9">
                  <c:v>-92.425740460299735</c:v>
                </c:pt>
                <c:pt idx="10">
                  <c:v>-77.100471548271457</c:v>
                </c:pt>
                <c:pt idx="11">
                  <c:v>-73.064529046309048</c:v>
                </c:pt>
                <c:pt idx="12">
                  <c:v>-75.460890323264692</c:v>
                </c:pt>
                <c:pt idx="13">
                  <c:v>-91.333349301006294</c:v>
                </c:pt>
                <c:pt idx="14">
                  <c:v>-79.909980318054124</c:v>
                </c:pt>
                <c:pt idx="15">
                  <c:v>-86.784186042109326</c:v>
                </c:pt>
                <c:pt idx="16">
                  <c:v>-79.940069590091625</c:v>
                </c:pt>
                <c:pt idx="17">
                  <c:v>-95.211891409327777</c:v>
                </c:pt>
                <c:pt idx="18">
                  <c:v>-78.973167839693545</c:v>
                </c:pt>
                <c:pt idx="19">
                  <c:v>-84.835915643776474</c:v>
                </c:pt>
                <c:pt idx="20">
                  <c:v>-88.63257082458054</c:v>
                </c:pt>
                <c:pt idx="21">
                  <c:v>-87.755517824422668</c:v>
                </c:pt>
                <c:pt idx="22">
                  <c:v>-90.560481657756014</c:v>
                </c:pt>
                <c:pt idx="23">
                  <c:v>-89.702525527246848</c:v>
                </c:pt>
                <c:pt idx="24">
                  <c:v>-88.170920201235958</c:v>
                </c:pt>
                <c:pt idx="25">
                  <c:v>-90.202267712680992</c:v>
                </c:pt>
                <c:pt idx="26">
                  <c:v>-89.796543936377788</c:v>
                </c:pt>
                <c:pt idx="27">
                  <c:v>-85.157731260564674</c:v>
                </c:pt>
                <c:pt idx="28">
                  <c:v>-85.665646349114567</c:v>
                </c:pt>
                <c:pt idx="29">
                  <c:v>-87.199626569559499</c:v>
                </c:pt>
                <c:pt idx="30">
                  <c:v>-86.24418268247976</c:v>
                </c:pt>
                <c:pt idx="31">
                  <c:v>-85.902312193808697</c:v>
                </c:pt>
                <c:pt idx="32">
                  <c:v>-85.535567019822153</c:v>
                </c:pt>
                <c:pt idx="33">
                  <c:v>-82.28014191426243</c:v>
                </c:pt>
                <c:pt idx="34">
                  <c:v>-94.722751798155116</c:v>
                </c:pt>
                <c:pt idx="35">
                  <c:v>-84.582100626158365</c:v>
                </c:pt>
                <c:pt idx="36">
                  <c:v>-100.21580885566861</c:v>
                </c:pt>
                <c:pt idx="37">
                  <c:v>-91.978156569603001</c:v>
                </c:pt>
                <c:pt idx="38">
                  <c:v>-91.233173338392689</c:v>
                </c:pt>
                <c:pt idx="39">
                  <c:v>-96.628863938511032</c:v>
                </c:pt>
                <c:pt idx="40">
                  <c:v>-99.009889609007928</c:v>
                </c:pt>
                <c:pt idx="41">
                  <c:v>-91.50795040989955</c:v>
                </c:pt>
                <c:pt idx="42">
                  <c:v>-94.416509535124021</c:v>
                </c:pt>
                <c:pt idx="43">
                  <c:v>-99.592119313454674</c:v>
                </c:pt>
                <c:pt idx="44">
                  <c:v>-100.20360233753237</c:v>
                </c:pt>
                <c:pt idx="45">
                  <c:v>-100.49774952654724</c:v>
                </c:pt>
                <c:pt idx="46">
                  <c:v>-100.89208445772572</c:v>
                </c:pt>
                <c:pt idx="47">
                  <c:v>-96.84011987579018</c:v>
                </c:pt>
                <c:pt idx="48">
                  <c:v>-102.40537841145331</c:v>
                </c:pt>
                <c:pt idx="49">
                  <c:v>-94.430111504111835</c:v>
                </c:pt>
                <c:pt idx="50">
                  <c:v>-95.784165183396084</c:v>
                </c:pt>
                <c:pt idx="51">
                  <c:v>-103.98483789684195</c:v>
                </c:pt>
                <c:pt idx="52">
                  <c:v>-91.872127321370385</c:v>
                </c:pt>
                <c:pt idx="53">
                  <c:v>-97.684681737851932</c:v>
                </c:pt>
                <c:pt idx="54">
                  <c:v>-98.617501138710267</c:v>
                </c:pt>
                <c:pt idx="55">
                  <c:v>-92.259451810862402</c:v>
                </c:pt>
                <c:pt idx="56">
                  <c:v>-102.31157573104228</c:v>
                </c:pt>
                <c:pt idx="57">
                  <c:v>-99.629808170598807</c:v>
                </c:pt>
                <c:pt idx="58">
                  <c:v>-90.231510464489389</c:v>
                </c:pt>
                <c:pt idx="59">
                  <c:v>-92.510151922333023</c:v>
                </c:pt>
                <c:pt idx="60">
                  <c:v>-98.436473415566212</c:v>
                </c:pt>
                <c:pt idx="61">
                  <c:v>-102.0605530608435</c:v>
                </c:pt>
                <c:pt idx="62">
                  <c:v>-98.237204490724622</c:v>
                </c:pt>
                <c:pt idx="63">
                  <c:v>-95.973487207159295</c:v>
                </c:pt>
                <c:pt idx="64">
                  <c:v>-97.463707803641796</c:v>
                </c:pt>
                <c:pt idx="65">
                  <c:v>-95.630058972926946</c:v>
                </c:pt>
                <c:pt idx="66">
                  <c:v>-99.946905279023994</c:v>
                </c:pt>
                <c:pt idx="67">
                  <c:v>-113.47574749510417</c:v>
                </c:pt>
                <c:pt idx="68">
                  <c:v>-102.77057115906717</c:v>
                </c:pt>
                <c:pt idx="69">
                  <c:v>-103.13068246587355</c:v>
                </c:pt>
                <c:pt idx="70">
                  <c:v>-106.03481642906593</c:v>
                </c:pt>
                <c:pt idx="71">
                  <c:v>-102.77463254230778</c:v>
                </c:pt>
                <c:pt idx="72">
                  <c:v>-102.62345373386439</c:v>
                </c:pt>
                <c:pt idx="73">
                  <c:v>-98.4936984493213</c:v>
                </c:pt>
                <c:pt idx="74">
                  <c:v>-95.002078085422141</c:v>
                </c:pt>
                <c:pt idx="75">
                  <c:v>-98.195618332817133</c:v>
                </c:pt>
                <c:pt idx="76">
                  <c:v>-102.07601174612404</c:v>
                </c:pt>
                <c:pt idx="77">
                  <c:v>-97.739554276918952</c:v>
                </c:pt>
                <c:pt idx="78">
                  <c:v>-95.764212968962681</c:v>
                </c:pt>
                <c:pt idx="79">
                  <c:v>-97.408481746653052</c:v>
                </c:pt>
                <c:pt idx="80">
                  <c:v>-94.552625120530124</c:v>
                </c:pt>
                <c:pt idx="81">
                  <c:v>-102.96241886873051</c:v>
                </c:pt>
                <c:pt idx="82">
                  <c:v>-93.464543247324755</c:v>
                </c:pt>
                <c:pt idx="83">
                  <c:v>-97.674533479192732</c:v>
                </c:pt>
                <c:pt idx="84">
                  <c:v>-98.300510682824225</c:v>
                </c:pt>
                <c:pt idx="85">
                  <c:v>-91.714036129801372</c:v>
                </c:pt>
                <c:pt idx="86">
                  <c:v>-100.97153323577055</c:v>
                </c:pt>
                <c:pt idx="87">
                  <c:v>-98.519513322507038</c:v>
                </c:pt>
                <c:pt idx="88">
                  <c:v>-97.056566493568852</c:v>
                </c:pt>
                <c:pt idx="89">
                  <c:v>-94.955940875974591</c:v>
                </c:pt>
                <c:pt idx="90">
                  <c:v>-106.29009933901129</c:v>
                </c:pt>
                <c:pt idx="91">
                  <c:v>-102.09204788963682</c:v>
                </c:pt>
                <c:pt idx="92">
                  <c:v>-106.35179563550047</c:v>
                </c:pt>
                <c:pt idx="93">
                  <c:v>-107.20472605940239</c:v>
                </c:pt>
                <c:pt idx="94">
                  <c:v>-105.26810100805781</c:v>
                </c:pt>
                <c:pt idx="95">
                  <c:v>-100.30053404879172</c:v>
                </c:pt>
                <c:pt idx="96">
                  <c:v>-99.15031311603046</c:v>
                </c:pt>
                <c:pt idx="97">
                  <c:v>-105.04960750319802</c:v>
                </c:pt>
                <c:pt idx="98">
                  <c:v>-100.04821658126335</c:v>
                </c:pt>
                <c:pt idx="99">
                  <c:v>-93.485207431920401</c:v>
                </c:pt>
                <c:pt idx="100">
                  <c:v>-98.150292346062429</c:v>
                </c:pt>
                <c:pt idx="101">
                  <c:v>-104.25000997701034</c:v>
                </c:pt>
                <c:pt idx="102">
                  <c:v>-99.35590384205031</c:v>
                </c:pt>
                <c:pt idx="103">
                  <c:v>-92.846994513456792</c:v>
                </c:pt>
                <c:pt idx="104">
                  <c:v>-101.57504966299632</c:v>
                </c:pt>
                <c:pt idx="105">
                  <c:v>-99.00048478008982</c:v>
                </c:pt>
                <c:pt idx="106">
                  <c:v>-93.813069071032714</c:v>
                </c:pt>
                <c:pt idx="107">
                  <c:v>-105.31405395919415</c:v>
                </c:pt>
                <c:pt idx="108">
                  <c:v>-104.9428818307908</c:v>
                </c:pt>
                <c:pt idx="109">
                  <c:v>-99.007961145210032</c:v>
                </c:pt>
                <c:pt idx="110">
                  <c:v>-98.919590852631458</c:v>
                </c:pt>
                <c:pt idx="111">
                  <c:v>-97.543596033488029</c:v>
                </c:pt>
                <c:pt idx="112">
                  <c:v>-98.147497380431076</c:v>
                </c:pt>
                <c:pt idx="113">
                  <c:v>-100.15962213193302</c:v>
                </c:pt>
                <c:pt idx="114">
                  <c:v>-104.39840091692531</c:v>
                </c:pt>
                <c:pt idx="115">
                  <c:v>-104.98902041425919</c:v>
                </c:pt>
                <c:pt idx="116">
                  <c:v>-103.98643598124701</c:v>
                </c:pt>
                <c:pt idx="117">
                  <c:v>-108.40534055205872</c:v>
                </c:pt>
                <c:pt idx="118">
                  <c:v>-101.82269035035765</c:v>
                </c:pt>
                <c:pt idx="119">
                  <c:v>-104.41756590978335</c:v>
                </c:pt>
                <c:pt idx="120">
                  <c:v>-102.1710052875512</c:v>
                </c:pt>
                <c:pt idx="121">
                  <c:v>-120.69356481618344</c:v>
                </c:pt>
                <c:pt idx="122">
                  <c:v>-107.16770098235966</c:v>
                </c:pt>
                <c:pt idx="123">
                  <c:v>-94.289747879792159</c:v>
                </c:pt>
                <c:pt idx="124">
                  <c:v>-93.850938781306027</c:v>
                </c:pt>
                <c:pt idx="125">
                  <c:v>-101.30650042553575</c:v>
                </c:pt>
                <c:pt idx="126">
                  <c:v>-100.90936873647033</c:v>
                </c:pt>
                <c:pt idx="127">
                  <c:v>-137.44361677093818</c:v>
                </c:pt>
              </c:numCache>
            </c:numRef>
          </c:yVal>
        </c:ser>
        <c:axId val="177622016"/>
        <c:axId val="177628288"/>
      </c:scatterChart>
      <c:valAx>
        <c:axId val="177622016"/>
        <c:scaling>
          <c:orientation val="minMax"/>
        </c:scaling>
        <c:axPos val="b"/>
        <c:title>
          <c:tx>
            <c:strRef>
              <c:f>'pink noise'!$V$10</c:f>
              <c:strCache>
                <c:ptCount val="1"/>
                <c:pt idx="0">
                  <c:v>f (mHz)</c:v>
                </c:pt>
              </c:strCache>
            </c:strRef>
          </c:tx>
          <c:layout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77628288"/>
        <c:crossesAt val="-120"/>
        <c:crossBetween val="midCat"/>
      </c:valAx>
      <c:valAx>
        <c:axId val="177628288"/>
        <c:scaling>
          <c:orientation val="minMax"/>
          <c:min val="-120"/>
        </c:scaling>
        <c:axPos val="l"/>
        <c:majorGridlines/>
        <c:title>
          <c:tx>
            <c:strRef>
              <c:f>'pink noise'!$X$11</c:f>
              <c:strCache>
                <c:ptCount val="1"/>
                <c:pt idx="0">
                  <c:v>dBc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0"/>
        <c:tickLblPos val="nextTo"/>
        <c:crossAx val="1776220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559593</xdr:colOff>
      <xdr:row>6</xdr:row>
      <xdr:rowOff>23814</xdr:rowOff>
    </xdr:from>
    <xdr:to>
      <xdr:col>13</xdr:col>
      <xdr:colOff>592933</xdr:colOff>
      <xdr:row>6</xdr:row>
      <xdr:rowOff>107156</xdr:rowOff>
    </xdr:to>
    <xdr:cxnSp macro="">
      <xdr:nvCxnSpPr>
        <xdr:cNvPr id="2" name="Straight Arrow Connector 1"/>
        <xdr:cNvCxnSpPr/>
      </xdr:nvCxnSpPr>
      <xdr:spPr>
        <a:xfrm flipH="1">
          <a:off x="1535906" y="1202533"/>
          <a:ext cx="6927058" cy="83342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2381</xdr:rowOff>
    </xdr:from>
    <xdr:to>
      <xdr:col>13</xdr:col>
      <xdr:colOff>595314</xdr:colOff>
      <xdr:row>8</xdr:row>
      <xdr:rowOff>166687</xdr:rowOff>
    </xdr:to>
    <xdr:cxnSp macro="">
      <xdr:nvCxnSpPr>
        <xdr:cNvPr id="3" name="Straight Arrow Connector 2"/>
        <xdr:cNvCxnSpPr/>
      </xdr:nvCxnSpPr>
      <xdr:spPr>
        <a:xfrm flipH="1">
          <a:off x="1797844" y="1562100"/>
          <a:ext cx="6667501" cy="164306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39</xdr:row>
      <xdr:rowOff>15346</xdr:rowOff>
    </xdr:from>
    <xdr:to>
      <xdr:col>12</xdr:col>
      <xdr:colOff>265</xdr:colOff>
      <xdr:row>40</xdr:row>
      <xdr:rowOff>63500</xdr:rowOff>
    </xdr:to>
    <xdr:cxnSp macro="">
      <xdr:nvCxnSpPr>
        <xdr:cNvPr id="5" name="Straight Arrow Connector 4"/>
        <xdr:cNvCxnSpPr/>
      </xdr:nvCxnSpPr>
      <xdr:spPr>
        <a:xfrm flipV="1">
          <a:off x="6699250" y="7709429"/>
          <a:ext cx="614098" cy="238654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476250</xdr:colOff>
      <xdr:row>33</xdr:row>
      <xdr:rowOff>0</xdr:rowOff>
    </xdr:from>
    <xdr:to>
      <xdr:col>11</xdr:col>
      <xdr:colOff>592667</xdr:colOff>
      <xdr:row>38</xdr:row>
      <xdr:rowOff>74084</xdr:rowOff>
    </xdr:to>
    <xdr:cxnSp macro="">
      <xdr:nvCxnSpPr>
        <xdr:cNvPr id="6" name="Straight Arrow Connector 5"/>
        <xdr:cNvCxnSpPr/>
      </xdr:nvCxnSpPr>
      <xdr:spPr>
        <a:xfrm flipH="1">
          <a:off x="6561667" y="6540500"/>
          <a:ext cx="730250" cy="1037167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466726</xdr:colOff>
      <xdr:row>45</xdr:row>
      <xdr:rowOff>107157</xdr:rowOff>
    </xdr:from>
    <xdr:to>
      <xdr:col>21</xdr:col>
      <xdr:colOff>0</xdr:colOff>
      <xdr:row>47</xdr:row>
      <xdr:rowOff>57150</xdr:rowOff>
    </xdr:to>
    <xdr:cxnSp macro="">
      <xdr:nvCxnSpPr>
        <xdr:cNvPr id="7" name="Straight Arrow Connector 6"/>
        <xdr:cNvCxnSpPr/>
      </xdr:nvCxnSpPr>
      <xdr:spPr>
        <a:xfrm flipH="1">
          <a:off x="11372851" y="8977313"/>
          <a:ext cx="1354930" cy="34290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59531</xdr:colOff>
      <xdr:row>14</xdr:row>
      <xdr:rowOff>222972</xdr:rowOff>
    </xdr:from>
    <xdr:to>
      <xdr:col>17</xdr:col>
      <xdr:colOff>585571</xdr:colOff>
      <xdr:row>15</xdr:row>
      <xdr:rowOff>214313</xdr:rowOff>
    </xdr:to>
    <xdr:cxnSp macro="">
      <xdr:nvCxnSpPr>
        <xdr:cNvPr id="4" name="Straight Arrow Connector 3"/>
        <xdr:cNvCxnSpPr/>
      </xdr:nvCxnSpPr>
      <xdr:spPr>
        <a:xfrm flipH="1">
          <a:off x="7322344" y="2997128"/>
          <a:ext cx="1740477" cy="21756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11907</xdr:colOff>
      <xdr:row>18</xdr:row>
      <xdr:rowOff>0</xdr:rowOff>
    </xdr:from>
    <xdr:to>
      <xdr:col>34</xdr:col>
      <xdr:colOff>595313</xdr:colOff>
      <xdr:row>40</xdr:row>
      <xdr:rowOff>11906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59531</xdr:colOff>
      <xdr:row>14</xdr:row>
      <xdr:rowOff>222972</xdr:rowOff>
    </xdr:from>
    <xdr:to>
      <xdr:col>17</xdr:col>
      <xdr:colOff>585571</xdr:colOff>
      <xdr:row>15</xdr:row>
      <xdr:rowOff>214313</xdr:rowOff>
    </xdr:to>
    <xdr:cxnSp macro="">
      <xdr:nvCxnSpPr>
        <xdr:cNvPr id="10" name="Straight Arrow Connector 9"/>
        <xdr:cNvCxnSpPr/>
      </xdr:nvCxnSpPr>
      <xdr:spPr>
        <a:xfrm flipH="1">
          <a:off x="9165431" y="2975697"/>
          <a:ext cx="1745240" cy="21994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59531</xdr:colOff>
      <xdr:row>14</xdr:row>
      <xdr:rowOff>222972</xdr:rowOff>
    </xdr:from>
    <xdr:to>
      <xdr:col>17</xdr:col>
      <xdr:colOff>585571</xdr:colOff>
      <xdr:row>15</xdr:row>
      <xdr:rowOff>214313</xdr:rowOff>
    </xdr:to>
    <xdr:cxnSp macro="">
      <xdr:nvCxnSpPr>
        <xdr:cNvPr id="11" name="Straight Arrow Connector 10"/>
        <xdr:cNvCxnSpPr/>
      </xdr:nvCxnSpPr>
      <xdr:spPr>
        <a:xfrm flipH="1">
          <a:off x="9165431" y="2975697"/>
          <a:ext cx="1745240" cy="219941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24</xdr:row>
      <xdr:rowOff>0</xdr:rowOff>
    </xdr:from>
    <xdr:to>
      <xdr:col>23</xdr:col>
      <xdr:colOff>459581</xdr:colOff>
      <xdr:row>36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8</xdr:row>
      <xdr:rowOff>0</xdr:rowOff>
    </xdr:from>
    <xdr:to>
      <xdr:col>23</xdr:col>
      <xdr:colOff>304801</xdr:colOff>
      <xdr:row>22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23</xdr:row>
      <xdr:rowOff>0</xdr:rowOff>
    </xdr:from>
    <xdr:to>
      <xdr:col>23</xdr:col>
      <xdr:colOff>304801</xdr:colOff>
      <xdr:row>37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0</xdr:rowOff>
    </xdr:from>
    <xdr:to>
      <xdr:col>36</xdr:col>
      <xdr:colOff>275167</xdr:colOff>
      <xdr:row>13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14</xdr:row>
      <xdr:rowOff>0</xdr:rowOff>
    </xdr:from>
    <xdr:to>
      <xdr:col>36</xdr:col>
      <xdr:colOff>275167</xdr:colOff>
      <xdr:row>26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en.wikipedia.org/wiki/Color_temperature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5" Type="http://schemas.openxmlformats.org/officeDocument/2006/relationships/control" Target="../activeX/activeX13.xml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5" Type="http://schemas.openxmlformats.org/officeDocument/2006/relationships/control" Target="../activeX/activeX20.xml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AW71"/>
  <sheetViews>
    <sheetView zoomScale="70" zoomScaleNormal="70" workbookViewId="0">
      <selection activeCell="N73" sqref="N73"/>
    </sheetView>
  </sheetViews>
  <sheetFormatPr defaultRowHeight="15"/>
  <cols>
    <col min="1" max="1" width="3.5703125" customWidth="1"/>
    <col min="2" max="2" width="11" bestFit="1" customWidth="1"/>
    <col min="3" max="3" width="12.28515625" customWidth="1"/>
    <col min="7" max="7" width="9.140625" customWidth="1"/>
    <col min="8" max="11" width="9.140625" style="3"/>
    <col min="16" max="16" width="9.140625" customWidth="1"/>
    <col min="22" max="22" width="10.5703125" bestFit="1" customWidth="1"/>
    <col min="31" max="31" width="11" bestFit="1" customWidth="1"/>
    <col min="32" max="32" width="10" bestFit="1" customWidth="1"/>
    <col min="33" max="33" width="10" style="4" customWidth="1"/>
    <col min="35" max="36" width="9.140625" style="4"/>
    <col min="38" max="39" width="9.140625" style="4"/>
    <col min="41" max="41" width="9.140625" style="4"/>
    <col min="44" max="45" width="9.140625" style="4"/>
    <col min="47" max="49" width="9.140625" style="4"/>
  </cols>
  <sheetData>
    <row r="1" spans="2:38" s="4" customFormat="1" ht="15.75" thickBot="1">
      <c r="H1" s="123"/>
      <c r="I1" s="123"/>
      <c r="J1" s="123"/>
      <c r="K1" s="123"/>
      <c r="AF1" s="144"/>
      <c r="AG1" s="221"/>
      <c r="AH1" s="221"/>
      <c r="AI1" s="221"/>
      <c r="AJ1" s="221"/>
      <c r="AK1" s="221"/>
      <c r="AL1" s="221"/>
    </row>
    <row r="2" spans="2:38" s="4" customFormat="1" ht="15.75" thickBot="1">
      <c r="B2" s="224" t="s">
        <v>13</v>
      </c>
      <c r="C2" s="225"/>
      <c r="D2" s="225"/>
      <c r="E2" s="225"/>
      <c r="F2" s="225"/>
      <c r="G2" s="225"/>
      <c r="H2" s="225"/>
      <c r="I2" s="225"/>
      <c r="J2" s="225"/>
      <c r="K2" s="225"/>
      <c r="L2" s="226"/>
      <c r="O2" s="280" t="s">
        <v>14</v>
      </c>
      <c r="P2" s="299"/>
      <c r="Q2" s="299"/>
      <c r="R2" s="299"/>
      <c r="S2" s="299"/>
      <c r="T2" s="299"/>
      <c r="U2" s="299"/>
      <c r="V2" s="300"/>
      <c r="W2" s="227"/>
      <c r="X2" s="227" t="s">
        <v>31</v>
      </c>
      <c r="Y2" s="227"/>
      <c r="Z2" s="227" t="s">
        <v>32</v>
      </c>
      <c r="AA2" s="227"/>
      <c r="AB2" s="227" t="s">
        <v>33</v>
      </c>
      <c r="AC2" s="227"/>
      <c r="AF2" s="144"/>
      <c r="AG2" s="144"/>
      <c r="AH2" s="144"/>
      <c r="AI2" s="144"/>
      <c r="AJ2" s="144"/>
      <c r="AK2" s="144"/>
      <c r="AL2" s="144"/>
    </row>
    <row r="3" spans="2:38" s="4" customFormat="1" ht="15.75" thickBot="1">
      <c r="B3" s="121" t="s">
        <v>57</v>
      </c>
      <c r="C3" s="132" t="s">
        <v>15</v>
      </c>
      <c r="D3" s="222" t="s">
        <v>16</v>
      </c>
      <c r="E3" s="222"/>
      <c r="F3" s="222"/>
      <c r="G3" s="231" t="s">
        <v>17</v>
      </c>
      <c r="H3" s="228"/>
      <c r="I3" s="232"/>
      <c r="J3" s="222" t="s">
        <v>18</v>
      </c>
      <c r="K3" s="222"/>
      <c r="L3" s="223"/>
      <c r="O3" s="301"/>
      <c r="P3" s="302"/>
      <c r="Q3" s="302"/>
      <c r="R3" s="302"/>
      <c r="S3" s="302"/>
      <c r="T3" s="302"/>
      <c r="U3" s="302"/>
      <c r="V3" s="303"/>
      <c r="W3" s="227"/>
      <c r="X3" s="143" t="str">
        <f>$D3&amp;X2</f>
        <v>AR</v>
      </c>
      <c r="Y3" s="143" t="str">
        <f>$J3&amp;X2</f>
        <v>CWF'R</v>
      </c>
      <c r="Z3" s="143" t="str">
        <f>$D3&amp;Z2</f>
        <v>AG</v>
      </c>
      <c r="AA3" s="143" t="str">
        <f>$J3&amp;Z2</f>
        <v>CWF'G</v>
      </c>
      <c r="AB3" s="143" t="str">
        <f>$D3&amp;AB2</f>
        <v>AB</v>
      </c>
      <c r="AC3" s="143" t="str">
        <f>$J3&amp;AB2</f>
        <v>CWF'B</v>
      </c>
      <c r="AF3" s="144"/>
      <c r="AG3" s="190"/>
      <c r="AH3" s="190"/>
      <c r="AI3" s="191"/>
      <c r="AJ3" s="190"/>
      <c r="AK3" s="190"/>
      <c r="AL3" s="191"/>
    </row>
    <row r="4" spans="2:38" s="4" customFormat="1">
      <c r="B4" s="125">
        <v>1</v>
      </c>
      <c r="C4" s="136" t="s">
        <v>20</v>
      </c>
      <c r="D4" s="135" t="s">
        <v>28</v>
      </c>
      <c r="E4" s="135" t="s">
        <v>29</v>
      </c>
      <c r="F4" s="126" t="s">
        <v>30</v>
      </c>
      <c r="G4" s="125" t="str">
        <f>D4</f>
        <v>X</v>
      </c>
      <c r="H4" s="126" t="str">
        <f t="shared" ref="H4:L4" si="0">E4</f>
        <v>Y</v>
      </c>
      <c r="I4" s="131" t="str">
        <f t="shared" si="0"/>
        <v>Z</v>
      </c>
      <c r="J4" s="126" t="str">
        <f t="shared" si="0"/>
        <v>X</v>
      </c>
      <c r="K4" s="126" t="str">
        <f t="shared" si="0"/>
        <v>Y</v>
      </c>
      <c r="L4" s="131" t="str">
        <f t="shared" si="0"/>
        <v>Z</v>
      </c>
      <c r="O4" s="254" t="s">
        <v>21</v>
      </c>
      <c r="P4" s="255"/>
      <c r="Q4" s="255"/>
      <c r="R4" s="255"/>
      <c r="S4" s="255"/>
      <c r="T4" s="276"/>
      <c r="U4" s="39"/>
      <c r="V4" s="40"/>
      <c r="W4" s="135">
        <f>C6</f>
        <v>0</v>
      </c>
      <c r="X4" s="119">
        <f>D6</f>
        <v>4162</v>
      </c>
      <c r="Y4" s="119">
        <f>J6</f>
        <v>294.84432922877511</v>
      </c>
      <c r="Z4" s="119">
        <f>cmpA0</f>
        <v>5195</v>
      </c>
      <c r="AA4" s="119">
        <f>K6</f>
        <v>1250.6934543097861</v>
      </c>
      <c r="AB4" s="119">
        <f>F6</f>
        <v>4405</v>
      </c>
      <c r="AC4" s="119">
        <f>L6</f>
        <v>1025.0364225534672</v>
      </c>
      <c r="AF4" s="190"/>
      <c r="AG4" s="190"/>
      <c r="AH4" s="190"/>
      <c r="AI4" s="55"/>
      <c r="AJ4" s="55"/>
      <c r="AK4" s="55"/>
      <c r="AL4" s="55"/>
    </row>
    <row r="5" spans="2:38" s="4" customFormat="1" ht="15.75" thickBot="1">
      <c r="B5" s="162"/>
      <c r="C5" s="131" t="s">
        <v>101</v>
      </c>
      <c r="D5" s="8">
        <v>970.4</v>
      </c>
      <c r="E5" s="8">
        <v>821.2</v>
      </c>
      <c r="F5" s="8">
        <v>179.3</v>
      </c>
      <c r="G5" s="150">
        <v>749.8</v>
      </c>
      <c r="H5" s="8">
        <v>771.5</v>
      </c>
      <c r="I5" s="151">
        <v>383.3</v>
      </c>
      <c r="J5" s="160">
        <f>$M$11*G5</f>
        <v>798.10208684381075</v>
      </c>
      <c r="K5" s="161">
        <f t="shared" ref="K5:L6" si="1">$M$11*H5</f>
        <v>821.2</v>
      </c>
      <c r="L5" s="11">
        <f t="shared" si="1"/>
        <v>407.99217109526899</v>
      </c>
      <c r="M5" s="183">
        <f>X11-Y11</f>
        <v>-9.0218924198026684E-7</v>
      </c>
      <c r="O5" s="258"/>
      <c r="P5" s="259"/>
      <c r="Q5" s="259"/>
      <c r="R5" s="259"/>
      <c r="S5" s="259"/>
      <c r="T5" s="277"/>
      <c r="U5" s="39"/>
      <c r="V5" s="39"/>
      <c r="W5" s="143">
        <f>cmpSet</f>
        <v>26</v>
      </c>
      <c r="X5" s="119"/>
      <c r="Y5" s="119"/>
      <c r="Z5" s="119">
        <f>E10</f>
        <v>1230.5200000000004</v>
      </c>
      <c r="AA5" s="119">
        <f>K10</f>
        <v>1197.5576098509396</v>
      </c>
      <c r="AB5" s="119"/>
      <c r="AC5" s="119"/>
      <c r="AF5" s="190"/>
      <c r="AG5" s="190"/>
      <c r="AH5" s="190"/>
      <c r="AI5" s="191"/>
      <c r="AJ5" s="190"/>
      <c r="AK5" s="190"/>
      <c r="AL5" s="191"/>
    </row>
    <row r="6" spans="2:38" s="4" customFormat="1">
      <c r="B6" s="125" t="s">
        <v>102</v>
      </c>
      <c r="C6" s="131">
        <v>0</v>
      </c>
      <c r="D6" s="36">
        <v>4162</v>
      </c>
      <c r="E6" s="36">
        <v>5195</v>
      </c>
      <c r="F6" s="36">
        <v>4405</v>
      </c>
      <c r="G6" s="152">
        <v>277</v>
      </c>
      <c r="H6" s="36">
        <v>1175</v>
      </c>
      <c r="I6" s="147">
        <v>963</v>
      </c>
      <c r="J6" s="160">
        <f>$M$11*G6</f>
        <v>294.84432922877511</v>
      </c>
      <c r="K6" s="128">
        <f>H6*M$11</f>
        <v>1250.6934543097861</v>
      </c>
      <c r="L6" s="11">
        <f t="shared" si="1"/>
        <v>1025.0364225534672</v>
      </c>
      <c r="M6" s="183">
        <f>AB11-AC11</f>
        <v>-4.8711072286877766E-8</v>
      </c>
      <c r="O6" s="254" t="s">
        <v>22</v>
      </c>
      <c r="P6" s="255"/>
      <c r="Q6" s="255"/>
      <c r="R6" s="255"/>
      <c r="S6" s="255"/>
      <c r="T6" s="255"/>
      <c r="U6" s="255"/>
      <c r="V6" s="278"/>
      <c r="W6" s="143">
        <f>cmpTest</f>
        <v>25</v>
      </c>
      <c r="X6" s="119"/>
      <c r="Y6" s="119"/>
      <c r="Z6" s="119">
        <f>cmpAN</f>
        <v>1383</v>
      </c>
      <c r="AA6" s="119">
        <f>K7</f>
        <v>1199.6012961762799</v>
      </c>
      <c r="AB6" s="119"/>
      <c r="AC6" s="119"/>
      <c r="AF6" s="144"/>
      <c r="AG6" s="190"/>
      <c r="AH6" s="190"/>
      <c r="AI6" s="191"/>
      <c r="AJ6" s="144"/>
      <c r="AK6" s="190"/>
      <c r="AL6" s="191"/>
    </row>
    <row r="7" spans="2:38" s="4" customFormat="1" ht="15.75" thickBot="1">
      <c r="B7" s="10">
        <f>INT(cmpA0/4)</f>
        <v>1298</v>
      </c>
      <c r="C7" s="147">
        <v>25</v>
      </c>
      <c r="D7" s="163"/>
      <c r="E7" s="36">
        <v>1383</v>
      </c>
      <c r="F7" s="163"/>
      <c r="G7" s="164"/>
      <c r="H7" s="36">
        <v>1127</v>
      </c>
      <c r="I7" s="165"/>
      <c r="J7" s="159"/>
      <c r="K7" s="128">
        <f>H7*M$11</f>
        <v>1199.6012961762799</v>
      </c>
      <c r="L7" s="9"/>
      <c r="O7" s="262"/>
      <c r="P7" s="263"/>
      <c r="Q7" s="263"/>
      <c r="R7" s="263"/>
      <c r="S7" s="263"/>
      <c r="T7" s="263"/>
      <c r="U7" s="263"/>
      <c r="V7" s="279"/>
      <c r="W7" s="161">
        <f>Rcomp</f>
        <v>21.155884873842233</v>
      </c>
      <c r="X7" s="119">
        <f>D8*Rcomp+X4</f>
        <v>135.50138243580159</v>
      </c>
      <c r="Y7" s="119">
        <f>J8*Rcomp+Y4</f>
        <v>111.44255549179238</v>
      </c>
      <c r="Z7" s="143"/>
      <c r="AA7" s="143"/>
      <c r="AB7" s="143"/>
      <c r="AC7" s="143"/>
      <c r="AF7" s="144"/>
      <c r="AG7" s="190"/>
      <c r="AH7" s="190"/>
      <c r="AI7" s="191"/>
      <c r="AJ7" s="190"/>
      <c r="AK7" s="190"/>
      <c r="AL7" s="191"/>
    </row>
    <row r="8" spans="2:38" s="4" customFormat="1">
      <c r="B8" s="125"/>
      <c r="C8" s="131" t="s">
        <v>23</v>
      </c>
      <c r="D8" s="140">
        <f>E6/D6*E8</f>
        <v>-190.32522825564632</v>
      </c>
      <c r="E8" s="140">
        <f>SLOPE(E6:E7,$C6:$C7)</f>
        <v>-152.47999999999999</v>
      </c>
      <c r="F8" s="140">
        <f>E8*E6/F6</f>
        <v>-179.82601589103291</v>
      </c>
      <c r="G8" s="153"/>
      <c r="H8" s="140">
        <f>SLOPE(H6:H7,$C6:$C7)</f>
        <v>-1.92</v>
      </c>
      <c r="I8" s="11"/>
      <c r="J8" s="140">
        <f>K8*K6/J6</f>
        <v>-8.6690665425082809</v>
      </c>
      <c r="K8" s="140">
        <f>SLOPE(K6:K7,$C6:$C7)</f>
        <v>-2.04368632534025</v>
      </c>
      <c r="L8" s="11">
        <f>K8*K6/L6</f>
        <v>-2.4935944260382072</v>
      </c>
      <c r="O8" s="280" t="s">
        <v>58</v>
      </c>
      <c r="P8" s="255"/>
      <c r="Q8" s="255"/>
      <c r="R8" s="255"/>
      <c r="S8" s="255"/>
      <c r="T8" s="281"/>
      <c r="U8" s="281"/>
      <c r="V8" s="278"/>
      <c r="W8" s="161">
        <f>Bcomp</f>
        <v>22.125689615658576</v>
      </c>
      <c r="X8" s="143"/>
      <c r="Y8" s="143"/>
      <c r="Z8" s="143"/>
      <c r="AA8" s="143"/>
      <c r="AB8" s="119">
        <f>AB9*W8+AB4</f>
        <v>426.22538757451912</v>
      </c>
      <c r="AC8" s="119">
        <f>AC9*W8+AC4</f>
        <v>969.8639262556095</v>
      </c>
      <c r="AF8" s="144"/>
      <c r="AG8" s="190"/>
      <c r="AH8" s="190"/>
      <c r="AI8" s="191"/>
      <c r="AJ8" s="190"/>
      <c r="AK8" s="190"/>
      <c r="AL8" s="191"/>
    </row>
    <row r="9" spans="2:38" s="4" customFormat="1" ht="15.75" thickBot="1">
      <c r="B9" s="247" t="s">
        <v>24</v>
      </c>
      <c r="C9" s="148">
        <f>MAX(MIN(ROUND((E6-K6)/(K8-E8),0),63),0)</f>
        <v>26</v>
      </c>
      <c r="D9" s="157"/>
      <c r="E9" s="146">
        <f>-E8/cmpA0</f>
        <v>2.9351299326275261E-2</v>
      </c>
      <c r="F9" s="146"/>
      <c r="G9" s="154"/>
      <c r="H9" s="146">
        <f>-H8/cmpA0</f>
        <v>3.6958614051973049E-4</v>
      </c>
      <c r="I9" s="155"/>
      <c r="J9" s="146"/>
      <c r="L9" s="133"/>
      <c r="O9" s="262"/>
      <c r="P9" s="263"/>
      <c r="Q9" s="263"/>
      <c r="R9" s="263"/>
      <c r="S9" s="263"/>
      <c r="T9" s="282"/>
      <c r="U9" s="282"/>
      <c r="V9" s="279"/>
      <c r="W9" s="143" t="s">
        <v>23</v>
      </c>
      <c r="X9" s="161">
        <f>D8</f>
        <v>-190.32522825564632</v>
      </c>
      <c r="Y9" s="161">
        <f>J8</f>
        <v>-8.6690665425082809</v>
      </c>
      <c r="Z9" s="161">
        <f>E8</f>
        <v>-152.47999999999999</v>
      </c>
      <c r="AA9" s="161">
        <f>K8</f>
        <v>-2.04368632534025</v>
      </c>
      <c r="AB9" s="161">
        <f>F8</f>
        <v>-179.82601589103291</v>
      </c>
      <c r="AC9" s="161">
        <f>L8</f>
        <v>-2.4935944260382072</v>
      </c>
      <c r="AF9" s="227" t="s">
        <v>101</v>
      </c>
      <c r="AG9" s="227"/>
      <c r="AH9" s="227"/>
      <c r="AI9" s="191"/>
      <c r="AJ9" s="190"/>
      <c r="AK9" s="190"/>
      <c r="AL9" s="191"/>
    </row>
    <row r="10" spans="2:38" s="4" customFormat="1" ht="15.75" thickBot="1">
      <c r="B10" s="248"/>
      <c r="C10" s="1"/>
      <c r="D10" s="56"/>
      <c r="E10" s="129">
        <f>E8*cmpSet+cmpA0</f>
        <v>1230.5200000000004</v>
      </c>
      <c r="F10" s="129"/>
      <c r="G10" s="156"/>
      <c r="H10" s="129">
        <f>H8*cmpSet+cmpCWF0</f>
        <v>1125.08</v>
      </c>
      <c r="I10" s="33"/>
      <c r="J10" s="129"/>
      <c r="K10" s="129">
        <f>H10*M$11</f>
        <v>1197.5576098509396</v>
      </c>
      <c r="L10" s="33"/>
      <c r="W10" s="143"/>
      <c r="X10" s="143" t="s">
        <v>111</v>
      </c>
      <c r="Y10" s="143" t="s">
        <v>26</v>
      </c>
      <c r="Z10" s="143" t="str">
        <f>X10</f>
        <v>Meter</v>
      </c>
      <c r="AA10" s="143" t="str">
        <f t="shared" ref="AA10:AC10" si="2">Y10</f>
        <v>DUT</v>
      </c>
      <c r="AB10" s="143" t="str">
        <f t="shared" si="2"/>
        <v>Meter</v>
      </c>
      <c r="AC10" s="143" t="str">
        <f t="shared" si="2"/>
        <v>DUT</v>
      </c>
      <c r="AG10" s="123" t="s">
        <v>1</v>
      </c>
      <c r="AH10" s="123" t="s">
        <v>2</v>
      </c>
      <c r="AI10" s="191"/>
      <c r="AJ10" s="190"/>
      <c r="AK10" s="190"/>
      <c r="AL10" s="191"/>
    </row>
    <row r="11" spans="2:38">
      <c r="B11" s="189" t="s">
        <v>112</v>
      </c>
      <c r="C11" s="161">
        <v>21.155884873842233</v>
      </c>
      <c r="D11" s="166">
        <f>C11/cmpSet</f>
        <v>0.81368787976316281</v>
      </c>
      <c r="J11" s="233" t="s">
        <v>19</v>
      </c>
      <c r="K11" s="233"/>
      <c r="L11" s="233"/>
      <c r="M11" s="105">
        <f>E5/H5</f>
        <v>1.0644199611147116</v>
      </c>
      <c r="W11" s="143" t="s">
        <v>114</v>
      </c>
      <c r="X11" s="183">
        <f>D5/J5</f>
        <v>1.2158845541145766</v>
      </c>
      <c r="Y11" s="183">
        <f>X7/Y7</f>
        <v>1.2158854563038186</v>
      </c>
      <c r="Z11" s="183">
        <f>E5/K5</f>
        <v>1</v>
      </c>
      <c r="AA11" s="183">
        <f>Z5/AA5</f>
        <v>1.0275246801305564</v>
      </c>
      <c r="AB11" s="183">
        <f>F5/L5</f>
        <v>0.43946921706527603</v>
      </c>
      <c r="AC11" s="183">
        <f>AB8/AC8</f>
        <v>0.43946926577634832</v>
      </c>
      <c r="AF11" s="123" t="str">
        <f>D3</f>
        <v>A</v>
      </c>
      <c r="AG11" s="167">
        <f>D5/SUM(D5:F5)</f>
        <v>0.49236389466741087</v>
      </c>
      <c r="AH11" s="167">
        <f>E5/SUM(D5:F5)</f>
        <v>0.41666243847988232</v>
      </c>
      <c r="AI11" s="191"/>
      <c r="AJ11" s="190"/>
      <c r="AK11" s="190"/>
      <c r="AL11" s="191"/>
    </row>
    <row r="12" spans="2:38">
      <c r="B12" s="189" t="s">
        <v>113</v>
      </c>
      <c r="C12" s="161">
        <v>22.125689615658576</v>
      </c>
      <c r="D12" s="166">
        <f>C12/cmpSet</f>
        <v>0.85098806214071443</v>
      </c>
      <c r="G12" s="4"/>
      <c r="H12" s="4"/>
      <c r="I12" s="4"/>
      <c r="J12" s="234"/>
      <c r="K12" s="234"/>
      <c r="L12" s="234"/>
      <c r="M12" s="119">
        <f>AA5/M11</f>
        <v>1125.08</v>
      </c>
      <c r="N12" s="168">
        <f>1-code101/M12</f>
        <v>7.1106054680525332E-5</v>
      </c>
      <c r="U12" s="4"/>
      <c r="V12" s="4"/>
      <c r="W12" s="143"/>
      <c r="X12" s="166"/>
      <c r="Y12" s="166"/>
      <c r="Z12" s="166"/>
      <c r="AA12" s="166"/>
      <c r="AB12" s="166"/>
      <c r="AC12" s="166"/>
      <c r="AF12" s="123">
        <f>W5</f>
        <v>26</v>
      </c>
      <c r="AG12" s="167">
        <f>X5/(SUM(X5,Z5,AB5))</f>
        <v>0</v>
      </c>
      <c r="AH12" s="167">
        <f>Z5/(SUM(X5,Z5,AB5))</f>
        <v>1</v>
      </c>
      <c r="AI12" s="191"/>
      <c r="AJ12" s="190"/>
      <c r="AK12" s="190"/>
      <c r="AL12" s="191"/>
    </row>
    <row r="13" spans="2:38" ht="15.75" thickBot="1">
      <c r="H13" s="158"/>
      <c r="I13" s="158"/>
      <c r="J13" s="158"/>
      <c r="K13" s="158"/>
      <c r="L13" s="130"/>
      <c r="M13" s="55"/>
      <c r="U13" s="4"/>
      <c r="AF13" s="123" t="str">
        <f>J3</f>
        <v>CWF'</v>
      </c>
      <c r="AG13" s="167">
        <f>G5/SUM(G5:I5)</f>
        <v>0.39367846266932688</v>
      </c>
      <c r="AH13" s="167">
        <f>H5/SUM(G5:I5)</f>
        <v>0.40507193111414475</v>
      </c>
      <c r="AI13" s="191"/>
      <c r="AJ13" s="190"/>
      <c r="AK13" s="190"/>
      <c r="AL13" s="191"/>
    </row>
    <row r="14" spans="2:38" s="4" customFormat="1" ht="15.75" thickBot="1">
      <c r="B14" s="224" t="s">
        <v>115</v>
      </c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6"/>
      <c r="S14" s="254" t="str">
        <f>"5) Set your IR Compset = "&amp; ROUND(C9,0) &amp; " then Measure XYZ(from CL-200) and RGB values(ISL29125) on LO(375lux) and HI(10k Lux) ranges on three different light sources near 2800K, 4000K and 6500kK values."&amp;" Use a (low IR)fluorescent source (same as used for balancing the IR compensation) for the middle, 4000K value.  Place values at yellow portion."</f>
        <v>5) Set your IR Compset = 26 then Measure XYZ(from CL-200) and RGB values(ISL29125) on LO(375lux) and HI(10k Lux) ranges on three different light sources near 2800K, 4000K and 6500kK values. Use a (low IR)fluorescent source (same as used for balancing the IR compensation) for the middle, 4000K value.  Place values at yellow portion.</v>
      </c>
      <c r="T14" s="255"/>
      <c r="U14" s="255"/>
      <c r="V14" s="255"/>
      <c r="W14" s="255"/>
      <c r="X14" s="255"/>
      <c r="Y14" s="256"/>
      <c r="Z14" s="256"/>
      <c r="AA14" s="257"/>
      <c r="AF14" s="123">
        <f>AF12</f>
        <v>26</v>
      </c>
      <c r="AG14" s="167">
        <f>Y5/(SUM(Y5,AA5,AC5))</f>
        <v>0</v>
      </c>
      <c r="AH14" s="167">
        <f>AA5/(SUM(X5,AA5,AC5))</f>
        <v>1</v>
      </c>
      <c r="AI14" s="191"/>
      <c r="AJ14" s="190"/>
      <c r="AK14" s="190"/>
      <c r="AL14" s="191"/>
    </row>
    <row r="15" spans="2:38" s="4" customFormat="1" ht="18">
      <c r="B15" s="149"/>
      <c r="C15" s="137"/>
      <c r="D15" s="228" t="s">
        <v>25</v>
      </c>
      <c r="E15" s="228"/>
      <c r="F15" s="228"/>
      <c r="G15" s="228" t="s">
        <v>26</v>
      </c>
      <c r="H15" s="228"/>
      <c r="I15" s="228"/>
      <c r="J15" s="228"/>
      <c r="K15" s="228"/>
      <c r="L15" s="228"/>
      <c r="M15" s="228"/>
      <c r="N15" s="137"/>
      <c r="O15" s="137"/>
      <c r="P15" s="137" t="s">
        <v>34</v>
      </c>
      <c r="Q15" s="122">
        <f>AVERAGE(P23,P17,P20)</f>
        <v>26.682232897027387</v>
      </c>
      <c r="S15" s="258"/>
      <c r="T15" s="259"/>
      <c r="U15" s="259"/>
      <c r="V15" s="259"/>
      <c r="W15" s="259"/>
      <c r="X15" s="259"/>
      <c r="Y15" s="260"/>
      <c r="Z15" s="260"/>
      <c r="AA15" s="261"/>
      <c r="AF15" s="144"/>
      <c r="AG15" s="190"/>
      <c r="AH15" s="190"/>
      <c r="AI15" s="191"/>
      <c r="AJ15" s="190"/>
      <c r="AK15" s="190"/>
      <c r="AL15" s="191"/>
    </row>
    <row r="16" spans="2:38" s="4" customFormat="1" ht="18">
      <c r="B16" s="134" t="s">
        <v>27</v>
      </c>
      <c r="C16" s="135" t="s">
        <v>0</v>
      </c>
      <c r="D16" s="135" t="s">
        <v>28</v>
      </c>
      <c r="E16" s="135" t="s">
        <v>29</v>
      </c>
      <c r="F16" s="135" t="s">
        <v>30</v>
      </c>
      <c r="G16" s="135" t="s">
        <v>31</v>
      </c>
      <c r="H16" s="135" t="s">
        <v>68</v>
      </c>
      <c r="I16" s="135" t="s">
        <v>32</v>
      </c>
      <c r="J16" s="135" t="s">
        <v>70</v>
      </c>
      <c r="K16" s="135" t="s">
        <v>103</v>
      </c>
      <c r="L16" s="135" t="s">
        <v>33</v>
      </c>
      <c r="M16" s="181" t="s">
        <v>106</v>
      </c>
      <c r="N16" s="181" t="s">
        <v>104</v>
      </c>
      <c r="O16" s="181" t="s">
        <v>105</v>
      </c>
      <c r="P16" s="135" t="s">
        <v>55</v>
      </c>
      <c r="Q16" s="12">
        <f>AVERAGE(P25,P19,P22)</f>
        <v>2.1132849988120253</v>
      </c>
      <c r="S16" s="258"/>
      <c r="T16" s="259"/>
      <c r="U16" s="259"/>
      <c r="V16" s="259"/>
      <c r="W16" s="259"/>
      <c r="X16" s="259"/>
      <c r="Y16" s="260"/>
      <c r="Z16" s="260"/>
      <c r="AA16" s="261"/>
      <c r="AF16" s="144"/>
      <c r="AG16" s="190"/>
      <c r="AH16" s="190"/>
      <c r="AI16" s="191"/>
      <c r="AJ16" s="190"/>
      <c r="AK16" s="190"/>
      <c r="AL16" s="191"/>
    </row>
    <row r="17" spans="2:38" s="4" customFormat="1" ht="15.75" thickBot="1">
      <c r="B17" s="247" t="s">
        <v>17</v>
      </c>
      <c r="C17" s="135" t="str">
        <f>C23</f>
        <v>LO</v>
      </c>
      <c r="D17" s="270">
        <f>G5</f>
        <v>749.8</v>
      </c>
      <c r="E17" s="272">
        <f>H5</f>
        <v>771.5</v>
      </c>
      <c r="F17" s="270">
        <f>I5</f>
        <v>383.3</v>
      </c>
      <c r="G17" s="36">
        <v>283</v>
      </c>
      <c r="H17" s="169">
        <f t="shared" ref="H17:H25" si="3">G17-K17*Rratio</f>
        <v>243.12929389160502</v>
      </c>
      <c r="I17" s="36">
        <v>1125</v>
      </c>
      <c r="J17" s="169">
        <f t="shared" ref="J17:J25" si="4">L17-Bratio*K17</f>
        <v>931.301584955105</v>
      </c>
      <c r="K17" s="169">
        <f>M17-I17</f>
        <v>49</v>
      </c>
      <c r="L17" s="36">
        <v>973</v>
      </c>
      <c r="M17" s="171">
        <v>1174</v>
      </c>
      <c r="N17" s="173">
        <f t="shared" ref="N17:N22" si="5">I17/M17</f>
        <v>0.95826235093696766</v>
      </c>
      <c r="O17" s="171">
        <f>I17*(N$17-N17)</f>
        <v>0</v>
      </c>
      <c r="P17" s="306">
        <f>((H17^2+I17^2+J17^2)^0.5)/((H18^2+I18^2+J18^2)^0.5)</f>
        <v>26.601107672494557</v>
      </c>
      <c r="Q17" s="136"/>
      <c r="S17" s="262"/>
      <c r="T17" s="263"/>
      <c r="U17" s="263"/>
      <c r="V17" s="263"/>
      <c r="W17" s="263"/>
      <c r="X17" s="263"/>
      <c r="Y17" s="264"/>
      <c r="Z17" s="264"/>
      <c r="AA17" s="265"/>
      <c r="AF17" s="144"/>
      <c r="AG17" s="190"/>
      <c r="AH17" s="190"/>
      <c r="AI17" s="191"/>
      <c r="AJ17" s="190"/>
      <c r="AK17" s="190"/>
      <c r="AL17" s="191"/>
    </row>
    <row r="18" spans="2:38" s="4" customFormat="1" ht="15.75" thickBot="1">
      <c r="B18" s="247"/>
      <c r="C18" s="135" t="str">
        <f>C24</f>
        <v>HI</v>
      </c>
      <c r="D18" s="270"/>
      <c r="E18" s="272"/>
      <c r="F18" s="270"/>
      <c r="G18" s="36">
        <v>11</v>
      </c>
      <c r="H18" s="169">
        <f t="shared" si="3"/>
        <v>9.3726242404736748</v>
      </c>
      <c r="I18" s="36">
        <v>42</v>
      </c>
      <c r="J18" s="169">
        <f t="shared" si="4"/>
        <v>35.29802387571857</v>
      </c>
      <c r="K18" s="169">
        <f t="shared" ref="K18:K25" si="6">M18-I18</f>
        <v>2</v>
      </c>
      <c r="L18" s="36">
        <v>37</v>
      </c>
      <c r="M18" s="171">
        <v>44</v>
      </c>
      <c r="N18" s="173">
        <f t="shared" si="5"/>
        <v>0.95454545454545459</v>
      </c>
      <c r="O18" s="171">
        <f>I18*(N$18-N18)</f>
        <v>0</v>
      </c>
      <c r="P18" s="306"/>
      <c r="Q18" s="136"/>
      <c r="AF18" s="144"/>
      <c r="AG18" s="190"/>
      <c r="AH18" s="190"/>
      <c r="AI18" s="191"/>
      <c r="AJ18" s="190"/>
      <c r="AK18" s="190"/>
      <c r="AL18" s="191"/>
    </row>
    <row r="19" spans="2:38" s="4" customFormat="1">
      <c r="B19" s="247"/>
      <c r="C19" s="135" t="str">
        <f>C25</f>
        <v>HS</v>
      </c>
      <c r="D19" s="270"/>
      <c r="E19" s="272"/>
      <c r="F19" s="270"/>
      <c r="G19" s="36">
        <v>621</v>
      </c>
      <c r="H19" s="169">
        <f t="shared" si="3"/>
        <v>541.25858778321003</v>
      </c>
      <c r="I19" s="36">
        <v>2396</v>
      </c>
      <c r="J19" s="169">
        <f t="shared" si="4"/>
        <v>1987.60316991021</v>
      </c>
      <c r="K19" s="169">
        <f t="shared" si="6"/>
        <v>98</v>
      </c>
      <c r="L19" s="36">
        <v>2071</v>
      </c>
      <c r="M19" s="171">
        <v>2494</v>
      </c>
      <c r="N19" s="173">
        <f t="shared" si="5"/>
        <v>0.96070569366479552</v>
      </c>
      <c r="O19" s="171">
        <f>I19*(N$19-N19)</f>
        <v>0</v>
      </c>
      <c r="P19" s="139">
        <f>((H19^2+I19^2+J19^2)^0.5)/((H17^2+I17^2+J17^2)^0.5)</f>
        <v>2.1341924649176098</v>
      </c>
      <c r="Q19" s="136"/>
      <c r="R19" s="43" t="str">
        <f>linefmt("Compensation",C9)</f>
        <v>26,</v>
      </c>
      <c r="S19" s="43"/>
      <c r="T19" s="43"/>
      <c r="U19" s="43"/>
      <c r="W19" s="242" t="s">
        <v>63</v>
      </c>
      <c r="X19" s="244"/>
      <c r="AF19" s="144"/>
      <c r="AG19" s="190"/>
      <c r="AH19" s="190"/>
      <c r="AI19" s="191"/>
      <c r="AJ19" s="190"/>
      <c r="AK19" s="190"/>
      <c r="AL19" s="191"/>
    </row>
    <row r="20" spans="2:38" s="4" customFormat="1">
      <c r="B20" s="247" t="s">
        <v>37</v>
      </c>
      <c r="C20" s="135" t="str">
        <f>C17</f>
        <v>LO</v>
      </c>
      <c r="D20" s="273">
        <v>828.7</v>
      </c>
      <c r="E20" s="273">
        <v>864.2</v>
      </c>
      <c r="F20" s="273">
        <v>875.8</v>
      </c>
      <c r="G20" s="36">
        <v>1389</v>
      </c>
      <c r="H20" s="169">
        <f t="shared" si="3"/>
        <v>917.06102973736552</v>
      </c>
      <c r="I20" s="36">
        <v>2113</v>
      </c>
      <c r="J20" s="169">
        <f t="shared" si="4"/>
        <v>2752.4269239583855</v>
      </c>
      <c r="K20" s="169">
        <f t="shared" si="6"/>
        <v>580</v>
      </c>
      <c r="L20" s="36">
        <v>3246</v>
      </c>
      <c r="M20" s="171">
        <v>2693</v>
      </c>
      <c r="N20" s="173">
        <f t="shared" si="5"/>
        <v>0.78462681024879322</v>
      </c>
      <c r="O20" s="171">
        <f>I20*(N$17-N20)</f>
        <v>366.89189747411257</v>
      </c>
      <c r="P20" s="306">
        <f>((H20^2+I20^2+J20^2)^0.5)/((H21^2+I21^2+J21^2)^0.5)</f>
        <v>26.680850415921462</v>
      </c>
      <c r="Q20" s="136"/>
      <c r="R20" s="43" t="str">
        <f>linefmt("CardGain",F61,F64,F67)</f>
        <v>188.0632,190.3675,187.092,</v>
      </c>
      <c r="S20" s="43"/>
      <c r="T20" s="43"/>
      <c r="U20" s="43"/>
      <c r="W20" s="266" t="s">
        <v>3</v>
      </c>
      <c r="X20" s="267"/>
      <c r="AF20" s="144"/>
      <c r="AG20" s="190"/>
      <c r="AH20" s="190"/>
      <c r="AI20" s="191"/>
      <c r="AJ20" s="190"/>
      <c r="AK20" s="190"/>
      <c r="AL20" s="191"/>
    </row>
    <row r="21" spans="2:38" s="4" customFormat="1">
      <c r="B21" s="247"/>
      <c r="C21" s="135" t="str">
        <f>C18</f>
        <v>HI</v>
      </c>
      <c r="D21" s="274"/>
      <c r="E21" s="274"/>
      <c r="F21" s="274"/>
      <c r="G21" s="36">
        <v>52</v>
      </c>
      <c r="H21" s="169">
        <f t="shared" si="3"/>
        <v>34.912554524973579</v>
      </c>
      <c r="I21" s="36">
        <v>79</v>
      </c>
      <c r="J21" s="169">
        <f t="shared" si="4"/>
        <v>103.129250695045</v>
      </c>
      <c r="K21" s="169">
        <f t="shared" si="6"/>
        <v>21</v>
      </c>
      <c r="L21" s="36">
        <v>121</v>
      </c>
      <c r="M21" s="171">
        <v>100</v>
      </c>
      <c r="N21" s="173">
        <f t="shared" si="5"/>
        <v>0.79</v>
      </c>
      <c r="O21" s="171">
        <f>I21*(N$18-N21)</f>
        <v>12.99909090909091</v>
      </c>
      <c r="P21" s="306"/>
      <c r="Q21" s="136"/>
      <c r="R21" s="43" t="str">
        <f>linefmt("Range",1,M63,M64)</f>
        <v>1,0.9761792,1.144831,</v>
      </c>
      <c r="S21" s="43"/>
      <c r="T21" s="43"/>
      <c r="U21" s="43"/>
      <c r="W21" s="266" t="s">
        <v>4</v>
      </c>
      <c r="X21" s="267"/>
      <c r="AF21" s="144"/>
      <c r="AG21" s="190"/>
      <c r="AH21" s="190"/>
      <c r="AI21" s="191"/>
      <c r="AJ21" s="190"/>
      <c r="AK21" s="190"/>
      <c r="AL21" s="191"/>
    </row>
    <row r="22" spans="2:38" s="4" customFormat="1">
      <c r="B22" s="247"/>
      <c r="C22" s="135" t="str">
        <f>C19</f>
        <v>HS</v>
      </c>
      <c r="D22" s="275"/>
      <c r="E22" s="275"/>
      <c r="F22" s="275"/>
      <c r="G22" s="36">
        <v>2942</v>
      </c>
      <c r="H22" s="169">
        <f t="shared" si="3"/>
        <v>1923.2627745365203</v>
      </c>
      <c r="I22" s="36">
        <v>4518</v>
      </c>
      <c r="J22" s="169">
        <f t="shared" si="4"/>
        <v>5949.5629461998251</v>
      </c>
      <c r="K22" s="169">
        <f t="shared" si="6"/>
        <v>1252</v>
      </c>
      <c r="L22" s="36">
        <v>7015</v>
      </c>
      <c r="M22" s="171">
        <v>5770</v>
      </c>
      <c r="N22" s="173">
        <f t="shared" si="5"/>
        <v>0.78301559792027731</v>
      </c>
      <c r="O22" s="171">
        <f>I22*(N$19-N22)</f>
        <v>802.80385257373325</v>
      </c>
      <c r="P22" s="139">
        <f>((H22^2+I22^2+J22^2)^0.5)/((H20^2+I20^2+J20^2)^0.5)</f>
        <v>2.1493365487715912</v>
      </c>
      <c r="Q22" s="136"/>
      <c r="R22" s="43" t="str">
        <f>linefmt("CCM" )</f>
        <v/>
      </c>
      <c r="S22" s="43"/>
      <c r="T22" s="43"/>
      <c r="U22" s="43"/>
      <c r="W22" s="288" t="s">
        <v>6</v>
      </c>
      <c r="X22" s="289"/>
      <c r="AF22" s="144"/>
      <c r="AG22" s="190"/>
      <c r="AH22" s="190"/>
      <c r="AI22" s="191"/>
      <c r="AJ22" s="190"/>
      <c r="AK22" s="190"/>
      <c r="AL22" s="191"/>
    </row>
    <row r="23" spans="2:38" s="4" customFormat="1">
      <c r="B23" s="247" t="s">
        <v>16</v>
      </c>
      <c r="C23" s="135" t="s">
        <v>35</v>
      </c>
      <c r="D23" s="270">
        <v>1396</v>
      </c>
      <c r="E23" s="268">
        <v>1271</v>
      </c>
      <c r="F23" s="270">
        <v>424</v>
      </c>
      <c r="G23" s="36">
        <v>4165</v>
      </c>
      <c r="H23" s="169">
        <f t="shared" si="3"/>
        <v>1573.4041029543264</v>
      </c>
      <c r="I23" s="36">
        <v>2511</v>
      </c>
      <c r="J23" s="169">
        <f t="shared" si="4"/>
        <v>1679.6030220818247</v>
      </c>
      <c r="K23" s="169">
        <f t="shared" si="6"/>
        <v>3185</v>
      </c>
      <c r="L23" s="36">
        <v>4390</v>
      </c>
      <c r="M23" s="171">
        <v>5696</v>
      </c>
      <c r="N23" s="173">
        <f>I23/M23</f>
        <v>0.44083567415730335</v>
      </c>
      <c r="O23" s="171">
        <f>I23*(N$17-N23)</f>
        <v>1299.2583853937369</v>
      </c>
      <c r="P23" s="306">
        <f>((H23^2+I23^2+J23^2)^0.5)/((H24^2+I24^2+J24^2)^0.5)</f>
        <v>26.764740602666148</v>
      </c>
      <c r="Q23" s="136"/>
      <c r="R23" s="43" t="str">
        <f t="shared" ref="R23:R31" si="7">linefmt("",G61,H61,I61)</f>
        <v>-0.3889666,1.000053,-0.3583482,</v>
      </c>
      <c r="S23" s="43"/>
      <c r="T23" s="43"/>
      <c r="U23" s="43"/>
      <c r="W23" s="288" t="s">
        <v>7</v>
      </c>
      <c r="X23" s="289"/>
      <c r="AF23" s="144"/>
      <c r="AG23" s="190"/>
      <c r="AH23" s="190"/>
      <c r="AI23" s="191"/>
      <c r="AJ23" s="190"/>
      <c r="AK23" s="190"/>
      <c r="AL23" s="191"/>
    </row>
    <row r="24" spans="2:38" s="4" customFormat="1">
      <c r="B24" s="247"/>
      <c r="C24" s="135" t="s">
        <v>36</v>
      </c>
      <c r="D24" s="270"/>
      <c r="E24" s="268"/>
      <c r="F24" s="270"/>
      <c r="G24" s="36">
        <v>156</v>
      </c>
      <c r="H24" s="169">
        <f t="shared" si="3"/>
        <v>58.357454428420468</v>
      </c>
      <c r="I24" s="36">
        <v>94</v>
      </c>
      <c r="J24" s="169">
        <f t="shared" si="4"/>
        <v>62.881432543114272</v>
      </c>
      <c r="K24" s="169">
        <f t="shared" si="6"/>
        <v>120</v>
      </c>
      <c r="L24" s="36">
        <v>165</v>
      </c>
      <c r="M24" s="171">
        <v>214</v>
      </c>
      <c r="N24" s="173">
        <f t="shared" ref="N24:N25" si="8">I24/M24</f>
        <v>0.43925233644859812</v>
      </c>
      <c r="O24" s="171">
        <f>I24*(N$18-N24)</f>
        <v>48.437553101104513</v>
      </c>
      <c r="P24" s="306"/>
      <c r="Q24" s="136"/>
      <c r="R24" s="43" t="str">
        <f t="shared" si="7"/>
        <v>-0.5233368,1,-0.3015521,</v>
      </c>
      <c r="S24" s="43"/>
      <c r="T24" s="43"/>
      <c r="U24" s="43"/>
      <c r="W24" s="266" t="s">
        <v>5</v>
      </c>
      <c r="X24" s="267"/>
      <c r="AF24" s="144"/>
      <c r="AG24" s="190"/>
      <c r="AH24" s="190"/>
      <c r="AI24" s="191"/>
      <c r="AJ24" s="190"/>
      <c r="AK24" s="190"/>
      <c r="AL24" s="191"/>
    </row>
    <row r="25" spans="2:38" s="4" customFormat="1" ht="15.75" thickBot="1">
      <c r="B25" s="248"/>
      <c r="C25" s="145" t="s">
        <v>54</v>
      </c>
      <c r="D25" s="271"/>
      <c r="E25" s="269"/>
      <c r="F25" s="271"/>
      <c r="G25" s="120">
        <v>9185</v>
      </c>
      <c r="H25" s="170">
        <f t="shared" si="3"/>
        <v>3043.2838835476468</v>
      </c>
      <c r="I25" s="120">
        <v>5368</v>
      </c>
      <c r="J25" s="170">
        <f t="shared" si="4"/>
        <v>3313.7421069618877</v>
      </c>
      <c r="K25" s="170">
        <f t="shared" si="6"/>
        <v>7548</v>
      </c>
      <c r="L25" s="120">
        <v>9737</v>
      </c>
      <c r="M25" s="172">
        <v>12916</v>
      </c>
      <c r="N25" s="174">
        <f t="shared" si="8"/>
        <v>0.41560854753793747</v>
      </c>
      <c r="O25" s="172">
        <f>I25*(N$19-N25)</f>
        <v>2926.0814804089741</v>
      </c>
      <c r="P25" s="35">
        <f>((H25^2+I25^2+J25^2)^0.5)/((H23^2+I23^2+J23^2)^0.5)</f>
        <v>2.0563259827468743</v>
      </c>
      <c r="Q25" s="6"/>
      <c r="R25" s="43" t="str">
        <f t="shared" si="7"/>
        <v>-0.28288,0.1507514,0.2742046,</v>
      </c>
      <c r="S25" s="43"/>
      <c r="T25" s="43"/>
      <c r="U25" s="43"/>
      <c r="W25" s="266" t="s">
        <v>8</v>
      </c>
      <c r="X25" s="267"/>
      <c r="AF25" s="144"/>
      <c r="AG25" s="190"/>
      <c r="AH25" s="190"/>
      <c r="AI25" s="191"/>
      <c r="AJ25" s="190"/>
      <c r="AK25" s="190"/>
      <c r="AL25" s="191"/>
    </row>
    <row r="26" spans="2:38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R26" s="43" t="str">
        <f t="shared" si="7"/>
        <v>-0.411157,1.001222,-0.3513087,</v>
      </c>
      <c r="S26" s="43"/>
      <c r="T26" s="43"/>
      <c r="U26" s="43"/>
      <c r="V26" s="4"/>
      <c r="W26" s="266" t="s">
        <v>9</v>
      </c>
      <c r="X26" s="267"/>
      <c r="Y26" s="4"/>
      <c r="AF26" s="144"/>
      <c r="AG26" s="190"/>
      <c r="AH26" s="190"/>
      <c r="AI26" s="191"/>
      <c r="AJ26" s="190"/>
      <c r="AK26" s="190"/>
      <c r="AL26" s="191"/>
    </row>
    <row r="27" spans="2:38" s="4" customFormat="1" ht="15.75" thickBot="1">
      <c r="O27" s="188"/>
      <c r="R27" s="43" t="str">
        <f t="shared" si="7"/>
        <v>-0.5457508,1,-0.2929651,</v>
      </c>
      <c r="S27" s="43"/>
      <c r="T27" s="43"/>
      <c r="U27" s="43"/>
      <c r="W27" s="266" t="s">
        <v>10</v>
      </c>
      <c r="X27" s="267"/>
      <c r="AF27" s="144"/>
      <c r="AG27" s="190"/>
      <c r="AH27" s="190"/>
      <c r="AI27" s="191"/>
      <c r="AJ27" s="190"/>
      <c r="AK27" s="190"/>
      <c r="AL27" s="191"/>
    </row>
    <row r="28" spans="2:38" ht="15.75" thickBot="1">
      <c r="B28" s="224" t="s">
        <v>56</v>
      </c>
      <c r="C28" s="225"/>
      <c r="D28" s="225"/>
      <c r="E28" s="225"/>
      <c r="F28" s="225"/>
      <c r="G28" s="225"/>
      <c r="H28" s="225"/>
      <c r="I28" s="225"/>
      <c r="J28" s="225"/>
      <c r="K28" s="226"/>
      <c r="R28" s="43" t="str">
        <f t="shared" si="7"/>
        <v>-0.279996,0.1438916,0.2767423,</v>
      </c>
      <c r="S28" s="43"/>
      <c r="T28" s="43"/>
      <c r="U28" s="43"/>
      <c r="W28" s="266" t="s">
        <v>11</v>
      </c>
      <c r="X28" s="267"/>
      <c r="AF28" s="144"/>
      <c r="AG28" s="190"/>
      <c r="AH28" s="190"/>
      <c r="AI28" s="191"/>
      <c r="AJ28" s="190"/>
      <c r="AK28" s="190"/>
      <c r="AL28" s="191"/>
    </row>
    <row r="29" spans="2:38" ht="15.75" thickBot="1">
      <c r="B29" s="125"/>
      <c r="C29" s="126"/>
      <c r="D29" s="126" t="s">
        <v>28</v>
      </c>
      <c r="E29" s="126" t="s">
        <v>29</v>
      </c>
      <c r="F29" s="126" t="s">
        <v>30</v>
      </c>
      <c r="G29" s="126" t="s">
        <v>31</v>
      </c>
      <c r="H29" s="126" t="s">
        <v>32</v>
      </c>
      <c r="I29" s="126" t="s">
        <v>33</v>
      </c>
      <c r="J29" s="17" t="s">
        <v>103</v>
      </c>
      <c r="K29" s="184"/>
      <c r="L29" s="17"/>
      <c r="R29" s="43" t="str">
        <f t="shared" si="7"/>
        <v>-0.5039933,0.9954007,-0.3180173,</v>
      </c>
      <c r="S29" s="43"/>
      <c r="T29" s="43"/>
      <c r="U29" s="43"/>
      <c r="W29" s="284" t="s">
        <v>12</v>
      </c>
      <c r="X29" s="285"/>
      <c r="AF29" s="144"/>
      <c r="AG29" s="190"/>
      <c r="AH29" s="190"/>
      <c r="AI29" s="191"/>
      <c r="AJ29" s="190"/>
      <c r="AK29" s="190"/>
      <c r="AL29" s="191"/>
    </row>
    <row r="30" spans="2:38">
      <c r="B30" s="125" t="str">
        <f>B23</f>
        <v>A</v>
      </c>
      <c r="C30" s="222" t="str">
        <f>C20</f>
        <v>LO</v>
      </c>
      <c r="D30" s="124">
        <f>D23</f>
        <v>1396</v>
      </c>
      <c r="E30" s="124">
        <f>E23</f>
        <v>1271</v>
      </c>
      <c r="F30" s="124">
        <f>F23</f>
        <v>424</v>
      </c>
      <c r="G30" s="128">
        <f>H23</f>
        <v>1573.4041029543264</v>
      </c>
      <c r="H30" s="128">
        <f>I23</f>
        <v>2511</v>
      </c>
      <c r="I30" s="128">
        <f>J23</f>
        <v>1679.6030220818247</v>
      </c>
      <c r="J30" s="128">
        <f>K23</f>
        <v>3185</v>
      </c>
      <c r="K30" s="185"/>
      <c r="L30" s="23"/>
      <c r="R30" s="43" t="str">
        <f t="shared" si="7"/>
        <v>-0.6555564,1,-0.260737,</v>
      </c>
      <c r="S30" s="43"/>
      <c r="T30" s="43"/>
      <c r="U30" s="43"/>
      <c r="V30" s="4"/>
      <c r="W30" s="4"/>
      <c r="Y30" s="4"/>
      <c r="AF30" s="144"/>
      <c r="AG30" s="190"/>
      <c r="AH30" s="190"/>
      <c r="AI30" s="191"/>
      <c r="AJ30" s="190"/>
      <c r="AK30" s="190"/>
      <c r="AL30" s="191"/>
    </row>
    <row r="31" spans="2:38" s="4" customFormat="1">
      <c r="B31" s="125" t="str">
        <f>B17</f>
        <v>CWF</v>
      </c>
      <c r="C31" s="222"/>
      <c r="D31" s="124">
        <f>D17</f>
        <v>749.8</v>
      </c>
      <c r="E31" s="124">
        <f>E17</f>
        <v>771.5</v>
      </c>
      <c r="F31" s="124">
        <f>F17</f>
        <v>383.3</v>
      </c>
      <c r="G31" s="128">
        <f>H17</f>
        <v>243.12929389160502</v>
      </c>
      <c r="H31" s="128">
        <f>I17</f>
        <v>1125</v>
      </c>
      <c r="I31" s="128">
        <f>J17</f>
        <v>931.301584955105</v>
      </c>
      <c r="J31" s="128">
        <f>K17</f>
        <v>49</v>
      </c>
      <c r="K31" s="185"/>
      <c r="L31"/>
      <c r="R31" s="43" t="str">
        <f t="shared" si="7"/>
        <v>-0.3054586,0.1670836,0.2624417,</v>
      </c>
      <c r="S31" s="43"/>
      <c r="T31" s="43"/>
      <c r="U31" s="43"/>
      <c r="V31"/>
      <c r="W31"/>
      <c r="AF31" s="144"/>
      <c r="AG31" s="190"/>
      <c r="AH31" s="190"/>
      <c r="AI31" s="191"/>
      <c r="AJ31" s="190"/>
      <c r="AK31" s="190"/>
      <c r="AL31" s="191"/>
    </row>
    <row r="32" spans="2:38" s="4" customFormat="1" ht="15.75" thickBot="1">
      <c r="B32" s="125" t="str">
        <f>B20</f>
        <v>D65</v>
      </c>
      <c r="C32" s="222"/>
      <c r="D32" s="124">
        <f>D20</f>
        <v>828.7</v>
      </c>
      <c r="E32" s="124">
        <f>E20</f>
        <v>864.2</v>
      </c>
      <c r="F32" s="124">
        <f>F20</f>
        <v>875.8</v>
      </c>
      <c r="G32" s="128">
        <f>H20</f>
        <v>917.06102973736552</v>
      </c>
      <c r="H32" s="128">
        <f>I20</f>
        <v>2113</v>
      </c>
      <c r="I32" s="128">
        <f>J20</f>
        <v>2752.4269239583855</v>
      </c>
      <c r="J32" s="128">
        <f>K20</f>
        <v>580</v>
      </c>
      <c r="K32" s="185"/>
      <c r="AF32" s="144"/>
      <c r="AG32" s="190"/>
      <c r="AH32" s="190"/>
      <c r="AI32" s="191"/>
      <c r="AJ32" s="190"/>
      <c r="AK32" s="190"/>
      <c r="AL32" s="191"/>
    </row>
    <row r="33" spans="2:38">
      <c r="B33" s="125" t="str">
        <f t="shared" ref="B33:B38" si="9">B30</f>
        <v>A</v>
      </c>
      <c r="C33" s="222" t="str">
        <f>C21</f>
        <v>HI</v>
      </c>
      <c r="D33" s="124">
        <f t="shared" ref="D33:D38" si="10">D30</f>
        <v>1396</v>
      </c>
      <c r="E33" s="124">
        <f t="shared" ref="E33:F33" si="11">E30</f>
        <v>1271</v>
      </c>
      <c r="F33" s="124">
        <f t="shared" si="11"/>
        <v>424</v>
      </c>
      <c r="G33" s="128">
        <f>H24*$Q$15</f>
        <v>1557.1071903367772</v>
      </c>
      <c r="H33" s="128">
        <f>I24*$Q$15</f>
        <v>2508.1298923205745</v>
      </c>
      <c r="I33" s="128">
        <f>J24*$Q$15</f>
        <v>1677.8170280140921</v>
      </c>
      <c r="J33" s="128">
        <f>K24*$Q$15</f>
        <v>3201.8679476432862</v>
      </c>
      <c r="K33" s="186"/>
      <c r="M33" s="307" t="s">
        <v>38</v>
      </c>
      <c r="N33" s="308"/>
      <c r="O33" s="308"/>
      <c r="P33" s="308"/>
      <c r="Q33" s="308"/>
      <c r="R33" s="308"/>
      <c r="S33" s="308"/>
      <c r="T33" s="308"/>
      <c r="U33" s="308"/>
      <c r="V33" s="308"/>
      <c r="W33" s="309"/>
      <c r="AF33" s="144"/>
      <c r="AG33" s="190"/>
      <c r="AH33" s="190"/>
      <c r="AI33" s="191"/>
      <c r="AJ33" s="190"/>
      <c r="AK33" s="190"/>
      <c r="AL33" s="191"/>
    </row>
    <row r="34" spans="2:38" s="4" customFormat="1" ht="15.75" thickBot="1">
      <c r="B34" s="125" t="str">
        <f t="shared" si="9"/>
        <v>CWF</v>
      </c>
      <c r="C34" s="222"/>
      <c r="D34" s="124">
        <f t="shared" si="10"/>
        <v>749.8</v>
      </c>
      <c r="E34" s="124">
        <f t="shared" ref="E34:F38" si="12">E31</f>
        <v>771.5</v>
      </c>
      <c r="F34" s="124">
        <f t="shared" si="12"/>
        <v>383.3</v>
      </c>
      <c r="G34" s="128">
        <f>H18*$Q$15</f>
        <v>250.08254284064301</v>
      </c>
      <c r="H34" s="128">
        <f>I18*$Q$15</f>
        <v>1120.6537816751502</v>
      </c>
      <c r="I34" s="128">
        <f>J18*$Q$15</f>
        <v>941.83009385675621</v>
      </c>
      <c r="J34" s="128">
        <f>K18*$Q$15</f>
        <v>53.364465794054773</v>
      </c>
      <c r="K34" s="2"/>
      <c r="M34" s="310"/>
      <c r="N34" s="311"/>
      <c r="O34" s="311"/>
      <c r="P34" s="311"/>
      <c r="Q34" s="311"/>
      <c r="R34" s="311"/>
      <c r="S34" s="311"/>
      <c r="T34" s="311"/>
      <c r="U34" s="311"/>
      <c r="V34" s="311"/>
      <c r="W34" s="312"/>
      <c r="AF34" s="144"/>
      <c r="AG34" s="190"/>
      <c r="AH34" s="190"/>
      <c r="AI34" s="191"/>
      <c r="AJ34" s="190"/>
      <c r="AK34" s="190"/>
      <c r="AL34" s="191"/>
    </row>
    <row r="35" spans="2:38">
      <c r="B35" s="125" t="str">
        <f t="shared" si="9"/>
        <v>D65</v>
      </c>
      <c r="C35" s="222"/>
      <c r="D35" s="124">
        <f t="shared" si="10"/>
        <v>828.7</v>
      </c>
      <c r="E35" s="124">
        <f t="shared" si="12"/>
        <v>864.2</v>
      </c>
      <c r="F35" s="124">
        <f t="shared" si="12"/>
        <v>875.8</v>
      </c>
      <c r="G35" s="128">
        <f>H21*$Q$15</f>
        <v>931.54491086551241</v>
      </c>
      <c r="H35" s="128">
        <f>I21*$Q$15</f>
        <v>2107.8963988651635</v>
      </c>
      <c r="I35" s="128">
        <f>J21*$Q$15</f>
        <v>2751.7186855411142</v>
      </c>
      <c r="J35" s="128">
        <f>K21*$Q$15</f>
        <v>560.32689083757509</v>
      </c>
      <c r="K35" s="186"/>
      <c r="L35" s="3"/>
      <c r="AC35" s="4"/>
      <c r="AF35" s="144"/>
      <c r="AG35" s="190"/>
      <c r="AH35" s="190"/>
      <c r="AI35" s="191"/>
      <c r="AJ35" s="190"/>
      <c r="AK35" s="190"/>
      <c r="AL35" s="191"/>
    </row>
    <row r="36" spans="2:38">
      <c r="B36" s="125" t="str">
        <f t="shared" si="9"/>
        <v>A</v>
      </c>
      <c r="C36" s="222" t="str">
        <f>C22</f>
        <v>HS</v>
      </c>
      <c r="D36" s="124">
        <f t="shared" si="10"/>
        <v>1396</v>
      </c>
      <c r="E36" s="124">
        <f t="shared" si="12"/>
        <v>1271</v>
      </c>
      <c r="F36" s="124">
        <f t="shared" si="12"/>
        <v>424</v>
      </c>
      <c r="G36" s="128">
        <f>H25/$Q$16</f>
        <v>1440.0726287549558</v>
      </c>
      <c r="H36" s="128">
        <f>I25/$Q$16</f>
        <v>2540.121187164817</v>
      </c>
      <c r="I36" s="128">
        <f>J25/$Q$16</f>
        <v>1568.0526331397302</v>
      </c>
      <c r="J36" s="128">
        <f>K25/$Q$16</f>
        <v>3571.6905217436729</v>
      </c>
      <c r="K36" s="186"/>
      <c r="L36" s="3"/>
      <c r="M36" s="294" t="s">
        <v>0</v>
      </c>
      <c r="N36" s="295"/>
      <c r="O36" s="295"/>
      <c r="P36" s="295"/>
      <c r="Q36" s="295"/>
      <c r="R36" s="295"/>
      <c r="S36" s="295"/>
      <c r="T36" s="295"/>
      <c r="U36" s="296"/>
      <c r="AF36" s="144"/>
      <c r="AG36" s="190"/>
      <c r="AH36" s="190"/>
      <c r="AI36" s="191"/>
      <c r="AJ36" s="190"/>
      <c r="AK36" s="190"/>
      <c r="AL36" s="191"/>
    </row>
    <row r="37" spans="2:38" s="4" customFormat="1">
      <c r="B37" s="125" t="str">
        <f t="shared" si="9"/>
        <v>CWF</v>
      </c>
      <c r="C37" s="222"/>
      <c r="D37" s="124">
        <f t="shared" si="10"/>
        <v>749.8</v>
      </c>
      <c r="E37" s="124">
        <f t="shared" si="12"/>
        <v>771.5</v>
      </c>
      <c r="F37" s="124">
        <f t="shared" si="12"/>
        <v>383.3</v>
      </c>
      <c r="G37" s="128">
        <f>H19/$Q$16</f>
        <v>256.12190882321903</v>
      </c>
      <c r="H37" s="128">
        <f>I19/$Q$16</f>
        <v>1133.7798741518072</v>
      </c>
      <c r="I37" s="128">
        <f>J19/$Q$16</f>
        <v>940.5277428399545</v>
      </c>
      <c r="J37" s="128">
        <f>K19/$Q$16</f>
        <v>46.373300361801796</v>
      </c>
      <c r="K37" s="2"/>
      <c r="M37" s="294" t="s">
        <v>35</v>
      </c>
      <c r="N37" s="290" t="str">
        <f>"X= ("&amp;ROUND(C40,4)&amp;")  [ ("&amp;ROUND(H40,4)&amp;")R + ("&amp;ROUND(I40,4)&amp;")G + ("&amp;ROUND(J40,4)&amp;")B + ("&amp;ROUND(K40,4)&amp;")C ]"</f>
        <v>X= (1.0954)  [ (0.1064)R + (0.9974)G + (-0.487)B + (-0.1811)C ]</v>
      </c>
      <c r="O37" s="290"/>
      <c r="P37" s="290"/>
      <c r="Q37" s="290"/>
      <c r="R37" s="290"/>
      <c r="S37" s="290"/>
      <c r="T37" s="290"/>
      <c r="U37" s="313" t="s">
        <v>39</v>
      </c>
      <c r="AF37" s="144"/>
      <c r="AG37" s="190"/>
      <c r="AH37" s="190"/>
      <c r="AI37" s="191"/>
      <c r="AJ37" s="190"/>
      <c r="AK37" s="190"/>
      <c r="AL37" s="191"/>
    </row>
    <row r="38" spans="2:38">
      <c r="B38" s="38" t="str">
        <f t="shared" si="9"/>
        <v>D65</v>
      </c>
      <c r="C38" s="222"/>
      <c r="D38" s="124">
        <f t="shared" si="10"/>
        <v>828.7</v>
      </c>
      <c r="E38" s="124">
        <f t="shared" si="12"/>
        <v>864.2</v>
      </c>
      <c r="F38" s="124">
        <f t="shared" si="12"/>
        <v>875.8</v>
      </c>
      <c r="G38" s="128">
        <f>H22/$Q$16</f>
        <v>910.08206447198313</v>
      </c>
      <c r="H38" s="128">
        <f>I22/$Q$16</f>
        <v>2137.9037860675562</v>
      </c>
      <c r="I38" s="128">
        <f>J22/$Q$16</f>
        <v>2815.3149951588871</v>
      </c>
      <c r="J38" s="128">
        <f>K22/$Q$16</f>
        <v>592.44257196914134</v>
      </c>
      <c r="K38" s="186"/>
      <c r="L38" s="3"/>
      <c r="M38" s="297"/>
      <c r="N38" s="291" t="str">
        <f>"Y= ("&amp;ROUND(C40,4)&amp;")  [ ("&amp;ROUND(H41,4)&amp;")R + ("&amp;ROUND(I41,4)&amp;")G + ("&amp;ROUND(J41,4)&amp;")B ]"</f>
        <v>Y= (1.0954)  [ (0.022)R + (1)G + (-0.4456)B ]</v>
      </c>
      <c r="O38" s="291"/>
      <c r="P38" s="291"/>
      <c r="Q38" s="291"/>
      <c r="R38" s="291"/>
      <c r="S38" s="291"/>
      <c r="T38" s="291"/>
      <c r="U38" s="313"/>
      <c r="AF38" s="144"/>
      <c r="AG38" s="190"/>
      <c r="AH38" s="190"/>
      <c r="AI38" s="191"/>
      <c r="AJ38" s="190"/>
      <c r="AK38" s="190"/>
      <c r="AL38" s="191"/>
    </row>
    <row r="39" spans="2:38">
      <c r="B39" s="125"/>
      <c r="C39" s="126"/>
      <c r="D39" s="222" t="s">
        <v>40</v>
      </c>
      <c r="E39" s="222"/>
      <c r="F39" s="222"/>
      <c r="G39" s="222"/>
      <c r="H39" s="222" t="s">
        <v>41</v>
      </c>
      <c r="I39" s="222"/>
      <c r="J39" s="222"/>
      <c r="K39" s="223"/>
      <c r="L39" s="3"/>
      <c r="M39" s="298"/>
      <c r="N39" s="292" t="str">
        <f>"Z= ("&amp;ROUND(C40,4)&amp;")  [ ("&amp;ROUND(H42,4)&amp;")R + ("&amp;ROUND(I42,4)&amp;")G + ("&amp;ROUND(J42,4)&amp;")B ]"</f>
        <v>Z= (1.0954)  [ (-0.2164)R + (0.1541)G + (0.247)B ]</v>
      </c>
      <c r="O39" s="292"/>
      <c r="P39" s="292"/>
      <c r="Q39" s="292"/>
      <c r="R39" s="292"/>
      <c r="S39" s="292"/>
      <c r="T39" s="292"/>
      <c r="U39" s="283" t="s">
        <v>42</v>
      </c>
      <c r="AF39" s="144"/>
      <c r="AG39" s="190"/>
      <c r="AH39" s="190"/>
      <c r="AI39" s="191"/>
      <c r="AJ39" s="190"/>
      <c r="AK39" s="190"/>
      <c r="AL39" s="191"/>
    </row>
    <row r="40" spans="2:38">
      <c r="B40" s="125" t="str">
        <f>C23</f>
        <v>LO</v>
      </c>
      <c r="C40" s="13">
        <f>F41</f>
        <v>1.095391153955408</v>
      </c>
      <c r="D40" s="126">
        <f t="array" ref="D40:G40">LINEST(D30:D38,G30:J38,FALSE)</f>
        <v>-0.19842490976788579</v>
      </c>
      <c r="E40" s="126">
        <v>-0.53347167172165377</v>
      </c>
      <c r="F40" s="126">
        <v>1.0924987491431524</v>
      </c>
      <c r="G40" s="126">
        <v>0.11660256902259267</v>
      </c>
      <c r="H40" s="13">
        <f>G40/$C$40</f>
        <v>0.10644833911753446</v>
      </c>
      <c r="I40" s="13">
        <f>F40/$C$40</f>
        <v>0.99735947766073219</v>
      </c>
      <c r="J40" s="13">
        <f>E40/$C$40</f>
        <v>-0.48701477074678912</v>
      </c>
      <c r="K40" s="14">
        <f>D40/$C$40</f>
        <v>-0.18114525487209057</v>
      </c>
      <c r="L40" s="3"/>
      <c r="M40" s="294" t="s">
        <v>36</v>
      </c>
      <c r="N40" s="290" t="str">
        <f>"X= ("&amp;ROUND(C$41,4)&amp;")  [ ("&amp;ROUND(H40,4)&amp;")R + ("&amp;ROUND(I40,4)&amp;")G + ("&amp;ROUND(J40,4)&amp;")B ]"</f>
        <v>X= (29.2275)  [ (0.1064)R + (0.9974)G + (-0.487)B ]</v>
      </c>
      <c r="O40" s="290"/>
      <c r="P40" s="290"/>
      <c r="Q40" s="290"/>
      <c r="R40" s="290"/>
      <c r="S40" s="290"/>
      <c r="T40" s="290"/>
      <c r="U40" s="283"/>
      <c r="AF40" s="144"/>
      <c r="AG40" s="190"/>
      <c r="AH40" s="190"/>
      <c r="AI40" s="191"/>
      <c r="AJ40" s="190"/>
      <c r="AK40" s="190"/>
      <c r="AL40" s="191"/>
    </row>
    <row r="41" spans="2:38">
      <c r="B41" s="125" t="str">
        <f>C24</f>
        <v>HI</v>
      </c>
      <c r="C41" s="13">
        <f>C40*Q15</f>
        <v>29.227481883181778</v>
      </c>
      <c r="D41" s="126">
        <f t="array" ref="D41:G41">LINEST(E30:E38,G30:J38,FALSE)</f>
        <v>-0.21824938979679359</v>
      </c>
      <c r="E41" s="126">
        <v>-0.48808753095714785</v>
      </c>
      <c r="F41" s="126">
        <v>1.095391153955408</v>
      </c>
      <c r="G41" s="126">
        <v>2.4073074174617633E-2</v>
      </c>
      <c r="H41" s="13">
        <f t="shared" ref="H41:H42" si="13">G41/$C$40</f>
        <v>2.1976692150279697E-2</v>
      </c>
      <c r="I41" s="13">
        <f t="shared" ref="I41:I42" si="14">F41/$C$40</f>
        <v>1</v>
      </c>
      <c r="J41" s="13">
        <f t="shared" ref="J41:J42" si="15">E41/$C$40</f>
        <v>-0.44558286708331157</v>
      </c>
      <c r="K41" s="14">
        <f t="shared" ref="K41:K42" si="16">D41/$C$40</f>
        <v>-0.19924333787862436</v>
      </c>
      <c r="L41" s="3"/>
      <c r="M41" s="297"/>
      <c r="N41" s="291" t="str">
        <f>"Y= ("&amp;ROUND(C$41,4)&amp;")  [ ("&amp;ROUND(H41,4)&amp;")R + ("&amp;ROUND(I41,4)&amp;")G + ("&amp;ROUND(J41,4)&amp;")B ]"</f>
        <v>Y= (29.2275)  [ (0.022)R + (1)G + (-0.4456)B ]</v>
      </c>
      <c r="O41" s="291"/>
      <c r="P41" s="291"/>
      <c r="Q41" s="291"/>
      <c r="R41" s="291"/>
      <c r="S41" s="291"/>
      <c r="T41" s="291"/>
      <c r="U41" s="286" t="s">
        <v>39</v>
      </c>
      <c r="AF41" s="144"/>
      <c r="AG41" s="190"/>
      <c r="AH41" s="190"/>
      <c r="AI41" s="191"/>
      <c r="AJ41" s="190"/>
      <c r="AK41" s="190"/>
      <c r="AL41" s="191"/>
    </row>
    <row r="42" spans="2:38" ht="15.75" thickBot="1">
      <c r="B42" s="37" t="str">
        <f>C25</f>
        <v>HS</v>
      </c>
      <c r="C42" s="15">
        <f>C40/Q16</f>
        <v>0.518335744857498</v>
      </c>
      <c r="D42" s="127">
        <f t="array" ref="D42:G42">LINEST(F30:F38,G30:J38,FALSE)</f>
        <v>-2.5426539640295662E-2</v>
      </c>
      <c r="E42" s="127">
        <v>0.27054118759265683</v>
      </c>
      <c r="F42" s="127">
        <v>0.16884262514862597</v>
      </c>
      <c r="G42" s="127">
        <v>-0.23701009847421736</v>
      </c>
      <c r="H42" s="15">
        <f t="shared" si="13"/>
        <v>-0.2163702871055555</v>
      </c>
      <c r="I42" s="15">
        <f t="shared" si="14"/>
        <v>0.15413911691631146</v>
      </c>
      <c r="J42" s="15">
        <f t="shared" si="15"/>
        <v>0.24698135147042663</v>
      </c>
      <c r="K42" s="16">
        <f t="shared" si="16"/>
        <v>-2.3212292292558303E-2</v>
      </c>
      <c r="L42" s="3"/>
      <c r="M42" s="298"/>
      <c r="N42" s="293" t="str">
        <f>"Z= ("&amp;ROUND(C$41,4)&amp;")  [ ("&amp;ROUND(H42,4)&amp;")R + ("&amp;ROUND(I42,4)&amp;")G + ("&amp;ROUND(J42,4)&amp;")B ]"</f>
        <v>Z= (29.2275)  [ (-0.2164)R + (0.1541)G + (0.247)B ]</v>
      </c>
      <c r="O42" s="293"/>
      <c r="P42" s="293"/>
      <c r="Q42" s="293"/>
      <c r="R42" s="293"/>
      <c r="S42" s="293"/>
      <c r="T42" s="293"/>
      <c r="U42" s="287"/>
      <c r="AF42" s="144"/>
      <c r="AG42" s="190"/>
      <c r="AH42" s="190"/>
      <c r="AI42" s="191"/>
      <c r="AJ42" s="190"/>
      <c r="AK42" s="190"/>
      <c r="AL42" s="191"/>
    </row>
    <row r="43" spans="2:38">
      <c r="B43" s="4"/>
      <c r="C43" s="4"/>
      <c r="D43" s="4"/>
      <c r="E43" s="5"/>
      <c r="F43" s="5"/>
      <c r="G43" s="5"/>
      <c r="H43" s="7"/>
      <c r="I43" s="7"/>
      <c r="J43" s="7"/>
      <c r="K43" s="4"/>
      <c r="L43" s="4"/>
      <c r="M43" s="4"/>
      <c r="N43" s="4"/>
      <c r="O43" s="4"/>
      <c r="P43" s="4"/>
      <c r="Q43" s="4"/>
      <c r="R43" s="4"/>
      <c r="S43" s="4"/>
      <c r="AF43" s="144"/>
      <c r="AG43" s="190"/>
      <c r="AH43" s="190"/>
      <c r="AI43" s="191"/>
      <c r="AJ43" s="190"/>
      <c r="AK43" s="190"/>
      <c r="AL43" s="191"/>
    </row>
    <row r="44" spans="2:38">
      <c r="AF44" s="144"/>
      <c r="AG44" s="190"/>
      <c r="AH44" s="190"/>
      <c r="AI44" s="191"/>
      <c r="AJ44" s="190"/>
      <c r="AK44" s="190"/>
      <c r="AL44" s="191"/>
    </row>
    <row r="45" spans="2:38" ht="15.75" thickBo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AF45" s="144"/>
      <c r="AG45" s="190"/>
      <c r="AH45" s="190"/>
      <c r="AI45" s="191"/>
      <c r="AJ45" s="190"/>
      <c r="AK45" s="190"/>
      <c r="AL45" s="191"/>
    </row>
    <row r="46" spans="2:38" ht="15.75" thickBot="1">
      <c r="B46" s="224" t="s">
        <v>44</v>
      </c>
      <c r="C46" s="225"/>
      <c r="D46" s="225"/>
      <c r="E46" s="225"/>
      <c r="F46" s="225"/>
      <c r="G46" s="225"/>
      <c r="H46" s="225"/>
      <c r="I46" s="225"/>
      <c r="J46" s="225"/>
      <c r="K46" s="225"/>
      <c r="L46" s="225"/>
      <c r="M46" s="225"/>
      <c r="N46" s="225"/>
      <c r="O46" s="225"/>
      <c r="P46" s="225"/>
      <c r="Q46" s="225"/>
      <c r="R46" s="225"/>
      <c r="S46" s="226"/>
      <c r="V46" s="305" t="s">
        <v>43</v>
      </c>
      <c r="W46" s="305"/>
      <c r="X46" s="305"/>
      <c r="AF46" s="144"/>
      <c r="AG46" s="190"/>
      <c r="AH46" s="190"/>
      <c r="AI46" s="191"/>
      <c r="AJ46" s="190"/>
      <c r="AK46" s="190"/>
      <c r="AL46" s="191"/>
    </row>
    <row r="47" spans="2:38">
      <c r="B47" s="247"/>
      <c r="C47" s="222"/>
      <c r="D47" s="222"/>
      <c r="E47" s="304" t="s">
        <v>45</v>
      </c>
      <c r="F47" s="304"/>
      <c r="G47" s="304"/>
      <c r="H47" s="222" t="s">
        <v>27</v>
      </c>
      <c r="I47" s="222"/>
      <c r="J47" s="222"/>
      <c r="K47" s="222"/>
      <c r="L47" s="222"/>
      <c r="M47" s="222"/>
      <c r="N47" s="222" t="s">
        <v>46</v>
      </c>
      <c r="O47" s="222"/>
      <c r="P47" s="222"/>
      <c r="Q47" s="222"/>
      <c r="R47" s="222"/>
      <c r="S47" s="223"/>
      <c r="AF47" s="144"/>
      <c r="AG47" s="190"/>
      <c r="AH47" s="190"/>
      <c r="AI47" s="191"/>
      <c r="AJ47" s="190"/>
      <c r="AK47" s="190"/>
      <c r="AL47" s="191"/>
    </row>
    <row r="48" spans="2:38">
      <c r="B48" s="134" t="s">
        <v>27</v>
      </c>
      <c r="C48" s="222" t="s">
        <v>0</v>
      </c>
      <c r="D48" s="222"/>
      <c r="E48" s="22" t="s">
        <v>47</v>
      </c>
      <c r="F48" s="138" t="s">
        <v>20</v>
      </c>
      <c r="G48" s="138" t="s">
        <v>48</v>
      </c>
      <c r="H48" s="135" t="s">
        <v>28</v>
      </c>
      <c r="I48" s="135" t="s">
        <v>29</v>
      </c>
      <c r="J48" s="135" t="s">
        <v>30</v>
      </c>
      <c r="K48" s="135" t="s">
        <v>1</v>
      </c>
      <c r="L48" s="135" t="s">
        <v>2</v>
      </c>
      <c r="M48" s="135" t="s">
        <v>48</v>
      </c>
      <c r="N48" s="27" t="s">
        <v>49</v>
      </c>
      <c r="O48" s="24" t="s">
        <v>50</v>
      </c>
      <c r="P48" s="31" t="s">
        <v>51</v>
      </c>
      <c r="Q48" s="135" t="s">
        <v>52</v>
      </c>
      <c r="R48" s="135" t="s">
        <v>53</v>
      </c>
      <c r="S48" s="136" t="s">
        <v>48</v>
      </c>
      <c r="AF48" s="144"/>
      <c r="AG48" s="190"/>
      <c r="AH48" s="190"/>
      <c r="AI48" s="191"/>
      <c r="AJ48" s="190"/>
      <c r="AK48" s="190"/>
      <c r="AL48" s="191"/>
    </row>
    <row r="49" spans="2:38">
      <c r="B49" s="247" t="s">
        <v>16</v>
      </c>
      <c r="C49" s="135" t="str">
        <f>C30</f>
        <v>LO</v>
      </c>
      <c r="D49" s="181">
        <f>C40</f>
        <v>1.095391153955408</v>
      </c>
      <c r="E49" s="18">
        <f>((K49-Q49)^2+(L49-R49)^2)^0.5</f>
        <v>7.0708960098921929E-5</v>
      </c>
      <c r="F49" s="19">
        <f>1-O49/I49</f>
        <v>-1.9561469081252891E-3</v>
      </c>
      <c r="G49" s="19">
        <f>1-M49/S49</f>
        <v>-1.3949706397808903E-4</v>
      </c>
      <c r="H49" s="245">
        <f>D23</f>
        <v>1396</v>
      </c>
      <c r="I49" s="222">
        <f>E23</f>
        <v>1271</v>
      </c>
      <c r="J49" s="222">
        <f>F23</f>
        <v>424</v>
      </c>
      <c r="K49" s="235">
        <f>H49/($H49+$I49+$J49)</f>
        <v>0.45163377547719186</v>
      </c>
      <c r="L49" s="235">
        <f t="shared" ref="L49" si="17">I49/($H49+$I49+$J49)</f>
        <v>0.4111937884179877</v>
      </c>
      <c r="M49" s="252">
        <f>cct(K49,L49)</f>
        <v>2817.1413328413237</v>
      </c>
      <c r="N49" s="28">
        <f>$D49*(H$40*$H23+I$40*$I23+J$40*$J23+K$40*$K23)</f>
        <v>1398.7233499841691</v>
      </c>
      <c r="O49" s="25">
        <f>$D49*(H$41*$H23+I$41*$I23+J$41*$J23+K$41*$K23)</f>
        <v>1273.4862627202272</v>
      </c>
      <c r="P49" s="30">
        <f>$D49*(H$42*$H23+I$42*$I23+J$42*$J23+K$42*$K23)</f>
        <v>424.46943789114783</v>
      </c>
      <c r="Q49" s="141">
        <f t="shared" ref="Q49:Q57" si="18">N49/($N49+$O49+$P49)</f>
        <v>0.45168495899346461</v>
      </c>
      <c r="R49" s="141">
        <f t="shared" ref="R49:R57" si="19">O49/($N49+$O49+$P49)</f>
        <v>0.41124257370983092</v>
      </c>
      <c r="S49" s="9">
        <f t="shared" ref="S49:S57" si="20">cct(Q49,R49)</f>
        <v>2816.7484047089019</v>
      </c>
      <c r="AF49" s="144"/>
      <c r="AG49" s="190"/>
      <c r="AH49" s="190"/>
      <c r="AI49" s="191"/>
      <c r="AJ49" s="190"/>
      <c r="AK49" s="190"/>
      <c r="AL49" s="191"/>
    </row>
    <row r="50" spans="2:38">
      <c r="B50" s="247"/>
      <c r="C50" s="135" t="str">
        <f>C33</f>
        <v>HI</v>
      </c>
      <c r="D50" s="181">
        <f>C41</f>
        <v>29.227481883181778</v>
      </c>
      <c r="E50" s="18">
        <f>((K49-Q50)^2+(L49-R50)^2)^0.5</f>
        <v>8.6151393380722377E-4</v>
      </c>
      <c r="F50" s="19">
        <f>1-O50/I49</f>
        <v>3.0366974621734988E-3</v>
      </c>
      <c r="G50" s="19">
        <f>1-M49/S50</f>
        <v>2.4062777412837688E-3</v>
      </c>
      <c r="H50" s="245"/>
      <c r="I50" s="222"/>
      <c r="J50" s="222"/>
      <c r="K50" s="235"/>
      <c r="L50" s="235"/>
      <c r="M50" s="252"/>
      <c r="N50" s="28">
        <f t="shared" ref="N50:N51" si="21">$D50*(H$40*$H24+I$40*$I24+J$40*$J24+K$40*$K24)</f>
        <v>1391.2932553080575</v>
      </c>
      <c r="O50" s="25">
        <f t="shared" ref="O50:O51" si="22">$D50*(H$41*$H24+I$41*$I24+J$41*$J24+K$41*$K24)</f>
        <v>1267.1403575255774</v>
      </c>
      <c r="P50" s="30">
        <f t="shared" ref="P50:P51" si="23">$D50*(H$42*$H24+I$42*$I24+J$42*$J24+K$42*$K24)</f>
        <v>426.93529574488514</v>
      </c>
      <c r="Q50" s="141">
        <f t="shared" si="18"/>
        <v>0.45093254535615618</v>
      </c>
      <c r="R50" s="141">
        <f t="shared" si="19"/>
        <v>0.41069330607514604</v>
      </c>
      <c r="S50" s="9">
        <f t="shared" si="20"/>
        <v>2823.9365084042956</v>
      </c>
      <c r="AF50" s="144"/>
      <c r="AG50" s="190"/>
      <c r="AH50" s="190"/>
      <c r="AI50" s="191"/>
      <c r="AJ50" s="190"/>
      <c r="AK50" s="190"/>
      <c r="AL50" s="191"/>
    </row>
    <row r="51" spans="2:38" s="4" customFormat="1">
      <c r="B51" s="247"/>
      <c r="C51" s="135" t="str">
        <f>C36</f>
        <v>HS</v>
      </c>
      <c r="D51" s="181">
        <f>C42</f>
        <v>0.518335744857498</v>
      </c>
      <c r="E51" s="18">
        <f>((K49-Q51)^2+(L49-R51)^2)^0.5</f>
        <v>7.0214161010764896E-4</v>
      </c>
      <c r="F51" s="19">
        <f>1-O51/I49</f>
        <v>-9.6541193574428696E-4</v>
      </c>
      <c r="G51" s="19">
        <f>1-M49/S51</f>
        <v>-2.0077431795051393E-3</v>
      </c>
      <c r="H51" s="245"/>
      <c r="I51" s="222"/>
      <c r="J51" s="222"/>
      <c r="K51" s="235"/>
      <c r="L51" s="235"/>
      <c r="M51" s="252"/>
      <c r="N51" s="28">
        <f t="shared" si="21"/>
        <v>1397.7713586971338</v>
      </c>
      <c r="O51" s="25">
        <f t="shared" si="22"/>
        <v>1272.2270385703309</v>
      </c>
      <c r="P51" s="30">
        <f t="shared" si="23"/>
        <v>420.97606482874613</v>
      </c>
      <c r="Q51" s="141">
        <f t="shared" si="18"/>
        <v>0.45221058143236975</v>
      </c>
      <c r="R51" s="141">
        <f t="shared" si="19"/>
        <v>0.41159416040841146</v>
      </c>
      <c r="S51" s="9">
        <f t="shared" si="20"/>
        <v>2811.4965697791472</v>
      </c>
      <c r="AF51" s="144"/>
      <c r="AG51" s="190"/>
      <c r="AH51" s="190"/>
      <c r="AI51" s="191"/>
      <c r="AJ51" s="190"/>
      <c r="AK51" s="190"/>
      <c r="AL51" s="191"/>
    </row>
    <row r="52" spans="2:38">
      <c r="B52" s="247" t="s">
        <v>17</v>
      </c>
      <c r="C52" s="135" t="str">
        <f>C49</f>
        <v>LO</v>
      </c>
      <c r="D52" s="135">
        <f>D49</f>
        <v>1.095391153955408</v>
      </c>
      <c r="E52" s="18">
        <f>((K52-Q52)^2+(L52-R52)^2)^0.5</f>
        <v>2.9068533689112231E-4</v>
      </c>
      <c r="F52" s="19">
        <f>1-O52/I52</f>
        <v>-1.8366901470519004E-3</v>
      </c>
      <c r="G52" s="19">
        <f>1-M52/S52</f>
        <v>-1.4241331620024056E-4</v>
      </c>
      <c r="H52" s="245">
        <f>D17</f>
        <v>749.8</v>
      </c>
      <c r="I52" s="245">
        <f>E17</f>
        <v>771.5</v>
      </c>
      <c r="J52" s="245">
        <f>F17</f>
        <v>383.3</v>
      </c>
      <c r="K52" s="235">
        <f t="shared" ref="K52" si="24">H52/($H52+$I52+$J52)</f>
        <v>0.39367846266932688</v>
      </c>
      <c r="L52" s="235">
        <f t="shared" ref="L52" si="25">I52/($H52+$I52+$J52)</f>
        <v>0.40507193111414475</v>
      </c>
      <c r="M52" s="252">
        <f t="shared" ref="M52" si="26">cct(K52,L52)</f>
        <v>3868.822307066067</v>
      </c>
      <c r="N52" s="28">
        <f>$D52*(H$40*$H17+I$40*$I17+J$40*$J17+K$40*$K17)</f>
        <v>750.86475907680415</v>
      </c>
      <c r="O52" s="25">
        <f>$D52*(H$41*$H17+I$41*$I17+J$41*$J17+K$41*$K17)</f>
        <v>772.91700644845059</v>
      </c>
      <c r="P52" s="30">
        <f>$D52*(H$42*$H17+I$42*$I17+J$42*$J17+K$42*$K17)</f>
        <v>383.03339176329121</v>
      </c>
      <c r="Q52" s="141">
        <f t="shared" si="18"/>
        <v>0.39377952089730567</v>
      </c>
      <c r="R52" s="141">
        <f t="shared" si="19"/>
        <v>0.40534448422757641</v>
      </c>
      <c r="S52" s="9">
        <f t="shared" si="20"/>
        <v>3868.2714137060789</v>
      </c>
      <c r="AF52" s="144"/>
      <c r="AG52" s="190"/>
      <c r="AH52" s="190"/>
      <c r="AI52" s="191"/>
      <c r="AJ52" s="190"/>
      <c r="AK52" s="190"/>
      <c r="AL52" s="191"/>
    </row>
    <row r="53" spans="2:38">
      <c r="B53" s="247"/>
      <c r="C53" s="135" t="str">
        <f>C50</f>
        <v>HI</v>
      </c>
      <c r="D53" s="135">
        <f>D50</f>
        <v>29.227481883181778</v>
      </c>
      <c r="E53" s="18">
        <f>((K52-Q53)^2+(L52-R53)^2)^0.5</f>
        <v>1.436157830873858E-3</v>
      </c>
      <c r="F53" s="19">
        <f>1-O53/I52</f>
        <v>1.2012692794365121E-2</v>
      </c>
      <c r="G53" s="19">
        <f>1-M52/S53</f>
        <v>4.855048289484909E-3</v>
      </c>
      <c r="H53" s="245"/>
      <c r="I53" s="245"/>
      <c r="J53" s="245"/>
      <c r="K53" s="235"/>
      <c r="L53" s="235"/>
      <c r="M53" s="252"/>
      <c r="N53" s="28">
        <f t="shared" ref="N53:N54" si="27">$D53*(H$40*$H18+I$40*$I18+J$40*$J18+K$40*$K18)</f>
        <v>740.44460770804392</v>
      </c>
      <c r="O53" s="25">
        <f t="shared" ref="O53:O54" si="28">$D53*(H$41*$H18+I$41*$I18+J$41*$J18+K$41*$K18)</f>
        <v>762.23220750914732</v>
      </c>
      <c r="P53" s="30">
        <f t="shared" ref="P53:P54" si="29">$D53*(H$42*$H18+I$42*$I18+J$42*$J18+K$42*$K18)</f>
        <v>383.38899667303855</v>
      </c>
      <c r="Q53" s="141">
        <f t="shared" si="18"/>
        <v>0.39258683500867059</v>
      </c>
      <c r="R53" s="141">
        <f t="shared" si="19"/>
        <v>0.40413871175854266</v>
      </c>
      <c r="S53" s="9">
        <f t="shared" si="20"/>
        <v>3887.6972650226503</v>
      </c>
    </row>
    <row r="54" spans="2:38" s="4" customFormat="1">
      <c r="B54" s="247"/>
      <c r="C54" s="135" t="str">
        <f t="shared" ref="C54:D57" si="30">C51</f>
        <v>HS</v>
      </c>
      <c r="D54" s="135">
        <f t="shared" si="30"/>
        <v>0.518335744857498</v>
      </c>
      <c r="E54" s="18">
        <f>((K52-Q54)^2+(L52-R54)^2)^0.5</f>
        <v>9.4061823274423952E-4</v>
      </c>
      <c r="F54" s="19">
        <f>1-O54/I52</f>
        <v>-9.614099910734808E-3</v>
      </c>
      <c r="G54" s="19">
        <f>1-M52/S54</f>
        <v>-3.7735272276475662E-3</v>
      </c>
      <c r="H54" s="245"/>
      <c r="I54" s="245"/>
      <c r="J54" s="245"/>
      <c r="K54" s="235"/>
      <c r="L54" s="235"/>
      <c r="M54" s="252"/>
      <c r="N54" s="28">
        <f t="shared" si="27"/>
        <v>757.57104165293379</v>
      </c>
      <c r="O54" s="25">
        <f t="shared" si="28"/>
        <v>778.91727808113183</v>
      </c>
      <c r="P54" s="30">
        <f t="shared" si="29"/>
        <v>383.99927141273577</v>
      </c>
      <c r="Q54" s="141">
        <f t="shared" si="18"/>
        <v>0.39446807422512808</v>
      </c>
      <c r="R54" s="141">
        <f t="shared" si="19"/>
        <v>0.40558308300029611</v>
      </c>
      <c r="S54" s="9">
        <f t="shared" si="20"/>
        <v>3854.2780837740202</v>
      </c>
    </row>
    <row r="55" spans="2:38">
      <c r="B55" s="247" t="s">
        <v>37</v>
      </c>
      <c r="C55" s="135" t="str">
        <f t="shared" si="30"/>
        <v>LO</v>
      </c>
      <c r="D55" s="135">
        <f t="shared" si="30"/>
        <v>1.095391153955408</v>
      </c>
      <c r="E55" s="18">
        <f>((K55-Q55)^2+(L55-R55)^2)^0.5</f>
        <v>1.725961797774944E-3</v>
      </c>
      <c r="F55" s="19">
        <f>1-O55/I55</f>
        <v>-2.8096262003354244E-3</v>
      </c>
      <c r="G55" s="19">
        <f>1-M55/S55</f>
        <v>-1.1610517458131131E-2</v>
      </c>
      <c r="H55" s="245">
        <f>D20</f>
        <v>828.7</v>
      </c>
      <c r="I55" s="245">
        <f>E20</f>
        <v>864.2</v>
      </c>
      <c r="J55" s="245">
        <f>F20</f>
        <v>875.8</v>
      </c>
      <c r="K55" s="235">
        <f t="shared" ref="K55" si="31">H55/($H55+$I55+$J55)</f>
        <v>0.32261455210807027</v>
      </c>
      <c r="L55" s="235">
        <f t="shared" ref="L55" si="32">I55/($H55+$I55+$J55)</f>
        <v>0.3364347724529918</v>
      </c>
      <c r="M55" s="252">
        <f t="shared" ref="M55" si="33">cct(K55,L55)</f>
        <v>5959.2672996021574</v>
      </c>
      <c r="N55" s="28">
        <f>$D55*(H$40*$H20+I$40*$I20+J$40*$J20+K$40*$K20)</f>
        <v>831.95328887621883</v>
      </c>
      <c r="O55" s="25">
        <f>$D55*(H$41*$H20+I$41*$I20+J$41*$J20+K$41*$K20)</f>
        <v>866.62807896232994</v>
      </c>
      <c r="P55" s="30">
        <f>$D55*(H$42*$H20+I$42*$I20+J$42*$J20+K$42*$K20)</f>
        <v>869.30919775245991</v>
      </c>
      <c r="Q55" s="141">
        <f t="shared" si="18"/>
        <v>0.32398315567810887</v>
      </c>
      <c r="R55" s="141">
        <f t="shared" si="19"/>
        <v>0.33748637522754887</v>
      </c>
      <c r="S55" s="9">
        <f t="shared" si="20"/>
        <v>5890.8712362698434</v>
      </c>
    </row>
    <row r="56" spans="2:38">
      <c r="B56" s="247"/>
      <c r="C56" s="135" t="str">
        <f t="shared" si="30"/>
        <v>HI</v>
      </c>
      <c r="D56" s="135">
        <f t="shared" si="30"/>
        <v>29.227481883181778</v>
      </c>
      <c r="E56" s="18">
        <f>((K55-Q56)^2+(L55-R56)^2)^0.5</f>
        <v>2.4669990728521628E-3</v>
      </c>
      <c r="F56" s="19">
        <f>1-O56/I55</f>
        <v>-2.1125172195874953E-3</v>
      </c>
      <c r="G56" s="19">
        <f>1-M55/S56</f>
        <v>-1.7328922382861656E-2</v>
      </c>
      <c r="H56" s="245"/>
      <c r="I56" s="245"/>
      <c r="J56" s="245"/>
      <c r="K56" s="235"/>
      <c r="L56" s="235"/>
      <c r="M56" s="252"/>
      <c r="N56" s="28">
        <f t="shared" ref="N56:N57" si="34">$D56*(H$40*$H21+I$40*$I21+J$40*$J21+K$40*$K21)</f>
        <v>832.34792881209171</v>
      </c>
      <c r="O56" s="25">
        <f t="shared" ref="O56:O57" si="35">$D56*(H$41*$H21+I$41*$I21+J$41*$J21+K$41*$K21)</f>
        <v>866.02563738116748</v>
      </c>
      <c r="P56" s="30">
        <f t="shared" ref="P56:P57" si="36">$D56*(H$42*$H21+I$42*$I21+J$42*$J21+K$42*$K21)</f>
        <v>865.32327767413062</v>
      </c>
      <c r="Q56" s="141">
        <f t="shared" si="18"/>
        <v>0.3246670645958582</v>
      </c>
      <c r="R56" s="141">
        <f t="shared" si="19"/>
        <v>0.33780344951969821</v>
      </c>
      <c r="S56" s="9">
        <f t="shared" si="20"/>
        <v>5857.7586545400964</v>
      </c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</row>
    <row r="57" spans="2:38" s="4" customFormat="1" ht="15.75" thickBot="1">
      <c r="B57" s="248"/>
      <c r="C57" s="145" t="str">
        <f t="shared" si="30"/>
        <v>HS</v>
      </c>
      <c r="D57" s="145">
        <f t="shared" si="30"/>
        <v>0.518335744857498</v>
      </c>
      <c r="E57" s="20">
        <f>((K55-Q57)^2+(L55-R57)^2)^0.5</f>
        <v>3.9238367568199912E-3</v>
      </c>
      <c r="F57" s="21">
        <f>1-O57/I55</f>
        <v>4.479294568901615E-3</v>
      </c>
      <c r="G57" s="21">
        <f>1-M55/S57</f>
        <v>2.705868269105971E-2</v>
      </c>
      <c r="H57" s="246"/>
      <c r="I57" s="246"/>
      <c r="J57" s="246"/>
      <c r="K57" s="251"/>
      <c r="L57" s="251"/>
      <c r="M57" s="253"/>
      <c r="N57" s="29">
        <f t="shared" si="34"/>
        <v>822.32895802995097</v>
      </c>
      <c r="O57" s="26">
        <f t="shared" si="35"/>
        <v>860.32899363355523</v>
      </c>
      <c r="P57" s="32">
        <f t="shared" si="36"/>
        <v>891.86554553163683</v>
      </c>
      <c r="Q57" s="142">
        <f t="shared" si="18"/>
        <v>0.31941015839468961</v>
      </c>
      <c r="R57" s="142">
        <f t="shared" si="19"/>
        <v>0.3341701851122566</v>
      </c>
      <c r="S57" s="33">
        <f t="shared" si="20"/>
        <v>6125.0017792284771</v>
      </c>
      <c r="U57" s="123"/>
      <c r="V57" s="123"/>
      <c r="W57" s="17"/>
      <c r="X57" s="180"/>
      <c r="Y57" s="180"/>
      <c r="Z57" s="180"/>
      <c r="AA57" s="180"/>
      <c r="AB57" s="123"/>
      <c r="AC57" s="123"/>
      <c r="AD57" s="123"/>
    </row>
    <row r="58" spans="2:38">
      <c r="U58" s="123"/>
      <c r="V58" s="123"/>
      <c r="W58" s="17"/>
      <c r="X58" s="180"/>
      <c r="Y58" s="180"/>
      <c r="Z58" s="180"/>
      <c r="AA58" s="180"/>
      <c r="AB58" s="123"/>
      <c r="AC58" s="123"/>
      <c r="AD58" s="123"/>
    </row>
    <row r="59" spans="2:38" ht="15.75" thickBot="1">
      <c r="U59" s="123"/>
      <c r="V59" s="227" t="s">
        <v>111</v>
      </c>
      <c r="W59" s="227"/>
      <c r="X59" s="229" t="s">
        <v>26</v>
      </c>
      <c r="Y59" s="229"/>
      <c r="Z59" s="230" t="s">
        <v>71</v>
      </c>
      <c r="AA59" s="230"/>
      <c r="AB59" s="123"/>
      <c r="AC59" s="123"/>
      <c r="AD59" s="123"/>
      <c r="AE59" s="123"/>
      <c r="AF59" s="123"/>
    </row>
    <row r="60" spans="2:38" ht="15.75" thickBot="1">
      <c r="B60" s="242" t="s">
        <v>61</v>
      </c>
      <c r="C60" s="243"/>
      <c r="D60" s="243"/>
      <c r="E60" s="243"/>
      <c r="F60" s="243"/>
      <c r="G60" s="243"/>
      <c r="H60" s="243"/>
      <c r="I60" s="244"/>
      <c r="K60" s="242" t="s">
        <v>64</v>
      </c>
      <c r="L60" s="243"/>
      <c r="M60" s="244"/>
      <c r="Q60" s="236" t="s">
        <v>62</v>
      </c>
      <c r="R60" s="237"/>
      <c r="S60" s="238"/>
      <c r="U60" s="123"/>
      <c r="V60" s="123" t="s">
        <v>60</v>
      </c>
      <c r="W60" s="123" t="s">
        <v>48</v>
      </c>
      <c r="X60" s="123" t="str">
        <f>V60</f>
        <v>Ev</v>
      </c>
      <c r="Y60" s="123" t="str">
        <f>W60</f>
        <v>CCT</v>
      </c>
      <c r="Z60" s="123" t="str">
        <f>X60</f>
        <v>Ev</v>
      </c>
      <c r="AA60" s="123" t="str">
        <f>Y60</f>
        <v>CCT</v>
      </c>
      <c r="AB60" s="123"/>
      <c r="AC60" s="123"/>
      <c r="AD60" s="123"/>
      <c r="AE60" s="123"/>
      <c r="AF60" s="123"/>
    </row>
    <row r="61" spans="2:38">
      <c r="B61" s="247" t="str">
        <f>C30</f>
        <v>LO</v>
      </c>
      <c r="C61" s="41">
        <f t="array" ref="C61:E61">LINEST(D30:D32,G30:I32,FALSE)</f>
        <v>-0.38562672940591258</v>
      </c>
      <c r="D61" s="41">
        <v>1.0761802870385606</v>
      </c>
      <c r="E61" s="41">
        <v>-0.41857579970175152</v>
      </c>
      <c r="F61" s="222">
        <f>D62*65535/L62</f>
        <v>188.06323383397086</v>
      </c>
      <c r="G61" s="41">
        <f>E61/$D$62</f>
        <v>-0.38896654739255349</v>
      </c>
      <c r="H61" s="41">
        <f>D61/$D$62</f>
        <v>1.0000533497626487</v>
      </c>
      <c r="I61" s="42">
        <f>C61/$D$62</f>
        <v>-0.35834823137452554</v>
      </c>
      <c r="K61" s="249" t="s">
        <v>59</v>
      </c>
      <c r="L61" s="221"/>
      <c r="M61" s="2">
        <f>L63/L62</f>
        <v>27.333333333333332</v>
      </c>
      <c r="P61" s="123" t="s">
        <v>107</v>
      </c>
      <c r="Q61" s="44" t="s">
        <v>31</v>
      </c>
      <c r="R61" s="45" t="s">
        <v>32</v>
      </c>
      <c r="S61" s="46" t="s">
        <v>33</v>
      </c>
      <c r="T61" s="175" t="s">
        <v>103</v>
      </c>
      <c r="U61" s="123" t="s">
        <v>108</v>
      </c>
      <c r="V61" s="119">
        <v>810</v>
      </c>
      <c r="W61" s="119">
        <v>2362</v>
      </c>
      <c r="X61" s="119">
        <v>322.11969253609232</v>
      </c>
      <c r="Y61" s="119">
        <v>2524.5378956334857</v>
      </c>
      <c r="Z61" s="166">
        <f>X61/V61-1</f>
        <v>-0.60232136723939222</v>
      </c>
      <c r="AA61" s="166">
        <f>Y61/W61-1</f>
        <v>6.8813673003169207E-2</v>
      </c>
      <c r="AB61" s="123"/>
      <c r="AC61" s="123"/>
      <c r="AD61" s="123"/>
      <c r="AE61" s="123"/>
      <c r="AF61" s="123"/>
    </row>
    <row r="62" spans="2:38">
      <c r="B62" s="247"/>
      <c r="C62" s="41">
        <f t="array" ref="C62:E62">LINEST(E30:E32,G30:I32,FALSE)</f>
        <v>-0.32450707594253592</v>
      </c>
      <c r="D62" s="41">
        <v>1.0761228761385377</v>
      </c>
      <c r="E62" s="41">
        <v>-0.56317475903364311</v>
      </c>
      <c r="F62" s="222"/>
      <c r="G62" s="41">
        <f t="shared" ref="G62:G63" si="37">E62/$D$62</f>
        <v>-0.52333685262271223</v>
      </c>
      <c r="H62" s="41">
        <f t="shared" ref="H62:H63" si="38">D62/$D$62</f>
        <v>1</v>
      </c>
      <c r="I62" s="42">
        <f t="shared" ref="I62:I63" si="39">C62/$D$62</f>
        <v>-0.30155206541744362</v>
      </c>
      <c r="K62" s="54" t="str">
        <f>B40</f>
        <v>LO</v>
      </c>
      <c r="L62" s="55">
        <v>375</v>
      </c>
      <c r="M62" s="2">
        <f>L62/L64</f>
        <v>2.4193548387096775</v>
      </c>
      <c r="P62" s="175">
        <v>0</v>
      </c>
      <c r="Q62" s="177">
        <v>284</v>
      </c>
      <c r="R62" s="176">
        <v>1172</v>
      </c>
      <c r="S62" s="178">
        <v>979</v>
      </c>
      <c r="U62" s="175" t="s">
        <v>16</v>
      </c>
      <c r="V62" s="182">
        <v>1285</v>
      </c>
      <c r="W62" s="119">
        <v>2835</v>
      </c>
      <c r="X62" s="119">
        <v>1233.100431835134</v>
      </c>
      <c r="Y62" s="119">
        <v>2816.3654909744728</v>
      </c>
      <c r="Z62" s="166">
        <f t="shared" ref="Z62:Z66" si="40">X62/V62-1</f>
        <v>-4.0388768999895741E-2</v>
      </c>
      <c r="AA62" s="166">
        <f t="shared" ref="AA62:AA66" si="41">Y62/W62-1</f>
        <v>-6.5730190566233304E-3</v>
      </c>
      <c r="AB62" s="123"/>
      <c r="AC62" s="123"/>
      <c r="AD62" s="123"/>
      <c r="AE62" s="123"/>
      <c r="AF62" s="123"/>
    </row>
    <row r="63" spans="2:38" ht="15.75" thickBot="1">
      <c r="B63" s="247"/>
      <c r="C63" s="41">
        <f t="array" ref="C63:E63">LINEST(F30:F32,G30:I32,FALSE)</f>
        <v>0.29507783279645128</v>
      </c>
      <c r="D63" s="41">
        <v>0.16222704981797439</v>
      </c>
      <c r="E63" s="41">
        <v>-0.30441368552927445</v>
      </c>
      <c r="F63" s="222"/>
      <c r="G63" s="41">
        <f t="shared" si="37"/>
        <v>-0.28288004305010694</v>
      </c>
      <c r="H63" s="41">
        <f t="shared" si="38"/>
        <v>0.15075141827678201</v>
      </c>
      <c r="I63" s="42">
        <f t="shared" si="39"/>
        <v>0.27420459070183689</v>
      </c>
      <c r="K63" s="54" t="str">
        <f>B41</f>
        <v>HI</v>
      </c>
      <c r="L63" s="55">
        <v>10250</v>
      </c>
      <c r="M63" s="2">
        <f>Q15/M61</f>
        <v>0.97617925233027025</v>
      </c>
      <c r="P63" s="123">
        <f>cmpSet</f>
        <v>26</v>
      </c>
      <c r="Q63" s="179">
        <f>Red-Rratio*T63</f>
        <v>244.94298177136818</v>
      </c>
      <c r="R63" s="47">
        <v>1124</v>
      </c>
      <c r="S63" s="53">
        <f>Blue-Bratio*T63</f>
        <v>938.15257301724569</v>
      </c>
      <c r="T63" s="143">
        <f>Ratio-Green</f>
        <v>48</v>
      </c>
      <c r="U63" s="123" t="s">
        <v>17</v>
      </c>
      <c r="V63" s="119">
        <v>763</v>
      </c>
      <c r="W63" s="119">
        <v>3883</v>
      </c>
      <c r="X63" s="119">
        <v>761.07025864661966</v>
      </c>
      <c r="Y63" s="119">
        <v>3782.5381581022702</v>
      </c>
      <c r="Z63" s="166">
        <f t="shared" si="40"/>
        <v>-2.529149873368719E-3</v>
      </c>
      <c r="AA63" s="166">
        <f t="shared" si="41"/>
        <v>-2.5872222997097571E-2</v>
      </c>
      <c r="AB63" s="123"/>
      <c r="AC63" s="123"/>
      <c r="AD63" s="123"/>
      <c r="AE63" s="123"/>
      <c r="AF63" s="123"/>
    </row>
    <row r="64" spans="2:38" ht="15.75" thickBot="1">
      <c r="B64" s="247" t="str">
        <f>C33</f>
        <v>HI</v>
      </c>
      <c r="C64" s="41">
        <f t="array" ref="C64:E64">LINEST(D33:D35,G33:I35,FALSE)</f>
        <v>-0.38268345028668921</v>
      </c>
      <c r="D64" s="41">
        <v>1.0906391726509221</v>
      </c>
      <c r="E64" s="41">
        <v>-0.44787661746044</v>
      </c>
      <c r="F64" s="222">
        <f>D65*65535/L63*M61</f>
        <v>190.36748527662428</v>
      </c>
      <c r="G64" s="41">
        <f>E64/$D$65</f>
        <v>-0.41115696597898788</v>
      </c>
      <c r="H64" s="41">
        <f>D64/$D$65</f>
        <v>1.0012219341738577</v>
      </c>
      <c r="I64" s="42">
        <f>C64/$D$65</f>
        <v>-0.3513087315038137</v>
      </c>
      <c r="K64" s="37" t="str">
        <f>B42</f>
        <v>HS</v>
      </c>
      <c r="L64" s="56">
        <v>155</v>
      </c>
      <c r="M64" s="1">
        <f>M62/Q16</f>
        <v>1.144831312421045</v>
      </c>
      <c r="Q64" s="44" t="s">
        <v>28</v>
      </c>
      <c r="R64" s="45" t="s">
        <v>29</v>
      </c>
      <c r="S64" s="46" t="s">
        <v>30</v>
      </c>
      <c r="U64" s="123" t="s">
        <v>109</v>
      </c>
      <c r="V64" s="119">
        <v>845</v>
      </c>
      <c r="W64" s="119">
        <v>2845</v>
      </c>
      <c r="X64" s="119">
        <v>977.3060354610177</v>
      </c>
      <c r="Y64" s="119">
        <v>3342.7244412998762</v>
      </c>
      <c r="Z64" s="166">
        <f t="shared" si="40"/>
        <v>0.15657518989469543</v>
      </c>
      <c r="AA64" s="166">
        <f t="shared" si="41"/>
        <v>0.17494707954301436</v>
      </c>
      <c r="AB64" s="123"/>
      <c r="AC64" s="123"/>
      <c r="AD64" s="123"/>
      <c r="AE64" s="123"/>
      <c r="AF64" s="123"/>
    </row>
    <row r="65" spans="2:32" ht="15.75" thickBot="1">
      <c r="B65" s="247"/>
      <c r="C65" s="41">
        <f t="array" ref="C65:E65">LINEST(E33:E35,G33:I35,FALSE)</f>
        <v>-0.31912921349085116</v>
      </c>
      <c r="D65" s="41">
        <v>1.0893081098456414</v>
      </c>
      <c r="E65" s="41">
        <v>-0.59449073863641333</v>
      </c>
      <c r="F65" s="222"/>
      <c r="G65" s="41">
        <f t="shared" ref="G65:G66" si="42">E65/$D$65</f>
        <v>-0.54575076900938035</v>
      </c>
      <c r="H65" s="41">
        <f t="shared" ref="H65:H66" si="43">D65/$D$65</f>
        <v>1</v>
      </c>
      <c r="I65" s="42">
        <f t="shared" ref="I65:I66" si="44">C65/$D$65</f>
        <v>-0.29296505791742689</v>
      </c>
      <c r="Q65" s="48">
        <f>$S66*(H$40*$Q63+I$40*$R63+J$40*$S63+K$40*$T63)</f>
        <v>746.52735784916081</v>
      </c>
      <c r="R65" s="49">
        <f>$S66*(H$41*$Q63+I$41*$R63+J$41*$S63+K$41*$T63)</f>
        <v>768.73964387928504</v>
      </c>
      <c r="S65" s="50">
        <f>$S66*(H$42*$Q63+I$42*$R63+J$42*$S63+K$42*$T63)</f>
        <v>384.31358778131408</v>
      </c>
      <c r="U65" s="175" t="s">
        <v>110</v>
      </c>
      <c r="V65" s="119">
        <v>805</v>
      </c>
      <c r="W65" s="119">
        <v>3176</v>
      </c>
      <c r="X65" s="119">
        <v>972.63946247690842</v>
      </c>
      <c r="Y65" s="119">
        <v>3574.2173299564665</v>
      </c>
      <c r="Z65" s="166">
        <f t="shared" si="40"/>
        <v>0.20824777947442041</v>
      </c>
      <c r="AA65" s="166">
        <f t="shared" si="41"/>
        <v>0.1253832902885601</v>
      </c>
      <c r="AB65" s="123"/>
      <c r="AC65" s="123"/>
      <c r="AD65" s="123"/>
      <c r="AE65" s="123"/>
      <c r="AF65" s="123"/>
    </row>
    <row r="66" spans="2:32">
      <c r="B66" s="247"/>
      <c r="C66" s="41">
        <f t="array" ref="C66:E66">LINEST(F33:F35,G33:I35,FALSE)</f>
        <v>0.30145760280336209</v>
      </c>
      <c r="D66" s="41">
        <v>0.15674226169474184</v>
      </c>
      <c r="E66" s="41">
        <v>-0.30500189974178188</v>
      </c>
      <c r="F66" s="222"/>
      <c r="G66" s="41">
        <f t="shared" si="42"/>
        <v>-0.27999598734741971</v>
      </c>
      <c r="H66" s="41">
        <f t="shared" si="43"/>
        <v>0.14389157693588892</v>
      </c>
      <c r="I66" s="42">
        <f t="shared" si="44"/>
        <v>0.27674227344739005</v>
      </c>
      <c r="Q66" s="44" t="s">
        <v>1</v>
      </c>
      <c r="R66" s="46" t="s">
        <v>2</v>
      </c>
      <c r="S66" s="239">
        <v>1.09539115395541</v>
      </c>
      <c r="U66" s="123" t="s">
        <v>37</v>
      </c>
      <c r="V66" s="119">
        <v>860</v>
      </c>
      <c r="W66" s="119">
        <v>5984</v>
      </c>
      <c r="X66" s="119">
        <v>862.66912079045096</v>
      </c>
      <c r="Y66" s="119">
        <v>5931.2089589039251</v>
      </c>
      <c r="Z66" s="166">
        <f t="shared" si="40"/>
        <v>3.1036288261057088E-3</v>
      </c>
      <c r="AA66" s="166">
        <f t="shared" si="41"/>
        <v>-8.8220322687291297E-3</v>
      </c>
      <c r="AB66" s="123"/>
      <c r="AC66" s="123"/>
      <c r="AD66" s="123"/>
      <c r="AE66" s="123"/>
      <c r="AF66" s="123"/>
    </row>
    <row r="67" spans="2:32" ht="15.75" thickBot="1">
      <c r="B67" s="247" t="str">
        <f>C36</f>
        <v>HS</v>
      </c>
      <c r="C67" s="41">
        <f t="array" ref="C67:E67">LINEST(D36:D38,G36:I38,FALSE)</f>
        <v>-0.34045836868591184</v>
      </c>
      <c r="D67" s="41">
        <v>1.0656417029722265</v>
      </c>
      <c r="E67" s="41">
        <v>-0.53955780468206094</v>
      </c>
      <c r="F67" s="222">
        <f>D68*65535/L64/M62</f>
        <v>187.09203442590672</v>
      </c>
      <c r="G67" s="41">
        <f>E67/$D$68</f>
        <v>-0.50399324715013183</v>
      </c>
      <c r="H67" s="41">
        <f>D67/$D$68</f>
        <v>0.99540071058011192</v>
      </c>
      <c r="I67" s="42">
        <f>C67/$D$68</f>
        <v>-0.31801730466035899</v>
      </c>
      <c r="Q67" s="51">
        <f>Q65/SUM($Q65:$S65)</f>
        <v>0.39299588655084289</v>
      </c>
      <c r="R67" s="52">
        <f>R65/SUM($Q65:$S65)</f>
        <v>0.40468914460622063</v>
      </c>
      <c r="S67" s="240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</row>
    <row r="68" spans="2:32">
      <c r="B68" s="247"/>
      <c r="C68" s="41">
        <f t="array" ref="C68:E68">LINEST(E36:E38,G36:I38,FALSE)</f>
        <v>-0.27913602145246186</v>
      </c>
      <c r="D68" s="41">
        <v>1.0705655437508967</v>
      </c>
      <c r="E68" s="41">
        <v>-0.70181616281491777</v>
      </c>
      <c r="F68" s="222"/>
      <c r="G68" s="41">
        <f t="shared" ref="G68:G69" si="45">E68/$D$68</f>
        <v>-0.65555646444214255</v>
      </c>
      <c r="H68" s="41">
        <f t="shared" ref="H68:H69" si="46">D68/$D$68</f>
        <v>1</v>
      </c>
      <c r="I68" s="42">
        <f t="shared" ref="I68:I69" si="47">C68/$D$68</f>
        <v>-0.26073697503327481</v>
      </c>
      <c r="Q68" s="44" t="s">
        <v>60</v>
      </c>
      <c r="R68" s="46" t="s">
        <v>48</v>
      </c>
      <c r="S68" s="240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</row>
    <row r="69" spans="2:32" ht="15.75" thickBot="1">
      <c r="B69" s="248"/>
      <c r="C69" s="34">
        <f t="array" ref="C69:E69">LINEST(F36:F38,G36:I38,FALSE)</f>
        <v>0.28096105403588412</v>
      </c>
      <c r="D69" s="34">
        <v>0.17887391845856482</v>
      </c>
      <c r="E69" s="34">
        <v>-0.32701347230356059</v>
      </c>
      <c r="F69" s="250"/>
      <c r="G69" s="34">
        <f t="shared" si="45"/>
        <v>-0.30545861877621883</v>
      </c>
      <c r="H69" s="34">
        <f t="shared" si="46"/>
        <v>0.16708357512782598</v>
      </c>
      <c r="I69" s="6">
        <f t="shared" si="47"/>
        <v>0.26244171193058613</v>
      </c>
      <c r="Q69" s="48">
        <f>R65</f>
        <v>768.73964387928504</v>
      </c>
      <c r="R69" s="53">
        <f>cct(Q67,R67)</f>
        <v>3881.8674625592116</v>
      </c>
      <c r="S69" s="241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</row>
    <row r="70" spans="2:32"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</row>
    <row r="71" spans="2:32">
      <c r="B71" s="57"/>
      <c r="C71" s="57"/>
    </row>
  </sheetData>
  <mergeCells count="108">
    <mergeCell ref="O2:V3"/>
    <mergeCell ref="C48:D48"/>
    <mergeCell ref="B47:D47"/>
    <mergeCell ref="B46:S46"/>
    <mergeCell ref="H47:M47"/>
    <mergeCell ref="N47:S47"/>
    <mergeCell ref="E47:G47"/>
    <mergeCell ref="V46:X46"/>
    <mergeCell ref="P23:P24"/>
    <mergeCell ref="P17:P18"/>
    <mergeCell ref="P20:P21"/>
    <mergeCell ref="M33:W34"/>
    <mergeCell ref="U37:U38"/>
    <mergeCell ref="D15:F15"/>
    <mergeCell ref="D23:D25"/>
    <mergeCell ref="D17:D19"/>
    <mergeCell ref="D20:D22"/>
    <mergeCell ref="B17:B19"/>
    <mergeCell ref="B20:B22"/>
    <mergeCell ref="M40:M42"/>
    <mergeCell ref="B9:B10"/>
    <mergeCell ref="C30:C32"/>
    <mergeCell ref="C33:C35"/>
    <mergeCell ref="C36:C38"/>
    <mergeCell ref="O4:T5"/>
    <mergeCell ref="O6:V7"/>
    <mergeCell ref="O8:V9"/>
    <mergeCell ref="U39:U40"/>
    <mergeCell ref="W29:X29"/>
    <mergeCell ref="U41:U42"/>
    <mergeCell ref="W24:X24"/>
    <mergeCell ref="W25:X25"/>
    <mergeCell ref="W26:X26"/>
    <mergeCell ref="W19:X19"/>
    <mergeCell ref="W20:X20"/>
    <mergeCell ref="W21:X21"/>
    <mergeCell ref="W22:X22"/>
    <mergeCell ref="W23:X23"/>
    <mergeCell ref="N37:T37"/>
    <mergeCell ref="N38:T38"/>
    <mergeCell ref="N39:T39"/>
    <mergeCell ref="N40:T40"/>
    <mergeCell ref="N41:T41"/>
    <mergeCell ref="N42:T42"/>
    <mergeCell ref="M36:U36"/>
    <mergeCell ref="M37:M39"/>
    <mergeCell ref="M49:M51"/>
    <mergeCell ref="M52:M54"/>
    <mergeCell ref="M55:M57"/>
    <mergeCell ref="S14:AA17"/>
    <mergeCell ref="I49:I51"/>
    <mergeCell ref="J49:J51"/>
    <mergeCell ref="I52:I54"/>
    <mergeCell ref="J52:J54"/>
    <mergeCell ref="B49:B51"/>
    <mergeCell ref="B52:B54"/>
    <mergeCell ref="H49:H51"/>
    <mergeCell ref="H52:H54"/>
    <mergeCell ref="W27:X27"/>
    <mergeCell ref="W28:X28"/>
    <mergeCell ref="B23:B25"/>
    <mergeCell ref="E23:E25"/>
    <mergeCell ref="F23:F25"/>
    <mergeCell ref="E17:E19"/>
    <mergeCell ref="F17:F19"/>
    <mergeCell ref="E20:E22"/>
    <mergeCell ref="F20:F22"/>
    <mergeCell ref="Q60:S60"/>
    <mergeCell ref="S66:S69"/>
    <mergeCell ref="B60:I60"/>
    <mergeCell ref="I55:I57"/>
    <mergeCell ref="J55:J57"/>
    <mergeCell ref="B55:B57"/>
    <mergeCell ref="H55:H57"/>
    <mergeCell ref="K61:L61"/>
    <mergeCell ref="B61:B63"/>
    <mergeCell ref="B64:B66"/>
    <mergeCell ref="B67:B69"/>
    <mergeCell ref="F61:F63"/>
    <mergeCell ref="F64:F66"/>
    <mergeCell ref="F67:F69"/>
    <mergeCell ref="K60:M60"/>
    <mergeCell ref="K55:K57"/>
    <mergeCell ref="L55:L57"/>
    <mergeCell ref="AG1:AI1"/>
    <mergeCell ref="AJ1:AL1"/>
    <mergeCell ref="H39:K39"/>
    <mergeCell ref="D39:G39"/>
    <mergeCell ref="B28:K28"/>
    <mergeCell ref="AF9:AH9"/>
    <mergeCell ref="G15:M15"/>
    <mergeCell ref="B14:Q14"/>
    <mergeCell ref="V59:W59"/>
    <mergeCell ref="X59:Y59"/>
    <mergeCell ref="Z59:AA59"/>
    <mergeCell ref="Z2:AA2"/>
    <mergeCell ref="X2:Y2"/>
    <mergeCell ref="AB2:AC2"/>
    <mergeCell ref="W2:W3"/>
    <mergeCell ref="D3:F3"/>
    <mergeCell ref="G3:I3"/>
    <mergeCell ref="J3:L3"/>
    <mergeCell ref="B2:L2"/>
    <mergeCell ref="J11:L12"/>
    <mergeCell ref="K49:K51"/>
    <mergeCell ref="L49:L51"/>
    <mergeCell ref="K52:K54"/>
    <mergeCell ref="L52:L54"/>
  </mergeCells>
  <hyperlinks>
    <hyperlink ref="V46:X46" r:id="rId1" location="Approximation" display="McCamy CCT Approximation"/>
  </hyperlinks>
  <pageMargins left="0.7" right="0.7" top="0.75" bottom="0.75" header="0.3" footer="0.3"/>
  <pageSetup orientation="portrait" r:id="rId2"/>
  <ignoredErrors>
    <ignoredError sqref="E8 H8" formulaRange="1"/>
  </ignoredErrors>
  <drawing r:id="rId3"/>
  <legacyDrawing r:id="rId4"/>
  <controls>
    <control shapeId="2070" r:id="rId5" name="cmbCompSet"/>
    <control shapeId="2066" r:id="rId6" name="cbD65rgb"/>
    <control shapeId="2065" r:id="rId7" name="cbCWFrgb"/>
    <control shapeId="2064" r:id="rId8" name="cbArgb"/>
    <control shapeId="2061" r:id="rId9" name="cbCWFcmp"/>
    <control shapeId="2060" r:id="rId10" name="cbACmp"/>
    <control shapeId="2067" r:id="rId11" name="cbInit"/>
    <control shapeId="2068" r:id="rId12" name="cbReadWithCCM"/>
    <control shapeId="2069" r:id="rId13" name="cbRang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E103"/>
  <sheetViews>
    <sheetView topLeftCell="A20" zoomScale="70" zoomScaleNormal="70" workbookViewId="0">
      <selection activeCell="X50" sqref="X50"/>
    </sheetView>
  </sheetViews>
  <sheetFormatPr defaultRowHeight="17.25" customHeight="1"/>
  <cols>
    <col min="1" max="3" width="9.140625" style="66"/>
    <col min="4" max="6" width="9.140625" style="66" customWidth="1"/>
    <col min="7" max="17" width="9.140625" style="66"/>
    <col min="18" max="18" width="9.140625" style="66" customWidth="1"/>
    <col min="19" max="16384" width="9.140625" style="66"/>
  </cols>
  <sheetData>
    <row r="1" spans="2:22" s="99" customFormat="1" ht="17.25" customHeight="1"/>
    <row r="2" spans="2:22" ht="17.25" customHeight="1" thickBot="1"/>
    <row r="3" spans="2:22" s="71" customFormat="1" ht="17.25" customHeight="1">
      <c r="B3" s="319" t="s">
        <v>100</v>
      </c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1"/>
    </row>
    <row r="4" spans="2:22" ht="17.25" customHeight="1" thickBot="1">
      <c r="B4" s="322"/>
      <c r="C4" s="323"/>
      <c r="D4" s="323"/>
      <c r="E4" s="323"/>
      <c r="F4" s="323"/>
      <c r="G4" s="323"/>
      <c r="H4" s="323"/>
      <c r="I4" s="323"/>
      <c r="J4" s="323"/>
      <c r="K4" s="323"/>
      <c r="L4" s="323"/>
      <c r="M4" s="323"/>
      <c r="N4" s="323"/>
      <c r="O4" s="323"/>
      <c r="P4" s="323"/>
      <c r="Q4" s="323"/>
      <c r="R4" s="323"/>
      <c r="S4" s="323"/>
      <c r="T4" s="323"/>
      <c r="U4" s="323"/>
      <c r="V4" s="324"/>
    </row>
    <row r="5" spans="2:22" ht="17.25" customHeight="1">
      <c r="B5" s="67" t="s">
        <v>81</v>
      </c>
      <c r="C5" s="69">
        <v>170</v>
      </c>
      <c r="D5" s="69">
        <v>150</v>
      </c>
      <c r="E5" s="69">
        <v>70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70"/>
    </row>
    <row r="6" spans="2:22" ht="17.25" customHeight="1">
      <c r="B6" s="67" t="s">
        <v>82</v>
      </c>
      <c r="C6" s="69">
        <v>210</v>
      </c>
      <c r="D6" s="69">
        <v>160</v>
      </c>
      <c r="E6" s="69">
        <v>140</v>
      </c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70"/>
    </row>
    <row r="7" spans="2:22" ht="17.25" customHeight="1">
      <c r="B7" s="67"/>
      <c r="C7" s="69" t="s">
        <v>31</v>
      </c>
      <c r="D7" s="69" t="s">
        <v>32</v>
      </c>
      <c r="E7" s="69" t="s">
        <v>33</v>
      </c>
      <c r="F7" s="69" t="s">
        <v>65</v>
      </c>
      <c r="G7" s="69" t="s">
        <v>66</v>
      </c>
      <c r="H7" s="69" t="s">
        <v>67</v>
      </c>
      <c r="I7" s="69" t="s">
        <v>28</v>
      </c>
      <c r="J7" s="69" t="s">
        <v>29</v>
      </c>
      <c r="K7" s="69" t="s">
        <v>30</v>
      </c>
      <c r="L7" s="69" t="s">
        <v>68</v>
      </c>
      <c r="M7" s="69" t="s">
        <v>69</v>
      </c>
      <c r="N7" s="69" t="s">
        <v>70</v>
      </c>
      <c r="O7" s="222" t="s">
        <v>71</v>
      </c>
      <c r="P7" s="222"/>
      <c r="Q7" s="222"/>
      <c r="R7" s="101"/>
      <c r="S7" s="222" t="s">
        <v>40</v>
      </c>
      <c r="T7" s="222"/>
      <c r="U7" s="222"/>
      <c r="V7" s="223"/>
    </row>
    <row r="8" spans="2:22" ht="17.25" customHeight="1">
      <c r="B8" s="67" t="str">
        <f>DEC2BIN(0,3)</f>
        <v>000</v>
      </c>
      <c r="C8" s="116">
        <f>C5</f>
        <v>170</v>
      </c>
      <c r="D8" s="116">
        <f>D5</f>
        <v>150</v>
      </c>
      <c r="E8" s="17">
        <f>E5</f>
        <v>70</v>
      </c>
      <c r="F8" s="74">
        <f>(C8/255)^2</f>
        <v>0.44444444444444442</v>
      </c>
      <c r="G8" s="74">
        <f t="shared" ref="G8:H15" si="0">(D8/255)^2</f>
        <v>0.34602076124567477</v>
      </c>
      <c r="H8" s="74">
        <f t="shared" si="0"/>
        <v>7.5355632449058074E-2</v>
      </c>
      <c r="I8" s="73">
        <v>32.299999999999997</v>
      </c>
      <c r="J8" s="73">
        <v>35.1</v>
      </c>
      <c r="K8" s="73">
        <v>12.3</v>
      </c>
      <c r="L8" s="72">
        <f>255*(I8*S12+J8*T12+K8*U12+V12)^0.5</f>
        <v>169.99791647364134</v>
      </c>
      <c r="M8" s="72">
        <f>255*(I8*S13+J8*T13+K8*U13+V13)^0.5</f>
        <v>150.00247477832895</v>
      </c>
      <c r="N8" s="72">
        <f>255*(I8*S14+J8*T14+K8*U14+V14)^0.5</f>
        <v>70.002291994083606</v>
      </c>
      <c r="O8" s="101">
        <f t="shared" ref="O8:Q15" si="1">L8/C8-1</f>
        <v>-1.2256037403846065E-5</v>
      </c>
      <c r="P8" s="101">
        <f t="shared" si="1"/>
        <v>1.6498522192875953E-5</v>
      </c>
      <c r="Q8" s="101">
        <f t="shared" si="1"/>
        <v>3.2742772622995631E-5</v>
      </c>
      <c r="R8" s="101"/>
      <c r="S8" s="69">
        <f t="array" ref="S8:V8">LINEST(F8:F15,I8:K15)</f>
        <v>-3.0465350962917883E-3</v>
      </c>
      <c r="T8" s="69">
        <v>-6.1730462477672023E-3</v>
      </c>
      <c r="U8" s="69">
        <v>1.9869050540615087E-2</v>
      </c>
      <c r="V8" s="70">
        <v>5.6809522774885088E-2</v>
      </c>
    </row>
    <row r="9" spans="2:22" ht="17.25" customHeight="1">
      <c r="B9" s="67" t="str">
        <f>DEC2BIN(BIN2DEC(B8)+1,3)</f>
        <v>001</v>
      </c>
      <c r="C9" s="116">
        <f>C8</f>
        <v>170</v>
      </c>
      <c r="D9" s="17">
        <f t="shared" ref="D9" si="2">D8</f>
        <v>150</v>
      </c>
      <c r="E9" s="17">
        <f>E6</f>
        <v>140</v>
      </c>
      <c r="F9" s="74">
        <f t="shared" ref="F9:F15" si="3">(C9/255)^2</f>
        <v>0.44444444444444442</v>
      </c>
      <c r="G9" s="74">
        <f t="shared" si="0"/>
        <v>0.34602076124567477</v>
      </c>
      <c r="H9" s="74">
        <f t="shared" si="0"/>
        <v>0.3014225297962323</v>
      </c>
      <c r="I9" s="73">
        <v>37.799999999999997</v>
      </c>
      <c r="J9" s="73">
        <v>37.200000000000003</v>
      </c>
      <c r="K9" s="73">
        <v>43.4</v>
      </c>
      <c r="L9" s="72">
        <f>255*(I9*S12+J9*T12+K9*U12+V12)^0.5</f>
        <v>170.29775363215722</v>
      </c>
      <c r="M9" s="72">
        <f>255*(I9*S13+J9*T13+K9*U13+V13)^0.5</f>
        <v>149.89735399562352</v>
      </c>
      <c r="N9" s="72">
        <f>255*(I9*S14+J9*T14+K9*U14+V14)^0.5</f>
        <v>139.96624281005344</v>
      </c>
      <c r="O9" s="101">
        <f t="shared" si="1"/>
        <v>1.7514919538659246E-3</v>
      </c>
      <c r="P9" s="101">
        <f t="shared" si="1"/>
        <v>-6.8430669584318427E-4</v>
      </c>
      <c r="Q9" s="101">
        <f t="shared" si="1"/>
        <v>-2.4112278533250375E-4</v>
      </c>
      <c r="R9" s="69"/>
      <c r="S9" s="69">
        <f t="array" ref="S9:V9">LINEST(G8:G15,I8:K15)</f>
        <v>1.6673008049715329E-4</v>
      </c>
      <c r="T9" s="69">
        <v>1.4002165948804768E-2</v>
      </c>
      <c r="U9" s="69">
        <v>-6.3772142485636497E-3</v>
      </c>
      <c r="V9" s="70">
        <v>5.8489394437722761E-2</v>
      </c>
    </row>
    <row r="10" spans="2:22" s="117" customFormat="1" ht="17.25" customHeight="1" thickBot="1">
      <c r="B10" s="67" t="str">
        <f>DEC2BIN(BIN2DEC(B11)+1,3)</f>
        <v>011</v>
      </c>
      <c r="C10" s="116">
        <f>C11</f>
        <v>170</v>
      </c>
      <c r="D10" s="17">
        <f>D11</f>
        <v>160</v>
      </c>
      <c r="E10" s="116">
        <f>E9</f>
        <v>140</v>
      </c>
      <c r="F10" s="74">
        <f>(C10/255)^2</f>
        <v>0.44444444444444442</v>
      </c>
      <c r="G10" s="74">
        <f>(D10/255)^2</f>
        <v>0.39369473279507883</v>
      </c>
      <c r="H10" s="74">
        <f>(E10/255)^2</f>
        <v>0.3014225297962323</v>
      </c>
      <c r="I10" s="73">
        <v>39</v>
      </c>
      <c r="J10" s="73">
        <v>41.2</v>
      </c>
      <c r="K10" s="73">
        <v>44</v>
      </c>
      <c r="L10" s="72">
        <f>255*(I10*S12+J10*T12+K10*U12+V12)^0.5</f>
        <v>169.78585633090009</v>
      </c>
      <c r="M10" s="72">
        <f>255*(I10*S13+J10*T13+K10*U13+V13)^0.5</f>
        <v>160.06270972480931</v>
      </c>
      <c r="N10" s="72">
        <f>255*(I10*S14+J10*T14+K10*U14+V14)^0.5</f>
        <v>140.07747207544023</v>
      </c>
      <c r="O10" s="101">
        <f>L10/C10-1</f>
        <v>-1.2596686417641889E-3</v>
      </c>
      <c r="P10" s="101">
        <f>M10/D10-1</f>
        <v>3.9193578005813912E-4</v>
      </c>
      <c r="Q10" s="101">
        <f>N10/E10-1</f>
        <v>5.5337196743021622E-4</v>
      </c>
      <c r="R10" s="116"/>
      <c r="S10" s="69">
        <f t="array" ref="S10:V10">LINEST(H8:H15,I8:K15)</f>
        <v>7.261552467120411E-3</v>
      </c>
      <c r="T10" s="69">
        <v>-1.0999616777095866E-3</v>
      </c>
      <c r="U10" s="69">
        <v>4.349560367865307E-4</v>
      </c>
      <c r="V10" s="70">
        <v>1.0603046788344755E-2</v>
      </c>
    </row>
    <row r="11" spans="2:22" ht="17.25" customHeight="1" thickBot="1">
      <c r="B11" s="67" t="str">
        <f>DEC2BIN(BIN2DEC(B9)+1,3)</f>
        <v>010</v>
      </c>
      <c r="C11" s="116">
        <f>C9</f>
        <v>170</v>
      </c>
      <c r="D11" s="116">
        <f>D6</f>
        <v>160</v>
      </c>
      <c r="E11" s="116">
        <f>E8</f>
        <v>70</v>
      </c>
      <c r="F11" s="74">
        <f t="shared" si="3"/>
        <v>0.44444444444444442</v>
      </c>
      <c r="G11" s="74">
        <f t="shared" si="0"/>
        <v>0.39369473279507883</v>
      </c>
      <c r="H11" s="74">
        <f t="shared" si="0"/>
        <v>7.5355632449058074E-2</v>
      </c>
      <c r="I11" s="73">
        <v>33.6</v>
      </c>
      <c r="J11" s="73">
        <v>39.1</v>
      </c>
      <c r="K11" s="73">
        <v>12.8</v>
      </c>
      <c r="L11" s="72">
        <f>255*(I11*S12+J11*T12+K11*U12+V12)^0.5</f>
        <v>169.92413695187994</v>
      </c>
      <c r="M11" s="72">
        <f>255*(I11*S13+J11*T13+K11*U13+V13)^0.5</f>
        <v>160.02826235131965</v>
      </c>
      <c r="N11" s="72">
        <f>255*(I11*S14+J11*T14+K11*U14+V14)^0.5</f>
        <v>69.907653356550213</v>
      </c>
      <c r="O11" s="101">
        <f t="shared" si="1"/>
        <v>-4.4625322423563762E-4</v>
      </c>
      <c r="P11" s="101">
        <f t="shared" si="1"/>
        <v>1.7663969574788219E-4</v>
      </c>
      <c r="Q11" s="101">
        <f t="shared" si="1"/>
        <v>-1.3192377635683483E-3</v>
      </c>
      <c r="R11" s="69"/>
      <c r="S11" s="316" t="s">
        <v>75</v>
      </c>
      <c r="T11" s="317"/>
      <c r="U11" s="317"/>
      <c r="V11" s="318"/>
    </row>
    <row r="12" spans="2:22" s="117" customFormat="1" ht="17.25" customHeight="1">
      <c r="B12" s="67" t="str">
        <f>DEC2BIN(BIN2DEC(B14)+1,3)</f>
        <v>110</v>
      </c>
      <c r="C12" s="116">
        <f>C14</f>
        <v>210</v>
      </c>
      <c r="D12" s="116">
        <f>D11</f>
        <v>160</v>
      </c>
      <c r="E12" s="116">
        <f>E13</f>
        <v>70</v>
      </c>
      <c r="F12" s="74">
        <f>(C12/255)^2</f>
        <v>0.67820069204152245</v>
      </c>
      <c r="G12" s="74">
        <f>(D12/255)^2</f>
        <v>0.39369473279507883</v>
      </c>
      <c r="H12" s="74">
        <f>(E12/255)^2</f>
        <v>7.5355632449058074E-2</v>
      </c>
      <c r="I12" s="73">
        <v>47.4</v>
      </c>
      <c r="J12" s="73">
        <v>45.4</v>
      </c>
      <c r="K12" s="73">
        <v>13</v>
      </c>
      <c r="L12" s="72">
        <f>255*(I12*S12+J12*T12+K12*U12+V12)^0.5</f>
        <v>210.0836752202263</v>
      </c>
      <c r="M12" s="72">
        <f>255*(I12*S13+J12*T13+K12*U13+V13)^0.5</f>
        <v>160.07730649025422</v>
      </c>
      <c r="N12" s="72">
        <f>255*(I12*S14+J12*T14+K12*U14+V14)^0.5</f>
        <v>70.151368921057994</v>
      </c>
      <c r="O12" s="101">
        <f>L12/C12-1</f>
        <v>3.9845342964905939E-4</v>
      </c>
      <c r="P12" s="101">
        <f>M12/D12-1</f>
        <v>4.8316556408889433E-4</v>
      </c>
      <c r="Q12" s="101">
        <f>N12/E12-1</f>
        <v>2.1624131579713879E-3</v>
      </c>
      <c r="R12" s="116"/>
      <c r="S12" s="67">
        <f>U8</f>
        <v>1.9869050540615087E-2</v>
      </c>
      <c r="T12" s="69">
        <f>T8</f>
        <v>-6.1730462477672023E-3</v>
      </c>
      <c r="U12" s="69">
        <f>S8</f>
        <v>-3.0465350962917883E-3</v>
      </c>
      <c r="V12" s="70">
        <f>V8</f>
        <v>5.6809522774885088E-2</v>
      </c>
    </row>
    <row r="13" spans="2:22" ht="17.25" customHeight="1">
      <c r="B13" s="67" t="str">
        <f>DEC2BIN(BIN2DEC(B10)+1,3)</f>
        <v>100</v>
      </c>
      <c r="C13" s="116">
        <f>C6</f>
        <v>210</v>
      </c>
      <c r="D13" s="116">
        <f>D8</f>
        <v>150</v>
      </c>
      <c r="E13" s="116">
        <f>E11</f>
        <v>70</v>
      </c>
      <c r="F13" s="74">
        <f t="shared" si="3"/>
        <v>0.67820069204152245</v>
      </c>
      <c r="G13" s="74">
        <f t="shared" si="0"/>
        <v>0.34602076124567477</v>
      </c>
      <c r="H13" s="74">
        <f t="shared" si="0"/>
        <v>7.5355632449058074E-2</v>
      </c>
      <c r="I13" s="73">
        <v>46</v>
      </c>
      <c r="J13" s="73">
        <v>41.3</v>
      </c>
      <c r="K13" s="73">
        <v>12.4</v>
      </c>
      <c r="L13" s="72">
        <f>255*(I13*S12+J13*T12+K13*U12+V12)^0.5</f>
        <v>209.97852677625113</v>
      </c>
      <c r="M13" s="72">
        <f>255*(I13*S13+J13*T13+K13*U13+V13)^0.5</f>
        <v>149.8858776897809</v>
      </c>
      <c r="N13" s="72">
        <f>255*(I13*S14+J13*T14+K13*U14+V14)^0.5</f>
        <v>69.93969832910625</v>
      </c>
      <c r="O13" s="101">
        <f t="shared" si="1"/>
        <v>-1.0225344642322831E-4</v>
      </c>
      <c r="P13" s="101">
        <f t="shared" si="1"/>
        <v>-7.6081540146066828E-4</v>
      </c>
      <c r="Q13" s="101">
        <f t="shared" si="1"/>
        <v>-8.6145244133928323E-4</v>
      </c>
      <c r="R13" s="69"/>
      <c r="S13" s="67">
        <f t="shared" ref="S13:S14" si="4">U9</f>
        <v>-6.3772142485636497E-3</v>
      </c>
      <c r="T13" s="69">
        <f t="shared" ref="T13:T14" si="5">T9</f>
        <v>1.4002165948804768E-2</v>
      </c>
      <c r="U13" s="69">
        <f t="shared" ref="U13:U14" si="6">S9</f>
        <v>1.6673008049715329E-4</v>
      </c>
      <c r="V13" s="70">
        <f t="shared" ref="V13:V14" si="7">V9</f>
        <v>5.8489394437722761E-2</v>
      </c>
    </row>
    <row r="14" spans="2:22" ht="17.25" customHeight="1" thickBot="1">
      <c r="B14" s="67" t="str">
        <f t="shared" ref="B14" si="8">DEC2BIN(BIN2DEC(B13)+1,3)</f>
        <v>101</v>
      </c>
      <c r="C14" s="116">
        <f t="shared" ref="C14" si="9">C13</f>
        <v>210</v>
      </c>
      <c r="D14" s="116">
        <f>D9</f>
        <v>150</v>
      </c>
      <c r="E14" s="116">
        <f>E10</f>
        <v>140</v>
      </c>
      <c r="F14" s="74">
        <f t="shared" si="3"/>
        <v>0.67820069204152245</v>
      </c>
      <c r="G14" s="74">
        <f t="shared" si="0"/>
        <v>0.34602076124567477</v>
      </c>
      <c r="H14" s="74">
        <f t="shared" si="0"/>
        <v>0.3014225297962323</v>
      </c>
      <c r="I14" s="73">
        <v>51.4</v>
      </c>
      <c r="J14" s="73">
        <v>43.5</v>
      </c>
      <c r="K14" s="73">
        <v>43.6</v>
      </c>
      <c r="L14" s="72">
        <f>255*(I14*S12+J14*T12+K14*U12+V12)^0.5</f>
        <v>209.77098504100726</v>
      </c>
      <c r="M14" s="72">
        <f>255*(I14*S13+J14*T13+K14*U13+V13)^0.5</f>
        <v>150.22600210410928</v>
      </c>
      <c r="N14" s="72">
        <f>255*(I14*S14+J14*T14+K14*U14+V14)^0.5</f>
        <v>140.0679373974759</v>
      </c>
      <c r="O14" s="101">
        <f t="shared" si="1"/>
        <v>-1.0905474237749013E-3</v>
      </c>
      <c r="P14" s="101">
        <f t="shared" si="1"/>
        <v>1.5066806940617905E-3</v>
      </c>
      <c r="Q14" s="101">
        <f t="shared" si="1"/>
        <v>4.852671248278817E-4</v>
      </c>
      <c r="R14" s="69"/>
      <c r="S14" s="68">
        <f t="shared" si="4"/>
        <v>4.349560367865307E-4</v>
      </c>
      <c r="T14" s="76">
        <f t="shared" si="5"/>
        <v>-1.0999616777095866E-3</v>
      </c>
      <c r="U14" s="76">
        <f t="shared" si="6"/>
        <v>7.261552467120411E-3</v>
      </c>
      <c r="V14" s="6">
        <f t="shared" si="7"/>
        <v>1.0603046788344755E-2</v>
      </c>
    </row>
    <row r="15" spans="2:22" ht="17.25" customHeight="1">
      <c r="B15" s="67" t="str">
        <f>DEC2BIN(BIN2DEC(B12)+1,3)</f>
        <v>111</v>
      </c>
      <c r="C15" s="116">
        <f>C12</f>
        <v>210</v>
      </c>
      <c r="D15" s="116">
        <f>D10</f>
        <v>160</v>
      </c>
      <c r="E15" s="116">
        <f>E14</f>
        <v>140</v>
      </c>
      <c r="F15" s="74">
        <f t="shared" si="3"/>
        <v>0.67820069204152245</v>
      </c>
      <c r="G15" s="74">
        <f t="shared" si="0"/>
        <v>0.39369473279507883</v>
      </c>
      <c r="H15" s="74">
        <f t="shared" si="0"/>
        <v>0.3014225297962323</v>
      </c>
      <c r="I15" s="73">
        <v>52.8</v>
      </c>
      <c r="J15" s="73">
        <v>47.4</v>
      </c>
      <c r="K15" s="73">
        <v>44</v>
      </c>
      <c r="L15" s="72">
        <f>255*(I15*S12+J15*T12+K15*U12+V12)^0.5</f>
        <v>210.16168943783904</v>
      </c>
      <c r="M15" s="72">
        <f>255*(I15*S13+J15*T13+K15*U13+V13)^0.5</f>
        <v>159.8203771039901</v>
      </c>
      <c r="N15" s="72">
        <f>255*(I15*S14+J15*T14+K15*U14+V14)^0.5</f>
        <v>139.88762903737748</v>
      </c>
      <c r="O15" s="101">
        <f t="shared" si="1"/>
        <v>7.6994970399546503E-4</v>
      </c>
      <c r="P15" s="101">
        <f t="shared" si="1"/>
        <v>-1.1226431000619375E-3</v>
      </c>
      <c r="Q15" s="101">
        <f t="shared" si="1"/>
        <v>-8.0264973301802378E-4</v>
      </c>
      <c r="R15" s="69"/>
      <c r="S15" s="69"/>
      <c r="T15" s="69"/>
      <c r="U15" s="69"/>
      <c r="V15" s="70"/>
    </row>
    <row r="16" spans="2:22" ht="17.25" customHeight="1">
      <c r="B16" s="67"/>
      <c r="C16" s="69"/>
      <c r="D16" s="69"/>
      <c r="E16" s="69"/>
      <c r="F16" s="74"/>
      <c r="G16" s="74"/>
      <c r="H16" s="74"/>
      <c r="I16" s="73"/>
      <c r="J16" s="73"/>
      <c r="K16" s="73"/>
      <c r="L16" s="326" t="s">
        <v>77</v>
      </c>
      <c r="M16" s="326"/>
      <c r="N16" s="326"/>
      <c r="O16" s="101"/>
      <c r="P16" s="101"/>
      <c r="Q16" s="101"/>
      <c r="R16" s="69"/>
      <c r="S16" s="69"/>
      <c r="T16" s="69"/>
      <c r="U16" s="69"/>
      <c r="V16" s="70"/>
    </row>
    <row r="17" spans="2:24" ht="17.25" customHeight="1">
      <c r="B17" s="102" t="s">
        <v>76</v>
      </c>
      <c r="C17" s="61">
        <f>255*(I17*S12+J17*T12+K17*U12+V12)^0.5</f>
        <v>186.69685929658701</v>
      </c>
      <c r="D17" s="61">
        <f>255*(I17*S13+J17*T13+K17*U13+V13)^0.5</f>
        <v>163.10336515221167</v>
      </c>
      <c r="E17" s="61">
        <f>255*(I17*S14+J17*T14+K17*U14+V14)^0.5</f>
        <v>141.3923042432609</v>
      </c>
      <c r="F17" s="62"/>
      <c r="G17" s="62"/>
      <c r="H17" s="62"/>
      <c r="I17" s="63">
        <v>45</v>
      </c>
      <c r="J17" s="63">
        <f>I17</f>
        <v>45</v>
      </c>
      <c r="K17" s="63">
        <f>J17</f>
        <v>45</v>
      </c>
      <c r="L17" s="77">
        <v>44.8</v>
      </c>
      <c r="M17" s="77">
        <v>44.7</v>
      </c>
      <c r="N17" s="63">
        <v>44.5</v>
      </c>
      <c r="O17" s="64">
        <f>L17/I17-1</f>
        <v>-4.4444444444444731E-3</v>
      </c>
      <c r="P17" s="64">
        <f t="shared" ref="P17:Q17" si="10">M17/J17-1</f>
        <v>-6.6666666666665986E-3</v>
      </c>
      <c r="Q17" s="65">
        <f t="shared" si="10"/>
        <v>-1.1111111111111072E-2</v>
      </c>
      <c r="R17" s="69"/>
      <c r="S17" s="69"/>
      <c r="T17" s="69"/>
      <c r="U17" s="69"/>
      <c r="V17" s="70"/>
    </row>
    <row r="18" spans="2:24" ht="17.25" customHeight="1">
      <c r="B18" s="67" t="s">
        <v>72</v>
      </c>
      <c r="C18" s="69"/>
      <c r="D18" s="69"/>
      <c r="E18" s="69"/>
      <c r="F18" s="69"/>
      <c r="G18" s="69"/>
      <c r="H18" s="69"/>
      <c r="I18" s="73">
        <f>MIN(I8:I17)</f>
        <v>32.299999999999997</v>
      </c>
      <c r="J18" s="73">
        <f>MIN(J8:J15)</f>
        <v>35.1</v>
      </c>
      <c r="K18" s="73">
        <f>MIN(K8:K15)</f>
        <v>12.3</v>
      </c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70"/>
    </row>
    <row r="19" spans="2:24" ht="17.25" customHeight="1">
      <c r="B19" s="67" t="s">
        <v>73</v>
      </c>
      <c r="C19" s="69"/>
      <c r="D19" s="69"/>
      <c r="E19" s="69"/>
      <c r="F19" s="69"/>
      <c r="G19" s="69"/>
      <c r="H19" s="69"/>
      <c r="I19" s="73">
        <f>AVERAGE(I8:I17)</f>
        <v>42.81111111111111</v>
      </c>
      <c r="J19" s="73">
        <f>AVERAGE(J8:J15)</f>
        <v>41.274999999999999</v>
      </c>
      <c r="K19" s="73">
        <f>AVERAGE(K8:K15)</f>
        <v>28.1875</v>
      </c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70"/>
    </row>
    <row r="20" spans="2:24" ht="17.25" customHeight="1" thickBot="1">
      <c r="B20" s="68" t="s">
        <v>74</v>
      </c>
      <c r="C20" s="76"/>
      <c r="D20" s="76"/>
      <c r="E20" s="76"/>
      <c r="F20" s="76"/>
      <c r="G20" s="76"/>
      <c r="H20" s="76"/>
      <c r="I20" s="75">
        <f>MAX(I8:I17)</f>
        <v>52.8</v>
      </c>
      <c r="J20" s="75">
        <f>MAX(J8:J15)</f>
        <v>47.4</v>
      </c>
      <c r="K20" s="75">
        <f>MAX(K8:K15)</f>
        <v>44</v>
      </c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6"/>
    </row>
    <row r="21" spans="2:24" s="117" customFormat="1" ht="17.25" customHeight="1">
      <c r="B21" s="116"/>
      <c r="C21" s="116"/>
      <c r="D21" s="116"/>
      <c r="E21" s="116"/>
      <c r="F21" s="116"/>
      <c r="G21" s="116"/>
      <c r="H21" s="116"/>
      <c r="I21" s="118"/>
      <c r="J21" s="118"/>
      <c r="K21" s="118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</row>
    <row r="22" spans="2:24" s="117" customFormat="1" ht="17.25" customHeight="1" thickBot="1">
      <c r="B22" s="116"/>
      <c r="C22" s="116"/>
      <c r="D22" s="116"/>
      <c r="E22" s="116"/>
      <c r="F22" s="116"/>
      <c r="G22" s="116"/>
      <c r="H22" s="116"/>
      <c r="I22" s="118"/>
      <c r="J22" s="118"/>
      <c r="K22" s="118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</row>
    <row r="23" spans="2:24" ht="17.25" customHeight="1">
      <c r="B23" s="319" t="s">
        <v>96</v>
      </c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1"/>
    </row>
    <row r="24" spans="2:24" ht="17.25" customHeight="1" thickBot="1">
      <c r="B24" s="322"/>
      <c r="C24" s="323"/>
      <c r="D24" s="323"/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  <c r="U24" s="323"/>
      <c r="V24" s="323"/>
      <c r="W24" s="323"/>
      <c r="X24" s="324"/>
    </row>
    <row r="25" spans="2:24" ht="17.25" customHeight="1">
      <c r="B25" s="247" t="s">
        <v>80</v>
      </c>
      <c r="C25" s="222"/>
      <c r="D25" s="222"/>
      <c r="E25" s="69"/>
      <c r="F25" s="69"/>
      <c r="G25" s="69"/>
      <c r="H25" s="73">
        <v>40</v>
      </c>
      <c r="I25" s="72">
        <f ca="1">MAX(J32:L34)</f>
        <v>204.93323211260142</v>
      </c>
      <c r="J25" s="222" t="s">
        <v>83</v>
      </c>
      <c r="K25" s="222"/>
      <c r="L25" s="222"/>
      <c r="M25" s="222" t="s">
        <v>84</v>
      </c>
      <c r="N25" s="222"/>
      <c r="O25" s="222"/>
      <c r="P25" s="222"/>
      <c r="Q25" s="69"/>
      <c r="R25" s="69"/>
      <c r="S25" s="69"/>
      <c r="T25" s="69"/>
      <c r="U25" s="69"/>
      <c r="V25" s="69"/>
      <c r="W25" s="69"/>
      <c r="X25" s="70"/>
    </row>
    <row r="26" spans="2:24" ht="17.25" customHeight="1" thickBot="1">
      <c r="B26" s="103">
        <f ca="1">(D31-D27)/(COUNT(D27:D31)-1)</f>
        <v>-50.824175824175832</v>
      </c>
      <c r="C26" s="69" t="s">
        <v>78</v>
      </c>
      <c r="D26" s="69" t="s">
        <v>79</v>
      </c>
      <c r="E26" s="69" t="s">
        <v>1</v>
      </c>
      <c r="F26" s="69" t="s">
        <v>2</v>
      </c>
      <c r="G26" s="69" t="s">
        <v>28</v>
      </c>
      <c r="H26" s="69" t="s">
        <v>29</v>
      </c>
      <c r="I26" s="69" t="s">
        <v>30</v>
      </c>
      <c r="J26" s="69" t="s">
        <v>31</v>
      </c>
      <c r="K26" s="69" t="s">
        <v>32</v>
      </c>
      <c r="L26" s="69" t="s">
        <v>33</v>
      </c>
      <c r="M26" s="69" t="s">
        <v>78</v>
      </c>
      <c r="N26" s="69" t="s">
        <v>60</v>
      </c>
      <c r="O26" s="69" t="str">
        <f>M26</f>
        <v>Tcp</v>
      </c>
      <c r="P26" s="69" t="str">
        <f>N26</f>
        <v>Ev</v>
      </c>
      <c r="Q26" s="69"/>
      <c r="R26" s="69"/>
      <c r="S26" s="69"/>
      <c r="T26" s="69"/>
      <c r="U26" s="69"/>
      <c r="V26" s="69"/>
      <c r="W26" s="69"/>
      <c r="X26" s="70"/>
    </row>
    <row r="27" spans="2:24" ht="17.25" customHeight="1">
      <c r="B27" s="78" t="s">
        <v>16</v>
      </c>
      <c r="C27" s="79">
        <v>2800</v>
      </c>
      <c r="D27" s="80">
        <f>10^6/C27</f>
        <v>357.14285714285717</v>
      </c>
      <c r="E27" s="81">
        <f>getPlanckianLocusX(C27)</f>
        <v>0.45135712117346938</v>
      </c>
      <c r="F27" s="81">
        <f>getPlanckianLocusY(C27)</f>
        <v>0.40870323087186561</v>
      </c>
      <c r="G27" s="80">
        <f>getXYZ(H$25,E27,F27,0)</f>
        <v>44.174558660631327</v>
      </c>
      <c r="H27" s="80">
        <f>getXYZ(H$25,E27,F27,1)</f>
        <v>40</v>
      </c>
      <c r="I27" s="80">
        <f>getXYZ(H$25,E27,F27,2)</f>
        <v>13.695966890806217</v>
      </c>
      <c r="J27" s="79">
        <f>255*(G27*$S$12+H27*$T$12+I27*$U$12+$V$12)^0.5</f>
        <v>204.93323211260142</v>
      </c>
      <c r="K27" s="79">
        <f>255*(G27*$S$13+H27*$T$13+I27*$U$13+$V$13)^0.5</f>
        <v>148.5030627204938</v>
      </c>
      <c r="L27" s="79">
        <f>255*(G27*$S$14+H27*$T$14+I27*$U$14+$V$14)^0.5</f>
        <v>74.463734436944435</v>
      </c>
      <c r="M27" s="82">
        <v>2840</v>
      </c>
      <c r="N27" s="80">
        <v>44.8</v>
      </c>
      <c r="O27" s="83">
        <f>M27/C27-1</f>
        <v>1.4285714285714235E-2</v>
      </c>
      <c r="P27" s="84">
        <f>N27/H27-1</f>
        <v>0.11999999999999988</v>
      </c>
      <c r="Q27" s="69"/>
      <c r="R27" s="69"/>
      <c r="S27" s="69"/>
      <c r="T27" s="69"/>
      <c r="U27" s="69"/>
      <c r="V27" s="69"/>
      <c r="W27" s="69"/>
      <c r="X27" s="70"/>
    </row>
    <row r="28" spans="2:24" ht="17.25" customHeight="1">
      <c r="B28" s="85"/>
      <c r="C28" s="86">
        <f ca="1">10^6/D28</f>
        <v>3264.5739910313901</v>
      </c>
      <c r="D28" s="87">
        <f ca="1">D27+B$26</f>
        <v>306.31868131868134</v>
      </c>
      <c r="E28" s="88">
        <f t="shared" ref="E28:E31" ca="1" si="11">getPlanckianLocusX(C28)</f>
        <v>0.41909913983916475</v>
      </c>
      <c r="F28" s="88">
        <f t="shared" ref="F28:F31" ca="1" si="12">getPlanckianLocusY(C28)</f>
        <v>0.39733924869800669</v>
      </c>
      <c r="G28" s="87">
        <f ca="1">getXYZ(H$25,E28,F28,0)</f>
        <v>42.190560455576481</v>
      </c>
      <c r="H28" s="87">
        <f ca="1">getXYZ(H$25,E28,F28,1)</f>
        <v>40</v>
      </c>
      <c r="I28" s="87">
        <f ca="1">getXYZ(H$25,E28,F28,2)</f>
        <v>18.479081748336675</v>
      </c>
      <c r="J28" s="86">
        <f ca="1">255*(G28*$S$12+H28*$T$12+I28*$U$12+$V$12)^0.5</f>
        <v>196.18051409085973</v>
      </c>
      <c r="K28" s="86">
        <f ca="1">255*(G28*$S$13+H28*$T$13+I28*$U$13+$V$13)^0.5</f>
        <v>151.41907899182041</v>
      </c>
      <c r="L28" s="86">
        <f ca="1">255*(G28*$S$14+H28*$T$14+I28*$U$14+$V$14)^0.5</f>
        <v>88.018391151227732</v>
      </c>
      <c r="M28" s="89">
        <v>3346</v>
      </c>
      <c r="N28" s="87">
        <v>44.5</v>
      </c>
      <c r="O28" s="90">
        <f t="shared" ref="O28:O31" ca="1" si="13">M28/C28-1</f>
        <v>2.4942307692307653E-2</v>
      </c>
      <c r="P28" s="91">
        <f t="shared" ref="P28:P31" ca="1" si="14">N28/H28-1</f>
        <v>0.11250000000000004</v>
      </c>
      <c r="Q28" s="69"/>
      <c r="R28" s="69"/>
      <c r="S28" s="69"/>
      <c r="T28" s="69"/>
      <c r="U28" s="69"/>
      <c r="V28" s="69"/>
      <c r="W28" s="69"/>
      <c r="X28" s="70"/>
    </row>
    <row r="29" spans="2:24" ht="17.25" customHeight="1">
      <c r="B29" s="85" t="s">
        <v>17</v>
      </c>
      <c r="C29" s="86">
        <f t="shared" ref="C29:C30" ca="1" si="15">10^6/D29</f>
        <v>3913.9784946236555</v>
      </c>
      <c r="D29" s="87">
        <f ca="1">D28+B$26</f>
        <v>255.49450549450552</v>
      </c>
      <c r="E29" s="88">
        <f t="shared" ca="1" si="11"/>
        <v>0.38441869980488508</v>
      </c>
      <c r="F29" s="88">
        <f t="shared" ca="1" si="12"/>
        <v>0.37914987223695873</v>
      </c>
      <c r="G29" s="87">
        <f ca="1">getXYZ(H$25,E29,F29,0)</f>
        <v>40.555856979388189</v>
      </c>
      <c r="H29" s="87">
        <f ca="1">getXYZ(H$25,E29,F29,1)</f>
        <v>40</v>
      </c>
      <c r="I29" s="87">
        <f ca="1">getXYZ(H$25,E29,F29,2)</f>
        <v>24.943321390375441</v>
      </c>
      <c r="J29" s="86">
        <f ca="1">255*(G29*$S$12+H29*$T$12+I29*$U$12+$V$12)^0.5</f>
        <v>187.33448625436208</v>
      </c>
      <c r="K29" s="86">
        <f ca="1">255*(G29*$S$13+H29*$T$13+I29*$U$13+$V$13)^0.5</f>
        <v>153.86908879282478</v>
      </c>
      <c r="L29" s="86">
        <f ca="1">255*(G29*$S$14+H29*$T$14+I29*$U$14+$V$14)^0.5</f>
        <v>103.69813567287322</v>
      </c>
      <c r="M29" s="89">
        <v>3948</v>
      </c>
      <c r="N29" s="87">
        <v>44.6</v>
      </c>
      <c r="O29" s="90">
        <f t="shared" ca="1" si="13"/>
        <v>8.6923076923077769E-3</v>
      </c>
      <c r="P29" s="91">
        <f t="shared" ca="1" si="14"/>
        <v>0.11499999999999999</v>
      </c>
      <c r="Q29" s="69"/>
      <c r="R29" s="69"/>
      <c r="S29" s="69"/>
      <c r="T29" s="69"/>
      <c r="U29" s="69"/>
      <c r="V29" s="69"/>
      <c r="W29" s="69"/>
      <c r="X29" s="70"/>
    </row>
    <row r="30" spans="2:24" ht="17.25" customHeight="1">
      <c r="B30" s="85"/>
      <c r="C30" s="86">
        <f t="shared" ca="1" si="15"/>
        <v>4885.9060402684554</v>
      </c>
      <c r="D30" s="87">
        <f ca="1">D29+B$26</f>
        <v>204.67032967032969</v>
      </c>
      <c r="E30" s="88">
        <f t="shared" ca="1" si="11"/>
        <v>0.34827515488597371</v>
      </c>
      <c r="F30" s="88">
        <f t="shared" ca="1" si="12"/>
        <v>0.35418119316186264</v>
      </c>
      <c r="G30" s="87">
        <f ca="1">getXYZ(H$25,E30,F30,0)</f>
        <v>39.332992446813535</v>
      </c>
      <c r="H30" s="87">
        <f ca="1">getXYZ(H$25,E30,F30,1)</f>
        <v>40</v>
      </c>
      <c r="I30" s="87">
        <f ca="1">getXYZ(H$25,E30,F30,2)</f>
        <v>33.603551820006963</v>
      </c>
      <c r="J30" s="86">
        <f ca="1">255*(G30*$S$12+H30*$T$12+I30*$U$12+$V$12)^0.5</f>
        <v>178.32186423499419</v>
      </c>
      <c r="K30" s="86">
        <f ca="1">255*(G30*$S$13+H30*$T$13+I30*$U$13+$V$13)^0.5</f>
        <v>155.80976509238982</v>
      </c>
      <c r="L30" s="86">
        <f ca="1">255*(G30*$S$14+H30*$T$14+I30*$U$14+$V$14)^0.5</f>
        <v>121.68782132658482</v>
      </c>
      <c r="M30" s="89">
        <v>4945</v>
      </c>
      <c r="N30" s="87">
        <v>45</v>
      </c>
      <c r="O30" s="90">
        <f t="shared" ca="1" si="13"/>
        <v>1.2094780219780388E-2</v>
      </c>
      <c r="P30" s="91">
        <f t="shared" ca="1" si="14"/>
        <v>0.125</v>
      </c>
      <c r="Q30" s="69"/>
      <c r="R30" s="69"/>
      <c r="S30" s="69"/>
      <c r="T30" s="69"/>
      <c r="U30" s="69"/>
      <c r="V30" s="69"/>
      <c r="W30" s="69"/>
      <c r="X30" s="70"/>
    </row>
    <row r="31" spans="2:24" ht="17.25" customHeight="1" thickBot="1">
      <c r="B31" s="92" t="s">
        <v>37</v>
      </c>
      <c r="C31" s="93">
        <v>6500</v>
      </c>
      <c r="D31" s="94">
        <f t="shared" ref="D31" si="16">10^6/C31</f>
        <v>153.84615384615384</v>
      </c>
      <c r="E31" s="95">
        <f t="shared" si="11"/>
        <v>0.31349410751024126</v>
      </c>
      <c r="F31" s="95">
        <f t="shared" si="12"/>
        <v>0.32366253911989207</v>
      </c>
      <c r="G31" s="94">
        <f>getXYZ(H$25,E31,F31,0)</f>
        <v>38.743329192522438</v>
      </c>
      <c r="H31" s="94">
        <f>getXYZ(H$25,E31,F31,1)</f>
        <v>40</v>
      </c>
      <c r="I31" s="94">
        <f>getXYZ(H$25,E31,F31,2)</f>
        <v>44.84218091553204</v>
      </c>
      <c r="J31" s="96">
        <f>255*(G31*$S$12+H31*$T$12+I31*$U$12+$V$12)^0.5</f>
        <v>169.73646672911175</v>
      </c>
      <c r="K31" s="96">
        <f>255*(G31*$S$13+H31*$T$13+I31*$U$13+$V$13)^0.5</f>
        <v>156.98104494640376</v>
      </c>
      <c r="L31" s="96">
        <f>255*(G31*$S$14+H31*$T$14+I31*$U$14+$V$14)^0.5</f>
        <v>141.76717467549312</v>
      </c>
      <c r="M31" s="93">
        <v>6567</v>
      </c>
      <c r="N31" s="94">
        <v>45.4</v>
      </c>
      <c r="O31" s="97">
        <f t="shared" si="13"/>
        <v>1.0307692307692351E-2</v>
      </c>
      <c r="P31" s="98">
        <f t="shared" si="14"/>
        <v>0.13500000000000001</v>
      </c>
      <c r="Q31" s="69"/>
      <c r="R31" s="69"/>
      <c r="S31" s="69"/>
      <c r="T31" s="69"/>
      <c r="U31" s="69"/>
      <c r="V31" s="69"/>
      <c r="W31" s="69"/>
      <c r="X31" s="70"/>
    </row>
    <row r="32" spans="2:24" ht="17.25" customHeight="1">
      <c r="B32" s="67" t="s">
        <v>81</v>
      </c>
      <c r="C32" s="72">
        <f ca="1">MIN(C27:C31)</f>
        <v>2800</v>
      </c>
      <c r="D32" s="73">
        <f t="shared" ref="D32:L32" ca="1" si="17">MIN(D27:D31)</f>
        <v>153.84615384615384</v>
      </c>
      <c r="E32" s="74">
        <f t="shared" ca="1" si="17"/>
        <v>0.31349410751024126</v>
      </c>
      <c r="F32" s="74">
        <f t="shared" ca="1" si="17"/>
        <v>0.32366253911989207</v>
      </c>
      <c r="G32" s="73">
        <f t="shared" ca="1" si="17"/>
        <v>38.743329192522438</v>
      </c>
      <c r="H32" s="73">
        <f t="shared" ca="1" si="17"/>
        <v>40</v>
      </c>
      <c r="I32" s="73">
        <f t="shared" ca="1" si="17"/>
        <v>13.695966890806217</v>
      </c>
      <c r="J32" s="72">
        <f t="shared" ca="1" si="17"/>
        <v>169.73646672911175</v>
      </c>
      <c r="K32" s="72">
        <f t="shared" ca="1" si="17"/>
        <v>148.5030627204938</v>
      </c>
      <c r="L32" s="72">
        <f t="shared" ca="1" si="17"/>
        <v>74.463734436944435</v>
      </c>
      <c r="M32" s="60">
        <f ca="1">MIN(J32:L32)</f>
        <v>74.463734436944435</v>
      </c>
      <c r="N32" s="73"/>
      <c r="O32" s="101"/>
      <c r="P32" s="101"/>
      <c r="Q32" s="69"/>
      <c r="R32" s="69"/>
      <c r="S32" s="69"/>
      <c r="T32" s="69"/>
      <c r="U32" s="69"/>
      <c r="V32" s="69"/>
      <c r="W32" s="69"/>
      <c r="X32" s="70"/>
    </row>
    <row r="33" spans="2:26" ht="17.25" customHeight="1">
      <c r="B33" s="67" t="s">
        <v>82</v>
      </c>
      <c r="C33" s="72">
        <f ca="1">MAX(C27:C31)</f>
        <v>6500</v>
      </c>
      <c r="D33" s="73">
        <f t="shared" ref="D33:L33" ca="1" si="18">MAX(D27:D31)</f>
        <v>357.14285714285717</v>
      </c>
      <c r="E33" s="74">
        <f t="shared" ca="1" si="18"/>
        <v>0.45135712117346938</v>
      </c>
      <c r="F33" s="74">
        <f t="shared" ca="1" si="18"/>
        <v>0.40870323087186561</v>
      </c>
      <c r="G33" s="73">
        <f t="shared" ca="1" si="18"/>
        <v>44.174558660631327</v>
      </c>
      <c r="H33" s="73">
        <f t="shared" ca="1" si="18"/>
        <v>40</v>
      </c>
      <c r="I33" s="73">
        <f t="shared" ca="1" si="18"/>
        <v>44.84218091553204</v>
      </c>
      <c r="J33" s="72">
        <f t="shared" ca="1" si="18"/>
        <v>204.93323211260142</v>
      </c>
      <c r="K33" s="72">
        <f t="shared" ca="1" si="18"/>
        <v>156.98104494640376</v>
      </c>
      <c r="L33" s="72">
        <f t="shared" ca="1" si="18"/>
        <v>141.76717467549312</v>
      </c>
      <c r="M33" s="60">
        <f ca="1">MAX(J33:L33)</f>
        <v>204.93323211260142</v>
      </c>
      <c r="N33" s="69" t="s">
        <v>1</v>
      </c>
      <c r="O33" s="73" t="s">
        <v>2</v>
      </c>
      <c r="P33" s="104" t="s">
        <v>47</v>
      </c>
      <c r="Q33" s="69"/>
      <c r="R33" s="69"/>
      <c r="S33" s="69"/>
      <c r="T33" s="69"/>
      <c r="U33" s="69"/>
      <c r="V33" s="69"/>
      <c r="W33" s="69"/>
      <c r="X33" s="70"/>
    </row>
    <row r="34" spans="2:26" ht="17.25" customHeight="1">
      <c r="B34" s="67" t="s">
        <v>85</v>
      </c>
      <c r="C34" s="69"/>
      <c r="D34" s="69"/>
      <c r="E34" s="74">
        <f>1/3</f>
        <v>0.33333333333333331</v>
      </c>
      <c r="F34" s="74">
        <f>E34</f>
        <v>0.33333333333333331</v>
      </c>
      <c r="G34" s="73">
        <f>getXYZ(H$25,E34,F34,0)</f>
        <v>40</v>
      </c>
      <c r="H34" s="73">
        <f>getXYZ(H$25,E34,F34,1)</f>
        <v>40</v>
      </c>
      <c r="I34" s="73">
        <f>getXYZ(H$25,E34,F34,2)</f>
        <v>40.000000000000007</v>
      </c>
      <c r="J34" s="72">
        <f>255*(G34*$S$12+H34*$T$12+I34*$U$12+$V$12)^0.5</f>
        <v>177.18156957956802</v>
      </c>
      <c r="K34" s="72">
        <f>255*(G34*$S$13+H34*$T$13+I34*$U$13+$V$13)^0.5</f>
        <v>155.1432795354448</v>
      </c>
      <c r="L34" s="72">
        <f>255*(G34*$S$14+H34*$T$14+I34*$U$14+$V$14)^0.5</f>
        <v>133.5929691726007</v>
      </c>
      <c r="N34" s="69">
        <v>0.33279999999999998</v>
      </c>
      <c r="O34" s="74">
        <v>0.33550000000000002</v>
      </c>
      <c r="P34" s="105">
        <f>((E34-N34)^2+(F34-O34)^2)^0.5</f>
        <v>2.2313423961573117E-3</v>
      </c>
      <c r="Q34" s="69"/>
      <c r="R34" s="69"/>
      <c r="S34" s="69"/>
      <c r="T34" s="69"/>
      <c r="U34" s="69"/>
      <c r="V34" s="69"/>
      <c r="W34" s="69"/>
      <c r="X34" s="70"/>
    </row>
    <row r="35" spans="2:26" ht="17.25" customHeight="1">
      <c r="B35" s="67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70"/>
    </row>
    <row r="36" spans="2:26" ht="17.25" customHeight="1">
      <c r="B36" s="67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70"/>
    </row>
    <row r="37" spans="2:26" ht="17.25" customHeight="1" thickBot="1">
      <c r="B37" s="68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6"/>
    </row>
    <row r="39" spans="2:26" ht="17.25" customHeight="1" thickBot="1"/>
    <row r="40" spans="2:26" ht="17.25" customHeight="1">
      <c r="B40" s="319" t="s">
        <v>99</v>
      </c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320"/>
      <c r="N40" s="320"/>
      <c r="O40" s="320"/>
      <c r="P40" s="320"/>
      <c r="Q40" s="320"/>
      <c r="R40" s="320"/>
      <c r="S40" s="320"/>
      <c r="T40" s="320"/>
      <c r="U40" s="320"/>
      <c r="V40" s="320"/>
      <c r="W40" s="320"/>
      <c r="X40" s="320"/>
      <c r="Y40" s="320"/>
      <c r="Z40" s="321"/>
    </row>
    <row r="41" spans="2:26" ht="17.25" customHeight="1" thickBot="1">
      <c r="B41" s="322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4"/>
    </row>
    <row r="42" spans="2:26" ht="17.25" customHeight="1">
      <c r="D42" s="314" t="s">
        <v>27</v>
      </c>
      <c r="E42" s="314"/>
      <c r="F42" s="314"/>
      <c r="G42" s="314"/>
      <c r="H42" s="314"/>
      <c r="I42" s="314"/>
      <c r="J42" s="314" t="s">
        <v>86</v>
      </c>
      <c r="K42" s="314"/>
      <c r="L42" s="314"/>
      <c r="M42" s="314"/>
    </row>
    <row r="43" spans="2:26" ht="17.25" customHeight="1">
      <c r="D43" s="66" t="str">
        <f t="shared" ref="D43:F44" si="19">G26</f>
        <v>X</v>
      </c>
      <c r="E43" s="66" t="str">
        <f t="shared" si="19"/>
        <v>Y</v>
      </c>
      <c r="F43" s="66" t="str">
        <f t="shared" si="19"/>
        <v>Z</v>
      </c>
      <c r="G43" s="71" t="s">
        <v>31</v>
      </c>
      <c r="H43" s="71" t="s">
        <v>32</v>
      </c>
      <c r="I43" s="71" t="s">
        <v>33</v>
      </c>
      <c r="J43" s="66" t="s">
        <v>0</v>
      </c>
      <c r="K43" s="66" t="str">
        <f>J26</f>
        <v>R</v>
      </c>
      <c r="L43" s="66" t="str">
        <f>K26</f>
        <v>G</v>
      </c>
      <c r="M43" s="66" t="str">
        <f>L26</f>
        <v>B</v>
      </c>
      <c r="Y43" s="60"/>
    </row>
    <row r="44" spans="2:26" ht="17.25" customHeight="1">
      <c r="D44" s="59">
        <f t="shared" si="19"/>
        <v>44.174558660631327</v>
      </c>
      <c r="E44" s="59">
        <f t="shared" si="19"/>
        <v>40</v>
      </c>
      <c r="F44" s="59">
        <f t="shared" si="19"/>
        <v>13.695966890806217</v>
      </c>
      <c r="G44" s="60">
        <f>J27</f>
        <v>204.93323211260142</v>
      </c>
      <c r="H44" s="60">
        <f>K27</f>
        <v>148.5030627204938</v>
      </c>
      <c r="I44" s="60">
        <f>L27</f>
        <v>74.463734436944435</v>
      </c>
      <c r="J44" s="66">
        <v>0</v>
      </c>
      <c r="K44" s="66">
        <v>2065</v>
      </c>
      <c r="L44" s="66">
        <v>1385</v>
      </c>
      <c r="M44" s="66">
        <v>735</v>
      </c>
      <c r="P44" s="117">
        <v>2067</v>
      </c>
      <c r="Q44" s="117">
        <v>1399</v>
      </c>
      <c r="R44" s="117">
        <v>741</v>
      </c>
      <c r="S44" s="58">
        <f>K44/P44-1</f>
        <v>-9.6758587324630163E-4</v>
      </c>
      <c r="T44" s="58">
        <f t="shared" ref="T44:T58" si="20">L44/Q44-1</f>
        <v>-1.0007147962830643E-2</v>
      </c>
      <c r="U44" s="58">
        <f t="shared" ref="U44:U58" si="21">M44/R44-1</f>
        <v>-8.0971659919027994E-3</v>
      </c>
    </row>
    <row r="45" spans="2:26" ht="17.25" customHeight="1">
      <c r="D45" s="59">
        <f>D44</f>
        <v>44.174558660631327</v>
      </c>
      <c r="E45" s="59">
        <f t="shared" ref="E45:E46" si="22">E44</f>
        <v>40</v>
      </c>
      <c r="F45" s="59">
        <f t="shared" ref="F45:G46" si="23">F44</f>
        <v>13.695966890806217</v>
      </c>
      <c r="G45" s="60">
        <f>G44</f>
        <v>204.93323211260142</v>
      </c>
      <c r="H45" s="60">
        <f t="shared" ref="H45:I46" si="24">H44</f>
        <v>148.5030627204938</v>
      </c>
      <c r="I45" s="60">
        <f t="shared" si="24"/>
        <v>74.463734436944435</v>
      </c>
      <c r="J45" s="66">
        <v>1</v>
      </c>
      <c r="K45" s="66">
        <v>77</v>
      </c>
      <c r="L45" s="66">
        <v>52</v>
      </c>
      <c r="M45" s="66">
        <v>28</v>
      </c>
      <c r="P45" s="117">
        <v>78</v>
      </c>
      <c r="Q45" s="117">
        <v>52</v>
      </c>
      <c r="R45" s="117">
        <v>28</v>
      </c>
      <c r="S45" s="58">
        <f t="shared" ref="S45:S58" si="25">K45/P45-1</f>
        <v>-1.2820512820512775E-2</v>
      </c>
      <c r="T45" s="58">
        <f t="shared" si="20"/>
        <v>0</v>
      </c>
      <c r="U45" s="58">
        <f t="shared" si="21"/>
        <v>0</v>
      </c>
    </row>
    <row r="46" spans="2:26" ht="17.25" customHeight="1">
      <c r="D46" s="59">
        <f t="shared" ref="D46" si="26">D45</f>
        <v>44.174558660631327</v>
      </c>
      <c r="E46" s="59">
        <f t="shared" si="22"/>
        <v>40</v>
      </c>
      <c r="F46" s="59">
        <f t="shared" si="23"/>
        <v>13.695966890806217</v>
      </c>
      <c r="G46" s="60">
        <f t="shared" si="23"/>
        <v>204.93323211260142</v>
      </c>
      <c r="H46" s="60">
        <f t="shared" si="24"/>
        <v>148.5030627204938</v>
      </c>
      <c r="I46" s="60">
        <f t="shared" si="24"/>
        <v>74.463734436944435</v>
      </c>
      <c r="J46" s="66">
        <v>2</v>
      </c>
      <c r="K46" s="66">
        <v>4354</v>
      </c>
      <c r="L46" s="66">
        <v>2920</v>
      </c>
      <c r="M46" s="66">
        <v>1560</v>
      </c>
      <c r="P46" s="117">
        <v>4383</v>
      </c>
      <c r="Q46" s="117">
        <v>2960</v>
      </c>
      <c r="R46" s="117">
        <v>1575</v>
      </c>
      <c r="S46" s="58">
        <f t="shared" si="25"/>
        <v>-6.616472735569201E-3</v>
      </c>
      <c r="T46" s="58">
        <f t="shared" si="20"/>
        <v>-1.3513513513513487E-2</v>
      </c>
      <c r="U46" s="58">
        <f t="shared" si="21"/>
        <v>-9.52380952380949E-3</v>
      </c>
      <c r="X46" s="117"/>
      <c r="Z46" s="117"/>
    </row>
    <row r="47" spans="2:26" ht="17.25" customHeight="1">
      <c r="D47" s="59">
        <f t="shared" ref="D47:I47" ca="1" si="27">G28</f>
        <v>42.190560455576481</v>
      </c>
      <c r="E47" s="59">
        <f t="shared" ca="1" si="27"/>
        <v>40</v>
      </c>
      <c r="F47" s="59">
        <f t="shared" ca="1" si="27"/>
        <v>18.479081748336675</v>
      </c>
      <c r="G47" s="60">
        <f t="shared" ca="1" si="27"/>
        <v>196.18051409085973</v>
      </c>
      <c r="H47" s="60">
        <f t="shared" ca="1" si="27"/>
        <v>151.41907899182041</v>
      </c>
      <c r="I47" s="60">
        <f t="shared" ca="1" si="27"/>
        <v>88.018391151227732</v>
      </c>
      <c r="J47" s="66">
        <f>J44</f>
        <v>0</v>
      </c>
      <c r="K47" s="66">
        <v>1886</v>
      </c>
      <c r="L47" s="66">
        <v>1375</v>
      </c>
      <c r="M47" s="66">
        <v>790</v>
      </c>
      <c r="P47" s="117">
        <v>1897</v>
      </c>
      <c r="Q47" s="117">
        <v>1394</v>
      </c>
      <c r="R47" s="117">
        <v>797</v>
      </c>
      <c r="S47" s="58">
        <f t="shared" si="25"/>
        <v>-5.7986294148655304E-3</v>
      </c>
      <c r="T47" s="58">
        <f t="shared" si="20"/>
        <v>-1.3629842180774787E-2</v>
      </c>
      <c r="U47" s="58">
        <f t="shared" si="21"/>
        <v>-8.7829360100376563E-3</v>
      </c>
    </row>
    <row r="48" spans="2:26" ht="17.25" customHeight="1">
      <c r="D48" s="59">
        <f ca="1">D47</f>
        <v>42.190560455576481</v>
      </c>
      <c r="E48" s="59">
        <f t="shared" ref="E48:E49" ca="1" si="28">E47</f>
        <v>40</v>
      </c>
      <c r="F48" s="59">
        <f t="shared" ref="F48:G49" ca="1" si="29">F47</f>
        <v>18.479081748336675</v>
      </c>
      <c r="G48" s="60">
        <f ca="1">G47</f>
        <v>196.18051409085973</v>
      </c>
      <c r="H48" s="60">
        <f t="shared" ref="H48:I49" ca="1" si="30">H47</f>
        <v>151.41907899182041</v>
      </c>
      <c r="I48" s="60">
        <f t="shared" ca="1" si="30"/>
        <v>88.018391151227732</v>
      </c>
      <c r="J48" s="66">
        <f t="shared" ref="J48:J58" si="31">J45</f>
        <v>1</v>
      </c>
      <c r="K48" s="66">
        <v>71</v>
      </c>
      <c r="L48" s="66">
        <v>52</v>
      </c>
      <c r="M48" s="66">
        <v>30</v>
      </c>
      <c r="P48" s="117">
        <v>71</v>
      </c>
      <c r="Q48" s="117">
        <v>52</v>
      </c>
      <c r="R48" s="117">
        <v>30</v>
      </c>
      <c r="S48" s="58">
        <f t="shared" si="25"/>
        <v>0</v>
      </c>
      <c r="T48" s="58">
        <f t="shared" si="20"/>
        <v>0</v>
      </c>
      <c r="U48" s="58">
        <f t="shared" si="21"/>
        <v>0</v>
      </c>
    </row>
    <row r="49" spans="2:25" ht="17.25" customHeight="1">
      <c r="D49" s="59">
        <f t="shared" ref="D49" ca="1" si="32">D48</f>
        <v>42.190560455576481</v>
      </c>
      <c r="E49" s="59">
        <f t="shared" ca="1" si="28"/>
        <v>40</v>
      </c>
      <c r="F49" s="59">
        <f t="shared" ca="1" si="29"/>
        <v>18.479081748336675</v>
      </c>
      <c r="G49" s="60">
        <f t="shared" ca="1" si="29"/>
        <v>196.18051409085973</v>
      </c>
      <c r="H49" s="60">
        <f t="shared" ca="1" si="30"/>
        <v>151.41907899182041</v>
      </c>
      <c r="I49" s="60">
        <f t="shared" ca="1" si="30"/>
        <v>88.018391151227732</v>
      </c>
      <c r="J49" s="66">
        <f t="shared" si="31"/>
        <v>2</v>
      </c>
      <c r="K49" s="66">
        <v>3989</v>
      </c>
      <c r="L49" s="66">
        <v>2902</v>
      </c>
      <c r="M49" s="66">
        <v>1681</v>
      </c>
      <c r="P49" s="117">
        <v>4013</v>
      </c>
      <c r="Q49" s="117">
        <v>2924</v>
      </c>
      <c r="R49" s="117">
        <v>1697</v>
      </c>
      <c r="S49" s="58">
        <f t="shared" si="25"/>
        <v>-5.9805631696985273E-3</v>
      </c>
      <c r="T49" s="58">
        <f t="shared" si="20"/>
        <v>-7.523939808481539E-3</v>
      </c>
      <c r="U49" s="58">
        <f t="shared" si="21"/>
        <v>-9.4284030642309835E-3</v>
      </c>
    </row>
    <row r="50" spans="2:25" ht="17.25" customHeight="1">
      <c r="D50" s="59">
        <f t="shared" ref="D50:I50" ca="1" si="33">G29</f>
        <v>40.555856979388189</v>
      </c>
      <c r="E50" s="59">
        <f t="shared" ca="1" si="33"/>
        <v>40</v>
      </c>
      <c r="F50" s="59">
        <f t="shared" ca="1" si="33"/>
        <v>24.943321390375441</v>
      </c>
      <c r="G50" s="60">
        <f t="shared" ca="1" si="33"/>
        <v>187.33448625436208</v>
      </c>
      <c r="H50" s="60">
        <f t="shared" ca="1" si="33"/>
        <v>153.86908879282478</v>
      </c>
      <c r="I50" s="60">
        <f t="shared" ca="1" si="33"/>
        <v>103.69813567287322</v>
      </c>
      <c r="J50" s="66">
        <f t="shared" si="31"/>
        <v>0</v>
      </c>
      <c r="K50" s="66">
        <v>1719</v>
      </c>
      <c r="L50" s="66">
        <v>1391</v>
      </c>
      <c r="M50" s="66">
        <v>880</v>
      </c>
      <c r="P50" s="117">
        <v>1731</v>
      </c>
      <c r="Q50" s="117">
        <v>1409</v>
      </c>
      <c r="R50" s="117">
        <v>886</v>
      </c>
      <c r="S50" s="58">
        <f t="shared" si="25"/>
        <v>-6.9324090121317683E-3</v>
      </c>
      <c r="T50" s="58">
        <f t="shared" si="20"/>
        <v>-1.2775017743080208E-2</v>
      </c>
      <c r="U50" s="58">
        <f t="shared" si="21"/>
        <v>-6.7720090293453827E-3</v>
      </c>
    </row>
    <row r="51" spans="2:25" ht="17.25" customHeight="1">
      <c r="D51" s="59">
        <f ca="1">D50</f>
        <v>40.555856979388189</v>
      </c>
      <c r="E51" s="59">
        <f t="shared" ref="E51:E52" ca="1" si="34">E50</f>
        <v>40</v>
      </c>
      <c r="F51" s="59">
        <f t="shared" ref="F51:G52" ca="1" si="35">F50</f>
        <v>24.943321390375441</v>
      </c>
      <c r="G51" s="60">
        <f ca="1">G50</f>
        <v>187.33448625436208</v>
      </c>
      <c r="H51" s="60">
        <f t="shared" ref="H51:I52" ca="1" si="36">H50</f>
        <v>153.86908879282478</v>
      </c>
      <c r="I51" s="60">
        <f t="shared" ca="1" si="36"/>
        <v>103.69813567287322</v>
      </c>
      <c r="J51" s="66">
        <f t="shared" si="31"/>
        <v>1</v>
      </c>
      <c r="K51" s="66">
        <v>64</v>
      </c>
      <c r="L51" s="66">
        <v>52</v>
      </c>
      <c r="M51" s="66">
        <v>33</v>
      </c>
      <c r="P51" s="117">
        <v>65</v>
      </c>
      <c r="Q51" s="117">
        <v>53</v>
      </c>
      <c r="R51" s="117">
        <v>33</v>
      </c>
      <c r="S51" s="58">
        <f t="shared" si="25"/>
        <v>-1.538461538461533E-2</v>
      </c>
      <c r="T51" s="58">
        <f t="shared" si="20"/>
        <v>-1.8867924528301883E-2</v>
      </c>
      <c r="U51" s="58">
        <f t="shared" si="21"/>
        <v>0</v>
      </c>
    </row>
    <row r="52" spans="2:25" ht="17.25" customHeight="1">
      <c r="D52" s="59">
        <f t="shared" ref="D52" ca="1" si="37">D51</f>
        <v>40.555856979388189</v>
      </c>
      <c r="E52" s="59">
        <f t="shared" ca="1" si="34"/>
        <v>40</v>
      </c>
      <c r="F52" s="59">
        <f t="shared" ca="1" si="35"/>
        <v>24.943321390375441</v>
      </c>
      <c r="G52" s="60">
        <f t="shared" ca="1" si="35"/>
        <v>187.33448625436208</v>
      </c>
      <c r="H52" s="60">
        <f t="shared" ca="1" si="36"/>
        <v>153.86908879282478</v>
      </c>
      <c r="I52" s="60">
        <f t="shared" ca="1" si="36"/>
        <v>103.69813567287322</v>
      </c>
      <c r="J52" s="66">
        <f t="shared" si="31"/>
        <v>2</v>
      </c>
      <c r="K52" s="66">
        <v>3616</v>
      </c>
      <c r="L52" s="66">
        <v>2935</v>
      </c>
      <c r="M52" s="66">
        <v>1858</v>
      </c>
      <c r="P52" s="117">
        <v>3642</v>
      </c>
      <c r="Q52" s="117">
        <v>2960</v>
      </c>
      <c r="R52" s="117">
        <v>1872</v>
      </c>
      <c r="S52" s="58">
        <f t="shared" si="25"/>
        <v>-7.1389346512904517E-3</v>
      </c>
      <c r="T52" s="58">
        <f t="shared" si="20"/>
        <v>-8.4459459459459429E-3</v>
      </c>
      <c r="U52" s="58">
        <f t="shared" si="21"/>
        <v>-7.4786324786324521E-3</v>
      </c>
    </row>
    <row r="53" spans="2:25" ht="17.25" customHeight="1">
      <c r="D53" s="59">
        <f t="shared" ref="D53:I53" ca="1" si="38">G30</f>
        <v>39.332992446813535</v>
      </c>
      <c r="E53" s="59">
        <f t="shared" ca="1" si="38"/>
        <v>40</v>
      </c>
      <c r="F53" s="59">
        <f t="shared" ca="1" si="38"/>
        <v>33.603551820006963</v>
      </c>
      <c r="G53" s="60">
        <f t="shared" ca="1" si="38"/>
        <v>178.32186423499419</v>
      </c>
      <c r="H53" s="60">
        <f t="shared" ca="1" si="38"/>
        <v>155.80976509238982</v>
      </c>
      <c r="I53" s="60">
        <f t="shared" ca="1" si="38"/>
        <v>121.68782132658482</v>
      </c>
      <c r="J53" s="66">
        <f t="shared" si="31"/>
        <v>0</v>
      </c>
      <c r="K53" s="66">
        <v>1554</v>
      </c>
      <c r="L53" s="66">
        <v>1407</v>
      </c>
      <c r="M53" s="66">
        <v>1008</v>
      </c>
      <c r="P53" s="117">
        <v>1564</v>
      </c>
      <c r="Q53" s="117">
        <v>1421</v>
      </c>
      <c r="R53" s="117">
        <v>1012</v>
      </c>
      <c r="S53" s="58">
        <f t="shared" si="25"/>
        <v>-6.3938618925831747E-3</v>
      </c>
      <c r="T53" s="58">
        <f t="shared" si="20"/>
        <v>-9.8522167487684609E-3</v>
      </c>
      <c r="U53" s="58">
        <f t="shared" si="21"/>
        <v>-3.9525691699604515E-3</v>
      </c>
    </row>
    <row r="54" spans="2:25" ht="17.25" customHeight="1">
      <c r="D54" s="59">
        <f ca="1">D53</f>
        <v>39.332992446813535</v>
      </c>
      <c r="E54" s="59">
        <f t="shared" ref="E54:E55" ca="1" si="39">E53</f>
        <v>40</v>
      </c>
      <c r="F54" s="59">
        <f t="shared" ref="F54:G55" ca="1" si="40">F53</f>
        <v>33.603551820006963</v>
      </c>
      <c r="G54" s="60">
        <f ca="1">G53</f>
        <v>178.32186423499419</v>
      </c>
      <c r="H54" s="60">
        <f t="shared" ref="H54:I55" ca="1" si="41">H53</f>
        <v>155.80976509238982</v>
      </c>
      <c r="I54" s="60">
        <f t="shared" ca="1" si="41"/>
        <v>121.68782132658482</v>
      </c>
      <c r="J54" s="66">
        <f t="shared" si="31"/>
        <v>1</v>
      </c>
      <c r="K54" s="66">
        <v>58</v>
      </c>
      <c r="L54" s="66">
        <v>53</v>
      </c>
      <c r="M54" s="66">
        <v>38</v>
      </c>
      <c r="P54" s="117">
        <v>59</v>
      </c>
      <c r="Q54" s="117">
        <v>53</v>
      </c>
      <c r="R54" s="117">
        <v>38</v>
      </c>
      <c r="S54" s="58">
        <f t="shared" si="25"/>
        <v>-1.6949152542372836E-2</v>
      </c>
      <c r="T54" s="58">
        <f t="shared" si="20"/>
        <v>0</v>
      </c>
      <c r="U54" s="58">
        <f t="shared" si="21"/>
        <v>0</v>
      </c>
    </row>
    <row r="55" spans="2:25" ht="17.25" customHeight="1">
      <c r="D55" s="59">
        <f t="shared" ref="D55" ca="1" si="42">D54</f>
        <v>39.332992446813535</v>
      </c>
      <c r="E55" s="59">
        <f t="shared" ca="1" si="39"/>
        <v>40</v>
      </c>
      <c r="F55" s="59">
        <f t="shared" ca="1" si="40"/>
        <v>33.603551820006963</v>
      </c>
      <c r="G55" s="60">
        <f t="shared" ca="1" si="40"/>
        <v>178.32186423499419</v>
      </c>
      <c r="H55" s="60">
        <f t="shared" ca="1" si="41"/>
        <v>155.80976509238982</v>
      </c>
      <c r="I55" s="60">
        <f t="shared" ca="1" si="41"/>
        <v>121.68782132658482</v>
      </c>
      <c r="J55" s="66">
        <f t="shared" si="31"/>
        <v>2</v>
      </c>
      <c r="K55" s="66">
        <v>3290</v>
      </c>
      <c r="L55" s="66">
        <v>2965</v>
      </c>
      <c r="M55" s="66">
        <v>2125</v>
      </c>
      <c r="P55" s="117">
        <v>3296</v>
      </c>
      <c r="Q55" s="117">
        <v>2991</v>
      </c>
      <c r="R55" s="117">
        <v>2150</v>
      </c>
      <c r="S55" s="58">
        <f t="shared" si="25"/>
        <v>-1.8203883495145901E-3</v>
      </c>
      <c r="T55" s="58">
        <f t="shared" si="20"/>
        <v>-8.6927449013707303E-3</v>
      </c>
      <c r="U55" s="58">
        <f t="shared" si="21"/>
        <v>-1.1627906976744207E-2</v>
      </c>
    </row>
    <row r="56" spans="2:25" ht="17.25" customHeight="1">
      <c r="D56" s="59">
        <f t="shared" ref="D56:I56" si="43">G31</f>
        <v>38.743329192522438</v>
      </c>
      <c r="E56" s="59">
        <f t="shared" si="43"/>
        <v>40</v>
      </c>
      <c r="F56" s="59">
        <f t="shared" si="43"/>
        <v>44.84218091553204</v>
      </c>
      <c r="G56" s="60">
        <f t="shared" si="43"/>
        <v>169.73646672911175</v>
      </c>
      <c r="H56" s="60">
        <f t="shared" si="43"/>
        <v>156.98104494640376</v>
      </c>
      <c r="I56" s="60">
        <f t="shared" si="43"/>
        <v>141.76717467549312</v>
      </c>
      <c r="J56" s="66">
        <f t="shared" si="31"/>
        <v>0</v>
      </c>
      <c r="K56" s="66">
        <v>1440</v>
      </c>
      <c r="L56" s="66">
        <v>1429</v>
      </c>
      <c r="M56" s="66">
        <v>1182</v>
      </c>
      <c r="P56" s="117">
        <v>1444</v>
      </c>
      <c r="Q56" s="117">
        <v>1437</v>
      </c>
      <c r="R56" s="117">
        <v>1184</v>
      </c>
      <c r="S56" s="58">
        <f t="shared" si="25"/>
        <v>-2.7700831024930483E-3</v>
      </c>
      <c r="T56" s="58">
        <f t="shared" si="20"/>
        <v>-5.5671537926235137E-3</v>
      </c>
      <c r="U56" s="58">
        <f t="shared" si="21"/>
        <v>-1.6891891891891442E-3</v>
      </c>
    </row>
    <row r="57" spans="2:25" ht="17.25" customHeight="1">
      <c r="D57" s="59">
        <f>D56</f>
        <v>38.743329192522438</v>
      </c>
      <c r="E57" s="59">
        <f t="shared" ref="E57:E58" si="44">E56</f>
        <v>40</v>
      </c>
      <c r="F57" s="59">
        <f t="shared" ref="F57:G58" si="45">F56</f>
        <v>44.84218091553204</v>
      </c>
      <c r="G57" s="60">
        <f>G56</f>
        <v>169.73646672911175</v>
      </c>
      <c r="H57" s="60">
        <f t="shared" ref="H57:I58" si="46">H56</f>
        <v>156.98104494640376</v>
      </c>
      <c r="I57" s="60">
        <f t="shared" si="46"/>
        <v>141.76717467549312</v>
      </c>
      <c r="J57" s="66">
        <f t="shared" si="31"/>
        <v>1</v>
      </c>
      <c r="K57" s="66">
        <v>54</v>
      </c>
      <c r="L57" s="66">
        <v>53</v>
      </c>
      <c r="M57" s="66">
        <v>44</v>
      </c>
      <c r="P57" s="117">
        <v>54</v>
      </c>
      <c r="Q57" s="117">
        <v>54</v>
      </c>
      <c r="R57" s="117">
        <v>44</v>
      </c>
      <c r="S57" s="58">
        <f t="shared" si="25"/>
        <v>0</v>
      </c>
      <c r="T57" s="58">
        <f t="shared" si="20"/>
        <v>-1.851851851851849E-2</v>
      </c>
      <c r="U57" s="58">
        <f t="shared" si="21"/>
        <v>0</v>
      </c>
    </row>
    <row r="58" spans="2:25" ht="17.25" customHeight="1">
      <c r="D58" s="59">
        <f t="shared" ref="D58" si="47">D57</f>
        <v>38.743329192522438</v>
      </c>
      <c r="E58" s="59">
        <f t="shared" si="44"/>
        <v>40</v>
      </c>
      <c r="F58" s="59">
        <f t="shared" si="45"/>
        <v>44.84218091553204</v>
      </c>
      <c r="G58" s="60">
        <f t="shared" si="45"/>
        <v>169.73646672911175</v>
      </c>
      <c r="H58" s="60">
        <f t="shared" si="46"/>
        <v>156.98104494640376</v>
      </c>
      <c r="I58" s="60">
        <f t="shared" si="46"/>
        <v>141.76717467549312</v>
      </c>
      <c r="J58" s="66">
        <f t="shared" si="31"/>
        <v>2</v>
      </c>
      <c r="K58" s="66">
        <v>3016</v>
      </c>
      <c r="L58" s="66">
        <v>2994</v>
      </c>
      <c r="M58" s="66">
        <v>2477</v>
      </c>
      <c r="P58" s="117">
        <v>3040</v>
      </c>
      <c r="Q58" s="117">
        <v>3030</v>
      </c>
      <c r="R58" s="117">
        <v>2497</v>
      </c>
      <c r="S58" s="58">
        <f t="shared" si="25"/>
        <v>-7.8947368421052877E-3</v>
      </c>
      <c r="T58" s="58">
        <f t="shared" si="20"/>
        <v>-1.1881188118811892E-2</v>
      </c>
      <c r="U58" s="58">
        <f t="shared" si="21"/>
        <v>-8.0096115338406104E-3</v>
      </c>
    </row>
    <row r="60" spans="2:25" s="71" customFormat="1" ht="17.25" customHeight="1">
      <c r="K60" s="315" t="s">
        <v>88</v>
      </c>
      <c r="L60" s="315"/>
      <c r="M60" s="71">
        <f>J62</f>
        <v>1349.7333333333333</v>
      </c>
      <c r="N60" s="314" t="s">
        <v>97</v>
      </c>
      <c r="O60" s="314"/>
      <c r="P60" s="314"/>
      <c r="Q60" s="314"/>
      <c r="R60" s="314"/>
      <c r="S60" s="314"/>
      <c r="T60" s="314" t="s">
        <v>98</v>
      </c>
      <c r="U60" s="314"/>
      <c r="V60" s="314"/>
      <c r="W60" s="314"/>
      <c r="X60" s="314"/>
      <c r="Y60" s="314"/>
    </row>
    <row r="61" spans="2:25" ht="17.25" customHeight="1">
      <c r="C61" s="71" t="s">
        <v>0</v>
      </c>
      <c r="D61" s="71" t="s">
        <v>28</v>
      </c>
      <c r="E61" s="71" t="s">
        <v>29</v>
      </c>
      <c r="F61" s="71" t="s">
        <v>30</v>
      </c>
      <c r="G61" s="71" t="s">
        <v>31</v>
      </c>
      <c r="H61" s="71" t="s">
        <v>32</v>
      </c>
      <c r="I61" s="71" t="s">
        <v>33</v>
      </c>
      <c r="J61" s="71" t="s">
        <v>87</v>
      </c>
      <c r="K61" s="71" t="s">
        <v>31</v>
      </c>
      <c r="L61" s="71" t="s">
        <v>32</v>
      </c>
      <c r="M61" s="71" t="s">
        <v>33</v>
      </c>
      <c r="N61" s="71" t="s">
        <v>28</v>
      </c>
      <c r="O61" s="71" t="s">
        <v>29</v>
      </c>
      <c r="P61" s="71" t="s">
        <v>30</v>
      </c>
      <c r="T61" s="71" t="s">
        <v>28</v>
      </c>
      <c r="U61" s="71" t="s">
        <v>29</v>
      </c>
      <c r="V61" s="71" t="s">
        <v>30</v>
      </c>
    </row>
    <row r="62" spans="2:25" ht="17.25" customHeight="1">
      <c r="B62" s="60">
        <f>C27</f>
        <v>2800</v>
      </c>
      <c r="C62" s="66">
        <f>J44</f>
        <v>0</v>
      </c>
      <c r="D62" s="59">
        <f>D44</f>
        <v>44.174558660631327</v>
      </c>
      <c r="E62" s="59">
        <f t="shared" ref="E62:F62" si="48">E44</f>
        <v>40</v>
      </c>
      <c r="F62" s="59">
        <f t="shared" si="48"/>
        <v>13.695966890806217</v>
      </c>
      <c r="G62" s="66">
        <f>K44</f>
        <v>2065</v>
      </c>
      <c r="H62" s="71">
        <f t="shared" ref="H62:I62" si="49">L44</f>
        <v>1385</v>
      </c>
      <c r="I62" s="71">
        <f t="shared" si="49"/>
        <v>735</v>
      </c>
      <c r="J62" s="71">
        <f>AVERAGE(G62:I66)</f>
        <v>1349.7333333333333</v>
      </c>
      <c r="K62" s="60">
        <f>$M$60/$J62*G62</f>
        <v>2065</v>
      </c>
      <c r="L62" s="60">
        <f t="shared" ref="L62:L76" si="50">$M$60/$J62*H62</f>
        <v>1385</v>
      </c>
      <c r="M62" s="60">
        <f t="shared" ref="M62:M76" si="51">$M$60/$J62*I62</f>
        <v>735</v>
      </c>
      <c r="N62" s="59">
        <f ca="1">$M$79*($F$79*$G62+$G$79*$H62+$H$79*$I62)</f>
        <v>44.169846501944349</v>
      </c>
      <c r="O62" s="59">
        <f ca="1">$M$79*($F$80*$G62+$G$80*$H62+$H$80*$I62)</f>
        <v>40.136408818717534</v>
      </c>
      <c r="P62" s="59">
        <f ca="1">$M$79*($F$81*$G62+$G$81*$H62+$H$81*$I62)</f>
        <v>13.387244295274066</v>
      </c>
      <c r="Q62" s="58">
        <f ca="1">N62/D62-1</f>
        <v>-1.0667132462327533E-4</v>
      </c>
      <c r="R62" s="58">
        <f t="shared" ref="R62:R76" ca="1" si="52">O62/E62-1</f>
        <v>3.4102204679382631E-3</v>
      </c>
      <c r="S62" s="58">
        <f t="shared" ref="S62:S76" ca="1" si="53">P62/F62-1</f>
        <v>-2.2541131852428009E-2</v>
      </c>
      <c r="T62" s="59">
        <f ca="1">($F$82*$G62+$G$82*$H62+$H$82*$I62)</f>
        <v>44.195003221194966</v>
      </c>
      <c r="U62" s="59">
        <f ca="1">($F$83*$G62+$G$83*$H62+$H$83*$I62)</f>
        <v>40.141277743084807</v>
      </c>
      <c r="V62" s="59">
        <f ca="1">($F$84*$G62+$G$84*$H62+$H$84*$I62)</f>
        <v>13.728348312161913</v>
      </c>
      <c r="W62" s="58">
        <f ca="1">T62/D62-1</f>
        <v>4.6281301236539285E-4</v>
      </c>
      <c r="X62" s="58">
        <f t="shared" ref="X62:Y62" ca="1" si="54">U62/E62-1</f>
        <v>3.5319435771201668E-3</v>
      </c>
      <c r="Y62" s="58">
        <f t="shared" ca="1" si="54"/>
        <v>2.3643034196756396E-3</v>
      </c>
    </row>
    <row r="63" spans="2:25" s="71" customFormat="1" ht="17.25" customHeight="1">
      <c r="B63" s="60">
        <f ca="1">C28</f>
        <v>3264.5739910313901</v>
      </c>
      <c r="C63" s="71">
        <f>J47</f>
        <v>0</v>
      </c>
      <c r="D63" s="59">
        <f ca="1">D47</f>
        <v>42.190560455576481</v>
      </c>
      <c r="E63" s="59">
        <f ca="1">E47</f>
        <v>40</v>
      </c>
      <c r="F63" s="59">
        <f ca="1">F47</f>
        <v>18.479081748336675</v>
      </c>
      <c r="G63" s="71">
        <f>K47</f>
        <v>1886</v>
      </c>
      <c r="H63" s="71">
        <f>L47</f>
        <v>1375</v>
      </c>
      <c r="I63" s="71">
        <f>M47</f>
        <v>790</v>
      </c>
      <c r="J63" s="71">
        <f>J62</f>
        <v>1349.7333333333333</v>
      </c>
      <c r="K63" s="60">
        <f t="shared" ref="K63:K76" si="55">$M$60/$J63*G63</f>
        <v>1886</v>
      </c>
      <c r="L63" s="60">
        <f t="shared" si="50"/>
        <v>1375</v>
      </c>
      <c r="M63" s="60">
        <f t="shared" si="51"/>
        <v>790</v>
      </c>
      <c r="N63" s="59">
        <f ca="1">$M$79*($F$79*$G63+$G$79*$H63+$H$79*$I63)</f>
        <v>42.092138882630934</v>
      </c>
      <c r="O63" s="59">
        <f ca="1">$M$79*($F$80*$G63+$G$80*$H63+$H$80*$I63)</f>
        <v>39.704014079293259</v>
      </c>
      <c r="P63" s="59">
        <f ca="1">$M$79*($F$81*$G63+$G$81*$H63+$H$81*$I63)</f>
        <v>18.181999173647178</v>
      </c>
      <c r="Q63" s="58">
        <f t="shared" ref="Q63:Q76" ca="1" si="56">N63/D63-1</f>
        <v>-2.3327865731761488E-3</v>
      </c>
      <c r="R63" s="58">
        <f t="shared" ca="1" si="52"/>
        <v>-7.3996480176685697E-3</v>
      </c>
      <c r="S63" s="58">
        <f t="shared" ca="1" si="53"/>
        <v>-1.6076695732797353E-2</v>
      </c>
      <c r="T63" s="59">
        <f ca="1">($F$82*$G63+$G$82*$H63+$H$82*$I63)</f>
        <v>42.125650620107045</v>
      </c>
      <c r="U63" s="59">
        <f ca="1">($F$83*$G63+$G$83*$H63+$H$83*$I63)</f>
        <v>39.759036673537452</v>
      </c>
      <c r="V63" s="59">
        <f ca="1">($F$84*$G63+$G$84*$H63+$H$84*$I63)</f>
        <v>18.44541603768106</v>
      </c>
      <c r="W63" s="58">
        <f t="shared" ref="W63:W66" ca="1" si="57">T63/D63-1</f>
        <v>-1.5384918988640139E-3</v>
      </c>
      <c r="X63" s="58">
        <f t="shared" ref="X63:X66" ca="1" si="58">U63/E63-1</f>
        <v>-6.0240831615636647E-3</v>
      </c>
      <c r="Y63" s="58">
        <f t="shared" ref="Y63:Y66" ca="1" si="59">V63/F63-1</f>
        <v>-1.8218281143025372E-3</v>
      </c>
    </row>
    <row r="64" spans="2:25" s="71" customFormat="1" ht="17.25" customHeight="1">
      <c r="B64" s="60">
        <f ca="1">C29</f>
        <v>3913.9784946236555</v>
      </c>
      <c r="C64" s="71">
        <f>J50</f>
        <v>0</v>
      </c>
      <c r="D64" s="59">
        <f ca="1">D50</f>
        <v>40.555856979388189</v>
      </c>
      <c r="E64" s="59">
        <f ca="1">E50</f>
        <v>40</v>
      </c>
      <c r="F64" s="59">
        <f ca="1">F50</f>
        <v>24.943321390375441</v>
      </c>
      <c r="G64" s="71">
        <f>K50</f>
        <v>1719</v>
      </c>
      <c r="H64" s="71">
        <f>L50</f>
        <v>1391</v>
      </c>
      <c r="I64" s="71">
        <f>M50</f>
        <v>880</v>
      </c>
      <c r="J64" s="71">
        <f t="shared" ref="J64:J66" si="60">J63</f>
        <v>1349.7333333333333</v>
      </c>
      <c r="K64" s="60">
        <f t="shared" si="55"/>
        <v>1719</v>
      </c>
      <c r="L64" s="60">
        <f t="shared" si="50"/>
        <v>1391</v>
      </c>
      <c r="M64" s="60">
        <f t="shared" si="51"/>
        <v>880</v>
      </c>
      <c r="N64" s="59">
        <f ca="1">$M$79*($F$79*$G64+$G$79*$H64+$H$79*$I64)</f>
        <v>40.605114613582003</v>
      </c>
      <c r="O64" s="59">
        <f ca="1">$M$79*($F$80*$G64+$G$80*$H64+$H$80*$I64)</f>
        <v>39.960624919943392</v>
      </c>
      <c r="P64" s="59">
        <f ca="1">$M$79*($F$81*$G64+$G$81*$H64+$H$81*$I64)</f>
        <v>24.734972281449146</v>
      </c>
      <c r="Q64" s="58">
        <f t="shared" ca="1" si="56"/>
        <v>1.2145627749611254E-3</v>
      </c>
      <c r="R64" s="58">
        <f t="shared" ca="1" si="52"/>
        <v>-9.8437700141518203E-4</v>
      </c>
      <c r="S64" s="58">
        <f t="shared" ca="1" si="53"/>
        <v>-8.3529015909921123E-3</v>
      </c>
      <c r="T64" s="59">
        <f ca="1">($F$82*$G64+$G$82*$H64+$H$82*$I64)</f>
        <v>40.635417069623067</v>
      </c>
      <c r="U64" s="59">
        <f ca="1">($F$83*$G64+$G$83*$H64+$H$83*$I64)</f>
        <v>40.044179329036218</v>
      </c>
      <c r="V64" s="59">
        <f ca="1">($F$84*$G64+$G$84*$H64+$H$84*$I64)</f>
        <v>24.900924369551753</v>
      </c>
      <c r="W64" s="58">
        <f t="shared" ca="1" si="57"/>
        <v>1.9617410692447379E-3</v>
      </c>
      <c r="X64" s="58">
        <f t="shared" ca="1" si="58"/>
        <v>1.104483225905506E-3</v>
      </c>
      <c r="Y64" s="58">
        <f t="shared" ca="1" si="59"/>
        <v>-1.6997343761945283E-3</v>
      </c>
    </row>
    <row r="65" spans="2:25" s="71" customFormat="1" ht="17.25" customHeight="1">
      <c r="B65" s="60">
        <f ca="1">C30</f>
        <v>4885.9060402684554</v>
      </c>
      <c r="C65" s="71">
        <f>J53</f>
        <v>0</v>
      </c>
      <c r="D65" s="59">
        <f ca="1">D53</f>
        <v>39.332992446813535</v>
      </c>
      <c r="E65" s="59">
        <f ca="1">E53</f>
        <v>40</v>
      </c>
      <c r="F65" s="59">
        <f ca="1">F53</f>
        <v>33.603551820006963</v>
      </c>
      <c r="G65" s="71">
        <f>K53</f>
        <v>1554</v>
      </c>
      <c r="H65" s="71">
        <f>L53</f>
        <v>1407</v>
      </c>
      <c r="I65" s="71">
        <f>M53</f>
        <v>1008</v>
      </c>
      <c r="J65" s="71">
        <f t="shared" si="60"/>
        <v>1349.7333333333333</v>
      </c>
      <c r="K65" s="60">
        <f t="shared" si="55"/>
        <v>1554</v>
      </c>
      <c r="L65" s="60">
        <f t="shared" si="50"/>
        <v>1407</v>
      </c>
      <c r="M65" s="60">
        <f t="shared" si="51"/>
        <v>1008</v>
      </c>
      <c r="N65" s="59">
        <f ca="1">$M$79*($F$79*$G65+$G$79*$H65+$H$79*$I65)</f>
        <v>39.304431832346303</v>
      </c>
      <c r="O65" s="59">
        <f ca="1">$M$79*($F$80*$G65+$G$80*$H65+$H$80*$I65)</f>
        <v>40.078565122408428</v>
      </c>
      <c r="P65" s="59">
        <f ca="1">$M$79*($F$81*$G65+$G$81*$H65+$H$81*$I65)</f>
        <v>33.644898628516216</v>
      </c>
      <c r="Q65" s="58">
        <f t="shared" ca="1" si="56"/>
        <v>-7.261236099910251E-4</v>
      </c>
      <c r="R65" s="58">
        <f t="shared" ca="1" si="52"/>
        <v>1.9641280602107347E-3</v>
      </c>
      <c r="S65" s="58">
        <f t="shared" ca="1" si="53"/>
        <v>1.2304297096545902E-3</v>
      </c>
      <c r="T65" s="59">
        <f ca="1">($F$82*$G65+$G$82*$H65+$H$82*$I65)</f>
        <v>39.285652444454449</v>
      </c>
      <c r="U65" s="59">
        <f ca="1">($F$83*$G65+$G$83*$H65+$H$83*$I65)</f>
        <v>40.08813580176006</v>
      </c>
      <c r="V65" s="59">
        <f ca="1">($F$84*$G65+$G$84*$H65+$H$84*$I65)</f>
        <v>33.666891831615672</v>
      </c>
      <c r="W65" s="58">
        <f t="shared" ca="1" si="57"/>
        <v>-1.2035698128765038E-3</v>
      </c>
      <c r="X65" s="58">
        <f t="shared" ca="1" si="58"/>
        <v>2.203395044001466E-3</v>
      </c>
      <c r="Y65" s="58">
        <f t="shared" ca="1" si="59"/>
        <v>1.8849201402275639E-3</v>
      </c>
    </row>
    <row r="66" spans="2:25" s="71" customFormat="1" ht="17.25" customHeight="1">
      <c r="B66" s="60">
        <f>C31</f>
        <v>6500</v>
      </c>
      <c r="C66" s="71">
        <f>J56</f>
        <v>0</v>
      </c>
      <c r="D66" s="59">
        <f>D56</f>
        <v>38.743329192522438</v>
      </c>
      <c r="E66" s="59">
        <f>E56</f>
        <v>40</v>
      </c>
      <c r="F66" s="59">
        <f>F56</f>
        <v>44.84218091553204</v>
      </c>
      <c r="G66" s="71">
        <f>K56</f>
        <v>1440</v>
      </c>
      <c r="H66" s="71">
        <f>L56</f>
        <v>1429</v>
      </c>
      <c r="I66" s="71">
        <f>M56</f>
        <v>1182</v>
      </c>
      <c r="J66" s="71">
        <f t="shared" si="60"/>
        <v>1349.7333333333333</v>
      </c>
      <c r="K66" s="60">
        <f t="shared" si="55"/>
        <v>1440</v>
      </c>
      <c r="L66" s="60">
        <f t="shared" si="50"/>
        <v>1429</v>
      </c>
      <c r="M66" s="60">
        <f t="shared" si="51"/>
        <v>1182</v>
      </c>
      <c r="N66" s="59">
        <f ca="1">$M$79*($F$79*$G66+$G$79*$H66+$H$79*$I66)</f>
        <v>38.893930606144643</v>
      </c>
      <c r="O66" s="59">
        <f ca="1">$M$79*($F$80*$G66+$G$80*$H66+$H$80*$I66)</f>
        <v>40.195701976633387</v>
      </c>
      <c r="P66" s="59">
        <f ca="1">$M$79*($F$81*$G66+$G$81*$H66+$H$81*$I66)</f>
        <v>44.994627300348682</v>
      </c>
      <c r="Q66" s="58">
        <f t="shared" ca="1" si="56"/>
        <v>3.8871572670959864E-3</v>
      </c>
      <c r="R66" s="58">
        <f t="shared" ca="1" si="52"/>
        <v>4.8925494158347238E-3</v>
      </c>
      <c r="S66" s="58">
        <f t="shared" ca="1" si="53"/>
        <v>3.3996202170407663E-3</v>
      </c>
      <c r="T66" s="59">
        <f ca="1">($F$82*$G66+$G$82*$H66+$H$82*$I66)</f>
        <v>38.755137873552734</v>
      </c>
      <c r="U66" s="59">
        <f ca="1">($F$83*$G66+$G$83*$H66+$H$83*$I66)</f>
        <v>39.965146522006812</v>
      </c>
      <c r="V66" s="59">
        <f ca="1">($F$84*$G66+$G$84*$H66+$H$84*$I66)</f>
        <v>44.822094801610561</v>
      </c>
      <c r="W66" s="58">
        <f t="shared" ca="1" si="57"/>
        <v>3.0479262563143372E-4</v>
      </c>
      <c r="X66" s="58">
        <f t="shared" ca="1" si="58"/>
        <v>-8.713369498296597E-4</v>
      </c>
      <c r="Y66" s="58">
        <f t="shared" ca="1" si="59"/>
        <v>-4.4792901485579684E-4</v>
      </c>
    </row>
    <row r="67" spans="2:25" s="71" customFormat="1" ht="17.25" customHeight="1">
      <c r="B67" s="60">
        <f>B62</f>
        <v>2800</v>
      </c>
      <c r="C67" s="71">
        <f>J45</f>
        <v>1</v>
      </c>
      <c r="D67" s="59">
        <f>D45</f>
        <v>44.174558660631327</v>
      </c>
      <c r="E67" s="59">
        <f>E45</f>
        <v>40</v>
      </c>
      <c r="F67" s="59">
        <f>F45</f>
        <v>13.695966890806217</v>
      </c>
      <c r="G67" s="71">
        <f>K45</f>
        <v>77</v>
      </c>
      <c r="H67" s="71">
        <f>L45</f>
        <v>52</v>
      </c>
      <c r="I67" s="71">
        <f>M45</f>
        <v>28</v>
      </c>
      <c r="J67" s="71">
        <f>AVERAGE(G67:I71)</f>
        <v>50.6</v>
      </c>
      <c r="K67" s="60">
        <f t="shared" si="55"/>
        <v>2053.942028985507</v>
      </c>
      <c r="L67" s="60">
        <f t="shared" si="50"/>
        <v>1387.0777338603425</v>
      </c>
      <c r="M67" s="60">
        <f t="shared" si="51"/>
        <v>746.88801054018438</v>
      </c>
      <c r="N67" s="59">
        <f ca="1">$M$80*($F$79*$G67+$G$79*$H67+$H$79*$I67)</f>
        <v>44.108147775396354</v>
      </c>
      <c r="O67" s="59">
        <f ca="1">$M$80*($F$80*$G67+$G$80*$H67+$H$80*$I67)</f>
        <v>40.16408139301673</v>
      </c>
      <c r="P67" s="59">
        <f ca="1">$M$80*($F$81*$G67+$G$81*$H67+$H$81*$I67)</f>
        <v>14.177597978433049</v>
      </c>
      <c r="Q67" s="58">
        <f t="shared" ca="1" si="56"/>
        <v>-1.5033740516836591E-3</v>
      </c>
      <c r="R67" s="58">
        <f t="shared" ca="1" si="52"/>
        <v>4.1020348254181549E-3</v>
      </c>
      <c r="S67" s="58">
        <f t="shared" ca="1" si="53"/>
        <v>3.5165906245738565E-2</v>
      </c>
      <c r="T67" s="59">
        <f ca="1">($F$85*$G67+$G$85*$H67+$H$85*$I67)</f>
        <v>44.094275686143305</v>
      </c>
      <c r="U67" s="59">
        <f ca="1">($F$86*$G67+$G$86*$H67+$H$86*$I67)</f>
        <v>40.103701700116751</v>
      </c>
      <c r="V67" s="59">
        <f ca="1">($F$87*$G67+$G$87*$H67+$H$87*$I67)</f>
        <v>13.856956867286947</v>
      </c>
      <c r="W67" s="58">
        <f t="shared" ref="W67" ca="1" si="61">T67/D67-1</f>
        <v>-1.8174029785965606E-3</v>
      </c>
      <c r="X67" s="58">
        <f t="shared" ref="X67" ca="1" si="62">U67/E67-1</f>
        <v>2.5925425029187377E-3</v>
      </c>
      <c r="Y67" s="58">
        <f t="shared" ref="Y67" ca="1" si="63">V67/F67-1</f>
        <v>1.1754553567795201E-2</v>
      </c>
    </row>
    <row r="68" spans="2:25" ht="17.25" customHeight="1">
      <c r="B68" s="60">
        <f t="shared" ref="B68:B76" ca="1" si="64">B63</f>
        <v>3264.5739910313901</v>
      </c>
      <c r="C68" s="71">
        <f>J48</f>
        <v>1</v>
      </c>
      <c r="D68" s="59">
        <f ca="1">D48</f>
        <v>42.190560455576481</v>
      </c>
      <c r="E68" s="59">
        <f ca="1">E48</f>
        <v>40</v>
      </c>
      <c r="F68" s="59">
        <f ca="1">F48</f>
        <v>18.479081748336675</v>
      </c>
      <c r="G68" s="71">
        <f>K48</f>
        <v>71</v>
      </c>
      <c r="H68" s="71">
        <f>L48</f>
        <v>52</v>
      </c>
      <c r="I68" s="71">
        <f>M48</f>
        <v>30</v>
      </c>
      <c r="J68" s="71">
        <f t="shared" ref="J68:J71" si="65">J67</f>
        <v>50.6</v>
      </c>
      <c r="K68" s="60">
        <f t="shared" si="55"/>
        <v>1893.8945981554675</v>
      </c>
      <c r="L68" s="60">
        <f t="shared" si="50"/>
        <v>1387.0777338603425</v>
      </c>
      <c r="M68" s="60">
        <f t="shared" si="51"/>
        <v>800.23715415019763</v>
      </c>
      <c r="N68" s="59">
        <f ca="1">$M$80*($F$79*$G68+$G$79*$H68+$H$79*$I68)</f>
        <v>42.369393594566795</v>
      </c>
      <c r="O68" s="59">
        <f ca="1">$M$80*($F$80*$G68+$G$80*$H68+$H$80*$I68)</f>
        <v>40.044828368196427</v>
      </c>
      <c r="P68" s="59">
        <f ca="1">$M$80*($F$81*$G68+$G$81*$H68+$H$81*$I68)</f>
        <v>18.607122154577819</v>
      </c>
      <c r="Q68" s="58">
        <f t="shared" ca="1" si="56"/>
        <v>4.2387002461987677E-3</v>
      </c>
      <c r="R68" s="58">
        <f t="shared" ca="1" si="52"/>
        <v>1.120709204910586E-3</v>
      </c>
      <c r="S68" s="58">
        <f t="shared" ca="1" si="53"/>
        <v>6.9289377029067012E-3</v>
      </c>
      <c r="T68" s="59">
        <f ca="1">($F$85*$G68+$G$85*$H68+$H$85*$I68)</f>
        <v>42.368273574268869</v>
      </c>
      <c r="U68" s="59">
        <f ca="1">($F$86*$G68+$G$86*$H68+$H$86*$I68)</f>
        <v>39.956772126812872</v>
      </c>
      <c r="V68" s="59">
        <f ca="1">($F$87*$G68+$G$87*$H68+$H$87*$I68)</f>
        <v>18.345260681655866</v>
      </c>
      <c r="W68" s="58">
        <f t="shared" ref="W68:W72" ca="1" si="66">T68/D68-1</f>
        <v>4.2121535427221968E-3</v>
      </c>
      <c r="X68" s="58">
        <f t="shared" ref="X68:X72" ca="1" si="67">U68/E68-1</f>
        <v>-1.0806968296781516E-3</v>
      </c>
      <c r="Y68" s="58">
        <f t="shared" ref="Y68:Y72" ca="1" si="68">V68/F68-1</f>
        <v>-7.2417595475411378E-3</v>
      </c>
    </row>
    <row r="69" spans="2:25" s="71" customFormat="1" ht="17.25" customHeight="1">
      <c r="B69" s="60">
        <f t="shared" ca="1" si="64"/>
        <v>3913.9784946236555</v>
      </c>
      <c r="C69" s="71">
        <f>J51</f>
        <v>1</v>
      </c>
      <c r="D69" s="59">
        <f ca="1">D51</f>
        <v>40.555856979388189</v>
      </c>
      <c r="E69" s="59">
        <f ca="1">E51</f>
        <v>40</v>
      </c>
      <c r="F69" s="59">
        <f ca="1">F51</f>
        <v>24.943321390375441</v>
      </c>
      <c r="G69" s="71">
        <f>K51</f>
        <v>64</v>
      </c>
      <c r="H69" s="71">
        <f>L51</f>
        <v>52</v>
      </c>
      <c r="I69" s="71">
        <f>M51</f>
        <v>33</v>
      </c>
      <c r="J69" s="71">
        <f t="shared" si="65"/>
        <v>50.6</v>
      </c>
      <c r="K69" s="60">
        <f t="shared" si="55"/>
        <v>1707.1725955204215</v>
      </c>
      <c r="L69" s="60">
        <f t="shared" si="50"/>
        <v>1387.0777338603425</v>
      </c>
      <c r="M69" s="60">
        <f t="shared" si="51"/>
        <v>880.26086956521738</v>
      </c>
      <c r="N69" s="59">
        <f ca="1">$M$80*($F$79*$G69+$G$79*$H69+$H$79*$I69)</f>
        <v>40.416553854920508</v>
      </c>
      <c r="O69" s="59">
        <f ca="1">$M$80*($F$80*$G69+$G$80*$H69+$H$80*$I69)</f>
        <v>39.841238961587898</v>
      </c>
      <c r="P69" s="59">
        <f ca="1">$M$80*($F$81*$G69+$G$81*$H69+$H$81*$I69)</f>
        <v>24.88433529939962</v>
      </c>
      <c r="Q69" s="58">
        <f t="shared" ca="1" si="56"/>
        <v>-3.4348460331754538E-3</v>
      </c>
      <c r="R69" s="58">
        <f t="shared" ca="1" si="52"/>
        <v>-3.9690259603025746E-3</v>
      </c>
      <c r="S69" s="58">
        <f t="shared" ca="1" si="53"/>
        <v>-2.3648049933951976E-3</v>
      </c>
      <c r="T69" s="59">
        <f ca="1">($F$85*$G69+$G$85*$H69+$H$85*$I69)</f>
        <v>40.431888263117919</v>
      </c>
      <c r="U69" s="59">
        <f ca="1">($F$86*$G69+$G$86*$H69+$H$86*$I69)</f>
        <v>39.754031582720671</v>
      </c>
      <c r="V69" s="59">
        <f ca="1">($F$87*$G69+$G$87*$H69+$H$87*$I69)</f>
        <v>24.706873777549443</v>
      </c>
      <c r="W69" s="58">
        <f t="shared" ca="1" si="66"/>
        <v>-3.0567401481190748E-3</v>
      </c>
      <c r="X69" s="58">
        <f t="shared" ca="1" si="67"/>
        <v>-6.149210431983243E-3</v>
      </c>
      <c r="Y69" s="58">
        <f t="shared" ca="1" si="68"/>
        <v>-9.479395671710078E-3</v>
      </c>
    </row>
    <row r="70" spans="2:25" s="71" customFormat="1" ht="17.25" customHeight="1">
      <c r="B70" s="60">
        <f t="shared" ca="1" si="64"/>
        <v>4885.9060402684554</v>
      </c>
      <c r="C70" s="71">
        <f>J54</f>
        <v>1</v>
      </c>
      <c r="D70" s="59">
        <f ca="1">D54</f>
        <v>39.332992446813535</v>
      </c>
      <c r="E70" s="59">
        <f ca="1">E54</f>
        <v>40</v>
      </c>
      <c r="F70" s="59">
        <f ca="1">F54</f>
        <v>33.603551820006963</v>
      </c>
      <c r="G70" s="71">
        <f>K54</f>
        <v>58</v>
      </c>
      <c r="H70" s="71">
        <f>L54</f>
        <v>53</v>
      </c>
      <c r="I70" s="71">
        <f>M54</f>
        <v>38</v>
      </c>
      <c r="J70" s="71">
        <f t="shared" si="65"/>
        <v>50.6</v>
      </c>
      <c r="K70" s="60">
        <f t="shared" si="55"/>
        <v>1547.125164690382</v>
      </c>
      <c r="L70" s="60">
        <f t="shared" si="50"/>
        <v>1413.752305665349</v>
      </c>
      <c r="M70" s="60">
        <f t="shared" si="51"/>
        <v>1013.6337285902503</v>
      </c>
      <c r="N70" s="59">
        <f ca="1">$M$80*($F$79*$G70+$G$79*$H70+$H$79*$I70)</f>
        <v>39.320398333756444</v>
      </c>
      <c r="O70" s="59">
        <f ca="1">$M$80*($F$80*$G70+$G$80*$H70+$H$80*$I70)</f>
        <v>40.274657530132636</v>
      </c>
      <c r="P70" s="59">
        <f ca="1">$M$80*($F$81*$G70+$G$81*$H70+$H$81*$I70)</f>
        <v>33.954656041400384</v>
      </c>
      <c r="Q70" s="58">
        <f t="shared" ca="1" si="56"/>
        <v>-3.2019208998956827E-4</v>
      </c>
      <c r="R70" s="58">
        <f t="shared" ca="1" si="52"/>
        <v>6.8664382533158985E-3</v>
      </c>
      <c r="S70" s="58">
        <f t="shared" ca="1" si="53"/>
        <v>1.0448425906703696E-2</v>
      </c>
      <c r="T70" s="59">
        <f ca="1">($F$85*$G70+$G$85*$H70+$H$85*$I70)</f>
        <v>39.356020411312677</v>
      </c>
      <c r="U70" s="59">
        <f ca="1">($F$86*$G70+$G$86*$H70+$H$86*$I70)</f>
        <v>40.249603350642431</v>
      </c>
      <c r="V70" s="59">
        <f ca="1">($F$87*$G70+$G$87*$H70+$H$87*$I70)</f>
        <v>33.891024860151425</v>
      </c>
      <c r="W70" s="58">
        <f t="shared" ca="1" si="66"/>
        <v>5.854617985214805E-4</v>
      </c>
      <c r="X70" s="58">
        <f t="shared" ca="1" si="67"/>
        <v>6.2400837660607777E-3</v>
      </c>
      <c r="Y70" s="58">
        <f t="shared" ca="1" si="68"/>
        <v>8.554840919325235E-3</v>
      </c>
    </row>
    <row r="71" spans="2:25" s="71" customFormat="1" ht="17.25" customHeight="1">
      <c r="B71" s="60">
        <f t="shared" si="64"/>
        <v>6500</v>
      </c>
      <c r="C71" s="71">
        <f>J57</f>
        <v>1</v>
      </c>
      <c r="D71" s="59">
        <f>D57</f>
        <v>38.743329192522438</v>
      </c>
      <c r="E71" s="59">
        <f>E57</f>
        <v>40</v>
      </c>
      <c r="F71" s="59">
        <f>F57</f>
        <v>44.84218091553204</v>
      </c>
      <c r="G71" s="71">
        <f>K57</f>
        <v>54</v>
      </c>
      <c r="H71" s="71">
        <f>L57</f>
        <v>53</v>
      </c>
      <c r="I71" s="71">
        <f>M57</f>
        <v>44</v>
      </c>
      <c r="J71" s="71">
        <f t="shared" si="65"/>
        <v>50.6</v>
      </c>
      <c r="K71" s="60">
        <f t="shared" si="55"/>
        <v>1440.4268774703557</v>
      </c>
      <c r="L71" s="60">
        <f t="shared" si="50"/>
        <v>1413.752305665349</v>
      </c>
      <c r="M71" s="60">
        <f t="shared" si="51"/>
        <v>1173.6811594202898</v>
      </c>
      <c r="N71" s="59">
        <f ca="1">$M$80*($F$79*$G71+$G$79*$H71+$H$79*$I71)</f>
        <v>38.691176512454156</v>
      </c>
      <c r="O71" s="59">
        <f ca="1">$M$80*($F$80*$G71+$G$80*$H71+$H$80*$I71)</f>
        <v>39.743929370025178</v>
      </c>
      <c r="P71" s="59">
        <f ca="1">$M$80*($F$81*$G71+$G$81*$H71+$H$81*$I71)</f>
        <v>44.673716734067192</v>
      </c>
      <c r="Q71" s="58">
        <f t="shared" ca="1" si="56"/>
        <v>-1.3461073468706841E-3</v>
      </c>
      <c r="R71" s="58">
        <f t="shared" ca="1" si="52"/>
        <v>-6.4017657493705693E-3</v>
      </c>
      <c r="S71" s="58">
        <f t="shared" ca="1" si="53"/>
        <v>-3.7568239997555208E-3</v>
      </c>
      <c r="T71" s="59">
        <f ca="1">($F$85*$G71+$G$85*$H71+$H$85*$I71)</f>
        <v>38.746339072314314</v>
      </c>
      <c r="U71" s="59">
        <f ca="1">($F$86*$G71+$G$86*$H71+$H$86*$I71)</f>
        <v>39.932391341776118</v>
      </c>
      <c r="V71" s="59">
        <f ca="1">($F$87*$G71+$G$87*$H71+$H$87*$I71)</f>
        <v>44.760037923639615</v>
      </c>
      <c r="W71" s="58">
        <f t="shared" ca="1" si="66"/>
        <v>7.7687691135697179E-5</v>
      </c>
      <c r="X71" s="58">
        <f t="shared" ca="1" si="67"/>
        <v>-1.6902164555970822E-3</v>
      </c>
      <c r="Y71" s="58">
        <f t="shared" ca="1" si="68"/>
        <v>-1.8318241935456614E-3</v>
      </c>
    </row>
    <row r="72" spans="2:25" ht="17.25" customHeight="1">
      <c r="B72" s="60">
        <f t="shared" si="64"/>
        <v>2800</v>
      </c>
      <c r="C72" s="71">
        <f>J46</f>
        <v>2</v>
      </c>
      <c r="D72" s="59">
        <f t="shared" ref="D72:F72" si="69">D46</f>
        <v>44.174558660631327</v>
      </c>
      <c r="E72" s="59">
        <f t="shared" si="69"/>
        <v>40</v>
      </c>
      <c r="F72" s="59">
        <f t="shared" si="69"/>
        <v>13.695966890806217</v>
      </c>
      <c r="G72" s="71">
        <f>K46</f>
        <v>4354</v>
      </c>
      <c r="H72" s="71">
        <f>L46</f>
        <v>2920</v>
      </c>
      <c r="I72" s="71">
        <f>M46</f>
        <v>1560</v>
      </c>
      <c r="J72" s="71">
        <f>AVERAGE(G72:I76)</f>
        <v>2845.4666666666667</v>
      </c>
      <c r="K72" s="60">
        <f t="shared" si="55"/>
        <v>2065.298814488543</v>
      </c>
      <c r="L72" s="60">
        <f t="shared" si="50"/>
        <v>1385.0878590506536</v>
      </c>
      <c r="M72" s="60">
        <f t="shared" si="51"/>
        <v>739.97844524623963</v>
      </c>
      <c r="N72" s="59">
        <f ca="1">$M$81*($F$79*$G72+$G$79*$H72+$H$79*$I72)</f>
        <v>44.195705766409517</v>
      </c>
      <c r="O72" s="59">
        <f ca="1">$M$81*($F$80*$G72+$G$80*$H72+$H$80*$I72)</f>
        <v>40.121000082711177</v>
      </c>
      <c r="P72" s="59">
        <f ca="1">$M$81*($F$81*$G72+$G$81*$H72+$H$81*$I72)</f>
        <v>13.69462136413155</v>
      </c>
      <c r="Q72" s="58">
        <f t="shared" ca="1" si="56"/>
        <v>4.7871685466405189E-4</v>
      </c>
      <c r="R72" s="58">
        <f t="shared" ca="1" si="52"/>
        <v>3.0250020677793366E-3</v>
      </c>
      <c r="S72" s="58">
        <f t="shared" ca="1" si="53"/>
        <v>-9.8242547269200564E-5</v>
      </c>
      <c r="T72" s="59">
        <f ca="1">($F$88*$G72+$G$88*$H72+$H$88*$I72)</f>
        <v>44.182125126197093</v>
      </c>
      <c r="U72" s="59">
        <f ca="1">($F$89*$G72+$G$89*$H72+$H$89*$I72)</f>
        <v>40.151080271771868</v>
      </c>
      <c r="V72" s="59">
        <f ca="1">($F$90*$G72+$G$90*$H72+$H$90*$I72)</f>
        <v>13.656707315024128</v>
      </c>
      <c r="W72" s="58">
        <f t="shared" ca="1" si="66"/>
        <v>1.7128559503887253E-4</v>
      </c>
      <c r="X72" s="58">
        <f t="shared" ca="1" si="67"/>
        <v>3.7770067942966001E-3</v>
      </c>
      <c r="Y72" s="58">
        <f t="shared" ca="1" si="68"/>
        <v>-2.8665063295707505E-3</v>
      </c>
    </row>
    <row r="73" spans="2:25" ht="17.25" customHeight="1">
      <c r="B73" s="60">
        <f t="shared" ca="1" si="64"/>
        <v>3264.5739910313901</v>
      </c>
      <c r="C73" s="71">
        <f>J49</f>
        <v>2</v>
      </c>
      <c r="D73" s="59">
        <f ca="1">D49</f>
        <v>42.190560455576481</v>
      </c>
      <c r="E73" s="59">
        <f ca="1">E49</f>
        <v>40</v>
      </c>
      <c r="F73" s="59">
        <f ca="1">F49</f>
        <v>18.479081748336675</v>
      </c>
      <c r="G73" s="71">
        <f>K49</f>
        <v>3989</v>
      </c>
      <c r="H73" s="71">
        <f>L49</f>
        <v>2902</v>
      </c>
      <c r="I73" s="71">
        <f>M49</f>
        <v>1681</v>
      </c>
      <c r="J73" s="71">
        <f t="shared" ref="J73:J76" si="70">J72</f>
        <v>2845.4666666666667</v>
      </c>
      <c r="K73" s="60">
        <f t="shared" si="55"/>
        <v>1892.1628321072114</v>
      </c>
      <c r="L73" s="60">
        <f t="shared" si="50"/>
        <v>1376.5496462208894</v>
      </c>
      <c r="M73" s="60">
        <f t="shared" si="51"/>
        <v>797.37420926854406</v>
      </c>
      <c r="N73" s="59">
        <f ca="1">$M$81*($F$79*$G73+$G$79*$H73+$H$79*$I73)</f>
        <v>42.216771013491204</v>
      </c>
      <c r="O73" s="59">
        <f ca="1">$M$81*($F$80*$G73+$G$80*$H73+$H$80*$I73)</f>
        <v>39.723388113073653</v>
      </c>
      <c r="P73" s="59">
        <f ca="1">$M$81*($F$81*$G73+$G$81*$H73+$H$81*$I73)</f>
        <v>18.57922217608516</v>
      </c>
      <c r="Q73" s="58">
        <f t="shared" ca="1" si="56"/>
        <v>6.2124223124082611E-4</v>
      </c>
      <c r="R73" s="58">
        <f t="shared" ca="1" si="52"/>
        <v>-6.915297173158641E-3</v>
      </c>
      <c r="S73" s="58">
        <f t="shared" ca="1" si="53"/>
        <v>5.4191235859162301E-3</v>
      </c>
      <c r="T73" s="59">
        <f ca="1">($F$88*$G73+$G$88*$H73+$H$88*$I73)</f>
        <v>42.187968123844342</v>
      </c>
      <c r="U73" s="59">
        <f ca="1">($F$89*$G73+$G$89*$H73+$H$89*$I73)</f>
        <v>39.755306432321476</v>
      </c>
      <c r="V73" s="59">
        <f ca="1">($F$90*$G73+$G$90*$H73+$H$90*$I73)</f>
        <v>18.569751351112807</v>
      </c>
      <c r="W73" s="58">
        <f t="shared" ref="W73:W76" ca="1" si="71">T73/D73-1</f>
        <v>-6.1443405921735028E-5</v>
      </c>
      <c r="X73" s="58">
        <f t="shared" ref="X73:X76" ca="1" si="72">U73/E73-1</f>
        <v>-6.1173391919631115E-3</v>
      </c>
      <c r="Y73" s="58">
        <f t="shared" ref="Y73:Y76" ca="1" si="73">V73/F73-1</f>
        <v>4.9066075907311379E-3</v>
      </c>
    </row>
    <row r="74" spans="2:25" ht="17.25" customHeight="1">
      <c r="B74" s="60">
        <f t="shared" ca="1" si="64"/>
        <v>3913.9784946236555</v>
      </c>
      <c r="C74" s="71">
        <f>J52</f>
        <v>2</v>
      </c>
      <c r="D74" s="59">
        <f t="shared" ref="D74:F74" ca="1" si="74">D52</f>
        <v>40.555856979388189</v>
      </c>
      <c r="E74" s="59">
        <f t="shared" ca="1" si="74"/>
        <v>40</v>
      </c>
      <c r="F74" s="59">
        <f t="shared" ca="1" si="74"/>
        <v>24.943321390375441</v>
      </c>
      <c r="G74" s="71">
        <f>K52</f>
        <v>3616</v>
      </c>
      <c r="H74" s="71">
        <f>L52</f>
        <v>2935</v>
      </c>
      <c r="I74" s="71">
        <f>M52</f>
        <v>1858</v>
      </c>
      <c r="J74" s="71">
        <f t="shared" si="70"/>
        <v>2845.4666666666667</v>
      </c>
      <c r="K74" s="60">
        <f t="shared" si="55"/>
        <v>1715.2320884682067</v>
      </c>
      <c r="L74" s="60">
        <f t="shared" si="50"/>
        <v>1392.2030364087905</v>
      </c>
      <c r="M74" s="60">
        <f t="shared" si="51"/>
        <v>881.33330209455971</v>
      </c>
      <c r="N74" s="59">
        <f ca="1">$M$81*($F$79*$G74+$G$79*$H74+$H$79*$I74)</f>
        <v>40.578125921516659</v>
      </c>
      <c r="O74" s="59">
        <f ca="1">$M$81*($F$80*$G74+$G$80*$H74+$H$80*$I74)</f>
        <v>39.995545335695304</v>
      </c>
      <c r="P74" s="59">
        <f ca="1">$M$81*($F$81*$G74+$G$81*$H74+$H$81*$I74)</f>
        <v>24.828218645503675</v>
      </c>
      <c r="Q74" s="58">
        <f t="shared" ca="1" si="56"/>
        <v>5.4909312210527084E-4</v>
      </c>
      <c r="R74" s="58">
        <f t="shared" ca="1" si="52"/>
        <v>-1.1136660761734696E-4</v>
      </c>
      <c r="S74" s="58">
        <f t="shared" ca="1" si="53"/>
        <v>-4.6145716951784266E-3</v>
      </c>
      <c r="T74" s="59">
        <f ca="1">($F$88*$G74+$G$88*$H74+$H$88*$I74)</f>
        <v>40.528166487367187</v>
      </c>
      <c r="U74" s="59">
        <f ca="1">($F$89*$G74+$G$89*$H74+$H$89*$I74)</f>
        <v>40.030514087973671</v>
      </c>
      <c r="V74" s="59">
        <f ca="1">($F$90*$G74+$G$90*$H74+$H$90*$I74)</f>
        <v>24.853492773909394</v>
      </c>
      <c r="W74" s="58">
        <f t="shared" ca="1" si="71"/>
        <v>-6.8277418068307671E-4</v>
      </c>
      <c r="X74" s="58">
        <f t="shared" ca="1" si="72"/>
        <v>7.6285219934169035E-4</v>
      </c>
      <c r="Y74" s="58">
        <f t="shared" ca="1" si="73"/>
        <v>-3.6013093469062785E-3</v>
      </c>
    </row>
    <row r="75" spans="2:25" ht="17.25" customHeight="1">
      <c r="B75" s="60">
        <f t="shared" ca="1" si="64"/>
        <v>4885.9060402684554</v>
      </c>
      <c r="C75" s="71">
        <f>J55</f>
        <v>2</v>
      </c>
      <c r="D75" s="59">
        <f t="shared" ref="D75:F75" ca="1" si="75">D55</f>
        <v>39.332992446813535</v>
      </c>
      <c r="E75" s="59">
        <f t="shared" ca="1" si="75"/>
        <v>40</v>
      </c>
      <c r="F75" s="59">
        <f t="shared" ca="1" si="75"/>
        <v>33.603551820006963</v>
      </c>
      <c r="G75" s="71">
        <f>K55</f>
        <v>3290</v>
      </c>
      <c r="H75" s="71">
        <f>L55</f>
        <v>2965</v>
      </c>
      <c r="I75" s="71">
        <f>M55</f>
        <v>2125</v>
      </c>
      <c r="J75" s="71">
        <f t="shared" si="70"/>
        <v>2845.4666666666667</v>
      </c>
      <c r="K75" s="60">
        <f t="shared" si="55"/>
        <v>1560.595567218031</v>
      </c>
      <c r="L75" s="60">
        <f t="shared" si="50"/>
        <v>1406.4333911250644</v>
      </c>
      <c r="M75" s="60">
        <f t="shared" si="51"/>
        <v>1007.9834590693969</v>
      </c>
      <c r="N75" s="59">
        <f ca="1">$M$81*($F$79*$G75+$G$79*$H75+$H$79*$I75)</f>
        <v>39.378962057416814</v>
      </c>
      <c r="O75" s="59">
        <f ca="1">$M$81*($F$80*$G75+$G$80*$H75+$H$80*$I75)</f>
        <v>40.057668984101284</v>
      </c>
      <c r="P75" s="59">
        <f ca="1">$M$81*($F$81*$G75+$G$81*$H75+$H$81*$I75)</f>
        <v>33.605955161981093</v>
      </c>
      <c r="Q75" s="58">
        <f t="shared" ca="1" si="56"/>
        <v>1.1687290425572705E-3</v>
      </c>
      <c r="R75" s="58">
        <f t="shared" ca="1" si="52"/>
        <v>1.4417246025320019E-3</v>
      </c>
      <c r="S75" s="58">
        <f t="shared" ca="1" si="53"/>
        <v>7.1520474591579841E-5</v>
      </c>
      <c r="T75" s="59">
        <f ca="1">($F$88*$G75+$G$88*$H75+$H$88*$I75)</f>
        <v>39.367076268822629</v>
      </c>
      <c r="U75" s="59">
        <f ca="1">($F$89*$G75+$G$89*$H75+$H$89*$I75)</f>
        <v>40.089819867666058</v>
      </c>
      <c r="V75" s="59">
        <f ca="1">($F$90*$G75+$G$90*$H75+$H$90*$I75)</f>
        <v>33.663138459473195</v>
      </c>
      <c r="W75" s="58">
        <f t="shared" ca="1" si="71"/>
        <v>8.6654535769636887E-4</v>
      </c>
      <c r="X75" s="58">
        <f t="shared" ca="1" si="72"/>
        <v>2.2454966916514163E-3</v>
      </c>
      <c r="Y75" s="58">
        <f t="shared" ca="1" si="73"/>
        <v>1.7732244432195898E-3</v>
      </c>
    </row>
    <row r="76" spans="2:25" ht="17.25" customHeight="1">
      <c r="B76" s="60">
        <f t="shared" si="64"/>
        <v>6500</v>
      </c>
      <c r="C76" s="71">
        <f>J58</f>
        <v>2</v>
      </c>
      <c r="D76" s="59">
        <f t="shared" ref="D76:F76" si="76">D58</f>
        <v>38.743329192522438</v>
      </c>
      <c r="E76" s="59">
        <f t="shared" si="76"/>
        <v>40</v>
      </c>
      <c r="F76" s="59">
        <f t="shared" si="76"/>
        <v>44.84218091553204</v>
      </c>
      <c r="G76" s="71">
        <f>K58</f>
        <v>3016</v>
      </c>
      <c r="H76" s="71">
        <f>L58</f>
        <v>2994</v>
      </c>
      <c r="I76" s="71">
        <f>M58</f>
        <v>2477</v>
      </c>
      <c r="J76" s="71">
        <f t="shared" si="70"/>
        <v>2845.4666666666667</v>
      </c>
      <c r="K76" s="60">
        <f t="shared" si="55"/>
        <v>1430.62499414273</v>
      </c>
      <c r="L76" s="60">
        <f t="shared" si="50"/>
        <v>1420.1894006841292</v>
      </c>
      <c r="M76" s="60">
        <f t="shared" si="51"/>
        <v>1174.9529544070099</v>
      </c>
      <c r="N76" s="59">
        <f ca="1">$M$81*($F$79*$G76+$G$79*$H76+$H$79*$I76)</f>
        <v>38.649052306213079</v>
      </c>
      <c r="O76" s="59">
        <f ca="1">$M$81*($F$80*$G76+$G$80*$H76+$H$80*$I76)</f>
        <v>39.947230224189454</v>
      </c>
      <c r="P76" s="59">
        <f ca="1">$M$81*($F$81*$G76+$G$81*$H76+$H$81*$I76)</f>
        <v>44.73564056016312</v>
      </c>
      <c r="Q76" s="58">
        <f t="shared" ca="1" si="56"/>
        <v>-2.43337080922712E-3</v>
      </c>
      <c r="R76" s="58">
        <f t="shared" ca="1" si="52"/>
        <v>-1.3192443952636523E-3</v>
      </c>
      <c r="S76" s="58">
        <f t="shared" ca="1" si="53"/>
        <v>-2.3758959353383791E-3</v>
      </c>
      <c r="T76" s="59">
        <f ca="1">($F$88*$G76+$G$88*$H76+$H$88*$I76)</f>
        <v>38.731853550925663</v>
      </c>
      <c r="U76" s="59">
        <f ca="1">($F$89*$G76+$G$89*$H76+$H$89*$I76)</f>
        <v>39.970965792918086</v>
      </c>
      <c r="V76" s="59">
        <f ca="1">($F$90*$G76+$G$90*$H76+$H$90*$I76)</f>
        <v>44.821635617381652</v>
      </c>
      <c r="W76" s="58">
        <f t="shared" ca="1" si="71"/>
        <v>-2.9619657979695901E-4</v>
      </c>
      <c r="X76" s="58">
        <f t="shared" ca="1" si="72"/>
        <v>-7.2585517704781832E-4</v>
      </c>
      <c r="Y76" s="58">
        <f t="shared" ca="1" si="73"/>
        <v>-4.5816902146411653E-4</v>
      </c>
    </row>
    <row r="77" spans="2:25" s="71" customFormat="1" ht="17.25" customHeight="1">
      <c r="B77" s="60"/>
      <c r="D77" s="59"/>
      <c r="E77" s="59"/>
      <c r="F77" s="59"/>
      <c r="K77" s="60"/>
      <c r="L77" s="60"/>
      <c r="M77" s="60"/>
      <c r="N77" s="59"/>
      <c r="O77" s="59"/>
      <c r="P77" s="59"/>
      <c r="Q77" s="58"/>
      <c r="R77" s="58"/>
      <c r="S77" s="58"/>
      <c r="T77" s="59"/>
      <c r="U77" s="59"/>
      <c r="V77" s="59"/>
      <c r="W77" s="58"/>
      <c r="X77" s="58"/>
      <c r="Y77" s="58"/>
    </row>
    <row r="78" spans="2:25" ht="17.25" customHeight="1">
      <c r="B78" s="325" t="s">
        <v>40</v>
      </c>
      <c r="C78" s="325"/>
      <c r="D78" s="325"/>
      <c r="E78" s="314" t="s">
        <v>94</v>
      </c>
      <c r="F78" s="314"/>
      <c r="G78" s="314"/>
      <c r="H78" s="314"/>
      <c r="L78" s="66">
        <v>0</v>
      </c>
      <c r="M78" s="71" t="s">
        <v>90</v>
      </c>
      <c r="N78" s="71" t="s">
        <v>91</v>
      </c>
      <c r="O78" s="71" t="s">
        <v>92</v>
      </c>
      <c r="P78" s="66">
        <f ca="1">L78*AVERAGE(O79:O81)+(1-L78)*O79</f>
        <v>5.002377464704848</v>
      </c>
      <c r="S78" s="314" t="s">
        <v>93</v>
      </c>
      <c r="T78" s="314"/>
      <c r="U78" s="314"/>
      <c r="V78" s="314" t="str">
        <f>T60</f>
        <v>CCM per Range</v>
      </c>
      <c r="W78" s="314"/>
      <c r="X78" s="314"/>
    </row>
    <row r="79" spans="2:25" ht="17.25" customHeight="1">
      <c r="B79" s="100">
        <f t="array" aca="1" ref="B79:D79" ca="1">LINEST(D$62:D$76,K$62:M$76,FALSE)</f>
        <v>4.2572457324690383E-3</v>
      </c>
      <c r="C79" s="100">
        <f ca="1"/>
        <v>1.131857114429567E-2</v>
      </c>
      <c r="D79" s="100">
        <f ca="1"/>
        <v>1.228307498969981E-2</v>
      </c>
      <c r="E79" s="314" t="s">
        <v>89</v>
      </c>
      <c r="F79" s="106">
        <f ca="1">D79</f>
        <v>1.228307498969981E-2</v>
      </c>
      <c r="G79" s="106">
        <f ca="1">C79</f>
        <v>1.131857114429567E-2</v>
      </c>
      <c r="H79" s="106">
        <f ca="1">B79</f>
        <v>4.2572457324690383E-3</v>
      </c>
      <c r="L79" s="71" t="s">
        <v>35</v>
      </c>
      <c r="M79" s="106">
        <v>1</v>
      </c>
      <c r="N79" s="66">
        <v>375</v>
      </c>
      <c r="O79" s="66">
        <f ca="1">AVERAGE(U62:U66)/AVERAGE(H62:H66)/N79*65535</f>
        <v>5.002377464704848</v>
      </c>
      <c r="P79" s="58">
        <f ca="1">O79/P$78-1</f>
        <v>0</v>
      </c>
      <c r="R79" s="71" t="s">
        <v>0</v>
      </c>
      <c r="S79" s="71" t="s">
        <v>31</v>
      </c>
      <c r="T79" s="71" t="s">
        <v>32</v>
      </c>
      <c r="U79" s="71" t="s">
        <v>33</v>
      </c>
      <c r="V79" s="71" t="s">
        <v>28</v>
      </c>
      <c r="W79" s="71" t="s">
        <v>29</v>
      </c>
      <c r="X79" s="71" t="s">
        <v>30</v>
      </c>
    </row>
    <row r="80" spans="2:25" ht="17.25" customHeight="1" thickBot="1">
      <c r="B80" s="100">
        <f t="array" aca="1" ref="B80:D80" ca="1">LINEST(E$62:E$76,K$62:M$76,FALSE)</f>
        <v>-3.6248498076780155E-3</v>
      </c>
      <c r="C80" s="100">
        <f ca="1"/>
        <v>3.1593592165504954E-2</v>
      </c>
      <c r="D80" s="100">
        <f ca="1"/>
        <v>-4.6317274666512359E-4</v>
      </c>
      <c r="E80" s="314"/>
      <c r="F80" s="106">
        <f t="shared" ref="F80:F82" ca="1" si="77">D80</f>
        <v>-4.6317274666512359E-4</v>
      </c>
      <c r="G80" s="106">
        <f t="shared" ref="G80:G82" ca="1" si="78">C80</f>
        <v>3.1593592165504954E-2</v>
      </c>
      <c r="H80" s="106">
        <f t="shared" ref="H80:H82" ca="1" si="79">B80</f>
        <v>-3.6248498076780155E-3</v>
      </c>
      <c r="L80" s="71" t="s">
        <v>36</v>
      </c>
      <c r="M80" s="106">
        <f>M60/J67</f>
        <v>26.674571805006586</v>
      </c>
      <c r="N80" s="66">
        <v>10500</v>
      </c>
      <c r="O80" s="71">
        <f ca="1">AVERAGE(U67:U71)/AVERAGE(H67:H71)/N80*65535</f>
        <v>4.7643659157357625</v>
      </c>
      <c r="P80" s="58">
        <f ca="1">O80/P$78-1</f>
        <v>-4.7579685988995757E-2</v>
      </c>
      <c r="Q80" s="60">
        <f t="shared" ref="Q80:Q94" si="80">B62</f>
        <v>2800</v>
      </c>
      <c r="R80" s="66">
        <f t="shared" ref="R80:R94" si="81">C62</f>
        <v>0</v>
      </c>
      <c r="S80" s="66">
        <f t="shared" ref="S80:U84" si="82">$N$79*G62/65535</f>
        <v>11.816205081254292</v>
      </c>
      <c r="T80" s="71">
        <f t="shared" si="82"/>
        <v>7.9251544975967043</v>
      </c>
      <c r="U80" s="71">
        <f t="shared" si="82"/>
        <v>4.2057679102769514</v>
      </c>
      <c r="V80" s="59">
        <f ca="1">($I$82*$S80+$J$82*$T80+$K$82*$U80)</f>
        <v>44.195003221194966</v>
      </c>
      <c r="W80" s="59">
        <f ca="1">($I$83*$S80+$J$83*$T80+$K$83*$U80)</f>
        <v>40.141277743084814</v>
      </c>
      <c r="X80" s="59">
        <f ca="1">($I$84*$S80+$J$84*$T80+$K$84*$U80)</f>
        <v>13.728348312161913</v>
      </c>
    </row>
    <row r="81" spans="2:24" ht="17.25" customHeight="1" thickBot="1">
      <c r="B81" s="100">
        <f t="array" aca="1" ref="B81:D81" ca="1">LINEST(F$62:F$76,K$62:M$76,FALSE)</f>
        <v>6.2387221101221323E-2</v>
      </c>
      <c r="C81" s="100">
        <f ca="1"/>
        <v>-1.3183366677925967E-2</v>
      </c>
      <c r="D81" s="100">
        <f ca="1"/>
        <v>-6.8805812906518873E-3</v>
      </c>
      <c r="E81" s="314"/>
      <c r="F81" s="106">
        <f t="shared" ca="1" si="77"/>
        <v>-6.8805812906518873E-3</v>
      </c>
      <c r="G81" s="106">
        <f t="shared" ca="1" si="78"/>
        <v>-1.3183366677925967E-2</v>
      </c>
      <c r="H81" s="106">
        <f t="shared" ca="1" si="79"/>
        <v>6.2387221101221323E-2</v>
      </c>
      <c r="I81" s="316" t="s">
        <v>95</v>
      </c>
      <c r="J81" s="317"/>
      <c r="K81" s="318"/>
      <c r="L81" s="71" t="s">
        <v>54</v>
      </c>
      <c r="M81" s="106">
        <f>M60/J72</f>
        <v>0.47434515720912795</v>
      </c>
      <c r="N81" s="66">
        <v>155</v>
      </c>
      <c r="O81" s="71">
        <f ca="1">AVERAGE(U72:U76)/AVERAGE(H72:H76)/N81*65535</f>
        <v>5.7461478757702791</v>
      </c>
      <c r="P81" s="58">
        <f ca="1">O81/P$78-1</f>
        <v>0.14868338431340566</v>
      </c>
      <c r="Q81" s="60">
        <f t="shared" ca="1" si="80"/>
        <v>3264.5739910313901</v>
      </c>
      <c r="R81" s="71">
        <f t="shared" si="81"/>
        <v>0</v>
      </c>
      <c r="S81" s="71">
        <f t="shared" si="82"/>
        <v>10.791943236438545</v>
      </c>
      <c r="T81" s="71">
        <f t="shared" si="82"/>
        <v>7.8679331654840921</v>
      </c>
      <c r="U81" s="71">
        <f t="shared" si="82"/>
        <v>4.5204852368963149</v>
      </c>
      <c r="V81" s="59">
        <f ca="1">($I$82*$S81+$J$82*$T81+$K$82*$U81)</f>
        <v>42.125650620107045</v>
      </c>
      <c r="W81" s="59">
        <f ca="1">($I$83*$S81+$J$83*$T81+$K$83*$U81)</f>
        <v>39.759036673537452</v>
      </c>
      <c r="X81" s="59">
        <f ca="1">($I$84*$S81+$J$84*$T81+$K$84*$U81)</f>
        <v>18.445416037681056</v>
      </c>
    </row>
    <row r="82" spans="2:24" ht="17.25" customHeight="1">
      <c r="B82" s="100">
        <f t="array" aca="1" ref="B82:D82" ca="1">LINEST(D$62:D$66,G$62:I$66,FALSE)</f>
        <v>3.07566677169069E-3</v>
      </c>
      <c r="C82" s="100">
        <f ca="1"/>
        <v>1.2688814832618673E-2</v>
      </c>
      <c r="D82" s="100">
        <f ca="1"/>
        <v>1.1796793995557118E-2</v>
      </c>
      <c r="E82" s="314">
        <v>0</v>
      </c>
      <c r="F82" s="71">
        <f t="shared" ca="1" si="77"/>
        <v>1.1796793995557118E-2</v>
      </c>
      <c r="G82" s="71">
        <f t="shared" ca="1" si="78"/>
        <v>1.2688814832618673E-2</v>
      </c>
      <c r="H82" s="71">
        <f t="shared" ca="1" si="79"/>
        <v>3.07566677169069E-3</v>
      </c>
      <c r="I82" s="78">
        <f t="shared" ref="I82:K84" ca="1" si="83">F82*65535/$N$79</f>
        <v>2.061607718663562</v>
      </c>
      <c r="J82" s="82">
        <f t="shared" ca="1" si="83"/>
        <v>2.2174972801484394</v>
      </c>
      <c r="K82" s="107">
        <f t="shared" ca="1" si="83"/>
        <v>0.53750352502066501</v>
      </c>
      <c r="M82" s="43" t="str">
        <f>linefmt("Compensation",0)</f>
        <v>0,</v>
      </c>
      <c r="N82" s="43"/>
      <c r="O82" s="43"/>
      <c r="P82" s="43"/>
      <c r="Q82" s="60">
        <f t="shared" ca="1" si="80"/>
        <v>3913.9784946236555</v>
      </c>
      <c r="R82" s="71">
        <f t="shared" si="81"/>
        <v>0</v>
      </c>
      <c r="S82" s="71">
        <f t="shared" si="82"/>
        <v>9.8363469901579315</v>
      </c>
      <c r="T82" s="71">
        <f t="shared" si="82"/>
        <v>7.9594872968642711</v>
      </c>
      <c r="U82" s="71">
        <f t="shared" si="82"/>
        <v>5.0354772259098191</v>
      </c>
      <c r="V82" s="59">
        <f ca="1">($I$82*$S82+$J$82*$T82+$K$82*$U82)</f>
        <v>40.635417069623067</v>
      </c>
      <c r="W82" s="59">
        <f ca="1">($I$83*$S82+$J$83*$T82+$K$83*$U82)</f>
        <v>40.044179329036233</v>
      </c>
      <c r="X82" s="59">
        <f ca="1">($I$84*$S82+$J$84*$T82+$K$84*$U82)</f>
        <v>24.900924369551753</v>
      </c>
    </row>
    <row r="83" spans="2:24" ht="17.25" customHeight="1">
      <c r="B83" s="100">
        <f t="array" aca="1" ref="B83:D83" ca="1">LINEST(E$62:E$66,G$62:I$66,FALSE)</f>
        <v>-6.2556411858672879E-3</v>
      </c>
      <c r="C83" s="100">
        <f ca="1"/>
        <v>3.4890848954746242E-2</v>
      </c>
      <c r="D83" s="100">
        <f ca="1"/>
        <v>-1.7359088559933584E-3</v>
      </c>
      <c r="E83" s="314"/>
      <c r="F83" s="71">
        <f t="shared" ref="F83:F90" ca="1" si="84">D83</f>
        <v>-1.7359088559933584E-3</v>
      </c>
      <c r="G83" s="71">
        <f t="shared" ref="G83:G90" ca="1" si="85">C83</f>
        <v>3.4890848954746242E-2</v>
      </c>
      <c r="H83" s="71">
        <f t="shared" ref="H83:H90" ca="1" si="86">B83</f>
        <v>-6.2556411858672879E-3</v>
      </c>
      <c r="I83" s="85">
        <f t="shared" ca="1" si="83"/>
        <v>-0.3033674316733993</v>
      </c>
      <c r="J83" s="89">
        <f t="shared" ca="1" si="83"/>
        <v>6.097524763331454</v>
      </c>
      <c r="K83" s="108">
        <f t="shared" ca="1" si="83"/>
        <v>-1.0932358536421671</v>
      </c>
      <c r="M83" s="43" t="str">
        <f>linefmt("CardGain",1,1,1)</f>
        <v>1,1,1,</v>
      </c>
      <c r="N83" s="43"/>
      <c r="O83" s="43"/>
      <c r="P83" s="43"/>
      <c r="Q83" s="60">
        <f t="shared" ca="1" si="80"/>
        <v>4885.9060402684554</v>
      </c>
      <c r="R83" s="71">
        <f t="shared" si="81"/>
        <v>0</v>
      </c>
      <c r="S83" s="71">
        <f t="shared" si="82"/>
        <v>8.8921950102998402</v>
      </c>
      <c r="T83" s="71">
        <f t="shared" si="82"/>
        <v>8.0510414282444493</v>
      </c>
      <c r="U83" s="71">
        <f t="shared" si="82"/>
        <v>5.7679102769512474</v>
      </c>
      <c r="V83" s="59">
        <f ca="1">($I$82*$S83+$J$82*$T83+$K$82*$U83)</f>
        <v>39.285652444454449</v>
      </c>
      <c r="W83" s="59">
        <f ca="1">($I$83*$S83+$J$83*$T83+$K$83*$U83)</f>
        <v>40.08813580176006</v>
      </c>
      <c r="X83" s="59">
        <f ca="1">($I$84*$S83+$J$84*$T83+$K$84*$U83)</f>
        <v>33.666891831615665</v>
      </c>
    </row>
    <row r="84" spans="2:24" ht="17.25" customHeight="1" thickBot="1">
      <c r="B84" s="100">
        <f t="array" aca="1" ref="B84:D84" ca="1">LINEST(F$62:F$66,G$62:I$66,FALSE)</f>
        <v>6.116323971379397E-2</v>
      </c>
      <c r="C84" s="100">
        <f ca="1"/>
        <v>-1.2300342694059533E-2</v>
      </c>
      <c r="D84" s="100">
        <f ca="1"/>
        <v>-6.8719894654741889E-3</v>
      </c>
      <c r="E84" s="314"/>
      <c r="F84" s="71">
        <f t="shared" ca="1" si="84"/>
        <v>-6.8719894654741889E-3</v>
      </c>
      <c r="G84" s="71">
        <f t="shared" ca="1" si="85"/>
        <v>-1.2300342694059533E-2</v>
      </c>
      <c r="H84" s="71">
        <f t="shared" ca="1" si="86"/>
        <v>6.116323971379397E-2</v>
      </c>
      <c r="I84" s="110">
        <f t="shared" ca="1" si="83"/>
        <v>-1.2009488789862692</v>
      </c>
      <c r="J84" s="111">
        <f t="shared" ca="1" si="83"/>
        <v>-2.1496078892138439</v>
      </c>
      <c r="K84" s="112">
        <f t="shared" ca="1" si="83"/>
        <v>10.688887772382634</v>
      </c>
      <c r="M84" s="43" t="str">
        <f ca="1">linefmt("Range",1-P79,1-P80,1-P81)</f>
        <v>1,1.04758,0.8513166,</v>
      </c>
      <c r="N84" s="43"/>
      <c r="O84" s="43"/>
      <c r="P84" s="43"/>
      <c r="Q84" s="60">
        <f t="shared" si="80"/>
        <v>6500</v>
      </c>
      <c r="R84" s="71">
        <f t="shared" si="81"/>
        <v>0</v>
      </c>
      <c r="S84" s="71">
        <f t="shared" si="82"/>
        <v>8.2398718242160669</v>
      </c>
      <c r="T84" s="71">
        <f t="shared" si="82"/>
        <v>8.1769283588921944</v>
      </c>
      <c r="U84" s="71">
        <f t="shared" si="82"/>
        <v>6.7635614557106889</v>
      </c>
      <c r="V84" s="59">
        <f ca="1">($I$82*$S84+$J$82*$T84+$K$82*$U84)</f>
        <v>38.755137873552727</v>
      </c>
      <c r="W84" s="59">
        <f ca="1">($I$83*$S84+$J$83*$T84+$K$83*$U84)</f>
        <v>39.965146522006819</v>
      </c>
      <c r="X84" s="59">
        <f ca="1">($I$84*$S84+$J$84*$T84+$K$84*$U84)</f>
        <v>44.822094801610568</v>
      </c>
    </row>
    <row r="85" spans="2:24" ht="17.25" customHeight="1">
      <c r="B85" s="100">
        <f t="array" aca="1" ref="B85:D85" ca="1">LINEST(D$67:D$71,G$67:I$71,FALSE)</f>
        <v>0.11592572905384144</v>
      </c>
      <c r="C85" s="100">
        <f ca="1"/>
        <v>0.30235707290766484</v>
      </c>
      <c r="D85" s="100">
        <f ca="1"/>
        <v>0.32630892833035291</v>
      </c>
      <c r="E85" s="314">
        <f>E82+1</f>
        <v>1</v>
      </c>
      <c r="F85" s="71">
        <f t="shared" ca="1" si="84"/>
        <v>0.32630892833035291</v>
      </c>
      <c r="G85" s="71">
        <f t="shared" ca="1" si="85"/>
        <v>0.30235707290766484</v>
      </c>
      <c r="H85" s="71">
        <f t="shared" ca="1" si="86"/>
        <v>0.11592572905384144</v>
      </c>
      <c r="I85" s="78">
        <f t="shared" ref="I85:K87" ca="1" si="87">F85*65535/$N$80</f>
        <v>2.0366338683933027</v>
      </c>
      <c r="J85" s="82">
        <f t="shared" ca="1" si="87"/>
        <v>1.8871400736194108</v>
      </c>
      <c r="K85" s="107">
        <f t="shared" ca="1" si="87"/>
        <v>0.72354215748033324</v>
      </c>
      <c r="M85" s="43" t="str">
        <f>linefmt("CCM" )</f>
        <v/>
      </c>
      <c r="N85" s="43"/>
      <c r="O85" s="43"/>
      <c r="P85" s="43"/>
      <c r="Q85" s="60">
        <f t="shared" si="80"/>
        <v>2800</v>
      </c>
      <c r="R85" s="71">
        <f t="shared" si="81"/>
        <v>1</v>
      </c>
      <c r="S85" s="71">
        <f t="shared" ref="S85:U89" si="88">$N$80*G67/65535</f>
        <v>12.336919203479058</v>
      </c>
      <c r="T85" s="71">
        <f t="shared" si="88"/>
        <v>8.3314259555962469</v>
      </c>
      <c r="U85" s="71">
        <f t="shared" si="88"/>
        <v>4.486152437628748</v>
      </c>
      <c r="V85" s="59">
        <f ca="1">($I$85*$S85+$J$85*$T85+$K$85*$U85)</f>
        <v>44.094275686143305</v>
      </c>
      <c r="W85" s="59">
        <f ca="1">($I$86*$S85+$J$86*$T85+$K$86*$U85)</f>
        <v>40.103701700116758</v>
      </c>
      <c r="X85" s="59">
        <f ca="1">($I$87*$S85+$J$87*$T85+$K$87*$U85)</f>
        <v>13.856956867286939</v>
      </c>
    </row>
    <row r="86" spans="2:24" ht="17.25" customHeight="1">
      <c r="B86" s="100">
        <f t="array" aca="1" ref="B86:D86" ca="1">LINEST(E$67:E$71,G$67:I$71,FALSE)</f>
        <v>-4.6984062856513159E-2</v>
      </c>
      <c r="C86" s="100">
        <f ca="1"/>
        <v>0.78345352979518856</v>
      </c>
      <c r="D86" s="100">
        <f ca="1"/>
        <v>8.8269079318093659E-3</v>
      </c>
      <c r="E86" s="314"/>
      <c r="F86" s="71">
        <f t="shared" ca="1" si="84"/>
        <v>8.8269079318093659E-3</v>
      </c>
      <c r="G86" s="71">
        <f t="shared" ca="1" si="85"/>
        <v>0.78345352979518856</v>
      </c>
      <c r="H86" s="71">
        <f t="shared" ca="1" si="86"/>
        <v>-4.6984062856513159E-2</v>
      </c>
      <c r="I86" s="85">
        <f t="shared" ca="1" si="87"/>
        <v>5.5092515362964452E-2</v>
      </c>
      <c r="J86" s="89">
        <f t="shared" ca="1" si="87"/>
        <v>4.8898692452502557</v>
      </c>
      <c r="K86" s="108">
        <f t="shared" ca="1" si="87"/>
        <v>-0.2932476723144371</v>
      </c>
      <c r="M86" s="43" t="str">
        <f t="shared" ref="M86:M94" ca="1" si="89">linefmt("",I82,J82,K82)</f>
        <v>2.061608,2.217497,0.5375035,</v>
      </c>
      <c r="N86" s="43"/>
      <c r="O86" s="43"/>
      <c r="P86" s="43"/>
      <c r="Q86" s="60">
        <f t="shared" ca="1" si="80"/>
        <v>3264.5739910313901</v>
      </c>
      <c r="R86" s="71">
        <f t="shared" si="81"/>
        <v>1</v>
      </c>
      <c r="S86" s="71">
        <f t="shared" si="88"/>
        <v>11.375600823987183</v>
      </c>
      <c r="T86" s="71">
        <f t="shared" si="88"/>
        <v>8.3314259555962469</v>
      </c>
      <c r="U86" s="71">
        <f t="shared" si="88"/>
        <v>4.8065918974593727</v>
      </c>
      <c r="V86" s="59">
        <f ca="1">($I$85*$S86+$J$85*$T86+$K$85*$U86)</f>
        <v>42.368273574268876</v>
      </c>
      <c r="W86" s="59">
        <f ca="1">($I$86*$S86+$J$86*$T86+$K$86*$U86)</f>
        <v>39.956772126812879</v>
      </c>
      <c r="X86" s="59">
        <f ca="1">($I$87*$S86+$J$87*$T86+$K$87*$U86)</f>
        <v>18.345260681655851</v>
      </c>
    </row>
    <row r="87" spans="2:24" ht="17.25" customHeight="1" thickBot="1">
      <c r="B87" s="100">
        <f t="array" aca="1" ref="B87:D87" ca="1">LINEST(F$67:F$71,G$67:I$71,FALSE)</f>
        <v>1.6878879686947681</v>
      </c>
      <c r="C87" s="100">
        <f ca="1"/>
        <v>-0.36781663785124064</v>
      </c>
      <c r="D87" s="100">
        <f ca="1"/>
        <v>-0.18542131282989671</v>
      </c>
      <c r="E87" s="314"/>
      <c r="F87" s="71">
        <f t="shared" ca="1" si="84"/>
        <v>-0.18542131282989671</v>
      </c>
      <c r="G87" s="71">
        <f t="shared" ca="1" si="85"/>
        <v>-0.36781663785124064</v>
      </c>
      <c r="H87" s="71">
        <f t="shared" ca="1" si="86"/>
        <v>1.6878879686947681</v>
      </c>
      <c r="I87" s="92">
        <f t="shared" ca="1" si="87"/>
        <v>-1.1572938796483125</v>
      </c>
      <c r="J87" s="93">
        <f t="shared" ca="1" si="87"/>
        <v>-2.2957012725315291</v>
      </c>
      <c r="K87" s="109">
        <f t="shared" ca="1" si="87"/>
        <v>10.534832193182059</v>
      </c>
      <c r="M87" s="43" t="str">
        <f t="shared" ca="1" si="89"/>
        <v>-0.3033674,6.097525,-1.093236,</v>
      </c>
      <c r="N87" s="43"/>
      <c r="O87" s="43"/>
      <c r="P87" s="43"/>
      <c r="Q87" s="60">
        <f t="shared" ca="1" si="80"/>
        <v>3913.9784946236555</v>
      </c>
      <c r="R87" s="71">
        <f t="shared" si="81"/>
        <v>1</v>
      </c>
      <c r="S87" s="71">
        <f t="shared" si="88"/>
        <v>10.254062714579996</v>
      </c>
      <c r="T87" s="71">
        <f t="shared" si="88"/>
        <v>8.3314259555962469</v>
      </c>
      <c r="U87" s="71">
        <f t="shared" si="88"/>
        <v>5.28725108720531</v>
      </c>
      <c r="V87" s="59">
        <f ca="1">($I$85*$S87+$J$85*$T87+$K$85*$U87)</f>
        <v>40.431888263117926</v>
      </c>
      <c r="W87" s="59">
        <f ca="1">($I$86*$S87+$J$86*$T87+$K$86*$U87)</f>
        <v>39.754031582720678</v>
      </c>
      <c r="X87" s="59">
        <f ca="1">($I$87*$S87+$J$87*$T87+$K$87*$U87)</f>
        <v>24.706873777549433</v>
      </c>
    </row>
    <row r="88" spans="2:24" ht="17.25" customHeight="1">
      <c r="B88" s="100">
        <f t="array" aca="1" ref="B88:D88" ca="1">LINEST(D$72:D$76,G$72:I$76,FALSE)</f>
        <v>2.5296665373945701E-3</v>
      </c>
      <c r="C88" s="100">
        <f ca="1"/>
        <v>4.7302786794215521E-3</v>
      </c>
      <c r="D88" s="100">
        <f ca="1"/>
        <v>6.068771608624398E-3</v>
      </c>
      <c r="E88" s="314">
        <f>E85+1</f>
        <v>2</v>
      </c>
      <c r="F88" s="71">
        <f t="shared" ca="1" si="84"/>
        <v>6.068771608624398E-3</v>
      </c>
      <c r="G88" s="71">
        <f t="shared" ca="1" si="85"/>
        <v>4.7302786794215521E-3</v>
      </c>
      <c r="H88" s="71">
        <f t="shared" ca="1" si="86"/>
        <v>2.5296665373945701E-3</v>
      </c>
      <c r="I88" s="113">
        <f t="shared" ref="I88:K90" ca="1" si="90">F88*65535/$N$81</f>
        <v>2.5659157894916125</v>
      </c>
      <c r="J88" s="114">
        <f t="shared" ca="1" si="90"/>
        <v>1.9999923435863964</v>
      </c>
      <c r="K88" s="115">
        <f t="shared" ca="1" si="90"/>
        <v>1.0695593324396979</v>
      </c>
      <c r="M88" s="43" t="str">
        <f t="shared" ca="1" si="89"/>
        <v>-1.200949,-2.149608,10.68889,</v>
      </c>
      <c r="N88" s="43"/>
      <c r="O88" s="43"/>
      <c r="P88" s="43"/>
      <c r="Q88" s="60">
        <f t="shared" ca="1" si="80"/>
        <v>4885.9060402684554</v>
      </c>
      <c r="R88" s="71">
        <f t="shared" si="81"/>
        <v>1</v>
      </c>
      <c r="S88" s="71">
        <f t="shared" si="88"/>
        <v>9.2927443350881216</v>
      </c>
      <c r="T88" s="71">
        <f t="shared" si="88"/>
        <v>8.4916456855115587</v>
      </c>
      <c r="U88" s="71">
        <f t="shared" si="88"/>
        <v>6.088349736781872</v>
      </c>
      <c r="V88" s="59">
        <f ca="1">($I$85*$S88+$J$85*$T88+$K$85*$U88)</f>
        <v>39.356020411312677</v>
      </c>
      <c r="W88" s="59">
        <f ca="1">($I$86*$S88+$J$86*$T88+$K$86*$U88)</f>
        <v>40.249603350642438</v>
      </c>
      <c r="X88" s="59">
        <f ca="1">($I$87*$S88+$J$87*$T88+$K$87*$U88)</f>
        <v>33.891024860151404</v>
      </c>
    </row>
    <row r="89" spans="2:24" ht="17.25" customHeight="1">
      <c r="B89" s="100">
        <f t="array" aca="1" ref="B89:D89" ca="1">LINEST(E$72:E$76,G$72:I$76,FALSE)</f>
        <v>-1.7690276560977823E-3</v>
      </c>
      <c r="C89" s="100">
        <f ca="1"/>
        <v>1.5060554557683611E-2</v>
      </c>
      <c r="D89" s="100">
        <f ca="1"/>
        <v>-2.4484517527600789E-4</v>
      </c>
      <c r="E89" s="314"/>
      <c r="F89" s="71">
        <f t="shared" ca="1" si="84"/>
        <v>-2.4484517527600789E-4</v>
      </c>
      <c r="G89" s="71">
        <f t="shared" ca="1" si="85"/>
        <v>1.5060554557683611E-2</v>
      </c>
      <c r="H89" s="71">
        <f t="shared" ca="1" si="86"/>
        <v>-1.7690276560977823E-3</v>
      </c>
      <c r="I89" s="85">
        <f t="shared" ca="1" si="90"/>
        <v>-0.10352211975298822</v>
      </c>
      <c r="J89" s="89">
        <f t="shared" ca="1" si="90"/>
        <v>6.3676996318567456</v>
      </c>
      <c r="K89" s="108">
        <f t="shared" ca="1" si="90"/>
        <v>-0.74795630607979458</v>
      </c>
      <c r="M89" s="43" t="str">
        <f t="shared" ca="1" si="89"/>
        <v>2.036634,1.88714,0.7235422,</v>
      </c>
      <c r="N89" s="43"/>
      <c r="O89" s="43"/>
      <c r="P89" s="43"/>
      <c r="Q89" s="60">
        <f t="shared" si="80"/>
        <v>6500</v>
      </c>
      <c r="R89" s="71">
        <f t="shared" si="81"/>
        <v>1</v>
      </c>
      <c r="S89" s="71">
        <f t="shared" si="88"/>
        <v>8.6518654154268706</v>
      </c>
      <c r="T89" s="71">
        <f t="shared" si="88"/>
        <v>8.4916456855115587</v>
      </c>
      <c r="U89" s="71">
        <f t="shared" si="88"/>
        <v>7.0496681162737467</v>
      </c>
      <c r="V89" s="59">
        <f ca="1">($I$85*$S89+$J$85*$T89+$K$85*$U89)</f>
        <v>38.746339072314314</v>
      </c>
      <c r="W89" s="59">
        <f ca="1">($I$86*$S89+$J$86*$T89+$K$86*$U89)</f>
        <v>39.932391341776125</v>
      </c>
      <c r="X89" s="59">
        <f ca="1">($I$87*$S89+$J$87*$T89+$K$87*$U89)</f>
        <v>44.760037923639615</v>
      </c>
    </row>
    <row r="90" spans="2:24" ht="17.25" customHeight="1" thickBot="1">
      <c r="B90" s="100">
        <f t="array" aca="1" ref="B90:D90" ca="1">LINEST(F$72:F$76,G$72:I$76,FALSE)</f>
        <v>2.9605806134086282E-2</v>
      </c>
      <c r="C90" s="100">
        <f ca="1"/>
        <v>-6.156195062809686E-3</v>
      </c>
      <c r="D90" s="100">
        <f ca="1"/>
        <v>-3.3422739252977011E-3</v>
      </c>
      <c r="E90" s="314"/>
      <c r="F90" s="71">
        <f t="shared" ca="1" si="84"/>
        <v>-3.3422739252977011E-3</v>
      </c>
      <c r="G90" s="71">
        <f t="shared" ca="1" si="85"/>
        <v>-6.156195062809686E-3</v>
      </c>
      <c r="H90" s="71">
        <f t="shared" ca="1" si="86"/>
        <v>2.9605806134086282E-2</v>
      </c>
      <c r="I90" s="92">
        <f t="shared" ca="1" si="90"/>
        <v>-1.4131349786734506</v>
      </c>
      <c r="J90" s="93">
        <f t="shared" ca="1" si="90"/>
        <v>-2.602878989943437</v>
      </c>
      <c r="K90" s="109">
        <f t="shared" ca="1" si="90"/>
        <v>12.517525838692546</v>
      </c>
      <c r="M90" s="43" t="str">
        <f t="shared" ca="1" si="89"/>
        <v>5.509251E-02,4.889869,-0.2932477,</v>
      </c>
      <c r="N90" s="43"/>
      <c r="O90" s="43"/>
      <c r="P90" s="43"/>
      <c r="Q90" s="60">
        <f t="shared" si="80"/>
        <v>2800</v>
      </c>
      <c r="R90" s="71">
        <f t="shared" si="81"/>
        <v>2</v>
      </c>
      <c r="S90" s="71">
        <f t="shared" ref="S90:U94" si="91">$N$81*G72/65535</f>
        <v>10.297856107423515</v>
      </c>
      <c r="T90" s="71">
        <f t="shared" si="91"/>
        <v>6.9062333104448008</v>
      </c>
      <c r="U90" s="71">
        <f t="shared" si="91"/>
        <v>3.689631494621195</v>
      </c>
      <c r="V90" s="59">
        <f ca="1">($I$88*$S90+$J$88*$T90+$K$88*$U90)</f>
        <v>44.1821251261971</v>
      </c>
      <c r="W90" s="59">
        <f ca="1">($I$89*$S90+$J$89*$T90+$K$89*$U90)</f>
        <v>40.151080271771868</v>
      </c>
      <c r="X90" s="59">
        <f ca="1">($I$90*$S90+$J$90*$T90+$K$90*$U90)</f>
        <v>13.656707315024128</v>
      </c>
    </row>
    <row r="91" spans="2:24" ht="17.25" customHeight="1">
      <c r="M91" s="43" t="str">
        <f t="shared" ca="1" si="89"/>
        <v>-1.157294,-2.295701,10.53483,</v>
      </c>
      <c r="N91" s="43"/>
      <c r="O91" s="43"/>
      <c r="P91" s="43"/>
      <c r="Q91" s="60">
        <f t="shared" ca="1" si="80"/>
        <v>3264.5739910313901</v>
      </c>
      <c r="R91" s="71">
        <f t="shared" si="81"/>
        <v>2</v>
      </c>
      <c r="S91" s="71">
        <f t="shared" si="91"/>
        <v>9.4345769436179143</v>
      </c>
      <c r="T91" s="71">
        <f t="shared" si="91"/>
        <v>6.8636606393530171</v>
      </c>
      <c r="U91" s="71">
        <f t="shared" si="91"/>
        <v>3.9758144502937363</v>
      </c>
      <c r="V91" s="59">
        <f ca="1">($I$88*$S91+$J$88*$T91+$K$88*$U91)</f>
        <v>42.187968123844342</v>
      </c>
      <c r="W91" s="59">
        <f ca="1">($I$89*$S91+$J$89*$T91+$K$89*$U91)</f>
        <v>39.755306432321476</v>
      </c>
      <c r="X91" s="59">
        <f ca="1">($I$90*$S91+$J$90*$T91+$K$90*$U91)</f>
        <v>18.569751351112807</v>
      </c>
    </row>
    <row r="92" spans="2:24" ht="17.25" customHeight="1">
      <c r="M92" s="43" t="str">
        <f t="shared" ca="1" si="89"/>
        <v>2.565916,1.999992,1.069559,</v>
      </c>
      <c r="N92" s="43"/>
      <c r="O92" s="43"/>
      <c r="P92" s="43"/>
      <c r="Q92" s="60">
        <f t="shared" ca="1" si="80"/>
        <v>3913.9784946236555</v>
      </c>
      <c r="R92" s="71">
        <f t="shared" si="81"/>
        <v>2</v>
      </c>
      <c r="S92" s="71">
        <f t="shared" si="91"/>
        <v>8.5523765926604103</v>
      </c>
      <c r="T92" s="71">
        <f t="shared" si="91"/>
        <v>6.9417105363546199</v>
      </c>
      <c r="U92" s="71">
        <f t="shared" si="91"/>
        <v>4.3944457160296029</v>
      </c>
      <c r="V92" s="59">
        <f ca="1">($I$88*$S92+$J$88*$T92+$K$88*$U92)</f>
        <v>40.528166487367194</v>
      </c>
      <c r="W92" s="59">
        <f ca="1">($I$89*$S92+$J$89*$T92+$K$89*$U92)</f>
        <v>40.030514087973678</v>
      </c>
      <c r="X92" s="59">
        <f ca="1">($I$90*$S92+$J$90*$T92+$K$90*$U92)</f>
        <v>24.853492773909402</v>
      </c>
    </row>
    <row r="93" spans="2:24" ht="17.25" customHeight="1">
      <c r="M93" s="43" t="str">
        <f t="shared" ca="1" si="89"/>
        <v>-0.1035221,6.3677,-0.7479563,</v>
      </c>
      <c r="N93" s="43"/>
      <c r="O93" s="43"/>
      <c r="P93" s="43"/>
      <c r="Q93" s="60">
        <f t="shared" ca="1" si="80"/>
        <v>4885.9060402684554</v>
      </c>
      <c r="R93" s="71">
        <f t="shared" si="81"/>
        <v>2</v>
      </c>
      <c r="S93" s="71">
        <f t="shared" si="91"/>
        <v>7.7813382162203402</v>
      </c>
      <c r="T93" s="71">
        <f t="shared" si="91"/>
        <v>7.012664988174258</v>
      </c>
      <c r="U93" s="71">
        <f t="shared" si="91"/>
        <v>5.0259403372243838</v>
      </c>
      <c r="V93" s="59">
        <f ca="1">($I$88*$S93+$J$88*$T93+$K$88*$U93)</f>
        <v>39.367076268822636</v>
      </c>
      <c r="W93" s="59">
        <f ca="1">($I$89*$S93+$J$89*$T93+$K$89*$U93)</f>
        <v>40.089819867666058</v>
      </c>
      <c r="X93" s="59">
        <f ca="1">($I$90*$S93+$J$90*$T93+$K$90*$U93)</f>
        <v>33.663138459473195</v>
      </c>
    </row>
    <row r="94" spans="2:24" ht="17.25" customHeight="1">
      <c r="M94" s="43" t="str">
        <f t="shared" ca="1" si="89"/>
        <v>-1.413135,-2.602879,12.51753,</v>
      </c>
      <c r="N94" s="43"/>
      <c r="O94" s="43"/>
      <c r="P94" s="43"/>
      <c r="Q94" s="60">
        <f t="shared" si="80"/>
        <v>6500</v>
      </c>
      <c r="R94" s="71">
        <f t="shared" si="81"/>
        <v>2</v>
      </c>
      <c r="S94" s="71">
        <f t="shared" si="91"/>
        <v>7.1332875562676437</v>
      </c>
      <c r="T94" s="71">
        <f t="shared" si="91"/>
        <v>7.0812542915999082</v>
      </c>
      <c r="U94" s="71">
        <f t="shared" si="91"/>
        <v>5.8584725719081403</v>
      </c>
      <c r="V94" s="59">
        <f ca="1">($I$88*$S94+$J$88*$T94+$K$88*$U94)</f>
        <v>38.731853550925663</v>
      </c>
      <c r="W94" s="59">
        <f ca="1">($I$89*$S94+$J$89*$T94+$K$89*$U94)</f>
        <v>39.970965792918093</v>
      </c>
      <c r="X94" s="59">
        <f ca="1">($I$90*$S94+$J$90*$T94+$K$90*$U94)</f>
        <v>44.821635617381652</v>
      </c>
    </row>
    <row r="101" spans="30:31" ht="17.25" customHeight="1">
      <c r="AD101" s="60"/>
      <c r="AE101" s="71"/>
    </row>
    <row r="102" spans="30:31" ht="17.25" customHeight="1">
      <c r="AD102" s="60"/>
    </row>
    <row r="103" spans="30:31" ht="17.25" customHeight="1">
      <c r="AD103" s="60"/>
    </row>
  </sheetData>
  <mergeCells count="24">
    <mergeCell ref="B3:V4"/>
    <mergeCell ref="B23:X24"/>
    <mergeCell ref="V78:X78"/>
    <mergeCell ref="T60:Y60"/>
    <mergeCell ref="S78:U78"/>
    <mergeCell ref="E78:H78"/>
    <mergeCell ref="B78:D78"/>
    <mergeCell ref="B25:D25"/>
    <mergeCell ref="O7:Q7"/>
    <mergeCell ref="L16:N16"/>
    <mergeCell ref="S7:V7"/>
    <mergeCell ref="S11:V11"/>
    <mergeCell ref="J25:L25"/>
    <mergeCell ref="M25:P25"/>
    <mergeCell ref="D42:I42"/>
    <mergeCell ref="B40:Z41"/>
    <mergeCell ref="J42:M42"/>
    <mergeCell ref="E82:E84"/>
    <mergeCell ref="E85:E87"/>
    <mergeCell ref="E88:E90"/>
    <mergeCell ref="N60:S60"/>
    <mergeCell ref="K60:L60"/>
    <mergeCell ref="E79:E81"/>
    <mergeCell ref="I81:K81"/>
  </mergeCells>
  <pageMargins left="0.7" right="0.7" top="0.75" bottom="0.75" header="0.3" footer="0.3"/>
  <pageSetup orientation="portrait" r:id="rId1"/>
  <drawing r:id="rId2"/>
  <legacyDrawing r:id="rId3"/>
  <controls>
    <control shapeId="3075" r:id="rId4" name="cbOpenColor"/>
    <control shapeId="3074" r:id="rId5" name="cbMeasur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85"/>
  <sheetViews>
    <sheetView zoomScale="80" zoomScaleNormal="80" workbookViewId="0">
      <selection activeCell="T144" sqref="T144"/>
    </sheetView>
  </sheetViews>
  <sheetFormatPr defaultRowHeight="15"/>
  <cols>
    <col min="1" max="2" width="9.140625" style="187"/>
    <col min="3" max="4" width="9.140625" style="194"/>
    <col min="5" max="5" width="9.140625" style="187"/>
    <col min="6" max="7" width="9.140625" style="194"/>
    <col min="8" max="8" width="9.140625" style="187"/>
    <col min="9" max="11" width="9.140625" style="194"/>
    <col min="14" max="14" width="9.140625" style="4"/>
    <col min="16" max="16" width="9.140625" style="194"/>
    <col min="17" max="17" width="9.140625" style="187"/>
    <col min="18" max="18" width="10.28515625" style="187" bestFit="1" customWidth="1"/>
    <col min="19" max="16384" width="9.140625" style="187"/>
  </cols>
  <sheetData>
    <row r="1" spans="1:16">
      <c r="A1" s="8">
        <v>10</v>
      </c>
      <c r="B1" s="327" t="s">
        <v>116</v>
      </c>
      <c r="C1" s="327"/>
      <c r="D1" s="327"/>
      <c r="E1" s="328" t="s">
        <v>117</v>
      </c>
      <c r="F1" s="328"/>
      <c r="G1" s="328"/>
      <c r="H1" s="193" t="s">
        <v>31</v>
      </c>
      <c r="I1" s="193" t="s">
        <v>32</v>
      </c>
      <c r="J1" s="193" t="s">
        <v>33</v>
      </c>
      <c r="K1" s="193" t="s">
        <v>89</v>
      </c>
      <c r="L1" s="192" t="str">
        <f>H1</f>
        <v>R</v>
      </c>
      <c r="M1" s="192" t="str">
        <f t="shared" ref="M1:O1" si="0">I1</f>
        <v>G</v>
      </c>
      <c r="N1" s="192" t="str">
        <f t="shared" si="0"/>
        <v>B</v>
      </c>
      <c r="O1" s="192" t="str">
        <f t="shared" si="0"/>
        <v>All</v>
      </c>
      <c r="P1" s="197" t="s">
        <v>118</v>
      </c>
    </row>
    <row r="2" spans="1:16">
      <c r="A2" s="7">
        <v>0</v>
      </c>
      <c r="B2">
        <v>777</v>
      </c>
      <c r="C2">
        <v>3576</v>
      </c>
      <c r="D2">
        <v>2421</v>
      </c>
      <c r="E2" s="7" t="str">
        <f t="shared" ref="E2:E65" si="1">DEC2HEX(B2)</f>
        <v>309</v>
      </c>
      <c r="F2" s="7" t="str">
        <f t="shared" ref="F2:F65" si="2">DEC2HEX(C2)</f>
        <v>DF8</v>
      </c>
      <c r="G2" s="7" t="str">
        <f t="shared" ref="G2:G65" si="3">DEC2HEX(D2)</f>
        <v>975</v>
      </c>
      <c r="H2" s="7">
        <v>0</v>
      </c>
      <c r="I2" s="7">
        <v>0</v>
      </c>
      <c r="J2" s="7">
        <v>0</v>
      </c>
      <c r="K2" s="7">
        <v>0</v>
      </c>
      <c r="L2" s="192">
        <f>H2+4</f>
        <v>4</v>
      </c>
      <c r="M2" s="192">
        <f>I2+2</f>
        <v>2</v>
      </c>
      <c r="N2" s="192">
        <f>J2</f>
        <v>0</v>
      </c>
      <c r="O2" s="192">
        <f>K2+6</f>
        <v>6</v>
      </c>
      <c r="P2" s="7">
        <f>SUM(P3:P285)</f>
        <v>0</v>
      </c>
    </row>
    <row r="3" spans="1:16">
      <c r="A3" s="7">
        <f>A2+A$1</f>
        <v>10</v>
      </c>
      <c r="B3">
        <v>777</v>
      </c>
      <c r="C3">
        <v>3576</v>
      </c>
      <c r="D3">
        <v>2421</v>
      </c>
      <c r="E3" s="7" t="str">
        <f t="shared" si="1"/>
        <v>309</v>
      </c>
      <c r="F3" s="7" t="str">
        <f t="shared" si="2"/>
        <v>DF8</v>
      </c>
      <c r="G3" s="7" t="str">
        <f t="shared" si="3"/>
        <v>975</v>
      </c>
      <c r="H3" s="7">
        <f>IF(B3=B2,H2,1-H2)</f>
        <v>0</v>
      </c>
      <c r="I3" s="7">
        <f>IF(C3=C2,I2,1-I2)</f>
        <v>0</v>
      </c>
      <c r="J3" s="7">
        <f>IF(D3=D2,J2,1-J2)</f>
        <v>0</v>
      </c>
      <c r="K3" s="7">
        <f>IF(OR(H3&lt;&gt;H2,I3&lt;&gt;I2,J3&lt;&gt;J2),1-K2,K2)</f>
        <v>0</v>
      </c>
      <c r="L3" s="192">
        <f t="shared" ref="L3:L66" si="4">H3+4</f>
        <v>4</v>
      </c>
      <c r="M3" s="192">
        <f t="shared" ref="M3:M66" si="5">I3+2</f>
        <v>2</v>
      </c>
      <c r="N3" s="192">
        <f t="shared" ref="N3:N66" si="6">J3</f>
        <v>0</v>
      </c>
      <c r="O3" s="192">
        <f t="shared" ref="O3:O66" si="7">K3+6</f>
        <v>6</v>
      </c>
      <c r="P3" s="7">
        <f>IF(OR(AND(B2&lt;&gt;B3,B3&lt;&gt;B4),AND(C2&lt;&gt;C3,C3&lt;&gt;C4),AND(D2&lt;&gt;D3,D3&lt;&gt;D4)),1,0)</f>
        <v>0</v>
      </c>
    </row>
    <row r="4" spans="1:16">
      <c r="A4" s="7">
        <f t="shared" ref="A4:A67" si="8">A3+A$1</f>
        <v>20</v>
      </c>
      <c r="B4">
        <v>777</v>
      </c>
      <c r="C4">
        <v>3575</v>
      </c>
      <c r="D4">
        <v>2421</v>
      </c>
      <c r="E4" s="7" t="str">
        <f t="shared" si="1"/>
        <v>309</v>
      </c>
      <c r="F4" s="7" t="str">
        <f t="shared" si="2"/>
        <v>DF7</v>
      </c>
      <c r="G4" s="7" t="str">
        <f t="shared" si="3"/>
        <v>975</v>
      </c>
      <c r="H4" s="7">
        <f t="shared" ref="H4:H41" si="9">IF(B4=B3,H3,1-H3)</f>
        <v>0</v>
      </c>
      <c r="I4" s="7">
        <f t="shared" ref="I4:I18" si="10">IF(C4=C3,I3,1-I3)</f>
        <v>1</v>
      </c>
      <c r="J4" s="7">
        <f t="shared" ref="J4:J18" si="11">IF(D4=D3,J3,1-J3)</f>
        <v>0</v>
      </c>
      <c r="K4" s="7">
        <f t="shared" ref="K4:K67" si="12">IF(OR(H4&lt;&gt;H3,I4&lt;&gt;I3,J4&lt;&gt;J3),1-K3,K3)</f>
        <v>1</v>
      </c>
      <c r="L4" s="192">
        <f t="shared" si="4"/>
        <v>4</v>
      </c>
      <c r="M4" s="192">
        <f t="shared" si="5"/>
        <v>3</v>
      </c>
      <c r="N4" s="192">
        <f t="shared" si="6"/>
        <v>0</v>
      </c>
      <c r="O4" s="192">
        <f t="shared" si="7"/>
        <v>7</v>
      </c>
      <c r="P4" s="197">
        <f t="shared" ref="P4:P67" si="13">IF(OR(AND(B3&lt;&gt;B4,B4&lt;&gt;B5),AND(C3&lt;&gt;C4,C4&lt;&gt;C5),AND(D3&lt;&gt;D4,D4&lt;&gt;D5)),1,0)</f>
        <v>0</v>
      </c>
    </row>
    <row r="5" spans="1:16">
      <c r="A5" s="7">
        <f t="shared" si="8"/>
        <v>30</v>
      </c>
      <c r="B5">
        <v>778</v>
      </c>
      <c r="C5">
        <v>3575</v>
      </c>
      <c r="D5">
        <v>2421</v>
      </c>
      <c r="E5" s="7" t="str">
        <f t="shared" si="1"/>
        <v>30A</v>
      </c>
      <c r="F5" s="7" t="str">
        <f t="shared" si="2"/>
        <v>DF7</v>
      </c>
      <c r="G5" s="7" t="str">
        <f t="shared" si="3"/>
        <v>975</v>
      </c>
      <c r="H5" s="7">
        <f t="shared" si="9"/>
        <v>1</v>
      </c>
      <c r="I5" s="7">
        <f t="shared" si="10"/>
        <v>1</v>
      </c>
      <c r="J5" s="7">
        <f t="shared" si="11"/>
        <v>0</v>
      </c>
      <c r="K5" s="7">
        <f t="shared" si="12"/>
        <v>0</v>
      </c>
      <c r="L5" s="192">
        <f t="shared" si="4"/>
        <v>5</v>
      </c>
      <c r="M5" s="192">
        <f t="shared" si="5"/>
        <v>3</v>
      </c>
      <c r="N5" s="192">
        <f t="shared" si="6"/>
        <v>0</v>
      </c>
      <c r="O5" s="192">
        <f t="shared" si="7"/>
        <v>6</v>
      </c>
      <c r="P5" s="197">
        <f t="shared" si="13"/>
        <v>0</v>
      </c>
    </row>
    <row r="6" spans="1:16">
      <c r="A6" s="7">
        <f t="shared" si="8"/>
        <v>40</v>
      </c>
      <c r="B6">
        <v>778</v>
      </c>
      <c r="C6">
        <v>3575</v>
      </c>
      <c r="D6">
        <v>2423</v>
      </c>
      <c r="E6" s="7" t="str">
        <f t="shared" si="1"/>
        <v>30A</v>
      </c>
      <c r="F6" s="7" t="str">
        <f t="shared" si="2"/>
        <v>DF7</v>
      </c>
      <c r="G6" s="7" t="str">
        <f t="shared" si="3"/>
        <v>977</v>
      </c>
      <c r="H6" s="7">
        <f t="shared" si="9"/>
        <v>1</v>
      </c>
      <c r="I6" s="7">
        <f t="shared" si="10"/>
        <v>1</v>
      </c>
      <c r="J6" s="7">
        <f t="shared" si="11"/>
        <v>1</v>
      </c>
      <c r="K6" s="7">
        <f t="shared" si="12"/>
        <v>1</v>
      </c>
      <c r="L6" s="192">
        <f t="shared" si="4"/>
        <v>5</v>
      </c>
      <c r="M6" s="192">
        <f t="shared" si="5"/>
        <v>3</v>
      </c>
      <c r="N6" s="192">
        <f t="shared" si="6"/>
        <v>1</v>
      </c>
      <c r="O6" s="192">
        <f t="shared" si="7"/>
        <v>7</v>
      </c>
      <c r="P6" s="197">
        <f t="shared" si="13"/>
        <v>0</v>
      </c>
    </row>
    <row r="7" spans="1:16">
      <c r="A7" s="7">
        <f t="shared" si="8"/>
        <v>50</v>
      </c>
      <c r="B7">
        <v>778</v>
      </c>
      <c r="C7">
        <v>3575</v>
      </c>
      <c r="D7">
        <v>2423</v>
      </c>
      <c r="E7" s="7" t="str">
        <f t="shared" si="1"/>
        <v>30A</v>
      </c>
      <c r="F7" s="7" t="str">
        <f t="shared" si="2"/>
        <v>DF7</v>
      </c>
      <c r="G7" s="7" t="str">
        <f t="shared" si="3"/>
        <v>977</v>
      </c>
      <c r="H7" s="7">
        <f t="shared" si="9"/>
        <v>1</v>
      </c>
      <c r="I7" s="7">
        <f t="shared" si="10"/>
        <v>1</v>
      </c>
      <c r="J7" s="7">
        <f t="shared" si="11"/>
        <v>1</v>
      </c>
      <c r="K7" s="7">
        <f t="shared" si="12"/>
        <v>1</v>
      </c>
      <c r="L7" s="192">
        <f t="shared" si="4"/>
        <v>5</v>
      </c>
      <c r="M7" s="192">
        <f t="shared" si="5"/>
        <v>3</v>
      </c>
      <c r="N7" s="192">
        <f t="shared" si="6"/>
        <v>1</v>
      </c>
      <c r="O7" s="192">
        <f t="shared" si="7"/>
        <v>7</v>
      </c>
      <c r="P7" s="197">
        <f t="shared" si="13"/>
        <v>0</v>
      </c>
    </row>
    <row r="8" spans="1:16">
      <c r="A8" s="7">
        <f t="shared" si="8"/>
        <v>60</v>
      </c>
      <c r="B8">
        <v>778</v>
      </c>
      <c r="C8">
        <v>3577</v>
      </c>
      <c r="D8">
        <v>2423</v>
      </c>
      <c r="E8" s="7" t="str">
        <f t="shared" si="1"/>
        <v>30A</v>
      </c>
      <c r="F8" s="7" t="str">
        <f t="shared" si="2"/>
        <v>DF9</v>
      </c>
      <c r="G8" s="7" t="str">
        <f t="shared" si="3"/>
        <v>977</v>
      </c>
      <c r="H8" s="7">
        <f t="shared" si="9"/>
        <v>1</v>
      </c>
      <c r="I8" s="7">
        <f t="shared" si="10"/>
        <v>0</v>
      </c>
      <c r="J8" s="7">
        <f t="shared" si="11"/>
        <v>1</v>
      </c>
      <c r="K8" s="7">
        <f t="shared" si="12"/>
        <v>0</v>
      </c>
      <c r="L8" s="192">
        <f t="shared" si="4"/>
        <v>5</v>
      </c>
      <c r="M8" s="192">
        <f t="shared" si="5"/>
        <v>2</v>
      </c>
      <c r="N8" s="192">
        <f t="shared" si="6"/>
        <v>1</v>
      </c>
      <c r="O8" s="192">
        <f t="shared" si="7"/>
        <v>6</v>
      </c>
      <c r="P8" s="197">
        <f t="shared" si="13"/>
        <v>0</v>
      </c>
    </row>
    <row r="9" spans="1:16">
      <c r="A9" s="7">
        <f t="shared" si="8"/>
        <v>70</v>
      </c>
      <c r="B9">
        <v>778</v>
      </c>
      <c r="C9">
        <v>3577</v>
      </c>
      <c r="D9">
        <v>2423</v>
      </c>
      <c r="E9" s="7" t="str">
        <f t="shared" si="1"/>
        <v>30A</v>
      </c>
      <c r="F9" s="7" t="str">
        <f t="shared" si="2"/>
        <v>DF9</v>
      </c>
      <c r="G9" s="7" t="str">
        <f t="shared" si="3"/>
        <v>977</v>
      </c>
      <c r="H9" s="7">
        <f t="shared" si="9"/>
        <v>1</v>
      </c>
      <c r="I9" s="7">
        <f t="shared" si="10"/>
        <v>0</v>
      </c>
      <c r="J9" s="7">
        <f t="shared" si="11"/>
        <v>1</v>
      </c>
      <c r="K9" s="7">
        <f t="shared" si="12"/>
        <v>0</v>
      </c>
      <c r="L9" s="192">
        <f t="shared" si="4"/>
        <v>5</v>
      </c>
      <c r="M9" s="192">
        <f t="shared" si="5"/>
        <v>2</v>
      </c>
      <c r="N9" s="192">
        <f t="shared" si="6"/>
        <v>1</v>
      </c>
      <c r="O9" s="192">
        <f t="shared" si="7"/>
        <v>6</v>
      </c>
      <c r="P9" s="197">
        <f t="shared" si="13"/>
        <v>0</v>
      </c>
    </row>
    <row r="10" spans="1:16">
      <c r="A10" s="7">
        <f t="shared" si="8"/>
        <v>80</v>
      </c>
      <c r="B10">
        <v>778</v>
      </c>
      <c r="C10">
        <v>3577</v>
      </c>
      <c r="D10">
        <v>2423</v>
      </c>
      <c r="E10" s="7" t="str">
        <f t="shared" si="1"/>
        <v>30A</v>
      </c>
      <c r="F10" s="7" t="str">
        <f t="shared" si="2"/>
        <v>DF9</v>
      </c>
      <c r="G10" s="7" t="str">
        <f t="shared" si="3"/>
        <v>977</v>
      </c>
      <c r="H10" s="7">
        <f t="shared" si="9"/>
        <v>1</v>
      </c>
      <c r="I10" s="7">
        <f t="shared" si="10"/>
        <v>0</v>
      </c>
      <c r="J10" s="7">
        <f t="shared" si="11"/>
        <v>1</v>
      </c>
      <c r="K10" s="7">
        <f t="shared" si="12"/>
        <v>0</v>
      </c>
      <c r="L10" s="192">
        <f t="shared" si="4"/>
        <v>5</v>
      </c>
      <c r="M10" s="192">
        <f t="shared" si="5"/>
        <v>2</v>
      </c>
      <c r="N10" s="192">
        <f t="shared" si="6"/>
        <v>1</v>
      </c>
      <c r="O10" s="192">
        <f t="shared" si="7"/>
        <v>6</v>
      </c>
      <c r="P10" s="197">
        <f t="shared" si="13"/>
        <v>0</v>
      </c>
    </row>
    <row r="11" spans="1:16">
      <c r="A11" s="7">
        <f t="shared" si="8"/>
        <v>90</v>
      </c>
      <c r="B11">
        <v>778</v>
      </c>
      <c r="C11">
        <v>3577</v>
      </c>
      <c r="D11">
        <v>2422</v>
      </c>
      <c r="E11" s="7" t="str">
        <f t="shared" si="1"/>
        <v>30A</v>
      </c>
      <c r="F11" s="7" t="str">
        <f t="shared" si="2"/>
        <v>DF9</v>
      </c>
      <c r="G11" s="7" t="str">
        <f t="shared" si="3"/>
        <v>976</v>
      </c>
      <c r="H11" s="7">
        <f t="shared" si="9"/>
        <v>1</v>
      </c>
      <c r="I11" s="7">
        <f t="shared" si="10"/>
        <v>0</v>
      </c>
      <c r="J11" s="7">
        <f t="shared" si="11"/>
        <v>0</v>
      </c>
      <c r="K11" s="7">
        <f>IF(OR(H11&lt;&gt;H10,I11&lt;&gt;I10,J11&lt;&gt;J10),1-K10,K10)</f>
        <v>1</v>
      </c>
      <c r="L11" s="192">
        <f t="shared" si="4"/>
        <v>5</v>
      </c>
      <c r="M11" s="192">
        <f t="shared" si="5"/>
        <v>2</v>
      </c>
      <c r="N11" s="192">
        <f t="shared" si="6"/>
        <v>0</v>
      </c>
      <c r="O11" s="192">
        <f t="shared" si="7"/>
        <v>7</v>
      </c>
      <c r="P11" s="197">
        <f>IF(OR(AND(B10&lt;&gt;B11,B11&lt;&gt;B12),AND(C10&lt;&gt;C11,C11&lt;&gt;C12),AND(D10&lt;&gt;D11,D11&lt;&gt;D12)),1,0)</f>
        <v>0</v>
      </c>
    </row>
    <row r="12" spans="1:16">
      <c r="A12" s="7">
        <f t="shared" si="8"/>
        <v>100</v>
      </c>
      <c r="B12">
        <v>778</v>
      </c>
      <c r="C12">
        <v>3577</v>
      </c>
      <c r="D12">
        <v>2422</v>
      </c>
      <c r="E12" s="7" t="str">
        <f t="shared" si="1"/>
        <v>30A</v>
      </c>
      <c r="F12" s="7" t="str">
        <f t="shared" si="2"/>
        <v>DF9</v>
      </c>
      <c r="G12" s="7" t="str">
        <f t="shared" si="3"/>
        <v>976</v>
      </c>
      <c r="H12" s="7">
        <f t="shared" si="9"/>
        <v>1</v>
      </c>
      <c r="I12" s="7">
        <f t="shared" si="10"/>
        <v>0</v>
      </c>
      <c r="J12" s="7">
        <f t="shared" si="11"/>
        <v>0</v>
      </c>
      <c r="K12" s="7">
        <f>IF(OR(H12&lt;&gt;H11,I12&lt;&gt;I11,J12&lt;&gt;J11),1-K11,K11)</f>
        <v>1</v>
      </c>
      <c r="L12" s="192">
        <f t="shared" si="4"/>
        <v>5</v>
      </c>
      <c r="M12" s="192">
        <f t="shared" si="5"/>
        <v>2</v>
      </c>
      <c r="N12" s="192">
        <f t="shared" si="6"/>
        <v>0</v>
      </c>
      <c r="O12" s="192">
        <f t="shared" si="7"/>
        <v>7</v>
      </c>
      <c r="P12" s="197">
        <f>IF(OR(AND(B11&lt;&gt;B12,B12&lt;&gt;B13),AND(C11&lt;&gt;C12,C12&lt;&gt;C13),AND(D11&lt;&gt;D12,D12&lt;&gt;D13)),1,0)</f>
        <v>0</v>
      </c>
    </row>
    <row r="13" spans="1:16">
      <c r="A13" s="7">
        <f t="shared" si="8"/>
        <v>110</v>
      </c>
      <c r="B13">
        <v>778</v>
      </c>
      <c r="C13">
        <v>3578</v>
      </c>
      <c r="D13">
        <v>2422</v>
      </c>
      <c r="E13" s="7" t="str">
        <f t="shared" si="1"/>
        <v>30A</v>
      </c>
      <c r="F13" s="7" t="str">
        <f t="shared" si="2"/>
        <v>DFA</v>
      </c>
      <c r="G13" s="7" t="str">
        <f t="shared" si="3"/>
        <v>976</v>
      </c>
      <c r="H13" s="7">
        <f t="shared" si="9"/>
        <v>1</v>
      </c>
      <c r="I13" s="7">
        <f t="shared" si="10"/>
        <v>1</v>
      </c>
      <c r="J13" s="7">
        <f t="shared" si="11"/>
        <v>0</v>
      </c>
      <c r="K13" s="7">
        <f t="shared" si="12"/>
        <v>0</v>
      </c>
      <c r="L13" s="192">
        <f t="shared" si="4"/>
        <v>5</v>
      </c>
      <c r="M13" s="192">
        <f t="shared" si="5"/>
        <v>3</v>
      </c>
      <c r="N13" s="192">
        <f t="shared" si="6"/>
        <v>0</v>
      </c>
      <c r="O13" s="192">
        <f t="shared" si="7"/>
        <v>6</v>
      </c>
      <c r="P13" s="197">
        <f t="shared" si="13"/>
        <v>0</v>
      </c>
    </row>
    <row r="14" spans="1:16">
      <c r="A14" s="7">
        <f t="shared" si="8"/>
        <v>120</v>
      </c>
      <c r="B14">
        <v>778</v>
      </c>
      <c r="C14">
        <v>3578</v>
      </c>
      <c r="D14">
        <v>2422</v>
      </c>
      <c r="E14" s="7" t="str">
        <f t="shared" si="1"/>
        <v>30A</v>
      </c>
      <c r="F14" s="7" t="str">
        <f t="shared" si="2"/>
        <v>DFA</v>
      </c>
      <c r="G14" s="7" t="str">
        <f t="shared" si="3"/>
        <v>976</v>
      </c>
      <c r="H14" s="7">
        <f t="shared" si="9"/>
        <v>1</v>
      </c>
      <c r="I14" s="7">
        <f t="shared" si="10"/>
        <v>1</v>
      </c>
      <c r="J14" s="7">
        <f t="shared" si="11"/>
        <v>0</v>
      </c>
      <c r="K14" s="7">
        <f t="shared" si="12"/>
        <v>0</v>
      </c>
      <c r="L14" s="192">
        <f t="shared" si="4"/>
        <v>5</v>
      </c>
      <c r="M14" s="192">
        <f t="shared" si="5"/>
        <v>3</v>
      </c>
      <c r="N14" s="192">
        <f t="shared" si="6"/>
        <v>0</v>
      </c>
      <c r="O14" s="192">
        <f t="shared" si="7"/>
        <v>6</v>
      </c>
      <c r="P14" s="197">
        <f t="shared" si="13"/>
        <v>0</v>
      </c>
    </row>
    <row r="15" spans="1:16">
      <c r="A15" s="7">
        <f t="shared" si="8"/>
        <v>130</v>
      </c>
      <c r="B15">
        <v>778</v>
      </c>
      <c r="C15">
        <v>3578</v>
      </c>
      <c r="D15">
        <v>2422</v>
      </c>
      <c r="E15" s="7" t="str">
        <f t="shared" si="1"/>
        <v>30A</v>
      </c>
      <c r="F15" s="7" t="str">
        <f t="shared" si="2"/>
        <v>DFA</v>
      </c>
      <c r="G15" s="7" t="str">
        <f t="shared" si="3"/>
        <v>976</v>
      </c>
      <c r="H15" s="7">
        <f t="shared" si="9"/>
        <v>1</v>
      </c>
      <c r="I15" s="7">
        <f t="shared" si="10"/>
        <v>1</v>
      </c>
      <c r="J15" s="7">
        <f t="shared" si="11"/>
        <v>0</v>
      </c>
      <c r="K15" s="7">
        <f t="shared" si="12"/>
        <v>0</v>
      </c>
      <c r="L15" s="192">
        <f t="shared" si="4"/>
        <v>5</v>
      </c>
      <c r="M15" s="192">
        <f t="shared" si="5"/>
        <v>3</v>
      </c>
      <c r="N15" s="192">
        <f t="shared" si="6"/>
        <v>0</v>
      </c>
      <c r="O15" s="192">
        <f t="shared" si="7"/>
        <v>6</v>
      </c>
      <c r="P15" s="197">
        <f t="shared" si="13"/>
        <v>0</v>
      </c>
    </row>
    <row r="16" spans="1:16">
      <c r="A16" s="7">
        <f t="shared" si="8"/>
        <v>140</v>
      </c>
      <c r="B16">
        <v>778</v>
      </c>
      <c r="C16">
        <v>3578</v>
      </c>
      <c r="D16">
        <v>2420</v>
      </c>
      <c r="E16" s="7" t="str">
        <f t="shared" si="1"/>
        <v>30A</v>
      </c>
      <c r="F16" s="7" t="str">
        <f t="shared" si="2"/>
        <v>DFA</v>
      </c>
      <c r="G16" s="7" t="str">
        <f t="shared" si="3"/>
        <v>974</v>
      </c>
      <c r="H16" s="7">
        <f t="shared" si="9"/>
        <v>1</v>
      </c>
      <c r="I16" s="7">
        <f t="shared" si="10"/>
        <v>1</v>
      </c>
      <c r="J16" s="7">
        <f t="shared" si="11"/>
        <v>1</v>
      </c>
      <c r="K16" s="7">
        <f t="shared" si="12"/>
        <v>1</v>
      </c>
      <c r="L16" s="192">
        <f t="shared" si="4"/>
        <v>5</v>
      </c>
      <c r="M16" s="192">
        <f t="shared" si="5"/>
        <v>3</v>
      </c>
      <c r="N16" s="192">
        <f t="shared" si="6"/>
        <v>1</v>
      </c>
      <c r="O16" s="192">
        <f t="shared" si="7"/>
        <v>7</v>
      </c>
      <c r="P16" s="197">
        <f t="shared" si="13"/>
        <v>0</v>
      </c>
    </row>
    <row r="17" spans="1:16">
      <c r="A17" s="7">
        <f t="shared" si="8"/>
        <v>150</v>
      </c>
      <c r="B17">
        <v>778</v>
      </c>
      <c r="C17">
        <v>3578</v>
      </c>
      <c r="D17">
        <v>2420</v>
      </c>
      <c r="E17" s="7" t="str">
        <f t="shared" si="1"/>
        <v>30A</v>
      </c>
      <c r="F17" s="7" t="str">
        <f t="shared" si="2"/>
        <v>DFA</v>
      </c>
      <c r="G17" s="7" t="str">
        <f t="shared" si="3"/>
        <v>974</v>
      </c>
      <c r="H17" s="7">
        <f t="shared" si="9"/>
        <v>1</v>
      </c>
      <c r="I17" s="7">
        <f t="shared" si="10"/>
        <v>1</v>
      </c>
      <c r="J17" s="7">
        <f t="shared" si="11"/>
        <v>1</v>
      </c>
      <c r="K17" s="7">
        <f t="shared" si="12"/>
        <v>1</v>
      </c>
      <c r="L17" s="192">
        <f t="shared" si="4"/>
        <v>5</v>
      </c>
      <c r="M17" s="192">
        <f t="shared" si="5"/>
        <v>3</v>
      </c>
      <c r="N17" s="192">
        <f t="shared" si="6"/>
        <v>1</v>
      </c>
      <c r="O17" s="192">
        <f t="shared" si="7"/>
        <v>7</v>
      </c>
      <c r="P17" s="197">
        <f t="shared" si="13"/>
        <v>0</v>
      </c>
    </row>
    <row r="18" spans="1:16">
      <c r="A18" s="7">
        <f t="shared" si="8"/>
        <v>160</v>
      </c>
      <c r="B18">
        <v>778</v>
      </c>
      <c r="C18">
        <v>3577</v>
      </c>
      <c r="D18">
        <v>2420</v>
      </c>
      <c r="E18" s="7" t="str">
        <f t="shared" si="1"/>
        <v>30A</v>
      </c>
      <c r="F18" s="7" t="str">
        <f t="shared" si="2"/>
        <v>DF9</v>
      </c>
      <c r="G18" s="7" t="str">
        <f t="shared" si="3"/>
        <v>974</v>
      </c>
      <c r="H18" s="7">
        <f t="shared" si="9"/>
        <v>1</v>
      </c>
      <c r="I18" s="7">
        <f t="shared" si="10"/>
        <v>0</v>
      </c>
      <c r="J18" s="7">
        <f t="shared" si="11"/>
        <v>1</v>
      </c>
      <c r="K18" s="7">
        <f t="shared" si="12"/>
        <v>0</v>
      </c>
      <c r="L18" s="192">
        <f t="shared" si="4"/>
        <v>5</v>
      </c>
      <c r="M18" s="192">
        <f t="shared" si="5"/>
        <v>2</v>
      </c>
      <c r="N18" s="192">
        <f t="shared" si="6"/>
        <v>1</v>
      </c>
      <c r="O18" s="192">
        <f t="shared" si="7"/>
        <v>6</v>
      </c>
      <c r="P18" s="197">
        <f t="shared" si="13"/>
        <v>0</v>
      </c>
    </row>
    <row r="19" spans="1:16">
      <c r="A19" s="7">
        <f t="shared" si="8"/>
        <v>170</v>
      </c>
      <c r="B19">
        <v>778</v>
      </c>
      <c r="C19">
        <v>3577</v>
      </c>
      <c r="D19">
        <v>2420</v>
      </c>
      <c r="E19" s="7" t="str">
        <f t="shared" si="1"/>
        <v>30A</v>
      </c>
      <c r="F19" s="7" t="str">
        <f t="shared" si="2"/>
        <v>DF9</v>
      </c>
      <c r="G19" s="7" t="str">
        <f t="shared" si="3"/>
        <v>974</v>
      </c>
      <c r="H19" s="7">
        <f t="shared" si="9"/>
        <v>1</v>
      </c>
      <c r="I19" s="7">
        <f t="shared" ref="I19:I82" si="14">IF(C19=C18,I18,1-I18)</f>
        <v>0</v>
      </c>
      <c r="J19" s="7">
        <f t="shared" ref="J19:J82" si="15">IF(D19=D18,J18,1-J18)</f>
        <v>1</v>
      </c>
      <c r="K19" s="7">
        <f t="shared" si="12"/>
        <v>0</v>
      </c>
      <c r="L19" s="192">
        <f t="shared" si="4"/>
        <v>5</v>
      </c>
      <c r="M19" s="192">
        <f t="shared" si="5"/>
        <v>2</v>
      </c>
      <c r="N19" s="192">
        <f t="shared" si="6"/>
        <v>1</v>
      </c>
      <c r="O19" s="192">
        <f t="shared" si="7"/>
        <v>6</v>
      </c>
      <c r="P19" s="197">
        <f t="shared" si="13"/>
        <v>0</v>
      </c>
    </row>
    <row r="20" spans="1:16">
      <c r="A20" s="7">
        <f t="shared" si="8"/>
        <v>180</v>
      </c>
      <c r="B20">
        <v>778</v>
      </c>
      <c r="C20">
        <v>3577</v>
      </c>
      <c r="D20">
        <v>2420</v>
      </c>
      <c r="E20" s="7" t="str">
        <f t="shared" si="1"/>
        <v>30A</v>
      </c>
      <c r="F20" s="7" t="str">
        <f t="shared" si="2"/>
        <v>DF9</v>
      </c>
      <c r="G20" s="7" t="str">
        <f t="shared" si="3"/>
        <v>974</v>
      </c>
      <c r="H20" s="7">
        <f t="shared" si="9"/>
        <v>1</v>
      </c>
      <c r="I20" s="7">
        <f t="shared" si="14"/>
        <v>0</v>
      </c>
      <c r="J20" s="7">
        <f t="shared" si="15"/>
        <v>1</v>
      </c>
      <c r="K20" s="7">
        <f t="shared" si="12"/>
        <v>0</v>
      </c>
      <c r="L20" s="192">
        <f t="shared" si="4"/>
        <v>5</v>
      </c>
      <c r="M20" s="192">
        <f t="shared" si="5"/>
        <v>2</v>
      </c>
      <c r="N20" s="192">
        <f t="shared" si="6"/>
        <v>1</v>
      </c>
      <c r="O20" s="192">
        <f t="shared" si="7"/>
        <v>6</v>
      </c>
      <c r="P20" s="197">
        <f t="shared" si="13"/>
        <v>0</v>
      </c>
    </row>
    <row r="21" spans="1:16">
      <c r="A21" s="7">
        <f t="shared" si="8"/>
        <v>190</v>
      </c>
      <c r="B21">
        <v>778</v>
      </c>
      <c r="C21">
        <v>3577</v>
      </c>
      <c r="D21">
        <v>2420</v>
      </c>
      <c r="E21" s="7" t="str">
        <f t="shared" si="1"/>
        <v>30A</v>
      </c>
      <c r="F21" s="7" t="str">
        <f t="shared" si="2"/>
        <v>DF9</v>
      </c>
      <c r="G21" s="7" t="str">
        <f t="shared" si="3"/>
        <v>974</v>
      </c>
      <c r="H21" s="7">
        <f t="shared" si="9"/>
        <v>1</v>
      </c>
      <c r="I21" s="7">
        <f t="shared" si="14"/>
        <v>0</v>
      </c>
      <c r="J21" s="7">
        <f t="shared" si="15"/>
        <v>1</v>
      </c>
      <c r="K21" s="7">
        <f t="shared" si="12"/>
        <v>0</v>
      </c>
      <c r="L21" s="192">
        <f t="shared" si="4"/>
        <v>5</v>
      </c>
      <c r="M21" s="192">
        <f t="shared" si="5"/>
        <v>2</v>
      </c>
      <c r="N21" s="192">
        <f t="shared" si="6"/>
        <v>1</v>
      </c>
      <c r="O21" s="192">
        <f t="shared" si="7"/>
        <v>6</v>
      </c>
      <c r="P21" s="197">
        <f t="shared" si="13"/>
        <v>0</v>
      </c>
    </row>
    <row r="22" spans="1:16">
      <c r="A22" s="7">
        <f t="shared" si="8"/>
        <v>200</v>
      </c>
      <c r="B22">
        <v>778</v>
      </c>
      <c r="C22">
        <v>3577</v>
      </c>
      <c r="D22">
        <v>2420</v>
      </c>
      <c r="E22" s="7" t="str">
        <f t="shared" si="1"/>
        <v>30A</v>
      </c>
      <c r="F22" s="7" t="str">
        <f t="shared" si="2"/>
        <v>DF9</v>
      </c>
      <c r="G22" s="7" t="str">
        <f t="shared" si="3"/>
        <v>974</v>
      </c>
      <c r="H22" s="7">
        <f t="shared" si="9"/>
        <v>1</v>
      </c>
      <c r="I22" s="7">
        <f t="shared" si="14"/>
        <v>0</v>
      </c>
      <c r="J22" s="7">
        <f t="shared" si="15"/>
        <v>1</v>
      </c>
      <c r="K22" s="7">
        <f t="shared" si="12"/>
        <v>0</v>
      </c>
      <c r="L22" s="192">
        <f t="shared" si="4"/>
        <v>5</v>
      </c>
      <c r="M22" s="192">
        <f t="shared" si="5"/>
        <v>2</v>
      </c>
      <c r="N22" s="192">
        <f t="shared" si="6"/>
        <v>1</v>
      </c>
      <c r="O22" s="192">
        <f t="shared" si="7"/>
        <v>6</v>
      </c>
      <c r="P22" s="197">
        <f t="shared" si="13"/>
        <v>0</v>
      </c>
    </row>
    <row r="23" spans="1:16">
      <c r="A23" s="7">
        <f t="shared" si="8"/>
        <v>210</v>
      </c>
      <c r="B23">
        <v>778</v>
      </c>
      <c r="C23">
        <v>3577</v>
      </c>
      <c r="D23">
        <v>2420</v>
      </c>
      <c r="E23" s="7" t="str">
        <f t="shared" si="1"/>
        <v>30A</v>
      </c>
      <c r="F23" s="7" t="str">
        <f t="shared" si="2"/>
        <v>DF9</v>
      </c>
      <c r="G23" s="7" t="str">
        <f t="shared" si="3"/>
        <v>974</v>
      </c>
      <c r="H23" s="7">
        <f t="shared" si="9"/>
        <v>1</v>
      </c>
      <c r="I23" s="7">
        <f t="shared" si="14"/>
        <v>0</v>
      </c>
      <c r="J23" s="7">
        <f t="shared" si="15"/>
        <v>1</v>
      </c>
      <c r="K23" s="7">
        <f t="shared" si="12"/>
        <v>0</v>
      </c>
      <c r="L23" s="192">
        <f t="shared" si="4"/>
        <v>5</v>
      </c>
      <c r="M23" s="192">
        <f t="shared" si="5"/>
        <v>2</v>
      </c>
      <c r="N23" s="192">
        <f t="shared" si="6"/>
        <v>1</v>
      </c>
      <c r="O23" s="192">
        <f t="shared" si="7"/>
        <v>6</v>
      </c>
      <c r="P23" s="197">
        <f t="shared" si="13"/>
        <v>0</v>
      </c>
    </row>
    <row r="24" spans="1:16">
      <c r="A24" s="7">
        <f t="shared" si="8"/>
        <v>220</v>
      </c>
      <c r="B24">
        <v>777</v>
      </c>
      <c r="C24">
        <v>3577</v>
      </c>
      <c r="D24">
        <v>2420</v>
      </c>
      <c r="E24" s="7" t="str">
        <f t="shared" si="1"/>
        <v>309</v>
      </c>
      <c r="F24" s="7" t="str">
        <f t="shared" si="2"/>
        <v>DF9</v>
      </c>
      <c r="G24" s="7" t="str">
        <f t="shared" si="3"/>
        <v>974</v>
      </c>
      <c r="H24" s="7">
        <f t="shared" si="9"/>
        <v>0</v>
      </c>
      <c r="I24" s="7">
        <f t="shared" si="14"/>
        <v>0</v>
      </c>
      <c r="J24" s="7">
        <f t="shared" si="15"/>
        <v>1</v>
      </c>
      <c r="K24" s="7">
        <f t="shared" si="12"/>
        <v>1</v>
      </c>
      <c r="L24" s="192">
        <f t="shared" si="4"/>
        <v>4</v>
      </c>
      <c r="M24" s="192">
        <f t="shared" si="5"/>
        <v>2</v>
      </c>
      <c r="N24" s="192">
        <f t="shared" si="6"/>
        <v>1</v>
      </c>
      <c r="O24" s="192">
        <f t="shared" si="7"/>
        <v>7</v>
      </c>
      <c r="P24" s="197">
        <f t="shared" si="13"/>
        <v>0</v>
      </c>
    </row>
    <row r="25" spans="1:16">
      <c r="A25" s="7">
        <f t="shared" si="8"/>
        <v>230</v>
      </c>
      <c r="B25">
        <v>777</v>
      </c>
      <c r="C25">
        <v>3577</v>
      </c>
      <c r="D25">
        <v>2420</v>
      </c>
      <c r="E25" s="7" t="str">
        <f t="shared" si="1"/>
        <v>309</v>
      </c>
      <c r="F25" s="7" t="str">
        <f t="shared" si="2"/>
        <v>DF9</v>
      </c>
      <c r="G25" s="7" t="str">
        <f t="shared" si="3"/>
        <v>974</v>
      </c>
      <c r="H25" s="7">
        <f t="shared" si="9"/>
        <v>0</v>
      </c>
      <c r="I25" s="7">
        <f t="shared" si="14"/>
        <v>0</v>
      </c>
      <c r="J25" s="7">
        <f t="shared" si="15"/>
        <v>1</v>
      </c>
      <c r="K25" s="7">
        <f t="shared" si="12"/>
        <v>1</v>
      </c>
      <c r="L25" s="192">
        <f t="shared" si="4"/>
        <v>4</v>
      </c>
      <c r="M25" s="192">
        <f t="shared" si="5"/>
        <v>2</v>
      </c>
      <c r="N25" s="192">
        <f t="shared" si="6"/>
        <v>1</v>
      </c>
      <c r="O25" s="192">
        <f t="shared" si="7"/>
        <v>7</v>
      </c>
      <c r="P25" s="197">
        <f t="shared" si="13"/>
        <v>0</v>
      </c>
    </row>
    <row r="26" spans="1:16">
      <c r="A26" s="7">
        <f t="shared" si="8"/>
        <v>240</v>
      </c>
      <c r="B26">
        <v>777</v>
      </c>
      <c r="C26">
        <v>3577</v>
      </c>
      <c r="D26">
        <v>2423</v>
      </c>
      <c r="E26" s="7" t="str">
        <f t="shared" si="1"/>
        <v>309</v>
      </c>
      <c r="F26" s="7" t="str">
        <f t="shared" si="2"/>
        <v>DF9</v>
      </c>
      <c r="G26" s="7" t="str">
        <f t="shared" si="3"/>
        <v>977</v>
      </c>
      <c r="H26" s="7">
        <f t="shared" si="9"/>
        <v>0</v>
      </c>
      <c r="I26" s="7">
        <f t="shared" si="14"/>
        <v>0</v>
      </c>
      <c r="J26" s="7">
        <f t="shared" si="15"/>
        <v>0</v>
      </c>
      <c r="K26" s="7">
        <f t="shared" si="12"/>
        <v>0</v>
      </c>
      <c r="L26" s="192">
        <f t="shared" si="4"/>
        <v>4</v>
      </c>
      <c r="M26" s="192">
        <f t="shared" si="5"/>
        <v>2</v>
      </c>
      <c r="N26" s="192">
        <f t="shared" si="6"/>
        <v>0</v>
      </c>
      <c r="O26" s="192">
        <f t="shared" si="7"/>
        <v>6</v>
      </c>
      <c r="P26" s="197">
        <f t="shared" si="13"/>
        <v>0</v>
      </c>
    </row>
    <row r="27" spans="1:16">
      <c r="A27" s="7">
        <f t="shared" si="8"/>
        <v>250</v>
      </c>
      <c r="B27">
        <v>777</v>
      </c>
      <c r="C27">
        <v>3577</v>
      </c>
      <c r="D27">
        <v>2423</v>
      </c>
      <c r="E27" s="7" t="str">
        <f t="shared" si="1"/>
        <v>309</v>
      </c>
      <c r="F27" s="7" t="str">
        <f t="shared" si="2"/>
        <v>DF9</v>
      </c>
      <c r="G27" s="7" t="str">
        <f t="shared" si="3"/>
        <v>977</v>
      </c>
      <c r="H27" s="7">
        <f t="shared" si="9"/>
        <v>0</v>
      </c>
      <c r="I27" s="7">
        <f t="shared" si="14"/>
        <v>0</v>
      </c>
      <c r="J27" s="7">
        <f t="shared" si="15"/>
        <v>0</v>
      </c>
      <c r="K27" s="7">
        <f t="shared" si="12"/>
        <v>0</v>
      </c>
      <c r="L27" s="192">
        <f t="shared" si="4"/>
        <v>4</v>
      </c>
      <c r="M27" s="192">
        <f t="shared" si="5"/>
        <v>2</v>
      </c>
      <c r="N27" s="192">
        <f t="shared" si="6"/>
        <v>0</v>
      </c>
      <c r="O27" s="192">
        <f t="shared" si="7"/>
        <v>6</v>
      </c>
      <c r="P27" s="197">
        <f t="shared" si="13"/>
        <v>0</v>
      </c>
    </row>
    <row r="28" spans="1:16">
      <c r="A28" s="7">
        <f t="shared" si="8"/>
        <v>260</v>
      </c>
      <c r="B28">
        <v>777</v>
      </c>
      <c r="C28">
        <v>3577</v>
      </c>
      <c r="D28">
        <v>2423</v>
      </c>
      <c r="E28" s="7" t="str">
        <f t="shared" si="1"/>
        <v>309</v>
      </c>
      <c r="F28" s="7" t="str">
        <f t="shared" si="2"/>
        <v>DF9</v>
      </c>
      <c r="G28" s="7" t="str">
        <f t="shared" si="3"/>
        <v>977</v>
      </c>
      <c r="H28" s="7">
        <f t="shared" si="9"/>
        <v>0</v>
      </c>
      <c r="I28" s="7">
        <f t="shared" si="14"/>
        <v>0</v>
      </c>
      <c r="J28" s="7">
        <f t="shared" si="15"/>
        <v>0</v>
      </c>
      <c r="K28" s="7">
        <f t="shared" si="12"/>
        <v>0</v>
      </c>
      <c r="L28" s="192">
        <f t="shared" si="4"/>
        <v>4</v>
      </c>
      <c r="M28" s="192">
        <f t="shared" si="5"/>
        <v>2</v>
      </c>
      <c r="N28" s="192">
        <f t="shared" si="6"/>
        <v>0</v>
      </c>
      <c r="O28" s="192">
        <f t="shared" si="7"/>
        <v>6</v>
      </c>
      <c r="P28" s="197">
        <f t="shared" si="13"/>
        <v>0</v>
      </c>
    </row>
    <row r="29" spans="1:16">
      <c r="A29" s="7">
        <f t="shared" si="8"/>
        <v>270</v>
      </c>
      <c r="B29">
        <v>777</v>
      </c>
      <c r="C29">
        <v>3577</v>
      </c>
      <c r="D29">
        <v>2423</v>
      </c>
      <c r="E29" s="7" t="str">
        <f t="shared" si="1"/>
        <v>309</v>
      </c>
      <c r="F29" s="7" t="str">
        <f t="shared" si="2"/>
        <v>DF9</v>
      </c>
      <c r="G29" s="7" t="str">
        <f t="shared" si="3"/>
        <v>977</v>
      </c>
      <c r="H29" s="7">
        <f t="shared" si="9"/>
        <v>0</v>
      </c>
      <c r="I29" s="7">
        <f t="shared" si="14"/>
        <v>0</v>
      </c>
      <c r="J29" s="7">
        <f t="shared" si="15"/>
        <v>0</v>
      </c>
      <c r="K29" s="7">
        <f t="shared" si="12"/>
        <v>0</v>
      </c>
      <c r="L29" s="192">
        <f t="shared" si="4"/>
        <v>4</v>
      </c>
      <c r="M29" s="192">
        <f t="shared" si="5"/>
        <v>2</v>
      </c>
      <c r="N29" s="192">
        <f t="shared" si="6"/>
        <v>0</v>
      </c>
      <c r="O29" s="192">
        <f t="shared" si="7"/>
        <v>6</v>
      </c>
      <c r="P29" s="197">
        <f t="shared" si="13"/>
        <v>0</v>
      </c>
    </row>
    <row r="30" spans="1:16">
      <c r="A30" s="7">
        <f t="shared" si="8"/>
        <v>280</v>
      </c>
      <c r="B30">
        <v>777</v>
      </c>
      <c r="C30">
        <v>3577</v>
      </c>
      <c r="D30">
        <v>2423</v>
      </c>
      <c r="E30" s="7" t="str">
        <f t="shared" si="1"/>
        <v>309</v>
      </c>
      <c r="F30" s="7" t="str">
        <f t="shared" si="2"/>
        <v>DF9</v>
      </c>
      <c r="G30" s="7" t="str">
        <f t="shared" si="3"/>
        <v>977</v>
      </c>
      <c r="H30" s="7">
        <f t="shared" si="9"/>
        <v>0</v>
      </c>
      <c r="I30" s="7">
        <f t="shared" si="14"/>
        <v>0</v>
      </c>
      <c r="J30" s="7">
        <f t="shared" si="15"/>
        <v>0</v>
      </c>
      <c r="K30" s="7">
        <f t="shared" si="12"/>
        <v>0</v>
      </c>
      <c r="L30" s="192">
        <f t="shared" si="4"/>
        <v>4</v>
      </c>
      <c r="M30" s="192">
        <f t="shared" si="5"/>
        <v>2</v>
      </c>
      <c r="N30" s="192">
        <f t="shared" si="6"/>
        <v>0</v>
      </c>
      <c r="O30" s="192">
        <f t="shared" si="7"/>
        <v>6</v>
      </c>
      <c r="P30" s="197">
        <f t="shared" si="13"/>
        <v>0</v>
      </c>
    </row>
    <row r="31" spans="1:16">
      <c r="A31" s="7">
        <f t="shared" si="8"/>
        <v>290</v>
      </c>
      <c r="B31">
        <v>777</v>
      </c>
      <c r="C31">
        <v>3577</v>
      </c>
      <c r="D31">
        <v>2423</v>
      </c>
      <c r="E31" s="7" t="str">
        <f t="shared" si="1"/>
        <v>309</v>
      </c>
      <c r="F31" s="7" t="str">
        <f t="shared" si="2"/>
        <v>DF9</v>
      </c>
      <c r="G31" s="7" t="str">
        <f t="shared" si="3"/>
        <v>977</v>
      </c>
      <c r="H31" s="7">
        <f t="shared" si="9"/>
        <v>0</v>
      </c>
      <c r="I31" s="7">
        <f t="shared" si="14"/>
        <v>0</v>
      </c>
      <c r="J31" s="7">
        <f t="shared" si="15"/>
        <v>0</v>
      </c>
      <c r="K31" s="7">
        <f t="shared" si="12"/>
        <v>0</v>
      </c>
      <c r="L31" s="192">
        <f t="shared" si="4"/>
        <v>4</v>
      </c>
      <c r="M31" s="192">
        <f t="shared" si="5"/>
        <v>2</v>
      </c>
      <c r="N31" s="192">
        <f t="shared" si="6"/>
        <v>0</v>
      </c>
      <c r="O31" s="192">
        <f t="shared" si="7"/>
        <v>6</v>
      </c>
      <c r="P31" s="197">
        <f t="shared" si="13"/>
        <v>0</v>
      </c>
    </row>
    <row r="32" spans="1:16">
      <c r="A32" s="7">
        <f t="shared" si="8"/>
        <v>300</v>
      </c>
      <c r="B32">
        <v>778</v>
      </c>
      <c r="C32">
        <v>3577</v>
      </c>
      <c r="D32">
        <v>2423</v>
      </c>
      <c r="E32" s="7" t="str">
        <f t="shared" si="1"/>
        <v>30A</v>
      </c>
      <c r="F32" s="7" t="str">
        <f t="shared" si="2"/>
        <v>DF9</v>
      </c>
      <c r="G32" s="7" t="str">
        <f t="shared" si="3"/>
        <v>977</v>
      </c>
      <c r="H32" s="7">
        <f t="shared" si="9"/>
        <v>1</v>
      </c>
      <c r="I32" s="7">
        <f t="shared" si="14"/>
        <v>0</v>
      </c>
      <c r="J32" s="7">
        <f t="shared" si="15"/>
        <v>0</v>
      </c>
      <c r="K32" s="7">
        <f t="shared" si="12"/>
        <v>1</v>
      </c>
      <c r="L32" s="192">
        <f t="shared" si="4"/>
        <v>5</v>
      </c>
      <c r="M32" s="192">
        <f t="shared" si="5"/>
        <v>2</v>
      </c>
      <c r="N32" s="192">
        <f t="shared" si="6"/>
        <v>0</v>
      </c>
      <c r="O32" s="192">
        <f t="shared" si="7"/>
        <v>7</v>
      </c>
      <c r="P32" s="197">
        <f t="shared" si="13"/>
        <v>0</v>
      </c>
    </row>
    <row r="33" spans="1:16">
      <c r="A33" s="7">
        <f t="shared" si="8"/>
        <v>310</v>
      </c>
      <c r="B33">
        <v>778</v>
      </c>
      <c r="C33">
        <v>3577</v>
      </c>
      <c r="D33">
        <v>2423</v>
      </c>
      <c r="E33" s="7" t="str">
        <f t="shared" si="1"/>
        <v>30A</v>
      </c>
      <c r="F33" s="7" t="str">
        <f t="shared" si="2"/>
        <v>DF9</v>
      </c>
      <c r="G33" s="7" t="str">
        <f t="shared" si="3"/>
        <v>977</v>
      </c>
      <c r="H33" s="7">
        <f t="shared" si="9"/>
        <v>1</v>
      </c>
      <c r="I33" s="7">
        <f t="shared" si="14"/>
        <v>0</v>
      </c>
      <c r="J33" s="7">
        <f t="shared" si="15"/>
        <v>0</v>
      </c>
      <c r="K33" s="7">
        <f t="shared" si="12"/>
        <v>1</v>
      </c>
      <c r="L33" s="192">
        <f t="shared" si="4"/>
        <v>5</v>
      </c>
      <c r="M33" s="192">
        <f t="shared" si="5"/>
        <v>2</v>
      </c>
      <c r="N33" s="192">
        <f t="shared" si="6"/>
        <v>0</v>
      </c>
      <c r="O33" s="192">
        <f t="shared" si="7"/>
        <v>7</v>
      </c>
      <c r="P33" s="197">
        <f t="shared" si="13"/>
        <v>0</v>
      </c>
    </row>
    <row r="34" spans="1:16">
      <c r="A34" s="7">
        <f t="shared" si="8"/>
        <v>320</v>
      </c>
      <c r="B34">
        <v>778</v>
      </c>
      <c r="C34">
        <v>3577</v>
      </c>
      <c r="D34">
        <v>2420</v>
      </c>
      <c r="E34" s="7" t="str">
        <f t="shared" si="1"/>
        <v>30A</v>
      </c>
      <c r="F34" s="7" t="str">
        <f t="shared" si="2"/>
        <v>DF9</v>
      </c>
      <c r="G34" s="7" t="str">
        <f t="shared" si="3"/>
        <v>974</v>
      </c>
      <c r="H34" s="7">
        <f t="shared" si="9"/>
        <v>1</v>
      </c>
      <c r="I34" s="7">
        <f t="shared" si="14"/>
        <v>0</v>
      </c>
      <c r="J34" s="7">
        <f t="shared" si="15"/>
        <v>1</v>
      </c>
      <c r="K34" s="7">
        <f t="shared" si="12"/>
        <v>0</v>
      </c>
      <c r="L34" s="192">
        <f t="shared" si="4"/>
        <v>5</v>
      </c>
      <c r="M34" s="192">
        <f t="shared" si="5"/>
        <v>2</v>
      </c>
      <c r="N34" s="192">
        <f t="shared" si="6"/>
        <v>1</v>
      </c>
      <c r="O34" s="192">
        <f t="shared" si="7"/>
        <v>6</v>
      </c>
      <c r="P34" s="197">
        <f t="shared" si="13"/>
        <v>0</v>
      </c>
    </row>
    <row r="35" spans="1:16">
      <c r="A35" s="7">
        <f t="shared" si="8"/>
        <v>330</v>
      </c>
      <c r="B35">
        <v>778</v>
      </c>
      <c r="C35">
        <v>3577</v>
      </c>
      <c r="D35">
        <v>2420</v>
      </c>
      <c r="E35" s="7" t="str">
        <f t="shared" si="1"/>
        <v>30A</v>
      </c>
      <c r="F35" s="7" t="str">
        <f t="shared" si="2"/>
        <v>DF9</v>
      </c>
      <c r="G35" s="7" t="str">
        <f t="shared" si="3"/>
        <v>974</v>
      </c>
      <c r="H35" s="7">
        <f t="shared" si="9"/>
        <v>1</v>
      </c>
      <c r="I35" s="7">
        <f t="shared" si="14"/>
        <v>0</v>
      </c>
      <c r="J35" s="7">
        <f t="shared" si="15"/>
        <v>1</v>
      </c>
      <c r="K35" s="7">
        <f t="shared" si="12"/>
        <v>0</v>
      </c>
      <c r="L35" s="192">
        <f t="shared" si="4"/>
        <v>5</v>
      </c>
      <c r="M35" s="192">
        <f t="shared" si="5"/>
        <v>2</v>
      </c>
      <c r="N35" s="192">
        <f t="shared" si="6"/>
        <v>1</v>
      </c>
      <c r="O35" s="192">
        <f t="shared" si="7"/>
        <v>6</v>
      </c>
      <c r="P35" s="197">
        <f t="shared" si="13"/>
        <v>0</v>
      </c>
    </row>
    <row r="36" spans="1:16">
      <c r="A36" s="7">
        <f t="shared" si="8"/>
        <v>340</v>
      </c>
      <c r="B36">
        <v>778</v>
      </c>
      <c r="C36">
        <v>3577</v>
      </c>
      <c r="D36">
        <v>2420</v>
      </c>
      <c r="E36" s="7" t="str">
        <f t="shared" si="1"/>
        <v>30A</v>
      </c>
      <c r="F36" s="7" t="str">
        <f t="shared" si="2"/>
        <v>DF9</v>
      </c>
      <c r="G36" s="7" t="str">
        <f t="shared" si="3"/>
        <v>974</v>
      </c>
      <c r="H36" s="7">
        <f t="shared" si="9"/>
        <v>1</v>
      </c>
      <c r="I36" s="7">
        <f t="shared" si="14"/>
        <v>0</v>
      </c>
      <c r="J36" s="7">
        <f t="shared" si="15"/>
        <v>1</v>
      </c>
      <c r="K36" s="7">
        <f t="shared" si="12"/>
        <v>0</v>
      </c>
      <c r="L36" s="192">
        <f t="shared" si="4"/>
        <v>5</v>
      </c>
      <c r="M36" s="192">
        <f t="shared" si="5"/>
        <v>2</v>
      </c>
      <c r="N36" s="192">
        <f t="shared" si="6"/>
        <v>1</v>
      </c>
      <c r="O36" s="192">
        <f t="shared" si="7"/>
        <v>6</v>
      </c>
      <c r="P36" s="197">
        <f t="shared" si="13"/>
        <v>0</v>
      </c>
    </row>
    <row r="37" spans="1:16">
      <c r="A37" s="7">
        <f t="shared" si="8"/>
        <v>350</v>
      </c>
      <c r="B37">
        <v>778</v>
      </c>
      <c r="C37">
        <v>3577</v>
      </c>
      <c r="D37">
        <v>2420</v>
      </c>
      <c r="E37" s="7" t="str">
        <f t="shared" si="1"/>
        <v>30A</v>
      </c>
      <c r="F37" s="7" t="str">
        <f t="shared" si="2"/>
        <v>DF9</v>
      </c>
      <c r="G37" s="7" t="str">
        <f t="shared" si="3"/>
        <v>974</v>
      </c>
      <c r="H37" s="7">
        <f t="shared" si="9"/>
        <v>1</v>
      </c>
      <c r="I37" s="7">
        <f t="shared" si="14"/>
        <v>0</v>
      </c>
      <c r="J37" s="7">
        <f t="shared" si="15"/>
        <v>1</v>
      </c>
      <c r="K37" s="7">
        <f t="shared" si="12"/>
        <v>0</v>
      </c>
      <c r="L37" s="192">
        <f t="shared" si="4"/>
        <v>5</v>
      </c>
      <c r="M37" s="192">
        <f t="shared" si="5"/>
        <v>2</v>
      </c>
      <c r="N37" s="192">
        <f t="shared" si="6"/>
        <v>1</v>
      </c>
      <c r="O37" s="192">
        <f t="shared" si="7"/>
        <v>6</v>
      </c>
      <c r="P37" s="197">
        <f t="shared" si="13"/>
        <v>0</v>
      </c>
    </row>
    <row r="38" spans="1:16">
      <c r="A38" s="7">
        <f t="shared" si="8"/>
        <v>360</v>
      </c>
      <c r="B38">
        <v>778</v>
      </c>
      <c r="C38">
        <v>3577</v>
      </c>
      <c r="D38">
        <v>2420</v>
      </c>
      <c r="E38" s="7" t="str">
        <f t="shared" si="1"/>
        <v>30A</v>
      </c>
      <c r="F38" s="7" t="str">
        <f t="shared" si="2"/>
        <v>DF9</v>
      </c>
      <c r="G38" s="7" t="str">
        <f t="shared" si="3"/>
        <v>974</v>
      </c>
      <c r="H38" s="7">
        <f t="shared" si="9"/>
        <v>1</v>
      </c>
      <c r="I38" s="7">
        <f t="shared" si="14"/>
        <v>0</v>
      </c>
      <c r="J38" s="7">
        <f t="shared" si="15"/>
        <v>1</v>
      </c>
      <c r="K38" s="7">
        <f t="shared" si="12"/>
        <v>0</v>
      </c>
      <c r="L38" s="192">
        <f t="shared" si="4"/>
        <v>5</v>
      </c>
      <c r="M38" s="192">
        <f t="shared" si="5"/>
        <v>2</v>
      </c>
      <c r="N38" s="192">
        <f t="shared" si="6"/>
        <v>1</v>
      </c>
      <c r="O38" s="192">
        <f t="shared" si="7"/>
        <v>6</v>
      </c>
      <c r="P38" s="197">
        <f t="shared" si="13"/>
        <v>0</v>
      </c>
    </row>
    <row r="39" spans="1:16" hidden="1">
      <c r="A39" s="7">
        <f t="shared" si="8"/>
        <v>370</v>
      </c>
      <c r="B39">
        <v>778</v>
      </c>
      <c r="C39">
        <v>3577</v>
      </c>
      <c r="D39">
        <v>2420</v>
      </c>
      <c r="E39" s="7" t="str">
        <f t="shared" si="1"/>
        <v>30A</v>
      </c>
      <c r="F39" s="7" t="str">
        <f t="shared" si="2"/>
        <v>DF9</v>
      </c>
      <c r="G39" s="7" t="str">
        <f t="shared" si="3"/>
        <v>974</v>
      </c>
      <c r="H39" s="7">
        <f t="shared" si="9"/>
        <v>1</v>
      </c>
      <c r="I39" s="7">
        <f t="shared" si="14"/>
        <v>0</v>
      </c>
      <c r="J39" s="7">
        <f t="shared" si="15"/>
        <v>1</v>
      </c>
      <c r="K39" s="7">
        <f t="shared" si="12"/>
        <v>0</v>
      </c>
      <c r="L39" s="192">
        <f t="shared" si="4"/>
        <v>5</v>
      </c>
      <c r="M39" s="192">
        <f t="shared" si="5"/>
        <v>2</v>
      </c>
      <c r="N39" s="192">
        <f t="shared" si="6"/>
        <v>1</v>
      </c>
      <c r="O39" s="192">
        <f t="shared" si="7"/>
        <v>6</v>
      </c>
      <c r="P39" s="197">
        <f t="shared" si="13"/>
        <v>0</v>
      </c>
    </row>
    <row r="40" spans="1:16" hidden="1">
      <c r="A40" s="7">
        <f t="shared" si="8"/>
        <v>380</v>
      </c>
      <c r="B40">
        <v>778</v>
      </c>
      <c r="C40">
        <v>3577</v>
      </c>
      <c r="D40">
        <v>2420</v>
      </c>
      <c r="E40" s="7" t="str">
        <f t="shared" si="1"/>
        <v>30A</v>
      </c>
      <c r="F40" s="7" t="str">
        <f t="shared" si="2"/>
        <v>DF9</v>
      </c>
      <c r="G40" s="7" t="str">
        <f t="shared" si="3"/>
        <v>974</v>
      </c>
      <c r="H40" s="7">
        <f t="shared" si="9"/>
        <v>1</v>
      </c>
      <c r="I40" s="7">
        <f t="shared" si="14"/>
        <v>0</v>
      </c>
      <c r="J40" s="7">
        <f t="shared" si="15"/>
        <v>1</v>
      </c>
      <c r="K40" s="7">
        <f t="shared" si="12"/>
        <v>0</v>
      </c>
      <c r="L40" s="192">
        <f t="shared" si="4"/>
        <v>5</v>
      </c>
      <c r="M40" s="192">
        <f t="shared" si="5"/>
        <v>2</v>
      </c>
      <c r="N40" s="192">
        <f t="shared" si="6"/>
        <v>1</v>
      </c>
      <c r="O40" s="192">
        <f t="shared" si="7"/>
        <v>6</v>
      </c>
      <c r="P40" s="197">
        <f t="shared" si="13"/>
        <v>0</v>
      </c>
    </row>
    <row r="41" spans="1:16" hidden="1">
      <c r="A41" s="7">
        <f t="shared" si="8"/>
        <v>390</v>
      </c>
      <c r="B41">
        <v>778</v>
      </c>
      <c r="C41">
        <v>3577</v>
      </c>
      <c r="D41">
        <v>2420</v>
      </c>
      <c r="E41" s="7" t="str">
        <f t="shared" si="1"/>
        <v>30A</v>
      </c>
      <c r="F41" s="7" t="str">
        <f t="shared" si="2"/>
        <v>DF9</v>
      </c>
      <c r="G41" s="7" t="str">
        <f t="shared" si="3"/>
        <v>974</v>
      </c>
      <c r="H41" s="7">
        <f t="shared" si="9"/>
        <v>1</v>
      </c>
      <c r="I41" s="7">
        <f t="shared" si="14"/>
        <v>0</v>
      </c>
      <c r="J41" s="7">
        <f t="shared" si="15"/>
        <v>1</v>
      </c>
      <c r="K41" s="7">
        <f t="shared" si="12"/>
        <v>0</v>
      </c>
      <c r="L41" s="192">
        <f t="shared" si="4"/>
        <v>5</v>
      </c>
      <c r="M41" s="192">
        <f t="shared" si="5"/>
        <v>2</v>
      </c>
      <c r="N41" s="192">
        <f t="shared" si="6"/>
        <v>1</v>
      </c>
      <c r="O41" s="192">
        <f t="shared" si="7"/>
        <v>6</v>
      </c>
      <c r="P41" s="197">
        <f t="shared" si="13"/>
        <v>0</v>
      </c>
    </row>
    <row r="42" spans="1:16" hidden="1">
      <c r="A42" s="7">
        <f t="shared" si="8"/>
        <v>400</v>
      </c>
      <c r="B42">
        <v>778</v>
      </c>
      <c r="C42">
        <v>3577</v>
      </c>
      <c r="D42">
        <v>2420</v>
      </c>
      <c r="E42" s="7" t="str">
        <f t="shared" si="1"/>
        <v>30A</v>
      </c>
      <c r="F42" s="7" t="str">
        <f t="shared" si="2"/>
        <v>DF9</v>
      </c>
      <c r="G42" s="7" t="str">
        <f t="shared" si="3"/>
        <v>974</v>
      </c>
      <c r="H42" s="7">
        <f t="shared" ref="H42:H72" si="16">IF(B42=B41,H41,1-H41)</f>
        <v>1</v>
      </c>
      <c r="I42" s="7">
        <f t="shared" si="14"/>
        <v>0</v>
      </c>
      <c r="J42" s="7">
        <f t="shared" si="15"/>
        <v>1</v>
      </c>
      <c r="K42" s="7">
        <f t="shared" si="12"/>
        <v>0</v>
      </c>
      <c r="L42" s="192">
        <f t="shared" si="4"/>
        <v>5</v>
      </c>
      <c r="M42" s="192">
        <f t="shared" si="5"/>
        <v>2</v>
      </c>
      <c r="N42" s="192">
        <f t="shared" si="6"/>
        <v>1</v>
      </c>
      <c r="O42" s="192">
        <f t="shared" si="7"/>
        <v>6</v>
      </c>
      <c r="P42" s="197">
        <f t="shared" si="13"/>
        <v>0</v>
      </c>
    </row>
    <row r="43" spans="1:16" hidden="1">
      <c r="A43" s="7">
        <f t="shared" si="8"/>
        <v>410</v>
      </c>
      <c r="B43">
        <v>778</v>
      </c>
      <c r="C43">
        <v>3577</v>
      </c>
      <c r="D43">
        <v>2420</v>
      </c>
      <c r="E43" s="7" t="str">
        <f t="shared" si="1"/>
        <v>30A</v>
      </c>
      <c r="F43" s="7" t="str">
        <f t="shared" si="2"/>
        <v>DF9</v>
      </c>
      <c r="G43" s="7" t="str">
        <f t="shared" si="3"/>
        <v>974</v>
      </c>
      <c r="H43" s="7">
        <f t="shared" si="16"/>
        <v>1</v>
      </c>
      <c r="I43" s="7">
        <f t="shared" si="14"/>
        <v>0</v>
      </c>
      <c r="J43" s="7">
        <f t="shared" si="15"/>
        <v>1</v>
      </c>
      <c r="K43" s="7">
        <f t="shared" si="12"/>
        <v>0</v>
      </c>
      <c r="L43" s="192">
        <f t="shared" si="4"/>
        <v>5</v>
      </c>
      <c r="M43" s="192">
        <f t="shared" si="5"/>
        <v>2</v>
      </c>
      <c r="N43" s="192">
        <f t="shared" si="6"/>
        <v>1</v>
      </c>
      <c r="O43" s="192">
        <f t="shared" si="7"/>
        <v>6</v>
      </c>
      <c r="P43" s="197">
        <f t="shared" si="13"/>
        <v>0</v>
      </c>
    </row>
    <row r="44" spans="1:16" hidden="1">
      <c r="A44" s="7">
        <f t="shared" si="8"/>
        <v>420</v>
      </c>
      <c r="B44">
        <v>778</v>
      </c>
      <c r="C44">
        <v>3577</v>
      </c>
      <c r="D44">
        <v>2420</v>
      </c>
      <c r="E44" s="7" t="str">
        <f t="shared" si="1"/>
        <v>30A</v>
      </c>
      <c r="F44" s="7" t="str">
        <f t="shared" si="2"/>
        <v>DF9</v>
      </c>
      <c r="G44" s="7" t="str">
        <f t="shared" si="3"/>
        <v>974</v>
      </c>
      <c r="H44" s="7">
        <f t="shared" si="16"/>
        <v>1</v>
      </c>
      <c r="I44" s="7">
        <f t="shared" si="14"/>
        <v>0</v>
      </c>
      <c r="J44" s="7">
        <f t="shared" si="15"/>
        <v>1</v>
      </c>
      <c r="K44" s="7">
        <f t="shared" si="12"/>
        <v>0</v>
      </c>
      <c r="L44" s="192">
        <f t="shared" si="4"/>
        <v>5</v>
      </c>
      <c r="M44" s="192">
        <f t="shared" si="5"/>
        <v>2</v>
      </c>
      <c r="N44" s="192">
        <f t="shared" si="6"/>
        <v>1</v>
      </c>
      <c r="O44" s="192">
        <f t="shared" si="7"/>
        <v>6</v>
      </c>
      <c r="P44" s="197">
        <f t="shared" si="13"/>
        <v>0</v>
      </c>
    </row>
    <row r="45" spans="1:16" hidden="1">
      <c r="A45" s="7">
        <f t="shared" si="8"/>
        <v>430</v>
      </c>
      <c r="B45">
        <v>777</v>
      </c>
      <c r="C45">
        <v>3577</v>
      </c>
      <c r="D45">
        <v>2420</v>
      </c>
      <c r="E45" s="7" t="str">
        <f t="shared" si="1"/>
        <v>309</v>
      </c>
      <c r="F45" s="7" t="str">
        <f t="shared" si="2"/>
        <v>DF9</v>
      </c>
      <c r="G45" s="7" t="str">
        <f t="shared" si="3"/>
        <v>974</v>
      </c>
      <c r="H45" s="7">
        <f t="shared" si="16"/>
        <v>0</v>
      </c>
      <c r="I45" s="7">
        <f t="shared" si="14"/>
        <v>0</v>
      </c>
      <c r="J45" s="7">
        <f t="shared" si="15"/>
        <v>1</v>
      </c>
      <c r="K45" s="7">
        <f t="shared" si="12"/>
        <v>1</v>
      </c>
      <c r="L45" s="192">
        <f t="shared" si="4"/>
        <v>4</v>
      </c>
      <c r="M45" s="192">
        <f t="shared" si="5"/>
        <v>2</v>
      </c>
      <c r="N45" s="192">
        <f t="shared" si="6"/>
        <v>1</v>
      </c>
      <c r="O45" s="192">
        <f t="shared" si="7"/>
        <v>7</v>
      </c>
      <c r="P45" s="197">
        <f t="shared" si="13"/>
        <v>0</v>
      </c>
    </row>
    <row r="46" spans="1:16" hidden="1">
      <c r="A46" s="7">
        <f t="shared" si="8"/>
        <v>440</v>
      </c>
      <c r="B46">
        <v>777</v>
      </c>
      <c r="C46">
        <v>3577</v>
      </c>
      <c r="D46">
        <v>2420</v>
      </c>
      <c r="E46" s="7" t="str">
        <f t="shared" si="1"/>
        <v>309</v>
      </c>
      <c r="F46" s="7" t="str">
        <f t="shared" si="2"/>
        <v>DF9</v>
      </c>
      <c r="G46" s="7" t="str">
        <f t="shared" si="3"/>
        <v>974</v>
      </c>
      <c r="H46" s="7">
        <f t="shared" si="16"/>
        <v>0</v>
      </c>
      <c r="I46" s="7">
        <f t="shared" si="14"/>
        <v>0</v>
      </c>
      <c r="J46" s="7">
        <f t="shared" si="15"/>
        <v>1</v>
      </c>
      <c r="K46" s="7">
        <f t="shared" si="12"/>
        <v>1</v>
      </c>
      <c r="L46" s="192">
        <f t="shared" si="4"/>
        <v>4</v>
      </c>
      <c r="M46" s="192">
        <f t="shared" si="5"/>
        <v>2</v>
      </c>
      <c r="N46" s="192">
        <f t="shared" si="6"/>
        <v>1</v>
      </c>
      <c r="O46" s="192">
        <f t="shared" si="7"/>
        <v>7</v>
      </c>
      <c r="P46" s="197">
        <f t="shared" si="13"/>
        <v>0</v>
      </c>
    </row>
    <row r="47" spans="1:16" hidden="1">
      <c r="A47" s="7">
        <f t="shared" si="8"/>
        <v>450</v>
      </c>
      <c r="B47">
        <v>777</v>
      </c>
      <c r="C47">
        <v>3577</v>
      </c>
      <c r="D47">
        <v>2421</v>
      </c>
      <c r="E47" s="7" t="str">
        <f t="shared" si="1"/>
        <v>309</v>
      </c>
      <c r="F47" s="7" t="str">
        <f t="shared" si="2"/>
        <v>DF9</v>
      </c>
      <c r="G47" s="7" t="str">
        <f t="shared" si="3"/>
        <v>975</v>
      </c>
      <c r="H47" s="7">
        <f t="shared" si="16"/>
        <v>0</v>
      </c>
      <c r="I47" s="7">
        <f t="shared" si="14"/>
        <v>0</v>
      </c>
      <c r="J47" s="7">
        <f t="shared" si="15"/>
        <v>0</v>
      </c>
      <c r="K47" s="7">
        <f t="shared" si="12"/>
        <v>0</v>
      </c>
      <c r="L47" s="192">
        <f t="shared" si="4"/>
        <v>4</v>
      </c>
      <c r="M47" s="192">
        <f t="shared" si="5"/>
        <v>2</v>
      </c>
      <c r="N47" s="192">
        <f t="shared" si="6"/>
        <v>0</v>
      </c>
      <c r="O47" s="192">
        <f t="shared" si="7"/>
        <v>6</v>
      </c>
      <c r="P47" s="197">
        <f t="shared" si="13"/>
        <v>0</v>
      </c>
    </row>
    <row r="48" spans="1:16" hidden="1">
      <c r="A48" s="7">
        <f t="shared" si="8"/>
        <v>460</v>
      </c>
      <c r="B48">
        <v>777</v>
      </c>
      <c r="C48">
        <v>3577</v>
      </c>
      <c r="D48">
        <v>2421</v>
      </c>
      <c r="E48" s="7" t="str">
        <f t="shared" si="1"/>
        <v>309</v>
      </c>
      <c r="F48" s="7" t="str">
        <f t="shared" si="2"/>
        <v>DF9</v>
      </c>
      <c r="G48" s="7" t="str">
        <f t="shared" si="3"/>
        <v>975</v>
      </c>
      <c r="H48" s="7">
        <f t="shared" si="16"/>
        <v>0</v>
      </c>
      <c r="I48" s="7">
        <f t="shared" si="14"/>
        <v>0</v>
      </c>
      <c r="J48" s="7">
        <f t="shared" si="15"/>
        <v>0</v>
      </c>
      <c r="K48" s="7">
        <f t="shared" si="12"/>
        <v>0</v>
      </c>
      <c r="L48" s="192">
        <f t="shared" si="4"/>
        <v>4</v>
      </c>
      <c r="M48" s="192">
        <f t="shared" si="5"/>
        <v>2</v>
      </c>
      <c r="N48" s="192">
        <f t="shared" si="6"/>
        <v>0</v>
      </c>
      <c r="O48" s="192">
        <f t="shared" si="7"/>
        <v>6</v>
      </c>
      <c r="P48" s="197">
        <f t="shared" si="13"/>
        <v>0</v>
      </c>
    </row>
    <row r="49" spans="1:16" hidden="1">
      <c r="A49" s="7">
        <f t="shared" si="8"/>
        <v>470</v>
      </c>
      <c r="B49">
        <v>777</v>
      </c>
      <c r="C49">
        <v>3577</v>
      </c>
      <c r="D49">
        <v>2421</v>
      </c>
      <c r="E49" s="7" t="str">
        <f t="shared" si="1"/>
        <v>309</v>
      </c>
      <c r="F49" s="7" t="str">
        <f t="shared" si="2"/>
        <v>DF9</v>
      </c>
      <c r="G49" s="7" t="str">
        <f t="shared" si="3"/>
        <v>975</v>
      </c>
      <c r="H49" s="7">
        <f t="shared" si="16"/>
        <v>0</v>
      </c>
      <c r="I49" s="7">
        <f t="shared" si="14"/>
        <v>0</v>
      </c>
      <c r="J49" s="7">
        <f t="shared" si="15"/>
        <v>0</v>
      </c>
      <c r="K49" s="7">
        <f t="shared" si="12"/>
        <v>0</v>
      </c>
      <c r="L49" s="192">
        <f t="shared" si="4"/>
        <v>4</v>
      </c>
      <c r="M49" s="192">
        <f t="shared" si="5"/>
        <v>2</v>
      </c>
      <c r="N49" s="192">
        <f t="shared" si="6"/>
        <v>0</v>
      </c>
      <c r="O49" s="192">
        <f t="shared" si="7"/>
        <v>6</v>
      </c>
      <c r="P49" s="197">
        <f t="shared" si="13"/>
        <v>0</v>
      </c>
    </row>
    <row r="50" spans="1:16" hidden="1">
      <c r="A50" s="7">
        <f t="shared" si="8"/>
        <v>480</v>
      </c>
      <c r="B50">
        <v>777</v>
      </c>
      <c r="C50">
        <v>3577</v>
      </c>
      <c r="D50">
        <v>2421</v>
      </c>
      <c r="E50" s="7" t="str">
        <f t="shared" si="1"/>
        <v>309</v>
      </c>
      <c r="F50" s="7" t="str">
        <f t="shared" si="2"/>
        <v>DF9</v>
      </c>
      <c r="G50" s="7" t="str">
        <f t="shared" si="3"/>
        <v>975</v>
      </c>
      <c r="H50" s="7">
        <f t="shared" si="16"/>
        <v>0</v>
      </c>
      <c r="I50" s="7">
        <f t="shared" si="14"/>
        <v>0</v>
      </c>
      <c r="J50" s="7">
        <f t="shared" si="15"/>
        <v>0</v>
      </c>
      <c r="K50" s="7">
        <f t="shared" si="12"/>
        <v>0</v>
      </c>
      <c r="L50" s="192">
        <f t="shared" si="4"/>
        <v>4</v>
      </c>
      <c r="M50" s="192">
        <f t="shared" si="5"/>
        <v>2</v>
      </c>
      <c r="N50" s="192">
        <f t="shared" si="6"/>
        <v>0</v>
      </c>
      <c r="O50" s="192">
        <f t="shared" si="7"/>
        <v>6</v>
      </c>
      <c r="P50" s="197">
        <f t="shared" si="13"/>
        <v>0</v>
      </c>
    </row>
    <row r="51" spans="1:16" hidden="1">
      <c r="A51" s="7">
        <f t="shared" si="8"/>
        <v>490</v>
      </c>
      <c r="B51">
        <v>778</v>
      </c>
      <c r="C51">
        <v>3577</v>
      </c>
      <c r="D51">
        <v>2421</v>
      </c>
      <c r="E51" s="7" t="str">
        <f t="shared" si="1"/>
        <v>30A</v>
      </c>
      <c r="F51" s="7" t="str">
        <f t="shared" si="2"/>
        <v>DF9</v>
      </c>
      <c r="G51" s="7" t="str">
        <f t="shared" si="3"/>
        <v>975</v>
      </c>
      <c r="H51" s="7">
        <f t="shared" si="16"/>
        <v>1</v>
      </c>
      <c r="I51" s="7">
        <f t="shared" si="14"/>
        <v>0</v>
      </c>
      <c r="J51" s="7">
        <f t="shared" si="15"/>
        <v>0</v>
      </c>
      <c r="K51" s="7">
        <f t="shared" si="12"/>
        <v>1</v>
      </c>
      <c r="L51" s="192">
        <f t="shared" si="4"/>
        <v>5</v>
      </c>
      <c r="M51" s="192">
        <f t="shared" si="5"/>
        <v>2</v>
      </c>
      <c r="N51" s="192">
        <f t="shared" si="6"/>
        <v>0</v>
      </c>
      <c r="O51" s="192">
        <f t="shared" si="7"/>
        <v>7</v>
      </c>
      <c r="P51" s="197">
        <f t="shared" si="13"/>
        <v>0</v>
      </c>
    </row>
    <row r="52" spans="1:16" hidden="1">
      <c r="A52" s="7">
        <f t="shared" si="8"/>
        <v>500</v>
      </c>
      <c r="B52">
        <v>778</v>
      </c>
      <c r="C52">
        <v>3577</v>
      </c>
      <c r="D52">
        <v>2421</v>
      </c>
      <c r="E52" s="7" t="str">
        <f t="shared" si="1"/>
        <v>30A</v>
      </c>
      <c r="F52" s="7" t="str">
        <f t="shared" si="2"/>
        <v>DF9</v>
      </c>
      <c r="G52" s="7" t="str">
        <f t="shared" si="3"/>
        <v>975</v>
      </c>
      <c r="H52" s="7">
        <f t="shared" si="16"/>
        <v>1</v>
      </c>
      <c r="I52" s="7">
        <f t="shared" si="14"/>
        <v>0</v>
      </c>
      <c r="J52" s="7">
        <f t="shared" si="15"/>
        <v>0</v>
      </c>
      <c r="K52" s="7">
        <f t="shared" si="12"/>
        <v>1</v>
      </c>
      <c r="L52" s="192">
        <f t="shared" si="4"/>
        <v>5</v>
      </c>
      <c r="M52" s="192">
        <f t="shared" si="5"/>
        <v>2</v>
      </c>
      <c r="N52" s="192">
        <f t="shared" si="6"/>
        <v>0</v>
      </c>
      <c r="O52" s="192">
        <f t="shared" si="7"/>
        <v>7</v>
      </c>
      <c r="P52" s="197">
        <f t="shared" si="13"/>
        <v>0</v>
      </c>
    </row>
    <row r="53" spans="1:16" hidden="1">
      <c r="A53" s="7">
        <f t="shared" si="8"/>
        <v>510</v>
      </c>
      <c r="B53">
        <v>778</v>
      </c>
      <c r="C53">
        <v>3577</v>
      </c>
      <c r="D53">
        <v>2421</v>
      </c>
      <c r="E53" s="7" t="str">
        <f t="shared" si="1"/>
        <v>30A</v>
      </c>
      <c r="F53" s="7" t="str">
        <f t="shared" si="2"/>
        <v>DF9</v>
      </c>
      <c r="G53" s="7" t="str">
        <f t="shared" si="3"/>
        <v>975</v>
      </c>
      <c r="H53" s="7">
        <f t="shared" si="16"/>
        <v>1</v>
      </c>
      <c r="I53" s="7">
        <f t="shared" si="14"/>
        <v>0</v>
      </c>
      <c r="J53" s="7">
        <f t="shared" si="15"/>
        <v>0</v>
      </c>
      <c r="K53" s="7">
        <f t="shared" si="12"/>
        <v>1</v>
      </c>
      <c r="L53" s="192">
        <f t="shared" si="4"/>
        <v>5</v>
      </c>
      <c r="M53" s="192">
        <f t="shared" si="5"/>
        <v>2</v>
      </c>
      <c r="N53" s="192">
        <f t="shared" si="6"/>
        <v>0</v>
      </c>
      <c r="O53" s="192">
        <f t="shared" si="7"/>
        <v>7</v>
      </c>
      <c r="P53" s="197">
        <f t="shared" si="13"/>
        <v>0</v>
      </c>
    </row>
    <row r="54" spans="1:16" hidden="1">
      <c r="A54" s="7">
        <f t="shared" si="8"/>
        <v>520</v>
      </c>
      <c r="B54">
        <v>778</v>
      </c>
      <c r="C54">
        <v>3577</v>
      </c>
      <c r="D54">
        <v>2421</v>
      </c>
      <c r="E54" s="7" t="str">
        <f t="shared" si="1"/>
        <v>30A</v>
      </c>
      <c r="F54" s="7" t="str">
        <f t="shared" si="2"/>
        <v>DF9</v>
      </c>
      <c r="G54" s="7" t="str">
        <f t="shared" si="3"/>
        <v>975</v>
      </c>
      <c r="H54" s="7">
        <f t="shared" si="16"/>
        <v>1</v>
      </c>
      <c r="I54" s="7">
        <f t="shared" si="14"/>
        <v>0</v>
      </c>
      <c r="J54" s="7">
        <f t="shared" si="15"/>
        <v>0</v>
      </c>
      <c r="K54" s="7">
        <f t="shared" si="12"/>
        <v>1</v>
      </c>
      <c r="L54" s="192">
        <f t="shared" si="4"/>
        <v>5</v>
      </c>
      <c r="M54" s="192">
        <f t="shared" si="5"/>
        <v>2</v>
      </c>
      <c r="N54" s="192">
        <f t="shared" si="6"/>
        <v>0</v>
      </c>
      <c r="O54" s="192">
        <f t="shared" si="7"/>
        <v>7</v>
      </c>
      <c r="P54" s="197">
        <f t="shared" si="13"/>
        <v>0</v>
      </c>
    </row>
    <row r="55" spans="1:16" hidden="1">
      <c r="A55" s="7">
        <f t="shared" si="8"/>
        <v>530</v>
      </c>
      <c r="B55">
        <v>778</v>
      </c>
      <c r="C55">
        <v>3579</v>
      </c>
      <c r="D55">
        <v>2421</v>
      </c>
      <c r="E55" s="7" t="str">
        <f t="shared" si="1"/>
        <v>30A</v>
      </c>
      <c r="F55" s="7" t="str">
        <f t="shared" si="2"/>
        <v>DFB</v>
      </c>
      <c r="G55" s="7" t="str">
        <f t="shared" si="3"/>
        <v>975</v>
      </c>
      <c r="H55" s="7">
        <f t="shared" si="16"/>
        <v>1</v>
      </c>
      <c r="I55" s="7">
        <f t="shared" si="14"/>
        <v>1</v>
      </c>
      <c r="J55" s="7">
        <f t="shared" si="15"/>
        <v>0</v>
      </c>
      <c r="K55" s="7">
        <f t="shared" si="12"/>
        <v>0</v>
      </c>
      <c r="L55" s="192">
        <f t="shared" si="4"/>
        <v>5</v>
      </c>
      <c r="M55" s="192">
        <f t="shared" si="5"/>
        <v>3</v>
      </c>
      <c r="N55" s="192">
        <f t="shared" si="6"/>
        <v>0</v>
      </c>
      <c r="O55" s="192">
        <f t="shared" si="7"/>
        <v>6</v>
      </c>
      <c r="P55" s="197">
        <f t="shared" si="13"/>
        <v>0</v>
      </c>
    </row>
    <row r="56" spans="1:16" hidden="1">
      <c r="A56" s="7">
        <f t="shared" si="8"/>
        <v>540</v>
      </c>
      <c r="B56">
        <v>778</v>
      </c>
      <c r="C56">
        <v>3579</v>
      </c>
      <c r="D56">
        <v>2421</v>
      </c>
      <c r="E56" s="7" t="str">
        <f t="shared" si="1"/>
        <v>30A</v>
      </c>
      <c r="F56" s="7" t="str">
        <f t="shared" si="2"/>
        <v>DFB</v>
      </c>
      <c r="G56" s="7" t="str">
        <f t="shared" si="3"/>
        <v>975</v>
      </c>
      <c r="H56" s="7">
        <f t="shared" si="16"/>
        <v>1</v>
      </c>
      <c r="I56" s="7">
        <f t="shared" si="14"/>
        <v>1</v>
      </c>
      <c r="J56" s="7">
        <f t="shared" si="15"/>
        <v>0</v>
      </c>
      <c r="K56" s="7">
        <f t="shared" si="12"/>
        <v>0</v>
      </c>
      <c r="L56" s="192">
        <f t="shared" si="4"/>
        <v>5</v>
      </c>
      <c r="M56" s="192">
        <f t="shared" si="5"/>
        <v>3</v>
      </c>
      <c r="N56" s="192">
        <f t="shared" si="6"/>
        <v>0</v>
      </c>
      <c r="O56" s="192">
        <f t="shared" si="7"/>
        <v>6</v>
      </c>
      <c r="P56" s="197">
        <f t="shared" si="13"/>
        <v>0</v>
      </c>
    </row>
    <row r="57" spans="1:16" hidden="1">
      <c r="A57" s="7">
        <f t="shared" si="8"/>
        <v>550</v>
      </c>
      <c r="B57">
        <v>778</v>
      </c>
      <c r="C57">
        <v>3579</v>
      </c>
      <c r="D57">
        <v>2421</v>
      </c>
      <c r="E57" s="7" t="str">
        <f t="shared" si="1"/>
        <v>30A</v>
      </c>
      <c r="F57" s="7" t="str">
        <f t="shared" si="2"/>
        <v>DFB</v>
      </c>
      <c r="G57" s="7" t="str">
        <f t="shared" si="3"/>
        <v>975</v>
      </c>
      <c r="H57" s="7">
        <f t="shared" si="16"/>
        <v>1</v>
      </c>
      <c r="I57" s="7">
        <f t="shared" si="14"/>
        <v>1</v>
      </c>
      <c r="J57" s="7">
        <f t="shared" si="15"/>
        <v>0</v>
      </c>
      <c r="K57" s="7">
        <f t="shared" si="12"/>
        <v>0</v>
      </c>
      <c r="L57" s="192">
        <f t="shared" si="4"/>
        <v>5</v>
      </c>
      <c r="M57" s="192">
        <f t="shared" si="5"/>
        <v>3</v>
      </c>
      <c r="N57" s="192">
        <f t="shared" si="6"/>
        <v>0</v>
      </c>
      <c r="O57" s="192">
        <f t="shared" si="7"/>
        <v>6</v>
      </c>
      <c r="P57" s="197">
        <f t="shared" si="13"/>
        <v>0</v>
      </c>
    </row>
    <row r="58" spans="1:16" hidden="1">
      <c r="A58" s="7">
        <f t="shared" si="8"/>
        <v>560</v>
      </c>
      <c r="B58">
        <v>778</v>
      </c>
      <c r="C58">
        <v>3579</v>
      </c>
      <c r="D58">
        <v>2421</v>
      </c>
      <c r="E58" s="7" t="str">
        <f t="shared" si="1"/>
        <v>30A</v>
      </c>
      <c r="F58" s="7" t="str">
        <f t="shared" si="2"/>
        <v>DFB</v>
      </c>
      <c r="G58" s="7" t="str">
        <f t="shared" si="3"/>
        <v>975</v>
      </c>
      <c r="H58" s="7">
        <f t="shared" si="16"/>
        <v>1</v>
      </c>
      <c r="I58" s="7">
        <f t="shared" si="14"/>
        <v>1</v>
      </c>
      <c r="J58" s="7">
        <f t="shared" si="15"/>
        <v>0</v>
      </c>
      <c r="K58" s="7">
        <f t="shared" si="12"/>
        <v>0</v>
      </c>
      <c r="L58" s="192">
        <f t="shared" si="4"/>
        <v>5</v>
      </c>
      <c r="M58" s="192">
        <f t="shared" si="5"/>
        <v>3</v>
      </c>
      <c r="N58" s="192">
        <f t="shared" si="6"/>
        <v>0</v>
      </c>
      <c r="O58" s="192">
        <f t="shared" si="7"/>
        <v>6</v>
      </c>
      <c r="P58" s="197">
        <f t="shared" si="13"/>
        <v>0</v>
      </c>
    </row>
    <row r="59" spans="1:16" hidden="1">
      <c r="A59" s="7">
        <f t="shared" si="8"/>
        <v>570</v>
      </c>
      <c r="B59">
        <v>778</v>
      </c>
      <c r="C59">
        <v>3579</v>
      </c>
      <c r="D59">
        <v>2421</v>
      </c>
      <c r="E59" s="7" t="str">
        <f t="shared" si="1"/>
        <v>30A</v>
      </c>
      <c r="F59" s="7" t="str">
        <f t="shared" si="2"/>
        <v>DFB</v>
      </c>
      <c r="G59" s="7" t="str">
        <f t="shared" si="3"/>
        <v>975</v>
      </c>
      <c r="H59" s="7">
        <f t="shared" si="16"/>
        <v>1</v>
      </c>
      <c r="I59" s="7">
        <f t="shared" si="14"/>
        <v>1</v>
      </c>
      <c r="J59" s="7">
        <f t="shared" si="15"/>
        <v>0</v>
      </c>
      <c r="K59" s="7">
        <f t="shared" si="12"/>
        <v>0</v>
      </c>
      <c r="L59" s="192">
        <f t="shared" si="4"/>
        <v>5</v>
      </c>
      <c r="M59" s="192">
        <f t="shared" si="5"/>
        <v>3</v>
      </c>
      <c r="N59" s="192">
        <f t="shared" si="6"/>
        <v>0</v>
      </c>
      <c r="O59" s="192">
        <f t="shared" si="7"/>
        <v>6</v>
      </c>
      <c r="P59" s="197">
        <f t="shared" si="13"/>
        <v>0</v>
      </c>
    </row>
    <row r="60" spans="1:16" hidden="1">
      <c r="A60" s="7">
        <f t="shared" si="8"/>
        <v>580</v>
      </c>
      <c r="B60">
        <v>778</v>
      </c>
      <c r="C60">
        <v>3579</v>
      </c>
      <c r="D60">
        <v>2421</v>
      </c>
      <c r="E60" s="7" t="str">
        <f t="shared" si="1"/>
        <v>30A</v>
      </c>
      <c r="F60" s="7" t="str">
        <f t="shared" si="2"/>
        <v>DFB</v>
      </c>
      <c r="G60" s="7" t="str">
        <f t="shared" si="3"/>
        <v>975</v>
      </c>
      <c r="H60" s="7">
        <f t="shared" si="16"/>
        <v>1</v>
      </c>
      <c r="I60" s="7">
        <f t="shared" si="14"/>
        <v>1</v>
      </c>
      <c r="J60" s="7">
        <f t="shared" si="15"/>
        <v>0</v>
      </c>
      <c r="K60" s="7">
        <f t="shared" si="12"/>
        <v>0</v>
      </c>
      <c r="L60" s="192">
        <f t="shared" si="4"/>
        <v>5</v>
      </c>
      <c r="M60" s="192">
        <f t="shared" si="5"/>
        <v>3</v>
      </c>
      <c r="N60" s="192">
        <f t="shared" si="6"/>
        <v>0</v>
      </c>
      <c r="O60" s="192">
        <f t="shared" si="7"/>
        <v>6</v>
      </c>
      <c r="P60" s="197">
        <f t="shared" si="13"/>
        <v>0</v>
      </c>
    </row>
    <row r="61" spans="1:16" hidden="1">
      <c r="A61" s="7">
        <f t="shared" si="8"/>
        <v>590</v>
      </c>
      <c r="B61">
        <v>778</v>
      </c>
      <c r="C61">
        <v>3575</v>
      </c>
      <c r="D61">
        <v>2421</v>
      </c>
      <c r="E61" s="7" t="str">
        <f t="shared" si="1"/>
        <v>30A</v>
      </c>
      <c r="F61" s="7" t="str">
        <f t="shared" si="2"/>
        <v>DF7</v>
      </c>
      <c r="G61" s="7" t="str">
        <f t="shared" si="3"/>
        <v>975</v>
      </c>
      <c r="H61" s="7">
        <f t="shared" si="16"/>
        <v>1</v>
      </c>
      <c r="I61" s="7">
        <f t="shared" si="14"/>
        <v>0</v>
      </c>
      <c r="J61" s="7">
        <f t="shared" si="15"/>
        <v>0</v>
      </c>
      <c r="K61" s="7">
        <f t="shared" si="12"/>
        <v>1</v>
      </c>
      <c r="L61" s="192">
        <f t="shared" si="4"/>
        <v>5</v>
      </c>
      <c r="M61" s="192">
        <f t="shared" si="5"/>
        <v>2</v>
      </c>
      <c r="N61" s="192">
        <f t="shared" si="6"/>
        <v>0</v>
      </c>
      <c r="O61" s="192">
        <f t="shared" si="7"/>
        <v>7</v>
      </c>
      <c r="P61" s="197">
        <f t="shared" si="13"/>
        <v>0</v>
      </c>
    </row>
    <row r="62" spans="1:16" hidden="1">
      <c r="A62" s="7">
        <f t="shared" si="8"/>
        <v>600</v>
      </c>
      <c r="B62">
        <v>778</v>
      </c>
      <c r="C62">
        <v>3575</v>
      </c>
      <c r="D62">
        <v>2421</v>
      </c>
      <c r="E62" s="7" t="str">
        <f t="shared" si="1"/>
        <v>30A</v>
      </c>
      <c r="F62" s="7" t="str">
        <f t="shared" si="2"/>
        <v>DF7</v>
      </c>
      <c r="G62" s="7" t="str">
        <f t="shared" si="3"/>
        <v>975</v>
      </c>
      <c r="H62" s="7">
        <f t="shared" si="16"/>
        <v>1</v>
      </c>
      <c r="I62" s="7">
        <f t="shared" si="14"/>
        <v>0</v>
      </c>
      <c r="J62" s="7">
        <f t="shared" si="15"/>
        <v>0</v>
      </c>
      <c r="K62" s="7">
        <f t="shared" si="12"/>
        <v>1</v>
      </c>
      <c r="L62" s="192">
        <f t="shared" si="4"/>
        <v>5</v>
      </c>
      <c r="M62" s="192">
        <f t="shared" si="5"/>
        <v>2</v>
      </c>
      <c r="N62" s="192">
        <f t="shared" si="6"/>
        <v>0</v>
      </c>
      <c r="O62" s="192">
        <f t="shared" si="7"/>
        <v>7</v>
      </c>
      <c r="P62" s="197">
        <f t="shared" si="13"/>
        <v>0</v>
      </c>
    </row>
    <row r="63" spans="1:16" hidden="1">
      <c r="A63" s="7">
        <f t="shared" si="8"/>
        <v>610</v>
      </c>
      <c r="B63">
        <v>778</v>
      </c>
      <c r="C63">
        <v>3575</v>
      </c>
      <c r="D63">
        <v>2421</v>
      </c>
      <c r="E63" s="7" t="str">
        <f t="shared" si="1"/>
        <v>30A</v>
      </c>
      <c r="F63" s="7" t="str">
        <f t="shared" si="2"/>
        <v>DF7</v>
      </c>
      <c r="G63" s="7" t="str">
        <f t="shared" si="3"/>
        <v>975</v>
      </c>
      <c r="H63" s="7">
        <f t="shared" si="16"/>
        <v>1</v>
      </c>
      <c r="I63" s="7">
        <f t="shared" si="14"/>
        <v>0</v>
      </c>
      <c r="J63" s="7">
        <f t="shared" si="15"/>
        <v>0</v>
      </c>
      <c r="K63" s="7">
        <f t="shared" si="12"/>
        <v>1</v>
      </c>
      <c r="L63" s="192">
        <f t="shared" si="4"/>
        <v>5</v>
      </c>
      <c r="M63" s="192">
        <f t="shared" si="5"/>
        <v>2</v>
      </c>
      <c r="N63" s="192">
        <f t="shared" si="6"/>
        <v>0</v>
      </c>
      <c r="O63" s="192">
        <f t="shared" si="7"/>
        <v>7</v>
      </c>
      <c r="P63" s="197">
        <f t="shared" si="13"/>
        <v>0</v>
      </c>
    </row>
    <row r="64" spans="1:16" hidden="1">
      <c r="A64" s="7">
        <f t="shared" si="8"/>
        <v>620</v>
      </c>
      <c r="B64">
        <v>778</v>
      </c>
      <c r="C64">
        <v>3575</v>
      </c>
      <c r="D64">
        <v>2420</v>
      </c>
      <c r="E64" s="7" t="str">
        <f t="shared" si="1"/>
        <v>30A</v>
      </c>
      <c r="F64" s="7" t="str">
        <f t="shared" si="2"/>
        <v>DF7</v>
      </c>
      <c r="G64" s="7" t="str">
        <f t="shared" si="3"/>
        <v>974</v>
      </c>
      <c r="H64" s="7">
        <f t="shared" si="16"/>
        <v>1</v>
      </c>
      <c r="I64" s="7">
        <f t="shared" si="14"/>
        <v>0</v>
      </c>
      <c r="J64" s="7">
        <f t="shared" si="15"/>
        <v>1</v>
      </c>
      <c r="K64" s="7">
        <f t="shared" si="12"/>
        <v>0</v>
      </c>
      <c r="L64" s="192">
        <f t="shared" si="4"/>
        <v>5</v>
      </c>
      <c r="M64" s="192">
        <f t="shared" si="5"/>
        <v>2</v>
      </c>
      <c r="N64" s="192">
        <f t="shared" si="6"/>
        <v>1</v>
      </c>
      <c r="O64" s="192">
        <f t="shared" si="7"/>
        <v>6</v>
      </c>
      <c r="P64" s="197">
        <f t="shared" si="13"/>
        <v>0</v>
      </c>
    </row>
    <row r="65" spans="1:18" hidden="1">
      <c r="A65" s="7">
        <f t="shared" si="8"/>
        <v>630</v>
      </c>
      <c r="B65">
        <v>778</v>
      </c>
      <c r="C65">
        <v>3575</v>
      </c>
      <c r="D65">
        <v>2420</v>
      </c>
      <c r="E65" s="7" t="str">
        <f t="shared" si="1"/>
        <v>30A</v>
      </c>
      <c r="F65" s="7" t="str">
        <f t="shared" si="2"/>
        <v>DF7</v>
      </c>
      <c r="G65" s="7" t="str">
        <f t="shared" si="3"/>
        <v>974</v>
      </c>
      <c r="H65" s="7">
        <f t="shared" si="16"/>
        <v>1</v>
      </c>
      <c r="I65" s="7">
        <f t="shared" si="14"/>
        <v>0</v>
      </c>
      <c r="J65" s="7">
        <f t="shared" si="15"/>
        <v>1</v>
      </c>
      <c r="K65" s="7">
        <f t="shared" si="12"/>
        <v>0</v>
      </c>
      <c r="L65" s="192">
        <f t="shared" si="4"/>
        <v>5</v>
      </c>
      <c r="M65" s="192">
        <f t="shared" si="5"/>
        <v>2</v>
      </c>
      <c r="N65" s="192">
        <f t="shared" si="6"/>
        <v>1</v>
      </c>
      <c r="O65" s="192">
        <f t="shared" si="7"/>
        <v>6</v>
      </c>
      <c r="P65" s="197">
        <f t="shared" si="13"/>
        <v>0</v>
      </c>
    </row>
    <row r="66" spans="1:18" hidden="1">
      <c r="A66" s="7">
        <f t="shared" si="8"/>
        <v>640</v>
      </c>
      <c r="B66">
        <v>778</v>
      </c>
      <c r="C66">
        <v>3579</v>
      </c>
      <c r="D66">
        <v>2420</v>
      </c>
      <c r="E66" s="7" t="str">
        <f t="shared" ref="E66:E129" si="17">DEC2HEX(B66)</f>
        <v>30A</v>
      </c>
      <c r="F66" s="7" t="str">
        <f t="shared" ref="F66:F129" si="18">DEC2HEX(C66)</f>
        <v>DFB</v>
      </c>
      <c r="G66" s="7" t="str">
        <f t="shared" ref="G66:G129" si="19">DEC2HEX(D66)</f>
        <v>974</v>
      </c>
      <c r="H66" s="7">
        <f t="shared" si="16"/>
        <v>1</v>
      </c>
      <c r="I66" s="7">
        <f t="shared" si="14"/>
        <v>1</v>
      </c>
      <c r="J66" s="7">
        <f t="shared" si="15"/>
        <v>1</v>
      </c>
      <c r="K66" s="7">
        <f t="shared" si="12"/>
        <v>1</v>
      </c>
      <c r="L66" s="192">
        <f t="shared" si="4"/>
        <v>5</v>
      </c>
      <c r="M66" s="192">
        <f t="shared" si="5"/>
        <v>3</v>
      </c>
      <c r="N66" s="192">
        <f t="shared" si="6"/>
        <v>1</v>
      </c>
      <c r="O66" s="192">
        <f t="shared" si="7"/>
        <v>7</v>
      </c>
      <c r="P66" s="197">
        <f t="shared" si="13"/>
        <v>0</v>
      </c>
    </row>
    <row r="67" spans="1:18" hidden="1">
      <c r="A67" s="7">
        <f t="shared" si="8"/>
        <v>650</v>
      </c>
      <c r="B67">
        <v>778</v>
      </c>
      <c r="C67">
        <v>3579</v>
      </c>
      <c r="D67">
        <v>2420</v>
      </c>
      <c r="E67" s="7" t="str">
        <f t="shared" si="17"/>
        <v>30A</v>
      </c>
      <c r="F67" s="7" t="str">
        <f t="shared" si="18"/>
        <v>DFB</v>
      </c>
      <c r="G67" s="7" t="str">
        <f t="shared" si="19"/>
        <v>974</v>
      </c>
      <c r="H67" s="7">
        <f t="shared" si="16"/>
        <v>1</v>
      </c>
      <c r="I67" s="7">
        <f t="shared" si="14"/>
        <v>1</v>
      </c>
      <c r="J67" s="7">
        <f t="shared" si="15"/>
        <v>1</v>
      </c>
      <c r="K67" s="7">
        <f t="shared" si="12"/>
        <v>1</v>
      </c>
      <c r="L67" s="192">
        <f t="shared" ref="L67:L130" si="20">H67+4</f>
        <v>5</v>
      </c>
      <c r="M67" s="192">
        <f t="shared" ref="M67:M130" si="21">I67+2</f>
        <v>3</v>
      </c>
      <c r="N67" s="192">
        <f t="shared" ref="N67:N130" si="22">J67</f>
        <v>1</v>
      </c>
      <c r="O67" s="192">
        <f t="shared" ref="O67:O130" si="23">K67+6</f>
        <v>7</v>
      </c>
      <c r="P67" s="197">
        <f t="shared" si="13"/>
        <v>0</v>
      </c>
    </row>
    <row r="68" spans="1:18" hidden="1">
      <c r="A68" s="7">
        <f t="shared" ref="A68:A131" si="24">A67+A$1</f>
        <v>660</v>
      </c>
      <c r="B68">
        <v>778</v>
      </c>
      <c r="C68">
        <v>3579</v>
      </c>
      <c r="D68">
        <v>2420</v>
      </c>
      <c r="E68" s="7" t="str">
        <f t="shared" si="17"/>
        <v>30A</v>
      </c>
      <c r="F68" s="7" t="str">
        <f t="shared" si="18"/>
        <v>DFB</v>
      </c>
      <c r="G68" s="7" t="str">
        <f t="shared" si="19"/>
        <v>974</v>
      </c>
      <c r="H68" s="7">
        <f t="shared" si="16"/>
        <v>1</v>
      </c>
      <c r="I68" s="7">
        <f t="shared" si="14"/>
        <v>1</v>
      </c>
      <c r="J68" s="7">
        <f t="shared" si="15"/>
        <v>1</v>
      </c>
      <c r="K68" s="7">
        <f t="shared" ref="K68:K131" si="25">IF(OR(H68&lt;&gt;H67,I68&lt;&gt;I67,J68&lt;&gt;J67),1-K67,K67)</f>
        <v>1</v>
      </c>
      <c r="L68" s="192">
        <f t="shared" si="20"/>
        <v>5</v>
      </c>
      <c r="M68" s="192">
        <f t="shared" si="21"/>
        <v>3</v>
      </c>
      <c r="N68" s="192">
        <f t="shared" si="22"/>
        <v>1</v>
      </c>
      <c r="O68" s="192">
        <f t="shared" si="23"/>
        <v>7</v>
      </c>
      <c r="P68" s="197">
        <f t="shared" ref="P68:P131" si="26">IF(OR(AND(B67&lt;&gt;B68,B68&lt;&gt;B69),AND(C67&lt;&gt;C68,C68&lt;&gt;C69),AND(D67&lt;&gt;D68,D68&lt;&gt;D69)),1,0)</f>
        <v>0</v>
      </c>
    </row>
    <row r="69" spans="1:18" hidden="1">
      <c r="A69" s="7">
        <f t="shared" si="24"/>
        <v>670</v>
      </c>
      <c r="B69">
        <v>778</v>
      </c>
      <c r="C69">
        <v>3579</v>
      </c>
      <c r="D69">
        <v>2421</v>
      </c>
      <c r="E69" s="7" t="str">
        <f t="shared" si="17"/>
        <v>30A</v>
      </c>
      <c r="F69" s="7" t="str">
        <f t="shared" si="18"/>
        <v>DFB</v>
      </c>
      <c r="G69" s="7" t="str">
        <f t="shared" si="19"/>
        <v>975</v>
      </c>
      <c r="H69" s="7">
        <f t="shared" si="16"/>
        <v>1</v>
      </c>
      <c r="I69" s="7">
        <f t="shared" si="14"/>
        <v>1</v>
      </c>
      <c r="J69" s="7">
        <f t="shared" si="15"/>
        <v>0</v>
      </c>
      <c r="K69" s="7">
        <f t="shared" si="25"/>
        <v>0</v>
      </c>
      <c r="L69" s="192">
        <f t="shared" si="20"/>
        <v>5</v>
      </c>
      <c r="M69" s="192">
        <f t="shared" si="21"/>
        <v>3</v>
      </c>
      <c r="N69" s="192">
        <f t="shared" si="22"/>
        <v>0</v>
      </c>
      <c r="O69" s="192">
        <f t="shared" si="23"/>
        <v>6</v>
      </c>
      <c r="P69" s="197">
        <f t="shared" si="26"/>
        <v>0</v>
      </c>
    </row>
    <row r="70" spans="1:18" hidden="1">
      <c r="A70" s="7">
        <f t="shared" si="24"/>
        <v>680</v>
      </c>
      <c r="B70">
        <v>778</v>
      </c>
      <c r="C70">
        <v>3579</v>
      </c>
      <c r="D70">
        <v>2421</v>
      </c>
      <c r="E70" s="7" t="str">
        <f t="shared" si="17"/>
        <v>30A</v>
      </c>
      <c r="F70" s="7" t="str">
        <f t="shared" si="18"/>
        <v>DFB</v>
      </c>
      <c r="G70" s="7" t="str">
        <f t="shared" si="19"/>
        <v>975</v>
      </c>
      <c r="H70" s="7">
        <f t="shared" si="16"/>
        <v>1</v>
      </c>
      <c r="I70" s="7">
        <f t="shared" si="14"/>
        <v>1</v>
      </c>
      <c r="J70" s="7">
        <f t="shared" si="15"/>
        <v>0</v>
      </c>
      <c r="K70" s="7">
        <f t="shared" si="25"/>
        <v>0</v>
      </c>
      <c r="L70" s="192">
        <f t="shared" si="20"/>
        <v>5</v>
      </c>
      <c r="M70" s="192">
        <f t="shared" si="21"/>
        <v>3</v>
      </c>
      <c r="N70" s="192">
        <f t="shared" si="22"/>
        <v>0</v>
      </c>
      <c r="O70" s="192">
        <f t="shared" si="23"/>
        <v>6</v>
      </c>
      <c r="P70" s="197">
        <f t="shared" si="26"/>
        <v>0</v>
      </c>
    </row>
    <row r="71" spans="1:18">
      <c r="A71" s="198">
        <f t="shared" si="24"/>
        <v>690</v>
      </c>
      <c r="B71" s="199">
        <v>778</v>
      </c>
      <c r="C71" s="199">
        <v>3576</v>
      </c>
      <c r="D71" s="199">
        <v>2421</v>
      </c>
      <c r="E71" s="200" t="str">
        <f t="shared" si="17"/>
        <v>30A</v>
      </c>
      <c r="F71" s="200" t="str">
        <f t="shared" si="18"/>
        <v>DF8</v>
      </c>
      <c r="G71" s="200" t="str">
        <f t="shared" si="19"/>
        <v>975</v>
      </c>
      <c r="H71" s="200">
        <f t="shared" si="16"/>
        <v>1</v>
      </c>
      <c r="I71" s="200">
        <f t="shared" si="14"/>
        <v>0</v>
      </c>
      <c r="J71" s="200">
        <f t="shared" si="15"/>
        <v>0</v>
      </c>
      <c r="K71" s="200">
        <f t="shared" si="25"/>
        <v>1</v>
      </c>
      <c r="L71" s="201">
        <f t="shared" si="20"/>
        <v>5</v>
      </c>
      <c r="M71" s="201">
        <f t="shared" si="21"/>
        <v>2</v>
      </c>
      <c r="N71" s="201">
        <f t="shared" si="22"/>
        <v>0</v>
      </c>
      <c r="O71" s="202">
        <f t="shared" si="23"/>
        <v>7</v>
      </c>
      <c r="P71" s="197">
        <f t="shared" si="26"/>
        <v>0</v>
      </c>
    </row>
    <row r="72" spans="1:18">
      <c r="A72" s="203">
        <f t="shared" si="24"/>
        <v>700</v>
      </c>
      <c r="B72" s="55">
        <v>778</v>
      </c>
      <c r="C72" s="55">
        <v>3576</v>
      </c>
      <c r="D72" s="55">
        <v>2421</v>
      </c>
      <c r="E72" s="196" t="str">
        <f t="shared" si="17"/>
        <v>30A</v>
      </c>
      <c r="F72" s="196" t="str">
        <f t="shared" si="18"/>
        <v>DF8</v>
      </c>
      <c r="G72" s="196" t="str">
        <f t="shared" si="19"/>
        <v>975</v>
      </c>
      <c r="H72" s="196">
        <f t="shared" si="16"/>
        <v>1</v>
      </c>
      <c r="I72" s="196">
        <f t="shared" si="14"/>
        <v>0</v>
      </c>
      <c r="J72" s="196">
        <f t="shared" si="15"/>
        <v>0</v>
      </c>
      <c r="K72" s="196">
        <f t="shared" si="25"/>
        <v>1</v>
      </c>
      <c r="L72" s="195">
        <f t="shared" si="20"/>
        <v>5</v>
      </c>
      <c r="M72" s="195">
        <f t="shared" si="21"/>
        <v>2</v>
      </c>
      <c r="N72" s="195">
        <f t="shared" si="22"/>
        <v>0</v>
      </c>
      <c r="O72" s="204">
        <f t="shared" si="23"/>
        <v>7</v>
      </c>
      <c r="P72" s="197">
        <f t="shared" si="26"/>
        <v>0</v>
      </c>
    </row>
    <row r="73" spans="1:18">
      <c r="A73" s="203">
        <f t="shared" si="24"/>
        <v>710</v>
      </c>
      <c r="B73" s="55">
        <v>778</v>
      </c>
      <c r="C73" s="55">
        <v>3576</v>
      </c>
      <c r="D73" s="55">
        <v>2421</v>
      </c>
      <c r="E73" s="196" t="str">
        <f t="shared" si="17"/>
        <v>30A</v>
      </c>
      <c r="F73" s="196" t="str">
        <f t="shared" si="18"/>
        <v>DF8</v>
      </c>
      <c r="G73" s="196" t="str">
        <f t="shared" si="19"/>
        <v>975</v>
      </c>
      <c r="H73" s="196">
        <f t="shared" ref="H73:H136" si="27">IF(B73=B72,H72,1-H72)</f>
        <v>1</v>
      </c>
      <c r="I73" s="196">
        <f t="shared" si="14"/>
        <v>0</v>
      </c>
      <c r="J73" s="196">
        <f t="shared" si="15"/>
        <v>0</v>
      </c>
      <c r="K73" s="196">
        <f t="shared" si="25"/>
        <v>1</v>
      </c>
      <c r="L73" s="195">
        <f t="shared" si="20"/>
        <v>5</v>
      </c>
      <c r="M73" s="195">
        <f t="shared" si="21"/>
        <v>2</v>
      </c>
      <c r="N73" s="195">
        <f t="shared" si="22"/>
        <v>0</v>
      </c>
      <c r="O73" s="204">
        <f t="shared" si="23"/>
        <v>7</v>
      </c>
      <c r="P73" s="197">
        <f t="shared" si="26"/>
        <v>0</v>
      </c>
    </row>
    <row r="74" spans="1:18">
      <c r="A74" s="203">
        <f t="shared" si="24"/>
        <v>720</v>
      </c>
      <c r="B74" s="55">
        <v>778</v>
      </c>
      <c r="C74" s="55">
        <v>3576</v>
      </c>
      <c r="D74" s="55">
        <v>2421</v>
      </c>
      <c r="E74" s="196" t="str">
        <f t="shared" si="17"/>
        <v>30A</v>
      </c>
      <c r="F74" s="196" t="str">
        <f t="shared" si="18"/>
        <v>DF8</v>
      </c>
      <c r="G74" s="196" t="str">
        <f t="shared" si="19"/>
        <v>975</v>
      </c>
      <c r="H74" s="196">
        <f t="shared" si="27"/>
        <v>1</v>
      </c>
      <c r="I74" s="196">
        <f t="shared" si="14"/>
        <v>0</v>
      </c>
      <c r="J74" s="196">
        <f t="shared" si="15"/>
        <v>0</v>
      </c>
      <c r="K74" s="196">
        <f t="shared" si="25"/>
        <v>1</v>
      </c>
      <c r="L74" s="195">
        <f t="shared" si="20"/>
        <v>5</v>
      </c>
      <c r="M74" s="195">
        <f t="shared" si="21"/>
        <v>2</v>
      </c>
      <c r="N74" s="195">
        <f t="shared" si="22"/>
        <v>0</v>
      </c>
      <c r="O74" s="204">
        <f t="shared" si="23"/>
        <v>7</v>
      </c>
      <c r="P74" s="197">
        <f t="shared" si="26"/>
        <v>0</v>
      </c>
      <c r="R74" s="100"/>
    </row>
    <row r="75" spans="1:18">
      <c r="A75" s="205">
        <f t="shared" si="24"/>
        <v>730</v>
      </c>
      <c r="B75" s="206">
        <v>778</v>
      </c>
      <c r="C75" s="206">
        <v>3578</v>
      </c>
      <c r="D75" s="206">
        <v>2421</v>
      </c>
      <c r="E75" s="207" t="str">
        <f t="shared" si="17"/>
        <v>30A</v>
      </c>
      <c r="F75" s="207" t="str">
        <f t="shared" si="18"/>
        <v>DFA</v>
      </c>
      <c r="G75" s="207" t="str">
        <f t="shared" si="19"/>
        <v>975</v>
      </c>
      <c r="H75" s="207">
        <f t="shared" si="27"/>
        <v>1</v>
      </c>
      <c r="I75" s="207">
        <f t="shared" si="14"/>
        <v>1</v>
      </c>
      <c r="J75" s="207">
        <f t="shared" si="15"/>
        <v>0</v>
      </c>
      <c r="K75" s="207">
        <f t="shared" si="25"/>
        <v>0</v>
      </c>
      <c r="L75" s="208">
        <f t="shared" si="20"/>
        <v>5</v>
      </c>
      <c r="M75" s="208">
        <f t="shared" si="21"/>
        <v>3</v>
      </c>
      <c r="N75" s="208">
        <f t="shared" si="22"/>
        <v>0</v>
      </c>
      <c r="O75" s="209">
        <f t="shared" si="23"/>
        <v>6</v>
      </c>
      <c r="P75" s="197">
        <f t="shared" si="26"/>
        <v>0</v>
      </c>
      <c r="R75" s="100"/>
    </row>
    <row r="76" spans="1:18" hidden="1">
      <c r="A76" s="7">
        <f t="shared" si="24"/>
        <v>740</v>
      </c>
      <c r="B76">
        <v>778</v>
      </c>
      <c r="C76">
        <v>3578</v>
      </c>
      <c r="D76">
        <v>2421</v>
      </c>
      <c r="E76" s="7" t="str">
        <f t="shared" si="17"/>
        <v>30A</v>
      </c>
      <c r="F76" s="7" t="str">
        <f t="shared" si="18"/>
        <v>DFA</v>
      </c>
      <c r="G76" s="7" t="str">
        <f t="shared" si="19"/>
        <v>975</v>
      </c>
      <c r="H76" s="7">
        <f t="shared" si="27"/>
        <v>1</v>
      </c>
      <c r="I76" s="7">
        <f t="shared" si="14"/>
        <v>1</v>
      </c>
      <c r="J76" s="7">
        <f t="shared" si="15"/>
        <v>0</v>
      </c>
      <c r="K76" s="7">
        <f t="shared" si="25"/>
        <v>0</v>
      </c>
      <c r="L76" s="192">
        <f t="shared" si="20"/>
        <v>5</v>
      </c>
      <c r="M76" s="192">
        <f t="shared" si="21"/>
        <v>3</v>
      </c>
      <c r="N76" s="192">
        <f t="shared" si="22"/>
        <v>0</v>
      </c>
      <c r="O76" s="192">
        <f t="shared" si="23"/>
        <v>6</v>
      </c>
      <c r="P76" s="197">
        <f t="shared" si="26"/>
        <v>0</v>
      </c>
    </row>
    <row r="77" spans="1:18" hidden="1">
      <c r="A77" s="7">
        <f t="shared" si="24"/>
        <v>750</v>
      </c>
      <c r="B77">
        <v>778</v>
      </c>
      <c r="C77">
        <v>3578</v>
      </c>
      <c r="D77">
        <v>2421</v>
      </c>
      <c r="E77" s="7" t="str">
        <f t="shared" si="17"/>
        <v>30A</v>
      </c>
      <c r="F77" s="7" t="str">
        <f t="shared" si="18"/>
        <v>DFA</v>
      </c>
      <c r="G77" s="7" t="str">
        <f t="shared" si="19"/>
        <v>975</v>
      </c>
      <c r="H77" s="7">
        <f t="shared" si="27"/>
        <v>1</v>
      </c>
      <c r="I77" s="7">
        <f t="shared" si="14"/>
        <v>1</v>
      </c>
      <c r="J77" s="7">
        <f t="shared" si="15"/>
        <v>0</v>
      </c>
      <c r="K77" s="7">
        <f t="shared" si="25"/>
        <v>0</v>
      </c>
      <c r="L77" s="192">
        <f t="shared" si="20"/>
        <v>5</v>
      </c>
      <c r="M77" s="192">
        <f t="shared" si="21"/>
        <v>3</v>
      </c>
      <c r="N77" s="192">
        <f t="shared" si="22"/>
        <v>0</v>
      </c>
      <c r="O77" s="192">
        <f t="shared" si="23"/>
        <v>6</v>
      </c>
      <c r="P77" s="197">
        <f t="shared" si="26"/>
        <v>0</v>
      </c>
    </row>
    <row r="78" spans="1:18" hidden="1">
      <c r="A78" s="7">
        <f t="shared" si="24"/>
        <v>760</v>
      </c>
      <c r="B78">
        <v>778</v>
      </c>
      <c r="C78">
        <v>3578</v>
      </c>
      <c r="D78">
        <v>2421</v>
      </c>
      <c r="E78" s="7" t="str">
        <f t="shared" si="17"/>
        <v>30A</v>
      </c>
      <c r="F78" s="7" t="str">
        <f t="shared" si="18"/>
        <v>DFA</v>
      </c>
      <c r="G78" s="7" t="str">
        <f t="shared" si="19"/>
        <v>975</v>
      </c>
      <c r="H78" s="7">
        <f t="shared" si="27"/>
        <v>1</v>
      </c>
      <c r="I78" s="7">
        <f t="shared" si="14"/>
        <v>1</v>
      </c>
      <c r="J78" s="7">
        <f t="shared" si="15"/>
        <v>0</v>
      </c>
      <c r="K78" s="7">
        <f t="shared" si="25"/>
        <v>0</v>
      </c>
      <c r="L78" s="192">
        <f t="shared" si="20"/>
        <v>5</v>
      </c>
      <c r="M78" s="192">
        <f t="shared" si="21"/>
        <v>3</v>
      </c>
      <c r="N78" s="192">
        <f t="shared" si="22"/>
        <v>0</v>
      </c>
      <c r="O78" s="192">
        <f t="shared" si="23"/>
        <v>6</v>
      </c>
      <c r="P78" s="197">
        <f t="shared" si="26"/>
        <v>0</v>
      </c>
    </row>
    <row r="79" spans="1:18" hidden="1">
      <c r="A79" s="7">
        <f t="shared" si="24"/>
        <v>770</v>
      </c>
      <c r="B79">
        <v>778</v>
      </c>
      <c r="C79">
        <v>3578</v>
      </c>
      <c r="D79">
        <v>2421</v>
      </c>
      <c r="E79" s="7" t="str">
        <f t="shared" si="17"/>
        <v>30A</v>
      </c>
      <c r="F79" s="7" t="str">
        <f t="shared" si="18"/>
        <v>DFA</v>
      </c>
      <c r="G79" s="7" t="str">
        <f t="shared" si="19"/>
        <v>975</v>
      </c>
      <c r="H79" s="7">
        <f t="shared" si="27"/>
        <v>1</v>
      </c>
      <c r="I79" s="7">
        <f t="shared" si="14"/>
        <v>1</v>
      </c>
      <c r="J79" s="7">
        <f t="shared" si="15"/>
        <v>0</v>
      </c>
      <c r="K79" s="7">
        <f t="shared" si="25"/>
        <v>0</v>
      </c>
      <c r="L79" s="192">
        <f t="shared" si="20"/>
        <v>5</v>
      </c>
      <c r="M79" s="192">
        <f t="shared" si="21"/>
        <v>3</v>
      </c>
      <c r="N79" s="192">
        <f t="shared" si="22"/>
        <v>0</v>
      </c>
      <c r="O79" s="192">
        <f t="shared" si="23"/>
        <v>6</v>
      </c>
      <c r="P79" s="197">
        <f t="shared" si="26"/>
        <v>0</v>
      </c>
    </row>
    <row r="80" spans="1:18" hidden="1">
      <c r="A80" s="7">
        <f t="shared" si="24"/>
        <v>780</v>
      </c>
      <c r="B80">
        <v>778</v>
      </c>
      <c r="C80">
        <v>3576</v>
      </c>
      <c r="D80">
        <v>2421</v>
      </c>
      <c r="E80" s="7" t="str">
        <f t="shared" si="17"/>
        <v>30A</v>
      </c>
      <c r="F80" s="7" t="str">
        <f t="shared" si="18"/>
        <v>DF8</v>
      </c>
      <c r="G80" s="7" t="str">
        <f t="shared" si="19"/>
        <v>975</v>
      </c>
      <c r="H80" s="7">
        <f t="shared" si="27"/>
        <v>1</v>
      </c>
      <c r="I80" s="7">
        <f t="shared" si="14"/>
        <v>0</v>
      </c>
      <c r="J80" s="7">
        <f t="shared" si="15"/>
        <v>0</v>
      </c>
      <c r="K80" s="7">
        <f t="shared" si="25"/>
        <v>1</v>
      </c>
      <c r="L80" s="192">
        <f t="shared" si="20"/>
        <v>5</v>
      </c>
      <c r="M80" s="192">
        <f t="shared" si="21"/>
        <v>2</v>
      </c>
      <c r="N80" s="192">
        <f t="shared" si="22"/>
        <v>0</v>
      </c>
      <c r="O80" s="192">
        <f t="shared" si="23"/>
        <v>7</v>
      </c>
      <c r="P80" s="197">
        <f t="shared" si="26"/>
        <v>0</v>
      </c>
    </row>
    <row r="81" spans="1:16" hidden="1">
      <c r="A81" s="7">
        <f t="shared" si="24"/>
        <v>790</v>
      </c>
      <c r="B81">
        <v>778</v>
      </c>
      <c r="C81">
        <v>3576</v>
      </c>
      <c r="D81">
        <v>2421</v>
      </c>
      <c r="E81" s="7" t="str">
        <f t="shared" si="17"/>
        <v>30A</v>
      </c>
      <c r="F81" s="7" t="str">
        <f t="shared" si="18"/>
        <v>DF8</v>
      </c>
      <c r="G81" s="7" t="str">
        <f t="shared" si="19"/>
        <v>975</v>
      </c>
      <c r="H81" s="7">
        <f t="shared" si="27"/>
        <v>1</v>
      </c>
      <c r="I81" s="7">
        <f t="shared" si="14"/>
        <v>0</v>
      </c>
      <c r="J81" s="7">
        <f t="shared" si="15"/>
        <v>0</v>
      </c>
      <c r="K81" s="7">
        <f t="shared" si="25"/>
        <v>1</v>
      </c>
      <c r="L81" s="192">
        <f t="shared" si="20"/>
        <v>5</v>
      </c>
      <c r="M81" s="192">
        <f t="shared" si="21"/>
        <v>2</v>
      </c>
      <c r="N81" s="192">
        <f t="shared" si="22"/>
        <v>0</v>
      </c>
      <c r="O81" s="192">
        <f t="shared" si="23"/>
        <v>7</v>
      </c>
      <c r="P81" s="197">
        <f t="shared" si="26"/>
        <v>0</v>
      </c>
    </row>
    <row r="82" spans="1:16" hidden="1">
      <c r="A82" s="7">
        <f t="shared" si="24"/>
        <v>800</v>
      </c>
      <c r="B82">
        <v>778</v>
      </c>
      <c r="C82">
        <v>3576</v>
      </c>
      <c r="D82">
        <v>2421</v>
      </c>
      <c r="E82" s="7" t="str">
        <f t="shared" si="17"/>
        <v>30A</v>
      </c>
      <c r="F82" s="7" t="str">
        <f t="shared" si="18"/>
        <v>DF8</v>
      </c>
      <c r="G82" s="7" t="str">
        <f t="shared" si="19"/>
        <v>975</v>
      </c>
      <c r="H82" s="7">
        <f t="shared" si="27"/>
        <v>1</v>
      </c>
      <c r="I82" s="7">
        <f t="shared" si="14"/>
        <v>0</v>
      </c>
      <c r="J82" s="7">
        <f t="shared" si="15"/>
        <v>0</v>
      </c>
      <c r="K82" s="7">
        <f t="shared" si="25"/>
        <v>1</v>
      </c>
      <c r="L82" s="192">
        <f t="shared" si="20"/>
        <v>5</v>
      </c>
      <c r="M82" s="192">
        <f t="shared" si="21"/>
        <v>2</v>
      </c>
      <c r="N82" s="192">
        <f t="shared" si="22"/>
        <v>0</v>
      </c>
      <c r="O82" s="192">
        <f t="shared" si="23"/>
        <v>7</v>
      </c>
      <c r="P82" s="197">
        <f t="shared" si="26"/>
        <v>0</v>
      </c>
    </row>
    <row r="83" spans="1:16" hidden="1">
      <c r="A83" s="7">
        <f t="shared" si="24"/>
        <v>810</v>
      </c>
      <c r="B83">
        <v>778</v>
      </c>
      <c r="C83">
        <v>3576</v>
      </c>
      <c r="D83">
        <v>2421</v>
      </c>
      <c r="E83" s="7" t="str">
        <f t="shared" si="17"/>
        <v>30A</v>
      </c>
      <c r="F83" s="7" t="str">
        <f t="shared" si="18"/>
        <v>DF8</v>
      </c>
      <c r="G83" s="7" t="str">
        <f t="shared" si="19"/>
        <v>975</v>
      </c>
      <c r="H83" s="7">
        <f t="shared" si="27"/>
        <v>1</v>
      </c>
      <c r="I83" s="7">
        <f t="shared" ref="I83:I146" si="28">IF(C83=C82,I82,1-I82)</f>
        <v>0</v>
      </c>
      <c r="J83" s="7">
        <f t="shared" ref="J83:J146" si="29">IF(D83=D82,J82,1-J82)</f>
        <v>0</v>
      </c>
      <c r="K83" s="7">
        <f t="shared" si="25"/>
        <v>1</v>
      </c>
      <c r="L83" s="192">
        <f t="shared" si="20"/>
        <v>5</v>
      </c>
      <c r="M83" s="192">
        <f t="shared" si="21"/>
        <v>2</v>
      </c>
      <c r="N83" s="192">
        <f t="shared" si="22"/>
        <v>0</v>
      </c>
      <c r="O83" s="192">
        <f t="shared" si="23"/>
        <v>7</v>
      </c>
      <c r="P83" s="197">
        <f t="shared" si="26"/>
        <v>0</v>
      </c>
    </row>
    <row r="84" spans="1:16" hidden="1">
      <c r="A84" s="7">
        <f t="shared" si="24"/>
        <v>820</v>
      </c>
      <c r="B84">
        <v>778</v>
      </c>
      <c r="C84">
        <v>3576</v>
      </c>
      <c r="D84">
        <v>2421</v>
      </c>
      <c r="E84" s="7" t="str">
        <f t="shared" si="17"/>
        <v>30A</v>
      </c>
      <c r="F84" s="7" t="str">
        <f t="shared" si="18"/>
        <v>DF8</v>
      </c>
      <c r="G84" s="7" t="str">
        <f t="shared" si="19"/>
        <v>975</v>
      </c>
      <c r="H84" s="7">
        <f t="shared" si="27"/>
        <v>1</v>
      </c>
      <c r="I84" s="7">
        <f t="shared" si="28"/>
        <v>0</v>
      </c>
      <c r="J84" s="7">
        <f t="shared" si="29"/>
        <v>0</v>
      </c>
      <c r="K84" s="7">
        <f t="shared" si="25"/>
        <v>1</v>
      </c>
      <c r="L84" s="192">
        <f t="shared" si="20"/>
        <v>5</v>
      </c>
      <c r="M84" s="192">
        <f t="shared" si="21"/>
        <v>2</v>
      </c>
      <c r="N84" s="192">
        <f t="shared" si="22"/>
        <v>0</v>
      </c>
      <c r="O84" s="192">
        <f t="shared" si="23"/>
        <v>7</v>
      </c>
      <c r="P84" s="197">
        <f t="shared" si="26"/>
        <v>0</v>
      </c>
    </row>
    <row r="85" spans="1:16" hidden="1">
      <c r="A85" s="7">
        <f t="shared" si="24"/>
        <v>830</v>
      </c>
      <c r="B85">
        <v>778</v>
      </c>
      <c r="C85">
        <v>3576</v>
      </c>
      <c r="D85">
        <v>2421</v>
      </c>
      <c r="E85" s="7" t="str">
        <f t="shared" si="17"/>
        <v>30A</v>
      </c>
      <c r="F85" s="7" t="str">
        <f t="shared" si="18"/>
        <v>DF8</v>
      </c>
      <c r="G85" s="7" t="str">
        <f t="shared" si="19"/>
        <v>975</v>
      </c>
      <c r="H85" s="7">
        <f t="shared" si="27"/>
        <v>1</v>
      </c>
      <c r="I85" s="7">
        <f t="shared" si="28"/>
        <v>0</v>
      </c>
      <c r="J85" s="7">
        <f t="shared" si="29"/>
        <v>0</v>
      </c>
      <c r="K85" s="7">
        <f t="shared" si="25"/>
        <v>1</v>
      </c>
      <c r="L85" s="192">
        <f t="shared" si="20"/>
        <v>5</v>
      </c>
      <c r="M85" s="192">
        <f t="shared" si="21"/>
        <v>2</v>
      </c>
      <c r="N85" s="192">
        <f t="shared" si="22"/>
        <v>0</v>
      </c>
      <c r="O85" s="192">
        <f t="shared" si="23"/>
        <v>7</v>
      </c>
      <c r="P85" s="197">
        <f t="shared" si="26"/>
        <v>0</v>
      </c>
    </row>
    <row r="86" spans="1:16" hidden="1">
      <c r="A86" s="7">
        <f t="shared" si="24"/>
        <v>840</v>
      </c>
      <c r="B86">
        <v>778</v>
      </c>
      <c r="C86">
        <v>3577</v>
      </c>
      <c r="D86">
        <v>2421</v>
      </c>
      <c r="E86" s="7" t="str">
        <f t="shared" si="17"/>
        <v>30A</v>
      </c>
      <c r="F86" s="7" t="str">
        <f t="shared" si="18"/>
        <v>DF9</v>
      </c>
      <c r="G86" s="7" t="str">
        <f t="shared" si="19"/>
        <v>975</v>
      </c>
      <c r="H86" s="7">
        <f t="shared" si="27"/>
        <v>1</v>
      </c>
      <c r="I86" s="7">
        <f t="shared" si="28"/>
        <v>1</v>
      </c>
      <c r="J86" s="7">
        <f t="shared" si="29"/>
        <v>0</v>
      </c>
      <c r="K86" s="7">
        <f t="shared" si="25"/>
        <v>0</v>
      </c>
      <c r="L86" s="192">
        <f t="shared" si="20"/>
        <v>5</v>
      </c>
      <c r="M86" s="192">
        <f t="shared" si="21"/>
        <v>3</v>
      </c>
      <c r="N86" s="192">
        <f t="shared" si="22"/>
        <v>0</v>
      </c>
      <c r="O86" s="192">
        <f t="shared" si="23"/>
        <v>6</v>
      </c>
      <c r="P86" s="197">
        <f t="shared" si="26"/>
        <v>0</v>
      </c>
    </row>
    <row r="87" spans="1:16" hidden="1">
      <c r="A87" s="7">
        <f t="shared" si="24"/>
        <v>850</v>
      </c>
      <c r="B87">
        <v>778</v>
      </c>
      <c r="C87">
        <v>3577</v>
      </c>
      <c r="D87">
        <v>2421</v>
      </c>
      <c r="E87" s="7" t="str">
        <f t="shared" si="17"/>
        <v>30A</v>
      </c>
      <c r="F87" s="7" t="str">
        <f t="shared" si="18"/>
        <v>DF9</v>
      </c>
      <c r="G87" s="7" t="str">
        <f t="shared" si="19"/>
        <v>975</v>
      </c>
      <c r="H87" s="7">
        <f t="shared" si="27"/>
        <v>1</v>
      </c>
      <c r="I87" s="7">
        <f t="shared" si="28"/>
        <v>1</v>
      </c>
      <c r="J87" s="7">
        <f t="shared" si="29"/>
        <v>0</v>
      </c>
      <c r="K87" s="7">
        <f t="shared" si="25"/>
        <v>0</v>
      </c>
      <c r="L87" s="192">
        <f t="shared" si="20"/>
        <v>5</v>
      </c>
      <c r="M87" s="192">
        <f t="shared" si="21"/>
        <v>3</v>
      </c>
      <c r="N87" s="192">
        <f t="shared" si="22"/>
        <v>0</v>
      </c>
      <c r="O87" s="192">
        <f t="shared" si="23"/>
        <v>6</v>
      </c>
      <c r="P87" s="197">
        <f t="shared" si="26"/>
        <v>0</v>
      </c>
    </row>
    <row r="88" spans="1:16" hidden="1">
      <c r="A88" s="7">
        <f t="shared" si="24"/>
        <v>860</v>
      </c>
      <c r="B88">
        <v>778</v>
      </c>
      <c r="C88">
        <v>3577</v>
      </c>
      <c r="D88">
        <v>2421</v>
      </c>
      <c r="E88" s="7" t="str">
        <f t="shared" si="17"/>
        <v>30A</v>
      </c>
      <c r="F88" s="7" t="str">
        <f t="shared" si="18"/>
        <v>DF9</v>
      </c>
      <c r="G88" s="7" t="str">
        <f t="shared" si="19"/>
        <v>975</v>
      </c>
      <c r="H88" s="7">
        <f t="shared" si="27"/>
        <v>1</v>
      </c>
      <c r="I88" s="7">
        <f t="shared" si="28"/>
        <v>1</v>
      </c>
      <c r="J88" s="7">
        <f t="shared" si="29"/>
        <v>0</v>
      </c>
      <c r="K88" s="7">
        <f t="shared" si="25"/>
        <v>0</v>
      </c>
      <c r="L88" s="192">
        <f t="shared" si="20"/>
        <v>5</v>
      </c>
      <c r="M88" s="192">
        <f t="shared" si="21"/>
        <v>3</v>
      </c>
      <c r="N88" s="192">
        <f t="shared" si="22"/>
        <v>0</v>
      </c>
      <c r="O88" s="192">
        <f t="shared" si="23"/>
        <v>6</v>
      </c>
      <c r="P88" s="197">
        <f t="shared" si="26"/>
        <v>0</v>
      </c>
    </row>
    <row r="89" spans="1:16" hidden="1">
      <c r="A89" s="7">
        <f t="shared" si="24"/>
        <v>870</v>
      </c>
      <c r="B89">
        <v>778</v>
      </c>
      <c r="C89">
        <v>3577</v>
      </c>
      <c r="D89">
        <v>2420</v>
      </c>
      <c r="E89" s="7" t="str">
        <f t="shared" si="17"/>
        <v>30A</v>
      </c>
      <c r="F89" s="7" t="str">
        <f t="shared" si="18"/>
        <v>DF9</v>
      </c>
      <c r="G89" s="7" t="str">
        <f t="shared" si="19"/>
        <v>974</v>
      </c>
      <c r="H89" s="7">
        <f t="shared" si="27"/>
        <v>1</v>
      </c>
      <c r="I89" s="7">
        <f t="shared" si="28"/>
        <v>1</v>
      </c>
      <c r="J89" s="7">
        <f t="shared" si="29"/>
        <v>1</v>
      </c>
      <c r="K89" s="7">
        <f t="shared" si="25"/>
        <v>1</v>
      </c>
      <c r="L89" s="192">
        <f t="shared" si="20"/>
        <v>5</v>
      </c>
      <c r="M89" s="192">
        <f t="shared" si="21"/>
        <v>3</v>
      </c>
      <c r="N89" s="192">
        <f t="shared" si="22"/>
        <v>1</v>
      </c>
      <c r="O89" s="192">
        <f t="shared" si="23"/>
        <v>7</v>
      </c>
      <c r="P89" s="197">
        <f t="shared" si="26"/>
        <v>0</v>
      </c>
    </row>
    <row r="90" spans="1:16" hidden="1">
      <c r="A90" s="7">
        <f t="shared" si="24"/>
        <v>880</v>
      </c>
      <c r="B90">
        <v>778</v>
      </c>
      <c r="C90">
        <v>3577</v>
      </c>
      <c r="D90">
        <v>2420</v>
      </c>
      <c r="E90" s="7" t="str">
        <f t="shared" si="17"/>
        <v>30A</v>
      </c>
      <c r="F90" s="7" t="str">
        <f t="shared" si="18"/>
        <v>DF9</v>
      </c>
      <c r="G90" s="7" t="str">
        <f t="shared" si="19"/>
        <v>974</v>
      </c>
      <c r="H90" s="7">
        <f t="shared" si="27"/>
        <v>1</v>
      </c>
      <c r="I90" s="7">
        <f t="shared" si="28"/>
        <v>1</v>
      </c>
      <c r="J90" s="7">
        <f t="shared" si="29"/>
        <v>1</v>
      </c>
      <c r="K90" s="7">
        <f t="shared" si="25"/>
        <v>1</v>
      </c>
      <c r="L90" s="192">
        <f t="shared" si="20"/>
        <v>5</v>
      </c>
      <c r="M90" s="192">
        <f t="shared" si="21"/>
        <v>3</v>
      </c>
      <c r="N90" s="192">
        <f t="shared" si="22"/>
        <v>1</v>
      </c>
      <c r="O90" s="192">
        <f t="shared" si="23"/>
        <v>7</v>
      </c>
      <c r="P90" s="197">
        <f t="shared" si="26"/>
        <v>0</v>
      </c>
    </row>
    <row r="91" spans="1:16" hidden="1">
      <c r="A91" s="7">
        <f t="shared" si="24"/>
        <v>890</v>
      </c>
      <c r="B91">
        <v>778</v>
      </c>
      <c r="C91">
        <v>3579</v>
      </c>
      <c r="D91">
        <v>2420</v>
      </c>
      <c r="E91" s="7" t="str">
        <f t="shared" si="17"/>
        <v>30A</v>
      </c>
      <c r="F91" s="7" t="str">
        <f t="shared" si="18"/>
        <v>DFB</v>
      </c>
      <c r="G91" s="7" t="str">
        <f t="shared" si="19"/>
        <v>974</v>
      </c>
      <c r="H91" s="7">
        <f t="shared" si="27"/>
        <v>1</v>
      </c>
      <c r="I91" s="7">
        <f t="shared" si="28"/>
        <v>0</v>
      </c>
      <c r="J91" s="7">
        <f t="shared" si="29"/>
        <v>1</v>
      </c>
      <c r="K91" s="7">
        <f t="shared" si="25"/>
        <v>0</v>
      </c>
      <c r="L91" s="192">
        <f t="shared" si="20"/>
        <v>5</v>
      </c>
      <c r="M91" s="192">
        <f t="shared" si="21"/>
        <v>2</v>
      </c>
      <c r="N91" s="192">
        <f t="shared" si="22"/>
        <v>1</v>
      </c>
      <c r="O91" s="192">
        <f t="shared" si="23"/>
        <v>6</v>
      </c>
      <c r="P91" s="197">
        <f t="shared" si="26"/>
        <v>0</v>
      </c>
    </row>
    <row r="92" spans="1:16" hidden="1">
      <c r="A92" s="7">
        <f t="shared" si="24"/>
        <v>900</v>
      </c>
      <c r="B92">
        <v>778</v>
      </c>
      <c r="C92">
        <v>3579</v>
      </c>
      <c r="D92">
        <v>2420</v>
      </c>
      <c r="E92" s="7" t="str">
        <f t="shared" si="17"/>
        <v>30A</v>
      </c>
      <c r="F92" s="7" t="str">
        <f t="shared" si="18"/>
        <v>DFB</v>
      </c>
      <c r="G92" s="7" t="str">
        <f t="shared" si="19"/>
        <v>974</v>
      </c>
      <c r="H92" s="7">
        <f t="shared" si="27"/>
        <v>1</v>
      </c>
      <c r="I92" s="7">
        <f t="shared" si="28"/>
        <v>0</v>
      </c>
      <c r="J92" s="7">
        <f t="shared" si="29"/>
        <v>1</v>
      </c>
      <c r="K92" s="7">
        <f t="shared" si="25"/>
        <v>0</v>
      </c>
      <c r="L92" s="192">
        <f t="shared" si="20"/>
        <v>5</v>
      </c>
      <c r="M92" s="192">
        <f t="shared" si="21"/>
        <v>2</v>
      </c>
      <c r="N92" s="192">
        <f t="shared" si="22"/>
        <v>1</v>
      </c>
      <c r="O92" s="192">
        <f t="shared" si="23"/>
        <v>6</v>
      </c>
      <c r="P92" s="197">
        <f t="shared" si="26"/>
        <v>0</v>
      </c>
    </row>
    <row r="93" spans="1:16" hidden="1">
      <c r="A93" s="7">
        <f t="shared" si="24"/>
        <v>910</v>
      </c>
      <c r="B93">
        <v>777</v>
      </c>
      <c r="C93">
        <v>3579</v>
      </c>
      <c r="D93">
        <v>2420</v>
      </c>
      <c r="E93" s="7" t="str">
        <f t="shared" si="17"/>
        <v>309</v>
      </c>
      <c r="F93" s="7" t="str">
        <f t="shared" si="18"/>
        <v>DFB</v>
      </c>
      <c r="G93" s="7" t="str">
        <f t="shared" si="19"/>
        <v>974</v>
      </c>
      <c r="H93" s="7">
        <f t="shared" si="27"/>
        <v>0</v>
      </c>
      <c r="I93" s="7">
        <f t="shared" si="28"/>
        <v>0</v>
      </c>
      <c r="J93" s="7">
        <f t="shared" si="29"/>
        <v>1</v>
      </c>
      <c r="K93" s="7">
        <f t="shared" si="25"/>
        <v>1</v>
      </c>
      <c r="L93" s="192">
        <f t="shared" si="20"/>
        <v>4</v>
      </c>
      <c r="M93" s="192">
        <f t="shared" si="21"/>
        <v>2</v>
      </c>
      <c r="N93" s="192">
        <f t="shared" si="22"/>
        <v>1</v>
      </c>
      <c r="O93" s="192">
        <f t="shared" si="23"/>
        <v>7</v>
      </c>
      <c r="P93" s="197">
        <f t="shared" si="26"/>
        <v>0</v>
      </c>
    </row>
    <row r="94" spans="1:16" hidden="1">
      <c r="A94" s="7">
        <f t="shared" si="24"/>
        <v>920</v>
      </c>
      <c r="B94">
        <v>777</v>
      </c>
      <c r="C94">
        <v>3579</v>
      </c>
      <c r="D94">
        <v>2420</v>
      </c>
      <c r="E94" s="7" t="str">
        <f t="shared" si="17"/>
        <v>309</v>
      </c>
      <c r="F94" s="7" t="str">
        <f t="shared" si="18"/>
        <v>DFB</v>
      </c>
      <c r="G94" s="7" t="str">
        <f t="shared" si="19"/>
        <v>974</v>
      </c>
      <c r="H94" s="7">
        <f t="shared" si="27"/>
        <v>0</v>
      </c>
      <c r="I94" s="7">
        <f t="shared" si="28"/>
        <v>0</v>
      </c>
      <c r="J94" s="7">
        <f t="shared" si="29"/>
        <v>1</v>
      </c>
      <c r="K94" s="7">
        <f t="shared" si="25"/>
        <v>1</v>
      </c>
      <c r="L94" s="192">
        <f t="shared" si="20"/>
        <v>4</v>
      </c>
      <c r="M94" s="192">
        <f t="shared" si="21"/>
        <v>2</v>
      </c>
      <c r="N94" s="192">
        <f t="shared" si="22"/>
        <v>1</v>
      </c>
      <c r="O94" s="192">
        <f t="shared" si="23"/>
        <v>7</v>
      </c>
      <c r="P94" s="197">
        <f t="shared" si="26"/>
        <v>0</v>
      </c>
    </row>
    <row r="95" spans="1:16" hidden="1">
      <c r="A95" s="7">
        <f t="shared" si="24"/>
        <v>930</v>
      </c>
      <c r="B95">
        <v>777</v>
      </c>
      <c r="C95">
        <v>3579</v>
      </c>
      <c r="D95">
        <v>2420</v>
      </c>
      <c r="E95" s="7" t="str">
        <f t="shared" si="17"/>
        <v>309</v>
      </c>
      <c r="F95" s="7" t="str">
        <f t="shared" si="18"/>
        <v>DFB</v>
      </c>
      <c r="G95" s="7" t="str">
        <f t="shared" si="19"/>
        <v>974</v>
      </c>
      <c r="H95" s="7">
        <f t="shared" si="27"/>
        <v>0</v>
      </c>
      <c r="I95" s="7">
        <f t="shared" si="28"/>
        <v>0</v>
      </c>
      <c r="J95" s="7">
        <f t="shared" si="29"/>
        <v>1</v>
      </c>
      <c r="K95" s="7">
        <f t="shared" si="25"/>
        <v>1</v>
      </c>
      <c r="L95" s="192">
        <f t="shared" si="20"/>
        <v>4</v>
      </c>
      <c r="M95" s="192">
        <f t="shared" si="21"/>
        <v>2</v>
      </c>
      <c r="N95" s="192">
        <f t="shared" si="22"/>
        <v>1</v>
      </c>
      <c r="O95" s="192">
        <f t="shared" si="23"/>
        <v>7</v>
      </c>
      <c r="P95" s="197">
        <f t="shared" si="26"/>
        <v>0</v>
      </c>
    </row>
    <row r="96" spans="1:16" hidden="1">
      <c r="A96" s="7">
        <f t="shared" si="24"/>
        <v>940</v>
      </c>
      <c r="B96">
        <v>777</v>
      </c>
      <c r="C96">
        <v>3579</v>
      </c>
      <c r="D96">
        <v>2420</v>
      </c>
      <c r="E96" s="7" t="str">
        <f t="shared" si="17"/>
        <v>309</v>
      </c>
      <c r="F96" s="7" t="str">
        <f t="shared" si="18"/>
        <v>DFB</v>
      </c>
      <c r="G96" s="7" t="str">
        <f t="shared" si="19"/>
        <v>974</v>
      </c>
      <c r="H96" s="7">
        <f t="shared" si="27"/>
        <v>0</v>
      </c>
      <c r="I96" s="7">
        <f t="shared" si="28"/>
        <v>0</v>
      </c>
      <c r="J96" s="7">
        <f t="shared" si="29"/>
        <v>1</v>
      </c>
      <c r="K96" s="7">
        <f t="shared" si="25"/>
        <v>1</v>
      </c>
      <c r="L96" s="192">
        <f t="shared" si="20"/>
        <v>4</v>
      </c>
      <c r="M96" s="192">
        <f t="shared" si="21"/>
        <v>2</v>
      </c>
      <c r="N96" s="192">
        <f t="shared" si="22"/>
        <v>1</v>
      </c>
      <c r="O96" s="192">
        <f t="shared" si="23"/>
        <v>7</v>
      </c>
      <c r="P96" s="197">
        <f t="shared" si="26"/>
        <v>0</v>
      </c>
    </row>
    <row r="97" spans="1:16" hidden="1">
      <c r="A97" s="7">
        <f t="shared" si="24"/>
        <v>950</v>
      </c>
      <c r="B97">
        <v>777</v>
      </c>
      <c r="C97">
        <v>3575</v>
      </c>
      <c r="D97">
        <v>2420</v>
      </c>
      <c r="E97" s="7" t="str">
        <f t="shared" si="17"/>
        <v>309</v>
      </c>
      <c r="F97" s="7" t="str">
        <f t="shared" si="18"/>
        <v>DF7</v>
      </c>
      <c r="G97" s="7" t="str">
        <f t="shared" si="19"/>
        <v>974</v>
      </c>
      <c r="H97" s="7">
        <f t="shared" si="27"/>
        <v>0</v>
      </c>
      <c r="I97" s="7">
        <f t="shared" si="28"/>
        <v>1</v>
      </c>
      <c r="J97" s="7">
        <f t="shared" si="29"/>
        <v>1</v>
      </c>
      <c r="K97" s="7">
        <f t="shared" si="25"/>
        <v>0</v>
      </c>
      <c r="L97" s="192">
        <f t="shared" si="20"/>
        <v>4</v>
      </c>
      <c r="M97" s="192">
        <f t="shared" si="21"/>
        <v>3</v>
      </c>
      <c r="N97" s="192">
        <f t="shared" si="22"/>
        <v>1</v>
      </c>
      <c r="O97" s="192">
        <f t="shared" si="23"/>
        <v>6</v>
      </c>
      <c r="P97" s="197">
        <f t="shared" si="26"/>
        <v>0</v>
      </c>
    </row>
    <row r="98" spans="1:16" hidden="1">
      <c r="A98" s="7">
        <f t="shared" si="24"/>
        <v>960</v>
      </c>
      <c r="B98">
        <v>777</v>
      </c>
      <c r="C98">
        <v>3575</v>
      </c>
      <c r="D98">
        <v>2420</v>
      </c>
      <c r="E98" s="7" t="str">
        <f t="shared" si="17"/>
        <v>309</v>
      </c>
      <c r="F98" s="7" t="str">
        <f t="shared" si="18"/>
        <v>DF7</v>
      </c>
      <c r="G98" s="7" t="str">
        <f t="shared" si="19"/>
        <v>974</v>
      </c>
      <c r="H98" s="7">
        <f t="shared" si="27"/>
        <v>0</v>
      </c>
      <c r="I98" s="7">
        <f t="shared" si="28"/>
        <v>1</v>
      </c>
      <c r="J98" s="7">
        <f t="shared" si="29"/>
        <v>1</v>
      </c>
      <c r="K98" s="7">
        <f t="shared" si="25"/>
        <v>0</v>
      </c>
      <c r="L98" s="192">
        <f t="shared" si="20"/>
        <v>4</v>
      </c>
      <c r="M98" s="192">
        <f t="shared" si="21"/>
        <v>3</v>
      </c>
      <c r="N98" s="192">
        <f t="shared" si="22"/>
        <v>1</v>
      </c>
      <c r="O98" s="192">
        <f t="shared" si="23"/>
        <v>6</v>
      </c>
      <c r="P98" s="197">
        <f t="shared" si="26"/>
        <v>0</v>
      </c>
    </row>
    <row r="99" spans="1:16" hidden="1">
      <c r="A99" s="7">
        <f t="shared" si="24"/>
        <v>970</v>
      </c>
      <c r="B99">
        <v>778</v>
      </c>
      <c r="C99">
        <v>3575</v>
      </c>
      <c r="D99">
        <v>2420</v>
      </c>
      <c r="E99" s="7" t="str">
        <f t="shared" si="17"/>
        <v>30A</v>
      </c>
      <c r="F99" s="7" t="str">
        <f t="shared" si="18"/>
        <v>DF7</v>
      </c>
      <c r="G99" s="7" t="str">
        <f t="shared" si="19"/>
        <v>974</v>
      </c>
      <c r="H99" s="7">
        <f t="shared" si="27"/>
        <v>1</v>
      </c>
      <c r="I99" s="7">
        <f t="shared" si="28"/>
        <v>1</v>
      </c>
      <c r="J99" s="7">
        <f t="shared" si="29"/>
        <v>1</v>
      </c>
      <c r="K99" s="7">
        <f t="shared" si="25"/>
        <v>1</v>
      </c>
      <c r="L99" s="192">
        <f t="shared" si="20"/>
        <v>5</v>
      </c>
      <c r="M99" s="192">
        <f t="shared" si="21"/>
        <v>3</v>
      </c>
      <c r="N99" s="192">
        <f t="shared" si="22"/>
        <v>1</v>
      </c>
      <c r="O99" s="192">
        <f t="shared" si="23"/>
        <v>7</v>
      </c>
      <c r="P99" s="197">
        <f t="shared" si="26"/>
        <v>0</v>
      </c>
    </row>
    <row r="100" spans="1:16" hidden="1">
      <c r="A100" s="7">
        <f t="shared" si="24"/>
        <v>980</v>
      </c>
      <c r="B100">
        <v>778</v>
      </c>
      <c r="C100">
        <v>3575</v>
      </c>
      <c r="D100">
        <v>2420</v>
      </c>
      <c r="E100" s="7" t="str">
        <f t="shared" si="17"/>
        <v>30A</v>
      </c>
      <c r="F100" s="7" t="str">
        <f t="shared" si="18"/>
        <v>DF7</v>
      </c>
      <c r="G100" s="7" t="str">
        <f t="shared" si="19"/>
        <v>974</v>
      </c>
      <c r="H100" s="7">
        <f t="shared" si="27"/>
        <v>1</v>
      </c>
      <c r="I100" s="7">
        <f t="shared" si="28"/>
        <v>1</v>
      </c>
      <c r="J100" s="7">
        <f t="shared" si="29"/>
        <v>1</v>
      </c>
      <c r="K100" s="7">
        <f t="shared" si="25"/>
        <v>1</v>
      </c>
      <c r="L100" s="192">
        <f t="shared" si="20"/>
        <v>5</v>
      </c>
      <c r="M100" s="192">
        <f t="shared" si="21"/>
        <v>3</v>
      </c>
      <c r="N100" s="192">
        <f t="shared" si="22"/>
        <v>1</v>
      </c>
      <c r="O100" s="192">
        <f t="shared" si="23"/>
        <v>7</v>
      </c>
      <c r="P100" s="197">
        <f t="shared" si="26"/>
        <v>0</v>
      </c>
    </row>
    <row r="101" spans="1:16" hidden="1">
      <c r="A101" s="7">
        <f t="shared" si="24"/>
        <v>990</v>
      </c>
      <c r="B101">
        <v>778</v>
      </c>
      <c r="C101">
        <v>3575</v>
      </c>
      <c r="D101">
        <v>2420</v>
      </c>
      <c r="E101" s="7" t="str">
        <f t="shared" si="17"/>
        <v>30A</v>
      </c>
      <c r="F101" s="7" t="str">
        <f t="shared" si="18"/>
        <v>DF7</v>
      </c>
      <c r="G101" s="7" t="str">
        <f t="shared" si="19"/>
        <v>974</v>
      </c>
      <c r="H101" s="7">
        <f t="shared" si="27"/>
        <v>1</v>
      </c>
      <c r="I101" s="7">
        <f t="shared" si="28"/>
        <v>1</v>
      </c>
      <c r="J101" s="7">
        <f t="shared" si="29"/>
        <v>1</v>
      </c>
      <c r="K101" s="7">
        <f t="shared" si="25"/>
        <v>1</v>
      </c>
      <c r="L101" s="192">
        <f t="shared" si="20"/>
        <v>5</v>
      </c>
      <c r="M101" s="192">
        <f t="shared" si="21"/>
        <v>3</v>
      </c>
      <c r="N101" s="192">
        <f t="shared" si="22"/>
        <v>1</v>
      </c>
      <c r="O101" s="192">
        <f t="shared" si="23"/>
        <v>7</v>
      </c>
      <c r="P101" s="197">
        <f t="shared" si="26"/>
        <v>0</v>
      </c>
    </row>
    <row r="102" spans="1:16" hidden="1">
      <c r="A102" s="7">
        <f t="shared" si="24"/>
        <v>1000</v>
      </c>
      <c r="B102">
        <v>778</v>
      </c>
      <c r="C102">
        <v>3576</v>
      </c>
      <c r="D102">
        <v>2420</v>
      </c>
      <c r="E102" s="7" t="str">
        <f t="shared" si="17"/>
        <v>30A</v>
      </c>
      <c r="F102" s="7" t="str">
        <f t="shared" si="18"/>
        <v>DF8</v>
      </c>
      <c r="G102" s="7" t="str">
        <f t="shared" si="19"/>
        <v>974</v>
      </c>
      <c r="H102" s="7">
        <f t="shared" si="27"/>
        <v>1</v>
      </c>
      <c r="I102" s="7">
        <f t="shared" si="28"/>
        <v>0</v>
      </c>
      <c r="J102" s="7">
        <f t="shared" si="29"/>
        <v>1</v>
      </c>
      <c r="K102" s="7">
        <f t="shared" si="25"/>
        <v>0</v>
      </c>
      <c r="L102" s="192">
        <f t="shared" si="20"/>
        <v>5</v>
      </c>
      <c r="M102" s="192">
        <f t="shared" si="21"/>
        <v>2</v>
      </c>
      <c r="N102" s="192">
        <f t="shared" si="22"/>
        <v>1</v>
      </c>
      <c r="O102" s="192">
        <f t="shared" si="23"/>
        <v>6</v>
      </c>
      <c r="P102" s="197">
        <f t="shared" si="26"/>
        <v>0</v>
      </c>
    </row>
    <row r="103" spans="1:16" hidden="1">
      <c r="A103" s="7">
        <f t="shared" si="24"/>
        <v>1010</v>
      </c>
      <c r="B103">
        <v>778</v>
      </c>
      <c r="C103">
        <v>3576</v>
      </c>
      <c r="D103">
        <v>2420</v>
      </c>
      <c r="E103" s="7" t="str">
        <f t="shared" si="17"/>
        <v>30A</v>
      </c>
      <c r="F103" s="7" t="str">
        <f t="shared" si="18"/>
        <v>DF8</v>
      </c>
      <c r="G103" s="7" t="str">
        <f t="shared" si="19"/>
        <v>974</v>
      </c>
      <c r="H103" s="7">
        <f t="shared" si="27"/>
        <v>1</v>
      </c>
      <c r="I103" s="7">
        <f t="shared" si="28"/>
        <v>0</v>
      </c>
      <c r="J103" s="7">
        <f t="shared" si="29"/>
        <v>1</v>
      </c>
      <c r="K103" s="7">
        <f t="shared" si="25"/>
        <v>0</v>
      </c>
      <c r="L103" s="192">
        <f t="shared" si="20"/>
        <v>5</v>
      </c>
      <c r="M103" s="192">
        <f t="shared" si="21"/>
        <v>2</v>
      </c>
      <c r="N103" s="192">
        <f t="shared" si="22"/>
        <v>1</v>
      </c>
      <c r="O103" s="192">
        <f t="shared" si="23"/>
        <v>6</v>
      </c>
      <c r="P103" s="197">
        <f t="shared" si="26"/>
        <v>0</v>
      </c>
    </row>
    <row r="104" spans="1:16" hidden="1">
      <c r="A104" s="7">
        <f t="shared" si="24"/>
        <v>1020</v>
      </c>
      <c r="B104">
        <v>778</v>
      </c>
      <c r="C104">
        <v>3576</v>
      </c>
      <c r="D104">
        <v>2420</v>
      </c>
      <c r="E104" s="7" t="str">
        <f t="shared" si="17"/>
        <v>30A</v>
      </c>
      <c r="F104" s="7" t="str">
        <f t="shared" si="18"/>
        <v>DF8</v>
      </c>
      <c r="G104" s="7" t="str">
        <f t="shared" si="19"/>
        <v>974</v>
      </c>
      <c r="H104" s="7">
        <f t="shared" si="27"/>
        <v>1</v>
      </c>
      <c r="I104" s="7">
        <f t="shared" si="28"/>
        <v>0</v>
      </c>
      <c r="J104" s="7">
        <f t="shared" si="29"/>
        <v>1</v>
      </c>
      <c r="K104" s="7">
        <f t="shared" si="25"/>
        <v>0</v>
      </c>
      <c r="L104" s="192">
        <f t="shared" si="20"/>
        <v>5</v>
      </c>
      <c r="M104" s="192">
        <f t="shared" si="21"/>
        <v>2</v>
      </c>
      <c r="N104" s="192">
        <f t="shared" si="22"/>
        <v>1</v>
      </c>
      <c r="O104" s="192">
        <f t="shared" si="23"/>
        <v>6</v>
      </c>
      <c r="P104" s="197">
        <f t="shared" si="26"/>
        <v>0</v>
      </c>
    </row>
    <row r="105" spans="1:16" hidden="1">
      <c r="A105" s="7">
        <f t="shared" si="24"/>
        <v>1030</v>
      </c>
      <c r="B105">
        <v>778</v>
      </c>
      <c r="C105">
        <v>3576</v>
      </c>
      <c r="D105">
        <v>2422</v>
      </c>
      <c r="E105" s="7" t="str">
        <f t="shared" si="17"/>
        <v>30A</v>
      </c>
      <c r="F105" s="7" t="str">
        <f t="shared" si="18"/>
        <v>DF8</v>
      </c>
      <c r="G105" s="7" t="str">
        <f t="shared" si="19"/>
        <v>976</v>
      </c>
      <c r="H105" s="7">
        <f t="shared" si="27"/>
        <v>1</v>
      </c>
      <c r="I105" s="7">
        <f t="shared" si="28"/>
        <v>0</v>
      </c>
      <c r="J105" s="7">
        <f t="shared" si="29"/>
        <v>0</v>
      </c>
      <c r="K105" s="7">
        <f t="shared" si="25"/>
        <v>1</v>
      </c>
      <c r="L105" s="192">
        <f t="shared" si="20"/>
        <v>5</v>
      </c>
      <c r="M105" s="192">
        <f t="shared" si="21"/>
        <v>2</v>
      </c>
      <c r="N105" s="192">
        <f t="shared" si="22"/>
        <v>0</v>
      </c>
      <c r="O105" s="192">
        <f t="shared" si="23"/>
        <v>7</v>
      </c>
      <c r="P105" s="197">
        <f t="shared" si="26"/>
        <v>0</v>
      </c>
    </row>
    <row r="106" spans="1:16" hidden="1">
      <c r="A106" s="7">
        <f t="shared" si="24"/>
        <v>1040</v>
      </c>
      <c r="B106">
        <v>778</v>
      </c>
      <c r="C106">
        <v>3576</v>
      </c>
      <c r="D106">
        <v>2422</v>
      </c>
      <c r="E106" s="7" t="str">
        <f t="shared" si="17"/>
        <v>30A</v>
      </c>
      <c r="F106" s="7" t="str">
        <f t="shared" si="18"/>
        <v>DF8</v>
      </c>
      <c r="G106" s="7" t="str">
        <f t="shared" si="19"/>
        <v>976</v>
      </c>
      <c r="H106" s="7">
        <f t="shared" si="27"/>
        <v>1</v>
      </c>
      <c r="I106" s="7">
        <f t="shared" si="28"/>
        <v>0</v>
      </c>
      <c r="J106" s="7">
        <f t="shared" si="29"/>
        <v>0</v>
      </c>
      <c r="K106" s="7">
        <f t="shared" si="25"/>
        <v>1</v>
      </c>
      <c r="L106" s="192">
        <f t="shared" si="20"/>
        <v>5</v>
      </c>
      <c r="M106" s="192">
        <f t="shared" si="21"/>
        <v>2</v>
      </c>
      <c r="N106" s="192">
        <f t="shared" si="22"/>
        <v>0</v>
      </c>
      <c r="O106" s="192">
        <f t="shared" si="23"/>
        <v>7</v>
      </c>
      <c r="P106" s="197">
        <f t="shared" si="26"/>
        <v>0</v>
      </c>
    </row>
    <row r="107" spans="1:16" hidden="1">
      <c r="A107" s="7">
        <f t="shared" si="24"/>
        <v>1050</v>
      </c>
      <c r="B107">
        <v>778</v>
      </c>
      <c r="C107">
        <v>3576</v>
      </c>
      <c r="D107">
        <v>2422</v>
      </c>
      <c r="E107" s="7" t="str">
        <f t="shared" si="17"/>
        <v>30A</v>
      </c>
      <c r="F107" s="7" t="str">
        <f t="shared" si="18"/>
        <v>DF8</v>
      </c>
      <c r="G107" s="7" t="str">
        <f t="shared" si="19"/>
        <v>976</v>
      </c>
      <c r="H107" s="7">
        <f t="shared" si="27"/>
        <v>1</v>
      </c>
      <c r="I107" s="7">
        <f t="shared" si="28"/>
        <v>0</v>
      </c>
      <c r="J107" s="7">
        <f t="shared" si="29"/>
        <v>0</v>
      </c>
      <c r="K107" s="7">
        <f t="shared" si="25"/>
        <v>1</v>
      </c>
      <c r="L107" s="192">
        <f t="shared" si="20"/>
        <v>5</v>
      </c>
      <c r="M107" s="192">
        <f t="shared" si="21"/>
        <v>2</v>
      </c>
      <c r="N107" s="192">
        <f t="shared" si="22"/>
        <v>0</v>
      </c>
      <c r="O107" s="192">
        <f t="shared" si="23"/>
        <v>7</v>
      </c>
      <c r="P107" s="197">
        <f t="shared" si="26"/>
        <v>0</v>
      </c>
    </row>
    <row r="108" spans="1:16" hidden="1">
      <c r="A108" s="7">
        <f t="shared" si="24"/>
        <v>1060</v>
      </c>
      <c r="B108">
        <v>778</v>
      </c>
      <c r="C108">
        <v>3576</v>
      </c>
      <c r="D108">
        <v>2422</v>
      </c>
      <c r="E108" s="7" t="str">
        <f t="shared" si="17"/>
        <v>30A</v>
      </c>
      <c r="F108" s="7" t="str">
        <f t="shared" si="18"/>
        <v>DF8</v>
      </c>
      <c r="G108" s="7" t="str">
        <f t="shared" si="19"/>
        <v>976</v>
      </c>
      <c r="H108" s="7">
        <f t="shared" si="27"/>
        <v>1</v>
      </c>
      <c r="I108" s="7">
        <f t="shared" si="28"/>
        <v>0</v>
      </c>
      <c r="J108" s="7">
        <f t="shared" si="29"/>
        <v>0</v>
      </c>
      <c r="K108" s="7">
        <f t="shared" si="25"/>
        <v>1</v>
      </c>
      <c r="L108" s="192">
        <f t="shared" si="20"/>
        <v>5</v>
      </c>
      <c r="M108" s="192">
        <f t="shared" si="21"/>
        <v>2</v>
      </c>
      <c r="N108" s="192">
        <f t="shared" si="22"/>
        <v>0</v>
      </c>
      <c r="O108" s="192">
        <f t="shared" si="23"/>
        <v>7</v>
      </c>
      <c r="P108" s="197">
        <f t="shared" si="26"/>
        <v>0</v>
      </c>
    </row>
    <row r="109" spans="1:16" hidden="1">
      <c r="A109" s="7">
        <f t="shared" si="24"/>
        <v>1070</v>
      </c>
      <c r="B109">
        <v>777</v>
      </c>
      <c r="C109">
        <v>3576</v>
      </c>
      <c r="D109">
        <v>2422</v>
      </c>
      <c r="E109" s="7" t="str">
        <f t="shared" si="17"/>
        <v>309</v>
      </c>
      <c r="F109" s="7" t="str">
        <f t="shared" si="18"/>
        <v>DF8</v>
      </c>
      <c r="G109" s="7" t="str">
        <f t="shared" si="19"/>
        <v>976</v>
      </c>
      <c r="H109" s="7">
        <f t="shared" si="27"/>
        <v>0</v>
      </c>
      <c r="I109" s="7">
        <f t="shared" si="28"/>
        <v>0</v>
      </c>
      <c r="J109" s="7">
        <f t="shared" si="29"/>
        <v>0</v>
      </c>
      <c r="K109" s="7">
        <f t="shared" si="25"/>
        <v>0</v>
      </c>
      <c r="L109" s="192">
        <f t="shared" si="20"/>
        <v>4</v>
      </c>
      <c r="M109" s="192">
        <f t="shared" si="21"/>
        <v>2</v>
      </c>
      <c r="N109" s="192">
        <f t="shared" si="22"/>
        <v>0</v>
      </c>
      <c r="O109" s="192">
        <f t="shared" si="23"/>
        <v>6</v>
      </c>
      <c r="P109" s="197">
        <f t="shared" si="26"/>
        <v>0</v>
      </c>
    </row>
    <row r="110" spans="1:16" hidden="1">
      <c r="A110" s="7">
        <f t="shared" si="24"/>
        <v>1080</v>
      </c>
      <c r="B110">
        <v>777</v>
      </c>
      <c r="C110">
        <v>3576</v>
      </c>
      <c r="D110">
        <v>2420</v>
      </c>
      <c r="E110" s="7" t="str">
        <f t="shared" si="17"/>
        <v>309</v>
      </c>
      <c r="F110" s="7" t="str">
        <f t="shared" si="18"/>
        <v>DF8</v>
      </c>
      <c r="G110" s="7" t="str">
        <f t="shared" si="19"/>
        <v>974</v>
      </c>
      <c r="H110" s="7">
        <f t="shared" si="27"/>
        <v>0</v>
      </c>
      <c r="I110" s="7">
        <f t="shared" si="28"/>
        <v>0</v>
      </c>
      <c r="J110" s="7">
        <f t="shared" si="29"/>
        <v>1</v>
      </c>
      <c r="K110" s="7">
        <f t="shared" si="25"/>
        <v>1</v>
      </c>
      <c r="L110" s="192">
        <f t="shared" si="20"/>
        <v>4</v>
      </c>
      <c r="M110" s="192">
        <f t="shared" si="21"/>
        <v>2</v>
      </c>
      <c r="N110" s="192">
        <f t="shared" si="22"/>
        <v>1</v>
      </c>
      <c r="O110" s="192">
        <f t="shared" si="23"/>
        <v>7</v>
      </c>
      <c r="P110" s="197">
        <f t="shared" si="26"/>
        <v>0</v>
      </c>
    </row>
    <row r="111" spans="1:16" hidden="1">
      <c r="A111" s="7">
        <f t="shared" si="24"/>
        <v>1090</v>
      </c>
      <c r="B111">
        <v>777</v>
      </c>
      <c r="C111">
        <v>3576</v>
      </c>
      <c r="D111">
        <v>2420</v>
      </c>
      <c r="E111" s="7" t="str">
        <f t="shared" si="17"/>
        <v>309</v>
      </c>
      <c r="F111" s="7" t="str">
        <f t="shared" si="18"/>
        <v>DF8</v>
      </c>
      <c r="G111" s="7" t="str">
        <f t="shared" si="19"/>
        <v>974</v>
      </c>
      <c r="H111" s="7">
        <f t="shared" si="27"/>
        <v>0</v>
      </c>
      <c r="I111" s="7">
        <f t="shared" si="28"/>
        <v>0</v>
      </c>
      <c r="J111" s="7">
        <f t="shared" si="29"/>
        <v>1</v>
      </c>
      <c r="K111" s="7">
        <f t="shared" si="25"/>
        <v>1</v>
      </c>
      <c r="L111" s="192">
        <f t="shared" si="20"/>
        <v>4</v>
      </c>
      <c r="M111" s="192">
        <f t="shared" si="21"/>
        <v>2</v>
      </c>
      <c r="N111" s="192">
        <f t="shared" si="22"/>
        <v>1</v>
      </c>
      <c r="O111" s="192">
        <f t="shared" si="23"/>
        <v>7</v>
      </c>
      <c r="P111" s="197">
        <f t="shared" si="26"/>
        <v>0</v>
      </c>
    </row>
    <row r="112" spans="1:16" hidden="1">
      <c r="A112" s="7">
        <f t="shared" si="24"/>
        <v>1100</v>
      </c>
      <c r="B112">
        <v>777</v>
      </c>
      <c r="C112">
        <v>3576</v>
      </c>
      <c r="D112">
        <v>2420</v>
      </c>
      <c r="E112" s="7" t="str">
        <f t="shared" si="17"/>
        <v>309</v>
      </c>
      <c r="F112" s="7" t="str">
        <f t="shared" si="18"/>
        <v>DF8</v>
      </c>
      <c r="G112" s="7" t="str">
        <f t="shared" si="19"/>
        <v>974</v>
      </c>
      <c r="H112" s="7">
        <f t="shared" si="27"/>
        <v>0</v>
      </c>
      <c r="I112" s="7">
        <f t="shared" si="28"/>
        <v>0</v>
      </c>
      <c r="J112" s="7">
        <f t="shared" si="29"/>
        <v>1</v>
      </c>
      <c r="K112" s="7">
        <f t="shared" si="25"/>
        <v>1</v>
      </c>
      <c r="L112" s="192">
        <f t="shared" si="20"/>
        <v>4</v>
      </c>
      <c r="M112" s="192">
        <f t="shared" si="21"/>
        <v>2</v>
      </c>
      <c r="N112" s="192">
        <f t="shared" si="22"/>
        <v>1</v>
      </c>
      <c r="O112" s="192">
        <f t="shared" si="23"/>
        <v>7</v>
      </c>
      <c r="P112" s="197">
        <f t="shared" si="26"/>
        <v>0</v>
      </c>
    </row>
    <row r="113" spans="1:16" hidden="1">
      <c r="A113" s="7">
        <f t="shared" si="24"/>
        <v>1110</v>
      </c>
      <c r="B113">
        <v>777</v>
      </c>
      <c r="C113">
        <v>3577</v>
      </c>
      <c r="D113">
        <v>2420</v>
      </c>
      <c r="E113" s="7" t="str">
        <f t="shared" si="17"/>
        <v>309</v>
      </c>
      <c r="F113" s="7" t="str">
        <f t="shared" si="18"/>
        <v>DF9</v>
      </c>
      <c r="G113" s="7" t="str">
        <f t="shared" si="19"/>
        <v>974</v>
      </c>
      <c r="H113" s="7">
        <f t="shared" si="27"/>
        <v>0</v>
      </c>
      <c r="I113" s="7">
        <f t="shared" si="28"/>
        <v>1</v>
      </c>
      <c r="J113" s="7">
        <f t="shared" si="29"/>
        <v>1</v>
      </c>
      <c r="K113" s="7">
        <f t="shared" si="25"/>
        <v>0</v>
      </c>
      <c r="L113" s="192">
        <f t="shared" si="20"/>
        <v>4</v>
      </c>
      <c r="M113" s="192">
        <f t="shared" si="21"/>
        <v>3</v>
      </c>
      <c r="N113" s="192">
        <f t="shared" si="22"/>
        <v>1</v>
      </c>
      <c r="O113" s="192">
        <f t="shared" si="23"/>
        <v>6</v>
      </c>
      <c r="P113" s="197">
        <f t="shared" si="26"/>
        <v>0</v>
      </c>
    </row>
    <row r="114" spans="1:16" hidden="1">
      <c r="A114" s="7">
        <f t="shared" si="24"/>
        <v>1120</v>
      </c>
      <c r="B114">
        <v>778</v>
      </c>
      <c r="C114">
        <v>3577</v>
      </c>
      <c r="D114">
        <v>2420</v>
      </c>
      <c r="E114" s="7" t="str">
        <f t="shared" si="17"/>
        <v>30A</v>
      </c>
      <c r="F114" s="7" t="str">
        <f t="shared" si="18"/>
        <v>DF9</v>
      </c>
      <c r="G114" s="7" t="str">
        <f t="shared" si="19"/>
        <v>974</v>
      </c>
      <c r="H114" s="7">
        <f t="shared" si="27"/>
        <v>1</v>
      </c>
      <c r="I114" s="7">
        <f t="shared" si="28"/>
        <v>1</v>
      </c>
      <c r="J114" s="7">
        <f t="shared" si="29"/>
        <v>1</v>
      </c>
      <c r="K114" s="7">
        <f t="shared" si="25"/>
        <v>1</v>
      </c>
      <c r="L114" s="192">
        <f t="shared" si="20"/>
        <v>5</v>
      </c>
      <c r="M114" s="192">
        <f t="shared" si="21"/>
        <v>3</v>
      </c>
      <c r="N114" s="192">
        <f t="shared" si="22"/>
        <v>1</v>
      </c>
      <c r="O114" s="192">
        <f t="shared" si="23"/>
        <v>7</v>
      </c>
      <c r="P114" s="197">
        <f t="shared" si="26"/>
        <v>0</v>
      </c>
    </row>
    <row r="115" spans="1:16" hidden="1">
      <c r="A115" s="7">
        <f t="shared" si="24"/>
        <v>1130</v>
      </c>
      <c r="B115">
        <v>778</v>
      </c>
      <c r="C115">
        <v>3577</v>
      </c>
      <c r="D115">
        <v>2420</v>
      </c>
      <c r="E115" s="7" t="str">
        <f t="shared" si="17"/>
        <v>30A</v>
      </c>
      <c r="F115" s="7" t="str">
        <f t="shared" si="18"/>
        <v>DF9</v>
      </c>
      <c r="G115" s="7" t="str">
        <f t="shared" si="19"/>
        <v>974</v>
      </c>
      <c r="H115" s="7">
        <f t="shared" si="27"/>
        <v>1</v>
      </c>
      <c r="I115" s="7">
        <f t="shared" si="28"/>
        <v>1</v>
      </c>
      <c r="J115" s="7">
        <f t="shared" si="29"/>
        <v>1</v>
      </c>
      <c r="K115" s="7">
        <f t="shared" si="25"/>
        <v>1</v>
      </c>
      <c r="L115" s="192">
        <f t="shared" si="20"/>
        <v>5</v>
      </c>
      <c r="M115" s="192">
        <f t="shared" si="21"/>
        <v>3</v>
      </c>
      <c r="N115" s="192">
        <f t="shared" si="22"/>
        <v>1</v>
      </c>
      <c r="O115" s="192">
        <f t="shared" si="23"/>
        <v>7</v>
      </c>
      <c r="P115" s="197">
        <f t="shared" si="26"/>
        <v>0</v>
      </c>
    </row>
    <row r="116" spans="1:16" hidden="1">
      <c r="A116" s="7">
        <f t="shared" si="24"/>
        <v>1140</v>
      </c>
      <c r="B116">
        <v>778</v>
      </c>
      <c r="C116">
        <v>3577</v>
      </c>
      <c r="D116">
        <v>2419</v>
      </c>
      <c r="E116" s="7" t="str">
        <f t="shared" si="17"/>
        <v>30A</v>
      </c>
      <c r="F116" s="7" t="str">
        <f t="shared" si="18"/>
        <v>DF9</v>
      </c>
      <c r="G116" s="7" t="str">
        <f t="shared" si="19"/>
        <v>973</v>
      </c>
      <c r="H116" s="7">
        <f t="shared" si="27"/>
        <v>1</v>
      </c>
      <c r="I116" s="7">
        <f t="shared" si="28"/>
        <v>1</v>
      </c>
      <c r="J116" s="7">
        <f t="shared" si="29"/>
        <v>0</v>
      </c>
      <c r="K116" s="7">
        <f t="shared" si="25"/>
        <v>0</v>
      </c>
      <c r="L116" s="192">
        <f t="shared" si="20"/>
        <v>5</v>
      </c>
      <c r="M116" s="192">
        <f t="shared" si="21"/>
        <v>3</v>
      </c>
      <c r="N116" s="192">
        <f t="shared" si="22"/>
        <v>0</v>
      </c>
      <c r="O116" s="192">
        <f t="shared" si="23"/>
        <v>6</v>
      </c>
      <c r="P116" s="197">
        <f t="shared" si="26"/>
        <v>0</v>
      </c>
    </row>
    <row r="117" spans="1:16" hidden="1">
      <c r="A117" s="7">
        <f t="shared" si="24"/>
        <v>1150</v>
      </c>
      <c r="B117">
        <v>778</v>
      </c>
      <c r="C117">
        <v>3577</v>
      </c>
      <c r="D117">
        <v>2419</v>
      </c>
      <c r="E117" s="7" t="str">
        <f t="shared" si="17"/>
        <v>30A</v>
      </c>
      <c r="F117" s="7" t="str">
        <f t="shared" si="18"/>
        <v>DF9</v>
      </c>
      <c r="G117" s="7" t="str">
        <f t="shared" si="19"/>
        <v>973</v>
      </c>
      <c r="H117" s="7">
        <f t="shared" si="27"/>
        <v>1</v>
      </c>
      <c r="I117" s="7">
        <f t="shared" si="28"/>
        <v>1</v>
      </c>
      <c r="J117" s="7">
        <f t="shared" si="29"/>
        <v>0</v>
      </c>
      <c r="K117" s="7">
        <f t="shared" si="25"/>
        <v>0</v>
      </c>
      <c r="L117" s="192">
        <f t="shared" si="20"/>
        <v>5</v>
      </c>
      <c r="M117" s="192">
        <f t="shared" si="21"/>
        <v>3</v>
      </c>
      <c r="N117" s="192">
        <f t="shared" si="22"/>
        <v>0</v>
      </c>
      <c r="O117" s="192">
        <f t="shared" si="23"/>
        <v>6</v>
      </c>
      <c r="P117" s="197">
        <f t="shared" si="26"/>
        <v>0</v>
      </c>
    </row>
    <row r="118" spans="1:16" hidden="1">
      <c r="A118" s="7">
        <f t="shared" si="24"/>
        <v>1160</v>
      </c>
      <c r="B118">
        <v>778</v>
      </c>
      <c r="C118">
        <v>3577</v>
      </c>
      <c r="D118">
        <v>2419</v>
      </c>
      <c r="E118" s="7" t="str">
        <f t="shared" si="17"/>
        <v>30A</v>
      </c>
      <c r="F118" s="7" t="str">
        <f t="shared" si="18"/>
        <v>DF9</v>
      </c>
      <c r="G118" s="7" t="str">
        <f t="shared" si="19"/>
        <v>973</v>
      </c>
      <c r="H118" s="7">
        <f t="shared" si="27"/>
        <v>1</v>
      </c>
      <c r="I118" s="7">
        <f t="shared" si="28"/>
        <v>1</v>
      </c>
      <c r="J118" s="7">
        <f t="shared" si="29"/>
        <v>0</v>
      </c>
      <c r="K118" s="7">
        <f t="shared" si="25"/>
        <v>0</v>
      </c>
      <c r="L118" s="192">
        <f t="shared" si="20"/>
        <v>5</v>
      </c>
      <c r="M118" s="192">
        <f t="shared" si="21"/>
        <v>3</v>
      </c>
      <c r="N118" s="192">
        <f t="shared" si="22"/>
        <v>0</v>
      </c>
      <c r="O118" s="192">
        <f t="shared" si="23"/>
        <v>6</v>
      </c>
      <c r="P118" s="197">
        <f t="shared" si="26"/>
        <v>0</v>
      </c>
    </row>
    <row r="119" spans="1:16" hidden="1">
      <c r="A119" s="7">
        <f t="shared" si="24"/>
        <v>1170</v>
      </c>
      <c r="B119">
        <v>778</v>
      </c>
      <c r="C119">
        <v>3577</v>
      </c>
      <c r="D119">
        <v>2419</v>
      </c>
      <c r="E119" s="7" t="str">
        <f t="shared" si="17"/>
        <v>30A</v>
      </c>
      <c r="F119" s="7" t="str">
        <f t="shared" si="18"/>
        <v>DF9</v>
      </c>
      <c r="G119" s="7" t="str">
        <f t="shared" si="19"/>
        <v>973</v>
      </c>
      <c r="H119" s="7">
        <f t="shared" si="27"/>
        <v>1</v>
      </c>
      <c r="I119" s="7">
        <f t="shared" si="28"/>
        <v>1</v>
      </c>
      <c r="J119" s="7">
        <f t="shared" si="29"/>
        <v>0</v>
      </c>
      <c r="K119" s="7">
        <f t="shared" si="25"/>
        <v>0</v>
      </c>
      <c r="L119" s="192">
        <f t="shared" si="20"/>
        <v>5</v>
      </c>
      <c r="M119" s="192">
        <f t="shared" si="21"/>
        <v>3</v>
      </c>
      <c r="N119" s="192">
        <f t="shared" si="22"/>
        <v>0</v>
      </c>
      <c r="O119" s="192">
        <f t="shared" si="23"/>
        <v>6</v>
      </c>
      <c r="P119" s="197">
        <f t="shared" si="26"/>
        <v>0</v>
      </c>
    </row>
    <row r="120" spans="1:16" hidden="1">
      <c r="A120" s="7">
        <f t="shared" si="24"/>
        <v>1180</v>
      </c>
      <c r="B120">
        <v>778</v>
      </c>
      <c r="C120">
        <v>3577</v>
      </c>
      <c r="D120">
        <v>2419</v>
      </c>
      <c r="E120" s="7" t="str">
        <f t="shared" si="17"/>
        <v>30A</v>
      </c>
      <c r="F120" s="7" t="str">
        <f t="shared" si="18"/>
        <v>DF9</v>
      </c>
      <c r="G120" s="7" t="str">
        <f t="shared" si="19"/>
        <v>973</v>
      </c>
      <c r="H120" s="7">
        <f t="shared" si="27"/>
        <v>1</v>
      </c>
      <c r="I120" s="7">
        <f t="shared" si="28"/>
        <v>1</v>
      </c>
      <c r="J120" s="7">
        <f t="shared" si="29"/>
        <v>0</v>
      </c>
      <c r="K120" s="7">
        <f t="shared" si="25"/>
        <v>0</v>
      </c>
      <c r="L120" s="192">
        <f t="shared" si="20"/>
        <v>5</v>
      </c>
      <c r="M120" s="192">
        <f t="shared" si="21"/>
        <v>3</v>
      </c>
      <c r="N120" s="192">
        <f t="shared" si="22"/>
        <v>0</v>
      </c>
      <c r="O120" s="192">
        <f t="shared" si="23"/>
        <v>6</v>
      </c>
      <c r="P120" s="197">
        <f t="shared" si="26"/>
        <v>0</v>
      </c>
    </row>
    <row r="121" spans="1:16" hidden="1">
      <c r="A121" s="7">
        <f t="shared" si="24"/>
        <v>1190</v>
      </c>
      <c r="B121">
        <v>778</v>
      </c>
      <c r="C121">
        <v>3577</v>
      </c>
      <c r="D121">
        <v>2421</v>
      </c>
      <c r="E121" s="7" t="str">
        <f t="shared" si="17"/>
        <v>30A</v>
      </c>
      <c r="F121" s="7" t="str">
        <f t="shared" si="18"/>
        <v>DF9</v>
      </c>
      <c r="G121" s="7" t="str">
        <f t="shared" si="19"/>
        <v>975</v>
      </c>
      <c r="H121" s="7">
        <f t="shared" si="27"/>
        <v>1</v>
      </c>
      <c r="I121" s="7">
        <f t="shared" si="28"/>
        <v>1</v>
      </c>
      <c r="J121" s="7">
        <f t="shared" si="29"/>
        <v>1</v>
      </c>
      <c r="K121" s="7">
        <f t="shared" si="25"/>
        <v>1</v>
      </c>
      <c r="L121" s="192">
        <f t="shared" si="20"/>
        <v>5</v>
      </c>
      <c r="M121" s="192">
        <f t="shared" si="21"/>
        <v>3</v>
      </c>
      <c r="N121" s="192">
        <f t="shared" si="22"/>
        <v>1</v>
      </c>
      <c r="O121" s="192">
        <f t="shared" si="23"/>
        <v>7</v>
      </c>
      <c r="P121" s="197">
        <f t="shared" si="26"/>
        <v>0</v>
      </c>
    </row>
    <row r="122" spans="1:16" hidden="1">
      <c r="A122" s="7">
        <f t="shared" si="24"/>
        <v>1200</v>
      </c>
      <c r="B122">
        <v>778</v>
      </c>
      <c r="C122">
        <v>3577</v>
      </c>
      <c r="D122">
        <v>2421</v>
      </c>
      <c r="E122" s="7" t="str">
        <f t="shared" si="17"/>
        <v>30A</v>
      </c>
      <c r="F122" s="7" t="str">
        <f t="shared" si="18"/>
        <v>DF9</v>
      </c>
      <c r="G122" s="7" t="str">
        <f t="shared" si="19"/>
        <v>975</v>
      </c>
      <c r="H122" s="7">
        <f t="shared" si="27"/>
        <v>1</v>
      </c>
      <c r="I122" s="7">
        <f t="shared" si="28"/>
        <v>1</v>
      </c>
      <c r="J122" s="7">
        <f t="shared" si="29"/>
        <v>1</v>
      </c>
      <c r="K122" s="7">
        <f t="shared" si="25"/>
        <v>1</v>
      </c>
      <c r="L122" s="192">
        <f t="shared" si="20"/>
        <v>5</v>
      </c>
      <c r="M122" s="192">
        <f t="shared" si="21"/>
        <v>3</v>
      </c>
      <c r="N122" s="192">
        <f t="shared" si="22"/>
        <v>1</v>
      </c>
      <c r="O122" s="192">
        <f t="shared" si="23"/>
        <v>7</v>
      </c>
      <c r="P122" s="197">
        <f t="shared" si="26"/>
        <v>0</v>
      </c>
    </row>
    <row r="123" spans="1:16" hidden="1">
      <c r="A123" s="7">
        <f t="shared" si="24"/>
        <v>1210</v>
      </c>
      <c r="B123">
        <v>778</v>
      </c>
      <c r="C123">
        <v>3577</v>
      </c>
      <c r="D123">
        <v>2421</v>
      </c>
      <c r="E123" s="7" t="str">
        <f t="shared" si="17"/>
        <v>30A</v>
      </c>
      <c r="F123" s="7" t="str">
        <f t="shared" si="18"/>
        <v>DF9</v>
      </c>
      <c r="G123" s="7" t="str">
        <f t="shared" si="19"/>
        <v>975</v>
      </c>
      <c r="H123" s="7">
        <f t="shared" si="27"/>
        <v>1</v>
      </c>
      <c r="I123" s="7">
        <f t="shared" si="28"/>
        <v>1</v>
      </c>
      <c r="J123" s="7">
        <f t="shared" si="29"/>
        <v>1</v>
      </c>
      <c r="K123" s="7">
        <f t="shared" si="25"/>
        <v>1</v>
      </c>
      <c r="L123" s="192">
        <f t="shared" si="20"/>
        <v>5</v>
      </c>
      <c r="M123" s="192">
        <f t="shared" si="21"/>
        <v>3</v>
      </c>
      <c r="N123" s="192">
        <f t="shared" si="22"/>
        <v>1</v>
      </c>
      <c r="O123" s="192">
        <f t="shared" si="23"/>
        <v>7</v>
      </c>
      <c r="P123" s="197">
        <f t="shared" si="26"/>
        <v>0</v>
      </c>
    </row>
    <row r="124" spans="1:16" hidden="1">
      <c r="A124" s="7">
        <f t="shared" si="24"/>
        <v>1220</v>
      </c>
      <c r="B124">
        <v>778</v>
      </c>
      <c r="C124">
        <v>3576</v>
      </c>
      <c r="D124">
        <v>2421</v>
      </c>
      <c r="E124" s="7" t="str">
        <f t="shared" si="17"/>
        <v>30A</v>
      </c>
      <c r="F124" s="7" t="str">
        <f t="shared" si="18"/>
        <v>DF8</v>
      </c>
      <c r="G124" s="7" t="str">
        <f t="shared" si="19"/>
        <v>975</v>
      </c>
      <c r="H124" s="7">
        <f t="shared" si="27"/>
        <v>1</v>
      </c>
      <c r="I124" s="7">
        <f t="shared" si="28"/>
        <v>0</v>
      </c>
      <c r="J124" s="7">
        <f t="shared" si="29"/>
        <v>1</v>
      </c>
      <c r="K124" s="7">
        <f t="shared" si="25"/>
        <v>0</v>
      </c>
      <c r="L124" s="192">
        <f t="shared" si="20"/>
        <v>5</v>
      </c>
      <c r="M124" s="192">
        <f t="shared" si="21"/>
        <v>2</v>
      </c>
      <c r="N124" s="192">
        <f t="shared" si="22"/>
        <v>1</v>
      </c>
      <c r="O124" s="192">
        <f t="shared" si="23"/>
        <v>6</v>
      </c>
      <c r="P124" s="197">
        <f t="shared" si="26"/>
        <v>0</v>
      </c>
    </row>
    <row r="125" spans="1:16" hidden="1">
      <c r="A125" s="7">
        <f t="shared" si="24"/>
        <v>1230</v>
      </c>
      <c r="B125">
        <v>778</v>
      </c>
      <c r="C125">
        <v>3576</v>
      </c>
      <c r="D125">
        <v>2421</v>
      </c>
      <c r="E125" s="7" t="str">
        <f t="shared" si="17"/>
        <v>30A</v>
      </c>
      <c r="F125" s="7" t="str">
        <f t="shared" si="18"/>
        <v>DF8</v>
      </c>
      <c r="G125" s="7" t="str">
        <f t="shared" si="19"/>
        <v>975</v>
      </c>
      <c r="H125" s="7">
        <f t="shared" si="27"/>
        <v>1</v>
      </c>
      <c r="I125" s="7">
        <f t="shared" si="28"/>
        <v>0</v>
      </c>
      <c r="J125" s="7">
        <f t="shared" si="29"/>
        <v>1</v>
      </c>
      <c r="K125" s="7">
        <f t="shared" si="25"/>
        <v>0</v>
      </c>
      <c r="L125" s="192">
        <f t="shared" si="20"/>
        <v>5</v>
      </c>
      <c r="M125" s="192">
        <f t="shared" si="21"/>
        <v>2</v>
      </c>
      <c r="N125" s="192">
        <f t="shared" si="22"/>
        <v>1</v>
      </c>
      <c r="O125" s="192">
        <f t="shared" si="23"/>
        <v>6</v>
      </c>
      <c r="P125" s="197">
        <f t="shared" si="26"/>
        <v>0</v>
      </c>
    </row>
    <row r="126" spans="1:16" hidden="1">
      <c r="A126" s="7">
        <f t="shared" si="24"/>
        <v>1240</v>
      </c>
      <c r="B126">
        <v>778</v>
      </c>
      <c r="C126">
        <v>3576</v>
      </c>
      <c r="D126">
        <v>2421</v>
      </c>
      <c r="E126" s="7" t="str">
        <f t="shared" si="17"/>
        <v>30A</v>
      </c>
      <c r="F126" s="7" t="str">
        <f t="shared" si="18"/>
        <v>DF8</v>
      </c>
      <c r="G126" s="7" t="str">
        <f t="shared" si="19"/>
        <v>975</v>
      </c>
      <c r="H126" s="7">
        <f t="shared" si="27"/>
        <v>1</v>
      </c>
      <c r="I126" s="7">
        <f t="shared" si="28"/>
        <v>0</v>
      </c>
      <c r="J126" s="7">
        <f t="shared" si="29"/>
        <v>1</v>
      </c>
      <c r="K126" s="7">
        <f t="shared" si="25"/>
        <v>0</v>
      </c>
      <c r="L126" s="192">
        <f t="shared" si="20"/>
        <v>5</v>
      </c>
      <c r="M126" s="192">
        <f t="shared" si="21"/>
        <v>2</v>
      </c>
      <c r="N126" s="192">
        <f t="shared" si="22"/>
        <v>1</v>
      </c>
      <c r="O126" s="192">
        <f t="shared" si="23"/>
        <v>6</v>
      </c>
      <c r="P126" s="197">
        <f t="shared" si="26"/>
        <v>0</v>
      </c>
    </row>
    <row r="127" spans="1:16" hidden="1">
      <c r="A127" s="7">
        <f t="shared" si="24"/>
        <v>1250</v>
      </c>
      <c r="B127">
        <v>778</v>
      </c>
      <c r="C127">
        <v>3576</v>
      </c>
      <c r="D127">
        <v>2421</v>
      </c>
      <c r="E127" s="7" t="str">
        <f t="shared" si="17"/>
        <v>30A</v>
      </c>
      <c r="F127" s="7" t="str">
        <f t="shared" si="18"/>
        <v>DF8</v>
      </c>
      <c r="G127" s="7" t="str">
        <f t="shared" si="19"/>
        <v>975</v>
      </c>
      <c r="H127" s="7">
        <f t="shared" si="27"/>
        <v>1</v>
      </c>
      <c r="I127" s="7">
        <f t="shared" si="28"/>
        <v>0</v>
      </c>
      <c r="J127" s="7">
        <f t="shared" si="29"/>
        <v>1</v>
      </c>
      <c r="K127" s="7">
        <f t="shared" si="25"/>
        <v>0</v>
      </c>
      <c r="L127" s="192">
        <f t="shared" si="20"/>
        <v>5</v>
      </c>
      <c r="M127" s="192">
        <f t="shared" si="21"/>
        <v>2</v>
      </c>
      <c r="N127" s="192">
        <f t="shared" si="22"/>
        <v>1</v>
      </c>
      <c r="O127" s="192">
        <f t="shared" si="23"/>
        <v>6</v>
      </c>
      <c r="P127" s="197">
        <f t="shared" si="26"/>
        <v>0</v>
      </c>
    </row>
    <row r="128" spans="1:16" hidden="1">
      <c r="A128" s="7">
        <f t="shared" si="24"/>
        <v>1260</v>
      </c>
      <c r="B128">
        <v>778</v>
      </c>
      <c r="C128">
        <v>3576</v>
      </c>
      <c r="D128">
        <v>2421</v>
      </c>
      <c r="E128" s="7" t="str">
        <f t="shared" si="17"/>
        <v>30A</v>
      </c>
      <c r="F128" s="7" t="str">
        <f t="shared" si="18"/>
        <v>DF8</v>
      </c>
      <c r="G128" s="7" t="str">
        <f t="shared" si="19"/>
        <v>975</v>
      </c>
      <c r="H128" s="7">
        <f t="shared" si="27"/>
        <v>1</v>
      </c>
      <c r="I128" s="7">
        <f t="shared" si="28"/>
        <v>0</v>
      </c>
      <c r="J128" s="7">
        <f t="shared" si="29"/>
        <v>1</v>
      </c>
      <c r="K128" s="7">
        <f t="shared" si="25"/>
        <v>0</v>
      </c>
      <c r="L128" s="192">
        <f t="shared" si="20"/>
        <v>5</v>
      </c>
      <c r="M128" s="192">
        <f t="shared" si="21"/>
        <v>2</v>
      </c>
      <c r="N128" s="192">
        <f t="shared" si="22"/>
        <v>1</v>
      </c>
      <c r="O128" s="192">
        <f t="shared" si="23"/>
        <v>6</v>
      </c>
      <c r="P128" s="197">
        <f t="shared" si="26"/>
        <v>0</v>
      </c>
    </row>
    <row r="129" spans="1:16" hidden="1">
      <c r="A129" s="7">
        <f t="shared" si="24"/>
        <v>1270</v>
      </c>
      <c r="B129">
        <v>778</v>
      </c>
      <c r="C129">
        <v>3576</v>
      </c>
      <c r="D129">
        <v>2421</v>
      </c>
      <c r="E129" s="7" t="str">
        <f t="shared" si="17"/>
        <v>30A</v>
      </c>
      <c r="F129" s="7" t="str">
        <f t="shared" si="18"/>
        <v>DF8</v>
      </c>
      <c r="G129" s="7" t="str">
        <f t="shared" si="19"/>
        <v>975</v>
      </c>
      <c r="H129" s="7">
        <f t="shared" si="27"/>
        <v>1</v>
      </c>
      <c r="I129" s="7">
        <f t="shared" si="28"/>
        <v>0</v>
      </c>
      <c r="J129" s="7">
        <f t="shared" si="29"/>
        <v>1</v>
      </c>
      <c r="K129" s="7">
        <f t="shared" si="25"/>
        <v>0</v>
      </c>
      <c r="L129" s="192">
        <f t="shared" si="20"/>
        <v>5</v>
      </c>
      <c r="M129" s="192">
        <f t="shared" si="21"/>
        <v>2</v>
      </c>
      <c r="N129" s="192">
        <f t="shared" si="22"/>
        <v>1</v>
      </c>
      <c r="O129" s="192">
        <f t="shared" si="23"/>
        <v>6</v>
      </c>
      <c r="P129" s="197">
        <f t="shared" si="26"/>
        <v>0</v>
      </c>
    </row>
    <row r="130" spans="1:16" hidden="1">
      <c r="A130" s="7">
        <f t="shared" si="24"/>
        <v>1280</v>
      </c>
      <c r="B130">
        <v>778</v>
      </c>
      <c r="C130">
        <v>3576</v>
      </c>
      <c r="D130">
        <v>2421</v>
      </c>
      <c r="E130" s="7" t="str">
        <f t="shared" ref="E130:E193" si="30">DEC2HEX(B130)</f>
        <v>30A</v>
      </c>
      <c r="F130" s="7" t="str">
        <f t="shared" ref="F130:F193" si="31">DEC2HEX(C130)</f>
        <v>DF8</v>
      </c>
      <c r="G130" s="7" t="str">
        <f t="shared" ref="G130:G193" si="32">DEC2HEX(D130)</f>
        <v>975</v>
      </c>
      <c r="H130" s="7">
        <f t="shared" si="27"/>
        <v>1</v>
      </c>
      <c r="I130" s="7">
        <f t="shared" si="28"/>
        <v>0</v>
      </c>
      <c r="J130" s="7">
        <f t="shared" si="29"/>
        <v>1</v>
      </c>
      <c r="K130" s="7">
        <f t="shared" si="25"/>
        <v>0</v>
      </c>
      <c r="L130" s="192">
        <f t="shared" si="20"/>
        <v>5</v>
      </c>
      <c r="M130" s="192">
        <f t="shared" si="21"/>
        <v>2</v>
      </c>
      <c r="N130" s="192">
        <f t="shared" si="22"/>
        <v>1</v>
      </c>
      <c r="O130" s="192">
        <f t="shared" si="23"/>
        <v>6</v>
      </c>
      <c r="P130" s="197">
        <f t="shared" si="26"/>
        <v>0</v>
      </c>
    </row>
    <row r="131" spans="1:16" hidden="1">
      <c r="A131" s="7">
        <f t="shared" si="24"/>
        <v>1290</v>
      </c>
      <c r="B131">
        <v>778</v>
      </c>
      <c r="C131">
        <v>3576</v>
      </c>
      <c r="D131">
        <v>2421</v>
      </c>
      <c r="E131" s="7" t="str">
        <f t="shared" si="30"/>
        <v>30A</v>
      </c>
      <c r="F131" s="7" t="str">
        <f t="shared" si="31"/>
        <v>DF8</v>
      </c>
      <c r="G131" s="7" t="str">
        <f t="shared" si="32"/>
        <v>975</v>
      </c>
      <c r="H131" s="7">
        <f t="shared" si="27"/>
        <v>1</v>
      </c>
      <c r="I131" s="7">
        <f t="shared" si="28"/>
        <v>0</v>
      </c>
      <c r="J131" s="7">
        <f t="shared" si="29"/>
        <v>1</v>
      </c>
      <c r="K131" s="7">
        <f t="shared" si="25"/>
        <v>0</v>
      </c>
      <c r="L131" s="192">
        <f t="shared" ref="L131:L194" si="33">H131+4</f>
        <v>5</v>
      </c>
      <c r="M131" s="192">
        <f t="shared" ref="M131:M194" si="34">I131+2</f>
        <v>2</v>
      </c>
      <c r="N131" s="192">
        <f t="shared" ref="N131:N194" si="35">J131</f>
        <v>1</v>
      </c>
      <c r="O131" s="192">
        <f t="shared" ref="O131:O194" si="36">K131+6</f>
        <v>6</v>
      </c>
      <c r="P131" s="197">
        <f t="shared" si="26"/>
        <v>0</v>
      </c>
    </row>
    <row r="132" spans="1:16" hidden="1">
      <c r="A132" s="7">
        <f t="shared" ref="A132:A195" si="37">A131+A$1</f>
        <v>1300</v>
      </c>
      <c r="B132">
        <v>778</v>
      </c>
      <c r="C132">
        <v>3576</v>
      </c>
      <c r="D132">
        <v>2421</v>
      </c>
      <c r="E132" s="7" t="str">
        <f t="shared" si="30"/>
        <v>30A</v>
      </c>
      <c r="F132" s="7" t="str">
        <f t="shared" si="31"/>
        <v>DF8</v>
      </c>
      <c r="G132" s="7" t="str">
        <f t="shared" si="32"/>
        <v>975</v>
      </c>
      <c r="H132" s="7">
        <f t="shared" si="27"/>
        <v>1</v>
      </c>
      <c r="I132" s="7">
        <f t="shared" si="28"/>
        <v>0</v>
      </c>
      <c r="J132" s="7">
        <f t="shared" si="29"/>
        <v>1</v>
      </c>
      <c r="K132" s="7">
        <f t="shared" ref="K132:K195" si="38">IF(OR(H132&lt;&gt;H131,I132&lt;&gt;I131,J132&lt;&gt;J131),1-K131,K131)</f>
        <v>0</v>
      </c>
      <c r="L132" s="192">
        <f t="shared" si="33"/>
        <v>5</v>
      </c>
      <c r="M132" s="192">
        <f t="shared" si="34"/>
        <v>2</v>
      </c>
      <c r="N132" s="192">
        <f t="shared" si="35"/>
        <v>1</v>
      </c>
      <c r="O132" s="192">
        <f t="shared" si="36"/>
        <v>6</v>
      </c>
      <c r="P132" s="197">
        <f t="shared" ref="P132:P195" si="39">IF(OR(AND(B131&lt;&gt;B132,B132&lt;&gt;B133),AND(C131&lt;&gt;C132,C132&lt;&gt;C133),AND(D131&lt;&gt;D132,D132&lt;&gt;D133)),1,0)</f>
        <v>0</v>
      </c>
    </row>
    <row r="133" spans="1:16" hidden="1">
      <c r="A133" s="7">
        <f t="shared" si="37"/>
        <v>1310</v>
      </c>
      <c r="B133">
        <v>778</v>
      </c>
      <c r="C133">
        <v>3576</v>
      </c>
      <c r="D133">
        <v>2421</v>
      </c>
      <c r="E133" s="7" t="str">
        <f t="shared" si="30"/>
        <v>30A</v>
      </c>
      <c r="F133" s="7" t="str">
        <f t="shared" si="31"/>
        <v>DF8</v>
      </c>
      <c r="G133" s="7" t="str">
        <f t="shared" si="32"/>
        <v>975</v>
      </c>
      <c r="H133" s="7">
        <f t="shared" si="27"/>
        <v>1</v>
      </c>
      <c r="I133" s="7">
        <f t="shared" si="28"/>
        <v>0</v>
      </c>
      <c r="J133" s="7">
        <f t="shared" si="29"/>
        <v>1</v>
      </c>
      <c r="K133" s="7">
        <f t="shared" si="38"/>
        <v>0</v>
      </c>
      <c r="L133" s="192">
        <f t="shared" si="33"/>
        <v>5</v>
      </c>
      <c r="M133" s="192">
        <f t="shared" si="34"/>
        <v>2</v>
      </c>
      <c r="N133" s="192">
        <f t="shared" si="35"/>
        <v>1</v>
      </c>
      <c r="O133" s="192">
        <f t="shared" si="36"/>
        <v>6</v>
      </c>
      <c r="P133" s="197">
        <f t="shared" si="39"/>
        <v>0</v>
      </c>
    </row>
    <row r="134" spans="1:16" hidden="1">
      <c r="A134" s="7">
        <f t="shared" si="37"/>
        <v>1320</v>
      </c>
      <c r="B134">
        <v>778</v>
      </c>
      <c r="C134">
        <v>3577</v>
      </c>
      <c r="D134">
        <v>2421</v>
      </c>
      <c r="E134" s="7" t="str">
        <f t="shared" si="30"/>
        <v>30A</v>
      </c>
      <c r="F134" s="7" t="str">
        <f t="shared" si="31"/>
        <v>DF9</v>
      </c>
      <c r="G134" s="7" t="str">
        <f t="shared" si="32"/>
        <v>975</v>
      </c>
      <c r="H134" s="7">
        <f t="shared" si="27"/>
        <v>1</v>
      </c>
      <c r="I134" s="7">
        <f t="shared" si="28"/>
        <v>1</v>
      </c>
      <c r="J134" s="7">
        <f t="shared" si="29"/>
        <v>1</v>
      </c>
      <c r="K134" s="7">
        <f t="shared" si="38"/>
        <v>1</v>
      </c>
      <c r="L134" s="192">
        <f t="shared" si="33"/>
        <v>5</v>
      </c>
      <c r="M134" s="192">
        <f t="shared" si="34"/>
        <v>3</v>
      </c>
      <c r="N134" s="192">
        <f t="shared" si="35"/>
        <v>1</v>
      </c>
      <c r="O134" s="192">
        <f t="shared" si="36"/>
        <v>7</v>
      </c>
      <c r="P134" s="197">
        <f t="shared" si="39"/>
        <v>0</v>
      </c>
    </row>
    <row r="135" spans="1:16" hidden="1">
      <c r="A135" s="7">
        <f t="shared" si="37"/>
        <v>1330</v>
      </c>
      <c r="B135">
        <v>778</v>
      </c>
      <c r="C135">
        <v>3577</v>
      </c>
      <c r="D135">
        <v>2421</v>
      </c>
      <c r="E135" s="7" t="str">
        <f t="shared" si="30"/>
        <v>30A</v>
      </c>
      <c r="F135" s="7" t="str">
        <f t="shared" si="31"/>
        <v>DF9</v>
      </c>
      <c r="G135" s="7" t="str">
        <f t="shared" si="32"/>
        <v>975</v>
      </c>
      <c r="H135" s="7">
        <f t="shared" si="27"/>
        <v>1</v>
      </c>
      <c r="I135" s="7">
        <f t="shared" si="28"/>
        <v>1</v>
      </c>
      <c r="J135" s="7">
        <f t="shared" si="29"/>
        <v>1</v>
      </c>
      <c r="K135" s="7">
        <f t="shared" si="38"/>
        <v>1</v>
      </c>
      <c r="L135" s="192">
        <f t="shared" si="33"/>
        <v>5</v>
      </c>
      <c r="M135" s="192">
        <f t="shared" si="34"/>
        <v>3</v>
      </c>
      <c r="N135" s="192">
        <f t="shared" si="35"/>
        <v>1</v>
      </c>
      <c r="O135" s="192">
        <f t="shared" si="36"/>
        <v>7</v>
      </c>
      <c r="P135" s="197">
        <f t="shared" si="39"/>
        <v>0</v>
      </c>
    </row>
    <row r="136" spans="1:16" hidden="1">
      <c r="A136" s="7">
        <f t="shared" si="37"/>
        <v>1340</v>
      </c>
      <c r="B136">
        <v>778</v>
      </c>
      <c r="C136">
        <v>3577</v>
      </c>
      <c r="D136">
        <v>2421</v>
      </c>
      <c r="E136" s="7" t="str">
        <f t="shared" si="30"/>
        <v>30A</v>
      </c>
      <c r="F136" s="7" t="str">
        <f t="shared" si="31"/>
        <v>DF9</v>
      </c>
      <c r="G136" s="7" t="str">
        <f t="shared" si="32"/>
        <v>975</v>
      </c>
      <c r="H136" s="7">
        <f t="shared" si="27"/>
        <v>1</v>
      </c>
      <c r="I136" s="7">
        <f t="shared" si="28"/>
        <v>1</v>
      </c>
      <c r="J136" s="7">
        <f t="shared" si="29"/>
        <v>1</v>
      </c>
      <c r="K136" s="7">
        <f t="shared" si="38"/>
        <v>1</v>
      </c>
      <c r="L136" s="192">
        <f t="shared" si="33"/>
        <v>5</v>
      </c>
      <c r="M136" s="192">
        <f t="shared" si="34"/>
        <v>3</v>
      </c>
      <c r="N136" s="192">
        <f t="shared" si="35"/>
        <v>1</v>
      </c>
      <c r="O136" s="192">
        <f t="shared" si="36"/>
        <v>7</v>
      </c>
      <c r="P136" s="197">
        <f t="shared" si="39"/>
        <v>0</v>
      </c>
    </row>
    <row r="137" spans="1:16" hidden="1">
      <c r="A137" s="7">
        <f t="shared" si="37"/>
        <v>1350</v>
      </c>
      <c r="B137">
        <v>778</v>
      </c>
      <c r="C137">
        <v>3577</v>
      </c>
      <c r="D137">
        <v>2420</v>
      </c>
      <c r="E137" s="7" t="str">
        <f t="shared" si="30"/>
        <v>30A</v>
      </c>
      <c r="F137" s="7" t="str">
        <f t="shared" si="31"/>
        <v>DF9</v>
      </c>
      <c r="G137" s="7" t="str">
        <f t="shared" si="32"/>
        <v>974</v>
      </c>
      <c r="H137" s="7">
        <f t="shared" ref="H137:H200" si="40">IF(B137=B136,H136,1-H136)</f>
        <v>1</v>
      </c>
      <c r="I137" s="7">
        <f t="shared" si="28"/>
        <v>1</v>
      </c>
      <c r="J137" s="7">
        <f t="shared" si="29"/>
        <v>0</v>
      </c>
      <c r="K137" s="7">
        <f t="shared" si="38"/>
        <v>0</v>
      </c>
      <c r="L137" s="192">
        <f t="shared" si="33"/>
        <v>5</v>
      </c>
      <c r="M137" s="192">
        <f t="shared" si="34"/>
        <v>3</v>
      </c>
      <c r="N137" s="192">
        <f t="shared" si="35"/>
        <v>0</v>
      </c>
      <c r="O137" s="192">
        <f t="shared" si="36"/>
        <v>6</v>
      </c>
      <c r="P137" s="197">
        <f t="shared" si="39"/>
        <v>0</v>
      </c>
    </row>
    <row r="138" spans="1:16" hidden="1">
      <c r="A138" s="7">
        <f t="shared" si="37"/>
        <v>1360</v>
      </c>
      <c r="B138">
        <v>778</v>
      </c>
      <c r="C138">
        <v>3577</v>
      </c>
      <c r="D138">
        <v>2420</v>
      </c>
      <c r="E138" s="7" t="str">
        <f t="shared" si="30"/>
        <v>30A</v>
      </c>
      <c r="F138" s="7" t="str">
        <f t="shared" si="31"/>
        <v>DF9</v>
      </c>
      <c r="G138" s="7" t="str">
        <f t="shared" si="32"/>
        <v>974</v>
      </c>
      <c r="H138" s="7">
        <f t="shared" si="40"/>
        <v>1</v>
      </c>
      <c r="I138" s="7">
        <f t="shared" si="28"/>
        <v>1</v>
      </c>
      <c r="J138" s="7">
        <f t="shared" si="29"/>
        <v>0</v>
      </c>
      <c r="K138" s="7">
        <f t="shared" si="38"/>
        <v>0</v>
      </c>
      <c r="L138" s="192">
        <f t="shared" si="33"/>
        <v>5</v>
      </c>
      <c r="M138" s="192">
        <f t="shared" si="34"/>
        <v>3</v>
      </c>
      <c r="N138" s="192">
        <f t="shared" si="35"/>
        <v>0</v>
      </c>
      <c r="O138" s="192">
        <f t="shared" si="36"/>
        <v>6</v>
      </c>
      <c r="P138" s="197">
        <f t="shared" si="39"/>
        <v>0</v>
      </c>
    </row>
    <row r="139" spans="1:16" hidden="1">
      <c r="A139" s="7">
        <f t="shared" si="37"/>
        <v>1370</v>
      </c>
      <c r="B139">
        <v>778</v>
      </c>
      <c r="C139">
        <v>3577</v>
      </c>
      <c r="D139">
        <v>2420</v>
      </c>
      <c r="E139" s="7" t="str">
        <f t="shared" si="30"/>
        <v>30A</v>
      </c>
      <c r="F139" s="7" t="str">
        <f t="shared" si="31"/>
        <v>DF9</v>
      </c>
      <c r="G139" s="7" t="str">
        <f t="shared" si="32"/>
        <v>974</v>
      </c>
      <c r="H139" s="7">
        <f t="shared" si="40"/>
        <v>1</v>
      </c>
      <c r="I139" s="7">
        <f t="shared" si="28"/>
        <v>1</v>
      </c>
      <c r="J139" s="7">
        <f t="shared" si="29"/>
        <v>0</v>
      </c>
      <c r="K139" s="7">
        <f t="shared" si="38"/>
        <v>0</v>
      </c>
      <c r="L139" s="192">
        <f t="shared" si="33"/>
        <v>5</v>
      </c>
      <c r="M139" s="192">
        <f t="shared" si="34"/>
        <v>3</v>
      </c>
      <c r="N139" s="192">
        <f t="shared" si="35"/>
        <v>0</v>
      </c>
      <c r="O139" s="192">
        <f t="shared" si="36"/>
        <v>6</v>
      </c>
      <c r="P139" s="197">
        <f t="shared" si="39"/>
        <v>0</v>
      </c>
    </row>
    <row r="140" spans="1:16" hidden="1">
      <c r="A140" s="7">
        <f t="shared" si="37"/>
        <v>1380</v>
      </c>
      <c r="B140">
        <v>778</v>
      </c>
      <c r="C140">
        <v>3576</v>
      </c>
      <c r="D140">
        <v>2420</v>
      </c>
      <c r="E140" s="7" t="str">
        <f t="shared" si="30"/>
        <v>30A</v>
      </c>
      <c r="F140" s="7" t="str">
        <f t="shared" si="31"/>
        <v>DF8</v>
      </c>
      <c r="G140" s="7" t="str">
        <f t="shared" si="32"/>
        <v>974</v>
      </c>
      <c r="H140" s="7">
        <f t="shared" si="40"/>
        <v>1</v>
      </c>
      <c r="I140" s="7">
        <f t="shared" si="28"/>
        <v>0</v>
      </c>
      <c r="J140" s="7">
        <f t="shared" si="29"/>
        <v>0</v>
      </c>
      <c r="K140" s="7">
        <f t="shared" si="38"/>
        <v>1</v>
      </c>
      <c r="L140" s="192">
        <f t="shared" si="33"/>
        <v>5</v>
      </c>
      <c r="M140" s="192">
        <f t="shared" si="34"/>
        <v>2</v>
      </c>
      <c r="N140" s="192">
        <f t="shared" si="35"/>
        <v>0</v>
      </c>
      <c r="O140" s="192">
        <f t="shared" si="36"/>
        <v>7</v>
      </c>
      <c r="P140" s="197">
        <f t="shared" si="39"/>
        <v>0</v>
      </c>
    </row>
    <row r="141" spans="1:16" hidden="1">
      <c r="A141" s="7">
        <f t="shared" si="37"/>
        <v>1390</v>
      </c>
      <c r="B141">
        <v>778</v>
      </c>
      <c r="C141">
        <v>3576</v>
      </c>
      <c r="D141">
        <v>2420</v>
      </c>
      <c r="E141" s="7" t="str">
        <f t="shared" si="30"/>
        <v>30A</v>
      </c>
      <c r="F141" s="7" t="str">
        <f t="shared" si="31"/>
        <v>DF8</v>
      </c>
      <c r="G141" s="7" t="str">
        <f t="shared" si="32"/>
        <v>974</v>
      </c>
      <c r="H141" s="7">
        <f t="shared" si="40"/>
        <v>1</v>
      </c>
      <c r="I141" s="7">
        <f t="shared" si="28"/>
        <v>0</v>
      </c>
      <c r="J141" s="7">
        <f t="shared" si="29"/>
        <v>0</v>
      </c>
      <c r="K141" s="7">
        <f t="shared" si="38"/>
        <v>1</v>
      </c>
      <c r="L141" s="192">
        <f t="shared" si="33"/>
        <v>5</v>
      </c>
      <c r="M141" s="192">
        <f t="shared" si="34"/>
        <v>2</v>
      </c>
      <c r="N141" s="192">
        <f t="shared" si="35"/>
        <v>0</v>
      </c>
      <c r="O141" s="192">
        <f t="shared" si="36"/>
        <v>7</v>
      </c>
      <c r="P141" s="197">
        <f t="shared" si="39"/>
        <v>0</v>
      </c>
    </row>
    <row r="142" spans="1:16">
      <c r="A142" s="198">
        <f t="shared" si="37"/>
        <v>1400</v>
      </c>
      <c r="B142" s="199">
        <v>778</v>
      </c>
      <c r="C142" s="199">
        <v>3576</v>
      </c>
      <c r="D142" s="199">
        <v>2422</v>
      </c>
      <c r="E142" s="200" t="str">
        <f t="shared" si="30"/>
        <v>30A</v>
      </c>
      <c r="F142" s="200" t="str">
        <f t="shared" si="31"/>
        <v>DF8</v>
      </c>
      <c r="G142" s="200" t="str">
        <f t="shared" si="32"/>
        <v>976</v>
      </c>
      <c r="H142" s="200">
        <f t="shared" si="40"/>
        <v>1</v>
      </c>
      <c r="I142" s="200">
        <f t="shared" si="28"/>
        <v>0</v>
      </c>
      <c r="J142" s="200">
        <f t="shared" si="29"/>
        <v>1</v>
      </c>
      <c r="K142" s="200">
        <f t="shared" si="38"/>
        <v>0</v>
      </c>
      <c r="L142" s="201">
        <f t="shared" si="33"/>
        <v>5</v>
      </c>
      <c r="M142" s="201">
        <f t="shared" si="34"/>
        <v>2</v>
      </c>
      <c r="N142" s="201">
        <f t="shared" si="35"/>
        <v>1</v>
      </c>
      <c r="O142" s="202">
        <f t="shared" si="36"/>
        <v>6</v>
      </c>
      <c r="P142" s="197">
        <f t="shared" si="39"/>
        <v>0</v>
      </c>
    </row>
    <row r="143" spans="1:16">
      <c r="A143" s="203">
        <f t="shared" si="37"/>
        <v>1410</v>
      </c>
      <c r="B143" s="55">
        <v>778</v>
      </c>
      <c r="C143" s="55">
        <v>3576</v>
      </c>
      <c r="D143" s="55">
        <v>2422</v>
      </c>
      <c r="E143" s="196" t="str">
        <f t="shared" si="30"/>
        <v>30A</v>
      </c>
      <c r="F143" s="196" t="str">
        <f t="shared" si="31"/>
        <v>DF8</v>
      </c>
      <c r="G143" s="196" t="str">
        <f t="shared" si="32"/>
        <v>976</v>
      </c>
      <c r="H143" s="196">
        <f t="shared" si="40"/>
        <v>1</v>
      </c>
      <c r="I143" s="196">
        <f t="shared" si="28"/>
        <v>0</v>
      </c>
      <c r="J143" s="196">
        <f t="shared" si="29"/>
        <v>1</v>
      </c>
      <c r="K143" s="196">
        <f t="shared" si="38"/>
        <v>0</v>
      </c>
      <c r="L143" s="195">
        <f t="shared" si="33"/>
        <v>5</v>
      </c>
      <c r="M143" s="195">
        <f t="shared" si="34"/>
        <v>2</v>
      </c>
      <c r="N143" s="195">
        <f t="shared" si="35"/>
        <v>1</v>
      </c>
      <c r="O143" s="204">
        <f t="shared" si="36"/>
        <v>6</v>
      </c>
      <c r="P143" s="197">
        <f t="shared" si="39"/>
        <v>0</v>
      </c>
    </row>
    <row r="144" spans="1:16">
      <c r="A144" s="203">
        <f t="shared" si="37"/>
        <v>1420</v>
      </c>
      <c r="B144" s="55">
        <v>778</v>
      </c>
      <c r="C144" s="55">
        <v>3576</v>
      </c>
      <c r="D144" s="55">
        <v>2422</v>
      </c>
      <c r="E144" s="196" t="str">
        <f t="shared" si="30"/>
        <v>30A</v>
      </c>
      <c r="F144" s="196" t="str">
        <f t="shared" si="31"/>
        <v>DF8</v>
      </c>
      <c r="G144" s="196" t="str">
        <f t="shared" si="32"/>
        <v>976</v>
      </c>
      <c r="H144" s="196">
        <f t="shared" si="40"/>
        <v>1</v>
      </c>
      <c r="I144" s="196">
        <f t="shared" si="28"/>
        <v>0</v>
      </c>
      <c r="J144" s="196">
        <f t="shared" si="29"/>
        <v>1</v>
      </c>
      <c r="K144" s="196">
        <f t="shared" si="38"/>
        <v>0</v>
      </c>
      <c r="L144" s="195">
        <f t="shared" si="33"/>
        <v>5</v>
      </c>
      <c r="M144" s="195">
        <f t="shared" si="34"/>
        <v>2</v>
      </c>
      <c r="N144" s="195">
        <f t="shared" si="35"/>
        <v>1</v>
      </c>
      <c r="O144" s="204">
        <f t="shared" si="36"/>
        <v>6</v>
      </c>
      <c r="P144" s="197">
        <f t="shared" si="39"/>
        <v>0</v>
      </c>
    </row>
    <row r="145" spans="1:16">
      <c r="A145" s="203">
        <f t="shared" si="37"/>
        <v>1430</v>
      </c>
      <c r="B145" s="55">
        <v>778</v>
      </c>
      <c r="C145" s="55">
        <v>3576</v>
      </c>
      <c r="D145" s="55">
        <v>2422</v>
      </c>
      <c r="E145" s="196" t="str">
        <f t="shared" si="30"/>
        <v>30A</v>
      </c>
      <c r="F145" s="196" t="str">
        <f t="shared" si="31"/>
        <v>DF8</v>
      </c>
      <c r="G145" s="196" t="str">
        <f t="shared" si="32"/>
        <v>976</v>
      </c>
      <c r="H145" s="196">
        <f t="shared" si="40"/>
        <v>1</v>
      </c>
      <c r="I145" s="196">
        <f t="shared" si="28"/>
        <v>0</v>
      </c>
      <c r="J145" s="196">
        <f t="shared" si="29"/>
        <v>1</v>
      </c>
      <c r="K145" s="196">
        <f t="shared" si="38"/>
        <v>0</v>
      </c>
      <c r="L145" s="195">
        <f t="shared" si="33"/>
        <v>5</v>
      </c>
      <c r="M145" s="195">
        <f t="shared" si="34"/>
        <v>2</v>
      </c>
      <c r="N145" s="195">
        <f t="shared" si="35"/>
        <v>1</v>
      </c>
      <c r="O145" s="204">
        <f t="shared" si="36"/>
        <v>6</v>
      </c>
      <c r="P145" s="197">
        <f t="shared" si="39"/>
        <v>0</v>
      </c>
    </row>
    <row r="146" spans="1:16">
      <c r="A146" s="205">
        <f t="shared" si="37"/>
        <v>1440</v>
      </c>
      <c r="B146" s="206">
        <v>778</v>
      </c>
      <c r="C146" s="206">
        <v>3575</v>
      </c>
      <c r="D146" s="206">
        <v>2422</v>
      </c>
      <c r="E146" s="207" t="str">
        <f t="shared" si="30"/>
        <v>30A</v>
      </c>
      <c r="F146" s="207" t="str">
        <f t="shared" si="31"/>
        <v>DF7</v>
      </c>
      <c r="G146" s="207" t="str">
        <f t="shared" si="32"/>
        <v>976</v>
      </c>
      <c r="H146" s="207">
        <f t="shared" si="40"/>
        <v>1</v>
      </c>
      <c r="I146" s="207">
        <f t="shared" si="28"/>
        <v>1</v>
      </c>
      <c r="J146" s="207">
        <f t="shared" si="29"/>
        <v>1</v>
      </c>
      <c r="K146" s="207">
        <f t="shared" si="38"/>
        <v>1</v>
      </c>
      <c r="L146" s="208">
        <f t="shared" si="33"/>
        <v>5</v>
      </c>
      <c r="M146" s="208">
        <f t="shared" si="34"/>
        <v>3</v>
      </c>
      <c r="N146" s="208">
        <f t="shared" si="35"/>
        <v>1</v>
      </c>
      <c r="O146" s="209">
        <f t="shared" si="36"/>
        <v>7</v>
      </c>
      <c r="P146" s="197">
        <f t="shared" si="39"/>
        <v>0</v>
      </c>
    </row>
    <row r="147" spans="1:16" hidden="1">
      <c r="A147" s="7">
        <f t="shared" si="37"/>
        <v>1450</v>
      </c>
      <c r="B147">
        <v>778</v>
      </c>
      <c r="C147">
        <v>3575</v>
      </c>
      <c r="D147">
        <v>2422</v>
      </c>
      <c r="E147" s="7" t="str">
        <f t="shared" si="30"/>
        <v>30A</v>
      </c>
      <c r="F147" s="7" t="str">
        <f t="shared" si="31"/>
        <v>DF7</v>
      </c>
      <c r="G147" s="7" t="str">
        <f t="shared" si="32"/>
        <v>976</v>
      </c>
      <c r="H147" s="7">
        <f t="shared" si="40"/>
        <v>1</v>
      </c>
      <c r="I147" s="7">
        <f t="shared" ref="I147:I210" si="41">IF(C147=C146,I146,1-I146)</f>
        <v>1</v>
      </c>
      <c r="J147" s="7">
        <f t="shared" ref="J147:J210" si="42">IF(D147=D146,J146,1-J146)</f>
        <v>1</v>
      </c>
      <c r="K147" s="7">
        <f t="shared" si="38"/>
        <v>1</v>
      </c>
      <c r="L147" s="192">
        <f t="shared" si="33"/>
        <v>5</v>
      </c>
      <c r="M147" s="192">
        <f t="shared" si="34"/>
        <v>3</v>
      </c>
      <c r="N147" s="192">
        <f t="shared" si="35"/>
        <v>1</v>
      </c>
      <c r="O147" s="192">
        <f t="shared" si="36"/>
        <v>7</v>
      </c>
      <c r="P147" s="197">
        <f t="shared" si="39"/>
        <v>0</v>
      </c>
    </row>
    <row r="148" spans="1:16" hidden="1">
      <c r="A148" s="7">
        <f t="shared" si="37"/>
        <v>1460</v>
      </c>
      <c r="B148">
        <v>778</v>
      </c>
      <c r="C148">
        <v>3575</v>
      </c>
      <c r="D148">
        <v>2422</v>
      </c>
      <c r="E148" s="7" t="str">
        <f t="shared" si="30"/>
        <v>30A</v>
      </c>
      <c r="F148" s="7" t="str">
        <f t="shared" si="31"/>
        <v>DF7</v>
      </c>
      <c r="G148" s="7" t="str">
        <f t="shared" si="32"/>
        <v>976</v>
      </c>
      <c r="H148" s="7">
        <f t="shared" si="40"/>
        <v>1</v>
      </c>
      <c r="I148" s="7">
        <f t="shared" si="41"/>
        <v>1</v>
      </c>
      <c r="J148" s="7">
        <f t="shared" si="42"/>
        <v>1</v>
      </c>
      <c r="K148" s="7">
        <f t="shared" si="38"/>
        <v>1</v>
      </c>
      <c r="L148" s="192">
        <f t="shared" si="33"/>
        <v>5</v>
      </c>
      <c r="M148" s="192">
        <f t="shared" si="34"/>
        <v>3</v>
      </c>
      <c r="N148" s="192">
        <f t="shared" si="35"/>
        <v>1</v>
      </c>
      <c r="O148" s="192">
        <f t="shared" si="36"/>
        <v>7</v>
      </c>
      <c r="P148" s="197">
        <f t="shared" si="39"/>
        <v>0</v>
      </c>
    </row>
    <row r="149" spans="1:16" hidden="1">
      <c r="A149" s="7">
        <f t="shared" si="37"/>
        <v>1470</v>
      </c>
      <c r="B149">
        <v>778</v>
      </c>
      <c r="C149">
        <v>3575</v>
      </c>
      <c r="D149">
        <v>2422</v>
      </c>
      <c r="E149" s="7" t="str">
        <f t="shared" si="30"/>
        <v>30A</v>
      </c>
      <c r="F149" s="7" t="str">
        <f t="shared" si="31"/>
        <v>DF7</v>
      </c>
      <c r="G149" s="7" t="str">
        <f t="shared" si="32"/>
        <v>976</v>
      </c>
      <c r="H149" s="7">
        <f t="shared" si="40"/>
        <v>1</v>
      </c>
      <c r="I149" s="7">
        <f t="shared" si="41"/>
        <v>1</v>
      </c>
      <c r="J149" s="7">
        <f t="shared" si="42"/>
        <v>1</v>
      </c>
      <c r="K149" s="7">
        <f t="shared" si="38"/>
        <v>1</v>
      </c>
      <c r="L149" s="192">
        <f t="shared" si="33"/>
        <v>5</v>
      </c>
      <c r="M149" s="192">
        <f t="shared" si="34"/>
        <v>3</v>
      </c>
      <c r="N149" s="192">
        <f t="shared" si="35"/>
        <v>1</v>
      </c>
      <c r="O149" s="192">
        <f t="shared" si="36"/>
        <v>7</v>
      </c>
      <c r="P149" s="197">
        <f t="shared" si="39"/>
        <v>0</v>
      </c>
    </row>
    <row r="150" spans="1:16" hidden="1">
      <c r="A150" s="7">
        <f t="shared" si="37"/>
        <v>1480</v>
      </c>
      <c r="B150">
        <v>778</v>
      </c>
      <c r="C150">
        <v>3575</v>
      </c>
      <c r="D150">
        <v>2422</v>
      </c>
      <c r="E150" s="7" t="str">
        <f t="shared" si="30"/>
        <v>30A</v>
      </c>
      <c r="F150" s="7" t="str">
        <f t="shared" si="31"/>
        <v>DF7</v>
      </c>
      <c r="G150" s="7" t="str">
        <f t="shared" si="32"/>
        <v>976</v>
      </c>
      <c r="H150" s="7">
        <f t="shared" si="40"/>
        <v>1</v>
      </c>
      <c r="I150" s="7">
        <f t="shared" si="41"/>
        <v>1</v>
      </c>
      <c r="J150" s="7">
        <f t="shared" si="42"/>
        <v>1</v>
      </c>
      <c r="K150" s="7">
        <f t="shared" si="38"/>
        <v>1</v>
      </c>
      <c r="L150" s="192">
        <f t="shared" si="33"/>
        <v>5</v>
      </c>
      <c r="M150" s="192">
        <f t="shared" si="34"/>
        <v>3</v>
      </c>
      <c r="N150" s="192">
        <f t="shared" si="35"/>
        <v>1</v>
      </c>
      <c r="O150" s="192">
        <f t="shared" si="36"/>
        <v>7</v>
      </c>
      <c r="P150" s="197">
        <f t="shared" si="39"/>
        <v>0</v>
      </c>
    </row>
    <row r="151" spans="1:16" hidden="1">
      <c r="A151" s="7">
        <f t="shared" si="37"/>
        <v>1490</v>
      </c>
      <c r="B151">
        <v>778</v>
      </c>
      <c r="C151">
        <v>3576</v>
      </c>
      <c r="D151">
        <v>2422</v>
      </c>
      <c r="E151" s="7" t="str">
        <f t="shared" si="30"/>
        <v>30A</v>
      </c>
      <c r="F151" s="7" t="str">
        <f t="shared" si="31"/>
        <v>DF8</v>
      </c>
      <c r="G151" s="7" t="str">
        <f t="shared" si="32"/>
        <v>976</v>
      </c>
      <c r="H151" s="7">
        <f t="shared" si="40"/>
        <v>1</v>
      </c>
      <c r="I151" s="7">
        <f t="shared" si="41"/>
        <v>0</v>
      </c>
      <c r="J151" s="7">
        <f t="shared" si="42"/>
        <v>1</v>
      </c>
      <c r="K151" s="7">
        <f t="shared" si="38"/>
        <v>0</v>
      </c>
      <c r="L151" s="192">
        <f t="shared" si="33"/>
        <v>5</v>
      </c>
      <c r="M151" s="192">
        <f t="shared" si="34"/>
        <v>2</v>
      </c>
      <c r="N151" s="192">
        <f t="shared" si="35"/>
        <v>1</v>
      </c>
      <c r="O151" s="192">
        <f t="shared" si="36"/>
        <v>6</v>
      </c>
      <c r="P151" s="197">
        <f t="shared" si="39"/>
        <v>0</v>
      </c>
    </row>
    <row r="152" spans="1:16" hidden="1">
      <c r="A152" s="7">
        <f t="shared" si="37"/>
        <v>1500</v>
      </c>
      <c r="B152">
        <v>778</v>
      </c>
      <c r="C152">
        <v>3576</v>
      </c>
      <c r="D152">
        <v>2422</v>
      </c>
      <c r="E152" s="7" t="str">
        <f t="shared" si="30"/>
        <v>30A</v>
      </c>
      <c r="F152" s="7" t="str">
        <f t="shared" si="31"/>
        <v>DF8</v>
      </c>
      <c r="G152" s="7" t="str">
        <f t="shared" si="32"/>
        <v>976</v>
      </c>
      <c r="H152" s="7">
        <f t="shared" si="40"/>
        <v>1</v>
      </c>
      <c r="I152" s="7">
        <f t="shared" si="41"/>
        <v>0</v>
      </c>
      <c r="J152" s="7">
        <f t="shared" si="42"/>
        <v>1</v>
      </c>
      <c r="K152" s="7">
        <f t="shared" si="38"/>
        <v>0</v>
      </c>
      <c r="L152" s="192">
        <f t="shared" si="33"/>
        <v>5</v>
      </c>
      <c r="M152" s="192">
        <f t="shared" si="34"/>
        <v>2</v>
      </c>
      <c r="N152" s="192">
        <f t="shared" si="35"/>
        <v>1</v>
      </c>
      <c r="O152" s="192">
        <f t="shared" si="36"/>
        <v>6</v>
      </c>
      <c r="P152" s="197">
        <f t="shared" si="39"/>
        <v>0</v>
      </c>
    </row>
    <row r="153" spans="1:16" hidden="1">
      <c r="A153" s="7">
        <f t="shared" si="37"/>
        <v>1510</v>
      </c>
      <c r="B153">
        <v>778</v>
      </c>
      <c r="C153">
        <v>3576</v>
      </c>
      <c r="D153">
        <v>2422</v>
      </c>
      <c r="E153" s="7" t="str">
        <f t="shared" si="30"/>
        <v>30A</v>
      </c>
      <c r="F153" s="7" t="str">
        <f t="shared" si="31"/>
        <v>DF8</v>
      </c>
      <c r="G153" s="7" t="str">
        <f t="shared" si="32"/>
        <v>976</v>
      </c>
      <c r="H153" s="7">
        <f t="shared" si="40"/>
        <v>1</v>
      </c>
      <c r="I153" s="7">
        <f t="shared" si="41"/>
        <v>0</v>
      </c>
      <c r="J153" s="7">
        <f t="shared" si="42"/>
        <v>1</v>
      </c>
      <c r="K153" s="7">
        <f t="shared" si="38"/>
        <v>0</v>
      </c>
      <c r="L153" s="192">
        <f t="shared" si="33"/>
        <v>5</v>
      </c>
      <c r="M153" s="192">
        <f t="shared" si="34"/>
        <v>2</v>
      </c>
      <c r="N153" s="192">
        <f t="shared" si="35"/>
        <v>1</v>
      </c>
      <c r="O153" s="192">
        <f t="shared" si="36"/>
        <v>6</v>
      </c>
      <c r="P153" s="197">
        <f t="shared" si="39"/>
        <v>0</v>
      </c>
    </row>
    <row r="154" spans="1:16" hidden="1">
      <c r="A154" s="7">
        <f t="shared" si="37"/>
        <v>1520</v>
      </c>
      <c r="B154">
        <v>778</v>
      </c>
      <c r="C154">
        <v>3576</v>
      </c>
      <c r="D154">
        <v>2422</v>
      </c>
      <c r="E154" s="7" t="str">
        <f t="shared" si="30"/>
        <v>30A</v>
      </c>
      <c r="F154" s="7" t="str">
        <f t="shared" si="31"/>
        <v>DF8</v>
      </c>
      <c r="G154" s="7" t="str">
        <f t="shared" si="32"/>
        <v>976</v>
      </c>
      <c r="H154" s="7">
        <f t="shared" si="40"/>
        <v>1</v>
      </c>
      <c r="I154" s="7">
        <f t="shared" si="41"/>
        <v>0</v>
      </c>
      <c r="J154" s="7">
        <f t="shared" si="42"/>
        <v>1</v>
      </c>
      <c r="K154" s="7">
        <f t="shared" si="38"/>
        <v>0</v>
      </c>
      <c r="L154" s="192">
        <f t="shared" si="33"/>
        <v>5</v>
      </c>
      <c r="M154" s="192">
        <f t="shared" si="34"/>
        <v>2</v>
      </c>
      <c r="N154" s="192">
        <f t="shared" si="35"/>
        <v>1</v>
      </c>
      <c r="O154" s="192">
        <f t="shared" si="36"/>
        <v>6</v>
      </c>
      <c r="P154" s="197">
        <f t="shared" si="39"/>
        <v>0</v>
      </c>
    </row>
    <row r="155" spans="1:16" hidden="1">
      <c r="A155" s="7">
        <f t="shared" si="37"/>
        <v>1530</v>
      </c>
      <c r="B155">
        <v>778</v>
      </c>
      <c r="C155">
        <v>3576</v>
      </c>
      <c r="D155">
        <v>2422</v>
      </c>
      <c r="E155" s="7" t="str">
        <f t="shared" si="30"/>
        <v>30A</v>
      </c>
      <c r="F155" s="7" t="str">
        <f t="shared" si="31"/>
        <v>DF8</v>
      </c>
      <c r="G155" s="7" t="str">
        <f t="shared" si="32"/>
        <v>976</v>
      </c>
      <c r="H155" s="7">
        <f t="shared" si="40"/>
        <v>1</v>
      </c>
      <c r="I155" s="7">
        <f t="shared" si="41"/>
        <v>0</v>
      </c>
      <c r="J155" s="7">
        <f t="shared" si="42"/>
        <v>1</v>
      </c>
      <c r="K155" s="7">
        <f t="shared" si="38"/>
        <v>0</v>
      </c>
      <c r="L155" s="192">
        <f t="shared" si="33"/>
        <v>5</v>
      </c>
      <c r="M155" s="192">
        <f t="shared" si="34"/>
        <v>2</v>
      </c>
      <c r="N155" s="192">
        <f t="shared" si="35"/>
        <v>1</v>
      </c>
      <c r="O155" s="192">
        <f t="shared" si="36"/>
        <v>6</v>
      </c>
      <c r="P155" s="197">
        <f t="shared" si="39"/>
        <v>0</v>
      </c>
    </row>
    <row r="156" spans="1:16" hidden="1">
      <c r="A156" s="7">
        <f t="shared" si="37"/>
        <v>1540</v>
      </c>
      <c r="B156">
        <v>778</v>
      </c>
      <c r="C156">
        <v>3576</v>
      </c>
      <c r="D156">
        <v>2422</v>
      </c>
      <c r="E156" s="7" t="str">
        <f t="shared" si="30"/>
        <v>30A</v>
      </c>
      <c r="F156" s="7" t="str">
        <f t="shared" si="31"/>
        <v>DF8</v>
      </c>
      <c r="G156" s="7" t="str">
        <f t="shared" si="32"/>
        <v>976</v>
      </c>
      <c r="H156" s="7">
        <f t="shared" si="40"/>
        <v>1</v>
      </c>
      <c r="I156" s="7">
        <f t="shared" si="41"/>
        <v>0</v>
      </c>
      <c r="J156" s="7">
        <f t="shared" si="42"/>
        <v>1</v>
      </c>
      <c r="K156" s="7">
        <f t="shared" si="38"/>
        <v>0</v>
      </c>
      <c r="L156" s="192">
        <f t="shared" si="33"/>
        <v>5</v>
      </c>
      <c r="M156" s="192">
        <f t="shared" si="34"/>
        <v>2</v>
      </c>
      <c r="N156" s="192">
        <f t="shared" si="35"/>
        <v>1</v>
      </c>
      <c r="O156" s="192">
        <f t="shared" si="36"/>
        <v>6</v>
      </c>
      <c r="P156" s="197">
        <f t="shared" si="39"/>
        <v>0</v>
      </c>
    </row>
    <row r="157" spans="1:16" hidden="1">
      <c r="A157" s="7">
        <f t="shared" si="37"/>
        <v>1550</v>
      </c>
      <c r="B157">
        <v>778</v>
      </c>
      <c r="C157">
        <v>3576</v>
      </c>
      <c r="D157">
        <v>2422</v>
      </c>
      <c r="E157" s="7" t="str">
        <f t="shared" si="30"/>
        <v>30A</v>
      </c>
      <c r="F157" s="7" t="str">
        <f t="shared" si="31"/>
        <v>DF8</v>
      </c>
      <c r="G157" s="7" t="str">
        <f t="shared" si="32"/>
        <v>976</v>
      </c>
      <c r="H157" s="7">
        <f t="shared" si="40"/>
        <v>1</v>
      </c>
      <c r="I157" s="7">
        <f t="shared" si="41"/>
        <v>0</v>
      </c>
      <c r="J157" s="7">
        <f t="shared" si="42"/>
        <v>1</v>
      </c>
      <c r="K157" s="7">
        <f t="shared" si="38"/>
        <v>0</v>
      </c>
      <c r="L157" s="192">
        <f t="shared" si="33"/>
        <v>5</v>
      </c>
      <c r="M157" s="192">
        <f t="shared" si="34"/>
        <v>2</v>
      </c>
      <c r="N157" s="192">
        <f t="shared" si="35"/>
        <v>1</v>
      </c>
      <c r="O157" s="192">
        <f t="shared" si="36"/>
        <v>6</v>
      </c>
      <c r="P157" s="197">
        <f t="shared" si="39"/>
        <v>0</v>
      </c>
    </row>
    <row r="158" spans="1:16" hidden="1">
      <c r="A158" s="7">
        <f t="shared" si="37"/>
        <v>1560</v>
      </c>
      <c r="B158">
        <v>778</v>
      </c>
      <c r="C158">
        <v>3576</v>
      </c>
      <c r="D158">
        <v>2422</v>
      </c>
      <c r="E158" s="7" t="str">
        <f t="shared" si="30"/>
        <v>30A</v>
      </c>
      <c r="F158" s="7" t="str">
        <f t="shared" si="31"/>
        <v>DF8</v>
      </c>
      <c r="G158" s="7" t="str">
        <f t="shared" si="32"/>
        <v>976</v>
      </c>
      <c r="H158" s="7">
        <f t="shared" si="40"/>
        <v>1</v>
      </c>
      <c r="I158" s="7">
        <f t="shared" si="41"/>
        <v>0</v>
      </c>
      <c r="J158" s="7">
        <f t="shared" si="42"/>
        <v>1</v>
      </c>
      <c r="K158" s="7">
        <f t="shared" si="38"/>
        <v>0</v>
      </c>
      <c r="L158" s="192">
        <f t="shared" si="33"/>
        <v>5</v>
      </c>
      <c r="M158" s="192">
        <f t="shared" si="34"/>
        <v>2</v>
      </c>
      <c r="N158" s="192">
        <f t="shared" si="35"/>
        <v>1</v>
      </c>
      <c r="O158" s="192">
        <f t="shared" si="36"/>
        <v>6</v>
      </c>
      <c r="P158" s="197">
        <f t="shared" si="39"/>
        <v>0</v>
      </c>
    </row>
    <row r="159" spans="1:16" hidden="1">
      <c r="A159" s="7">
        <f t="shared" si="37"/>
        <v>1570</v>
      </c>
      <c r="B159">
        <v>778</v>
      </c>
      <c r="C159">
        <v>3576</v>
      </c>
      <c r="D159">
        <v>2422</v>
      </c>
      <c r="E159" s="7" t="str">
        <f t="shared" si="30"/>
        <v>30A</v>
      </c>
      <c r="F159" s="7" t="str">
        <f t="shared" si="31"/>
        <v>DF8</v>
      </c>
      <c r="G159" s="7" t="str">
        <f t="shared" si="32"/>
        <v>976</v>
      </c>
      <c r="H159" s="7">
        <f t="shared" si="40"/>
        <v>1</v>
      </c>
      <c r="I159" s="7">
        <f t="shared" si="41"/>
        <v>0</v>
      </c>
      <c r="J159" s="7">
        <f t="shared" si="42"/>
        <v>1</v>
      </c>
      <c r="K159" s="7">
        <f t="shared" si="38"/>
        <v>0</v>
      </c>
      <c r="L159" s="192">
        <f t="shared" si="33"/>
        <v>5</v>
      </c>
      <c r="M159" s="192">
        <f t="shared" si="34"/>
        <v>2</v>
      </c>
      <c r="N159" s="192">
        <f t="shared" si="35"/>
        <v>1</v>
      </c>
      <c r="O159" s="192">
        <f t="shared" si="36"/>
        <v>6</v>
      </c>
      <c r="P159" s="197">
        <f t="shared" si="39"/>
        <v>0</v>
      </c>
    </row>
    <row r="160" spans="1:16" hidden="1">
      <c r="A160" s="7">
        <f t="shared" si="37"/>
        <v>1580</v>
      </c>
      <c r="B160">
        <v>778</v>
      </c>
      <c r="C160">
        <v>3576</v>
      </c>
      <c r="D160">
        <v>2421</v>
      </c>
      <c r="E160" s="7" t="str">
        <f t="shared" si="30"/>
        <v>30A</v>
      </c>
      <c r="F160" s="7" t="str">
        <f t="shared" si="31"/>
        <v>DF8</v>
      </c>
      <c r="G160" s="7" t="str">
        <f t="shared" si="32"/>
        <v>975</v>
      </c>
      <c r="H160" s="7">
        <f t="shared" si="40"/>
        <v>1</v>
      </c>
      <c r="I160" s="7">
        <f t="shared" si="41"/>
        <v>0</v>
      </c>
      <c r="J160" s="7">
        <f t="shared" si="42"/>
        <v>0</v>
      </c>
      <c r="K160" s="7">
        <f t="shared" si="38"/>
        <v>1</v>
      </c>
      <c r="L160" s="192">
        <f t="shared" si="33"/>
        <v>5</v>
      </c>
      <c r="M160" s="192">
        <f t="shared" si="34"/>
        <v>2</v>
      </c>
      <c r="N160" s="192">
        <f t="shared" si="35"/>
        <v>0</v>
      </c>
      <c r="O160" s="192">
        <f t="shared" si="36"/>
        <v>7</v>
      </c>
      <c r="P160" s="197">
        <f t="shared" si="39"/>
        <v>0</v>
      </c>
    </row>
    <row r="161" spans="1:16" hidden="1">
      <c r="A161" s="7">
        <f t="shared" si="37"/>
        <v>1590</v>
      </c>
      <c r="B161">
        <v>778</v>
      </c>
      <c r="C161">
        <v>3576</v>
      </c>
      <c r="D161">
        <v>2421</v>
      </c>
      <c r="E161" s="7" t="str">
        <f t="shared" si="30"/>
        <v>30A</v>
      </c>
      <c r="F161" s="7" t="str">
        <f t="shared" si="31"/>
        <v>DF8</v>
      </c>
      <c r="G161" s="7" t="str">
        <f t="shared" si="32"/>
        <v>975</v>
      </c>
      <c r="H161" s="7">
        <f t="shared" si="40"/>
        <v>1</v>
      </c>
      <c r="I161" s="7">
        <f t="shared" si="41"/>
        <v>0</v>
      </c>
      <c r="J161" s="7">
        <f t="shared" si="42"/>
        <v>0</v>
      </c>
      <c r="K161" s="7">
        <f t="shared" si="38"/>
        <v>1</v>
      </c>
      <c r="L161" s="192">
        <f t="shared" si="33"/>
        <v>5</v>
      </c>
      <c r="M161" s="192">
        <f t="shared" si="34"/>
        <v>2</v>
      </c>
      <c r="N161" s="192">
        <f t="shared" si="35"/>
        <v>0</v>
      </c>
      <c r="O161" s="192">
        <f t="shared" si="36"/>
        <v>7</v>
      </c>
      <c r="P161" s="197">
        <f t="shared" si="39"/>
        <v>0</v>
      </c>
    </row>
    <row r="162" spans="1:16" hidden="1">
      <c r="A162" s="7">
        <f t="shared" si="37"/>
        <v>1600</v>
      </c>
      <c r="B162">
        <v>778</v>
      </c>
      <c r="C162">
        <v>3575</v>
      </c>
      <c r="D162">
        <v>2421</v>
      </c>
      <c r="E162" s="7" t="str">
        <f t="shared" si="30"/>
        <v>30A</v>
      </c>
      <c r="F162" s="7" t="str">
        <f t="shared" si="31"/>
        <v>DF7</v>
      </c>
      <c r="G162" s="7" t="str">
        <f t="shared" si="32"/>
        <v>975</v>
      </c>
      <c r="H162" s="7">
        <f t="shared" si="40"/>
        <v>1</v>
      </c>
      <c r="I162" s="7">
        <f t="shared" si="41"/>
        <v>1</v>
      </c>
      <c r="J162" s="7">
        <f t="shared" si="42"/>
        <v>0</v>
      </c>
      <c r="K162" s="7">
        <f t="shared" si="38"/>
        <v>0</v>
      </c>
      <c r="L162" s="192">
        <f t="shared" si="33"/>
        <v>5</v>
      </c>
      <c r="M162" s="192">
        <f t="shared" si="34"/>
        <v>3</v>
      </c>
      <c r="N162" s="192">
        <f t="shared" si="35"/>
        <v>0</v>
      </c>
      <c r="O162" s="192">
        <f t="shared" si="36"/>
        <v>6</v>
      </c>
      <c r="P162" s="197">
        <f t="shared" si="39"/>
        <v>0</v>
      </c>
    </row>
    <row r="163" spans="1:16" hidden="1">
      <c r="A163" s="7">
        <f t="shared" si="37"/>
        <v>1610</v>
      </c>
      <c r="B163">
        <v>778</v>
      </c>
      <c r="C163">
        <v>3575</v>
      </c>
      <c r="D163">
        <v>2421</v>
      </c>
      <c r="E163" s="7" t="str">
        <f t="shared" si="30"/>
        <v>30A</v>
      </c>
      <c r="F163" s="7" t="str">
        <f t="shared" si="31"/>
        <v>DF7</v>
      </c>
      <c r="G163" s="7" t="str">
        <f t="shared" si="32"/>
        <v>975</v>
      </c>
      <c r="H163" s="7">
        <f t="shared" si="40"/>
        <v>1</v>
      </c>
      <c r="I163" s="7">
        <f t="shared" si="41"/>
        <v>1</v>
      </c>
      <c r="J163" s="7">
        <f t="shared" si="42"/>
        <v>0</v>
      </c>
      <c r="K163" s="7">
        <f t="shared" si="38"/>
        <v>0</v>
      </c>
      <c r="L163" s="192">
        <f t="shared" si="33"/>
        <v>5</v>
      </c>
      <c r="M163" s="192">
        <f t="shared" si="34"/>
        <v>3</v>
      </c>
      <c r="N163" s="192">
        <f t="shared" si="35"/>
        <v>0</v>
      </c>
      <c r="O163" s="192">
        <f t="shared" si="36"/>
        <v>6</v>
      </c>
      <c r="P163" s="197">
        <f t="shared" si="39"/>
        <v>0</v>
      </c>
    </row>
    <row r="164" spans="1:16" hidden="1">
      <c r="A164" s="7">
        <f t="shared" si="37"/>
        <v>1620</v>
      </c>
      <c r="B164">
        <v>778</v>
      </c>
      <c r="C164">
        <v>3575</v>
      </c>
      <c r="D164">
        <v>2421</v>
      </c>
      <c r="E164" s="7" t="str">
        <f t="shared" si="30"/>
        <v>30A</v>
      </c>
      <c r="F164" s="7" t="str">
        <f t="shared" si="31"/>
        <v>DF7</v>
      </c>
      <c r="G164" s="7" t="str">
        <f t="shared" si="32"/>
        <v>975</v>
      </c>
      <c r="H164" s="7">
        <f t="shared" si="40"/>
        <v>1</v>
      </c>
      <c r="I164" s="7">
        <f t="shared" si="41"/>
        <v>1</v>
      </c>
      <c r="J164" s="7">
        <f t="shared" si="42"/>
        <v>0</v>
      </c>
      <c r="K164" s="7">
        <f t="shared" si="38"/>
        <v>0</v>
      </c>
      <c r="L164" s="192">
        <f t="shared" si="33"/>
        <v>5</v>
      </c>
      <c r="M164" s="192">
        <f t="shared" si="34"/>
        <v>3</v>
      </c>
      <c r="N164" s="192">
        <f t="shared" si="35"/>
        <v>0</v>
      </c>
      <c r="O164" s="192">
        <f t="shared" si="36"/>
        <v>6</v>
      </c>
      <c r="P164" s="197">
        <f t="shared" si="39"/>
        <v>0</v>
      </c>
    </row>
    <row r="165" spans="1:16" hidden="1">
      <c r="A165" s="7">
        <f t="shared" si="37"/>
        <v>1630</v>
      </c>
      <c r="B165">
        <v>778</v>
      </c>
      <c r="C165">
        <v>3575</v>
      </c>
      <c r="D165">
        <v>2421</v>
      </c>
      <c r="E165" s="7" t="str">
        <f t="shared" si="30"/>
        <v>30A</v>
      </c>
      <c r="F165" s="7" t="str">
        <f t="shared" si="31"/>
        <v>DF7</v>
      </c>
      <c r="G165" s="7" t="str">
        <f t="shared" si="32"/>
        <v>975</v>
      </c>
      <c r="H165" s="7">
        <f t="shared" si="40"/>
        <v>1</v>
      </c>
      <c r="I165" s="7">
        <f t="shared" si="41"/>
        <v>1</v>
      </c>
      <c r="J165" s="7">
        <f t="shared" si="42"/>
        <v>0</v>
      </c>
      <c r="K165" s="7">
        <f t="shared" si="38"/>
        <v>0</v>
      </c>
      <c r="L165" s="192">
        <f t="shared" si="33"/>
        <v>5</v>
      </c>
      <c r="M165" s="192">
        <f t="shared" si="34"/>
        <v>3</v>
      </c>
      <c r="N165" s="192">
        <f t="shared" si="35"/>
        <v>0</v>
      </c>
      <c r="O165" s="192">
        <f t="shared" si="36"/>
        <v>6</v>
      </c>
      <c r="P165" s="197">
        <f t="shared" si="39"/>
        <v>0</v>
      </c>
    </row>
    <row r="166" spans="1:16" hidden="1">
      <c r="A166" s="7">
        <f t="shared" si="37"/>
        <v>1640</v>
      </c>
      <c r="B166">
        <v>778</v>
      </c>
      <c r="C166">
        <v>3575</v>
      </c>
      <c r="D166">
        <v>2421</v>
      </c>
      <c r="E166" s="7" t="str">
        <f t="shared" si="30"/>
        <v>30A</v>
      </c>
      <c r="F166" s="7" t="str">
        <f t="shared" si="31"/>
        <v>DF7</v>
      </c>
      <c r="G166" s="7" t="str">
        <f t="shared" si="32"/>
        <v>975</v>
      </c>
      <c r="H166" s="7">
        <f t="shared" si="40"/>
        <v>1</v>
      </c>
      <c r="I166" s="7">
        <f t="shared" si="41"/>
        <v>1</v>
      </c>
      <c r="J166" s="7">
        <f t="shared" si="42"/>
        <v>0</v>
      </c>
      <c r="K166" s="7">
        <f t="shared" si="38"/>
        <v>0</v>
      </c>
      <c r="L166" s="192">
        <f t="shared" si="33"/>
        <v>5</v>
      </c>
      <c r="M166" s="192">
        <f t="shared" si="34"/>
        <v>3</v>
      </c>
      <c r="N166" s="192">
        <f t="shared" si="35"/>
        <v>0</v>
      </c>
      <c r="O166" s="192">
        <f t="shared" si="36"/>
        <v>6</v>
      </c>
      <c r="P166" s="197">
        <f t="shared" si="39"/>
        <v>0</v>
      </c>
    </row>
    <row r="167" spans="1:16" hidden="1">
      <c r="A167" s="7">
        <f t="shared" si="37"/>
        <v>1650</v>
      </c>
      <c r="B167">
        <v>778</v>
      </c>
      <c r="C167">
        <v>3575</v>
      </c>
      <c r="D167">
        <v>2421</v>
      </c>
      <c r="E167" s="7" t="str">
        <f t="shared" si="30"/>
        <v>30A</v>
      </c>
      <c r="F167" s="7" t="str">
        <f t="shared" si="31"/>
        <v>DF7</v>
      </c>
      <c r="G167" s="7" t="str">
        <f t="shared" si="32"/>
        <v>975</v>
      </c>
      <c r="H167" s="7">
        <f t="shared" si="40"/>
        <v>1</v>
      </c>
      <c r="I167" s="7">
        <f t="shared" si="41"/>
        <v>1</v>
      </c>
      <c r="J167" s="7">
        <f t="shared" si="42"/>
        <v>0</v>
      </c>
      <c r="K167" s="7">
        <f t="shared" si="38"/>
        <v>0</v>
      </c>
      <c r="L167" s="192">
        <f t="shared" si="33"/>
        <v>5</v>
      </c>
      <c r="M167" s="192">
        <f t="shared" si="34"/>
        <v>3</v>
      </c>
      <c r="N167" s="192">
        <f t="shared" si="35"/>
        <v>0</v>
      </c>
      <c r="O167" s="192">
        <f t="shared" si="36"/>
        <v>6</v>
      </c>
      <c r="P167" s="197">
        <f t="shared" si="39"/>
        <v>0</v>
      </c>
    </row>
    <row r="168" spans="1:16" hidden="1">
      <c r="A168" s="7">
        <f t="shared" si="37"/>
        <v>1660</v>
      </c>
      <c r="B168">
        <v>778</v>
      </c>
      <c r="C168">
        <v>3576</v>
      </c>
      <c r="D168">
        <v>2421</v>
      </c>
      <c r="E168" s="7" t="str">
        <f t="shared" si="30"/>
        <v>30A</v>
      </c>
      <c r="F168" s="7" t="str">
        <f t="shared" si="31"/>
        <v>DF8</v>
      </c>
      <c r="G168" s="7" t="str">
        <f t="shared" si="32"/>
        <v>975</v>
      </c>
      <c r="H168" s="7">
        <f t="shared" si="40"/>
        <v>1</v>
      </c>
      <c r="I168" s="7">
        <f t="shared" si="41"/>
        <v>0</v>
      </c>
      <c r="J168" s="7">
        <f t="shared" si="42"/>
        <v>0</v>
      </c>
      <c r="K168" s="7">
        <f t="shared" si="38"/>
        <v>1</v>
      </c>
      <c r="L168" s="192">
        <f t="shared" si="33"/>
        <v>5</v>
      </c>
      <c r="M168" s="192">
        <f t="shared" si="34"/>
        <v>2</v>
      </c>
      <c r="N168" s="192">
        <f t="shared" si="35"/>
        <v>0</v>
      </c>
      <c r="O168" s="192">
        <f t="shared" si="36"/>
        <v>7</v>
      </c>
      <c r="P168" s="197">
        <f t="shared" si="39"/>
        <v>0</v>
      </c>
    </row>
    <row r="169" spans="1:16" hidden="1">
      <c r="A169" s="7">
        <f t="shared" si="37"/>
        <v>1670</v>
      </c>
      <c r="B169">
        <v>778</v>
      </c>
      <c r="C169">
        <v>3576</v>
      </c>
      <c r="D169">
        <v>2421</v>
      </c>
      <c r="E169" s="7" t="str">
        <f t="shared" si="30"/>
        <v>30A</v>
      </c>
      <c r="F169" s="7" t="str">
        <f t="shared" si="31"/>
        <v>DF8</v>
      </c>
      <c r="G169" s="7" t="str">
        <f t="shared" si="32"/>
        <v>975</v>
      </c>
      <c r="H169" s="7">
        <f t="shared" si="40"/>
        <v>1</v>
      </c>
      <c r="I169" s="7">
        <f t="shared" si="41"/>
        <v>0</v>
      </c>
      <c r="J169" s="7">
        <f t="shared" si="42"/>
        <v>0</v>
      </c>
      <c r="K169" s="7">
        <f t="shared" si="38"/>
        <v>1</v>
      </c>
      <c r="L169" s="192">
        <f t="shared" si="33"/>
        <v>5</v>
      </c>
      <c r="M169" s="192">
        <f t="shared" si="34"/>
        <v>2</v>
      </c>
      <c r="N169" s="192">
        <f t="shared" si="35"/>
        <v>0</v>
      </c>
      <c r="O169" s="192">
        <f t="shared" si="36"/>
        <v>7</v>
      </c>
      <c r="P169" s="197">
        <f t="shared" si="39"/>
        <v>0</v>
      </c>
    </row>
    <row r="170" spans="1:16" hidden="1">
      <c r="A170" s="7">
        <f t="shared" si="37"/>
        <v>1680</v>
      </c>
      <c r="B170">
        <v>778</v>
      </c>
      <c r="C170">
        <v>3576</v>
      </c>
      <c r="D170">
        <v>2421</v>
      </c>
      <c r="E170" s="7" t="str">
        <f t="shared" si="30"/>
        <v>30A</v>
      </c>
      <c r="F170" s="7" t="str">
        <f t="shared" si="31"/>
        <v>DF8</v>
      </c>
      <c r="G170" s="7" t="str">
        <f t="shared" si="32"/>
        <v>975</v>
      </c>
      <c r="H170" s="7">
        <f t="shared" si="40"/>
        <v>1</v>
      </c>
      <c r="I170" s="7">
        <f t="shared" si="41"/>
        <v>0</v>
      </c>
      <c r="J170" s="7">
        <f t="shared" si="42"/>
        <v>0</v>
      </c>
      <c r="K170" s="7">
        <f t="shared" si="38"/>
        <v>1</v>
      </c>
      <c r="L170" s="192">
        <f t="shared" si="33"/>
        <v>5</v>
      </c>
      <c r="M170" s="192">
        <f t="shared" si="34"/>
        <v>2</v>
      </c>
      <c r="N170" s="192">
        <f t="shared" si="35"/>
        <v>0</v>
      </c>
      <c r="O170" s="192">
        <f t="shared" si="36"/>
        <v>7</v>
      </c>
      <c r="P170" s="197">
        <f t="shared" si="39"/>
        <v>0</v>
      </c>
    </row>
    <row r="171" spans="1:16" hidden="1">
      <c r="A171" s="7">
        <f t="shared" si="37"/>
        <v>1690</v>
      </c>
      <c r="B171">
        <v>778</v>
      </c>
      <c r="C171">
        <v>3576</v>
      </c>
      <c r="D171">
        <v>2421</v>
      </c>
      <c r="E171" s="7" t="str">
        <f t="shared" si="30"/>
        <v>30A</v>
      </c>
      <c r="F171" s="7" t="str">
        <f t="shared" si="31"/>
        <v>DF8</v>
      </c>
      <c r="G171" s="7" t="str">
        <f t="shared" si="32"/>
        <v>975</v>
      </c>
      <c r="H171" s="7">
        <f t="shared" si="40"/>
        <v>1</v>
      </c>
      <c r="I171" s="7">
        <f t="shared" si="41"/>
        <v>0</v>
      </c>
      <c r="J171" s="7">
        <f t="shared" si="42"/>
        <v>0</v>
      </c>
      <c r="K171" s="7">
        <f t="shared" si="38"/>
        <v>1</v>
      </c>
      <c r="L171" s="192">
        <f t="shared" si="33"/>
        <v>5</v>
      </c>
      <c r="M171" s="192">
        <f t="shared" si="34"/>
        <v>2</v>
      </c>
      <c r="N171" s="192">
        <f t="shared" si="35"/>
        <v>0</v>
      </c>
      <c r="O171" s="192">
        <f t="shared" si="36"/>
        <v>7</v>
      </c>
      <c r="P171" s="197">
        <f t="shared" si="39"/>
        <v>0</v>
      </c>
    </row>
    <row r="172" spans="1:16" hidden="1">
      <c r="A172" s="7">
        <f t="shared" si="37"/>
        <v>1700</v>
      </c>
      <c r="B172">
        <v>778</v>
      </c>
      <c r="C172">
        <v>3576</v>
      </c>
      <c r="D172">
        <v>2421</v>
      </c>
      <c r="E172" s="7" t="str">
        <f t="shared" si="30"/>
        <v>30A</v>
      </c>
      <c r="F172" s="7" t="str">
        <f t="shared" si="31"/>
        <v>DF8</v>
      </c>
      <c r="G172" s="7" t="str">
        <f t="shared" si="32"/>
        <v>975</v>
      </c>
      <c r="H172" s="7">
        <f t="shared" si="40"/>
        <v>1</v>
      </c>
      <c r="I172" s="7">
        <f t="shared" si="41"/>
        <v>0</v>
      </c>
      <c r="J172" s="7">
        <f t="shared" si="42"/>
        <v>0</v>
      </c>
      <c r="K172" s="7">
        <f t="shared" si="38"/>
        <v>1</v>
      </c>
      <c r="L172" s="192">
        <f t="shared" si="33"/>
        <v>5</v>
      </c>
      <c r="M172" s="192">
        <f t="shared" si="34"/>
        <v>2</v>
      </c>
      <c r="N172" s="192">
        <f t="shared" si="35"/>
        <v>0</v>
      </c>
      <c r="O172" s="192">
        <f t="shared" si="36"/>
        <v>7</v>
      </c>
      <c r="P172" s="197">
        <f t="shared" si="39"/>
        <v>0</v>
      </c>
    </row>
    <row r="173" spans="1:16" hidden="1">
      <c r="A173" s="7">
        <f t="shared" si="37"/>
        <v>1710</v>
      </c>
      <c r="B173">
        <v>778</v>
      </c>
      <c r="C173">
        <v>3576</v>
      </c>
      <c r="D173">
        <v>2421</v>
      </c>
      <c r="E173" s="7" t="str">
        <f t="shared" si="30"/>
        <v>30A</v>
      </c>
      <c r="F173" s="7" t="str">
        <f t="shared" si="31"/>
        <v>DF8</v>
      </c>
      <c r="G173" s="7" t="str">
        <f t="shared" si="32"/>
        <v>975</v>
      </c>
      <c r="H173" s="7">
        <f t="shared" si="40"/>
        <v>1</v>
      </c>
      <c r="I173" s="7">
        <f t="shared" si="41"/>
        <v>0</v>
      </c>
      <c r="J173" s="7">
        <f t="shared" si="42"/>
        <v>0</v>
      </c>
      <c r="K173" s="7">
        <f t="shared" si="38"/>
        <v>1</v>
      </c>
      <c r="L173" s="192">
        <f t="shared" si="33"/>
        <v>5</v>
      </c>
      <c r="M173" s="192">
        <f t="shared" si="34"/>
        <v>2</v>
      </c>
      <c r="N173" s="192">
        <f t="shared" si="35"/>
        <v>0</v>
      </c>
      <c r="O173" s="192">
        <f t="shared" si="36"/>
        <v>7</v>
      </c>
      <c r="P173" s="197">
        <f t="shared" si="39"/>
        <v>0</v>
      </c>
    </row>
    <row r="174" spans="1:16" hidden="1">
      <c r="A174" s="7">
        <f t="shared" si="37"/>
        <v>1720</v>
      </c>
      <c r="B174">
        <v>778</v>
      </c>
      <c r="C174">
        <v>3576</v>
      </c>
      <c r="D174">
        <v>2421</v>
      </c>
      <c r="E174" s="7" t="str">
        <f t="shared" si="30"/>
        <v>30A</v>
      </c>
      <c r="F174" s="7" t="str">
        <f t="shared" si="31"/>
        <v>DF8</v>
      </c>
      <c r="G174" s="7" t="str">
        <f t="shared" si="32"/>
        <v>975</v>
      </c>
      <c r="H174" s="7">
        <f t="shared" si="40"/>
        <v>1</v>
      </c>
      <c r="I174" s="7">
        <f t="shared" si="41"/>
        <v>0</v>
      </c>
      <c r="J174" s="7">
        <f t="shared" si="42"/>
        <v>0</v>
      </c>
      <c r="K174" s="7">
        <f t="shared" si="38"/>
        <v>1</v>
      </c>
      <c r="L174" s="192">
        <f t="shared" si="33"/>
        <v>5</v>
      </c>
      <c r="M174" s="192">
        <f t="shared" si="34"/>
        <v>2</v>
      </c>
      <c r="N174" s="192">
        <f t="shared" si="35"/>
        <v>0</v>
      </c>
      <c r="O174" s="192">
        <f t="shared" si="36"/>
        <v>7</v>
      </c>
      <c r="P174" s="197">
        <f t="shared" si="39"/>
        <v>0</v>
      </c>
    </row>
    <row r="175" spans="1:16" hidden="1">
      <c r="A175" s="7">
        <f t="shared" si="37"/>
        <v>1730</v>
      </c>
      <c r="B175">
        <v>778</v>
      </c>
      <c r="C175">
        <v>3576</v>
      </c>
      <c r="D175">
        <v>2421</v>
      </c>
      <c r="E175" s="7" t="str">
        <f t="shared" si="30"/>
        <v>30A</v>
      </c>
      <c r="F175" s="7" t="str">
        <f t="shared" si="31"/>
        <v>DF8</v>
      </c>
      <c r="G175" s="7" t="str">
        <f t="shared" si="32"/>
        <v>975</v>
      </c>
      <c r="H175" s="7">
        <f t="shared" si="40"/>
        <v>1</v>
      </c>
      <c r="I175" s="7">
        <f t="shared" si="41"/>
        <v>0</v>
      </c>
      <c r="J175" s="7">
        <f t="shared" si="42"/>
        <v>0</v>
      </c>
      <c r="K175" s="7">
        <f t="shared" si="38"/>
        <v>1</v>
      </c>
      <c r="L175" s="192">
        <f t="shared" si="33"/>
        <v>5</v>
      </c>
      <c r="M175" s="192">
        <f t="shared" si="34"/>
        <v>2</v>
      </c>
      <c r="N175" s="192">
        <f t="shared" si="35"/>
        <v>0</v>
      </c>
      <c r="O175" s="192">
        <f t="shared" si="36"/>
        <v>7</v>
      </c>
      <c r="P175" s="197">
        <f t="shared" si="39"/>
        <v>0</v>
      </c>
    </row>
    <row r="176" spans="1:16" hidden="1">
      <c r="A176" s="7">
        <f t="shared" si="37"/>
        <v>1740</v>
      </c>
      <c r="B176">
        <v>778</v>
      </c>
      <c r="C176">
        <v>3576</v>
      </c>
      <c r="D176">
        <v>2421</v>
      </c>
      <c r="E176" s="7" t="str">
        <f t="shared" si="30"/>
        <v>30A</v>
      </c>
      <c r="F176" s="7" t="str">
        <f t="shared" si="31"/>
        <v>DF8</v>
      </c>
      <c r="G176" s="7" t="str">
        <f t="shared" si="32"/>
        <v>975</v>
      </c>
      <c r="H176" s="7">
        <f t="shared" si="40"/>
        <v>1</v>
      </c>
      <c r="I176" s="7">
        <f t="shared" si="41"/>
        <v>0</v>
      </c>
      <c r="J176" s="7">
        <f t="shared" si="42"/>
        <v>0</v>
      </c>
      <c r="K176" s="7">
        <f t="shared" si="38"/>
        <v>1</v>
      </c>
      <c r="L176" s="192">
        <f t="shared" si="33"/>
        <v>5</v>
      </c>
      <c r="M176" s="192">
        <f t="shared" si="34"/>
        <v>2</v>
      </c>
      <c r="N176" s="192">
        <f t="shared" si="35"/>
        <v>0</v>
      </c>
      <c r="O176" s="192">
        <f t="shared" si="36"/>
        <v>7</v>
      </c>
      <c r="P176" s="197">
        <f t="shared" si="39"/>
        <v>0</v>
      </c>
    </row>
    <row r="177" spans="1:16" hidden="1">
      <c r="A177" s="7">
        <f t="shared" si="37"/>
        <v>1750</v>
      </c>
      <c r="B177">
        <v>778</v>
      </c>
      <c r="C177">
        <v>3576</v>
      </c>
      <c r="D177">
        <v>2421</v>
      </c>
      <c r="E177" s="7" t="str">
        <f t="shared" si="30"/>
        <v>30A</v>
      </c>
      <c r="F177" s="7" t="str">
        <f t="shared" si="31"/>
        <v>DF8</v>
      </c>
      <c r="G177" s="7" t="str">
        <f t="shared" si="32"/>
        <v>975</v>
      </c>
      <c r="H177" s="7">
        <f t="shared" si="40"/>
        <v>1</v>
      </c>
      <c r="I177" s="7">
        <f t="shared" si="41"/>
        <v>0</v>
      </c>
      <c r="J177" s="7">
        <f t="shared" si="42"/>
        <v>0</v>
      </c>
      <c r="K177" s="7">
        <f t="shared" si="38"/>
        <v>1</v>
      </c>
      <c r="L177" s="192">
        <f t="shared" si="33"/>
        <v>5</v>
      </c>
      <c r="M177" s="192">
        <f t="shared" si="34"/>
        <v>2</v>
      </c>
      <c r="N177" s="192">
        <f t="shared" si="35"/>
        <v>0</v>
      </c>
      <c r="O177" s="192">
        <f t="shared" si="36"/>
        <v>7</v>
      </c>
      <c r="P177" s="197">
        <f t="shared" si="39"/>
        <v>0</v>
      </c>
    </row>
    <row r="178" spans="1:16" hidden="1">
      <c r="A178" s="7">
        <f t="shared" si="37"/>
        <v>1760</v>
      </c>
      <c r="B178">
        <v>778</v>
      </c>
      <c r="C178">
        <v>3576</v>
      </c>
      <c r="D178">
        <v>2421</v>
      </c>
      <c r="E178" s="7" t="str">
        <f t="shared" si="30"/>
        <v>30A</v>
      </c>
      <c r="F178" s="7" t="str">
        <f t="shared" si="31"/>
        <v>DF8</v>
      </c>
      <c r="G178" s="7" t="str">
        <f t="shared" si="32"/>
        <v>975</v>
      </c>
      <c r="H178" s="7">
        <f t="shared" si="40"/>
        <v>1</v>
      </c>
      <c r="I178" s="7">
        <f t="shared" si="41"/>
        <v>0</v>
      </c>
      <c r="J178" s="7">
        <f t="shared" si="42"/>
        <v>0</v>
      </c>
      <c r="K178" s="7">
        <f t="shared" si="38"/>
        <v>1</v>
      </c>
      <c r="L178" s="192">
        <f t="shared" si="33"/>
        <v>5</v>
      </c>
      <c r="M178" s="192">
        <f t="shared" si="34"/>
        <v>2</v>
      </c>
      <c r="N178" s="192">
        <f t="shared" si="35"/>
        <v>0</v>
      </c>
      <c r="O178" s="192">
        <f t="shared" si="36"/>
        <v>7</v>
      </c>
      <c r="P178" s="197">
        <f t="shared" si="39"/>
        <v>0</v>
      </c>
    </row>
    <row r="179" spans="1:16" hidden="1">
      <c r="A179" s="7">
        <f t="shared" si="37"/>
        <v>1770</v>
      </c>
      <c r="B179">
        <v>778</v>
      </c>
      <c r="C179">
        <v>3576</v>
      </c>
      <c r="D179">
        <v>2421</v>
      </c>
      <c r="E179" s="7" t="str">
        <f t="shared" si="30"/>
        <v>30A</v>
      </c>
      <c r="F179" s="7" t="str">
        <f t="shared" si="31"/>
        <v>DF8</v>
      </c>
      <c r="G179" s="7" t="str">
        <f t="shared" si="32"/>
        <v>975</v>
      </c>
      <c r="H179" s="7">
        <f t="shared" si="40"/>
        <v>1</v>
      </c>
      <c r="I179" s="7">
        <f t="shared" si="41"/>
        <v>0</v>
      </c>
      <c r="J179" s="7">
        <f t="shared" si="42"/>
        <v>0</v>
      </c>
      <c r="K179" s="7">
        <f t="shared" si="38"/>
        <v>1</v>
      </c>
      <c r="L179" s="192">
        <f t="shared" si="33"/>
        <v>5</v>
      </c>
      <c r="M179" s="192">
        <f t="shared" si="34"/>
        <v>2</v>
      </c>
      <c r="N179" s="192">
        <f t="shared" si="35"/>
        <v>0</v>
      </c>
      <c r="O179" s="192">
        <f t="shared" si="36"/>
        <v>7</v>
      </c>
      <c r="P179" s="197">
        <f t="shared" si="39"/>
        <v>0</v>
      </c>
    </row>
    <row r="180" spans="1:16" hidden="1">
      <c r="A180" s="7">
        <f t="shared" si="37"/>
        <v>1780</v>
      </c>
      <c r="B180">
        <v>778</v>
      </c>
      <c r="C180">
        <v>3576</v>
      </c>
      <c r="D180">
        <v>2421</v>
      </c>
      <c r="E180" s="7" t="str">
        <f t="shared" si="30"/>
        <v>30A</v>
      </c>
      <c r="F180" s="7" t="str">
        <f t="shared" si="31"/>
        <v>DF8</v>
      </c>
      <c r="G180" s="7" t="str">
        <f t="shared" si="32"/>
        <v>975</v>
      </c>
      <c r="H180" s="7">
        <f t="shared" si="40"/>
        <v>1</v>
      </c>
      <c r="I180" s="7">
        <f t="shared" si="41"/>
        <v>0</v>
      </c>
      <c r="J180" s="7">
        <f t="shared" si="42"/>
        <v>0</v>
      </c>
      <c r="K180" s="7">
        <f t="shared" si="38"/>
        <v>1</v>
      </c>
      <c r="L180" s="192">
        <f t="shared" si="33"/>
        <v>5</v>
      </c>
      <c r="M180" s="192">
        <f t="shared" si="34"/>
        <v>2</v>
      </c>
      <c r="N180" s="192">
        <f t="shared" si="35"/>
        <v>0</v>
      </c>
      <c r="O180" s="192">
        <f t="shared" si="36"/>
        <v>7</v>
      </c>
      <c r="P180" s="197">
        <f t="shared" si="39"/>
        <v>0</v>
      </c>
    </row>
    <row r="181" spans="1:16" hidden="1">
      <c r="A181" s="7">
        <f t="shared" si="37"/>
        <v>1790</v>
      </c>
      <c r="B181">
        <v>778</v>
      </c>
      <c r="C181">
        <v>3576</v>
      </c>
      <c r="D181">
        <v>2421</v>
      </c>
      <c r="E181" s="7" t="str">
        <f t="shared" si="30"/>
        <v>30A</v>
      </c>
      <c r="F181" s="7" t="str">
        <f t="shared" si="31"/>
        <v>DF8</v>
      </c>
      <c r="G181" s="7" t="str">
        <f t="shared" si="32"/>
        <v>975</v>
      </c>
      <c r="H181" s="7">
        <f t="shared" si="40"/>
        <v>1</v>
      </c>
      <c r="I181" s="7">
        <f t="shared" si="41"/>
        <v>0</v>
      </c>
      <c r="J181" s="7">
        <f t="shared" si="42"/>
        <v>0</v>
      </c>
      <c r="K181" s="7">
        <f t="shared" si="38"/>
        <v>1</v>
      </c>
      <c r="L181" s="192">
        <f t="shared" si="33"/>
        <v>5</v>
      </c>
      <c r="M181" s="192">
        <f t="shared" si="34"/>
        <v>2</v>
      </c>
      <c r="N181" s="192">
        <f t="shared" si="35"/>
        <v>0</v>
      </c>
      <c r="O181" s="192">
        <f t="shared" si="36"/>
        <v>7</v>
      </c>
      <c r="P181" s="197">
        <f t="shared" si="39"/>
        <v>0</v>
      </c>
    </row>
    <row r="182" spans="1:16" hidden="1">
      <c r="A182" s="7">
        <f t="shared" si="37"/>
        <v>1800</v>
      </c>
      <c r="B182">
        <v>778</v>
      </c>
      <c r="C182">
        <v>3576</v>
      </c>
      <c r="D182">
        <v>2421</v>
      </c>
      <c r="E182" s="7" t="str">
        <f t="shared" si="30"/>
        <v>30A</v>
      </c>
      <c r="F182" s="7" t="str">
        <f t="shared" si="31"/>
        <v>DF8</v>
      </c>
      <c r="G182" s="7" t="str">
        <f t="shared" si="32"/>
        <v>975</v>
      </c>
      <c r="H182" s="7">
        <f t="shared" si="40"/>
        <v>1</v>
      </c>
      <c r="I182" s="7">
        <f t="shared" si="41"/>
        <v>0</v>
      </c>
      <c r="J182" s="7">
        <f t="shared" si="42"/>
        <v>0</v>
      </c>
      <c r="K182" s="7">
        <f t="shared" si="38"/>
        <v>1</v>
      </c>
      <c r="L182" s="192">
        <f t="shared" si="33"/>
        <v>5</v>
      </c>
      <c r="M182" s="192">
        <f t="shared" si="34"/>
        <v>2</v>
      </c>
      <c r="N182" s="192">
        <f t="shared" si="35"/>
        <v>0</v>
      </c>
      <c r="O182" s="192">
        <f t="shared" si="36"/>
        <v>7</v>
      </c>
      <c r="P182" s="197">
        <f t="shared" si="39"/>
        <v>0</v>
      </c>
    </row>
    <row r="183" spans="1:16" hidden="1">
      <c r="A183" s="7">
        <f t="shared" si="37"/>
        <v>1810</v>
      </c>
      <c r="B183">
        <v>778</v>
      </c>
      <c r="C183">
        <v>3576</v>
      </c>
      <c r="D183">
        <v>2422</v>
      </c>
      <c r="E183" s="7" t="str">
        <f t="shared" si="30"/>
        <v>30A</v>
      </c>
      <c r="F183" s="7" t="str">
        <f t="shared" si="31"/>
        <v>DF8</v>
      </c>
      <c r="G183" s="7" t="str">
        <f t="shared" si="32"/>
        <v>976</v>
      </c>
      <c r="H183" s="7">
        <f t="shared" si="40"/>
        <v>1</v>
      </c>
      <c r="I183" s="7">
        <f t="shared" si="41"/>
        <v>0</v>
      </c>
      <c r="J183" s="7">
        <f t="shared" si="42"/>
        <v>1</v>
      </c>
      <c r="K183" s="7">
        <f t="shared" si="38"/>
        <v>0</v>
      </c>
      <c r="L183" s="192">
        <f t="shared" si="33"/>
        <v>5</v>
      </c>
      <c r="M183" s="192">
        <f t="shared" si="34"/>
        <v>2</v>
      </c>
      <c r="N183" s="192">
        <f t="shared" si="35"/>
        <v>1</v>
      </c>
      <c r="O183" s="192">
        <f t="shared" si="36"/>
        <v>6</v>
      </c>
      <c r="P183" s="197">
        <f t="shared" si="39"/>
        <v>0</v>
      </c>
    </row>
    <row r="184" spans="1:16" hidden="1">
      <c r="A184" s="7">
        <f t="shared" si="37"/>
        <v>1820</v>
      </c>
      <c r="B184">
        <v>778</v>
      </c>
      <c r="C184">
        <v>3576</v>
      </c>
      <c r="D184">
        <v>2422</v>
      </c>
      <c r="E184" s="7" t="str">
        <f t="shared" si="30"/>
        <v>30A</v>
      </c>
      <c r="F184" s="7" t="str">
        <f t="shared" si="31"/>
        <v>DF8</v>
      </c>
      <c r="G184" s="7" t="str">
        <f t="shared" si="32"/>
        <v>976</v>
      </c>
      <c r="H184" s="7">
        <f t="shared" si="40"/>
        <v>1</v>
      </c>
      <c r="I184" s="7">
        <f t="shared" si="41"/>
        <v>0</v>
      </c>
      <c r="J184" s="7">
        <f t="shared" si="42"/>
        <v>1</v>
      </c>
      <c r="K184" s="7">
        <f t="shared" si="38"/>
        <v>0</v>
      </c>
      <c r="L184" s="192">
        <f t="shared" si="33"/>
        <v>5</v>
      </c>
      <c r="M184" s="192">
        <f t="shared" si="34"/>
        <v>2</v>
      </c>
      <c r="N184" s="192">
        <f t="shared" si="35"/>
        <v>1</v>
      </c>
      <c r="O184" s="192">
        <f t="shared" si="36"/>
        <v>6</v>
      </c>
      <c r="P184" s="197">
        <f t="shared" si="39"/>
        <v>0</v>
      </c>
    </row>
    <row r="185" spans="1:16" hidden="1">
      <c r="A185" s="7">
        <f t="shared" si="37"/>
        <v>1830</v>
      </c>
      <c r="B185">
        <v>778</v>
      </c>
      <c r="C185">
        <v>3574</v>
      </c>
      <c r="D185">
        <v>2422</v>
      </c>
      <c r="E185" s="7" t="str">
        <f t="shared" si="30"/>
        <v>30A</v>
      </c>
      <c r="F185" s="7" t="str">
        <f t="shared" si="31"/>
        <v>DF6</v>
      </c>
      <c r="G185" s="7" t="str">
        <f t="shared" si="32"/>
        <v>976</v>
      </c>
      <c r="H185" s="7">
        <f t="shared" si="40"/>
        <v>1</v>
      </c>
      <c r="I185" s="7">
        <f t="shared" si="41"/>
        <v>1</v>
      </c>
      <c r="J185" s="7">
        <f t="shared" si="42"/>
        <v>1</v>
      </c>
      <c r="K185" s="7">
        <f t="shared" si="38"/>
        <v>1</v>
      </c>
      <c r="L185" s="192">
        <f t="shared" si="33"/>
        <v>5</v>
      </c>
      <c r="M185" s="192">
        <f t="shared" si="34"/>
        <v>3</v>
      </c>
      <c r="N185" s="192">
        <f t="shared" si="35"/>
        <v>1</v>
      </c>
      <c r="O185" s="192">
        <f t="shared" si="36"/>
        <v>7</v>
      </c>
      <c r="P185" s="197">
        <f t="shared" si="39"/>
        <v>0</v>
      </c>
    </row>
    <row r="186" spans="1:16" hidden="1">
      <c r="A186" s="7">
        <f t="shared" si="37"/>
        <v>1840</v>
      </c>
      <c r="B186">
        <v>778</v>
      </c>
      <c r="C186">
        <v>3574</v>
      </c>
      <c r="D186">
        <v>2422</v>
      </c>
      <c r="E186" s="7" t="str">
        <f t="shared" si="30"/>
        <v>30A</v>
      </c>
      <c r="F186" s="7" t="str">
        <f t="shared" si="31"/>
        <v>DF6</v>
      </c>
      <c r="G186" s="7" t="str">
        <f t="shared" si="32"/>
        <v>976</v>
      </c>
      <c r="H186" s="7">
        <f t="shared" si="40"/>
        <v>1</v>
      </c>
      <c r="I186" s="7">
        <f t="shared" si="41"/>
        <v>1</v>
      </c>
      <c r="J186" s="7">
        <f t="shared" si="42"/>
        <v>1</v>
      </c>
      <c r="K186" s="7">
        <f t="shared" si="38"/>
        <v>1</v>
      </c>
      <c r="L186" s="192">
        <f t="shared" si="33"/>
        <v>5</v>
      </c>
      <c r="M186" s="192">
        <f t="shared" si="34"/>
        <v>3</v>
      </c>
      <c r="N186" s="192">
        <f t="shared" si="35"/>
        <v>1</v>
      </c>
      <c r="O186" s="192">
        <f t="shared" si="36"/>
        <v>7</v>
      </c>
      <c r="P186" s="197">
        <f t="shared" si="39"/>
        <v>0</v>
      </c>
    </row>
    <row r="187" spans="1:16" hidden="1">
      <c r="A187" s="7">
        <f t="shared" si="37"/>
        <v>1850</v>
      </c>
      <c r="B187">
        <v>777</v>
      </c>
      <c r="C187">
        <v>3574</v>
      </c>
      <c r="D187">
        <v>2422</v>
      </c>
      <c r="E187" s="7" t="str">
        <f t="shared" si="30"/>
        <v>309</v>
      </c>
      <c r="F187" s="7" t="str">
        <f t="shared" si="31"/>
        <v>DF6</v>
      </c>
      <c r="G187" s="7" t="str">
        <f t="shared" si="32"/>
        <v>976</v>
      </c>
      <c r="H187" s="7">
        <f t="shared" si="40"/>
        <v>0</v>
      </c>
      <c r="I187" s="7">
        <f t="shared" si="41"/>
        <v>1</v>
      </c>
      <c r="J187" s="7">
        <f t="shared" si="42"/>
        <v>1</v>
      </c>
      <c r="K187" s="7">
        <f t="shared" si="38"/>
        <v>0</v>
      </c>
      <c r="L187" s="192">
        <f t="shared" si="33"/>
        <v>4</v>
      </c>
      <c r="M187" s="192">
        <f t="shared" si="34"/>
        <v>3</v>
      </c>
      <c r="N187" s="192">
        <f t="shared" si="35"/>
        <v>1</v>
      </c>
      <c r="O187" s="192">
        <f t="shared" si="36"/>
        <v>6</v>
      </c>
      <c r="P187" s="197">
        <f t="shared" si="39"/>
        <v>0</v>
      </c>
    </row>
    <row r="188" spans="1:16" hidden="1">
      <c r="A188" s="7">
        <f t="shared" si="37"/>
        <v>1860</v>
      </c>
      <c r="B188">
        <v>777</v>
      </c>
      <c r="C188">
        <v>3574</v>
      </c>
      <c r="D188">
        <v>2420</v>
      </c>
      <c r="E188" s="7" t="str">
        <f t="shared" si="30"/>
        <v>309</v>
      </c>
      <c r="F188" s="7" t="str">
        <f t="shared" si="31"/>
        <v>DF6</v>
      </c>
      <c r="G188" s="7" t="str">
        <f t="shared" si="32"/>
        <v>974</v>
      </c>
      <c r="H188" s="7">
        <f t="shared" si="40"/>
        <v>0</v>
      </c>
      <c r="I188" s="7">
        <f t="shared" si="41"/>
        <v>1</v>
      </c>
      <c r="J188" s="7">
        <f t="shared" si="42"/>
        <v>0</v>
      </c>
      <c r="K188" s="7">
        <f t="shared" si="38"/>
        <v>1</v>
      </c>
      <c r="L188" s="192">
        <f t="shared" si="33"/>
        <v>4</v>
      </c>
      <c r="M188" s="192">
        <f t="shared" si="34"/>
        <v>3</v>
      </c>
      <c r="N188" s="192">
        <f t="shared" si="35"/>
        <v>0</v>
      </c>
      <c r="O188" s="192">
        <f t="shared" si="36"/>
        <v>7</v>
      </c>
      <c r="P188" s="197">
        <f t="shared" si="39"/>
        <v>0</v>
      </c>
    </row>
    <row r="189" spans="1:16" hidden="1">
      <c r="A189" s="7">
        <f t="shared" si="37"/>
        <v>1870</v>
      </c>
      <c r="B189">
        <v>777</v>
      </c>
      <c r="C189">
        <v>3574</v>
      </c>
      <c r="D189">
        <v>2420</v>
      </c>
      <c r="E189" s="7" t="str">
        <f t="shared" si="30"/>
        <v>309</v>
      </c>
      <c r="F189" s="7" t="str">
        <f t="shared" si="31"/>
        <v>DF6</v>
      </c>
      <c r="G189" s="7" t="str">
        <f t="shared" si="32"/>
        <v>974</v>
      </c>
      <c r="H189" s="7">
        <f t="shared" si="40"/>
        <v>0</v>
      </c>
      <c r="I189" s="7">
        <f t="shared" si="41"/>
        <v>1</v>
      </c>
      <c r="J189" s="7">
        <f t="shared" si="42"/>
        <v>0</v>
      </c>
      <c r="K189" s="7">
        <f t="shared" si="38"/>
        <v>1</v>
      </c>
      <c r="L189" s="192">
        <f t="shared" si="33"/>
        <v>4</v>
      </c>
      <c r="M189" s="192">
        <f t="shared" si="34"/>
        <v>3</v>
      </c>
      <c r="N189" s="192">
        <f t="shared" si="35"/>
        <v>0</v>
      </c>
      <c r="O189" s="192">
        <f t="shared" si="36"/>
        <v>7</v>
      </c>
      <c r="P189" s="197">
        <f t="shared" si="39"/>
        <v>0</v>
      </c>
    </row>
    <row r="190" spans="1:16" hidden="1">
      <c r="A190" s="7">
        <f t="shared" si="37"/>
        <v>1880</v>
      </c>
      <c r="B190">
        <v>777</v>
      </c>
      <c r="C190">
        <v>3576</v>
      </c>
      <c r="D190">
        <v>2420</v>
      </c>
      <c r="E190" s="7" t="str">
        <f t="shared" si="30"/>
        <v>309</v>
      </c>
      <c r="F190" s="7" t="str">
        <f t="shared" si="31"/>
        <v>DF8</v>
      </c>
      <c r="G190" s="7" t="str">
        <f t="shared" si="32"/>
        <v>974</v>
      </c>
      <c r="H190" s="7">
        <f t="shared" si="40"/>
        <v>0</v>
      </c>
      <c r="I190" s="7">
        <f t="shared" si="41"/>
        <v>0</v>
      </c>
      <c r="J190" s="7">
        <f t="shared" si="42"/>
        <v>0</v>
      </c>
      <c r="K190" s="7">
        <f t="shared" si="38"/>
        <v>0</v>
      </c>
      <c r="L190" s="192">
        <f t="shared" si="33"/>
        <v>4</v>
      </c>
      <c r="M190" s="192">
        <f t="shared" si="34"/>
        <v>2</v>
      </c>
      <c r="N190" s="192">
        <f t="shared" si="35"/>
        <v>0</v>
      </c>
      <c r="O190" s="192">
        <f t="shared" si="36"/>
        <v>6</v>
      </c>
      <c r="P190" s="197">
        <f t="shared" si="39"/>
        <v>0</v>
      </c>
    </row>
    <row r="191" spans="1:16" hidden="1">
      <c r="A191" s="7">
        <f t="shared" si="37"/>
        <v>1890</v>
      </c>
      <c r="B191">
        <v>777</v>
      </c>
      <c r="C191">
        <v>3576</v>
      </c>
      <c r="D191">
        <v>2420</v>
      </c>
      <c r="E191" s="7" t="str">
        <f t="shared" si="30"/>
        <v>309</v>
      </c>
      <c r="F191" s="7" t="str">
        <f t="shared" si="31"/>
        <v>DF8</v>
      </c>
      <c r="G191" s="7" t="str">
        <f t="shared" si="32"/>
        <v>974</v>
      </c>
      <c r="H191" s="7">
        <f t="shared" si="40"/>
        <v>0</v>
      </c>
      <c r="I191" s="7">
        <f t="shared" si="41"/>
        <v>0</v>
      </c>
      <c r="J191" s="7">
        <f t="shared" si="42"/>
        <v>0</v>
      </c>
      <c r="K191" s="7">
        <f t="shared" si="38"/>
        <v>0</v>
      </c>
      <c r="L191" s="192">
        <f t="shared" si="33"/>
        <v>4</v>
      </c>
      <c r="M191" s="192">
        <f t="shared" si="34"/>
        <v>2</v>
      </c>
      <c r="N191" s="192">
        <f t="shared" si="35"/>
        <v>0</v>
      </c>
      <c r="O191" s="192">
        <f t="shared" si="36"/>
        <v>6</v>
      </c>
      <c r="P191" s="197">
        <f t="shared" si="39"/>
        <v>0</v>
      </c>
    </row>
    <row r="192" spans="1:16" hidden="1">
      <c r="A192" s="7">
        <f t="shared" si="37"/>
        <v>1900</v>
      </c>
      <c r="B192">
        <v>778</v>
      </c>
      <c r="C192">
        <v>3576</v>
      </c>
      <c r="D192">
        <v>2420</v>
      </c>
      <c r="E192" s="7" t="str">
        <f t="shared" si="30"/>
        <v>30A</v>
      </c>
      <c r="F192" s="7" t="str">
        <f t="shared" si="31"/>
        <v>DF8</v>
      </c>
      <c r="G192" s="7" t="str">
        <f t="shared" si="32"/>
        <v>974</v>
      </c>
      <c r="H192" s="7">
        <f t="shared" si="40"/>
        <v>1</v>
      </c>
      <c r="I192" s="7">
        <f t="shared" si="41"/>
        <v>0</v>
      </c>
      <c r="J192" s="7">
        <f t="shared" si="42"/>
        <v>0</v>
      </c>
      <c r="K192" s="7">
        <f t="shared" si="38"/>
        <v>1</v>
      </c>
      <c r="L192" s="192">
        <f t="shared" si="33"/>
        <v>5</v>
      </c>
      <c r="M192" s="192">
        <f t="shared" si="34"/>
        <v>2</v>
      </c>
      <c r="N192" s="192">
        <f t="shared" si="35"/>
        <v>0</v>
      </c>
      <c r="O192" s="192">
        <f t="shared" si="36"/>
        <v>7</v>
      </c>
      <c r="P192" s="197">
        <f t="shared" si="39"/>
        <v>0</v>
      </c>
    </row>
    <row r="193" spans="1:16" hidden="1">
      <c r="A193" s="7">
        <f t="shared" si="37"/>
        <v>1910</v>
      </c>
      <c r="B193">
        <v>778</v>
      </c>
      <c r="C193">
        <v>3576</v>
      </c>
      <c r="D193">
        <v>2420</v>
      </c>
      <c r="E193" s="7" t="str">
        <f t="shared" si="30"/>
        <v>30A</v>
      </c>
      <c r="F193" s="7" t="str">
        <f t="shared" si="31"/>
        <v>DF8</v>
      </c>
      <c r="G193" s="7" t="str">
        <f t="shared" si="32"/>
        <v>974</v>
      </c>
      <c r="H193" s="7">
        <f t="shared" si="40"/>
        <v>1</v>
      </c>
      <c r="I193" s="7">
        <f t="shared" si="41"/>
        <v>0</v>
      </c>
      <c r="J193" s="7">
        <f t="shared" si="42"/>
        <v>0</v>
      </c>
      <c r="K193" s="7">
        <f t="shared" si="38"/>
        <v>1</v>
      </c>
      <c r="L193" s="192">
        <f t="shared" si="33"/>
        <v>5</v>
      </c>
      <c r="M193" s="192">
        <f t="shared" si="34"/>
        <v>2</v>
      </c>
      <c r="N193" s="192">
        <f t="shared" si="35"/>
        <v>0</v>
      </c>
      <c r="O193" s="192">
        <f t="shared" si="36"/>
        <v>7</v>
      </c>
      <c r="P193" s="197">
        <f t="shared" si="39"/>
        <v>0</v>
      </c>
    </row>
    <row r="194" spans="1:16" hidden="1">
      <c r="A194" s="7">
        <f t="shared" si="37"/>
        <v>1920</v>
      </c>
      <c r="B194">
        <v>778</v>
      </c>
      <c r="C194">
        <v>3576</v>
      </c>
      <c r="D194">
        <v>2421</v>
      </c>
      <c r="E194" s="7" t="str">
        <f t="shared" ref="E194:E257" si="43">DEC2HEX(B194)</f>
        <v>30A</v>
      </c>
      <c r="F194" s="7" t="str">
        <f t="shared" ref="F194:F257" si="44">DEC2HEX(C194)</f>
        <v>DF8</v>
      </c>
      <c r="G194" s="7" t="str">
        <f t="shared" ref="G194:G257" si="45">DEC2HEX(D194)</f>
        <v>975</v>
      </c>
      <c r="H194" s="7">
        <f t="shared" si="40"/>
        <v>1</v>
      </c>
      <c r="I194" s="7">
        <f t="shared" si="41"/>
        <v>0</v>
      </c>
      <c r="J194" s="7">
        <f t="shared" si="42"/>
        <v>1</v>
      </c>
      <c r="K194" s="7">
        <f t="shared" si="38"/>
        <v>0</v>
      </c>
      <c r="L194" s="192">
        <f t="shared" si="33"/>
        <v>5</v>
      </c>
      <c r="M194" s="192">
        <f t="shared" si="34"/>
        <v>2</v>
      </c>
      <c r="N194" s="192">
        <f t="shared" si="35"/>
        <v>1</v>
      </c>
      <c r="O194" s="192">
        <f t="shared" si="36"/>
        <v>6</v>
      </c>
      <c r="P194" s="197">
        <f t="shared" si="39"/>
        <v>0</v>
      </c>
    </row>
    <row r="195" spans="1:16" hidden="1">
      <c r="A195" s="7">
        <f t="shared" si="37"/>
        <v>1930</v>
      </c>
      <c r="B195">
        <v>778</v>
      </c>
      <c r="C195">
        <v>3576</v>
      </c>
      <c r="D195">
        <v>2421</v>
      </c>
      <c r="E195" s="7" t="str">
        <f t="shared" si="43"/>
        <v>30A</v>
      </c>
      <c r="F195" s="7" t="str">
        <f t="shared" si="44"/>
        <v>DF8</v>
      </c>
      <c r="G195" s="7" t="str">
        <f t="shared" si="45"/>
        <v>975</v>
      </c>
      <c r="H195" s="7">
        <f t="shared" si="40"/>
        <v>1</v>
      </c>
      <c r="I195" s="7">
        <f t="shared" si="41"/>
        <v>0</v>
      </c>
      <c r="J195" s="7">
        <f t="shared" si="42"/>
        <v>1</v>
      </c>
      <c r="K195" s="7">
        <f t="shared" si="38"/>
        <v>0</v>
      </c>
      <c r="L195" s="192">
        <f t="shared" ref="L195:L258" si="46">H195+4</f>
        <v>5</v>
      </c>
      <c r="M195" s="192">
        <f t="shared" ref="M195:M258" si="47">I195+2</f>
        <v>2</v>
      </c>
      <c r="N195" s="192">
        <f t="shared" ref="N195:N258" si="48">J195</f>
        <v>1</v>
      </c>
      <c r="O195" s="192">
        <f t="shared" ref="O195:O258" si="49">K195+6</f>
        <v>6</v>
      </c>
      <c r="P195" s="197">
        <f t="shared" si="39"/>
        <v>0</v>
      </c>
    </row>
    <row r="196" spans="1:16" hidden="1">
      <c r="A196" s="7">
        <f t="shared" ref="A196:A259" si="50">A195+A$1</f>
        <v>1940</v>
      </c>
      <c r="B196">
        <v>778</v>
      </c>
      <c r="C196">
        <v>3576</v>
      </c>
      <c r="D196">
        <v>2421</v>
      </c>
      <c r="E196" s="7" t="str">
        <f t="shared" si="43"/>
        <v>30A</v>
      </c>
      <c r="F196" s="7" t="str">
        <f t="shared" si="44"/>
        <v>DF8</v>
      </c>
      <c r="G196" s="7" t="str">
        <f t="shared" si="45"/>
        <v>975</v>
      </c>
      <c r="H196" s="7">
        <f t="shared" si="40"/>
        <v>1</v>
      </c>
      <c r="I196" s="7">
        <f t="shared" si="41"/>
        <v>0</v>
      </c>
      <c r="J196" s="7">
        <f t="shared" si="42"/>
        <v>1</v>
      </c>
      <c r="K196" s="7">
        <f t="shared" ref="K196:K259" si="51">IF(OR(H196&lt;&gt;H195,I196&lt;&gt;I195,J196&lt;&gt;J195),1-K195,K195)</f>
        <v>0</v>
      </c>
      <c r="L196" s="192">
        <f t="shared" si="46"/>
        <v>5</v>
      </c>
      <c r="M196" s="192">
        <f t="shared" si="47"/>
        <v>2</v>
      </c>
      <c r="N196" s="192">
        <f t="shared" si="48"/>
        <v>1</v>
      </c>
      <c r="O196" s="192">
        <f t="shared" si="49"/>
        <v>6</v>
      </c>
      <c r="P196" s="197">
        <f t="shared" ref="P196:P259" si="52">IF(OR(AND(B195&lt;&gt;B196,B196&lt;&gt;B197),AND(C195&lt;&gt;C196,C196&lt;&gt;C197),AND(D195&lt;&gt;D196,D196&lt;&gt;D197)),1,0)</f>
        <v>0</v>
      </c>
    </row>
    <row r="197" spans="1:16" hidden="1">
      <c r="A197" s="7">
        <f t="shared" si="50"/>
        <v>1950</v>
      </c>
      <c r="B197">
        <v>777</v>
      </c>
      <c r="C197">
        <v>3576</v>
      </c>
      <c r="D197">
        <v>2421</v>
      </c>
      <c r="E197" s="7" t="str">
        <f t="shared" si="43"/>
        <v>309</v>
      </c>
      <c r="F197" s="7" t="str">
        <f t="shared" si="44"/>
        <v>DF8</v>
      </c>
      <c r="G197" s="7" t="str">
        <f t="shared" si="45"/>
        <v>975</v>
      </c>
      <c r="H197" s="7">
        <f t="shared" si="40"/>
        <v>0</v>
      </c>
      <c r="I197" s="7">
        <f t="shared" si="41"/>
        <v>0</v>
      </c>
      <c r="J197" s="7">
        <f t="shared" si="42"/>
        <v>1</v>
      </c>
      <c r="K197" s="7">
        <f t="shared" si="51"/>
        <v>1</v>
      </c>
      <c r="L197" s="192">
        <f t="shared" si="46"/>
        <v>4</v>
      </c>
      <c r="M197" s="192">
        <f t="shared" si="47"/>
        <v>2</v>
      </c>
      <c r="N197" s="192">
        <f t="shared" si="48"/>
        <v>1</v>
      </c>
      <c r="O197" s="192">
        <f t="shared" si="49"/>
        <v>7</v>
      </c>
      <c r="P197" s="197">
        <f t="shared" si="52"/>
        <v>0</v>
      </c>
    </row>
    <row r="198" spans="1:16" hidden="1">
      <c r="A198" s="7">
        <f t="shared" si="50"/>
        <v>1960</v>
      </c>
      <c r="B198">
        <v>777</v>
      </c>
      <c r="C198">
        <v>3576</v>
      </c>
      <c r="D198">
        <v>2421</v>
      </c>
      <c r="E198" s="7" t="str">
        <f t="shared" si="43"/>
        <v>309</v>
      </c>
      <c r="F198" s="7" t="str">
        <f t="shared" si="44"/>
        <v>DF8</v>
      </c>
      <c r="G198" s="7" t="str">
        <f t="shared" si="45"/>
        <v>975</v>
      </c>
      <c r="H198" s="7">
        <f t="shared" si="40"/>
        <v>0</v>
      </c>
      <c r="I198" s="7">
        <f t="shared" si="41"/>
        <v>0</v>
      </c>
      <c r="J198" s="7">
        <f t="shared" si="42"/>
        <v>1</v>
      </c>
      <c r="K198" s="7">
        <f t="shared" si="51"/>
        <v>1</v>
      </c>
      <c r="L198" s="192">
        <f t="shared" si="46"/>
        <v>4</v>
      </c>
      <c r="M198" s="192">
        <f t="shared" si="47"/>
        <v>2</v>
      </c>
      <c r="N198" s="192">
        <f t="shared" si="48"/>
        <v>1</v>
      </c>
      <c r="O198" s="192">
        <f t="shared" si="49"/>
        <v>7</v>
      </c>
      <c r="P198" s="197">
        <f t="shared" si="52"/>
        <v>0</v>
      </c>
    </row>
    <row r="199" spans="1:16" hidden="1">
      <c r="A199" s="7">
        <f t="shared" si="50"/>
        <v>1970</v>
      </c>
      <c r="B199">
        <v>777</v>
      </c>
      <c r="C199">
        <v>3576</v>
      </c>
      <c r="D199">
        <v>2421</v>
      </c>
      <c r="E199" s="7" t="str">
        <f t="shared" si="43"/>
        <v>309</v>
      </c>
      <c r="F199" s="7" t="str">
        <f t="shared" si="44"/>
        <v>DF8</v>
      </c>
      <c r="G199" s="7" t="str">
        <f t="shared" si="45"/>
        <v>975</v>
      </c>
      <c r="H199" s="7">
        <f t="shared" si="40"/>
        <v>0</v>
      </c>
      <c r="I199" s="7">
        <f t="shared" si="41"/>
        <v>0</v>
      </c>
      <c r="J199" s="7">
        <f t="shared" si="42"/>
        <v>1</v>
      </c>
      <c r="K199" s="7">
        <f t="shared" si="51"/>
        <v>1</v>
      </c>
      <c r="L199" s="192">
        <f t="shared" si="46"/>
        <v>4</v>
      </c>
      <c r="M199" s="192">
        <f t="shared" si="47"/>
        <v>2</v>
      </c>
      <c r="N199" s="192">
        <f t="shared" si="48"/>
        <v>1</v>
      </c>
      <c r="O199" s="192">
        <f t="shared" si="49"/>
        <v>7</v>
      </c>
      <c r="P199" s="197">
        <f t="shared" si="52"/>
        <v>0</v>
      </c>
    </row>
    <row r="200" spans="1:16" hidden="1">
      <c r="A200" s="7">
        <f t="shared" si="50"/>
        <v>1980</v>
      </c>
      <c r="B200">
        <v>777</v>
      </c>
      <c r="C200">
        <v>3576</v>
      </c>
      <c r="D200">
        <v>2421</v>
      </c>
      <c r="E200" s="7" t="str">
        <f t="shared" si="43"/>
        <v>309</v>
      </c>
      <c r="F200" s="7" t="str">
        <f t="shared" si="44"/>
        <v>DF8</v>
      </c>
      <c r="G200" s="7" t="str">
        <f t="shared" si="45"/>
        <v>975</v>
      </c>
      <c r="H200" s="7">
        <f t="shared" si="40"/>
        <v>0</v>
      </c>
      <c r="I200" s="7">
        <f t="shared" si="41"/>
        <v>0</v>
      </c>
      <c r="J200" s="7">
        <f t="shared" si="42"/>
        <v>1</v>
      </c>
      <c r="K200" s="7">
        <f t="shared" si="51"/>
        <v>1</v>
      </c>
      <c r="L200" s="192">
        <f t="shared" si="46"/>
        <v>4</v>
      </c>
      <c r="M200" s="192">
        <f t="shared" si="47"/>
        <v>2</v>
      </c>
      <c r="N200" s="192">
        <f t="shared" si="48"/>
        <v>1</v>
      </c>
      <c r="O200" s="192">
        <f t="shared" si="49"/>
        <v>7</v>
      </c>
      <c r="P200" s="197">
        <f t="shared" si="52"/>
        <v>0</v>
      </c>
    </row>
    <row r="201" spans="1:16" hidden="1">
      <c r="A201" s="7">
        <f t="shared" si="50"/>
        <v>1990</v>
      </c>
      <c r="B201">
        <v>777</v>
      </c>
      <c r="C201">
        <v>3576</v>
      </c>
      <c r="D201">
        <v>2421</v>
      </c>
      <c r="E201" s="7" t="str">
        <f t="shared" si="43"/>
        <v>309</v>
      </c>
      <c r="F201" s="7" t="str">
        <f t="shared" si="44"/>
        <v>DF8</v>
      </c>
      <c r="G201" s="7" t="str">
        <f t="shared" si="45"/>
        <v>975</v>
      </c>
      <c r="H201" s="7">
        <f t="shared" ref="H201:H264" si="53">IF(B201=B200,H200,1-H200)</f>
        <v>0</v>
      </c>
      <c r="I201" s="7">
        <f t="shared" si="41"/>
        <v>0</v>
      </c>
      <c r="J201" s="7">
        <f t="shared" si="42"/>
        <v>1</v>
      </c>
      <c r="K201" s="7">
        <f t="shared" si="51"/>
        <v>1</v>
      </c>
      <c r="L201" s="192">
        <f t="shared" si="46"/>
        <v>4</v>
      </c>
      <c r="M201" s="192">
        <f t="shared" si="47"/>
        <v>2</v>
      </c>
      <c r="N201" s="192">
        <f t="shared" si="48"/>
        <v>1</v>
      </c>
      <c r="O201" s="192">
        <f t="shared" si="49"/>
        <v>7</v>
      </c>
      <c r="P201" s="197">
        <f t="shared" si="52"/>
        <v>0</v>
      </c>
    </row>
    <row r="202" spans="1:16" hidden="1">
      <c r="A202" s="7">
        <f t="shared" si="50"/>
        <v>2000</v>
      </c>
      <c r="B202">
        <v>777</v>
      </c>
      <c r="C202">
        <v>3576</v>
      </c>
      <c r="D202">
        <v>2421</v>
      </c>
      <c r="E202" s="7" t="str">
        <f t="shared" si="43"/>
        <v>309</v>
      </c>
      <c r="F202" s="7" t="str">
        <f t="shared" si="44"/>
        <v>DF8</v>
      </c>
      <c r="G202" s="7" t="str">
        <f t="shared" si="45"/>
        <v>975</v>
      </c>
      <c r="H202" s="7">
        <f t="shared" si="53"/>
        <v>0</v>
      </c>
      <c r="I202" s="7">
        <f t="shared" si="41"/>
        <v>0</v>
      </c>
      <c r="J202" s="7">
        <f t="shared" si="42"/>
        <v>1</v>
      </c>
      <c r="K202" s="7">
        <f t="shared" si="51"/>
        <v>1</v>
      </c>
      <c r="L202" s="192">
        <f t="shared" si="46"/>
        <v>4</v>
      </c>
      <c r="M202" s="192">
        <f t="shared" si="47"/>
        <v>2</v>
      </c>
      <c r="N202" s="192">
        <f t="shared" si="48"/>
        <v>1</v>
      </c>
      <c r="O202" s="192">
        <f t="shared" si="49"/>
        <v>7</v>
      </c>
      <c r="P202" s="197">
        <f t="shared" si="52"/>
        <v>0</v>
      </c>
    </row>
    <row r="203" spans="1:16" hidden="1">
      <c r="A203" s="7">
        <f t="shared" si="50"/>
        <v>2010</v>
      </c>
      <c r="B203">
        <v>778</v>
      </c>
      <c r="C203">
        <v>3576</v>
      </c>
      <c r="D203">
        <v>2421</v>
      </c>
      <c r="E203" s="7" t="str">
        <f t="shared" si="43"/>
        <v>30A</v>
      </c>
      <c r="F203" s="7" t="str">
        <f t="shared" si="44"/>
        <v>DF8</v>
      </c>
      <c r="G203" s="7" t="str">
        <f t="shared" si="45"/>
        <v>975</v>
      </c>
      <c r="H203" s="7">
        <f t="shared" si="53"/>
        <v>1</v>
      </c>
      <c r="I203" s="7">
        <f t="shared" si="41"/>
        <v>0</v>
      </c>
      <c r="J203" s="7">
        <f t="shared" si="42"/>
        <v>1</v>
      </c>
      <c r="K203" s="7">
        <f t="shared" si="51"/>
        <v>0</v>
      </c>
      <c r="L203" s="192">
        <f t="shared" si="46"/>
        <v>5</v>
      </c>
      <c r="M203" s="192">
        <f t="shared" si="47"/>
        <v>2</v>
      </c>
      <c r="N203" s="192">
        <f t="shared" si="48"/>
        <v>1</v>
      </c>
      <c r="O203" s="192">
        <f t="shared" si="49"/>
        <v>6</v>
      </c>
      <c r="P203" s="197">
        <f t="shared" si="52"/>
        <v>0</v>
      </c>
    </row>
    <row r="204" spans="1:16" hidden="1">
      <c r="A204" s="7">
        <f t="shared" si="50"/>
        <v>2020</v>
      </c>
      <c r="B204">
        <v>778</v>
      </c>
      <c r="C204">
        <v>3576</v>
      </c>
      <c r="D204">
        <v>2421</v>
      </c>
      <c r="E204" s="7" t="str">
        <f t="shared" si="43"/>
        <v>30A</v>
      </c>
      <c r="F204" s="7" t="str">
        <f t="shared" si="44"/>
        <v>DF8</v>
      </c>
      <c r="G204" s="7" t="str">
        <f t="shared" si="45"/>
        <v>975</v>
      </c>
      <c r="H204" s="7">
        <f t="shared" si="53"/>
        <v>1</v>
      </c>
      <c r="I204" s="7">
        <f t="shared" si="41"/>
        <v>0</v>
      </c>
      <c r="J204" s="7">
        <f t="shared" si="42"/>
        <v>1</v>
      </c>
      <c r="K204" s="7">
        <f t="shared" si="51"/>
        <v>0</v>
      </c>
      <c r="L204" s="192">
        <f t="shared" si="46"/>
        <v>5</v>
      </c>
      <c r="M204" s="192">
        <f t="shared" si="47"/>
        <v>2</v>
      </c>
      <c r="N204" s="192">
        <f t="shared" si="48"/>
        <v>1</v>
      </c>
      <c r="O204" s="192">
        <f t="shared" si="49"/>
        <v>6</v>
      </c>
      <c r="P204" s="197">
        <f t="shared" si="52"/>
        <v>0</v>
      </c>
    </row>
    <row r="205" spans="1:16" hidden="1">
      <c r="A205" s="7">
        <f t="shared" si="50"/>
        <v>2030</v>
      </c>
      <c r="B205">
        <v>778</v>
      </c>
      <c r="C205">
        <v>3576</v>
      </c>
      <c r="D205">
        <v>2422</v>
      </c>
      <c r="E205" s="7" t="str">
        <f t="shared" si="43"/>
        <v>30A</v>
      </c>
      <c r="F205" s="7" t="str">
        <f t="shared" si="44"/>
        <v>DF8</v>
      </c>
      <c r="G205" s="7" t="str">
        <f t="shared" si="45"/>
        <v>976</v>
      </c>
      <c r="H205" s="7">
        <f t="shared" si="53"/>
        <v>1</v>
      </c>
      <c r="I205" s="7">
        <f t="shared" si="41"/>
        <v>0</v>
      </c>
      <c r="J205" s="7">
        <f t="shared" si="42"/>
        <v>0</v>
      </c>
      <c r="K205" s="7">
        <f t="shared" si="51"/>
        <v>1</v>
      </c>
      <c r="L205" s="192">
        <f t="shared" si="46"/>
        <v>5</v>
      </c>
      <c r="M205" s="192">
        <f t="shared" si="47"/>
        <v>2</v>
      </c>
      <c r="N205" s="192">
        <f t="shared" si="48"/>
        <v>0</v>
      </c>
      <c r="O205" s="192">
        <f t="shared" si="49"/>
        <v>7</v>
      </c>
      <c r="P205" s="197">
        <f t="shared" si="52"/>
        <v>0</v>
      </c>
    </row>
    <row r="206" spans="1:16" hidden="1">
      <c r="A206" s="7">
        <f t="shared" si="50"/>
        <v>2040</v>
      </c>
      <c r="B206">
        <v>778</v>
      </c>
      <c r="C206">
        <v>3576</v>
      </c>
      <c r="D206">
        <v>2422</v>
      </c>
      <c r="E206" s="7" t="str">
        <f t="shared" si="43"/>
        <v>30A</v>
      </c>
      <c r="F206" s="7" t="str">
        <f t="shared" si="44"/>
        <v>DF8</v>
      </c>
      <c r="G206" s="7" t="str">
        <f t="shared" si="45"/>
        <v>976</v>
      </c>
      <c r="H206" s="7">
        <f t="shared" si="53"/>
        <v>1</v>
      </c>
      <c r="I206" s="7">
        <f t="shared" si="41"/>
        <v>0</v>
      </c>
      <c r="J206" s="7">
        <f t="shared" si="42"/>
        <v>0</v>
      </c>
      <c r="K206" s="7">
        <f t="shared" si="51"/>
        <v>1</v>
      </c>
      <c r="L206" s="192">
        <f t="shared" si="46"/>
        <v>5</v>
      </c>
      <c r="M206" s="192">
        <f t="shared" si="47"/>
        <v>2</v>
      </c>
      <c r="N206" s="192">
        <f t="shared" si="48"/>
        <v>0</v>
      </c>
      <c r="O206" s="192">
        <f t="shared" si="49"/>
        <v>7</v>
      </c>
      <c r="P206" s="197">
        <f t="shared" si="52"/>
        <v>0</v>
      </c>
    </row>
    <row r="207" spans="1:16" hidden="1">
      <c r="A207" s="7">
        <f t="shared" si="50"/>
        <v>2050</v>
      </c>
      <c r="B207">
        <v>778</v>
      </c>
      <c r="C207">
        <v>3576</v>
      </c>
      <c r="D207">
        <v>2422</v>
      </c>
      <c r="E207" s="7" t="str">
        <f t="shared" si="43"/>
        <v>30A</v>
      </c>
      <c r="F207" s="7" t="str">
        <f t="shared" si="44"/>
        <v>DF8</v>
      </c>
      <c r="G207" s="7" t="str">
        <f t="shared" si="45"/>
        <v>976</v>
      </c>
      <c r="H207" s="7">
        <f t="shared" si="53"/>
        <v>1</v>
      </c>
      <c r="I207" s="7">
        <f t="shared" si="41"/>
        <v>0</v>
      </c>
      <c r="J207" s="7">
        <f t="shared" si="42"/>
        <v>0</v>
      </c>
      <c r="K207" s="7">
        <f t="shared" si="51"/>
        <v>1</v>
      </c>
      <c r="L207" s="192">
        <f t="shared" si="46"/>
        <v>5</v>
      </c>
      <c r="M207" s="192">
        <f t="shared" si="47"/>
        <v>2</v>
      </c>
      <c r="N207" s="192">
        <f t="shared" si="48"/>
        <v>0</v>
      </c>
      <c r="O207" s="192">
        <f t="shared" si="49"/>
        <v>7</v>
      </c>
      <c r="P207" s="197">
        <f t="shared" si="52"/>
        <v>0</v>
      </c>
    </row>
    <row r="208" spans="1:16" hidden="1">
      <c r="A208" s="7">
        <f t="shared" si="50"/>
        <v>2060</v>
      </c>
      <c r="B208">
        <v>778</v>
      </c>
      <c r="C208">
        <v>3576</v>
      </c>
      <c r="D208">
        <v>2422</v>
      </c>
      <c r="E208" s="7" t="str">
        <f t="shared" si="43"/>
        <v>30A</v>
      </c>
      <c r="F208" s="7" t="str">
        <f t="shared" si="44"/>
        <v>DF8</v>
      </c>
      <c r="G208" s="7" t="str">
        <f t="shared" si="45"/>
        <v>976</v>
      </c>
      <c r="H208" s="7">
        <f t="shared" si="53"/>
        <v>1</v>
      </c>
      <c r="I208" s="7">
        <f t="shared" si="41"/>
        <v>0</v>
      </c>
      <c r="J208" s="7">
        <f t="shared" si="42"/>
        <v>0</v>
      </c>
      <c r="K208" s="7">
        <f t="shared" si="51"/>
        <v>1</v>
      </c>
      <c r="L208" s="192">
        <f t="shared" si="46"/>
        <v>5</v>
      </c>
      <c r="M208" s="192">
        <f t="shared" si="47"/>
        <v>2</v>
      </c>
      <c r="N208" s="192">
        <f t="shared" si="48"/>
        <v>0</v>
      </c>
      <c r="O208" s="192">
        <f t="shared" si="49"/>
        <v>7</v>
      </c>
      <c r="P208" s="197">
        <f t="shared" si="52"/>
        <v>0</v>
      </c>
    </row>
    <row r="209" spans="1:16" hidden="1">
      <c r="A209" s="7">
        <f t="shared" si="50"/>
        <v>2070</v>
      </c>
      <c r="B209">
        <v>778</v>
      </c>
      <c r="C209">
        <v>3576</v>
      </c>
      <c r="D209">
        <v>2422</v>
      </c>
      <c r="E209" s="7" t="str">
        <f t="shared" si="43"/>
        <v>30A</v>
      </c>
      <c r="F209" s="7" t="str">
        <f t="shared" si="44"/>
        <v>DF8</v>
      </c>
      <c r="G209" s="7" t="str">
        <f t="shared" si="45"/>
        <v>976</v>
      </c>
      <c r="H209" s="7">
        <f t="shared" si="53"/>
        <v>1</v>
      </c>
      <c r="I209" s="7">
        <f t="shared" si="41"/>
        <v>0</v>
      </c>
      <c r="J209" s="7">
        <f t="shared" si="42"/>
        <v>0</v>
      </c>
      <c r="K209" s="7">
        <f t="shared" si="51"/>
        <v>1</v>
      </c>
      <c r="L209" s="192">
        <f t="shared" si="46"/>
        <v>5</v>
      </c>
      <c r="M209" s="192">
        <f t="shared" si="47"/>
        <v>2</v>
      </c>
      <c r="N209" s="192">
        <f t="shared" si="48"/>
        <v>0</v>
      </c>
      <c r="O209" s="192">
        <f t="shared" si="49"/>
        <v>7</v>
      </c>
      <c r="P209" s="197">
        <f t="shared" si="52"/>
        <v>0</v>
      </c>
    </row>
    <row r="210" spans="1:16" hidden="1">
      <c r="A210" s="7">
        <f t="shared" si="50"/>
        <v>2080</v>
      </c>
      <c r="B210">
        <v>778</v>
      </c>
      <c r="C210">
        <v>3576</v>
      </c>
      <c r="D210">
        <v>2422</v>
      </c>
      <c r="E210" s="7" t="str">
        <f t="shared" si="43"/>
        <v>30A</v>
      </c>
      <c r="F210" s="7" t="str">
        <f t="shared" si="44"/>
        <v>DF8</v>
      </c>
      <c r="G210" s="7" t="str">
        <f t="shared" si="45"/>
        <v>976</v>
      </c>
      <c r="H210" s="7">
        <f t="shared" si="53"/>
        <v>1</v>
      </c>
      <c r="I210" s="7">
        <f t="shared" si="41"/>
        <v>0</v>
      </c>
      <c r="J210" s="7">
        <f t="shared" si="42"/>
        <v>0</v>
      </c>
      <c r="K210" s="7">
        <f t="shared" si="51"/>
        <v>1</v>
      </c>
      <c r="L210" s="192">
        <f t="shared" si="46"/>
        <v>5</v>
      </c>
      <c r="M210" s="192">
        <f t="shared" si="47"/>
        <v>2</v>
      </c>
      <c r="N210" s="192">
        <f t="shared" si="48"/>
        <v>0</v>
      </c>
      <c r="O210" s="192">
        <f t="shared" si="49"/>
        <v>7</v>
      </c>
      <c r="P210" s="197">
        <f t="shared" si="52"/>
        <v>0</v>
      </c>
    </row>
    <row r="211" spans="1:16" hidden="1">
      <c r="A211" s="7">
        <f t="shared" si="50"/>
        <v>2090</v>
      </c>
      <c r="B211">
        <v>778</v>
      </c>
      <c r="C211">
        <v>3576</v>
      </c>
      <c r="D211">
        <v>2422</v>
      </c>
      <c r="E211" s="7" t="str">
        <f t="shared" si="43"/>
        <v>30A</v>
      </c>
      <c r="F211" s="7" t="str">
        <f t="shared" si="44"/>
        <v>DF8</v>
      </c>
      <c r="G211" s="7" t="str">
        <f t="shared" si="45"/>
        <v>976</v>
      </c>
      <c r="H211" s="7">
        <f t="shared" si="53"/>
        <v>1</v>
      </c>
      <c r="I211" s="7">
        <f t="shared" ref="I211:I274" si="54">IF(C211=C210,I210,1-I210)</f>
        <v>0</v>
      </c>
      <c r="J211" s="7">
        <f t="shared" ref="J211:J274" si="55">IF(D211=D210,J210,1-J210)</f>
        <v>0</v>
      </c>
      <c r="K211" s="7">
        <f t="shared" si="51"/>
        <v>1</v>
      </c>
      <c r="L211" s="192">
        <f t="shared" si="46"/>
        <v>5</v>
      </c>
      <c r="M211" s="192">
        <f t="shared" si="47"/>
        <v>2</v>
      </c>
      <c r="N211" s="192">
        <f t="shared" si="48"/>
        <v>0</v>
      </c>
      <c r="O211" s="192">
        <f t="shared" si="49"/>
        <v>7</v>
      </c>
      <c r="P211" s="197">
        <f t="shared" si="52"/>
        <v>0</v>
      </c>
    </row>
    <row r="212" spans="1:16" hidden="1">
      <c r="A212" s="7">
        <f t="shared" si="50"/>
        <v>2100</v>
      </c>
      <c r="B212">
        <v>778</v>
      </c>
      <c r="C212">
        <v>3575</v>
      </c>
      <c r="D212">
        <v>2422</v>
      </c>
      <c r="E212" s="7" t="str">
        <f t="shared" si="43"/>
        <v>30A</v>
      </c>
      <c r="F212" s="7" t="str">
        <f t="shared" si="44"/>
        <v>DF7</v>
      </c>
      <c r="G212" s="7" t="str">
        <f t="shared" si="45"/>
        <v>976</v>
      </c>
      <c r="H212" s="7">
        <f t="shared" si="53"/>
        <v>1</v>
      </c>
      <c r="I212" s="7">
        <f t="shared" si="54"/>
        <v>1</v>
      </c>
      <c r="J212" s="7">
        <f t="shared" si="55"/>
        <v>0</v>
      </c>
      <c r="K212" s="7">
        <f t="shared" si="51"/>
        <v>0</v>
      </c>
      <c r="L212" s="192">
        <f t="shared" si="46"/>
        <v>5</v>
      </c>
      <c r="M212" s="192">
        <f t="shared" si="47"/>
        <v>3</v>
      </c>
      <c r="N212" s="192">
        <f t="shared" si="48"/>
        <v>0</v>
      </c>
      <c r="O212" s="192">
        <f t="shared" si="49"/>
        <v>6</v>
      </c>
      <c r="P212" s="197">
        <f t="shared" si="52"/>
        <v>0</v>
      </c>
    </row>
    <row r="213" spans="1:16">
      <c r="A213" s="198">
        <f t="shared" si="50"/>
        <v>2110</v>
      </c>
      <c r="B213" s="199">
        <v>778</v>
      </c>
      <c r="C213" s="199">
        <v>3575</v>
      </c>
      <c r="D213" s="199">
        <v>2422</v>
      </c>
      <c r="E213" s="200" t="str">
        <f t="shared" si="43"/>
        <v>30A</v>
      </c>
      <c r="F213" s="200" t="str">
        <f t="shared" si="44"/>
        <v>DF7</v>
      </c>
      <c r="G213" s="200" t="str">
        <f t="shared" si="45"/>
        <v>976</v>
      </c>
      <c r="H213" s="200">
        <f t="shared" si="53"/>
        <v>1</v>
      </c>
      <c r="I213" s="200">
        <f t="shared" si="54"/>
        <v>1</v>
      </c>
      <c r="J213" s="200">
        <f t="shared" si="55"/>
        <v>0</v>
      </c>
      <c r="K213" s="200">
        <f t="shared" si="51"/>
        <v>0</v>
      </c>
      <c r="L213" s="201">
        <f t="shared" si="46"/>
        <v>5</v>
      </c>
      <c r="M213" s="201">
        <f t="shared" si="47"/>
        <v>3</v>
      </c>
      <c r="N213" s="201">
        <f t="shared" si="48"/>
        <v>0</v>
      </c>
      <c r="O213" s="202">
        <f t="shared" si="49"/>
        <v>6</v>
      </c>
      <c r="P213" s="197">
        <f t="shared" si="52"/>
        <v>0</v>
      </c>
    </row>
    <row r="214" spans="1:16">
      <c r="A214" s="203">
        <f t="shared" si="50"/>
        <v>2120</v>
      </c>
      <c r="B214" s="55">
        <v>777</v>
      </c>
      <c r="C214" s="55">
        <v>3575</v>
      </c>
      <c r="D214" s="55">
        <v>2422</v>
      </c>
      <c r="E214" s="196" t="str">
        <f t="shared" si="43"/>
        <v>309</v>
      </c>
      <c r="F214" s="196" t="str">
        <f t="shared" si="44"/>
        <v>DF7</v>
      </c>
      <c r="G214" s="196" t="str">
        <f t="shared" si="45"/>
        <v>976</v>
      </c>
      <c r="H214" s="196">
        <f t="shared" si="53"/>
        <v>0</v>
      </c>
      <c r="I214" s="196">
        <f t="shared" si="54"/>
        <v>1</v>
      </c>
      <c r="J214" s="196">
        <f t="shared" si="55"/>
        <v>0</v>
      </c>
      <c r="K214" s="196">
        <f t="shared" si="51"/>
        <v>1</v>
      </c>
      <c r="L214" s="195">
        <f t="shared" si="46"/>
        <v>4</v>
      </c>
      <c r="M214" s="195">
        <f t="shared" si="47"/>
        <v>3</v>
      </c>
      <c r="N214" s="195">
        <f t="shared" si="48"/>
        <v>0</v>
      </c>
      <c r="O214" s="204">
        <f t="shared" si="49"/>
        <v>7</v>
      </c>
      <c r="P214" s="197">
        <f t="shared" si="52"/>
        <v>0</v>
      </c>
    </row>
    <row r="215" spans="1:16">
      <c r="A215" s="203">
        <f t="shared" si="50"/>
        <v>2130</v>
      </c>
      <c r="B215" s="55">
        <v>777</v>
      </c>
      <c r="C215" s="55">
        <v>3575</v>
      </c>
      <c r="D215" s="55">
        <v>2420</v>
      </c>
      <c r="E215" s="196" t="str">
        <f t="shared" si="43"/>
        <v>309</v>
      </c>
      <c r="F215" s="196" t="str">
        <f t="shared" si="44"/>
        <v>DF7</v>
      </c>
      <c r="G215" s="196" t="str">
        <f t="shared" si="45"/>
        <v>974</v>
      </c>
      <c r="H215" s="196">
        <f t="shared" si="53"/>
        <v>0</v>
      </c>
      <c r="I215" s="196">
        <f t="shared" si="54"/>
        <v>1</v>
      </c>
      <c r="J215" s="196">
        <f t="shared" si="55"/>
        <v>1</v>
      </c>
      <c r="K215" s="196">
        <f t="shared" si="51"/>
        <v>0</v>
      </c>
      <c r="L215" s="195">
        <f t="shared" si="46"/>
        <v>4</v>
      </c>
      <c r="M215" s="195">
        <f t="shared" si="47"/>
        <v>3</v>
      </c>
      <c r="N215" s="195">
        <f t="shared" si="48"/>
        <v>1</v>
      </c>
      <c r="O215" s="204">
        <f t="shared" si="49"/>
        <v>6</v>
      </c>
      <c r="P215" s="197">
        <f t="shared" si="52"/>
        <v>0</v>
      </c>
    </row>
    <row r="216" spans="1:16">
      <c r="A216" s="203">
        <f t="shared" si="50"/>
        <v>2140</v>
      </c>
      <c r="B216" s="55">
        <v>777</v>
      </c>
      <c r="C216" s="55">
        <v>3575</v>
      </c>
      <c r="D216" s="55">
        <v>2420</v>
      </c>
      <c r="E216" s="196" t="str">
        <f t="shared" si="43"/>
        <v>309</v>
      </c>
      <c r="F216" s="196" t="str">
        <f t="shared" si="44"/>
        <v>DF7</v>
      </c>
      <c r="G216" s="196" t="str">
        <f t="shared" si="45"/>
        <v>974</v>
      </c>
      <c r="H216" s="196">
        <f t="shared" si="53"/>
        <v>0</v>
      </c>
      <c r="I216" s="196">
        <f t="shared" si="54"/>
        <v>1</v>
      </c>
      <c r="J216" s="196">
        <f t="shared" si="55"/>
        <v>1</v>
      </c>
      <c r="K216" s="196">
        <f t="shared" si="51"/>
        <v>0</v>
      </c>
      <c r="L216" s="195">
        <f t="shared" si="46"/>
        <v>4</v>
      </c>
      <c r="M216" s="195">
        <f t="shared" si="47"/>
        <v>3</v>
      </c>
      <c r="N216" s="195">
        <f t="shared" si="48"/>
        <v>1</v>
      </c>
      <c r="O216" s="204">
        <f t="shared" si="49"/>
        <v>6</v>
      </c>
      <c r="P216" s="197">
        <f t="shared" si="52"/>
        <v>0</v>
      </c>
    </row>
    <row r="217" spans="1:16">
      <c r="A217" s="205">
        <f t="shared" si="50"/>
        <v>2150</v>
      </c>
      <c r="B217" s="206">
        <v>777</v>
      </c>
      <c r="C217" s="206">
        <v>3577</v>
      </c>
      <c r="D217" s="206">
        <v>2420</v>
      </c>
      <c r="E217" s="207" t="str">
        <f t="shared" si="43"/>
        <v>309</v>
      </c>
      <c r="F217" s="207" t="str">
        <f t="shared" si="44"/>
        <v>DF9</v>
      </c>
      <c r="G217" s="207" t="str">
        <f t="shared" si="45"/>
        <v>974</v>
      </c>
      <c r="H217" s="207">
        <f t="shared" si="53"/>
        <v>0</v>
      </c>
      <c r="I217" s="207">
        <f t="shared" si="54"/>
        <v>0</v>
      </c>
      <c r="J217" s="207">
        <f t="shared" si="55"/>
        <v>1</v>
      </c>
      <c r="K217" s="207">
        <f t="shared" si="51"/>
        <v>1</v>
      </c>
      <c r="L217" s="208">
        <f t="shared" si="46"/>
        <v>4</v>
      </c>
      <c r="M217" s="208">
        <f t="shared" si="47"/>
        <v>2</v>
      </c>
      <c r="N217" s="208">
        <f t="shared" si="48"/>
        <v>1</v>
      </c>
      <c r="O217" s="209">
        <f t="shared" si="49"/>
        <v>7</v>
      </c>
      <c r="P217" s="197">
        <f t="shared" si="52"/>
        <v>0</v>
      </c>
    </row>
    <row r="218" spans="1:16" hidden="1">
      <c r="A218" s="7">
        <f t="shared" si="50"/>
        <v>2160</v>
      </c>
      <c r="B218">
        <v>777</v>
      </c>
      <c r="C218">
        <v>3577</v>
      </c>
      <c r="D218">
        <v>2420</v>
      </c>
      <c r="E218" s="7" t="str">
        <f t="shared" si="43"/>
        <v>309</v>
      </c>
      <c r="F218" s="7" t="str">
        <f t="shared" si="44"/>
        <v>DF9</v>
      </c>
      <c r="G218" s="7" t="str">
        <f t="shared" si="45"/>
        <v>974</v>
      </c>
      <c r="H218" s="7">
        <f t="shared" si="53"/>
        <v>0</v>
      </c>
      <c r="I218" s="7">
        <f t="shared" si="54"/>
        <v>0</v>
      </c>
      <c r="J218" s="7">
        <f t="shared" si="55"/>
        <v>1</v>
      </c>
      <c r="K218" s="7">
        <f t="shared" si="51"/>
        <v>1</v>
      </c>
      <c r="L218" s="192">
        <f t="shared" si="46"/>
        <v>4</v>
      </c>
      <c r="M218" s="192">
        <f t="shared" si="47"/>
        <v>2</v>
      </c>
      <c r="N218" s="192">
        <f t="shared" si="48"/>
        <v>1</v>
      </c>
      <c r="O218" s="192">
        <f t="shared" si="49"/>
        <v>7</v>
      </c>
      <c r="P218" s="197">
        <f t="shared" si="52"/>
        <v>0</v>
      </c>
    </row>
    <row r="219" spans="1:16" hidden="1">
      <c r="A219" s="7">
        <f t="shared" si="50"/>
        <v>2170</v>
      </c>
      <c r="B219">
        <v>777</v>
      </c>
      <c r="C219">
        <v>3577</v>
      </c>
      <c r="D219">
        <v>2422</v>
      </c>
      <c r="E219" s="7" t="str">
        <f t="shared" si="43"/>
        <v>309</v>
      </c>
      <c r="F219" s="7" t="str">
        <f t="shared" si="44"/>
        <v>DF9</v>
      </c>
      <c r="G219" s="7" t="str">
        <f t="shared" si="45"/>
        <v>976</v>
      </c>
      <c r="H219" s="7">
        <f t="shared" si="53"/>
        <v>0</v>
      </c>
      <c r="I219" s="7">
        <f t="shared" si="54"/>
        <v>0</v>
      </c>
      <c r="J219" s="7">
        <f t="shared" si="55"/>
        <v>0</v>
      </c>
      <c r="K219" s="7">
        <f t="shared" si="51"/>
        <v>0</v>
      </c>
      <c r="L219" s="192">
        <f t="shared" si="46"/>
        <v>4</v>
      </c>
      <c r="M219" s="192">
        <f t="shared" si="47"/>
        <v>2</v>
      </c>
      <c r="N219" s="192">
        <f t="shared" si="48"/>
        <v>0</v>
      </c>
      <c r="O219" s="192">
        <f t="shared" si="49"/>
        <v>6</v>
      </c>
      <c r="P219" s="197">
        <f t="shared" si="52"/>
        <v>0</v>
      </c>
    </row>
    <row r="220" spans="1:16" hidden="1">
      <c r="A220" s="7">
        <f t="shared" si="50"/>
        <v>2180</v>
      </c>
      <c r="B220">
        <v>777</v>
      </c>
      <c r="C220">
        <v>3577</v>
      </c>
      <c r="D220">
        <v>2422</v>
      </c>
      <c r="E220" s="7" t="str">
        <f t="shared" si="43"/>
        <v>309</v>
      </c>
      <c r="F220" s="7" t="str">
        <f t="shared" si="44"/>
        <v>DF9</v>
      </c>
      <c r="G220" s="7" t="str">
        <f t="shared" si="45"/>
        <v>976</v>
      </c>
      <c r="H220" s="7">
        <f t="shared" si="53"/>
        <v>0</v>
      </c>
      <c r="I220" s="7">
        <f t="shared" si="54"/>
        <v>0</v>
      </c>
      <c r="J220" s="7">
        <f t="shared" si="55"/>
        <v>0</v>
      </c>
      <c r="K220" s="7">
        <f t="shared" si="51"/>
        <v>0</v>
      </c>
      <c r="L220" s="192">
        <f t="shared" si="46"/>
        <v>4</v>
      </c>
      <c r="M220" s="192">
        <f t="shared" si="47"/>
        <v>2</v>
      </c>
      <c r="N220" s="192">
        <f t="shared" si="48"/>
        <v>0</v>
      </c>
      <c r="O220" s="192">
        <f t="shared" si="49"/>
        <v>6</v>
      </c>
      <c r="P220" s="197">
        <f t="shared" si="52"/>
        <v>0</v>
      </c>
    </row>
    <row r="221" spans="1:16" hidden="1">
      <c r="A221" s="7">
        <f t="shared" si="50"/>
        <v>2190</v>
      </c>
      <c r="B221">
        <v>777</v>
      </c>
      <c r="C221">
        <v>3577</v>
      </c>
      <c r="D221">
        <v>2422</v>
      </c>
      <c r="E221" s="7" t="str">
        <f t="shared" si="43"/>
        <v>309</v>
      </c>
      <c r="F221" s="7" t="str">
        <f t="shared" si="44"/>
        <v>DF9</v>
      </c>
      <c r="G221" s="7" t="str">
        <f t="shared" si="45"/>
        <v>976</v>
      </c>
      <c r="H221" s="7">
        <f t="shared" si="53"/>
        <v>0</v>
      </c>
      <c r="I221" s="7">
        <f t="shared" si="54"/>
        <v>0</v>
      </c>
      <c r="J221" s="7">
        <f t="shared" si="55"/>
        <v>0</v>
      </c>
      <c r="K221" s="7">
        <f t="shared" si="51"/>
        <v>0</v>
      </c>
      <c r="L221" s="192">
        <f t="shared" si="46"/>
        <v>4</v>
      </c>
      <c r="M221" s="192">
        <f t="shared" si="47"/>
        <v>2</v>
      </c>
      <c r="N221" s="192">
        <f t="shared" si="48"/>
        <v>0</v>
      </c>
      <c r="O221" s="192">
        <f t="shared" si="49"/>
        <v>6</v>
      </c>
      <c r="P221" s="197">
        <f t="shared" si="52"/>
        <v>0</v>
      </c>
    </row>
    <row r="222" spans="1:16" hidden="1">
      <c r="A222" s="7">
        <f t="shared" si="50"/>
        <v>2200</v>
      </c>
      <c r="B222">
        <v>777</v>
      </c>
      <c r="C222">
        <v>3575</v>
      </c>
      <c r="D222">
        <v>2422</v>
      </c>
      <c r="E222" s="7" t="str">
        <f t="shared" si="43"/>
        <v>309</v>
      </c>
      <c r="F222" s="7" t="str">
        <f t="shared" si="44"/>
        <v>DF7</v>
      </c>
      <c r="G222" s="7" t="str">
        <f t="shared" si="45"/>
        <v>976</v>
      </c>
      <c r="H222" s="7">
        <f t="shared" si="53"/>
        <v>0</v>
      </c>
      <c r="I222" s="7">
        <f t="shared" si="54"/>
        <v>1</v>
      </c>
      <c r="J222" s="7">
        <f t="shared" si="55"/>
        <v>0</v>
      </c>
      <c r="K222" s="7">
        <f t="shared" si="51"/>
        <v>1</v>
      </c>
      <c r="L222" s="192">
        <f t="shared" si="46"/>
        <v>4</v>
      </c>
      <c r="M222" s="192">
        <f t="shared" si="47"/>
        <v>3</v>
      </c>
      <c r="N222" s="192">
        <f t="shared" si="48"/>
        <v>0</v>
      </c>
      <c r="O222" s="192">
        <f t="shared" si="49"/>
        <v>7</v>
      </c>
      <c r="P222" s="197">
        <f t="shared" si="52"/>
        <v>0</v>
      </c>
    </row>
    <row r="223" spans="1:16" hidden="1">
      <c r="A223" s="7">
        <f t="shared" si="50"/>
        <v>2210</v>
      </c>
      <c r="B223">
        <v>778</v>
      </c>
      <c r="C223">
        <v>3575</v>
      </c>
      <c r="D223">
        <v>2422</v>
      </c>
      <c r="E223" s="7" t="str">
        <f t="shared" si="43"/>
        <v>30A</v>
      </c>
      <c r="F223" s="7" t="str">
        <f t="shared" si="44"/>
        <v>DF7</v>
      </c>
      <c r="G223" s="7" t="str">
        <f t="shared" si="45"/>
        <v>976</v>
      </c>
      <c r="H223" s="7">
        <f t="shared" si="53"/>
        <v>1</v>
      </c>
      <c r="I223" s="7">
        <f t="shared" si="54"/>
        <v>1</v>
      </c>
      <c r="J223" s="7">
        <f t="shared" si="55"/>
        <v>0</v>
      </c>
      <c r="K223" s="7">
        <f t="shared" si="51"/>
        <v>0</v>
      </c>
      <c r="L223" s="192">
        <f t="shared" si="46"/>
        <v>5</v>
      </c>
      <c r="M223" s="192">
        <f t="shared" si="47"/>
        <v>3</v>
      </c>
      <c r="N223" s="192">
        <f t="shared" si="48"/>
        <v>0</v>
      </c>
      <c r="O223" s="192">
        <f t="shared" si="49"/>
        <v>6</v>
      </c>
      <c r="P223" s="197">
        <f t="shared" si="52"/>
        <v>0</v>
      </c>
    </row>
    <row r="224" spans="1:16" hidden="1">
      <c r="A224" s="7">
        <f t="shared" si="50"/>
        <v>2220</v>
      </c>
      <c r="B224">
        <v>778</v>
      </c>
      <c r="C224">
        <v>3575</v>
      </c>
      <c r="D224">
        <v>2422</v>
      </c>
      <c r="E224" s="7" t="str">
        <f t="shared" si="43"/>
        <v>30A</v>
      </c>
      <c r="F224" s="7" t="str">
        <f t="shared" si="44"/>
        <v>DF7</v>
      </c>
      <c r="G224" s="7" t="str">
        <f t="shared" si="45"/>
        <v>976</v>
      </c>
      <c r="H224" s="7">
        <f t="shared" si="53"/>
        <v>1</v>
      </c>
      <c r="I224" s="7">
        <f t="shared" si="54"/>
        <v>1</v>
      </c>
      <c r="J224" s="7">
        <f t="shared" si="55"/>
        <v>0</v>
      </c>
      <c r="K224" s="7">
        <f t="shared" si="51"/>
        <v>0</v>
      </c>
      <c r="L224" s="192">
        <f t="shared" si="46"/>
        <v>5</v>
      </c>
      <c r="M224" s="192">
        <f t="shared" si="47"/>
        <v>3</v>
      </c>
      <c r="N224" s="192">
        <f t="shared" si="48"/>
        <v>0</v>
      </c>
      <c r="O224" s="192">
        <f t="shared" si="49"/>
        <v>6</v>
      </c>
      <c r="P224" s="197">
        <f t="shared" si="52"/>
        <v>0</v>
      </c>
    </row>
    <row r="225" spans="1:16" hidden="1">
      <c r="A225" s="7">
        <f t="shared" si="50"/>
        <v>2230</v>
      </c>
      <c r="B225">
        <v>778</v>
      </c>
      <c r="C225">
        <v>3575</v>
      </c>
      <c r="D225">
        <v>2421</v>
      </c>
      <c r="E225" s="7" t="str">
        <f t="shared" si="43"/>
        <v>30A</v>
      </c>
      <c r="F225" s="7" t="str">
        <f t="shared" si="44"/>
        <v>DF7</v>
      </c>
      <c r="G225" s="7" t="str">
        <f t="shared" si="45"/>
        <v>975</v>
      </c>
      <c r="H225" s="7">
        <f t="shared" si="53"/>
        <v>1</v>
      </c>
      <c r="I225" s="7">
        <f t="shared" si="54"/>
        <v>1</v>
      </c>
      <c r="J225" s="7">
        <f t="shared" si="55"/>
        <v>1</v>
      </c>
      <c r="K225" s="7">
        <f t="shared" si="51"/>
        <v>1</v>
      </c>
      <c r="L225" s="192">
        <f t="shared" si="46"/>
        <v>5</v>
      </c>
      <c r="M225" s="192">
        <f t="shared" si="47"/>
        <v>3</v>
      </c>
      <c r="N225" s="192">
        <f t="shared" si="48"/>
        <v>1</v>
      </c>
      <c r="O225" s="192">
        <f t="shared" si="49"/>
        <v>7</v>
      </c>
      <c r="P225" s="197">
        <f t="shared" si="52"/>
        <v>0</v>
      </c>
    </row>
    <row r="226" spans="1:16" hidden="1">
      <c r="A226" s="7">
        <f t="shared" si="50"/>
        <v>2240</v>
      </c>
      <c r="B226">
        <v>778</v>
      </c>
      <c r="C226">
        <v>3575</v>
      </c>
      <c r="D226">
        <v>2421</v>
      </c>
      <c r="E226" s="7" t="str">
        <f t="shared" si="43"/>
        <v>30A</v>
      </c>
      <c r="F226" s="7" t="str">
        <f t="shared" si="44"/>
        <v>DF7</v>
      </c>
      <c r="G226" s="7" t="str">
        <f t="shared" si="45"/>
        <v>975</v>
      </c>
      <c r="H226" s="7">
        <f t="shared" si="53"/>
        <v>1</v>
      </c>
      <c r="I226" s="7">
        <f t="shared" si="54"/>
        <v>1</v>
      </c>
      <c r="J226" s="7">
        <f t="shared" si="55"/>
        <v>1</v>
      </c>
      <c r="K226" s="7">
        <f t="shared" si="51"/>
        <v>1</v>
      </c>
      <c r="L226" s="192">
        <f t="shared" si="46"/>
        <v>5</v>
      </c>
      <c r="M226" s="192">
        <f t="shared" si="47"/>
        <v>3</v>
      </c>
      <c r="N226" s="192">
        <f t="shared" si="48"/>
        <v>1</v>
      </c>
      <c r="O226" s="192">
        <f t="shared" si="49"/>
        <v>7</v>
      </c>
      <c r="P226" s="197">
        <f t="shared" si="52"/>
        <v>0</v>
      </c>
    </row>
    <row r="227" spans="1:16" hidden="1">
      <c r="A227" s="7">
        <f t="shared" si="50"/>
        <v>2250</v>
      </c>
      <c r="B227">
        <v>778</v>
      </c>
      <c r="C227">
        <v>3576</v>
      </c>
      <c r="D227">
        <v>2421</v>
      </c>
      <c r="E227" s="7" t="str">
        <f t="shared" si="43"/>
        <v>30A</v>
      </c>
      <c r="F227" s="7" t="str">
        <f t="shared" si="44"/>
        <v>DF8</v>
      </c>
      <c r="G227" s="7" t="str">
        <f t="shared" si="45"/>
        <v>975</v>
      </c>
      <c r="H227" s="7">
        <f t="shared" si="53"/>
        <v>1</v>
      </c>
      <c r="I227" s="7">
        <f t="shared" si="54"/>
        <v>0</v>
      </c>
      <c r="J227" s="7">
        <f t="shared" si="55"/>
        <v>1</v>
      </c>
      <c r="K227" s="7">
        <f t="shared" si="51"/>
        <v>0</v>
      </c>
      <c r="L227" s="192">
        <f t="shared" si="46"/>
        <v>5</v>
      </c>
      <c r="M227" s="192">
        <f t="shared" si="47"/>
        <v>2</v>
      </c>
      <c r="N227" s="192">
        <f t="shared" si="48"/>
        <v>1</v>
      </c>
      <c r="O227" s="192">
        <f t="shared" si="49"/>
        <v>6</v>
      </c>
      <c r="P227" s="197">
        <f t="shared" si="52"/>
        <v>0</v>
      </c>
    </row>
    <row r="228" spans="1:16" hidden="1">
      <c r="A228" s="7">
        <f t="shared" si="50"/>
        <v>2260</v>
      </c>
      <c r="B228">
        <v>778</v>
      </c>
      <c r="C228">
        <v>3576</v>
      </c>
      <c r="D228">
        <v>2421</v>
      </c>
      <c r="E228" s="7" t="str">
        <f t="shared" si="43"/>
        <v>30A</v>
      </c>
      <c r="F228" s="7" t="str">
        <f t="shared" si="44"/>
        <v>DF8</v>
      </c>
      <c r="G228" s="7" t="str">
        <f t="shared" si="45"/>
        <v>975</v>
      </c>
      <c r="H228" s="7">
        <f t="shared" si="53"/>
        <v>1</v>
      </c>
      <c r="I228" s="7">
        <f t="shared" si="54"/>
        <v>0</v>
      </c>
      <c r="J228" s="7">
        <f t="shared" si="55"/>
        <v>1</v>
      </c>
      <c r="K228" s="7">
        <f t="shared" si="51"/>
        <v>0</v>
      </c>
      <c r="L228" s="192">
        <f t="shared" si="46"/>
        <v>5</v>
      </c>
      <c r="M228" s="192">
        <f t="shared" si="47"/>
        <v>2</v>
      </c>
      <c r="N228" s="192">
        <f t="shared" si="48"/>
        <v>1</v>
      </c>
      <c r="O228" s="192">
        <f t="shared" si="49"/>
        <v>6</v>
      </c>
      <c r="P228" s="197">
        <f t="shared" si="52"/>
        <v>0</v>
      </c>
    </row>
    <row r="229" spans="1:16" hidden="1">
      <c r="A229" s="7">
        <f t="shared" si="50"/>
        <v>2270</v>
      </c>
      <c r="B229">
        <v>778</v>
      </c>
      <c r="C229">
        <v>3576</v>
      </c>
      <c r="D229">
        <v>2421</v>
      </c>
      <c r="E229" s="7" t="str">
        <f t="shared" si="43"/>
        <v>30A</v>
      </c>
      <c r="F229" s="7" t="str">
        <f t="shared" si="44"/>
        <v>DF8</v>
      </c>
      <c r="G229" s="7" t="str">
        <f t="shared" si="45"/>
        <v>975</v>
      </c>
      <c r="H229" s="7">
        <f t="shared" si="53"/>
        <v>1</v>
      </c>
      <c r="I229" s="7">
        <f t="shared" si="54"/>
        <v>0</v>
      </c>
      <c r="J229" s="7">
        <f t="shared" si="55"/>
        <v>1</v>
      </c>
      <c r="K229" s="7">
        <f t="shared" si="51"/>
        <v>0</v>
      </c>
      <c r="L229" s="192">
        <f t="shared" si="46"/>
        <v>5</v>
      </c>
      <c r="M229" s="192">
        <f t="shared" si="47"/>
        <v>2</v>
      </c>
      <c r="N229" s="192">
        <f t="shared" si="48"/>
        <v>1</v>
      </c>
      <c r="O229" s="192">
        <f t="shared" si="49"/>
        <v>6</v>
      </c>
      <c r="P229" s="197">
        <f t="shared" si="52"/>
        <v>0</v>
      </c>
    </row>
    <row r="230" spans="1:16" hidden="1">
      <c r="A230" s="7">
        <f t="shared" si="50"/>
        <v>2280</v>
      </c>
      <c r="B230">
        <v>778</v>
      </c>
      <c r="C230">
        <v>3576</v>
      </c>
      <c r="D230">
        <v>2422</v>
      </c>
      <c r="E230" s="7" t="str">
        <f t="shared" si="43"/>
        <v>30A</v>
      </c>
      <c r="F230" s="7" t="str">
        <f t="shared" si="44"/>
        <v>DF8</v>
      </c>
      <c r="G230" s="7" t="str">
        <f t="shared" si="45"/>
        <v>976</v>
      </c>
      <c r="H230" s="7">
        <f t="shared" si="53"/>
        <v>1</v>
      </c>
      <c r="I230" s="7">
        <f t="shared" si="54"/>
        <v>0</v>
      </c>
      <c r="J230" s="7">
        <f t="shared" si="55"/>
        <v>0</v>
      </c>
      <c r="K230" s="7">
        <f t="shared" si="51"/>
        <v>1</v>
      </c>
      <c r="L230" s="192">
        <f t="shared" si="46"/>
        <v>5</v>
      </c>
      <c r="M230" s="192">
        <f t="shared" si="47"/>
        <v>2</v>
      </c>
      <c r="N230" s="192">
        <f t="shared" si="48"/>
        <v>0</v>
      </c>
      <c r="O230" s="192">
        <f t="shared" si="49"/>
        <v>7</v>
      </c>
      <c r="P230" s="197">
        <f t="shared" si="52"/>
        <v>0</v>
      </c>
    </row>
    <row r="231" spans="1:16" hidden="1">
      <c r="A231" s="7">
        <f t="shared" si="50"/>
        <v>2290</v>
      </c>
      <c r="B231">
        <v>778</v>
      </c>
      <c r="C231">
        <v>3576</v>
      </c>
      <c r="D231">
        <v>2422</v>
      </c>
      <c r="E231" s="7" t="str">
        <f t="shared" si="43"/>
        <v>30A</v>
      </c>
      <c r="F231" s="7" t="str">
        <f t="shared" si="44"/>
        <v>DF8</v>
      </c>
      <c r="G231" s="7" t="str">
        <f t="shared" si="45"/>
        <v>976</v>
      </c>
      <c r="H231" s="7">
        <f t="shared" si="53"/>
        <v>1</v>
      </c>
      <c r="I231" s="7">
        <f t="shared" si="54"/>
        <v>0</v>
      </c>
      <c r="J231" s="7">
        <f t="shared" si="55"/>
        <v>0</v>
      </c>
      <c r="K231" s="7">
        <f t="shared" si="51"/>
        <v>1</v>
      </c>
      <c r="L231" s="192">
        <f t="shared" si="46"/>
        <v>5</v>
      </c>
      <c r="M231" s="192">
        <f t="shared" si="47"/>
        <v>2</v>
      </c>
      <c r="N231" s="192">
        <f t="shared" si="48"/>
        <v>0</v>
      </c>
      <c r="O231" s="192">
        <f t="shared" si="49"/>
        <v>7</v>
      </c>
      <c r="P231" s="197">
        <f t="shared" si="52"/>
        <v>0</v>
      </c>
    </row>
    <row r="232" spans="1:16" hidden="1">
      <c r="A232" s="7">
        <f t="shared" si="50"/>
        <v>2300</v>
      </c>
      <c r="B232">
        <v>778</v>
      </c>
      <c r="C232">
        <v>3576</v>
      </c>
      <c r="D232">
        <v>2422</v>
      </c>
      <c r="E232" s="7" t="str">
        <f t="shared" si="43"/>
        <v>30A</v>
      </c>
      <c r="F232" s="7" t="str">
        <f t="shared" si="44"/>
        <v>DF8</v>
      </c>
      <c r="G232" s="7" t="str">
        <f t="shared" si="45"/>
        <v>976</v>
      </c>
      <c r="H232" s="7">
        <f t="shared" si="53"/>
        <v>1</v>
      </c>
      <c r="I232" s="7">
        <f t="shared" si="54"/>
        <v>0</v>
      </c>
      <c r="J232" s="7">
        <f t="shared" si="55"/>
        <v>0</v>
      </c>
      <c r="K232" s="7">
        <f t="shared" si="51"/>
        <v>1</v>
      </c>
      <c r="L232" s="192">
        <f t="shared" si="46"/>
        <v>5</v>
      </c>
      <c r="M232" s="192">
        <f t="shared" si="47"/>
        <v>2</v>
      </c>
      <c r="N232" s="192">
        <f t="shared" si="48"/>
        <v>0</v>
      </c>
      <c r="O232" s="192">
        <f t="shared" si="49"/>
        <v>7</v>
      </c>
      <c r="P232" s="197">
        <f t="shared" si="52"/>
        <v>0</v>
      </c>
    </row>
    <row r="233" spans="1:16" hidden="1">
      <c r="A233" s="7">
        <f t="shared" si="50"/>
        <v>2310</v>
      </c>
      <c r="B233">
        <v>778</v>
      </c>
      <c r="C233">
        <v>3576</v>
      </c>
      <c r="D233">
        <v>2422</v>
      </c>
      <c r="E233" s="7" t="str">
        <f t="shared" si="43"/>
        <v>30A</v>
      </c>
      <c r="F233" s="7" t="str">
        <f t="shared" si="44"/>
        <v>DF8</v>
      </c>
      <c r="G233" s="7" t="str">
        <f t="shared" si="45"/>
        <v>976</v>
      </c>
      <c r="H233" s="7">
        <f t="shared" si="53"/>
        <v>1</v>
      </c>
      <c r="I233" s="7">
        <f t="shared" si="54"/>
        <v>0</v>
      </c>
      <c r="J233" s="7">
        <f t="shared" si="55"/>
        <v>0</v>
      </c>
      <c r="K233" s="7">
        <f t="shared" si="51"/>
        <v>1</v>
      </c>
      <c r="L233" s="192">
        <f t="shared" si="46"/>
        <v>5</v>
      </c>
      <c r="M233" s="192">
        <f t="shared" si="47"/>
        <v>2</v>
      </c>
      <c r="N233" s="192">
        <f t="shared" si="48"/>
        <v>0</v>
      </c>
      <c r="O233" s="192">
        <f t="shared" si="49"/>
        <v>7</v>
      </c>
      <c r="P233" s="197">
        <f t="shared" si="52"/>
        <v>0</v>
      </c>
    </row>
    <row r="234" spans="1:16" hidden="1">
      <c r="A234" s="7">
        <f t="shared" si="50"/>
        <v>2320</v>
      </c>
      <c r="B234">
        <v>778</v>
      </c>
      <c r="C234">
        <v>3576</v>
      </c>
      <c r="D234">
        <v>2422</v>
      </c>
      <c r="E234" s="7" t="str">
        <f t="shared" si="43"/>
        <v>30A</v>
      </c>
      <c r="F234" s="7" t="str">
        <f t="shared" si="44"/>
        <v>DF8</v>
      </c>
      <c r="G234" s="7" t="str">
        <f t="shared" si="45"/>
        <v>976</v>
      </c>
      <c r="H234" s="7">
        <f t="shared" si="53"/>
        <v>1</v>
      </c>
      <c r="I234" s="7">
        <f t="shared" si="54"/>
        <v>0</v>
      </c>
      <c r="J234" s="7">
        <f t="shared" si="55"/>
        <v>0</v>
      </c>
      <c r="K234" s="7">
        <f t="shared" si="51"/>
        <v>1</v>
      </c>
      <c r="L234" s="192">
        <f t="shared" si="46"/>
        <v>5</v>
      </c>
      <c r="M234" s="192">
        <f t="shared" si="47"/>
        <v>2</v>
      </c>
      <c r="N234" s="192">
        <f t="shared" si="48"/>
        <v>0</v>
      </c>
      <c r="O234" s="192">
        <f t="shared" si="49"/>
        <v>7</v>
      </c>
      <c r="P234" s="197">
        <f t="shared" si="52"/>
        <v>0</v>
      </c>
    </row>
    <row r="235" spans="1:16" hidden="1">
      <c r="A235" s="7">
        <f t="shared" si="50"/>
        <v>2330</v>
      </c>
      <c r="B235">
        <v>778</v>
      </c>
      <c r="C235">
        <v>3576</v>
      </c>
      <c r="D235">
        <v>2421</v>
      </c>
      <c r="E235" s="7" t="str">
        <f t="shared" si="43"/>
        <v>30A</v>
      </c>
      <c r="F235" s="7" t="str">
        <f t="shared" si="44"/>
        <v>DF8</v>
      </c>
      <c r="G235" s="7" t="str">
        <f t="shared" si="45"/>
        <v>975</v>
      </c>
      <c r="H235" s="7">
        <f t="shared" si="53"/>
        <v>1</v>
      </c>
      <c r="I235" s="7">
        <f t="shared" si="54"/>
        <v>0</v>
      </c>
      <c r="J235" s="7">
        <f t="shared" si="55"/>
        <v>1</v>
      </c>
      <c r="K235" s="7">
        <f t="shared" si="51"/>
        <v>0</v>
      </c>
      <c r="L235" s="192">
        <f t="shared" si="46"/>
        <v>5</v>
      </c>
      <c r="M235" s="192">
        <f t="shared" si="47"/>
        <v>2</v>
      </c>
      <c r="N235" s="192">
        <f t="shared" si="48"/>
        <v>1</v>
      </c>
      <c r="O235" s="192">
        <f t="shared" si="49"/>
        <v>6</v>
      </c>
      <c r="P235" s="197">
        <f t="shared" si="52"/>
        <v>0</v>
      </c>
    </row>
    <row r="236" spans="1:16" hidden="1">
      <c r="A236" s="7">
        <f t="shared" si="50"/>
        <v>2340</v>
      </c>
      <c r="B236">
        <v>778</v>
      </c>
      <c r="C236">
        <v>3576</v>
      </c>
      <c r="D236">
        <v>2421</v>
      </c>
      <c r="E236" s="7" t="str">
        <f t="shared" si="43"/>
        <v>30A</v>
      </c>
      <c r="F236" s="7" t="str">
        <f t="shared" si="44"/>
        <v>DF8</v>
      </c>
      <c r="G236" s="7" t="str">
        <f t="shared" si="45"/>
        <v>975</v>
      </c>
      <c r="H236" s="7">
        <f t="shared" si="53"/>
        <v>1</v>
      </c>
      <c r="I236" s="7">
        <f t="shared" si="54"/>
        <v>0</v>
      </c>
      <c r="J236" s="7">
        <f t="shared" si="55"/>
        <v>1</v>
      </c>
      <c r="K236" s="7">
        <f t="shared" si="51"/>
        <v>0</v>
      </c>
      <c r="L236" s="192">
        <f t="shared" si="46"/>
        <v>5</v>
      </c>
      <c r="M236" s="192">
        <f t="shared" si="47"/>
        <v>2</v>
      </c>
      <c r="N236" s="192">
        <f t="shared" si="48"/>
        <v>1</v>
      </c>
      <c r="O236" s="192">
        <f t="shared" si="49"/>
        <v>6</v>
      </c>
      <c r="P236" s="197">
        <f t="shared" si="52"/>
        <v>0</v>
      </c>
    </row>
    <row r="237" spans="1:16" hidden="1">
      <c r="A237" s="7">
        <f t="shared" si="50"/>
        <v>2350</v>
      </c>
      <c r="B237">
        <v>778</v>
      </c>
      <c r="C237">
        <v>3576</v>
      </c>
      <c r="D237">
        <v>2421</v>
      </c>
      <c r="E237" s="7" t="str">
        <f t="shared" si="43"/>
        <v>30A</v>
      </c>
      <c r="F237" s="7" t="str">
        <f t="shared" si="44"/>
        <v>DF8</v>
      </c>
      <c r="G237" s="7" t="str">
        <f t="shared" si="45"/>
        <v>975</v>
      </c>
      <c r="H237" s="7">
        <f t="shared" si="53"/>
        <v>1</v>
      </c>
      <c r="I237" s="7">
        <f t="shared" si="54"/>
        <v>0</v>
      </c>
      <c r="J237" s="7">
        <f t="shared" si="55"/>
        <v>1</v>
      </c>
      <c r="K237" s="7">
        <f t="shared" si="51"/>
        <v>0</v>
      </c>
      <c r="L237" s="192">
        <f t="shared" si="46"/>
        <v>5</v>
      </c>
      <c r="M237" s="192">
        <f t="shared" si="47"/>
        <v>2</v>
      </c>
      <c r="N237" s="192">
        <f t="shared" si="48"/>
        <v>1</v>
      </c>
      <c r="O237" s="192">
        <f t="shared" si="49"/>
        <v>6</v>
      </c>
      <c r="P237" s="197">
        <f t="shared" si="52"/>
        <v>0</v>
      </c>
    </row>
    <row r="238" spans="1:16" hidden="1">
      <c r="A238" s="7">
        <f t="shared" si="50"/>
        <v>2360</v>
      </c>
      <c r="B238">
        <v>778</v>
      </c>
      <c r="C238">
        <v>3576</v>
      </c>
      <c r="D238">
        <v>2421</v>
      </c>
      <c r="E238" s="7" t="str">
        <f t="shared" si="43"/>
        <v>30A</v>
      </c>
      <c r="F238" s="7" t="str">
        <f t="shared" si="44"/>
        <v>DF8</v>
      </c>
      <c r="G238" s="7" t="str">
        <f t="shared" si="45"/>
        <v>975</v>
      </c>
      <c r="H238" s="7">
        <f t="shared" si="53"/>
        <v>1</v>
      </c>
      <c r="I238" s="7">
        <f t="shared" si="54"/>
        <v>0</v>
      </c>
      <c r="J238" s="7">
        <f t="shared" si="55"/>
        <v>1</v>
      </c>
      <c r="K238" s="7">
        <f t="shared" si="51"/>
        <v>0</v>
      </c>
      <c r="L238" s="192">
        <f t="shared" si="46"/>
        <v>5</v>
      </c>
      <c r="M238" s="192">
        <f t="shared" si="47"/>
        <v>2</v>
      </c>
      <c r="N238" s="192">
        <f t="shared" si="48"/>
        <v>1</v>
      </c>
      <c r="O238" s="192">
        <f t="shared" si="49"/>
        <v>6</v>
      </c>
      <c r="P238" s="197">
        <f t="shared" si="52"/>
        <v>0</v>
      </c>
    </row>
    <row r="239" spans="1:16" hidden="1">
      <c r="A239" s="7">
        <f t="shared" si="50"/>
        <v>2370</v>
      </c>
      <c r="B239">
        <v>778</v>
      </c>
      <c r="C239">
        <v>3576</v>
      </c>
      <c r="D239">
        <v>2421</v>
      </c>
      <c r="E239" s="7" t="str">
        <f t="shared" si="43"/>
        <v>30A</v>
      </c>
      <c r="F239" s="7" t="str">
        <f t="shared" si="44"/>
        <v>DF8</v>
      </c>
      <c r="G239" s="7" t="str">
        <f t="shared" si="45"/>
        <v>975</v>
      </c>
      <c r="H239" s="7">
        <f t="shared" si="53"/>
        <v>1</v>
      </c>
      <c r="I239" s="7">
        <f t="shared" si="54"/>
        <v>0</v>
      </c>
      <c r="J239" s="7">
        <f t="shared" si="55"/>
        <v>1</v>
      </c>
      <c r="K239" s="7">
        <f t="shared" si="51"/>
        <v>0</v>
      </c>
      <c r="L239" s="192">
        <f t="shared" si="46"/>
        <v>5</v>
      </c>
      <c r="M239" s="192">
        <f t="shared" si="47"/>
        <v>2</v>
      </c>
      <c r="N239" s="192">
        <f t="shared" si="48"/>
        <v>1</v>
      </c>
      <c r="O239" s="192">
        <f t="shared" si="49"/>
        <v>6</v>
      </c>
      <c r="P239" s="197">
        <f t="shared" si="52"/>
        <v>0</v>
      </c>
    </row>
    <row r="240" spans="1:16" hidden="1">
      <c r="A240" s="7">
        <f t="shared" si="50"/>
        <v>2380</v>
      </c>
      <c r="B240">
        <v>778</v>
      </c>
      <c r="C240">
        <v>3576</v>
      </c>
      <c r="D240">
        <v>2420</v>
      </c>
      <c r="E240" s="7" t="str">
        <f t="shared" si="43"/>
        <v>30A</v>
      </c>
      <c r="F240" s="7" t="str">
        <f t="shared" si="44"/>
        <v>DF8</v>
      </c>
      <c r="G240" s="7" t="str">
        <f t="shared" si="45"/>
        <v>974</v>
      </c>
      <c r="H240" s="7">
        <f t="shared" si="53"/>
        <v>1</v>
      </c>
      <c r="I240" s="7">
        <f t="shared" si="54"/>
        <v>0</v>
      </c>
      <c r="J240" s="7">
        <f t="shared" si="55"/>
        <v>0</v>
      </c>
      <c r="K240" s="7">
        <f t="shared" si="51"/>
        <v>1</v>
      </c>
      <c r="L240" s="192">
        <f t="shared" si="46"/>
        <v>5</v>
      </c>
      <c r="M240" s="192">
        <f t="shared" si="47"/>
        <v>2</v>
      </c>
      <c r="N240" s="192">
        <f t="shared" si="48"/>
        <v>0</v>
      </c>
      <c r="O240" s="192">
        <f t="shared" si="49"/>
        <v>7</v>
      </c>
      <c r="P240" s="197">
        <f t="shared" si="52"/>
        <v>0</v>
      </c>
    </row>
    <row r="241" spans="1:16" hidden="1">
      <c r="A241" s="7">
        <f t="shared" si="50"/>
        <v>2390</v>
      </c>
      <c r="B241">
        <v>778</v>
      </c>
      <c r="C241">
        <v>3576</v>
      </c>
      <c r="D241">
        <v>2420</v>
      </c>
      <c r="E241" s="7" t="str">
        <f t="shared" si="43"/>
        <v>30A</v>
      </c>
      <c r="F241" s="7" t="str">
        <f t="shared" si="44"/>
        <v>DF8</v>
      </c>
      <c r="G241" s="7" t="str">
        <f t="shared" si="45"/>
        <v>974</v>
      </c>
      <c r="H241" s="7">
        <f t="shared" si="53"/>
        <v>1</v>
      </c>
      <c r="I241" s="7">
        <f t="shared" si="54"/>
        <v>0</v>
      </c>
      <c r="J241" s="7">
        <f t="shared" si="55"/>
        <v>0</v>
      </c>
      <c r="K241" s="7">
        <f t="shared" si="51"/>
        <v>1</v>
      </c>
      <c r="L241" s="192">
        <f t="shared" si="46"/>
        <v>5</v>
      </c>
      <c r="M241" s="192">
        <f t="shared" si="47"/>
        <v>2</v>
      </c>
      <c r="N241" s="192">
        <f t="shared" si="48"/>
        <v>0</v>
      </c>
      <c r="O241" s="192">
        <f t="shared" si="49"/>
        <v>7</v>
      </c>
      <c r="P241" s="197">
        <f t="shared" si="52"/>
        <v>0</v>
      </c>
    </row>
    <row r="242" spans="1:16" hidden="1">
      <c r="A242" s="7">
        <f t="shared" si="50"/>
        <v>2400</v>
      </c>
      <c r="B242">
        <v>778</v>
      </c>
      <c r="C242">
        <v>3576</v>
      </c>
      <c r="D242">
        <v>2420</v>
      </c>
      <c r="E242" s="7" t="str">
        <f t="shared" si="43"/>
        <v>30A</v>
      </c>
      <c r="F242" s="7" t="str">
        <f t="shared" si="44"/>
        <v>DF8</v>
      </c>
      <c r="G242" s="7" t="str">
        <f t="shared" si="45"/>
        <v>974</v>
      </c>
      <c r="H242" s="7">
        <f t="shared" si="53"/>
        <v>1</v>
      </c>
      <c r="I242" s="7">
        <f t="shared" si="54"/>
        <v>0</v>
      </c>
      <c r="J242" s="7">
        <f t="shared" si="55"/>
        <v>0</v>
      </c>
      <c r="K242" s="7">
        <f t="shared" si="51"/>
        <v>1</v>
      </c>
      <c r="L242" s="192">
        <f t="shared" si="46"/>
        <v>5</v>
      </c>
      <c r="M242" s="192">
        <f t="shared" si="47"/>
        <v>2</v>
      </c>
      <c r="N242" s="192">
        <f t="shared" si="48"/>
        <v>0</v>
      </c>
      <c r="O242" s="192">
        <f t="shared" si="49"/>
        <v>7</v>
      </c>
      <c r="P242" s="197">
        <f t="shared" si="52"/>
        <v>0</v>
      </c>
    </row>
    <row r="243" spans="1:16" hidden="1">
      <c r="A243" s="7">
        <f t="shared" si="50"/>
        <v>2410</v>
      </c>
      <c r="B243">
        <v>778</v>
      </c>
      <c r="C243">
        <v>3576</v>
      </c>
      <c r="D243">
        <v>2420</v>
      </c>
      <c r="E243" s="7" t="str">
        <f t="shared" si="43"/>
        <v>30A</v>
      </c>
      <c r="F243" s="7" t="str">
        <f t="shared" si="44"/>
        <v>DF8</v>
      </c>
      <c r="G243" s="7" t="str">
        <f t="shared" si="45"/>
        <v>974</v>
      </c>
      <c r="H243" s="7">
        <f t="shared" si="53"/>
        <v>1</v>
      </c>
      <c r="I243" s="7">
        <f t="shared" si="54"/>
        <v>0</v>
      </c>
      <c r="J243" s="7">
        <f t="shared" si="55"/>
        <v>0</v>
      </c>
      <c r="K243" s="7">
        <f t="shared" si="51"/>
        <v>1</v>
      </c>
      <c r="L243" s="192">
        <f t="shared" si="46"/>
        <v>5</v>
      </c>
      <c r="M243" s="192">
        <f t="shared" si="47"/>
        <v>2</v>
      </c>
      <c r="N243" s="192">
        <f t="shared" si="48"/>
        <v>0</v>
      </c>
      <c r="O243" s="192">
        <f t="shared" si="49"/>
        <v>7</v>
      </c>
      <c r="P243" s="197">
        <f t="shared" si="52"/>
        <v>0</v>
      </c>
    </row>
    <row r="244" spans="1:16" hidden="1">
      <c r="A244" s="7">
        <f t="shared" si="50"/>
        <v>2420</v>
      </c>
      <c r="B244">
        <v>778</v>
      </c>
      <c r="C244">
        <v>3578</v>
      </c>
      <c r="D244">
        <v>2420</v>
      </c>
      <c r="E244" s="7" t="str">
        <f t="shared" si="43"/>
        <v>30A</v>
      </c>
      <c r="F244" s="7" t="str">
        <f t="shared" si="44"/>
        <v>DFA</v>
      </c>
      <c r="G244" s="7" t="str">
        <f t="shared" si="45"/>
        <v>974</v>
      </c>
      <c r="H244" s="7">
        <f t="shared" si="53"/>
        <v>1</v>
      </c>
      <c r="I244" s="7">
        <f t="shared" si="54"/>
        <v>1</v>
      </c>
      <c r="J244" s="7">
        <f t="shared" si="55"/>
        <v>0</v>
      </c>
      <c r="K244" s="7">
        <f t="shared" si="51"/>
        <v>0</v>
      </c>
      <c r="L244" s="192">
        <f t="shared" si="46"/>
        <v>5</v>
      </c>
      <c r="M244" s="192">
        <f t="shared" si="47"/>
        <v>3</v>
      </c>
      <c r="N244" s="192">
        <f t="shared" si="48"/>
        <v>0</v>
      </c>
      <c r="O244" s="192">
        <f t="shared" si="49"/>
        <v>6</v>
      </c>
      <c r="P244" s="197">
        <f t="shared" si="52"/>
        <v>0</v>
      </c>
    </row>
    <row r="245" spans="1:16" hidden="1">
      <c r="A245" s="7">
        <f t="shared" si="50"/>
        <v>2430</v>
      </c>
      <c r="B245">
        <v>778</v>
      </c>
      <c r="C245">
        <v>3578</v>
      </c>
      <c r="D245">
        <v>2420</v>
      </c>
      <c r="E245" s="7" t="str">
        <f t="shared" si="43"/>
        <v>30A</v>
      </c>
      <c r="F245" s="7" t="str">
        <f t="shared" si="44"/>
        <v>DFA</v>
      </c>
      <c r="G245" s="7" t="str">
        <f t="shared" si="45"/>
        <v>974</v>
      </c>
      <c r="H245" s="7">
        <f t="shared" si="53"/>
        <v>1</v>
      </c>
      <c r="I245" s="7">
        <f t="shared" si="54"/>
        <v>1</v>
      </c>
      <c r="J245" s="7">
        <f t="shared" si="55"/>
        <v>0</v>
      </c>
      <c r="K245" s="7">
        <f t="shared" si="51"/>
        <v>0</v>
      </c>
      <c r="L245" s="192">
        <f t="shared" si="46"/>
        <v>5</v>
      </c>
      <c r="M245" s="192">
        <f t="shared" si="47"/>
        <v>3</v>
      </c>
      <c r="N245" s="192">
        <f t="shared" si="48"/>
        <v>0</v>
      </c>
      <c r="O245" s="192">
        <f t="shared" si="49"/>
        <v>6</v>
      </c>
      <c r="P245" s="197">
        <f t="shared" si="52"/>
        <v>0</v>
      </c>
    </row>
    <row r="246" spans="1:16" hidden="1">
      <c r="A246" s="7">
        <f t="shared" si="50"/>
        <v>2440</v>
      </c>
      <c r="B246">
        <v>777</v>
      </c>
      <c r="C246">
        <v>3578</v>
      </c>
      <c r="D246">
        <v>2420</v>
      </c>
      <c r="E246" s="7" t="str">
        <f t="shared" si="43"/>
        <v>309</v>
      </c>
      <c r="F246" s="7" t="str">
        <f t="shared" si="44"/>
        <v>DFA</v>
      </c>
      <c r="G246" s="7" t="str">
        <f t="shared" si="45"/>
        <v>974</v>
      </c>
      <c r="H246" s="7">
        <f t="shared" si="53"/>
        <v>0</v>
      </c>
      <c r="I246" s="7">
        <f t="shared" si="54"/>
        <v>1</v>
      </c>
      <c r="J246" s="7">
        <f t="shared" si="55"/>
        <v>0</v>
      </c>
      <c r="K246" s="7">
        <f t="shared" si="51"/>
        <v>1</v>
      </c>
      <c r="L246" s="192">
        <f t="shared" si="46"/>
        <v>4</v>
      </c>
      <c r="M246" s="192">
        <f t="shared" si="47"/>
        <v>3</v>
      </c>
      <c r="N246" s="192">
        <f t="shared" si="48"/>
        <v>0</v>
      </c>
      <c r="O246" s="192">
        <f t="shared" si="49"/>
        <v>7</v>
      </c>
      <c r="P246" s="197">
        <f t="shared" si="52"/>
        <v>0</v>
      </c>
    </row>
    <row r="247" spans="1:16" hidden="1">
      <c r="A247" s="7">
        <f t="shared" si="50"/>
        <v>2450</v>
      </c>
      <c r="B247">
        <v>777</v>
      </c>
      <c r="C247">
        <v>3578</v>
      </c>
      <c r="D247">
        <v>2422</v>
      </c>
      <c r="E247" s="7" t="str">
        <f t="shared" si="43"/>
        <v>309</v>
      </c>
      <c r="F247" s="7" t="str">
        <f t="shared" si="44"/>
        <v>DFA</v>
      </c>
      <c r="G247" s="7" t="str">
        <f t="shared" si="45"/>
        <v>976</v>
      </c>
      <c r="H247" s="7">
        <f t="shared" si="53"/>
        <v>0</v>
      </c>
      <c r="I247" s="7">
        <f t="shared" si="54"/>
        <v>1</v>
      </c>
      <c r="J247" s="7">
        <f t="shared" si="55"/>
        <v>1</v>
      </c>
      <c r="K247" s="7">
        <f t="shared" si="51"/>
        <v>0</v>
      </c>
      <c r="L247" s="192">
        <f t="shared" si="46"/>
        <v>4</v>
      </c>
      <c r="M247" s="192">
        <f t="shared" si="47"/>
        <v>3</v>
      </c>
      <c r="N247" s="192">
        <f t="shared" si="48"/>
        <v>1</v>
      </c>
      <c r="O247" s="192">
        <f t="shared" si="49"/>
        <v>6</v>
      </c>
      <c r="P247" s="197">
        <f t="shared" si="52"/>
        <v>0</v>
      </c>
    </row>
    <row r="248" spans="1:16" hidden="1">
      <c r="A248" s="7">
        <f t="shared" si="50"/>
        <v>2460</v>
      </c>
      <c r="B248">
        <v>777</v>
      </c>
      <c r="C248">
        <v>3578</v>
      </c>
      <c r="D248">
        <v>2422</v>
      </c>
      <c r="E248" s="7" t="str">
        <f t="shared" si="43"/>
        <v>309</v>
      </c>
      <c r="F248" s="7" t="str">
        <f t="shared" si="44"/>
        <v>DFA</v>
      </c>
      <c r="G248" s="7" t="str">
        <f t="shared" si="45"/>
        <v>976</v>
      </c>
      <c r="H248" s="7">
        <f t="shared" si="53"/>
        <v>0</v>
      </c>
      <c r="I248" s="7">
        <f t="shared" si="54"/>
        <v>1</v>
      </c>
      <c r="J248" s="7">
        <f t="shared" si="55"/>
        <v>1</v>
      </c>
      <c r="K248" s="7">
        <f t="shared" si="51"/>
        <v>0</v>
      </c>
      <c r="L248" s="192">
        <f t="shared" si="46"/>
        <v>4</v>
      </c>
      <c r="M248" s="192">
        <f t="shared" si="47"/>
        <v>3</v>
      </c>
      <c r="N248" s="192">
        <f t="shared" si="48"/>
        <v>1</v>
      </c>
      <c r="O248" s="192">
        <f t="shared" si="49"/>
        <v>6</v>
      </c>
      <c r="P248" s="197">
        <f t="shared" si="52"/>
        <v>0</v>
      </c>
    </row>
    <row r="249" spans="1:16" hidden="1">
      <c r="A249" s="7">
        <f t="shared" si="50"/>
        <v>2470</v>
      </c>
      <c r="B249">
        <v>777</v>
      </c>
      <c r="C249">
        <v>3578</v>
      </c>
      <c r="D249">
        <v>2422</v>
      </c>
      <c r="E249" s="7" t="str">
        <f t="shared" si="43"/>
        <v>309</v>
      </c>
      <c r="F249" s="7" t="str">
        <f t="shared" si="44"/>
        <v>DFA</v>
      </c>
      <c r="G249" s="7" t="str">
        <f t="shared" si="45"/>
        <v>976</v>
      </c>
      <c r="H249" s="7">
        <f t="shared" si="53"/>
        <v>0</v>
      </c>
      <c r="I249" s="7">
        <f t="shared" si="54"/>
        <v>1</v>
      </c>
      <c r="J249" s="7">
        <f t="shared" si="55"/>
        <v>1</v>
      </c>
      <c r="K249" s="7">
        <f t="shared" si="51"/>
        <v>0</v>
      </c>
      <c r="L249" s="192">
        <f t="shared" si="46"/>
        <v>4</v>
      </c>
      <c r="M249" s="192">
        <f t="shared" si="47"/>
        <v>3</v>
      </c>
      <c r="N249" s="192">
        <f t="shared" si="48"/>
        <v>1</v>
      </c>
      <c r="O249" s="192">
        <f t="shared" si="49"/>
        <v>6</v>
      </c>
      <c r="P249" s="197">
        <f t="shared" si="52"/>
        <v>0</v>
      </c>
    </row>
    <row r="250" spans="1:16" hidden="1">
      <c r="A250" s="7">
        <f t="shared" si="50"/>
        <v>2480</v>
      </c>
      <c r="B250">
        <v>777</v>
      </c>
      <c r="C250">
        <v>3575</v>
      </c>
      <c r="D250">
        <v>2422</v>
      </c>
      <c r="E250" s="7" t="str">
        <f t="shared" si="43"/>
        <v>309</v>
      </c>
      <c r="F250" s="7" t="str">
        <f t="shared" si="44"/>
        <v>DF7</v>
      </c>
      <c r="G250" s="7" t="str">
        <f t="shared" si="45"/>
        <v>976</v>
      </c>
      <c r="H250" s="7">
        <f t="shared" si="53"/>
        <v>0</v>
      </c>
      <c r="I250" s="7">
        <f t="shared" si="54"/>
        <v>0</v>
      </c>
      <c r="J250" s="7">
        <f t="shared" si="55"/>
        <v>1</v>
      </c>
      <c r="K250" s="7">
        <f t="shared" si="51"/>
        <v>1</v>
      </c>
      <c r="L250" s="192">
        <f t="shared" si="46"/>
        <v>4</v>
      </c>
      <c r="M250" s="192">
        <f t="shared" si="47"/>
        <v>2</v>
      </c>
      <c r="N250" s="192">
        <f t="shared" si="48"/>
        <v>1</v>
      </c>
      <c r="O250" s="192">
        <f t="shared" si="49"/>
        <v>7</v>
      </c>
      <c r="P250" s="197">
        <f t="shared" si="52"/>
        <v>0</v>
      </c>
    </row>
    <row r="251" spans="1:16" hidden="1">
      <c r="A251" s="7">
        <f t="shared" si="50"/>
        <v>2490</v>
      </c>
      <c r="B251">
        <v>777</v>
      </c>
      <c r="C251">
        <v>3575</v>
      </c>
      <c r="D251">
        <v>2422</v>
      </c>
      <c r="E251" s="7" t="str">
        <f t="shared" si="43"/>
        <v>309</v>
      </c>
      <c r="F251" s="7" t="str">
        <f t="shared" si="44"/>
        <v>DF7</v>
      </c>
      <c r="G251" s="7" t="str">
        <f t="shared" si="45"/>
        <v>976</v>
      </c>
      <c r="H251" s="7">
        <f t="shared" si="53"/>
        <v>0</v>
      </c>
      <c r="I251" s="7">
        <f t="shared" si="54"/>
        <v>0</v>
      </c>
      <c r="J251" s="7">
        <f t="shared" si="55"/>
        <v>1</v>
      </c>
      <c r="K251" s="7">
        <f t="shared" si="51"/>
        <v>1</v>
      </c>
      <c r="L251" s="192">
        <f t="shared" si="46"/>
        <v>4</v>
      </c>
      <c r="M251" s="192">
        <f t="shared" si="47"/>
        <v>2</v>
      </c>
      <c r="N251" s="192">
        <f t="shared" si="48"/>
        <v>1</v>
      </c>
      <c r="O251" s="192">
        <f t="shared" si="49"/>
        <v>7</v>
      </c>
      <c r="P251" s="197">
        <f t="shared" si="52"/>
        <v>0</v>
      </c>
    </row>
    <row r="252" spans="1:16" hidden="1">
      <c r="A252" s="7">
        <f t="shared" si="50"/>
        <v>2500</v>
      </c>
      <c r="B252">
        <v>777</v>
      </c>
      <c r="C252">
        <v>3575</v>
      </c>
      <c r="D252">
        <v>2422</v>
      </c>
      <c r="E252" s="7" t="str">
        <f t="shared" si="43"/>
        <v>309</v>
      </c>
      <c r="F252" s="7" t="str">
        <f t="shared" si="44"/>
        <v>DF7</v>
      </c>
      <c r="G252" s="7" t="str">
        <f t="shared" si="45"/>
        <v>976</v>
      </c>
      <c r="H252" s="7">
        <f t="shared" si="53"/>
        <v>0</v>
      </c>
      <c r="I252" s="7">
        <f t="shared" si="54"/>
        <v>0</v>
      </c>
      <c r="J252" s="7">
        <f t="shared" si="55"/>
        <v>1</v>
      </c>
      <c r="K252" s="7">
        <f t="shared" si="51"/>
        <v>1</v>
      </c>
      <c r="L252" s="192">
        <f t="shared" si="46"/>
        <v>4</v>
      </c>
      <c r="M252" s="192">
        <f t="shared" si="47"/>
        <v>2</v>
      </c>
      <c r="N252" s="192">
        <f t="shared" si="48"/>
        <v>1</v>
      </c>
      <c r="O252" s="192">
        <f t="shared" si="49"/>
        <v>7</v>
      </c>
      <c r="P252" s="197">
        <f t="shared" si="52"/>
        <v>0</v>
      </c>
    </row>
    <row r="253" spans="1:16" hidden="1">
      <c r="A253" s="7">
        <f t="shared" si="50"/>
        <v>2510</v>
      </c>
      <c r="B253">
        <v>778</v>
      </c>
      <c r="C253">
        <v>3575</v>
      </c>
      <c r="D253">
        <v>2422</v>
      </c>
      <c r="E253" s="7" t="str">
        <f t="shared" si="43"/>
        <v>30A</v>
      </c>
      <c r="F253" s="7" t="str">
        <f t="shared" si="44"/>
        <v>DF7</v>
      </c>
      <c r="G253" s="7" t="str">
        <f t="shared" si="45"/>
        <v>976</v>
      </c>
      <c r="H253" s="7">
        <f t="shared" si="53"/>
        <v>1</v>
      </c>
      <c r="I253" s="7">
        <f t="shared" si="54"/>
        <v>0</v>
      </c>
      <c r="J253" s="7">
        <f t="shared" si="55"/>
        <v>1</v>
      </c>
      <c r="K253" s="7">
        <f t="shared" si="51"/>
        <v>0</v>
      </c>
      <c r="L253" s="192">
        <f t="shared" si="46"/>
        <v>5</v>
      </c>
      <c r="M253" s="192">
        <f t="shared" si="47"/>
        <v>2</v>
      </c>
      <c r="N253" s="192">
        <f t="shared" si="48"/>
        <v>1</v>
      </c>
      <c r="O253" s="192">
        <f t="shared" si="49"/>
        <v>6</v>
      </c>
      <c r="P253" s="197">
        <f t="shared" si="52"/>
        <v>0</v>
      </c>
    </row>
    <row r="254" spans="1:16" hidden="1">
      <c r="A254" s="7">
        <f t="shared" si="50"/>
        <v>2520</v>
      </c>
      <c r="B254">
        <v>778</v>
      </c>
      <c r="C254">
        <v>3575</v>
      </c>
      <c r="D254">
        <v>2422</v>
      </c>
      <c r="E254" s="7" t="str">
        <f t="shared" si="43"/>
        <v>30A</v>
      </c>
      <c r="F254" s="7" t="str">
        <f t="shared" si="44"/>
        <v>DF7</v>
      </c>
      <c r="G254" s="7" t="str">
        <f t="shared" si="45"/>
        <v>976</v>
      </c>
      <c r="H254" s="7">
        <f t="shared" si="53"/>
        <v>1</v>
      </c>
      <c r="I254" s="7">
        <f t="shared" si="54"/>
        <v>0</v>
      </c>
      <c r="J254" s="7">
        <f t="shared" si="55"/>
        <v>1</v>
      </c>
      <c r="K254" s="7">
        <f t="shared" si="51"/>
        <v>0</v>
      </c>
      <c r="L254" s="192">
        <f t="shared" si="46"/>
        <v>5</v>
      </c>
      <c r="M254" s="192">
        <f t="shared" si="47"/>
        <v>2</v>
      </c>
      <c r="N254" s="192">
        <f t="shared" si="48"/>
        <v>1</v>
      </c>
      <c r="O254" s="192">
        <f t="shared" si="49"/>
        <v>6</v>
      </c>
      <c r="P254" s="197">
        <f t="shared" si="52"/>
        <v>0</v>
      </c>
    </row>
    <row r="255" spans="1:16" hidden="1">
      <c r="A255" s="7">
        <f t="shared" si="50"/>
        <v>2530</v>
      </c>
      <c r="B255">
        <v>778</v>
      </c>
      <c r="C255">
        <v>3575</v>
      </c>
      <c r="D255">
        <v>2422</v>
      </c>
      <c r="E255" s="7" t="str">
        <f t="shared" si="43"/>
        <v>30A</v>
      </c>
      <c r="F255" s="7" t="str">
        <f t="shared" si="44"/>
        <v>DF7</v>
      </c>
      <c r="G255" s="7" t="str">
        <f t="shared" si="45"/>
        <v>976</v>
      </c>
      <c r="H255" s="7">
        <f t="shared" si="53"/>
        <v>1</v>
      </c>
      <c r="I255" s="7">
        <f t="shared" si="54"/>
        <v>0</v>
      </c>
      <c r="J255" s="7">
        <f t="shared" si="55"/>
        <v>1</v>
      </c>
      <c r="K255" s="7">
        <f t="shared" si="51"/>
        <v>0</v>
      </c>
      <c r="L255" s="192">
        <f t="shared" si="46"/>
        <v>5</v>
      </c>
      <c r="M255" s="192">
        <f t="shared" si="47"/>
        <v>2</v>
      </c>
      <c r="N255" s="192">
        <f t="shared" si="48"/>
        <v>1</v>
      </c>
      <c r="O255" s="192">
        <f t="shared" si="49"/>
        <v>6</v>
      </c>
      <c r="P255" s="197">
        <f t="shared" si="52"/>
        <v>0</v>
      </c>
    </row>
    <row r="256" spans="1:16" hidden="1">
      <c r="A256" s="7">
        <f t="shared" si="50"/>
        <v>2540</v>
      </c>
      <c r="B256">
        <v>778</v>
      </c>
      <c r="C256">
        <v>3575</v>
      </c>
      <c r="D256">
        <v>2421</v>
      </c>
      <c r="E256" s="7" t="str">
        <f t="shared" si="43"/>
        <v>30A</v>
      </c>
      <c r="F256" s="7" t="str">
        <f t="shared" si="44"/>
        <v>DF7</v>
      </c>
      <c r="G256" s="7" t="str">
        <f t="shared" si="45"/>
        <v>975</v>
      </c>
      <c r="H256" s="7">
        <f t="shared" si="53"/>
        <v>1</v>
      </c>
      <c r="I256" s="7">
        <f t="shared" si="54"/>
        <v>0</v>
      </c>
      <c r="J256" s="7">
        <f t="shared" si="55"/>
        <v>0</v>
      </c>
      <c r="K256" s="7">
        <f t="shared" si="51"/>
        <v>1</v>
      </c>
      <c r="L256" s="192">
        <f t="shared" si="46"/>
        <v>5</v>
      </c>
      <c r="M256" s="192">
        <f t="shared" si="47"/>
        <v>2</v>
      </c>
      <c r="N256" s="192">
        <f t="shared" si="48"/>
        <v>0</v>
      </c>
      <c r="O256" s="192">
        <f t="shared" si="49"/>
        <v>7</v>
      </c>
      <c r="P256" s="197">
        <f t="shared" si="52"/>
        <v>0</v>
      </c>
    </row>
    <row r="257" spans="1:16" hidden="1">
      <c r="A257" s="7">
        <f t="shared" si="50"/>
        <v>2550</v>
      </c>
      <c r="B257">
        <v>778</v>
      </c>
      <c r="C257">
        <v>3575</v>
      </c>
      <c r="D257">
        <v>2421</v>
      </c>
      <c r="E257" s="7" t="str">
        <f t="shared" si="43"/>
        <v>30A</v>
      </c>
      <c r="F257" s="7" t="str">
        <f t="shared" si="44"/>
        <v>DF7</v>
      </c>
      <c r="G257" s="7" t="str">
        <f t="shared" si="45"/>
        <v>975</v>
      </c>
      <c r="H257" s="7">
        <f t="shared" si="53"/>
        <v>1</v>
      </c>
      <c r="I257" s="7">
        <f t="shared" si="54"/>
        <v>0</v>
      </c>
      <c r="J257" s="7">
        <f t="shared" si="55"/>
        <v>0</v>
      </c>
      <c r="K257" s="7">
        <f t="shared" si="51"/>
        <v>1</v>
      </c>
      <c r="L257" s="192">
        <f t="shared" si="46"/>
        <v>5</v>
      </c>
      <c r="M257" s="192">
        <f t="shared" si="47"/>
        <v>2</v>
      </c>
      <c r="N257" s="192">
        <f t="shared" si="48"/>
        <v>0</v>
      </c>
      <c r="O257" s="192">
        <f t="shared" si="49"/>
        <v>7</v>
      </c>
      <c r="P257" s="197">
        <f t="shared" si="52"/>
        <v>0</v>
      </c>
    </row>
    <row r="258" spans="1:16" hidden="1">
      <c r="A258" s="7">
        <f t="shared" si="50"/>
        <v>2560</v>
      </c>
      <c r="B258">
        <v>778</v>
      </c>
      <c r="C258">
        <v>3575</v>
      </c>
      <c r="D258">
        <v>2421</v>
      </c>
      <c r="E258" s="7" t="str">
        <f t="shared" ref="E258:E285" si="56">DEC2HEX(B258)</f>
        <v>30A</v>
      </c>
      <c r="F258" s="7" t="str">
        <f t="shared" ref="F258:F285" si="57">DEC2HEX(C258)</f>
        <v>DF7</v>
      </c>
      <c r="G258" s="7" t="str">
        <f t="shared" ref="G258:G285" si="58">DEC2HEX(D258)</f>
        <v>975</v>
      </c>
      <c r="H258" s="7">
        <f t="shared" si="53"/>
        <v>1</v>
      </c>
      <c r="I258" s="7">
        <f t="shared" si="54"/>
        <v>0</v>
      </c>
      <c r="J258" s="7">
        <f t="shared" si="55"/>
        <v>0</v>
      </c>
      <c r="K258" s="7">
        <f t="shared" si="51"/>
        <v>1</v>
      </c>
      <c r="L258" s="192">
        <f t="shared" si="46"/>
        <v>5</v>
      </c>
      <c r="M258" s="192">
        <f t="shared" si="47"/>
        <v>2</v>
      </c>
      <c r="N258" s="192">
        <f t="shared" si="48"/>
        <v>0</v>
      </c>
      <c r="O258" s="192">
        <f t="shared" si="49"/>
        <v>7</v>
      </c>
      <c r="P258" s="197">
        <f t="shared" si="52"/>
        <v>0</v>
      </c>
    </row>
    <row r="259" spans="1:16" hidden="1">
      <c r="A259" s="7">
        <f t="shared" si="50"/>
        <v>2570</v>
      </c>
      <c r="B259">
        <v>778</v>
      </c>
      <c r="C259">
        <v>3575</v>
      </c>
      <c r="D259">
        <v>2421</v>
      </c>
      <c r="E259" s="7" t="str">
        <f t="shared" si="56"/>
        <v>30A</v>
      </c>
      <c r="F259" s="7" t="str">
        <f t="shared" si="57"/>
        <v>DF7</v>
      </c>
      <c r="G259" s="7" t="str">
        <f t="shared" si="58"/>
        <v>975</v>
      </c>
      <c r="H259" s="7">
        <f t="shared" si="53"/>
        <v>1</v>
      </c>
      <c r="I259" s="7">
        <f t="shared" si="54"/>
        <v>0</v>
      </c>
      <c r="J259" s="7">
        <f t="shared" si="55"/>
        <v>0</v>
      </c>
      <c r="K259" s="7">
        <f t="shared" si="51"/>
        <v>1</v>
      </c>
      <c r="L259" s="192">
        <f t="shared" ref="L259:L285" si="59">H259+4</f>
        <v>5</v>
      </c>
      <c r="M259" s="192">
        <f t="shared" ref="M259:M285" si="60">I259+2</f>
        <v>2</v>
      </c>
      <c r="N259" s="192">
        <f t="shared" ref="N259:N285" si="61">J259</f>
        <v>0</v>
      </c>
      <c r="O259" s="192">
        <f t="shared" ref="O259:O285" si="62">K259+6</f>
        <v>7</v>
      </c>
      <c r="P259" s="197">
        <f t="shared" si="52"/>
        <v>0</v>
      </c>
    </row>
    <row r="260" spans="1:16" hidden="1">
      <c r="A260" s="7">
        <f t="shared" ref="A260:A285" si="63">A259+A$1</f>
        <v>2580</v>
      </c>
      <c r="B260">
        <v>778</v>
      </c>
      <c r="C260">
        <v>3576</v>
      </c>
      <c r="D260">
        <v>2421</v>
      </c>
      <c r="E260" s="7" t="str">
        <f t="shared" si="56"/>
        <v>30A</v>
      </c>
      <c r="F260" s="7" t="str">
        <f t="shared" si="57"/>
        <v>DF8</v>
      </c>
      <c r="G260" s="7" t="str">
        <f t="shared" si="58"/>
        <v>975</v>
      </c>
      <c r="H260" s="7">
        <f t="shared" si="53"/>
        <v>1</v>
      </c>
      <c r="I260" s="7">
        <f t="shared" si="54"/>
        <v>1</v>
      </c>
      <c r="J260" s="7">
        <f t="shared" si="55"/>
        <v>0</v>
      </c>
      <c r="K260" s="7">
        <f t="shared" ref="K260:K285" si="64">IF(OR(H260&lt;&gt;H259,I260&lt;&gt;I259,J260&lt;&gt;J259),1-K259,K259)</f>
        <v>0</v>
      </c>
      <c r="L260" s="192">
        <f t="shared" si="59"/>
        <v>5</v>
      </c>
      <c r="M260" s="192">
        <f t="shared" si="60"/>
        <v>3</v>
      </c>
      <c r="N260" s="192">
        <f t="shared" si="61"/>
        <v>0</v>
      </c>
      <c r="O260" s="192">
        <f t="shared" si="62"/>
        <v>6</v>
      </c>
      <c r="P260" s="197">
        <f t="shared" ref="P260:P284" si="65">IF(OR(AND(B259&lt;&gt;B260,B260&lt;&gt;B261),AND(C259&lt;&gt;C260,C260&lt;&gt;C261),AND(D259&lt;&gt;D260,D260&lt;&gt;D261)),1,0)</f>
        <v>0</v>
      </c>
    </row>
    <row r="261" spans="1:16" hidden="1">
      <c r="A261" s="7">
        <f t="shared" si="63"/>
        <v>2590</v>
      </c>
      <c r="B261">
        <v>778</v>
      </c>
      <c r="C261">
        <v>3576</v>
      </c>
      <c r="D261">
        <v>2421</v>
      </c>
      <c r="E261" s="7" t="str">
        <f t="shared" si="56"/>
        <v>30A</v>
      </c>
      <c r="F261" s="7" t="str">
        <f t="shared" si="57"/>
        <v>DF8</v>
      </c>
      <c r="G261" s="7" t="str">
        <f t="shared" si="58"/>
        <v>975</v>
      </c>
      <c r="H261" s="7">
        <f t="shared" si="53"/>
        <v>1</v>
      </c>
      <c r="I261" s="7">
        <f t="shared" si="54"/>
        <v>1</v>
      </c>
      <c r="J261" s="7">
        <f t="shared" si="55"/>
        <v>0</v>
      </c>
      <c r="K261" s="7">
        <f t="shared" si="64"/>
        <v>0</v>
      </c>
      <c r="L261" s="192">
        <f t="shared" si="59"/>
        <v>5</v>
      </c>
      <c r="M261" s="192">
        <f t="shared" si="60"/>
        <v>3</v>
      </c>
      <c r="N261" s="192">
        <f t="shared" si="61"/>
        <v>0</v>
      </c>
      <c r="O261" s="192">
        <f t="shared" si="62"/>
        <v>6</v>
      </c>
      <c r="P261" s="197">
        <f t="shared" si="65"/>
        <v>0</v>
      </c>
    </row>
    <row r="262" spans="1:16" hidden="1">
      <c r="A262" s="7">
        <f t="shared" si="63"/>
        <v>2600</v>
      </c>
      <c r="B262">
        <v>778</v>
      </c>
      <c r="C262">
        <v>3576</v>
      </c>
      <c r="D262">
        <v>2421</v>
      </c>
      <c r="E262" s="7" t="str">
        <f t="shared" si="56"/>
        <v>30A</v>
      </c>
      <c r="F262" s="7" t="str">
        <f t="shared" si="57"/>
        <v>DF8</v>
      </c>
      <c r="G262" s="7" t="str">
        <f t="shared" si="58"/>
        <v>975</v>
      </c>
      <c r="H262" s="7">
        <f t="shared" si="53"/>
        <v>1</v>
      </c>
      <c r="I262" s="7">
        <f t="shared" si="54"/>
        <v>1</v>
      </c>
      <c r="J262" s="7">
        <f t="shared" si="55"/>
        <v>0</v>
      </c>
      <c r="K262" s="7">
        <f t="shared" si="64"/>
        <v>0</v>
      </c>
      <c r="L262" s="192">
        <f t="shared" si="59"/>
        <v>5</v>
      </c>
      <c r="M262" s="192">
        <f t="shared" si="60"/>
        <v>3</v>
      </c>
      <c r="N262" s="192">
        <f t="shared" si="61"/>
        <v>0</v>
      </c>
      <c r="O262" s="192">
        <f t="shared" si="62"/>
        <v>6</v>
      </c>
      <c r="P262" s="197">
        <f t="shared" si="65"/>
        <v>0</v>
      </c>
    </row>
    <row r="263" spans="1:16" hidden="1">
      <c r="A263" s="7">
        <f t="shared" si="63"/>
        <v>2610</v>
      </c>
      <c r="B263">
        <v>778</v>
      </c>
      <c r="C263">
        <v>3576</v>
      </c>
      <c r="D263">
        <v>2421</v>
      </c>
      <c r="E263" s="7" t="str">
        <f t="shared" si="56"/>
        <v>30A</v>
      </c>
      <c r="F263" s="7" t="str">
        <f t="shared" si="57"/>
        <v>DF8</v>
      </c>
      <c r="G263" s="7" t="str">
        <f t="shared" si="58"/>
        <v>975</v>
      </c>
      <c r="H263" s="7">
        <f t="shared" si="53"/>
        <v>1</v>
      </c>
      <c r="I263" s="7">
        <f t="shared" si="54"/>
        <v>1</v>
      </c>
      <c r="J263" s="7">
        <f t="shared" si="55"/>
        <v>0</v>
      </c>
      <c r="K263" s="7">
        <f t="shared" si="64"/>
        <v>0</v>
      </c>
      <c r="L263" s="192">
        <f t="shared" si="59"/>
        <v>5</v>
      </c>
      <c r="M263" s="192">
        <f t="shared" si="60"/>
        <v>3</v>
      </c>
      <c r="N263" s="192">
        <f t="shared" si="61"/>
        <v>0</v>
      </c>
      <c r="O263" s="192">
        <f t="shared" si="62"/>
        <v>6</v>
      </c>
      <c r="P263" s="197">
        <f t="shared" si="65"/>
        <v>0</v>
      </c>
    </row>
    <row r="264" spans="1:16" hidden="1">
      <c r="A264" s="7">
        <f t="shared" si="63"/>
        <v>2620</v>
      </c>
      <c r="B264">
        <v>778</v>
      </c>
      <c r="C264">
        <v>3576</v>
      </c>
      <c r="D264">
        <v>2421</v>
      </c>
      <c r="E264" s="7" t="str">
        <f t="shared" si="56"/>
        <v>30A</v>
      </c>
      <c r="F264" s="7" t="str">
        <f t="shared" si="57"/>
        <v>DF8</v>
      </c>
      <c r="G264" s="7" t="str">
        <f t="shared" si="58"/>
        <v>975</v>
      </c>
      <c r="H264" s="7">
        <f t="shared" si="53"/>
        <v>1</v>
      </c>
      <c r="I264" s="7">
        <f t="shared" si="54"/>
        <v>1</v>
      </c>
      <c r="J264" s="7">
        <f t="shared" si="55"/>
        <v>0</v>
      </c>
      <c r="K264" s="7">
        <f t="shared" si="64"/>
        <v>0</v>
      </c>
      <c r="L264" s="192">
        <f t="shared" si="59"/>
        <v>5</v>
      </c>
      <c r="M264" s="192">
        <f t="shared" si="60"/>
        <v>3</v>
      </c>
      <c r="N264" s="192">
        <f t="shared" si="61"/>
        <v>0</v>
      </c>
      <c r="O264" s="192">
        <f t="shared" si="62"/>
        <v>6</v>
      </c>
      <c r="P264" s="197">
        <f t="shared" si="65"/>
        <v>0</v>
      </c>
    </row>
    <row r="265" spans="1:16" hidden="1">
      <c r="A265" s="7">
        <f t="shared" si="63"/>
        <v>2630</v>
      </c>
      <c r="B265">
        <v>778</v>
      </c>
      <c r="C265">
        <v>3576</v>
      </c>
      <c r="D265">
        <v>2421</v>
      </c>
      <c r="E265" s="7" t="str">
        <f t="shared" si="56"/>
        <v>30A</v>
      </c>
      <c r="F265" s="7" t="str">
        <f t="shared" si="57"/>
        <v>DF8</v>
      </c>
      <c r="G265" s="7" t="str">
        <f t="shared" si="58"/>
        <v>975</v>
      </c>
      <c r="H265" s="7">
        <f t="shared" ref="H265:H282" si="66">IF(B265=B264,H264,1-H264)</f>
        <v>1</v>
      </c>
      <c r="I265" s="7">
        <f t="shared" si="54"/>
        <v>1</v>
      </c>
      <c r="J265" s="7">
        <f t="shared" si="55"/>
        <v>0</v>
      </c>
      <c r="K265" s="7">
        <f t="shared" si="64"/>
        <v>0</v>
      </c>
      <c r="L265" s="192">
        <f t="shared" si="59"/>
        <v>5</v>
      </c>
      <c r="M265" s="192">
        <f t="shared" si="60"/>
        <v>3</v>
      </c>
      <c r="N265" s="192">
        <f t="shared" si="61"/>
        <v>0</v>
      </c>
      <c r="O265" s="192">
        <f t="shared" si="62"/>
        <v>6</v>
      </c>
      <c r="P265" s="197">
        <f t="shared" si="65"/>
        <v>0</v>
      </c>
    </row>
    <row r="266" spans="1:16" hidden="1">
      <c r="A266" s="7">
        <f t="shared" si="63"/>
        <v>2640</v>
      </c>
      <c r="B266">
        <v>778</v>
      </c>
      <c r="C266">
        <v>3576</v>
      </c>
      <c r="D266">
        <v>2422</v>
      </c>
      <c r="E266" s="7" t="str">
        <f t="shared" si="56"/>
        <v>30A</v>
      </c>
      <c r="F266" s="7" t="str">
        <f t="shared" si="57"/>
        <v>DF8</v>
      </c>
      <c r="G266" s="7" t="str">
        <f t="shared" si="58"/>
        <v>976</v>
      </c>
      <c r="H266" s="7">
        <f t="shared" si="66"/>
        <v>1</v>
      </c>
      <c r="I266" s="7">
        <f t="shared" si="54"/>
        <v>1</v>
      </c>
      <c r="J266" s="7">
        <f t="shared" si="55"/>
        <v>1</v>
      </c>
      <c r="K266" s="7">
        <f t="shared" si="64"/>
        <v>1</v>
      </c>
      <c r="L266" s="192">
        <f t="shared" si="59"/>
        <v>5</v>
      </c>
      <c r="M266" s="192">
        <f t="shared" si="60"/>
        <v>3</v>
      </c>
      <c r="N266" s="192">
        <f t="shared" si="61"/>
        <v>1</v>
      </c>
      <c r="O266" s="192">
        <f t="shared" si="62"/>
        <v>7</v>
      </c>
      <c r="P266" s="197">
        <f t="shared" si="65"/>
        <v>0</v>
      </c>
    </row>
    <row r="267" spans="1:16" hidden="1">
      <c r="A267" s="7">
        <f t="shared" si="63"/>
        <v>2650</v>
      </c>
      <c r="B267">
        <v>778</v>
      </c>
      <c r="C267">
        <v>3576</v>
      </c>
      <c r="D267">
        <v>2422</v>
      </c>
      <c r="E267" s="7" t="str">
        <f t="shared" si="56"/>
        <v>30A</v>
      </c>
      <c r="F267" s="7" t="str">
        <f t="shared" si="57"/>
        <v>DF8</v>
      </c>
      <c r="G267" s="7" t="str">
        <f t="shared" si="58"/>
        <v>976</v>
      </c>
      <c r="H267" s="7">
        <f t="shared" si="66"/>
        <v>1</v>
      </c>
      <c r="I267" s="7">
        <f t="shared" si="54"/>
        <v>1</v>
      </c>
      <c r="J267" s="7">
        <f t="shared" si="55"/>
        <v>1</v>
      </c>
      <c r="K267" s="7">
        <f t="shared" si="64"/>
        <v>1</v>
      </c>
      <c r="L267" s="192">
        <f t="shared" si="59"/>
        <v>5</v>
      </c>
      <c r="M267" s="192">
        <f t="shared" si="60"/>
        <v>3</v>
      </c>
      <c r="N267" s="192">
        <f t="shared" si="61"/>
        <v>1</v>
      </c>
      <c r="O267" s="192">
        <f t="shared" si="62"/>
        <v>7</v>
      </c>
      <c r="P267" s="197">
        <f t="shared" si="65"/>
        <v>0</v>
      </c>
    </row>
    <row r="268" spans="1:16" hidden="1">
      <c r="A268" s="7">
        <f t="shared" si="63"/>
        <v>2660</v>
      </c>
      <c r="B268">
        <v>778</v>
      </c>
      <c r="C268">
        <v>3576</v>
      </c>
      <c r="D268">
        <v>2422</v>
      </c>
      <c r="E268" s="7" t="str">
        <f t="shared" si="56"/>
        <v>30A</v>
      </c>
      <c r="F268" s="7" t="str">
        <f t="shared" si="57"/>
        <v>DF8</v>
      </c>
      <c r="G268" s="7" t="str">
        <f t="shared" si="58"/>
        <v>976</v>
      </c>
      <c r="H268" s="7">
        <f t="shared" si="66"/>
        <v>1</v>
      </c>
      <c r="I268" s="7">
        <f t="shared" si="54"/>
        <v>1</v>
      </c>
      <c r="J268" s="7">
        <f t="shared" si="55"/>
        <v>1</v>
      </c>
      <c r="K268" s="7">
        <f t="shared" si="64"/>
        <v>1</v>
      </c>
      <c r="L268" s="192">
        <f t="shared" si="59"/>
        <v>5</v>
      </c>
      <c r="M268" s="192">
        <f t="shared" si="60"/>
        <v>3</v>
      </c>
      <c r="N268" s="192">
        <f t="shared" si="61"/>
        <v>1</v>
      </c>
      <c r="O268" s="192">
        <f t="shared" si="62"/>
        <v>7</v>
      </c>
      <c r="P268" s="197">
        <f t="shared" si="65"/>
        <v>0</v>
      </c>
    </row>
    <row r="269" spans="1:16" hidden="1">
      <c r="A269" s="7">
        <f t="shared" si="63"/>
        <v>2670</v>
      </c>
      <c r="B269">
        <v>778</v>
      </c>
      <c r="C269">
        <v>3576</v>
      </c>
      <c r="D269">
        <v>2422</v>
      </c>
      <c r="E269" s="7" t="str">
        <f t="shared" si="56"/>
        <v>30A</v>
      </c>
      <c r="F269" s="7" t="str">
        <f t="shared" si="57"/>
        <v>DF8</v>
      </c>
      <c r="G269" s="7" t="str">
        <f t="shared" si="58"/>
        <v>976</v>
      </c>
      <c r="H269" s="7">
        <f t="shared" si="66"/>
        <v>1</v>
      </c>
      <c r="I269" s="7">
        <f t="shared" si="54"/>
        <v>1</v>
      </c>
      <c r="J269" s="7">
        <f t="shared" si="55"/>
        <v>1</v>
      </c>
      <c r="K269" s="7">
        <f t="shared" si="64"/>
        <v>1</v>
      </c>
      <c r="L269" s="192">
        <f t="shared" si="59"/>
        <v>5</v>
      </c>
      <c r="M269" s="192">
        <f t="shared" si="60"/>
        <v>3</v>
      </c>
      <c r="N269" s="192">
        <f t="shared" si="61"/>
        <v>1</v>
      </c>
      <c r="O269" s="192">
        <f t="shared" si="62"/>
        <v>7</v>
      </c>
      <c r="P269" s="197">
        <f t="shared" si="65"/>
        <v>0</v>
      </c>
    </row>
    <row r="270" spans="1:16" hidden="1">
      <c r="A270" s="7">
        <f t="shared" si="63"/>
        <v>2680</v>
      </c>
      <c r="B270">
        <v>778</v>
      </c>
      <c r="C270">
        <v>3576</v>
      </c>
      <c r="D270">
        <v>2422</v>
      </c>
      <c r="E270" s="7" t="str">
        <f t="shared" si="56"/>
        <v>30A</v>
      </c>
      <c r="F270" s="7" t="str">
        <f t="shared" si="57"/>
        <v>DF8</v>
      </c>
      <c r="G270" s="7" t="str">
        <f t="shared" si="58"/>
        <v>976</v>
      </c>
      <c r="H270" s="7">
        <f t="shared" si="66"/>
        <v>1</v>
      </c>
      <c r="I270" s="7">
        <f t="shared" si="54"/>
        <v>1</v>
      </c>
      <c r="J270" s="7">
        <f t="shared" si="55"/>
        <v>1</v>
      </c>
      <c r="K270" s="7">
        <f t="shared" si="64"/>
        <v>1</v>
      </c>
      <c r="L270" s="192">
        <f t="shared" si="59"/>
        <v>5</v>
      </c>
      <c r="M270" s="192">
        <f t="shared" si="60"/>
        <v>3</v>
      </c>
      <c r="N270" s="192">
        <f t="shared" si="61"/>
        <v>1</v>
      </c>
      <c r="O270" s="192">
        <f t="shared" si="62"/>
        <v>7</v>
      </c>
      <c r="P270" s="197">
        <f t="shared" si="65"/>
        <v>0</v>
      </c>
    </row>
    <row r="271" spans="1:16" hidden="1">
      <c r="A271" s="7">
        <f t="shared" si="63"/>
        <v>2690</v>
      </c>
      <c r="B271">
        <v>778</v>
      </c>
      <c r="C271">
        <v>3576</v>
      </c>
      <c r="D271">
        <v>2422</v>
      </c>
      <c r="E271" s="7" t="str">
        <f t="shared" si="56"/>
        <v>30A</v>
      </c>
      <c r="F271" s="7" t="str">
        <f t="shared" si="57"/>
        <v>DF8</v>
      </c>
      <c r="G271" s="7" t="str">
        <f t="shared" si="58"/>
        <v>976</v>
      </c>
      <c r="H271" s="7">
        <f t="shared" si="66"/>
        <v>1</v>
      </c>
      <c r="I271" s="7">
        <f t="shared" si="54"/>
        <v>1</v>
      </c>
      <c r="J271" s="7">
        <f t="shared" si="55"/>
        <v>1</v>
      </c>
      <c r="K271" s="7">
        <f t="shared" si="64"/>
        <v>1</v>
      </c>
      <c r="L271" s="192">
        <f t="shared" si="59"/>
        <v>5</v>
      </c>
      <c r="M271" s="192">
        <f t="shared" si="60"/>
        <v>3</v>
      </c>
      <c r="N271" s="192">
        <f t="shared" si="61"/>
        <v>1</v>
      </c>
      <c r="O271" s="192">
        <f t="shared" si="62"/>
        <v>7</v>
      </c>
      <c r="P271" s="197">
        <f t="shared" si="65"/>
        <v>0</v>
      </c>
    </row>
    <row r="272" spans="1:16" hidden="1">
      <c r="A272" s="7">
        <f t="shared" si="63"/>
        <v>2700</v>
      </c>
      <c r="B272">
        <v>778</v>
      </c>
      <c r="C272">
        <v>3576</v>
      </c>
      <c r="D272">
        <v>2422</v>
      </c>
      <c r="E272" s="7" t="str">
        <f t="shared" si="56"/>
        <v>30A</v>
      </c>
      <c r="F272" s="7" t="str">
        <f t="shared" si="57"/>
        <v>DF8</v>
      </c>
      <c r="G272" s="7" t="str">
        <f t="shared" si="58"/>
        <v>976</v>
      </c>
      <c r="H272" s="7">
        <f t="shared" si="66"/>
        <v>1</v>
      </c>
      <c r="I272" s="7">
        <f t="shared" si="54"/>
        <v>1</v>
      </c>
      <c r="J272" s="7">
        <f t="shared" si="55"/>
        <v>1</v>
      </c>
      <c r="K272" s="7">
        <f t="shared" si="64"/>
        <v>1</v>
      </c>
      <c r="L272" s="192">
        <f t="shared" si="59"/>
        <v>5</v>
      </c>
      <c r="M272" s="192">
        <f t="shared" si="60"/>
        <v>3</v>
      </c>
      <c r="N272" s="192">
        <f t="shared" si="61"/>
        <v>1</v>
      </c>
      <c r="O272" s="192">
        <f t="shared" si="62"/>
        <v>7</v>
      </c>
      <c r="P272" s="197">
        <f t="shared" si="65"/>
        <v>0</v>
      </c>
    </row>
    <row r="273" spans="1:16" hidden="1">
      <c r="A273" s="7">
        <f t="shared" si="63"/>
        <v>2710</v>
      </c>
      <c r="B273">
        <v>778</v>
      </c>
      <c r="C273">
        <v>3576</v>
      </c>
      <c r="D273">
        <v>2422</v>
      </c>
      <c r="E273" s="7" t="str">
        <f t="shared" si="56"/>
        <v>30A</v>
      </c>
      <c r="F273" s="7" t="str">
        <f t="shared" si="57"/>
        <v>DF8</v>
      </c>
      <c r="G273" s="7" t="str">
        <f t="shared" si="58"/>
        <v>976</v>
      </c>
      <c r="H273" s="7">
        <f t="shared" si="66"/>
        <v>1</v>
      </c>
      <c r="I273" s="7">
        <f t="shared" si="54"/>
        <v>1</v>
      </c>
      <c r="J273" s="7">
        <f t="shared" si="55"/>
        <v>1</v>
      </c>
      <c r="K273" s="7">
        <f t="shared" si="64"/>
        <v>1</v>
      </c>
      <c r="L273" s="192">
        <f t="shared" si="59"/>
        <v>5</v>
      </c>
      <c r="M273" s="192">
        <f t="shared" si="60"/>
        <v>3</v>
      </c>
      <c r="N273" s="192">
        <f t="shared" si="61"/>
        <v>1</v>
      </c>
      <c r="O273" s="192">
        <f t="shared" si="62"/>
        <v>7</v>
      </c>
      <c r="P273" s="197">
        <f t="shared" si="65"/>
        <v>0</v>
      </c>
    </row>
    <row r="274" spans="1:16" hidden="1">
      <c r="A274" s="7">
        <f t="shared" si="63"/>
        <v>2720</v>
      </c>
      <c r="B274">
        <v>778</v>
      </c>
      <c r="C274">
        <v>3576</v>
      </c>
      <c r="D274">
        <v>2422</v>
      </c>
      <c r="E274" s="7" t="str">
        <f t="shared" si="56"/>
        <v>30A</v>
      </c>
      <c r="F274" s="7" t="str">
        <f t="shared" si="57"/>
        <v>DF8</v>
      </c>
      <c r="G274" s="7" t="str">
        <f t="shared" si="58"/>
        <v>976</v>
      </c>
      <c r="H274" s="7">
        <f t="shared" si="66"/>
        <v>1</v>
      </c>
      <c r="I274" s="7">
        <f t="shared" si="54"/>
        <v>1</v>
      </c>
      <c r="J274" s="7">
        <f t="shared" si="55"/>
        <v>1</v>
      </c>
      <c r="K274" s="7">
        <f t="shared" si="64"/>
        <v>1</v>
      </c>
      <c r="L274" s="192">
        <f t="shared" si="59"/>
        <v>5</v>
      </c>
      <c r="M274" s="192">
        <f t="shared" si="60"/>
        <v>3</v>
      </c>
      <c r="N274" s="192">
        <f t="shared" si="61"/>
        <v>1</v>
      </c>
      <c r="O274" s="192">
        <f t="shared" si="62"/>
        <v>7</v>
      </c>
      <c r="P274" s="197">
        <f t="shared" si="65"/>
        <v>0</v>
      </c>
    </row>
    <row r="275" spans="1:16" hidden="1">
      <c r="A275" s="7">
        <f t="shared" si="63"/>
        <v>2730</v>
      </c>
      <c r="B275">
        <v>778</v>
      </c>
      <c r="C275">
        <v>3576</v>
      </c>
      <c r="D275">
        <v>2420</v>
      </c>
      <c r="E275" s="7" t="str">
        <f t="shared" si="56"/>
        <v>30A</v>
      </c>
      <c r="F275" s="7" t="str">
        <f t="shared" si="57"/>
        <v>DF8</v>
      </c>
      <c r="G275" s="7" t="str">
        <f t="shared" si="58"/>
        <v>974</v>
      </c>
      <c r="H275" s="7">
        <f t="shared" si="66"/>
        <v>1</v>
      </c>
      <c r="I275" s="7">
        <f t="shared" ref="I275:I285" si="67">IF(C275=C274,I274,1-I274)</f>
        <v>1</v>
      </c>
      <c r="J275" s="7">
        <f t="shared" ref="J275:J285" si="68">IF(D275=D274,J274,1-J274)</f>
        <v>0</v>
      </c>
      <c r="K275" s="7">
        <f t="shared" si="64"/>
        <v>0</v>
      </c>
      <c r="L275" s="192">
        <f t="shared" si="59"/>
        <v>5</v>
      </c>
      <c r="M275" s="192">
        <f t="shared" si="60"/>
        <v>3</v>
      </c>
      <c r="N275" s="192">
        <f t="shared" si="61"/>
        <v>0</v>
      </c>
      <c r="O275" s="192">
        <f t="shared" si="62"/>
        <v>6</v>
      </c>
      <c r="P275" s="197">
        <f t="shared" si="65"/>
        <v>0</v>
      </c>
    </row>
    <row r="276" spans="1:16" hidden="1">
      <c r="A276" s="7">
        <f t="shared" si="63"/>
        <v>2740</v>
      </c>
      <c r="B276">
        <v>778</v>
      </c>
      <c r="C276">
        <v>3576</v>
      </c>
      <c r="D276">
        <v>2420</v>
      </c>
      <c r="E276" s="7" t="str">
        <f t="shared" si="56"/>
        <v>30A</v>
      </c>
      <c r="F276" s="7" t="str">
        <f t="shared" si="57"/>
        <v>DF8</v>
      </c>
      <c r="G276" s="7" t="str">
        <f t="shared" si="58"/>
        <v>974</v>
      </c>
      <c r="H276" s="7">
        <f t="shared" si="66"/>
        <v>1</v>
      </c>
      <c r="I276" s="7">
        <f t="shared" si="67"/>
        <v>1</v>
      </c>
      <c r="J276" s="7">
        <f t="shared" si="68"/>
        <v>0</v>
      </c>
      <c r="K276" s="7">
        <f t="shared" si="64"/>
        <v>0</v>
      </c>
      <c r="L276" s="192">
        <f t="shared" si="59"/>
        <v>5</v>
      </c>
      <c r="M276" s="192">
        <f t="shared" si="60"/>
        <v>3</v>
      </c>
      <c r="N276" s="192">
        <f t="shared" si="61"/>
        <v>0</v>
      </c>
      <c r="O276" s="192">
        <f t="shared" si="62"/>
        <v>6</v>
      </c>
      <c r="P276" s="197">
        <f t="shared" si="65"/>
        <v>0</v>
      </c>
    </row>
    <row r="277" spans="1:16" hidden="1">
      <c r="A277" s="7">
        <f t="shared" si="63"/>
        <v>2750</v>
      </c>
      <c r="B277">
        <v>778</v>
      </c>
      <c r="C277">
        <v>3576</v>
      </c>
      <c r="D277">
        <v>2420</v>
      </c>
      <c r="E277" s="7" t="str">
        <f t="shared" si="56"/>
        <v>30A</v>
      </c>
      <c r="F277" s="7" t="str">
        <f t="shared" si="57"/>
        <v>DF8</v>
      </c>
      <c r="G277" s="7" t="str">
        <f t="shared" si="58"/>
        <v>974</v>
      </c>
      <c r="H277" s="7">
        <f t="shared" si="66"/>
        <v>1</v>
      </c>
      <c r="I277" s="7">
        <f t="shared" si="67"/>
        <v>1</v>
      </c>
      <c r="J277" s="7">
        <f t="shared" si="68"/>
        <v>0</v>
      </c>
      <c r="K277" s="7">
        <f t="shared" si="64"/>
        <v>0</v>
      </c>
      <c r="L277" s="192">
        <f t="shared" si="59"/>
        <v>5</v>
      </c>
      <c r="M277" s="192">
        <f t="shared" si="60"/>
        <v>3</v>
      </c>
      <c r="N277" s="192">
        <f t="shared" si="61"/>
        <v>0</v>
      </c>
      <c r="O277" s="192">
        <f t="shared" si="62"/>
        <v>6</v>
      </c>
      <c r="P277" s="197">
        <f t="shared" si="65"/>
        <v>0</v>
      </c>
    </row>
    <row r="278" spans="1:16" hidden="1">
      <c r="A278" s="7">
        <f t="shared" si="63"/>
        <v>2760</v>
      </c>
      <c r="B278">
        <v>778</v>
      </c>
      <c r="C278">
        <v>3575</v>
      </c>
      <c r="D278">
        <v>2420</v>
      </c>
      <c r="E278" s="7" t="str">
        <f t="shared" si="56"/>
        <v>30A</v>
      </c>
      <c r="F278" s="7" t="str">
        <f t="shared" si="57"/>
        <v>DF7</v>
      </c>
      <c r="G278" s="7" t="str">
        <f t="shared" si="58"/>
        <v>974</v>
      </c>
      <c r="H278" s="7">
        <f t="shared" si="66"/>
        <v>1</v>
      </c>
      <c r="I278" s="7">
        <f t="shared" si="67"/>
        <v>0</v>
      </c>
      <c r="J278" s="7">
        <f t="shared" si="68"/>
        <v>0</v>
      </c>
      <c r="K278" s="7">
        <f t="shared" si="64"/>
        <v>1</v>
      </c>
      <c r="L278" s="192">
        <f t="shared" si="59"/>
        <v>5</v>
      </c>
      <c r="M278" s="192">
        <f t="shared" si="60"/>
        <v>2</v>
      </c>
      <c r="N278" s="192">
        <f t="shared" si="61"/>
        <v>0</v>
      </c>
      <c r="O278" s="192">
        <f t="shared" si="62"/>
        <v>7</v>
      </c>
      <c r="P278" s="197">
        <f t="shared" si="65"/>
        <v>0</v>
      </c>
    </row>
    <row r="279" spans="1:16" hidden="1">
      <c r="A279" s="7">
        <f t="shared" si="63"/>
        <v>2770</v>
      </c>
      <c r="B279">
        <v>778</v>
      </c>
      <c r="C279">
        <v>3575</v>
      </c>
      <c r="D279">
        <v>2420</v>
      </c>
      <c r="E279" s="7" t="str">
        <f t="shared" si="56"/>
        <v>30A</v>
      </c>
      <c r="F279" s="7" t="str">
        <f t="shared" si="57"/>
        <v>DF7</v>
      </c>
      <c r="G279" s="7" t="str">
        <f t="shared" si="58"/>
        <v>974</v>
      </c>
      <c r="H279" s="7">
        <f t="shared" si="66"/>
        <v>1</v>
      </c>
      <c r="I279" s="7">
        <f t="shared" si="67"/>
        <v>0</v>
      </c>
      <c r="J279" s="7">
        <f t="shared" si="68"/>
        <v>0</v>
      </c>
      <c r="K279" s="7">
        <f t="shared" si="64"/>
        <v>1</v>
      </c>
      <c r="L279" s="192">
        <f t="shared" si="59"/>
        <v>5</v>
      </c>
      <c r="M279" s="192">
        <f t="shared" si="60"/>
        <v>2</v>
      </c>
      <c r="N279" s="192">
        <f t="shared" si="61"/>
        <v>0</v>
      </c>
      <c r="O279" s="192">
        <f t="shared" si="62"/>
        <v>7</v>
      </c>
      <c r="P279" s="197">
        <f t="shared" si="65"/>
        <v>0</v>
      </c>
    </row>
    <row r="280" spans="1:16" hidden="1">
      <c r="A280" s="7">
        <f t="shared" si="63"/>
        <v>2780</v>
      </c>
      <c r="B280">
        <v>778</v>
      </c>
      <c r="C280">
        <v>3575</v>
      </c>
      <c r="D280">
        <v>2420</v>
      </c>
      <c r="E280" s="7" t="str">
        <f t="shared" si="56"/>
        <v>30A</v>
      </c>
      <c r="F280" s="7" t="str">
        <f t="shared" si="57"/>
        <v>DF7</v>
      </c>
      <c r="G280" s="7" t="str">
        <f t="shared" si="58"/>
        <v>974</v>
      </c>
      <c r="H280" s="7">
        <f t="shared" si="66"/>
        <v>1</v>
      </c>
      <c r="I280" s="7">
        <f t="shared" si="67"/>
        <v>0</v>
      </c>
      <c r="J280" s="7">
        <f t="shared" si="68"/>
        <v>0</v>
      </c>
      <c r="K280" s="7">
        <f t="shared" si="64"/>
        <v>1</v>
      </c>
      <c r="L280" s="192">
        <f t="shared" si="59"/>
        <v>5</v>
      </c>
      <c r="M280" s="192">
        <f t="shared" si="60"/>
        <v>2</v>
      </c>
      <c r="N280" s="192">
        <f t="shared" si="61"/>
        <v>0</v>
      </c>
      <c r="O280" s="192">
        <f t="shared" si="62"/>
        <v>7</v>
      </c>
      <c r="P280" s="197">
        <f t="shared" si="65"/>
        <v>0</v>
      </c>
    </row>
    <row r="281" spans="1:16" hidden="1">
      <c r="A281" s="7">
        <f t="shared" si="63"/>
        <v>2790</v>
      </c>
      <c r="B281">
        <v>778</v>
      </c>
      <c r="C281">
        <v>3575</v>
      </c>
      <c r="D281">
        <v>2420</v>
      </c>
      <c r="E281" s="7" t="str">
        <f t="shared" si="56"/>
        <v>30A</v>
      </c>
      <c r="F281" s="7" t="str">
        <f t="shared" si="57"/>
        <v>DF7</v>
      </c>
      <c r="G281" s="7" t="str">
        <f t="shared" si="58"/>
        <v>974</v>
      </c>
      <c r="H281" s="7">
        <f t="shared" si="66"/>
        <v>1</v>
      </c>
      <c r="I281" s="7">
        <f t="shared" si="67"/>
        <v>0</v>
      </c>
      <c r="J281" s="7">
        <f t="shared" si="68"/>
        <v>0</v>
      </c>
      <c r="K281" s="7">
        <f t="shared" si="64"/>
        <v>1</v>
      </c>
      <c r="L281" s="192">
        <f t="shared" si="59"/>
        <v>5</v>
      </c>
      <c r="M281" s="192">
        <f t="shared" si="60"/>
        <v>2</v>
      </c>
      <c r="N281" s="192">
        <f t="shared" si="61"/>
        <v>0</v>
      </c>
      <c r="O281" s="192">
        <f t="shared" si="62"/>
        <v>7</v>
      </c>
      <c r="P281" s="197">
        <f t="shared" si="65"/>
        <v>0</v>
      </c>
    </row>
    <row r="282" spans="1:16" hidden="1">
      <c r="A282" s="7">
        <f t="shared" si="63"/>
        <v>2800</v>
      </c>
      <c r="B282">
        <v>778</v>
      </c>
      <c r="C282">
        <v>3575</v>
      </c>
      <c r="D282">
        <v>2420</v>
      </c>
      <c r="E282" s="7" t="str">
        <f t="shared" si="56"/>
        <v>30A</v>
      </c>
      <c r="F282" s="7" t="str">
        <f t="shared" si="57"/>
        <v>DF7</v>
      </c>
      <c r="G282" s="7" t="str">
        <f t="shared" si="58"/>
        <v>974</v>
      </c>
      <c r="H282" s="7">
        <f t="shared" si="66"/>
        <v>1</v>
      </c>
      <c r="I282" s="7">
        <f t="shared" si="67"/>
        <v>0</v>
      </c>
      <c r="J282" s="7">
        <f t="shared" si="68"/>
        <v>0</v>
      </c>
      <c r="K282" s="7">
        <f t="shared" si="64"/>
        <v>1</v>
      </c>
      <c r="L282" s="192">
        <f t="shared" si="59"/>
        <v>5</v>
      </c>
      <c r="M282" s="192">
        <f t="shared" si="60"/>
        <v>2</v>
      </c>
      <c r="N282" s="192">
        <f t="shared" si="61"/>
        <v>0</v>
      </c>
      <c r="O282" s="192">
        <f t="shared" si="62"/>
        <v>7</v>
      </c>
      <c r="P282" s="197">
        <f t="shared" si="65"/>
        <v>0</v>
      </c>
    </row>
    <row r="283" spans="1:16" hidden="1">
      <c r="A283" s="7">
        <f t="shared" si="63"/>
        <v>2810</v>
      </c>
      <c r="B283">
        <v>778</v>
      </c>
      <c r="C283">
        <v>3575</v>
      </c>
      <c r="D283">
        <v>2420</v>
      </c>
      <c r="E283" s="7" t="str">
        <f t="shared" si="56"/>
        <v>30A</v>
      </c>
      <c r="F283" s="7" t="str">
        <f t="shared" si="57"/>
        <v>DF7</v>
      </c>
      <c r="G283" s="7" t="str">
        <f t="shared" si="58"/>
        <v>974</v>
      </c>
      <c r="H283" s="7">
        <f t="shared" ref="H283:H285" si="69">IF(B283=B282,H282,1-H282)</f>
        <v>1</v>
      </c>
      <c r="I283" s="7">
        <f t="shared" si="67"/>
        <v>0</v>
      </c>
      <c r="J283" s="7">
        <f t="shared" si="68"/>
        <v>0</v>
      </c>
      <c r="K283" s="7">
        <f t="shared" si="64"/>
        <v>1</v>
      </c>
      <c r="L283" s="192">
        <f t="shared" si="59"/>
        <v>5</v>
      </c>
      <c r="M283" s="192">
        <f t="shared" si="60"/>
        <v>2</v>
      </c>
      <c r="N283" s="192">
        <f t="shared" si="61"/>
        <v>0</v>
      </c>
      <c r="O283" s="192">
        <f t="shared" si="62"/>
        <v>7</v>
      </c>
      <c r="P283" s="197">
        <f t="shared" si="65"/>
        <v>0</v>
      </c>
    </row>
    <row r="284" spans="1:16" hidden="1">
      <c r="A284" s="7">
        <f t="shared" si="63"/>
        <v>2820</v>
      </c>
      <c r="B284">
        <v>778</v>
      </c>
      <c r="C284">
        <v>3578</v>
      </c>
      <c r="D284">
        <v>2420</v>
      </c>
      <c r="E284" s="7" t="str">
        <f t="shared" si="56"/>
        <v>30A</v>
      </c>
      <c r="F284" s="7" t="str">
        <f t="shared" si="57"/>
        <v>DFA</v>
      </c>
      <c r="G284" s="7" t="str">
        <f t="shared" si="58"/>
        <v>974</v>
      </c>
      <c r="H284" s="7">
        <f t="shared" si="69"/>
        <v>1</v>
      </c>
      <c r="I284" s="7">
        <f t="shared" si="67"/>
        <v>1</v>
      </c>
      <c r="J284" s="7">
        <f t="shared" si="68"/>
        <v>0</v>
      </c>
      <c r="K284" s="7">
        <f t="shared" si="64"/>
        <v>0</v>
      </c>
      <c r="L284" s="192">
        <f t="shared" si="59"/>
        <v>5</v>
      </c>
      <c r="M284" s="192">
        <f t="shared" si="60"/>
        <v>3</v>
      </c>
      <c r="N284" s="192">
        <f t="shared" si="61"/>
        <v>0</v>
      </c>
      <c r="O284" s="192">
        <f t="shared" si="62"/>
        <v>6</v>
      </c>
      <c r="P284" s="197">
        <f t="shared" si="65"/>
        <v>0</v>
      </c>
    </row>
    <row r="285" spans="1:16" hidden="1">
      <c r="A285" s="7">
        <f t="shared" si="63"/>
        <v>2830</v>
      </c>
      <c r="B285">
        <v>778</v>
      </c>
      <c r="C285">
        <v>3578</v>
      </c>
      <c r="D285">
        <v>2420</v>
      </c>
      <c r="E285" s="7" t="str">
        <f t="shared" si="56"/>
        <v>30A</v>
      </c>
      <c r="F285" s="7" t="str">
        <f t="shared" si="57"/>
        <v>DFA</v>
      </c>
      <c r="G285" s="7" t="str">
        <f t="shared" si="58"/>
        <v>974</v>
      </c>
      <c r="H285" s="7">
        <f t="shared" si="69"/>
        <v>1</v>
      </c>
      <c r="I285" s="7">
        <f t="shared" si="67"/>
        <v>1</v>
      </c>
      <c r="J285" s="7">
        <f t="shared" si="68"/>
        <v>0</v>
      </c>
      <c r="K285" s="7">
        <f t="shared" si="64"/>
        <v>0</v>
      </c>
      <c r="L285" s="192">
        <f t="shared" si="59"/>
        <v>5</v>
      </c>
      <c r="M285" s="192">
        <f t="shared" si="60"/>
        <v>3</v>
      </c>
      <c r="N285" s="192">
        <f t="shared" si="61"/>
        <v>0</v>
      </c>
      <c r="O285" s="192">
        <f t="shared" si="62"/>
        <v>6</v>
      </c>
      <c r="P285" s="7">
        <v>0</v>
      </c>
    </row>
  </sheetData>
  <mergeCells count="2">
    <mergeCell ref="B1:D1"/>
    <mergeCell ref="E1:G1"/>
  </mergeCells>
  <conditionalFormatting sqref="B2:D285">
    <cfRule type="expression" dxfId="3" priority="2">
      <formula>(B2=392)</formula>
    </cfRule>
  </conditionalFormatting>
  <conditionalFormatting sqref="P2:P285">
    <cfRule type="expression" dxfId="2" priority="1">
      <formula>P2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4103" r:id="rId4" name="cbModeOff"/>
    <control shapeId="4099" r:id="rId5" name="cbDummyRead"/>
    <control shapeId="4097" r:id="rId6" name="cbMeas"/>
    <control shapeId="4098" r:id="rId7" name="cbReset"/>
    <control shapeId="4100" r:id="rId8" name="cbWait"/>
    <control shapeId="4101" r:id="rId9" name="cbModeOn"/>
    <control shapeId="4102" r:id="rId10" name="cmdHideSHow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B285"/>
  <sheetViews>
    <sheetView tabSelected="1" zoomScale="90" zoomScaleNormal="90" workbookViewId="0">
      <pane xSplit="3870" ySplit="6555" topLeftCell="P261" activePane="topRight"/>
      <selection pane="bottomLeft" activeCell="S140" sqref="S140"/>
      <selection pane="topRight" activeCell="Z4" sqref="Z4"/>
      <selection pane="bottomRight" activeCell="E136" sqref="E136"/>
    </sheetView>
  </sheetViews>
  <sheetFormatPr defaultRowHeight="17.25" customHeight="1"/>
  <cols>
    <col min="1" max="10" width="9.140625" style="210"/>
    <col min="11" max="11" width="9.28515625" style="55" bestFit="1" customWidth="1"/>
    <col min="12" max="19" width="9.140625" style="55"/>
    <col min="20" max="21" width="9.140625" style="210"/>
    <col min="22" max="22" width="10.28515625" style="210" bestFit="1" customWidth="1"/>
    <col min="23" max="23" width="10.28515625" style="210" customWidth="1"/>
    <col min="24" max="24" width="9.7109375" style="210" bestFit="1" customWidth="1"/>
    <col min="25" max="16384" width="9.140625" style="210"/>
  </cols>
  <sheetData>
    <row r="1" spans="1:28" ht="17.25" customHeight="1">
      <c r="A1" s="8">
        <v>300</v>
      </c>
      <c r="B1" s="327" t="s">
        <v>116</v>
      </c>
      <c r="C1" s="327"/>
      <c r="D1" s="327"/>
      <c r="E1" s="229" t="s">
        <v>117</v>
      </c>
      <c r="F1" s="229"/>
      <c r="G1" s="229"/>
      <c r="H1" s="213" t="s">
        <v>31</v>
      </c>
      <c r="I1" s="213" t="s">
        <v>32</v>
      </c>
      <c r="J1" s="213" t="s">
        <v>33</v>
      </c>
      <c r="K1" s="212" t="str">
        <f>H1</f>
        <v>R</v>
      </c>
      <c r="L1" s="212" t="str">
        <f>I1</f>
        <v>G</v>
      </c>
      <c r="M1" s="212" t="str">
        <f>J1</f>
        <v>B</v>
      </c>
      <c r="N1" s="212" t="str">
        <f>K1</f>
        <v>R</v>
      </c>
      <c r="O1" s="214" t="str">
        <f t="shared" ref="O1:S1" si="0">L1</f>
        <v>G</v>
      </c>
      <c r="P1" s="214" t="str">
        <f t="shared" si="0"/>
        <v>B</v>
      </c>
      <c r="Q1" s="214" t="str">
        <f t="shared" si="0"/>
        <v>R</v>
      </c>
      <c r="R1" s="214" t="str">
        <f t="shared" si="0"/>
        <v>G</v>
      </c>
      <c r="S1" s="214" t="str">
        <f t="shared" si="0"/>
        <v>B</v>
      </c>
      <c r="T1" s="213"/>
    </row>
    <row r="2" spans="1:28" ht="17.25" customHeight="1">
      <c r="A2" s="213">
        <v>0</v>
      </c>
      <c r="B2" s="55">
        <v>29909</v>
      </c>
      <c r="C2" s="55">
        <v>27852</v>
      </c>
      <c r="D2" s="55">
        <v>11278</v>
      </c>
      <c r="E2" s="213" t="str">
        <f t="shared" ref="E2:G65" si="1">DEC2HEX(B2)</f>
        <v>74D5</v>
      </c>
      <c r="F2" s="213" t="str">
        <f t="shared" si="1"/>
        <v>6CCC</v>
      </c>
      <c r="G2" s="213" t="str">
        <f t="shared" si="1"/>
        <v>2C0E</v>
      </c>
      <c r="H2" s="210">
        <f t="shared" ref="H2:H65" si="2">B2-Q$3</f>
        <v>38.958646616541955</v>
      </c>
      <c r="I2" s="210">
        <f t="shared" ref="I2:I65" si="3">C2-R$3</f>
        <v>69.530075187969487</v>
      </c>
      <c r="J2" s="210">
        <f t="shared" ref="J2:J65" si="4">D2-S$3</f>
        <v>31.082706766917909</v>
      </c>
      <c r="N2" s="329" t="s">
        <v>124</v>
      </c>
      <c r="O2" s="221"/>
      <c r="P2" s="221"/>
      <c r="Q2" s="221"/>
      <c r="R2" s="221"/>
      <c r="S2" s="221"/>
      <c r="T2" s="213"/>
    </row>
    <row r="3" spans="1:28" ht="17.25" customHeight="1">
      <c r="A3" s="213">
        <f>A2+A$1</f>
        <v>300</v>
      </c>
      <c r="B3" s="55">
        <v>29898</v>
      </c>
      <c r="C3" s="55">
        <v>27834</v>
      </c>
      <c r="D3" s="55">
        <v>11262</v>
      </c>
      <c r="E3" s="213" t="str">
        <f t="shared" si="1"/>
        <v>74CA</v>
      </c>
      <c r="F3" s="213" t="str">
        <f t="shared" si="1"/>
        <v>6CBA</v>
      </c>
      <c r="G3" s="213" t="str">
        <f t="shared" si="1"/>
        <v>2BFE</v>
      </c>
      <c r="H3" s="210">
        <f t="shared" si="2"/>
        <v>27.958646616541955</v>
      </c>
      <c r="I3" s="210">
        <f t="shared" si="3"/>
        <v>51.530075187969487</v>
      </c>
      <c r="J3" s="210">
        <f t="shared" si="4"/>
        <v>15.082706766917909</v>
      </c>
      <c r="N3" s="229" t="s">
        <v>121</v>
      </c>
      <c r="O3" s="229"/>
      <c r="P3" s="229"/>
      <c r="Q3" s="213">
        <f>AVERAGE(B2:B267)</f>
        <v>29870.041353383458</v>
      </c>
      <c r="R3" s="213">
        <f>AVERAGE(C2:C267)</f>
        <v>27782.469924812031</v>
      </c>
      <c r="S3" s="213">
        <f>AVERAGE(D2:D267)</f>
        <v>11246.917293233082</v>
      </c>
      <c r="T3" s="213"/>
    </row>
    <row r="4" spans="1:28" ht="17.25" customHeight="1">
      <c r="A4" s="213">
        <f t="shared" ref="A4:A67" si="5">A3+A$1</f>
        <v>600</v>
      </c>
      <c r="B4" s="55">
        <v>29885</v>
      </c>
      <c r="C4" s="55">
        <v>27821</v>
      </c>
      <c r="D4" s="55">
        <v>11246</v>
      </c>
      <c r="E4" s="213" t="str">
        <f t="shared" si="1"/>
        <v>74BD</v>
      </c>
      <c r="F4" s="213" t="str">
        <f t="shared" si="1"/>
        <v>6CAD</v>
      </c>
      <c r="G4" s="213" t="str">
        <f t="shared" si="1"/>
        <v>2BEE</v>
      </c>
      <c r="H4" s="210">
        <f t="shared" si="2"/>
        <v>14.958646616541955</v>
      </c>
      <c r="I4" s="210">
        <f t="shared" si="3"/>
        <v>38.530075187969487</v>
      </c>
      <c r="J4" s="210">
        <f t="shared" si="4"/>
        <v>-0.91729323308209132</v>
      </c>
      <c r="N4" s="221" t="s">
        <v>122</v>
      </c>
      <c r="O4" s="221"/>
      <c r="P4" s="221"/>
      <c r="Q4" s="219">
        <f>AVERAGE(K12:K267)</f>
        <v>-2.214197780057772E-5</v>
      </c>
      <c r="R4" s="219">
        <f>AVERAGE(L12:L267)</f>
        <v>-3.0987343025899196E-5</v>
      </c>
      <c r="S4" s="219">
        <f>AVERAGE(M12:M267)</f>
        <v>-1.6990064187048355E-5</v>
      </c>
      <c r="T4" s="213"/>
    </row>
    <row r="5" spans="1:28" ht="17.25" customHeight="1">
      <c r="A5" s="213">
        <f t="shared" si="5"/>
        <v>900</v>
      </c>
      <c r="B5" s="55">
        <v>29867</v>
      </c>
      <c r="C5" s="55">
        <v>27734</v>
      </c>
      <c r="D5" s="55">
        <v>11232</v>
      </c>
      <c r="E5" s="213" t="str">
        <f t="shared" si="1"/>
        <v>74AB</v>
      </c>
      <c r="F5" s="213" t="str">
        <f t="shared" si="1"/>
        <v>6C56</v>
      </c>
      <c r="G5" s="213" t="str">
        <f t="shared" si="1"/>
        <v>2BE0</v>
      </c>
      <c r="H5" s="210">
        <f t="shared" si="2"/>
        <v>-3.0413533834580448</v>
      </c>
      <c r="I5" s="210">
        <f t="shared" si="3"/>
        <v>-48.469924812030513</v>
      </c>
      <c r="J5" s="210">
        <f t="shared" si="4"/>
        <v>-14.917293233082091</v>
      </c>
      <c r="K5" s="212"/>
      <c r="L5" s="212"/>
      <c r="M5" s="212"/>
      <c r="N5" s="221" t="s">
        <v>123</v>
      </c>
      <c r="O5" s="221"/>
      <c r="P5" s="221"/>
      <c r="Q5" s="219">
        <f>STDEV(N12:N267)</f>
        <v>4.9334918441599617E-4</v>
      </c>
      <c r="R5" s="219">
        <f>STDEV(O12:O267)</f>
        <v>7.9643342002216043E-4</v>
      </c>
      <c r="S5" s="219">
        <f>STDEV(P12:P267)</f>
        <v>8.2483915406148954E-4</v>
      </c>
      <c r="T5" s="213"/>
    </row>
    <row r="6" spans="1:28" ht="17.25" customHeight="1">
      <c r="A6" s="213">
        <f t="shared" si="5"/>
        <v>1200</v>
      </c>
      <c r="B6" s="55">
        <v>29823</v>
      </c>
      <c r="C6" s="55">
        <v>27721</v>
      </c>
      <c r="D6" s="55">
        <v>11238</v>
      </c>
      <c r="E6" s="213" t="str">
        <f t="shared" si="1"/>
        <v>747F</v>
      </c>
      <c r="F6" s="213" t="str">
        <f t="shared" si="1"/>
        <v>6C49</v>
      </c>
      <c r="G6" s="213" t="str">
        <f t="shared" si="1"/>
        <v>2BE6</v>
      </c>
      <c r="H6" s="210">
        <f t="shared" si="2"/>
        <v>-47.041353383458045</v>
      </c>
      <c r="I6" s="210">
        <f t="shared" si="3"/>
        <v>-61.469924812030513</v>
      </c>
      <c r="J6" s="210">
        <f t="shared" si="4"/>
        <v>-8.9172932330820913</v>
      </c>
      <c r="L6" s="212"/>
      <c r="M6" s="212"/>
      <c r="O6" s="221" t="s">
        <v>125</v>
      </c>
      <c r="P6" s="221"/>
      <c r="Q6" s="55">
        <v>256</v>
      </c>
      <c r="T6" s="213"/>
    </row>
    <row r="7" spans="1:28" ht="17.25" customHeight="1">
      <c r="A7" s="213">
        <f t="shared" si="5"/>
        <v>1500</v>
      </c>
      <c r="B7" s="55">
        <v>29861</v>
      </c>
      <c r="C7" s="55">
        <v>27785</v>
      </c>
      <c r="D7" s="55">
        <v>11202</v>
      </c>
      <c r="E7" s="213" t="str">
        <f t="shared" si="1"/>
        <v>74A5</v>
      </c>
      <c r="F7" s="213" t="str">
        <f t="shared" si="1"/>
        <v>6C89</v>
      </c>
      <c r="G7" s="213" t="str">
        <f t="shared" si="1"/>
        <v>2BC2</v>
      </c>
      <c r="H7" s="210">
        <f t="shared" si="2"/>
        <v>-9.0413533834580448</v>
      </c>
      <c r="I7" s="210">
        <f t="shared" si="3"/>
        <v>2.5300751879694872</v>
      </c>
      <c r="J7" s="210">
        <f t="shared" si="4"/>
        <v>-44.917293233082091</v>
      </c>
      <c r="K7" s="212"/>
      <c r="L7" s="212"/>
      <c r="M7" s="212"/>
      <c r="O7" s="221" t="s">
        <v>126</v>
      </c>
      <c r="P7" s="221"/>
      <c r="Q7" s="55">
        <f>((2*Q6-1)/(2^1.5))^2</f>
        <v>32640.125000000004</v>
      </c>
      <c r="T7" s="213"/>
    </row>
    <row r="8" spans="1:28" ht="17.25" customHeight="1">
      <c r="A8" s="213">
        <f t="shared" si="5"/>
        <v>1800</v>
      </c>
      <c r="B8" s="55">
        <v>29831</v>
      </c>
      <c r="C8" s="55">
        <v>27716</v>
      </c>
      <c r="D8" s="55">
        <v>11226</v>
      </c>
      <c r="E8" s="213" t="str">
        <f t="shared" si="1"/>
        <v>7487</v>
      </c>
      <c r="F8" s="213" t="str">
        <f t="shared" si="1"/>
        <v>6C44</v>
      </c>
      <c r="G8" s="213" t="str">
        <f t="shared" si="1"/>
        <v>2BDA</v>
      </c>
      <c r="H8" s="210">
        <f t="shared" si="2"/>
        <v>-39.041353383458045</v>
      </c>
      <c r="I8" s="210">
        <f t="shared" si="3"/>
        <v>-66.469924812030513</v>
      </c>
      <c r="J8" s="210">
        <f t="shared" si="4"/>
        <v>-20.917293233082091</v>
      </c>
      <c r="K8" s="212"/>
      <c r="L8" s="212"/>
      <c r="M8" s="212"/>
      <c r="Q8" s="220"/>
      <c r="T8" s="213"/>
    </row>
    <row r="9" spans="1:28" ht="17.25" customHeight="1">
      <c r="A9" s="213">
        <f t="shared" si="5"/>
        <v>2100</v>
      </c>
      <c r="B9" s="55">
        <v>29807</v>
      </c>
      <c r="C9" s="55">
        <v>27728</v>
      </c>
      <c r="D9" s="55">
        <v>11217</v>
      </c>
      <c r="E9" s="213" t="str">
        <f t="shared" si="1"/>
        <v>746F</v>
      </c>
      <c r="F9" s="213" t="str">
        <f t="shared" si="1"/>
        <v>6C50</v>
      </c>
      <c r="G9" s="213" t="str">
        <f t="shared" si="1"/>
        <v>2BD1</v>
      </c>
      <c r="H9" s="210">
        <f t="shared" si="2"/>
        <v>-63.041353383458045</v>
      </c>
      <c r="I9" s="210">
        <f t="shared" si="3"/>
        <v>-54.469924812030513</v>
      </c>
      <c r="J9" s="210">
        <f t="shared" si="4"/>
        <v>-29.917293233082091</v>
      </c>
      <c r="K9" s="212"/>
      <c r="L9" s="212"/>
      <c r="M9" s="212"/>
      <c r="N9" s="212"/>
      <c r="O9" s="212"/>
      <c r="P9" s="212"/>
      <c r="Q9" s="212"/>
      <c r="R9" s="212"/>
      <c r="S9" s="212"/>
      <c r="T9" s="213"/>
      <c r="U9" s="222" t="str">
        <f>"Frequency Domain: "&amp;ROUND(V13,1)&amp;" mHz BW, DC = {"&amp;ROUND(100*Q3/65535,1)&amp;","&amp;ROUND(100*R3/65535,1)&amp;","&amp;ROUND(100*S3/65535,1)&amp;"} %FSR"</f>
        <v>Frequency Domain: 12.6 mHz BW, DC = {45.6,42.4,17.2} %FSR</v>
      </c>
      <c r="V9" s="222"/>
      <c r="W9" s="222"/>
      <c r="X9" s="222"/>
      <c r="Y9" s="222"/>
      <c r="Z9" s="222"/>
      <c r="AA9" s="222"/>
      <c r="AB9" s="222"/>
    </row>
    <row r="10" spans="1:28" ht="17.25" customHeight="1">
      <c r="A10" s="213">
        <f t="shared" si="5"/>
        <v>2400</v>
      </c>
      <c r="B10" s="55">
        <v>29909</v>
      </c>
      <c r="C10" s="55">
        <v>27798</v>
      </c>
      <c r="D10" s="55">
        <v>11227</v>
      </c>
      <c r="E10" s="213" t="str">
        <f t="shared" si="1"/>
        <v>74D5</v>
      </c>
      <c r="F10" s="213" t="str">
        <f t="shared" si="1"/>
        <v>6C96</v>
      </c>
      <c r="G10" s="213" t="str">
        <f t="shared" si="1"/>
        <v>2BDB</v>
      </c>
      <c r="H10" s="210">
        <f t="shared" si="2"/>
        <v>38.958646616541955</v>
      </c>
      <c r="I10" s="210">
        <f t="shared" si="3"/>
        <v>15.530075187969487</v>
      </c>
      <c r="J10" s="210">
        <f t="shared" si="4"/>
        <v>-19.917293233082091</v>
      </c>
      <c r="K10" s="212"/>
      <c r="L10" s="212"/>
      <c r="M10" s="212"/>
      <c r="N10" s="212"/>
      <c r="O10" s="212"/>
      <c r="P10" s="212"/>
      <c r="Q10" s="212"/>
      <c r="R10" s="212"/>
      <c r="S10" s="212"/>
      <c r="T10" s="213"/>
      <c r="U10" s="222" t="s">
        <v>119</v>
      </c>
      <c r="V10" s="222" t="s">
        <v>127</v>
      </c>
      <c r="W10" s="222" t="s">
        <v>130</v>
      </c>
      <c r="X10" s="222"/>
      <c r="Y10" s="222" t="s">
        <v>131</v>
      </c>
      <c r="Z10" s="222"/>
      <c r="AA10" s="222" t="s">
        <v>132</v>
      </c>
      <c r="AB10" s="222"/>
    </row>
    <row r="11" spans="1:28" ht="17.25" customHeight="1">
      <c r="A11" s="213">
        <f t="shared" si="5"/>
        <v>2700</v>
      </c>
      <c r="B11" s="55">
        <v>29836</v>
      </c>
      <c r="C11" s="55">
        <v>27755</v>
      </c>
      <c r="D11" s="55">
        <v>11247</v>
      </c>
      <c r="E11" s="213" t="str">
        <f t="shared" si="1"/>
        <v>748C</v>
      </c>
      <c r="F11" s="213" t="str">
        <f t="shared" si="1"/>
        <v>6C6B</v>
      </c>
      <c r="G11" s="213" t="str">
        <f t="shared" si="1"/>
        <v>2BEF</v>
      </c>
      <c r="H11" s="210">
        <f t="shared" si="2"/>
        <v>-34.041353383458045</v>
      </c>
      <c r="I11" s="210">
        <f t="shared" si="3"/>
        <v>-27.469924812030513</v>
      </c>
      <c r="J11" s="210">
        <f t="shared" si="4"/>
        <v>8.2706766917908681E-2</v>
      </c>
      <c r="K11" s="212"/>
      <c r="L11" s="212"/>
      <c r="M11" s="212"/>
      <c r="N11" s="212"/>
      <c r="O11" s="212"/>
      <c r="P11" s="212"/>
      <c r="Q11" s="212"/>
      <c r="R11" s="212"/>
      <c r="S11" s="212"/>
      <c r="T11" s="213"/>
      <c r="U11" s="222"/>
      <c r="V11" s="222"/>
      <c r="W11" s="215" t="s">
        <v>129</v>
      </c>
      <c r="X11" s="215" t="s">
        <v>128</v>
      </c>
      <c r="Y11" s="215" t="s">
        <v>129</v>
      </c>
      <c r="Z11" s="215" t="s">
        <v>128</v>
      </c>
      <c r="AA11" s="215" t="s">
        <v>129</v>
      </c>
      <c r="AB11" s="215" t="s">
        <v>128</v>
      </c>
    </row>
    <row r="12" spans="1:28" ht="17.25" customHeight="1">
      <c r="A12" s="213">
        <f t="shared" si="5"/>
        <v>3000</v>
      </c>
      <c r="B12" s="55">
        <v>29840</v>
      </c>
      <c r="C12" s="55">
        <v>27689</v>
      </c>
      <c r="D12" s="55">
        <v>11203</v>
      </c>
      <c r="E12" s="213" t="str">
        <f t="shared" si="1"/>
        <v>7490</v>
      </c>
      <c r="F12" s="213" t="str">
        <f t="shared" si="1"/>
        <v>6C29</v>
      </c>
      <c r="G12" s="213" t="str">
        <f t="shared" si="1"/>
        <v>2BC3</v>
      </c>
      <c r="H12" s="210">
        <f t="shared" si="2"/>
        <v>-30.041353383458045</v>
      </c>
      <c r="I12" s="210">
        <f t="shared" si="3"/>
        <v>-93.469924812030513</v>
      </c>
      <c r="J12" s="210">
        <f t="shared" si="4"/>
        <v>-43.917293233082091</v>
      </c>
      <c r="K12" s="217">
        <f t="shared" ref="K12:K75" si="6">AVERAGE(H2:H12)/Q$3</f>
        <v>-3.1790712057142413E-4</v>
      </c>
      <c r="L12" s="217">
        <f t="shared" ref="L12:L75" si="7">AVERAGE(I2:I12)/R$3</f>
        <v>-5.6991193434267711E-4</v>
      </c>
      <c r="M12" s="217">
        <f t="shared" ref="M12:M75" si="8">AVERAGE(J2:J12)/S$3</f>
        <v>-1.1161864662238487E-3</v>
      </c>
      <c r="N12" s="217">
        <f t="shared" ref="N12:N75" si="9">K12-Q$4</f>
        <v>-2.9576514277084639E-4</v>
      </c>
      <c r="O12" s="217">
        <f t="shared" ref="O12:O75" si="10">L12-R$4</f>
        <v>-5.3892459131677796E-4</v>
      </c>
      <c r="P12" s="217">
        <f t="shared" ref="P12:P75" si="11">M12-S$4</f>
        <v>-1.0991964020368003E-3</v>
      </c>
      <c r="Q12" s="4" t="s">
        <v>120</v>
      </c>
      <c r="R12" s="4" t="s">
        <v>120</v>
      </c>
      <c r="S12" s="4" t="s">
        <v>120</v>
      </c>
      <c r="U12" s="210">
        <v>0</v>
      </c>
      <c r="V12" s="210">
        <v>0</v>
      </c>
      <c r="W12" s="218">
        <f>(SUM(W13:W140))^0.5</f>
        <v>4.9334851814837892E-4</v>
      </c>
      <c r="X12" s="210">
        <f>(IMREAL(Q12)^2+IMAGINARY(Q12)^2)^0.5</f>
        <v>0</v>
      </c>
      <c r="Y12" s="218">
        <f>(SUM(Y13:Y140))^0.5</f>
        <v>7.9652152456587361E-4</v>
      </c>
      <c r="Z12" s="215">
        <f>(IMREAL(R12)^2+IMAGINARY(R12)^2)^0.5</f>
        <v>0</v>
      </c>
      <c r="AA12" s="218">
        <f t="shared" ref="AA12" si="12">(SUM(AA13:AA140))^0.5</f>
        <v>8.2483758010077897E-4</v>
      </c>
      <c r="AB12" s="215">
        <f>(IMREAL(S12)^2+IMAGINARY(S12)^2)^0.5</f>
        <v>0</v>
      </c>
    </row>
    <row r="13" spans="1:28" ht="17.25" customHeight="1">
      <c r="A13" s="213">
        <f t="shared" si="5"/>
        <v>3300</v>
      </c>
      <c r="B13" s="55">
        <v>29796</v>
      </c>
      <c r="C13" s="55">
        <v>27700</v>
      </c>
      <c r="D13" s="55">
        <v>11237</v>
      </c>
      <c r="E13" s="213" t="str">
        <f t="shared" si="1"/>
        <v>7464</v>
      </c>
      <c r="F13" s="213" t="str">
        <f t="shared" si="1"/>
        <v>6C34</v>
      </c>
      <c r="G13" s="213" t="str">
        <f t="shared" si="1"/>
        <v>2BE5</v>
      </c>
      <c r="H13" s="210">
        <f t="shared" si="2"/>
        <v>-74.041353383458045</v>
      </c>
      <c r="I13" s="210">
        <f t="shared" si="3"/>
        <v>-82.469924812030513</v>
      </c>
      <c r="J13" s="210">
        <f t="shared" si="4"/>
        <v>-9.9172932330820913</v>
      </c>
      <c r="K13" s="217">
        <f t="shared" si="6"/>
        <v>-6.6182118320005359E-4</v>
      </c>
      <c r="L13" s="217">
        <f t="shared" si="7"/>
        <v>-1.0672824653133971E-3</v>
      </c>
      <c r="M13" s="217">
        <f t="shared" si="8"/>
        <v>-1.4475904083080774E-3</v>
      </c>
      <c r="N13" s="217">
        <f t="shared" si="9"/>
        <v>-6.3967920539947584E-4</v>
      </c>
      <c r="O13" s="217">
        <f t="shared" si="10"/>
        <v>-1.0362951222874978E-3</v>
      </c>
      <c r="P13" s="217">
        <f t="shared" si="11"/>
        <v>-1.430600344121029E-3</v>
      </c>
      <c r="Q13" s="4" t="s">
        <v>133</v>
      </c>
      <c r="R13" s="4" t="s">
        <v>388</v>
      </c>
      <c r="S13" s="4" t="s">
        <v>643</v>
      </c>
      <c r="U13" s="210">
        <f>U12+1</f>
        <v>1</v>
      </c>
      <c r="V13" s="210">
        <f>10^6/A267</f>
        <v>12.578616352201259</v>
      </c>
      <c r="W13" s="210">
        <f>(IMREAL(Q13)^2+IMAGINARY(Q13)^2)/$Q$7</f>
        <v>1.0816855649716057E-8</v>
      </c>
      <c r="X13" s="211">
        <f t="shared" ref="X13:X44" si="13">IF(W13&lt;&gt;0,10*LOG10(W13),-120)</f>
        <v>-79.658989658872599</v>
      </c>
      <c r="Y13" s="215">
        <f t="shared" ref="Y13:Y44" si="14">(IMREAL(R13)^2+IMAGINARY(R13)^2)/$Q$7</f>
        <v>1.6246044380833037E-9</v>
      </c>
      <c r="Z13" s="216">
        <f t="shared" ref="Z13:Z44" si="15">IF(Y13&lt;&gt;0,10*LOG10(Y13),-120)</f>
        <v>-87.892523646973558</v>
      </c>
      <c r="AA13" s="215">
        <f t="shared" ref="AA13:AA44" si="16">(IMREAL(S13)^2+IMAGINARY(S13)^2)/$Q$7</f>
        <v>1.240863637311806E-8</v>
      </c>
      <c r="AB13" s="216">
        <f t="shared" ref="AB13:AB44" si="17">IF(AA13&lt;&gt;0,10*LOG10(AA13),-120)</f>
        <v>-79.06275941963743</v>
      </c>
    </row>
    <row r="14" spans="1:28" ht="17.25" customHeight="1">
      <c r="A14" s="213">
        <f t="shared" si="5"/>
        <v>3600</v>
      </c>
      <c r="B14" s="55">
        <v>29830</v>
      </c>
      <c r="C14" s="55">
        <v>27764</v>
      </c>
      <c r="D14" s="55">
        <v>11218</v>
      </c>
      <c r="E14" s="213" t="str">
        <f t="shared" si="1"/>
        <v>7486</v>
      </c>
      <c r="F14" s="213" t="str">
        <f t="shared" si="1"/>
        <v>6C74</v>
      </c>
      <c r="G14" s="213" t="str">
        <f t="shared" si="1"/>
        <v>2BD2</v>
      </c>
      <c r="H14" s="210">
        <f t="shared" si="2"/>
        <v>-40.041353383458045</v>
      </c>
      <c r="I14" s="210">
        <f t="shared" si="3"/>
        <v>-18.469924812030513</v>
      </c>
      <c r="J14" s="210">
        <f t="shared" si="4"/>
        <v>-28.917293233082091</v>
      </c>
      <c r="K14" s="217">
        <f t="shared" si="6"/>
        <v>-8.6877831823321133E-4</v>
      </c>
      <c r="L14" s="217">
        <f t="shared" si="7"/>
        <v>-1.2963346835235972E-3</v>
      </c>
      <c r="M14" s="217">
        <f t="shared" si="8"/>
        <v>-1.8032434193252986E-3</v>
      </c>
      <c r="N14" s="217">
        <f t="shared" si="9"/>
        <v>-8.4663634043263358E-4</v>
      </c>
      <c r="O14" s="217">
        <f t="shared" si="10"/>
        <v>-1.265347340497698E-3</v>
      </c>
      <c r="P14" s="217">
        <f t="shared" si="11"/>
        <v>-1.7862533551382502E-3</v>
      </c>
      <c r="Q14" s="4" t="s">
        <v>134</v>
      </c>
      <c r="R14" s="4" t="s">
        <v>389</v>
      </c>
      <c r="S14" s="4" t="s">
        <v>644</v>
      </c>
      <c r="U14" s="210">
        <f t="shared" ref="U14:U77" si="18">U13+1</f>
        <v>2</v>
      </c>
      <c r="V14" s="210">
        <f t="shared" ref="V14:V45" si="19">V13+V$13</f>
        <v>25.157232704402517</v>
      </c>
      <c r="W14" s="215">
        <f t="shared" ref="W14:W77" si="20">(IMREAL(Q14)^2+IMAGINARY(Q14)^2)/$Q$7</f>
        <v>4.312354395510502E-8</v>
      </c>
      <c r="X14" s="216">
        <f t="shared" si="13"/>
        <v>-73.652855554071039</v>
      </c>
      <c r="Y14" s="215">
        <f t="shared" si="14"/>
        <v>1.0331145015451319E-7</v>
      </c>
      <c r="Z14" s="216">
        <f t="shared" si="15"/>
        <v>-69.858515423395858</v>
      </c>
      <c r="AA14" s="215">
        <f t="shared" si="16"/>
        <v>1.5483569351570775E-7</v>
      </c>
      <c r="AB14" s="216">
        <f t="shared" si="17"/>
        <v>-68.101289163273378</v>
      </c>
    </row>
    <row r="15" spans="1:28" ht="17.25" customHeight="1">
      <c r="A15" s="213">
        <f t="shared" si="5"/>
        <v>3900</v>
      </c>
      <c r="B15" s="55">
        <v>29851</v>
      </c>
      <c r="C15" s="55">
        <v>27658</v>
      </c>
      <c r="D15" s="55">
        <v>11247</v>
      </c>
      <c r="E15" s="213" t="str">
        <f t="shared" si="1"/>
        <v>749B</v>
      </c>
      <c r="F15" s="213" t="str">
        <f t="shared" si="1"/>
        <v>6C0A</v>
      </c>
      <c r="G15" s="213" t="str">
        <f t="shared" si="1"/>
        <v>2BEF</v>
      </c>
      <c r="H15" s="210">
        <f t="shared" si="2"/>
        <v>-19.041353383458045</v>
      </c>
      <c r="I15" s="210">
        <f t="shared" si="3"/>
        <v>-124.46992481203051</v>
      </c>
      <c r="J15" s="210">
        <f t="shared" si="4"/>
        <v>8.2706766917908681E-2</v>
      </c>
      <c r="K15" s="217">
        <f t="shared" si="6"/>
        <v>-9.7225688574979004E-4</v>
      </c>
      <c r="L15" s="217">
        <f t="shared" si="7"/>
        <v>-1.8296991344987771E-3</v>
      </c>
      <c r="M15" s="217">
        <f t="shared" si="8"/>
        <v>-1.7951603963476345E-3</v>
      </c>
      <c r="N15" s="217">
        <f t="shared" si="9"/>
        <v>-9.5011490794921229E-4</v>
      </c>
      <c r="O15" s="217">
        <f t="shared" si="10"/>
        <v>-1.7987117914728778E-3</v>
      </c>
      <c r="P15" s="217">
        <f t="shared" si="11"/>
        <v>-1.7781703321605861E-3</v>
      </c>
      <c r="Q15" s="4" t="s">
        <v>135</v>
      </c>
      <c r="R15" s="4" t="s">
        <v>390</v>
      </c>
      <c r="S15" s="4" t="s">
        <v>645</v>
      </c>
      <c r="U15" s="210">
        <f t="shared" si="18"/>
        <v>3</v>
      </c>
      <c r="V15" s="210">
        <f t="shared" si="19"/>
        <v>37.735849056603776</v>
      </c>
      <c r="W15" s="215">
        <f t="shared" si="20"/>
        <v>1.6621302970330171E-8</v>
      </c>
      <c r="X15" s="216">
        <f t="shared" si="13"/>
        <v>-77.793349341834329</v>
      </c>
      <c r="Y15" s="215">
        <f t="shared" si="14"/>
        <v>1.005687132630786E-7</v>
      </c>
      <c r="Z15" s="216">
        <f t="shared" si="15"/>
        <v>-69.975371064622962</v>
      </c>
      <c r="AA15" s="215">
        <f t="shared" si="16"/>
        <v>6.8146771721127771E-8</v>
      </c>
      <c r="AB15" s="216">
        <f t="shared" si="17"/>
        <v>-71.66554712931412</v>
      </c>
    </row>
    <row r="16" spans="1:28" ht="17.25" customHeight="1">
      <c r="A16" s="213">
        <f t="shared" si="5"/>
        <v>4200</v>
      </c>
      <c r="B16" s="55">
        <v>29911</v>
      </c>
      <c r="C16" s="55">
        <v>27847</v>
      </c>
      <c r="D16" s="55">
        <v>11230</v>
      </c>
      <c r="E16" s="213" t="str">
        <f t="shared" si="1"/>
        <v>74D7</v>
      </c>
      <c r="F16" s="213" t="str">
        <f t="shared" si="1"/>
        <v>6CC7</v>
      </c>
      <c r="G16" s="213" t="str">
        <f t="shared" si="1"/>
        <v>2BDE</v>
      </c>
      <c r="H16" s="210">
        <f t="shared" si="2"/>
        <v>40.958646616541955</v>
      </c>
      <c r="I16" s="210">
        <f t="shared" si="3"/>
        <v>64.530075187969487</v>
      </c>
      <c r="J16" s="210">
        <f t="shared" si="4"/>
        <v>-16.917293233082091</v>
      </c>
      <c r="K16" s="217">
        <f t="shared" si="6"/>
        <v>-8.3834344543421747E-4</v>
      </c>
      <c r="L16" s="217">
        <f t="shared" si="7"/>
        <v>-1.4599434108165971E-3</v>
      </c>
      <c r="M16" s="217">
        <f t="shared" si="8"/>
        <v>-1.8113264423029625E-3</v>
      </c>
      <c r="N16" s="217">
        <f t="shared" si="9"/>
        <v>-8.1620146763363972E-4</v>
      </c>
      <c r="O16" s="217">
        <f t="shared" si="10"/>
        <v>-1.4289560677906979E-3</v>
      </c>
      <c r="P16" s="217">
        <f t="shared" si="11"/>
        <v>-1.7943363781159141E-3</v>
      </c>
      <c r="Q16" s="4" t="s">
        <v>136</v>
      </c>
      <c r="R16" s="4" t="s">
        <v>391</v>
      </c>
      <c r="S16" s="4" t="s">
        <v>646</v>
      </c>
      <c r="U16" s="210">
        <f t="shared" si="18"/>
        <v>4</v>
      </c>
      <c r="V16" s="210">
        <f t="shared" si="19"/>
        <v>50.314465408805034</v>
      </c>
      <c r="W16" s="215">
        <f t="shared" si="20"/>
        <v>1.4948007023880319E-8</v>
      </c>
      <c r="X16" s="216">
        <f t="shared" si="13"/>
        <v>-78.254167067528428</v>
      </c>
      <c r="Y16" s="215">
        <f t="shared" si="14"/>
        <v>3.4472696002575506E-8</v>
      </c>
      <c r="Z16" s="216">
        <f t="shared" si="15"/>
        <v>-74.625247504401543</v>
      </c>
      <c r="AA16" s="215">
        <f t="shared" si="16"/>
        <v>2.8447343498281402E-8</v>
      </c>
      <c r="AB16" s="216">
        <f t="shared" si="17"/>
        <v>-75.459582831495467</v>
      </c>
    </row>
    <row r="17" spans="1:28" ht="17.25" customHeight="1">
      <c r="A17" s="213">
        <f t="shared" si="5"/>
        <v>4500</v>
      </c>
      <c r="B17" s="55">
        <v>29838</v>
      </c>
      <c r="C17" s="55">
        <v>27752</v>
      </c>
      <c r="D17" s="55">
        <v>11217</v>
      </c>
      <c r="E17" s="213" t="str">
        <f t="shared" si="1"/>
        <v>748E</v>
      </c>
      <c r="F17" s="213" t="str">
        <f t="shared" si="1"/>
        <v>6C68</v>
      </c>
      <c r="G17" s="213" t="str">
        <f t="shared" si="1"/>
        <v>2BD1</v>
      </c>
      <c r="H17" s="210">
        <f t="shared" si="2"/>
        <v>-32.041353383458045</v>
      </c>
      <c r="I17" s="210">
        <f t="shared" si="3"/>
        <v>-30.469924812030513</v>
      </c>
      <c r="J17" s="210">
        <f t="shared" si="4"/>
        <v>-29.917293233082091</v>
      </c>
      <c r="K17" s="217">
        <f t="shared" si="6"/>
        <v>-7.926911362357269E-4</v>
      </c>
      <c r="L17" s="217">
        <f t="shared" si="7"/>
        <v>-1.3585059998949371E-3</v>
      </c>
      <c r="M17" s="217">
        <f t="shared" si="8"/>
        <v>-1.9810699248339093E-3</v>
      </c>
      <c r="N17" s="217">
        <f t="shared" si="9"/>
        <v>-7.7054915843514915E-4</v>
      </c>
      <c r="O17" s="217">
        <f t="shared" si="10"/>
        <v>-1.3275186568690379E-3</v>
      </c>
      <c r="P17" s="217">
        <f t="shared" si="11"/>
        <v>-1.9640798606468612E-3</v>
      </c>
      <c r="Q17" s="4" t="s">
        <v>137</v>
      </c>
      <c r="R17" s="4" t="s">
        <v>392</v>
      </c>
      <c r="S17" s="4" t="s">
        <v>647</v>
      </c>
      <c r="U17" s="210">
        <f t="shared" si="18"/>
        <v>5</v>
      </c>
      <c r="V17" s="210">
        <f t="shared" si="19"/>
        <v>62.893081761006293</v>
      </c>
      <c r="W17" s="215">
        <f t="shared" si="20"/>
        <v>1.4865385167477133E-9</v>
      </c>
      <c r="X17" s="216">
        <f t="shared" si="13"/>
        <v>-88.278238335870071</v>
      </c>
      <c r="Y17" s="215">
        <f t="shared" si="14"/>
        <v>4.6541424893640938E-8</v>
      </c>
      <c r="Z17" s="216">
        <f t="shared" si="15"/>
        <v>-73.321603246596752</v>
      </c>
      <c r="AA17" s="215">
        <f t="shared" si="16"/>
        <v>2.7108015834265267E-8</v>
      </c>
      <c r="AB17" s="216">
        <f t="shared" si="17"/>
        <v>-75.669022693529499</v>
      </c>
    </row>
    <row r="18" spans="1:28" ht="17.25" customHeight="1">
      <c r="A18" s="213">
        <f t="shared" si="5"/>
        <v>4800</v>
      </c>
      <c r="B18" s="55">
        <v>29876</v>
      </c>
      <c r="C18" s="55">
        <v>27674</v>
      </c>
      <c r="D18" s="55">
        <v>11257</v>
      </c>
      <c r="E18" s="213" t="str">
        <f t="shared" si="1"/>
        <v>74B4</v>
      </c>
      <c r="F18" s="213" t="str">
        <f t="shared" si="1"/>
        <v>6C1A</v>
      </c>
      <c r="G18" s="213" t="str">
        <f t="shared" si="1"/>
        <v>2BF9</v>
      </c>
      <c r="H18" s="210">
        <f t="shared" si="2"/>
        <v>5.9586466165419552</v>
      </c>
      <c r="I18" s="210">
        <f t="shared" si="3"/>
        <v>-108.46992481203051</v>
      </c>
      <c r="J18" s="210">
        <f t="shared" si="4"/>
        <v>10.082706766917909</v>
      </c>
      <c r="K18" s="217">
        <f t="shared" si="6"/>
        <v>-7.4703882703723622E-4</v>
      </c>
      <c r="L18" s="217">
        <f t="shared" si="7"/>
        <v>-1.7217173744853971E-3</v>
      </c>
      <c r="M18" s="217">
        <f t="shared" si="8"/>
        <v>-1.5365036610623828E-3</v>
      </c>
      <c r="N18" s="217">
        <f t="shared" si="9"/>
        <v>-7.2489684923665847E-4</v>
      </c>
      <c r="O18" s="217">
        <f t="shared" si="10"/>
        <v>-1.6907300314594979E-3</v>
      </c>
      <c r="P18" s="217">
        <f t="shared" si="11"/>
        <v>-1.5195135968753344E-3</v>
      </c>
      <c r="Q18" s="4" t="s">
        <v>138</v>
      </c>
      <c r="R18" s="4" t="s">
        <v>393</v>
      </c>
      <c r="S18" s="4" t="s">
        <v>648</v>
      </c>
      <c r="U18" s="210">
        <f t="shared" si="18"/>
        <v>6</v>
      </c>
      <c r="V18" s="210">
        <f t="shared" si="19"/>
        <v>75.471698113207552</v>
      </c>
      <c r="W18" s="215">
        <f t="shared" si="20"/>
        <v>6.5466057179245471E-9</v>
      </c>
      <c r="X18" s="216">
        <f t="shared" si="13"/>
        <v>-81.839838145211132</v>
      </c>
      <c r="Y18" s="215">
        <f t="shared" si="14"/>
        <v>1.4260668994508702E-8</v>
      </c>
      <c r="Z18" s="216">
        <f t="shared" si="15"/>
        <v>-78.458601004442826</v>
      </c>
      <c r="AA18" s="215">
        <f t="shared" si="16"/>
        <v>8.1075665484208707E-8</v>
      </c>
      <c r="AB18" s="216">
        <f t="shared" si="17"/>
        <v>-70.911094778701184</v>
      </c>
    </row>
    <row r="19" spans="1:28" ht="17.25" customHeight="1">
      <c r="A19" s="213">
        <f t="shared" si="5"/>
        <v>5100</v>
      </c>
      <c r="B19" s="55">
        <v>29817</v>
      </c>
      <c r="C19" s="55">
        <v>27711</v>
      </c>
      <c r="D19" s="55">
        <v>11216</v>
      </c>
      <c r="E19" s="213" t="str">
        <f t="shared" si="1"/>
        <v>7479</v>
      </c>
      <c r="F19" s="213" t="str">
        <f t="shared" si="1"/>
        <v>6C3F</v>
      </c>
      <c r="G19" s="213" t="str">
        <f t="shared" si="1"/>
        <v>2BD0</v>
      </c>
      <c r="H19" s="210">
        <f t="shared" si="2"/>
        <v>-53.041353383458045</v>
      </c>
      <c r="I19" s="210">
        <f t="shared" si="3"/>
        <v>-71.469924812030513</v>
      </c>
      <c r="J19" s="210">
        <f t="shared" si="4"/>
        <v>-30.917293233082091</v>
      </c>
      <c r="K19" s="217">
        <f t="shared" si="6"/>
        <v>-7.8964764895582754E-4</v>
      </c>
      <c r="L19" s="217">
        <f t="shared" si="7"/>
        <v>-1.7380782472146972E-3</v>
      </c>
      <c r="M19" s="217">
        <f t="shared" si="8"/>
        <v>-1.617333890839024E-3</v>
      </c>
      <c r="N19" s="217">
        <f t="shared" si="9"/>
        <v>-7.6750567115524979E-4</v>
      </c>
      <c r="O19" s="217">
        <f t="shared" si="10"/>
        <v>-1.7070909041887979E-3</v>
      </c>
      <c r="P19" s="217">
        <f t="shared" si="11"/>
        <v>-1.6003438266519756E-3</v>
      </c>
      <c r="Q19" s="4" t="s">
        <v>139</v>
      </c>
      <c r="R19" s="4" t="s">
        <v>394</v>
      </c>
      <c r="S19" s="4" t="s">
        <v>649</v>
      </c>
      <c r="U19" s="210">
        <f t="shared" si="18"/>
        <v>7</v>
      </c>
      <c r="V19" s="210">
        <f t="shared" si="19"/>
        <v>88.050314465408803</v>
      </c>
      <c r="W19" s="215">
        <f t="shared" si="20"/>
        <v>4.3597347884415606E-8</v>
      </c>
      <c r="X19" s="216">
        <f t="shared" si="13"/>
        <v>-73.605399289469219</v>
      </c>
      <c r="Y19" s="215">
        <f t="shared" si="14"/>
        <v>4.7993581444621975E-8</v>
      </c>
      <c r="Z19" s="216">
        <f t="shared" si="15"/>
        <v>-73.188168403238734</v>
      </c>
      <c r="AA19" s="215">
        <f t="shared" si="16"/>
        <v>5.7098551737504089E-8</v>
      </c>
      <c r="AB19" s="216">
        <f t="shared" si="17"/>
        <v>-72.433749071724876</v>
      </c>
    </row>
    <row r="20" spans="1:28" ht="17.25" customHeight="1">
      <c r="A20" s="213">
        <f t="shared" si="5"/>
        <v>5400</v>
      </c>
      <c r="B20" s="55">
        <v>29836</v>
      </c>
      <c r="C20" s="55">
        <v>27717</v>
      </c>
      <c r="D20" s="55">
        <v>11228</v>
      </c>
      <c r="E20" s="213" t="str">
        <f t="shared" si="1"/>
        <v>748C</v>
      </c>
      <c r="F20" s="213" t="str">
        <f t="shared" si="1"/>
        <v>6C45</v>
      </c>
      <c r="G20" s="213" t="str">
        <f t="shared" si="1"/>
        <v>2BDC</v>
      </c>
      <c r="H20" s="210">
        <f t="shared" si="2"/>
        <v>-34.041353383458045</v>
      </c>
      <c r="I20" s="210">
        <f t="shared" si="3"/>
        <v>-65.469924812030513</v>
      </c>
      <c r="J20" s="210">
        <f t="shared" si="4"/>
        <v>-18.917293233082091</v>
      </c>
      <c r="K20" s="217">
        <f t="shared" si="6"/>
        <v>-7.0138651783874554E-4</v>
      </c>
      <c r="L20" s="217">
        <f t="shared" si="7"/>
        <v>-1.7740721672191572E-3</v>
      </c>
      <c r="M20" s="217">
        <f t="shared" si="8"/>
        <v>-1.5284206380847187E-3</v>
      </c>
      <c r="N20" s="217">
        <f t="shared" si="9"/>
        <v>-6.7924454003816779E-4</v>
      </c>
      <c r="O20" s="217">
        <f t="shared" si="10"/>
        <v>-1.7430848241932579E-3</v>
      </c>
      <c r="P20" s="217">
        <f t="shared" si="11"/>
        <v>-1.5114305738976703E-3</v>
      </c>
      <c r="Q20" s="4" t="s">
        <v>140</v>
      </c>
      <c r="R20" s="4" t="s">
        <v>395</v>
      </c>
      <c r="S20" s="4" t="s">
        <v>650</v>
      </c>
      <c r="U20" s="210">
        <f t="shared" si="18"/>
        <v>8</v>
      </c>
      <c r="V20" s="210">
        <f t="shared" si="19"/>
        <v>100.62893081761007</v>
      </c>
      <c r="W20" s="215">
        <f t="shared" si="20"/>
        <v>6.3236796175179372E-9</v>
      </c>
      <c r="X20" s="216">
        <f t="shared" si="13"/>
        <v>-81.990301412491107</v>
      </c>
      <c r="Y20" s="215">
        <f t="shared" si="14"/>
        <v>1.1920171105062812E-8</v>
      </c>
      <c r="Z20" s="216">
        <f t="shared" si="15"/>
        <v>-79.237175105814146</v>
      </c>
      <c r="AA20" s="215">
        <f t="shared" si="16"/>
        <v>2.5711408134084758E-8</v>
      </c>
      <c r="AB20" s="216">
        <f t="shared" si="17"/>
        <v>-75.898741377439038</v>
      </c>
    </row>
    <row r="21" spans="1:28" ht="17.25" customHeight="1">
      <c r="A21" s="213">
        <f t="shared" si="5"/>
        <v>5700</v>
      </c>
      <c r="B21" s="55">
        <v>29883</v>
      </c>
      <c r="C21" s="55">
        <v>27839</v>
      </c>
      <c r="D21" s="55">
        <v>11246</v>
      </c>
      <c r="E21" s="213" t="str">
        <f t="shared" si="1"/>
        <v>74BB</v>
      </c>
      <c r="F21" s="213" t="str">
        <f t="shared" si="1"/>
        <v>6CBF</v>
      </c>
      <c r="G21" s="213" t="str">
        <f t="shared" si="1"/>
        <v>2BEE</v>
      </c>
      <c r="H21" s="210">
        <f t="shared" si="2"/>
        <v>12.958646616541955</v>
      </c>
      <c r="I21" s="210">
        <f t="shared" si="3"/>
        <v>56.530075187969487</v>
      </c>
      <c r="J21" s="210">
        <f t="shared" si="4"/>
        <v>-0.91729323308209132</v>
      </c>
      <c r="K21" s="217">
        <f t="shared" si="6"/>
        <v>-7.8051718711612933E-4</v>
      </c>
      <c r="L21" s="217">
        <f t="shared" si="7"/>
        <v>-1.6399130108388973E-3</v>
      </c>
      <c r="M21" s="217">
        <f t="shared" si="8"/>
        <v>-1.3748432015091004E-3</v>
      </c>
      <c r="N21" s="217">
        <f t="shared" si="9"/>
        <v>-7.5837520931555159E-4</v>
      </c>
      <c r="O21" s="217">
        <f t="shared" si="10"/>
        <v>-1.608925667812998E-3</v>
      </c>
      <c r="P21" s="217">
        <f t="shared" si="11"/>
        <v>-1.357853137322052E-3</v>
      </c>
      <c r="Q21" s="4" t="s">
        <v>141</v>
      </c>
      <c r="R21" s="4" t="s">
        <v>396</v>
      </c>
      <c r="S21" s="4" t="s">
        <v>651</v>
      </c>
      <c r="U21" s="210">
        <f t="shared" si="18"/>
        <v>9</v>
      </c>
      <c r="V21" s="210">
        <f t="shared" si="19"/>
        <v>113.20754716981133</v>
      </c>
      <c r="W21" s="215">
        <f t="shared" si="20"/>
        <v>3.5863266572555329E-8</v>
      </c>
      <c r="X21" s="216">
        <f t="shared" si="13"/>
        <v>-74.453501556599164</v>
      </c>
      <c r="Y21" s="215">
        <f t="shared" si="14"/>
        <v>9.6315640101275764E-8</v>
      </c>
      <c r="Z21" s="216">
        <f t="shared" si="15"/>
        <v>-70.163031847533276</v>
      </c>
      <c r="AA21" s="215">
        <f t="shared" si="16"/>
        <v>3.7472932301767768E-8</v>
      </c>
      <c r="AB21" s="216">
        <f t="shared" si="17"/>
        <v>-74.262823215138894</v>
      </c>
    </row>
    <row r="22" spans="1:28" ht="17.25" customHeight="1">
      <c r="A22" s="213">
        <f t="shared" si="5"/>
        <v>6000</v>
      </c>
      <c r="B22" s="55">
        <v>29831</v>
      </c>
      <c r="C22" s="55">
        <v>27732</v>
      </c>
      <c r="D22" s="55">
        <v>11240</v>
      </c>
      <c r="E22" s="213" t="str">
        <f t="shared" si="1"/>
        <v>7487</v>
      </c>
      <c r="F22" s="213" t="str">
        <f t="shared" si="1"/>
        <v>6C54</v>
      </c>
      <c r="G22" s="213" t="str">
        <f t="shared" si="1"/>
        <v>2BE8</v>
      </c>
      <c r="H22" s="210">
        <f t="shared" si="2"/>
        <v>-39.041353383458045</v>
      </c>
      <c r="I22" s="210">
        <f t="shared" si="3"/>
        <v>-50.469924812030513</v>
      </c>
      <c r="J22" s="210">
        <f t="shared" si="4"/>
        <v>-6.9172932330820913</v>
      </c>
      <c r="K22" s="217">
        <f t="shared" si="6"/>
        <v>-7.9573462351562616E-4</v>
      </c>
      <c r="L22" s="217">
        <f t="shared" si="7"/>
        <v>-1.7151730253936769E-3</v>
      </c>
      <c r="M22" s="217">
        <f t="shared" si="8"/>
        <v>-1.4314243623527493E-3</v>
      </c>
      <c r="N22" s="217">
        <f t="shared" si="9"/>
        <v>-7.7359264571504841E-4</v>
      </c>
      <c r="O22" s="217">
        <f t="shared" si="10"/>
        <v>-1.6841856823677777E-3</v>
      </c>
      <c r="P22" s="217">
        <f t="shared" si="11"/>
        <v>-1.4144342981657009E-3</v>
      </c>
      <c r="Q22" s="4" t="s">
        <v>142</v>
      </c>
      <c r="R22" s="4" t="s">
        <v>397</v>
      </c>
      <c r="S22" s="4" t="s">
        <v>652</v>
      </c>
      <c r="U22" s="210">
        <f t="shared" si="18"/>
        <v>10</v>
      </c>
      <c r="V22" s="210">
        <f t="shared" si="19"/>
        <v>125.7861635220126</v>
      </c>
      <c r="W22" s="215">
        <f t="shared" si="20"/>
        <v>3.2509804332879775E-9</v>
      </c>
      <c r="X22" s="216">
        <f t="shared" si="13"/>
        <v>-84.879856443890262</v>
      </c>
      <c r="Y22" s="215">
        <f t="shared" si="14"/>
        <v>4.8963244358859085E-10</v>
      </c>
      <c r="Z22" s="216">
        <f t="shared" si="15"/>
        <v>-93.101298130751658</v>
      </c>
      <c r="AA22" s="215">
        <f t="shared" si="16"/>
        <v>5.7203941517036157E-10</v>
      </c>
      <c r="AB22" s="216">
        <f t="shared" si="17"/>
        <v>-92.425740460299735</v>
      </c>
    </row>
    <row r="23" spans="1:28" ht="17.25" customHeight="1">
      <c r="A23" s="213">
        <f t="shared" si="5"/>
        <v>6300</v>
      </c>
      <c r="B23" s="55">
        <v>29803</v>
      </c>
      <c r="C23" s="55">
        <v>27698</v>
      </c>
      <c r="D23" s="55">
        <v>11206</v>
      </c>
      <c r="E23" s="213" t="str">
        <f t="shared" si="1"/>
        <v>746B</v>
      </c>
      <c r="F23" s="213" t="str">
        <f t="shared" si="1"/>
        <v>6C32</v>
      </c>
      <c r="G23" s="213" t="str">
        <f t="shared" si="1"/>
        <v>2BC6</v>
      </c>
      <c r="H23" s="210">
        <f t="shared" si="2"/>
        <v>-67.041353383458045</v>
      </c>
      <c r="I23" s="210">
        <f t="shared" si="3"/>
        <v>-84.469924812030513</v>
      </c>
      <c r="J23" s="210">
        <f t="shared" si="4"/>
        <v>-40.917293233082091</v>
      </c>
      <c r="K23" s="217">
        <f t="shared" si="6"/>
        <v>-9.0834365287190307E-4</v>
      </c>
      <c r="L23" s="217">
        <f t="shared" si="7"/>
        <v>-1.6857234544809371E-3</v>
      </c>
      <c r="M23" s="217">
        <f t="shared" si="8"/>
        <v>-1.4071752934197569E-3</v>
      </c>
      <c r="N23" s="217">
        <f t="shared" si="9"/>
        <v>-8.8620167507132532E-4</v>
      </c>
      <c r="O23" s="217">
        <f t="shared" si="10"/>
        <v>-1.6547361114550379E-3</v>
      </c>
      <c r="P23" s="217">
        <f t="shared" si="11"/>
        <v>-1.3901852292327085E-3</v>
      </c>
      <c r="Q23" s="4" t="s">
        <v>143</v>
      </c>
      <c r="R23" s="4" t="s">
        <v>398</v>
      </c>
      <c r="S23" s="4" t="s">
        <v>653</v>
      </c>
      <c r="U23" s="210">
        <f t="shared" si="18"/>
        <v>11</v>
      </c>
      <c r="V23" s="210">
        <f t="shared" si="19"/>
        <v>138.36477987421387</v>
      </c>
      <c r="W23" s="215">
        <f t="shared" si="20"/>
        <v>1.0617430551417178E-8</v>
      </c>
      <c r="X23" s="216">
        <f t="shared" si="13"/>
        <v>-79.73980571046954</v>
      </c>
      <c r="Y23" s="215">
        <f t="shared" si="14"/>
        <v>5.6666634162209168E-8</v>
      </c>
      <c r="Z23" s="216">
        <f t="shared" si="15"/>
        <v>-72.466725824562815</v>
      </c>
      <c r="AA23" s="215">
        <f t="shared" si="16"/>
        <v>1.9496329010202238E-8</v>
      </c>
      <c r="AB23" s="216">
        <f t="shared" si="17"/>
        <v>-77.100471548271457</v>
      </c>
    </row>
    <row r="24" spans="1:28" ht="17.25" customHeight="1">
      <c r="A24" s="213">
        <f t="shared" si="5"/>
        <v>6600</v>
      </c>
      <c r="B24" s="55">
        <v>29871</v>
      </c>
      <c r="C24" s="55">
        <v>27825</v>
      </c>
      <c r="D24" s="55">
        <v>11220</v>
      </c>
      <c r="E24" s="213" t="str">
        <f t="shared" si="1"/>
        <v>74AF</v>
      </c>
      <c r="F24" s="213" t="str">
        <f t="shared" si="1"/>
        <v>6CB1</v>
      </c>
      <c r="G24" s="213" t="str">
        <f t="shared" si="1"/>
        <v>2BD4</v>
      </c>
      <c r="H24" s="210">
        <f t="shared" si="2"/>
        <v>0.95864661654195515</v>
      </c>
      <c r="I24" s="210">
        <f t="shared" si="3"/>
        <v>42.530075187969487</v>
      </c>
      <c r="J24" s="210">
        <f t="shared" si="4"/>
        <v>-26.917293233082091</v>
      </c>
      <c r="K24" s="217">
        <f t="shared" si="6"/>
        <v>-6.8008210687944988E-4</v>
      </c>
      <c r="L24" s="217">
        <f t="shared" si="7"/>
        <v>-1.2767016362484371E-3</v>
      </c>
      <c r="M24" s="217">
        <f t="shared" si="8"/>
        <v>-1.5445866840400467E-3</v>
      </c>
      <c r="N24" s="217">
        <f t="shared" si="9"/>
        <v>-6.5794012907887214E-4</v>
      </c>
      <c r="O24" s="217">
        <f t="shared" si="10"/>
        <v>-1.2457142932225378E-3</v>
      </c>
      <c r="P24" s="217">
        <f t="shared" si="11"/>
        <v>-1.5275966198529983E-3</v>
      </c>
      <c r="Q24" s="4" t="s">
        <v>144</v>
      </c>
      <c r="R24" s="4" t="s">
        <v>399</v>
      </c>
      <c r="S24" s="4" t="s">
        <v>654</v>
      </c>
      <c r="U24" s="210">
        <f t="shared" si="18"/>
        <v>12</v>
      </c>
      <c r="V24" s="210">
        <f t="shared" si="19"/>
        <v>150.94339622641513</v>
      </c>
      <c r="W24" s="215">
        <f t="shared" si="20"/>
        <v>5.6868249918090611E-9</v>
      </c>
      <c r="X24" s="216">
        <f t="shared" si="13"/>
        <v>-82.451301366609869</v>
      </c>
      <c r="Y24" s="215">
        <f t="shared" si="14"/>
        <v>2.7221067259333077E-8</v>
      </c>
      <c r="Z24" s="216">
        <f t="shared" si="15"/>
        <v>-75.650948513680746</v>
      </c>
      <c r="AA24" s="215">
        <f t="shared" si="16"/>
        <v>4.9379546306703619E-8</v>
      </c>
      <c r="AB24" s="216">
        <f t="shared" si="17"/>
        <v>-73.064529046309048</v>
      </c>
    </row>
    <row r="25" spans="1:28" ht="17.25" customHeight="1">
      <c r="A25" s="213">
        <f t="shared" si="5"/>
        <v>6900</v>
      </c>
      <c r="B25" s="55">
        <v>29808</v>
      </c>
      <c r="C25" s="55">
        <v>27710</v>
      </c>
      <c r="D25" s="55">
        <v>11218</v>
      </c>
      <c r="E25" s="213" t="str">
        <f t="shared" si="1"/>
        <v>7470</v>
      </c>
      <c r="F25" s="213" t="str">
        <f t="shared" si="1"/>
        <v>6C3E</v>
      </c>
      <c r="G25" s="213" t="str">
        <f t="shared" si="1"/>
        <v>2BD2</v>
      </c>
      <c r="H25" s="210">
        <f t="shared" si="2"/>
        <v>-62.041353383458045</v>
      </c>
      <c r="I25" s="210">
        <f t="shared" si="3"/>
        <v>-72.469924812030513</v>
      </c>
      <c r="J25" s="210">
        <f t="shared" si="4"/>
        <v>-28.917293233082091</v>
      </c>
      <c r="K25" s="217">
        <f t="shared" si="6"/>
        <v>-7.4703882703723622E-4</v>
      </c>
      <c r="L25" s="217">
        <f t="shared" si="7"/>
        <v>-1.4533990617248769E-3</v>
      </c>
      <c r="M25" s="217">
        <f t="shared" si="8"/>
        <v>-1.5445866840400467E-3</v>
      </c>
      <c r="N25" s="217">
        <f t="shared" si="9"/>
        <v>-7.2489684923665847E-4</v>
      </c>
      <c r="O25" s="217">
        <f t="shared" si="10"/>
        <v>-1.4224117186989777E-3</v>
      </c>
      <c r="P25" s="217">
        <f t="shared" si="11"/>
        <v>-1.5275966198529983E-3</v>
      </c>
      <c r="Q25" s="4" t="s">
        <v>145</v>
      </c>
      <c r="R25" s="4" t="s">
        <v>400</v>
      </c>
      <c r="S25" s="4" t="s">
        <v>655</v>
      </c>
      <c r="U25" s="210">
        <f t="shared" si="18"/>
        <v>13</v>
      </c>
      <c r="V25" s="210">
        <f t="shared" si="19"/>
        <v>163.5220125786164</v>
      </c>
      <c r="W25" s="215">
        <f t="shared" si="20"/>
        <v>6.977603802785132E-9</v>
      </c>
      <c r="X25" s="216">
        <f t="shared" si="13"/>
        <v>-81.562936939806491</v>
      </c>
      <c r="Y25" s="215">
        <f t="shared" si="14"/>
        <v>1.2478443570332456E-8</v>
      </c>
      <c r="Z25" s="216">
        <f t="shared" si="15"/>
        <v>-79.0383958059668</v>
      </c>
      <c r="AA25" s="215">
        <f t="shared" si="16"/>
        <v>2.8438780398666294E-8</v>
      </c>
      <c r="AB25" s="216">
        <f t="shared" si="17"/>
        <v>-75.460890323264692</v>
      </c>
    </row>
    <row r="26" spans="1:28" ht="17.25" customHeight="1">
      <c r="A26" s="213">
        <f t="shared" si="5"/>
        <v>7200</v>
      </c>
      <c r="B26" s="55">
        <v>29843</v>
      </c>
      <c r="C26" s="55">
        <v>27735</v>
      </c>
      <c r="D26" s="55">
        <v>11208</v>
      </c>
      <c r="E26" s="213" t="str">
        <f t="shared" si="1"/>
        <v>7493</v>
      </c>
      <c r="F26" s="213" t="str">
        <f t="shared" si="1"/>
        <v>6C57</v>
      </c>
      <c r="G26" s="213" t="str">
        <f t="shared" si="1"/>
        <v>2BC8</v>
      </c>
      <c r="H26" s="210">
        <f t="shared" si="2"/>
        <v>-27.041353383458045</v>
      </c>
      <c r="I26" s="210">
        <f t="shared" si="3"/>
        <v>-47.469924812030513</v>
      </c>
      <c r="J26" s="210">
        <f t="shared" si="4"/>
        <v>-38.917293233082091</v>
      </c>
      <c r="K26" s="217">
        <f t="shared" si="6"/>
        <v>-7.7138672527643124E-4</v>
      </c>
      <c r="L26" s="217">
        <f t="shared" si="7"/>
        <v>-1.201441621693657E-3</v>
      </c>
      <c r="M26" s="217">
        <f t="shared" si="8"/>
        <v>-1.8598245801689473E-3</v>
      </c>
      <c r="N26" s="217">
        <f t="shared" si="9"/>
        <v>-7.492447474758535E-4</v>
      </c>
      <c r="O26" s="217">
        <f t="shared" si="10"/>
        <v>-1.1704542786677577E-3</v>
      </c>
      <c r="P26" s="217">
        <f t="shared" si="11"/>
        <v>-1.8428345159818989E-3</v>
      </c>
      <c r="Q26" s="4" t="s">
        <v>146</v>
      </c>
      <c r="R26" s="4" t="s">
        <v>401</v>
      </c>
      <c r="S26" s="4" t="s">
        <v>656</v>
      </c>
      <c r="U26" s="210">
        <f t="shared" si="18"/>
        <v>14</v>
      </c>
      <c r="V26" s="210">
        <f t="shared" si="19"/>
        <v>176.10062893081766</v>
      </c>
      <c r="W26" s="215">
        <f t="shared" si="20"/>
        <v>7.1291751270064454E-10</v>
      </c>
      <c r="X26" s="216">
        <f t="shared" si="13"/>
        <v>-91.469607167839442</v>
      </c>
      <c r="Y26" s="215">
        <f t="shared" si="14"/>
        <v>2.2245479165029657E-9</v>
      </c>
      <c r="Z26" s="216">
        <f t="shared" si="15"/>
        <v>-86.527582351626393</v>
      </c>
      <c r="AA26" s="215">
        <f t="shared" si="16"/>
        <v>7.3563954973420228E-10</v>
      </c>
      <c r="AB26" s="216">
        <f t="shared" si="17"/>
        <v>-91.333349301006294</v>
      </c>
    </row>
    <row r="27" spans="1:28" ht="17.25" customHeight="1">
      <c r="A27" s="213">
        <f t="shared" si="5"/>
        <v>7500</v>
      </c>
      <c r="B27" s="55">
        <v>29853</v>
      </c>
      <c r="C27" s="55">
        <v>27747</v>
      </c>
      <c r="D27" s="55">
        <v>11242</v>
      </c>
      <c r="E27" s="213" t="str">
        <f t="shared" si="1"/>
        <v>749D</v>
      </c>
      <c r="F27" s="213" t="str">
        <f t="shared" si="1"/>
        <v>6C63</v>
      </c>
      <c r="G27" s="213" t="str">
        <f t="shared" si="1"/>
        <v>2BEA</v>
      </c>
      <c r="H27" s="210">
        <f t="shared" si="2"/>
        <v>-17.041353383458045</v>
      </c>
      <c r="I27" s="210">
        <f t="shared" si="3"/>
        <v>-35.469924812030513</v>
      </c>
      <c r="J27" s="210">
        <f t="shared" si="4"/>
        <v>-4.9172932330820913</v>
      </c>
      <c r="K27" s="217">
        <f t="shared" si="6"/>
        <v>-9.4790898751059502E-4</v>
      </c>
      <c r="L27" s="217">
        <f t="shared" si="7"/>
        <v>-1.528659076279657E-3</v>
      </c>
      <c r="M27" s="217">
        <f t="shared" si="8"/>
        <v>-1.7628283044369782E-3</v>
      </c>
      <c r="N27" s="217">
        <f t="shared" si="9"/>
        <v>-9.2576700971001727E-4</v>
      </c>
      <c r="O27" s="217">
        <f t="shared" si="10"/>
        <v>-1.4976717332537577E-3</v>
      </c>
      <c r="P27" s="217">
        <f t="shared" si="11"/>
        <v>-1.7458382402499298E-3</v>
      </c>
      <c r="Q27" s="4" t="s">
        <v>147</v>
      </c>
      <c r="R27" s="4" t="s">
        <v>402</v>
      </c>
      <c r="S27" s="4" t="s">
        <v>657</v>
      </c>
      <c r="U27" s="210">
        <f t="shared" si="18"/>
        <v>15</v>
      </c>
      <c r="V27" s="210">
        <f t="shared" si="19"/>
        <v>188.67924528301893</v>
      </c>
      <c r="W27" s="215">
        <f t="shared" si="20"/>
        <v>2.1831118641793672E-9</v>
      </c>
      <c r="X27" s="216">
        <f t="shared" si="13"/>
        <v>-86.609240101675837</v>
      </c>
      <c r="Y27" s="215">
        <f t="shared" si="14"/>
        <v>7.939135808387596E-9</v>
      </c>
      <c r="Z27" s="216">
        <f t="shared" si="15"/>
        <v>-81.002267688669434</v>
      </c>
      <c r="AA27" s="215">
        <f t="shared" si="16"/>
        <v>1.0209441105500705E-8</v>
      </c>
      <c r="AB27" s="216">
        <f t="shared" si="17"/>
        <v>-79.909980318054124</v>
      </c>
    </row>
    <row r="28" spans="1:28" ht="17.25" customHeight="1">
      <c r="A28" s="213">
        <f t="shared" si="5"/>
        <v>7800</v>
      </c>
      <c r="B28" s="55">
        <v>29805</v>
      </c>
      <c r="C28" s="55">
        <v>27717</v>
      </c>
      <c r="D28" s="55">
        <v>11219</v>
      </c>
      <c r="E28" s="213" t="str">
        <f t="shared" si="1"/>
        <v>746D</v>
      </c>
      <c r="F28" s="213" t="str">
        <f t="shared" si="1"/>
        <v>6C45</v>
      </c>
      <c r="G28" s="213" t="str">
        <f t="shared" si="1"/>
        <v>2BD3</v>
      </c>
      <c r="H28" s="210">
        <f t="shared" si="2"/>
        <v>-65.041353383458045</v>
      </c>
      <c r="I28" s="210">
        <f t="shared" si="3"/>
        <v>-65.469924812030513</v>
      </c>
      <c r="J28" s="210">
        <f t="shared" si="4"/>
        <v>-27.917293233082091</v>
      </c>
      <c r="K28" s="217">
        <f t="shared" si="6"/>
        <v>-1.0483440677472745E-3</v>
      </c>
      <c r="L28" s="217">
        <f t="shared" si="7"/>
        <v>-1.6431851853847569E-3</v>
      </c>
      <c r="M28" s="217">
        <f t="shared" si="8"/>
        <v>-1.7466622584816497E-3</v>
      </c>
      <c r="N28" s="217">
        <f t="shared" si="9"/>
        <v>-1.0262020899466967E-3</v>
      </c>
      <c r="O28" s="217">
        <f t="shared" si="10"/>
        <v>-1.6121978423588577E-3</v>
      </c>
      <c r="P28" s="217">
        <f t="shared" si="11"/>
        <v>-1.7296721942946013E-3</v>
      </c>
      <c r="Q28" s="4" t="s">
        <v>148</v>
      </c>
      <c r="R28" s="4" t="s">
        <v>403</v>
      </c>
      <c r="S28" s="4" t="s">
        <v>658</v>
      </c>
      <c r="U28" s="210">
        <f t="shared" si="18"/>
        <v>16</v>
      </c>
      <c r="V28" s="210">
        <f t="shared" si="19"/>
        <v>201.25786163522019</v>
      </c>
      <c r="W28" s="215">
        <f t="shared" si="20"/>
        <v>1.0094940665639063E-8</v>
      </c>
      <c r="X28" s="216">
        <f t="shared" si="13"/>
        <v>-79.958962293366142</v>
      </c>
      <c r="Y28" s="215">
        <f t="shared" si="14"/>
        <v>6.7700166502294573E-9</v>
      </c>
      <c r="Z28" s="216">
        <f t="shared" si="15"/>
        <v>-81.694102632064528</v>
      </c>
      <c r="AA28" s="215">
        <f t="shared" si="16"/>
        <v>2.0969177493219922E-9</v>
      </c>
      <c r="AB28" s="216">
        <f t="shared" si="17"/>
        <v>-86.784186042109326</v>
      </c>
    </row>
    <row r="29" spans="1:28" ht="17.25" customHeight="1">
      <c r="A29" s="213">
        <f t="shared" si="5"/>
        <v>8100</v>
      </c>
      <c r="B29" s="55">
        <v>29812</v>
      </c>
      <c r="C29" s="55">
        <v>27800</v>
      </c>
      <c r="D29" s="55">
        <v>11241</v>
      </c>
      <c r="E29" s="213" t="str">
        <f t="shared" si="1"/>
        <v>7474</v>
      </c>
      <c r="F29" s="213" t="str">
        <f t="shared" si="1"/>
        <v>6C98</v>
      </c>
      <c r="G29" s="213" t="str">
        <f t="shared" si="1"/>
        <v>2BE9</v>
      </c>
      <c r="H29" s="210">
        <f t="shared" si="2"/>
        <v>-58.041353383458045</v>
      </c>
      <c r="I29" s="210">
        <f t="shared" si="3"/>
        <v>17.530075187969487</v>
      </c>
      <c r="J29" s="210">
        <f t="shared" si="4"/>
        <v>-5.9172932330820913</v>
      </c>
      <c r="K29" s="217">
        <f t="shared" si="6"/>
        <v>-1.2431272536608346E-3</v>
      </c>
      <c r="L29" s="217">
        <f t="shared" si="7"/>
        <v>-1.230891192606397E-3</v>
      </c>
      <c r="M29" s="217">
        <f t="shared" si="8"/>
        <v>-1.8759906261242758E-3</v>
      </c>
      <c r="N29" s="217">
        <f t="shared" si="9"/>
        <v>-1.2209852758602569E-3</v>
      </c>
      <c r="O29" s="217">
        <f t="shared" si="10"/>
        <v>-1.1999038495804977E-3</v>
      </c>
      <c r="P29" s="217">
        <f t="shared" si="11"/>
        <v>-1.8590005619372274E-3</v>
      </c>
      <c r="Q29" s="4" t="s">
        <v>149</v>
      </c>
      <c r="R29" s="4" t="s">
        <v>404</v>
      </c>
      <c r="S29" s="4" t="s">
        <v>659</v>
      </c>
      <c r="U29" s="210">
        <f t="shared" si="18"/>
        <v>17</v>
      </c>
      <c r="V29" s="210">
        <f t="shared" si="19"/>
        <v>213.83647798742146</v>
      </c>
      <c r="W29" s="215">
        <f t="shared" si="20"/>
        <v>1.383852433555287E-9</v>
      </c>
      <c r="X29" s="216">
        <f t="shared" si="13"/>
        <v>-88.589102181953677</v>
      </c>
      <c r="Y29" s="215">
        <f t="shared" si="14"/>
        <v>6.0374138072345722E-9</v>
      </c>
      <c r="Z29" s="216">
        <f t="shared" si="15"/>
        <v>-82.191490563745276</v>
      </c>
      <c r="AA29" s="215">
        <f t="shared" si="16"/>
        <v>1.0138951392440636E-8</v>
      </c>
      <c r="AB29" s="216">
        <f t="shared" si="17"/>
        <v>-79.940069590091625</v>
      </c>
    </row>
    <row r="30" spans="1:28" ht="17.25" customHeight="1">
      <c r="A30" s="213">
        <f t="shared" si="5"/>
        <v>8400</v>
      </c>
      <c r="B30" s="55">
        <v>29930</v>
      </c>
      <c r="C30" s="55">
        <v>27837</v>
      </c>
      <c r="D30" s="55">
        <v>11258</v>
      </c>
      <c r="E30" s="213" t="str">
        <f t="shared" si="1"/>
        <v>74EA</v>
      </c>
      <c r="F30" s="213" t="str">
        <f t="shared" si="1"/>
        <v>6CBD</v>
      </c>
      <c r="G30" s="213" t="str">
        <f t="shared" si="1"/>
        <v>2BFA</v>
      </c>
      <c r="H30" s="210">
        <f t="shared" si="2"/>
        <v>59.958646616541955</v>
      </c>
      <c r="I30" s="210">
        <f t="shared" si="3"/>
        <v>54.530075187969487</v>
      </c>
      <c r="J30" s="210">
        <f t="shared" si="4"/>
        <v>11.082706766917909</v>
      </c>
      <c r="K30" s="217">
        <f t="shared" si="6"/>
        <v>-8.9921319103220497E-4</v>
      </c>
      <c r="L30" s="217">
        <f t="shared" si="7"/>
        <v>-8.1859719982803716E-4</v>
      </c>
      <c r="M30" s="217">
        <f t="shared" si="8"/>
        <v>-1.5365036610623828E-3</v>
      </c>
      <c r="N30" s="217">
        <f t="shared" si="9"/>
        <v>-8.7707121323162723E-4</v>
      </c>
      <c r="O30" s="217">
        <f t="shared" si="10"/>
        <v>-7.8760985680213801E-4</v>
      </c>
      <c r="P30" s="217">
        <f t="shared" si="11"/>
        <v>-1.5195135968753344E-3</v>
      </c>
      <c r="Q30" s="4" t="s">
        <v>150</v>
      </c>
      <c r="R30" s="4" t="s">
        <v>405</v>
      </c>
      <c r="S30" s="4" t="s">
        <v>660</v>
      </c>
      <c r="U30" s="210">
        <f t="shared" si="18"/>
        <v>18</v>
      </c>
      <c r="V30" s="210">
        <f t="shared" si="19"/>
        <v>226.41509433962273</v>
      </c>
      <c r="W30" s="215">
        <f t="shared" si="20"/>
        <v>6.3149405971724211E-10</v>
      </c>
      <c r="X30" s="216">
        <f t="shared" si="13"/>
        <v>-91.996307303725558</v>
      </c>
      <c r="Y30" s="215">
        <f t="shared" si="14"/>
        <v>3.0608823977820547E-10</v>
      </c>
      <c r="Z30" s="216">
        <f t="shared" si="15"/>
        <v>-95.141533561182683</v>
      </c>
      <c r="AA30" s="215">
        <f t="shared" si="16"/>
        <v>3.0116941063148805E-10</v>
      </c>
      <c r="AB30" s="216">
        <f t="shared" si="17"/>
        <v>-95.211891409327777</v>
      </c>
    </row>
    <row r="31" spans="1:28" ht="17.25" customHeight="1">
      <c r="A31" s="213">
        <f t="shared" si="5"/>
        <v>8700</v>
      </c>
      <c r="B31" s="55">
        <v>29931</v>
      </c>
      <c r="C31" s="55">
        <v>27879</v>
      </c>
      <c r="D31" s="55">
        <v>11280</v>
      </c>
      <c r="E31" s="213" t="str">
        <f t="shared" si="1"/>
        <v>74EB</v>
      </c>
      <c r="F31" s="213" t="str">
        <f t="shared" si="1"/>
        <v>6CE7</v>
      </c>
      <c r="G31" s="213" t="str">
        <f t="shared" si="1"/>
        <v>2C10</v>
      </c>
      <c r="H31" s="210">
        <f t="shared" si="2"/>
        <v>60.958646616541955</v>
      </c>
      <c r="I31" s="210">
        <f t="shared" si="3"/>
        <v>96.530075187969487</v>
      </c>
      <c r="J31" s="210">
        <f t="shared" si="4"/>
        <v>33.082706766917909</v>
      </c>
      <c r="K31" s="217">
        <f t="shared" si="6"/>
        <v>-6.1008189944176429E-4</v>
      </c>
      <c r="L31" s="217">
        <f t="shared" si="7"/>
        <v>-2.8850492339871716E-4</v>
      </c>
      <c r="M31" s="217">
        <f t="shared" si="8"/>
        <v>-1.1161864662238487E-3</v>
      </c>
      <c r="N31" s="217">
        <f t="shared" si="9"/>
        <v>-5.8793992164118654E-4</v>
      </c>
      <c r="O31" s="217">
        <f t="shared" si="10"/>
        <v>-2.5751758037281797E-4</v>
      </c>
      <c r="P31" s="217">
        <f t="shared" si="11"/>
        <v>-1.0991964020368003E-3</v>
      </c>
      <c r="Q31" s="4" t="s">
        <v>151</v>
      </c>
      <c r="R31" s="4" t="s">
        <v>406</v>
      </c>
      <c r="S31" s="4" t="s">
        <v>661</v>
      </c>
      <c r="U31" s="210">
        <f t="shared" si="18"/>
        <v>19</v>
      </c>
      <c r="V31" s="210">
        <f t="shared" si="19"/>
        <v>238.99371069182399</v>
      </c>
      <c r="W31" s="215">
        <f t="shared" si="20"/>
        <v>3.1090478162819608E-9</v>
      </c>
      <c r="X31" s="216">
        <f t="shared" si="13"/>
        <v>-85.073725985783227</v>
      </c>
      <c r="Y31" s="215">
        <f t="shared" si="14"/>
        <v>9.6015940591234227E-9</v>
      </c>
      <c r="Z31" s="216">
        <f t="shared" si="15"/>
        <v>-80.17656659292642</v>
      </c>
      <c r="AA31" s="215">
        <f t="shared" si="16"/>
        <v>1.2667275497900656E-8</v>
      </c>
      <c r="AB31" s="216">
        <f t="shared" si="17"/>
        <v>-78.973167839693545</v>
      </c>
    </row>
    <row r="32" spans="1:28" ht="17.25" customHeight="1">
      <c r="A32" s="213">
        <f t="shared" si="5"/>
        <v>9000</v>
      </c>
      <c r="B32" s="55">
        <v>29920</v>
      </c>
      <c r="C32" s="55">
        <v>27865</v>
      </c>
      <c r="D32" s="55">
        <v>11265</v>
      </c>
      <c r="E32" s="213" t="str">
        <f t="shared" si="1"/>
        <v>74E0</v>
      </c>
      <c r="F32" s="213" t="str">
        <f t="shared" si="1"/>
        <v>6CD9</v>
      </c>
      <c r="G32" s="213" t="str">
        <f t="shared" si="1"/>
        <v>2C01</v>
      </c>
      <c r="H32" s="210">
        <f t="shared" si="2"/>
        <v>49.958646616541955</v>
      </c>
      <c r="I32" s="210">
        <f t="shared" si="3"/>
        <v>82.530075187969487</v>
      </c>
      <c r="J32" s="210">
        <f t="shared" si="4"/>
        <v>18.082706766917909</v>
      </c>
      <c r="K32" s="217">
        <f t="shared" si="6"/>
        <v>-4.9747287008548738E-4</v>
      </c>
      <c r="L32" s="217">
        <f t="shared" si="7"/>
        <v>-2.0342838520635717E-4</v>
      </c>
      <c r="M32" s="217">
        <f t="shared" si="8"/>
        <v>-9.6260902964823039E-4</v>
      </c>
      <c r="N32" s="217">
        <f t="shared" si="9"/>
        <v>-4.7533089228490963E-4</v>
      </c>
      <c r="O32" s="217">
        <f t="shared" si="10"/>
        <v>-1.7244104218045798E-4</v>
      </c>
      <c r="P32" s="217">
        <f t="shared" si="11"/>
        <v>-9.4561896546118199E-4</v>
      </c>
      <c r="Q32" s="4" t="s">
        <v>152</v>
      </c>
      <c r="R32" s="4" t="s">
        <v>407</v>
      </c>
      <c r="S32" s="4" t="s">
        <v>662</v>
      </c>
      <c r="U32" s="210">
        <f t="shared" si="18"/>
        <v>20</v>
      </c>
      <c r="V32" s="210">
        <f t="shared" si="19"/>
        <v>251.57232704402526</v>
      </c>
      <c r="W32" s="215">
        <f t="shared" si="20"/>
        <v>1.1369464831570216E-9</v>
      </c>
      <c r="X32" s="216">
        <f t="shared" si="13"/>
        <v>-89.44259977367318</v>
      </c>
      <c r="Y32" s="215">
        <f t="shared" si="14"/>
        <v>3.2805319104181986E-9</v>
      </c>
      <c r="Z32" s="216">
        <f t="shared" si="15"/>
        <v>-84.840557334131177</v>
      </c>
      <c r="AA32" s="215">
        <f t="shared" si="16"/>
        <v>3.2840399802183696E-9</v>
      </c>
      <c r="AB32" s="216">
        <f t="shared" si="17"/>
        <v>-84.835915643776474</v>
      </c>
    </row>
    <row r="33" spans="1:28" ht="17.25" customHeight="1">
      <c r="A33" s="213">
        <f t="shared" si="5"/>
        <v>9300</v>
      </c>
      <c r="B33" s="55">
        <v>29837</v>
      </c>
      <c r="C33" s="55">
        <v>27769</v>
      </c>
      <c r="D33" s="55">
        <v>11208</v>
      </c>
      <c r="E33" s="213" t="str">
        <f t="shared" si="1"/>
        <v>748D</v>
      </c>
      <c r="F33" s="213" t="str">
        <f t="shared" si="1"/>
        <v>6C79</v>
      </c>
      <c r="G33" s="213" t="str">
        <f t="shared" si="1"/>
        <v>2BC8</v>
      </c>
      <c r="H33" s="210">
        <f t="shared" si="2"/>
        <v>-33.041353383458045</v>
      </c>
      <c r="I33" s="210">
        <f t="shared" si="3"/>
        <v>-13.469924812030513</v>
      </c>
      <c r="J33" s="210">
        <f t="shared" si="4"/>
        <v>-38.917293233082091</v>
      </c>
      <c r="K33" s="217">
        <f t="shared" si="6"/>
        <v>-4.7921194640609109E-4</v>
      </c>
      <c r="L33" s="217">
        <f t="shared" si="7"/>
        <v>-8.2357927009537178E-5</v>
      </c>
      <c r="M33" s="217">
        <f t="shared" si="8"/>
        <v>-1.2212657649334822E-3</v>
      </c>
      <c r="N33" s="217">
        <f t="shared" si="9"/>
        <v>-4.5706996860551334E-4</v>
      </c>
      <c r="O33" s="217">
        <f t="shared" si="10"/>
        <v>-5.1370583983637982E-5</v>
      </c>
      <c r="P33" s="217">
        <f t="shared" si="11"/>
        <v>-1.2042757007464338E-3</v>
      </c>
      <c r="Q33" s="4" t="s">
        <v>153</v>
      </c>
      <c r="R33" s="4" t="s">
        <v>408</v>
      </c>
      <c r="S33" s="4" t="s">
        <v>663</v>
      </c>
      <c r="U33" s="210">
        <f t="shared" si="18"/>
        <v>21</v>
      </c>
      <c r="V33" s="210">
        <f t="shared" si="19"/>
        <v>264.15094339622652</v>
      </c>
      <c r="W33" s="215">
        <f t="shared" si="20"/>
        <v>1.7816750728011603E-10</v>
      </c>
      <c r="X33" s="216">
        <f t="shared" si="13"/>
        <v>-97.49171496121987</v>
      </c>
      <c r="Y33" s="215">
        <f t="shared" si="14"/>
        <v>4.8848260602885684E-10</v>
      </c>
      <c r="Z33" s="216">
        <f t="shared" si="15"/>
        <v>-93.111508961011523</v>
      </c>
      <c r="AA33" s="215">
        <f t="shared" si="16"/>
        <v>1.3700705070347172E-9</v>
      </c>
      <c r="AB33" s="216">
        <f t="shared" si="17"/>
        <v>-88.63257082458054</v>
      </c>
    </row>
    <row r="34" spans="1:28" ht="17.25" customHeight="1">
      <c r="A34" s="213">
        <f t="shared" si="5"/>
        <v>9600</v>
      </c>
      <c r="B34" s="55">
        <v>29829</v>
      </c>
      <c r="C34" s="55">
        <v>27713</v>
      </c>
      <c r="D34" s="55">
        <v>11212</v>
      </c>
      <c r="E34" s="213" t="str">
        <f t="shared" si="1"/>
        <v>7485</v>
      </c>
      <c r="F34" s="213" t="str">
        <f t="shared" si="1"/>
        <v>6C41</v>
      </c>
      <c r="G34" s="213" t="str">
        <f t="shared" si="1"/>
        <v>2BCC</v>
      </c>
      <c r="H34" s="210">
        <f t="shared" si="2"/>
        <v>-41.041353383458045</v>
      </c>
      <c r="I34" s="210">
        <f t="shared" si="3"/>
        <v>-69.469924812030513</v>
      </c>
      <c r="J34" s="210">
        <f t="shared" si="4"/>
        <v>-34.917293233082091</v>
      </c>
      <c r="K34" s="217">
        <f t="shared" si="6"/>
        <v>-4.0008127712870724E-4</v>
      </c>
      <c r="L34" s="217">
        <f t="shared" si="7"/>
        <v>-3.3275308821637183E-5</v>
      </c>
      <c r="M34" s="217">
        <f t="shared" si="8"/>
        <v>-1.1727676270674977E-3</v>
      </c>
      <c r="N34" s="217">
        <f t="shared" si="9"/>
        <v>-3.7793929932812954E-4</v>
      </c>
      <c r="O34" s="217">
        <f t="shared" si="10"/>
        <v>-2.2879657957379873E-6</v>
      </c>
      <c r="P34" s="217">
        <f t="shared" si="11"/>
        <v>-1.1557775628804493E-3</v>
      </c>
      <c r="Q34" s="4" t="s">
        <v>154</v>
      </c>
      <c r="R34" s="4" t="s">
        <v>409</v>
      </c>
      <c r="S34" s="4" t="s">
        <v>664</v>
      </c>
      <c r="U34" s="210">
        <f t="shared" si="18"/>
        <v>22</v>
      </c>
      <c r="V34" s="210">
        <f t="shared" si="19"/>
        <v>276.72955974842779</v>
      </c>
      <c r="W34" s="215">
        <f t="shared" si="20"/>
        <v>3.9346787382982407E-10</v>
      </c>
      <c r="X34" s="216">
        <f t="shared" si="13"/>
        <v>-94.050907214701198</v>
      </c>
      <c r="Y34" s="215">
        <f t="shared" si="14"/>
        <v>1.1460885192631845E-9</v>
      </c>
      <c r="Z34" s="216">
        <f t="shared" si="15"/>
        <v>-89.407818379158385</v>
      </c>
      <c r="AA34" s="215">
        <f t="shared" si="16"/>
        <v>1.6766724083443361E-9</v>
      </c>
      <c r="AB34" s="216">
        <f t="shared" si="17"/>
        <v>-87.755517824422668</v>
      </c>
    </row>
    <row r="35" spans="1:28" ht="17.25" customHeight="1">
      <c r="A35" s="213">
        <f t="shared" si="5"/>
        <v>9900</v>
      </c>
      <c r="B35" s="55">
        <v>29854</v>
      </c>
      <c r="C35" s="55">
        <v>27725</v>
      </c>
      <c r="D35" s="55">
        <v>11202</v>
      </c>
      <c r="E35" s="213" t="str">
        <f t="shared" si="1"/>
        <v>749E</v>
      </c>
      <c r="F35" s="213" t="str">
        <f t="shared" si="1"/>
        <v>6C4D</v>
      </c>
      <c r="G35" s="213" t="str">
        <f t="shared" si="1"/>
        <v>2BC2</v>
      </c>
      <c r="H35" s="210">
        <f t="shared" si="2"/>
        <v>-16.041353383458045</v>
      </c>
      <c r="I35" s="210">
        <f t="shared" si="3"/>
        <v>-57.469924812030513</v>
      </c>
      <c r="J35" s="210">
        <f t="shared" si="4"/>
        <v>-44.917293233082091</v>
      </c>
      <c r="K35" s="217">
        <f t="shared" si="6"/>
        <v>-4.518205608869967E-4</v>
      </c>
      <c r="L35" s="217">
        <f t="shared" si="7"/>
        <v>-3.6049276340763714E-4</v>
      </c>
      <c r="M35" s="217">
        <f t="shared" si="8"/>
        <v>-1.3182620406654516E-3</v>
      </c>
      <c r="N35" s="217">
        <f t="shared" si="9"/>
        <v>-4.2967858308641895E-4</v>
      </c>
      <c r="O35" s="217">
        <f t="shared" si="10"/>
        <v>-3.2950542038173795E-4</v>
      </c>
      <c r="P35" s="217">
        <f t="shared" si="11"/>
        <v>-1.3012719764784032E-3</v>
      </c>
      <c r="Q35" s="4" t="s">
        <v>155</v>
      </c>
      <c r="R35" s="4" t="s">
        <v>410</v>
      </c>
      <c r="S35" s="4" t="s">
        <v>665</v>
      </c>
      <c r="U35" s="210">
        <f t="shared" si="18"/>
        <v>23</v>
      </c>
      <c r="V35" s="210">
        <f t="shared" si="19"/>
        <v>289.30817610062905</v>
      </c>
      <c r="W35" s="215">
        <f t="shared" si="20"/>
        <v>2.4738659313801074E-10</v>
      </c>
      <c r="X35" s="216">
        <f t="shared" si="13"/>
        <v>-96.066238402119581</v>
      </c>
      <c r="Y35" s="215">
        <f t="shared" si="14"/>
        <v>4.9511927969636696E-10</v>
      </c>
      <c r="Z35" s="216">
        <f t="shared" si="15"/>
        <v>-93.052901621299952</v>
      </c>
      <c r="AA35" s="215">
        <f t="shared" si="16"/>
        <v>8.7892503354399895E-10</v>
      </c>
      <c r="AB35" s="216">
        <f t="shared" si="17"/>
        <v>-90.560481657756014</v>
      </c>
    </row>
    <row r="36" spans="1:28" ht="17.25" customHeight="1">
      <c r="A36" s="213">
        <f t="shared" si="5"/>
        <v>10200</v>
      </c>
      <c r="B36" s="55">
        <v>29884</v>
      </c>
      <c r="C36" s="55">
        <v>27729</v>
      </c>
      <c r="D36" s="55">
        <v>11229</v>
      </c>
      <c r="E36" s="213" t="str">
        <f t="shared" si="1"/>
        <v>74BC</v>
      </c>
      <c r="F36" s="213" t="str">
        <f t="shared" si="1"/>
        <v>6C51</v>
      </c>
      <c r="G36" s="213" t="str">
        <f t="shared" si="1"/>
        <v>2BDD</v>
      </c>
      <c r="H36" s="210">
        <f t="shared" si="2"/>
        <v>13.958646616541955</v>
      </c>
      <c r="I36" s="210">
        <f t="shared" si="3"/>
        <v>-53.469924812030513</v>
      </c>
      <c r="J36" s="210">
        <f t="shared" si="4"/>
        <v>-17.917293233082091</v>
      </c>
      <c r="K36" s="217">
        <f t="shared" si="6"/>
        <v>-2.2051552761464407E-4</v>
      </c>
      <c r="L36" s="217">
        <f t="shared" si="7"/>
        <v>-2.9832144703629719E-4</v>
      </c>
      <c r="M36" s="217">
        <f t="shared" si="8"/>
        <v>-1.2293487879111464E-3</v>
      </c>
      <c r="N36" s="217">
        <f t="shared" si="9"/>
        <v>-1.9837354981406635E-4</v>
      </c>
      <c r="O36" s="217">
        <f t="shared" si="10"/>
        <v>-2.6733410401039799E-4</v>
      </c>
      <c r="P36" s="217">
        <f t="shared" si="11"/>
        <v>-1.212358723724098E-3</v>
      </c>
      <c r="Q36" s="4" t="s">
        <v>156</v>
      </c>
      <c r="R36" s="4" t="s">
        <v>411</v>
      </c>
      <c r="S36" s="4" t="s">
        <v>666</v>
      </c>
      <c r="U36" s="210">
        <f t="shared" si="18"/>
        <v>24</v>
      </c>
      <c r="V36" s="210">
        <f t="shared" si="19"/>
        <v>301.88679245283032</v>
      </c>
      <c r="W36" s="215">
        <f t="shared" si="20"/>
        <v>3.1818885248832054E-10</v>
      </c>
      <c r="X36" s="216">
        <f t="shared" si="13"/>
        <v>-94.973150396096585</v>
      </c>
      <c r="Y36" s="215">
        <f t="shared" si="14"/>
        <v>7.9620766754487919E-10</v>
      </c>
      <c r="Z36" s="216">
        <f t="shared" si="15"/>
        <v>-90.989736444404457</v>
      </c>
      <c r="AA36" s="215">
        <f t="shared" si="16"/>
        <v>1.0708963720390489E-9</v>
      </c>
      <c r="AB36" s="216">
        <f t="shared" si="17"/>
        <v>-89.702525527246848</v>
      </c>
    </row>
    <row r="37" spans="1:28" ht="17.25" customHeight="1">
      <c r="A37" s="213">
        <f t="shared" si="5"/>
        <v>10500</v>
      </c>
      <c r="B37" s="55">
        <v>29841</v>
      </c>
      <c r="C37" s="55">
        <v>27721</v>
      </c>
      <c r="D37" s="55">
        <v>11232</v>
      </c>
      <c r="E37" s="213" t="str">
        <f t="shared" si="1"/>
        <v>7491</v>
      </c>
      <c r="F37" s="213" t="str">
        <f t="shared" si="1"/>
        <v>6C49</v>
      </c>
      <c r="G37" s="213" t="str">
        <f t="shared" si="1"/>
        <v>2BE0</v>
      </c>
      <c r="H37" s="210">
        <f t="shared" si="2"/>
        <v>-29.041353383458045</v>
      </c>
      <c r="I37" s="210">
        <f t="shared" si="3"/>
        <v>-61.469924812030513</v>
      </c>
      <c r="J37" s="210">
        <f t="shared" si="4"/>
        <v>-14.917293233082091</v>
      </c>
      <c r="K37" s="217">
        <f t="shared" si="6"/>
        <v>-2.2660250217444283E-4</v>
      </c>
      <c r="L37" s="217">
        <f t="shared" si="7"/>
        <v>-3.441318906783372E-4</v>
      </c>
      <c r="M37" s="217">
        <f t="shared" si="8"/>
        <v>-1.0353562364472076E-3</v>
      </c>
      <c r="N37" s="217">
        <f t="shared" si="9"/>
        <v>-2.0446052437386511E-4</v>
      </c>
      <c r="O37" s="217">
        <f t="shared" si="10"/>
        <v>-3.13144547652438E-4</v>
      </c>
      <c r="P37" s="217">
        <f t="shared" si="11"/>
        <v>-1.0183661722601592E-3</v>
      </c>
      <c r="Q37" s="4" t="s">
        <v>157</v>
      </c>
      <c r="R37" s="4" t="s">
        <v>412</v>
      </c>
      <c r="S37" s="4" t="s">
        <v>667</v>
      </c>
      <c r="U37" s="210">
        <f t="shared" si="18"/>
        <v>25</v>
      </c>
      <c r="V37" s="210">
        <f t="shared" si="19"/>
        <v>314.46540880503159</v>
      </c>
      <c r="W37" s="215">
        <f t="shared" si="20"/>
        <v>5.68112620633488E-10</v>
      </c>
      <c r="X37" s="216">
        <f t="shared" si="13"/>
        <v>-92.45565562754777</v>
      </c>
      <c r="Y37" s="215">
        <f t="shared" si="14"/>
        <v>1.2414879392872043E-9</v>
      </c>
      <c r="Z37" s="216">
        <f t="shared" si="15"/>
        <v>-89.0605749513999</v>
      </c>
      <c r="AA37" s="215">
        <f t="shared" si="16"/>
        <v>1.5237298653610482E-9</v>
      </c>
      <c r="AB37" s="216">
        <f t="shared" si="17"/>
        <v>-88.170920201235958</v>
      </c>
    </row>
    <row r="38" spans="1:28" ht="17.25" customHeight="1">
      <c r="A38" s="213">
        <f t="shared" si="5"/>
        <v>10800</v>
      </c>
      <c r="B38" s="55">
        <v>29828</v>
      </c>
      <c r="C38" s="55">
        <v>27782</v>
      </c>
      <c r="D38" s="55">
        <v>11277</v>
      </c>
      <c r="E38" s="213" t="str">
        <f t="shared" si="1"/>
        <v>7484</v>
      </c>
      <c r="F38" s="213" t="str">
        <f t="shared" si="1"/>
        <v>6C86</v>
      </c>
      <c r="G38" s="213" t="str">
        <f t="shared" si="1"/>
        <v>2C0D</v>
      </c>
      <c r="H38" s="210">
        <f t="shared" si="2"/>
        <v>-42.041353383458045</v>
      </c>
      <c r="I38" s="210">
        <f t="shared" si="3"/>
        <v>-0.46992481203051284</v>
      </c>
      <c r="J38" s="210">
        <f t="shared" si="4"/>
        <v>30.082706766917909</v>
      </c>
      <c r="K38" s="217">
        <f t="shared" si="6"/>
        <v>-3.0268968417192726E-4</v>
      </c>
      <c r="L38" s="217">
        <f t="shared" si="7"/>
        <v>-2.2960578157323717E-4</v>
      </c>
      <c r="M38" s="217">
        <f t="shared" si="8"/>
        <v>-7.5245043222896344E-4</v>
      </c>
      <c r="N38" s="217">
        <f t="shared" si="9"/>
        <v>-2.8054770637134956E-4</v>
      </c>
      <c r="O38" s="217">
        <f t="shared" si="10"/>
        <v>-1.9861843854733797E-4</v>
      </c>
      <c r="P38" s="217">
        <f t="shared" si="11"/>
        <v>-7.3546036804191504E-4</v>
      </c>
      <c r="Q38" s="4" t="s">
        <v>158</v>
      </c>
      <c r="R38" s="4" t="s">
        <v>413</v>
      </c>
      <c r="S38" s="4" t="s">
        <v>668</v>
      </c>
      <c r="U38" s="210">
        <f t="shared" si="18"/>
        <v>26</v>
      </c>
      <c r="V38" s="210">
        <f t="shared" si="19"/>
        <v>327.04402515723285</v>
      </c>
      <c r="W38" s="215">
        <f t="shared" si="20"/>
        <v>2.6749267045975162E-11</v>
      </c>
      <c r="X38" s="216">
        <f t="shared" si="13"/>
        <v>-105.72688113539932</v>
      </c>
      <c r="Y38" s="215">
        <f t="shared" si="14"/>
        <v>1.1489162763730608E-10</v>
      </c>
      <c r="Z38" s="216">
        <f t="shared" si="15"/>
        <v>-99.397116179905552</v>
      </c>
      <c r="AA38" s="215">
        <f t="shared" si="16"/>
        <v>9.5449405712492799E-10</v>
      </c>
      <c r="AB38" s="216">
        <f t="shared" si="17"/>
        <v>-90.202267712680992</v>
      </c>
    </row>
    <row r="39" spans="1:28" ht="17.25" customHeight="1">
      <c r="A39" s="213">
        <f t="shared" si="5"/>
        <v>11100</v>
      </c>
      <c r="B39" s="55">
        <v>29858</v>
      </c>
      <c r="C39" s="55">
        <v>27727</v>
      </c>
      <c r="D39" s="55">
        <v>11256</v>
      </c>
      <c r="E39" s="213" t="str">
        <f t="shared" si="1"/>
        <v>74A2</v>
      </c>
      <c r="F39" s="213" t="str">
        <f t="shared" si="1"/>
        <v>6C4F</v>
      </c>
      <c r="G39" s="213" t="str">
        <f t="shared" si="1"/>
        <v>2BF8</v>
      </c>
      <c r="H39" s="210">
        <f t="shared" si="2"/>
        <v>-12.041353383458045</v>
      </c>
      <c r="I39" s="210">
        <f t="shared" si="3"/>
        <v>-55.469924812030513</v>
      </c>
      <c r="J39" s="210">
        <f t="shared" si="4"/>
        <v>9.0827067669179087</v>
      </c>
      <c r="K39" s="217">
        <f t="shared" si="6"/>
        <v>-1.4138485833726028E-4</v>
      </c>
      <c r="L39" s="217">
        <f t="shared" si="7"/>
        <v>-1.9688403611463717E-4</v>
      </c>
      <c r="M39" s="217">
        <f t="shared" si="8"/>
        <v>-4.5337858205539118E-4</v>
      </c>
      <c r="N39" s="217">
        <f t="shared" si="9"/>
        <v>-1.1924288053668256E-4</v>
      </c>
      <c r="O39" s="217">
        <f t="shared" si="10"/>
        <v>-1.6589669308873797E-4</v>
      </c>
      <c r="P39" s="217">
        <f t="shared" si="11"/>
        <v>-4.3638851786834284E-4</v>
      </c>
      <c r="Q39" s="4" t="s">
        <v>159</v>
      </c>
      <c r="R39" s="4" t="s">
        <v>414</v>
      </c>
      <c r="S39" s="4" t="s">
        <v>669</v>
      </c>
      <c r="U39" s="210">
        <f t="shared" si="18"/>
        <v>27</v>
      </c>
      <c r="V39" s="210">
        <f t="shared" si="19"/>
        <v>339.62264150943412</v>
      </c>
      <c r="W39" s="215">
        <f t="shared" si="20"/>
        <v>2.4986221210627421E-10</v>
      </c>
      <c r="X39" s="216">
        <f t="shared" si="13"/>
        <v>-96.022994194022786</v>
      </c>
      <c r="Y39" s="215">
        <f t="shared" si="14"/>
        <v>3.5076596219813799E-10</v>
      </c>
      <c r="Z39" s="216">
        <f t="shared" si="15"/>
        <v>-94.549825565452608</v>
      </c>
      <c r="AA39" s="215">
        <f t="shared" si="16"/>
        <v>1.0479621720943468E-9</v>
      </c>
      <c r="AB39" s="216">
        <f t="shared" si="17"/>
        <v>-89.796543936377788</v>
      </c>
    </row>
    <row r="40" spans="1:28" ht="17.25" customHeight="1">
      <c r="A40" s="213">
        <f t="shared" si="5"/>
        <v>11400</v>
      </c>
      <c r="B40" s="55">
        <v>29855</v>
      </c>
      <c r="C40" s="55">
        <v>27723</v>
      </c>
      <c r="D40" s="55">
        <v>11255</v>
      </c>
      <c r="E40" s="213" t="str">
        <f t="shared" si="1"/>
        <v>749F</v>
      </c>
      <c r="F40" s="213" t="str">
        <f t="shared" si="1"/>
        <v>6C4B</v>
      </c>
      <c r="G40" s="213" t="str">
        <f t="shared" si="1"/>
        <v>2BF7</v>
      </c>
      <c r="H40" s="210">
        <f t="shared" si="2"/>
        <v>-15.041353383458045</v>
      </c>
      <c r="I40" s="210">
        <f t="shared" si="3"/>
        <v>-59.469924812030513</v>
      </c>
      <c r="J40" s="210">
        <f t="shared" si="4"/>
        <v>8.0827067669179087</v>
      </c>
      <c r="K40" s="217">
        <f t="shared" si="6"/>
        <v>-1.0514905301587098E-5</v>
      </c>
      <c r="L40" s="217">
        <f t="shared" si="7"/>
        <v>-4.4884147614585718E-4</v>
      </c>
      <c r="M40" s="217">
        <f t="shared" si="8"/>
        <v>-3.4021626036809358E-4</v>
      </c>
      <c r="N40" s="217">
        <f t="shared" si="9"/>
        <v>1.1627072498990622E-5</v>
      </c>
      <c r="O40" s="217">
        <f t="shared" si="10"/>
        <v>-4.1785413311995798E-4</v>
      </c>
      <c r="P40" s="217">
        <f t="shared" si="11"/>
        <v>-3.2322619618104523E-4</v>
      </c>
      <c r="Q40" s="4" t="s">
        <v>160</v>
      </c>
      <c r="R40" s="4" t="s">
        <v>415</v>
      </c>
      <c r="S40" s="4" t="s">
        <v>670</v>
      </c>
      <c r="U40" s="210">
        <f t="shared" si="18"/>
        <v>28</v>
      </c>
      <c r="V40" s="210">
        <f t="shared" si="19"/>
        <v>352.20125786163538</v>
      </c>
      <c r="W40" s="215">
        <f t="shared" si="20"/>
        <v>1.4862941798620249E-9</v>
      </c>
      <c r="X40" s="216">
        <f t="shared" si="13"/>
        <v>-88.27895222845838</v>
      </c>
      <c r="Y40" s="215">
        <f t="shared" si="14"/>
        <v>1.8377764954122968E-9</v>
      </c>
      <c r="Z40" s="216">
        <f t="shared" si="15"/>
        <v>-87.35707307265119</v>
      </c>
      <c r="AA40" s="215">
        <f t="shared" si="16"/>
        <v>3.0494876154418288E-9</v>
      </c>
      <c r="AB40" s="216">
        <f t="shared" si="17"/>
        <v>-85.157731260564674</v>
      </c>
    </row>
    <row r="41" spans="1:28" ht="17.25" customHeight="1">
      <c r="A41" s="213">
        <f t="shared" si="5"/>
        <v>11700</v>
      </c>
      <c r="B41" s="55">
        <v>29910</v>
      </c>
      <c r="C41" s="55">
        <v>27797</v>
      </c>
      <c r="D41" s="55">
        <v>11248</v>
      </c>
      <c r="E41" s="213" t="str">
        <f t="shared" si="1"/>
        <v>74D6</v>
      </c>
      <c r="F41" s="213" t="str">
        <f t="shared" si="1"/>
        <v>6C95</v>
      </c>
      <c r="G41" s="213" t="str">
        <f t="shared" si="1"/>
        <v>2BF0</v>
      </c>
      <c r="H41" s="210">
        <f t="shared" si="2"/>
        <v>39.958646616541955</v>
      </c>
      <c r="I41" s="210">
        <f t="shared" si="3"/>
        <v>14.530075187969487</v>
      </c>
      <c r="J41" s="210">
        <f t="shared" si="4"/>
        <v>1.0827067669179087</v>
      </c>
      <c r="K41" s="217">
        <f t="shared" si="6"/>
        <v>-7.1384650899574629E-5</v>
      </c>
      <c r="L41" s="217">
        <f t="shared" si="7"/>
        <v>-5.7972845798025718E-4</v>
      </c>
      <c r="M41" s="217">
        <f t="shared" si="8"/>
        <v>-4.2104649014473476E-4</v>
      </c>
      <c r="N41" s="217">
        <f t="shared" si="9"/>
        <v>-4.9242673098996909E-5</v>
      </c>
      <c r="O41" s="217">
        <f t="shared" si="10"/>
        <v>-5.4874111495435804E-4</v>
      </c>
      <c r="P41" s="217">
        <f t="shared" si="11"/>
        <v>-4.0405642595768641E-4</v>
      </c>
      <c r="Q41" s="4" t="s">
        <v>161</v>
      </c>
      <c r="R41" s="4" t="s">
        <v>416</v>
      </c>
      <c r="S41" s="4" t="s">
        <v>671</v>
      </c>
      <c r="U41" s="210">
        <f t="shared" si="18"/>
        <v>29</v>
      </c>
      <c r="V41" s="210">
        <f t="shared" si="19"/>
        <v>364.77987421383665</v>
      </c>
      <c r="W41" s="215">
        <f t="shared" si="20"/>
        <v>2.6405800795883459E-10</v>
      </c>
      <c r="X41" s="216">
        <f t="shared" si="13"/>
        <v>-95.783006573381542</v>
      </c>
      <c r="Y41" s="215">
        <f t="shared" si="14"/>
        <v>1.370463292992124E-9</v>
      </c>
      <c r="Z41" s="216">
        <f t="shared" si="15"/>
        <v>-88.631325922765868</v>
      </c>
      <c r="AA41" s="215">
        <f t="shared" si="16"/>
        <v>2.7129098668268433E-9</v>
      </c>
      <c r="AB41" s="216">
        <f t="shared" si="17"/>
        <v>-85.665646349114567</v>
      </c>
    </row>
    <row r="42" spans="1:28" ht="17.25" customHeight="1">
      <c r="A42" s="213">
        <f t="shared" si="5"/>
        <v>12000</v>
      </c>
      <c r="B42" s="55">
        <v>29825</v>
      </c>
      <c r="C42" s="55">
        <v>27790</v>
      </c>
      <c r="D42" s="55">
        <v>11234</v>
      </c>
      <c r="E42" s="213" t="str">
        <f t="shared" si="1"/>
        <v>7481</v>
      </c>
      <c r="F42" s="213" t="str">
        <f t="shared" si="1"/>
        <v>6C8E</v>
      </c>
      <c r="G42" s="213" t="str">
        <f t="shared" si="1"/>
        <v>2BE2</v>
      </c>
      <c r="H42" s="210">
        <f t="shared" si="2"/>
        <v>-45.041353383458045</v>
      </c>
      <c r="I42" s="210">
        <f t="shared" si="3"/>
        <v>7.5300751879694872</v>
      </c>
      <c r="J42" s="210">
        <f t="shared" si="4"/>
        <v>-12.917293233082091</v>
      </c>
      <c r="K42" s="217">
        <f t="shared" si="6"/>
        <v>-3.9399430256890851E-4</v>
      </c>
      <c r="L42" s="217">
        <f t="shared" si="7"/>
        <v>-8.7095199256179709E-4</v>
      </c>
      <c r="M42" s="217">
        <f t="shared" si="8"/>
        <v>-7.9286554711728411E-4</v>
      </c>
      <c r="N42" s="217">
        <f t="shared" si="9"/>
        <v>-3.7185232476833082E-4</v>
      </c>
      <c r="O42" s="217">
        <f t="shared" si="10"/>
        <v>-8.3996464953589784E-4</v>
      </c>
      <c r="P42" s="217">
        <f t="shared" si="11"/>
        <v>-7.7587548293023571E-4</v>
      </c>
      <c r="Q42" s="4" t="s">
        <v>162</v>
      </c>
      <c r="R42" s="4" t="s">
        <v>417</v>
      </c>
      <c r="S42" s="4" t="s">
        <v>672</v>
      </c>
      <c r="U42" s="210">
        <f t="shared" si="18"/>
        <v>30</v>
      </c>
      <c r="V42" s="210">
        <f t="shared" si="19"/>
        <v>377.35849056603791</v>
      </c>
      <c r="W42" s="215">
        <f t="shared" si="20"/>
        <v>2.5491174046526773E-11</v>
      </c>
      <c r="X42" s="216">
        <f t="shared" si="13"/>
        <v>-105.93610161777256</v>
      </c>
      <c r="Y42" s="215">
        <f t="shared" si="14"/>
        <v>9.3572352445558091E-11</v>
      </c>
      <c r="Z42" s="216">
        <f t="shared" si="15"/>
        <v>-100.28852452052719</v>
      </c>
      <c r="AA42" s="215">
        <f t="shared" si="16"/>
        <v>1.9056245670696971E-9</v>
      </c>
      <c r="AB42" s="216">
        <f t="shared" si="17"/>
        <v>-87.199626569559499</v>
      </c>
    </row>
    <row r="43" spans="1:28" ht="17.25" customHeight="1">
      <c r="A43" s="213">
        <f t="shared" si="5"/>
        <v>12300</v>
      </c>
      <c r="B43" s="55">
        <v>29810</v>
      </c>
      <c r="C43" s="55">
        <v>27715</v>
      </c>
      <c r="D43" s="55">
        <v>11193</v>
      </c>
      <c r="E43" s="213" t="str">
        <f t="shared" si="1"/>
        <v>7472</v>
      </c>
      <c r="F43" s="213" t="str">
        <f t="shared" si="1"/>
        <v>6C43</v>
      </c>
      <c r="G43" s="213" t="str">
        <f t="shared" si="1"/>
        <v>2BB9</v>
      </c>
      <c r="H43" s="210">
        <f t="shared" si="2"/>
        <v>-60.041353383458045</v>
      </c>
      <c r="I43" s="210">
        <f t="shared" si="3"/>
        <v>-67.469924812030513</v>
      </c>
      <c r="J43" s="210">
        <f t="shared" si="4"/>
        <v>-53.917293233082091</v>
      </c>
      <c r="K43" s="217">
        <f t="shared" si="6"/>
        <v>-7.2877790335783993E-4</v>
      </c>
      <c r="L43" s="217">
        <f t="shared" si="7"/>
        <v>-1.3617781744407972E-3</v>
      </c>
      <c r="M43" s="217">
        <f t="shared" si="8"/>
        <v>-1.3748432015091004E-3</v>
      </c>
      <c r="N43" s="217">
        <f t="shared" si="9"/>
        <v>-7.0663592555726218E-4</v>
      </c>
      <c r="O43" s="217">
        <f t="shared" si="10"/>
        <v>-1.330790831414898E-3</v>
      </c>
      <c r="P43" s="217">
        <f t="shared" si="11"/>
        <v>-1.357853137322052E-3</v>
      </c>
      <c r="Q43" s="4" t="s">
        <v>163</v>
      </c>
      <c r="R43" s="4" t="s">
        <v>418</v>
      </c>
      <c r="S43" s="4" t="s">
        <v>673</v>
      </c>
      <c r="U43" s="210">
        <f t="shared" si="18"/>
        <v>31</v>
      </c>
      <c r="V43" s="210">
        <f t="shared" si="19"/>
        <v>389.93710691823918</v>
      </c>
      <c r="W43" s="215">
        <f t="shared" si="20"/>
        <v>7.2774970069553472E-10</v>
      </c>
      <c r="X43" s="216">
        <f t="shared" si="13"/>
        <v>-91.380179645031049</v>
      </c>
      <c r="Y43" s="215">
        <f t="shared" si="14"/>
        <v>3.3686438659687635E-9</v>
      </c>
      <c r="Z43" s="216">
        <f t="shared" si="15"/>
        <v>-84.725449003338156</v>
      </c>
      <c r="AA43" s="215">
        <f t="shared" si="16"/>
        <v>2.3745522579205659E-9</v>
      </c>
      <c r="AB43" s="216">
        <f t="shared" si="17"/>
        <v>-86.24418268247976</v>
      </c>
    </row>
    <row r="44" spans="1:28" ht="17.25" customHeight="1">
      <c r="A44" s="213">
        <f t="shared" si="5"/>
        <v>12600</v>
      </c>
      <c r="B44" s="55">
        <v>29864</v>
      </c>
      <c r="C44" s="55">
        <v>27713</v>
      </c>
      <c r="D44" s="55">
        <v>11248</v>
      </c>
      <c r="E44" s="213" t="str">
        <f t="shared" si="1"/>
        <v>74A8</v>
      </c>
      <c r="F44" s="213" t="str">
        <f t="shared" si="1"/>
        <v>6C41</v>
      </c>
      <c r="G44" s="213" t="str">
        <f t="shared" si="1"/>
        <v>2BF0</v>
      </c>
      <c r="H44" s="210">
        <f t="shared" si="2"/>
        <v>-6.0413533834580448</v>
      </c>
      <c r="I44" s="210">
        <f t="shared" si="3"/>
        <v>-69.469924812030513</v>
      </c>
      <c r="J44" s="210">
        <f t="shared" si="4"/>
        <v>1.0827067669179087</v>
      </c>
      <c r="K44" s="217">
        <f t="shared" si="6"/>
        <v>-6.4660374680055677E-4</v>
      </c>
      <c r="L44" s="217">
        <f t="shared" si="7"/>
        <v>-1.545019949008957E-3</v>
      </c>
      <c r="M44" s="217">
        <f t="shared" si="8"/>
        <v>-1.0515222824025356E-3</v>
      </c>
      <c r="N44" s="217">
        <f t="shared" si="9"/>
        <v>-6.2446176899997902E-4</v>
      </c>
      <c r="O44" s="217">
        <f t="shared" si="10"/>
        <v>-1.5140326059830578E-3</v>
      </c>
      <c r="P44" s="217">
        <f t="shared" si="11"/>
        <v>-1.0345322182154872E-3</v>
      </c>
      <c r="Q44" s="4" t="s">
        <v>164</v>
      </c>
      <c r="R44" s="4" t="s">
        <v>419</v>
      </c>
      <c r="S44" s="4" t="s">
        <v>674</v>
      </c>
      <c r="U44" s="210">
        <f t="shared" si="18"/>
        <v>32</v>
      </c>
      <c r="V44" s="210">
        <f t="shared" si="19"/>
        <v>402.51572327044045</v>
      </c>
      <c r="W44" s="215">
        <f t="shared" si="20"/>
        <v>3.8653203721466838E-10</v>
      </c>
      <c r="X44" s="216">
        <f t="shared" si="13"/>
        <v>-94.128145043098854</v>
      </c>
      <c r="Y44" s="215">
        <f t="shared" si="14"/>
        <v>3.686704615805193E-9</v>
      </c>
      <c r="Z44" s="216">
        <f t="shared" si="15"/>
        <v>-84.333616573124758</v>
      </c>
      <c r="AA44" s="215">
        <f t="shared" si="16"/>
        <v>2.5690276623707634E-9</v>
      </c>
      <c r="AB44" s="216">
        <f t="shared" si="17"/>
        <v>-85.902312193808697</v>
      </c>
    </row>
    <row r="45" spans="1:28" ht="17.25" customHeight="1">
      <c r="A45" s="213">
        <f t="shared" si="5"/>
        <v>12900</v>
      </c>
      <c r="B45" s="55">
        <v>29896</v>
      </c>
      <c r="C45" s="55">
        <v>27861</v>
      </c>
      <c r="D45" s="55">
        <v>11277</v>
      </c>
      <c r="E45" s="213" t="str">
        <f t="shared" si="1"/>
        <v>74C8</v>
      </c>
      <c r="F45" s="213" t="str">
        <f t="shared" si="1"/>
        <v>6CD5</v>
      </c>
      <c r="G45" s="213" t="str">
        <f t="shared" si="1"/>
        <v>2C0D</v>
      </c>
      <c r="H45" s="210">
        <f t="shared" si="2"/>
        <v>25.958646616541955</v>
      </c>
      <c r="I45" s="210">
        <f t="shared" si="3"/>
        <v>78.530075187969487</v>
      </c>
      <c r="J45" s="210">
        <f t="shared" si="4"/>
        <v>30.082706766917909</v>
      </c>
      <c r="K45" s="217">
        <f t="shared" si="6"/>
        <v>-4.4269009904729855E-4</v>
      </c>
      <c r="L45" s="217">
        <f t="shared" si="7"/>
        <v>-1.0607381162216771E-3</v>
      </c>
      <c r="M45" s="217">
        <f t="shared" si="8"/>
        <v>-5.2612578885436823E-4</v>
      </c>
      <c r="N45" s="217">
        <f t="shared" si="9"/>
        <v>-4.2054812124672086E-4</v>
      </c>
      <c r="O45" s="217">
        <f t="shared" si="10"/>
        <v>-1.0297507731957779E-3</v>
      </c>
      <c r="P45" s="217">
        <f t="shared" si="11"/>
        <v>-5.0913572466731983E-4</v>
      </c>
      <c r="Q45" s="4" t="s">
        <v>165</v>
      </c>
      <c r="R45" s="4" t="s">
        <v>420</v>
      </c>
      <c r="S45" s="4" t="s">
        <v>675</v>
      </c>
      <c r="U45" s="210">
        <f t="shared" si="18"/>
        <v>33</v>
      </c>
      <c r="V45" s="210">
        <f t="shared" si="19"/>
        <v>415.09433962264171</v>
      </c>
      <c r="W45" s="215">
        <f t="shared" si="20"/>
        <v>7.7385086637032663E-10</v>
      </c>
      <c r="X45" s="216">
        <f t="shared" ref="X45:X76" si="21">IF(W45&lt;&gt;0,10*LOG10(W45),-120)</f>
        <v>-91.113427268532149</v>
      </c>
      <c r="Y45" s="215">
        <f t="shared" ref="Y45:Y76" si="22">(IMREAL(R45)^2+IMAGINARY(R45)^2)/$Q$7</f>
        <v>2.6677836712074311E-9</v>
      </c>
      <c r="Z45" s="216">
        <f t="shared" ref="Z45:Z76" si="23">IF(Y45&lt;&gt;0,10*LOG10(Y45),-120)</f>
        <v>-85.738493899766183</v>
      </c>
      <c r="AA45" s="215">
        <f t="shared" ref="AA45:AA76" si="24">(IMREAL(S45)^2+IMAGINARY(S45)^2)/$Q$7</f>
        <v>2.7953957337034161E-9</v>
      </c>
      <c r="AB45" s="216">
        <f t="shared" ref="AB45:AB76" si="25">IF(AA45&lt;&gt;0,10*LOG10(AA45),-120)</f>
        <v>-85.535567019822153</v>
      </c>
    </row>
    <row r="46" spans="1:28" ht="17.25" customHeight="1">
      <c r="A46" s="213">
        <f t="shared" si="5"/>
        <v>13200</v>
      </c>
      <c r="B46" s="55">
        <v>29935</v>
      </c>
      <c r="C46" s="55">
        <v>27836</v>
      </c>
      <c r="D46" s="55">
        <v>11281</v>
      </c>
      <c r="E46" s="213" t="str">
        <f t="shared" si="1"/>
        <v>74EF</v>
      </c>
      <c r="F46" s="213" t="str">
        <f t="shared" si="1"/>
        <v>6CBC</v>
      </c>
      <c r="G46" s="213" t="str">
        <f t="shared" si="1"/>
        <v>2C11</v>
      </c>
      <c r="H46" s="210">
        <f t="shared" si="2"/>
        <v>64.958646616541955</v>
      </c>
      <c r="I46" s="210">
        <f t="shared" si="3"/>
        <v>53.530075187969487</v>
      </c>
      <c r="J46" s="210">
        <f t="shared" si="4"/>
        <v>34.082706766917909</v>
      </c>
      <c r="K46" s="217">
        <f t="shared" si="6"/>
        <v>-1.9616762937544908E-4</v>
      </c>
      <c r="L46" s="217">
        <f t="shared" si="7"/>
        <v>-6.9752674163121723E-4</v>
      </c>
      <c r="M46" s="217">
        <f t="shared" si="8"/>
        <v>1.1243302638109695E-4</v>
      </c>
      <c r="N46" s="217">
        <f t="shared" si="9"/>
        <v>-1.7402565157487136E-4</v>
      </c>
      <c r="O46" s="217">
        <f t="shared" si="10"/>
        <v>-6.6653939860531809E-4</v>
      </c>
      <c r="P46" s="217">
        <f t="shared" si="11"/>
        <v>1.2942309056814531E-4</v>
      </c>
      <c r="Q46" s="4" t="s">
        <v>166</v>
      </c>
      <c r="R46" s="4" t="s">
        <v>421</v>
      </c>
      <c r="S46" s="4" t="s">
        <v>676</v>
      </c>
      <c r="U46" s="210">
        <f t="shared" si="18"/>
        <v>34</v>
      </c>
      <c r="V46" s="210">
        <f t="shared" ref="V46:V77" si="26">V45+V$13</f>
        <v>427.67295597484298</v>
      </c>
      <c r="W46" s="215">
        <f t="shared" si="20"/>
        <v>3.4826556449007309E-9</v>
      </c>
      <c r="X46" s="216">
        <f t="shared" si="21"/>
        <v>-84.580894652238769</v>
      </c>
      <c r="Y46" s="215">
        <f t="shared" si="22"/>
        <v>5.8622105759183743E-9</v>
      </c>
      <c r="Z46" s="216">
        <f t="shared" si="23"/>
        <v>-82.319385853658815</v>
      </c>
      <c r="AA46" s="215">
        <f t="shared" si="24"/>
        <v>5.9154230405158684E-9</v>
      </c>
      <c r="AB46" s="216">
        <f t="shared" si="25"/>
        <v>-82.28014191426243</v>
      </c>
    </row>
    <row r="47" spans="1:28" ht="17.25" customHeight="1">
      <c r="A47" s="213">
        <f t="shared" si="5"/>
        <v>13500</v>
      </c>
      <c r="B47" s="55">
        <v>29853</v>
      </c>
      <c r="C47" s="55">
        <v>27802</v>
      </c>
      <c r="D47" s="55">
        <v>11246</v>
      </c>
      <c r="E47" s="213" t="str">
        <f t="shared" si="1"/>
        <v>749D</v>
      </c>
      <c r="F47" s="213" t="str">
        <f t="shared" si="1"/>
        <v>6C9A</v>
      </c>
      <c r="G47" s="213" t="str">
        <f t="shared" si="1"/>
        <v>2BEE</v>
      </c>
      <c r="H47" s="210">
        <f t="shared" si="2"/>
        <v>-17.041353383458045</v>
      </c>
      <c r="I47" s="210">
        <f t="shared" si="3"/>
        <v>19.530075187969487</v>
      </c>
      <c r="J47" s="210">
        <f t="shared" si="4"/>
        <v>-0.91729323308209132</v>
      </c>
      <c r="K47" s="217">
        <f t="shared" si="6"/>
        <v>-2.9051573505232975E-4</v>
      </c>
      <c r="L47" s="217">
        <f t="shared" si="7"/>
        <v>-4.586579997834372E-4</v>
      </c>
      <c r="M47" s="217">
        <f t="shared" si="8"/>
        <v>2.4984441700138691E-4</v>
      </c>
      <c r="N47" s="217">
        <f t="shared" si="9"/>
        <v>-2.68373757251752E-4</v>
      </c>
      <c r="O47" s="217">
        <f t="shared" si="10"/>
        <v>-4.2767065675753801E-4</v>
      </c>
      <c r="P47" s="217">
        <f t="shared" si="11"/>
        <v>2.6683448118843526E-4</v>
      </c>
      <c r="Q47" s="4" t="s">
        <v>167</v>
      </c>
      <c r="R47" s="4" t="s">
        <v>422</v>
      </c>
      <c r="S47" s="4" t="s">
        <v>677</v>
      </c>
      <c r="U47" s="210">
        <f t="shared" si="18"/>
        <v>35</v>
      </c>
      <c r="V47" s="210">
        <f t="shared" si="26"/>
        <v>440.25157232704424</v>
      </c>
      <c r="W47" s="215">
        <f t="shared" si="20"/>
        <v>4.8938810461272462E-10</v>
      </c>
      <c r="X47" s="216">
        <f t="shared" si="21"/>
        <v>-93.103465911015945</v>
      </c>
      <c r="Y47" s="215">
        <f t="shared" si="22"/>
        <v>1.5728299594961782E-9</v>
      </c>
      <c r="Z47" s="216">
        <f t="shared" si="23"/>
        <v>-88.033182269280445</v>
      </c>
      <c r="AA47" s="215">
        <f t="shared" si="24"/>
        <v>3.3707366270064195E-10</v>
      </c>
      <c r="AB47" s="216">
        <f t="shared" si="25"/>
        <v>-94.722751798155116</v>
      </c>
    </row>
    <row r="48" spans="1:28" ht="17.25" customHeight="1">
      <c r="A48" s="213">
        <f t="shared" si="5"/>
        <v>13800</v>
      </c>
      <c r="B48" s="55">
        <v>29896</v>
      </c>
      <c r="C48" s="55">
        <v>27843</v>
      </c>
      <c r="D48" s="55">
        <v>11253</v>
      </c>
      <c r="E48" s="213" t="str">
        <f t="shared" si="1"/>
        <v>74C8</v>
      </c>
      <c r="F48" s="213" t="str">
        <f t="shared" si="1"/>
        <v>6CC3</v>
      </c>
      <c r="G48" s="213" t="str">
        <f t="shared" si="1"/>
        <v>2BF5</v>
      </c>
      <c r="H48" s="210">
        <f t="shared" si="2"/>
        <v>25.958646616541955</v>
      </c>
      <c r="I48" s="210">
        <f t="shared" si="3"/>
        <v>60.530075187969487</v>
      </c>
      <c r="J48" s="210">
        <f t="shared" si="4"/>
        <v>6.0827067669179087</v>
      </c>
      <c r="K48" s="217">
        <f t="shared" si="6"/>
        <v>-1.2312393465786401E-4</v>
      </c>
      <c r="L48" s="217">
        <f t="shared" si="7"/>
        <v>-5.9452705188517179E-5</v>
      </c>
      <c r="M48" s="217">
        <f t="shared" si="8"/>
        <v>4.1958789953233341E-4</v>
      </c>
      <c r="N48" s="217">
        <f t="shared" si="9"/>
        <v>-1.0098195685728629E-4</v>
      </c>
      <c r="O48" s="217">
        <f t="shared" si="10"/>
        <v>-2.8465362162617983E-5</v>
      </c>
      <c r="P48" s="217">
        <f t="shared" si="11"/>
        <v>4.3657796371938175E-4</v>
      </c>
      <c r="Q48" s="4" t="s">
        <v>168</v>
      </c>
      <c r="R48" s="4" t="s">
        <v>423</v>
      </c>
      <c r="S48" s="4" t="s">
        <v>678</v>
      </c>
      <c r="U48" s="210">
        <f t="shared" si="18"/>
        <v>36</v>
      </c>
      <c r="V48" s="210">
        <f t="shared" si="26"/>
        <v>452.83018867924551</v>
      </c>
      <c r="W48" s="215">
        <f t="shared" si="20"/>
        <v>7.8514523518403207E-10</v>
      </c>
      <c r="X48" s="216">
        <f t="shared" si="21"/>
        <v>-91.050500005733568</v>
      </c>
      <c r="Y48" s="215">
        <f t="shared" si="22"/>
        <v>3.3328274516853039E-10</v>
      </c>
      <c r="Z48" s="216">
        <f t="shared" si="23"/>
        <v>-94.771871702040755</v>
      </c>
      <c r="AA48" s="215">
        <f t="shared" si="24"/>
        <v>3.4816886952919475E-9</v>
      </c>
      <c r="AB48" s="216">
        <f t="shared" si="25"/>
        <v>-84.582100626158365</v>
      </c>
    </row>
    <row r="49" spans="1:28" ht="17.25" customHeight="1">
      <c r="A49" s="213">
        <f t="shared" si="5"/>
        <v>14100</v>
      </c>
      <c r="B49" s="55">
        <v>29869</v>
      </c>
      <c r="C49" s="55">
        <v>27821</v>
      </c>
      <c r="D49" s="55">
        <v>11259</v>
      </c>
      <c r="E49" s="213" t="str">
        <f t="shared" si="1"/>
        <v>74AD</v>
      </c>
      <c r="F49" s="213" t="str">
        <f t="shared" si="1"/>
        <v>6CAD</v>
      </c>
      <c r="G49" s="213" t="str">
        <f t="shared" si="1"/>
        <v>2BFB</v>
      </c>
      <c r="H49" s="210">
        <f t="shared" si="2"/>
        <v>-1.0413533834580448</v>
      </c>
      <c r="I49" s="210">
        <f t="shared" si="3"/>
        <v>38.530075187969487</v>
      </c>
      <c r="J49" s="210">
        <f t="shared" si="4"/>
        <v>12.082706766917909</v>
      </c>
      <c r="K49" s="217">
        <f t="shared" si="6"/>
        <v>1.659043818010408E-6</v>
      </c>
      <c r="L49" s="217">
        <f t="shared" si="7"/>
        <v>6.8162102100022815E-5</v>
      </c>
      <c r="M49" s="217">
        <f t="shared" si="8"/>
        <v>2.7409348593437926E-4</v>
      </c>
      <c r="N49" s="217">
        <f t="shared" si="9"/>
        <v>2.3801021618588126E-5</v>
      </c>
      <c r="O49" s="217">
        <f t="shared" si="10"/>
        <v>9.9149445125922011E-5</v>
      </c>
      <c r="P49" s="217">
        <f t="shared" si="11"/>
        <v>2.9108355012142761E-4</v>
      </c>
      <c r="Q49" s="4" t="s">
        <v>169</v>
      </c>
      <c r="R49" s="4" t="s">
        <v>424</v>
      </c>
      <c r="S49" s="4" t="s">
        <v>679</v>
      </c>
      <c r="U49" s="210">
        <f t="shared" si="18"/>
        <v>37</v>
      </c>
      <c r="V49" s="210">
        <f t="shared" si="26"/>
        <v>465.40880503144678</v>
      </c>
      <c r="W49" s="215">
        <f t="shared" si="20"/>
        <v>6.0856709953926891E-11</v>
      </c>
      <c r="X49" s="216">
        <f t="shared" si="21"/>
        <v>-102.15691530247281</v>
      </c>
      <c r="Y49" s="215">
        <f t="shared" si="22"/>
        <v>2.0706031255527327E-10</v>
      </c>
      <c r="Z49" s="216">
        <f t="shared" si="23"/>
        <v>-96.839031347616128</v>
      </c>
      <c r="AA49" s="215">
        <f t="shared" si="24"/>
        <v>9.5152261442276938E-11</v>
      </c>
      <c r="AB49" s="216">
        <f t="shared" si="25"/>
        <v>-100.21580885566861</v>
      </c>
    </row>
    <row r="50" spans="1:28" ht="17.25" customHeight="1">
      <c r="A50" s="213">
        <f t="shared" si="5"/>
        <v>14400</v>
      </c>
      <c r="B50" s="55">
        <v>29864</v>
      </c>
      <c r="C50" s="55">
        <v>27728</v>
      </c>
      <c r="D50" s="55">
        <v>11216</v>
      </c>
      <c r="E50" s="213" t="str">
        <f t="shared" si="1"/>
        <v>74A8</v>
      </c>
      <c r="F50" s="213" t="str">
        <f t="shared" si="1"/>
        <v>6C50</v>
      </c>
      <c r="G50" s="213" t="str">
        <f t="shared" si="1"/>
        <v>2BD0</v>
      </c>
      <c r="H50" s="210">
        <f t="shared" si="2"/>
        <v>-6.0413533834580448</v>
      </c>
      <c r="I50" s="210">
        <f t="shared" si="3"/>
        <v>-54.469924812030513</v>
      </c>
      <c r="J50" s="210">
        <f t="shared" si="4"/>
        <v>-30.917293233082091</v>
      </c>
      <c r="K50" s="217">
        <f t="shared" si="6"/>
        <v>1.9919967497406666E-5</v>
      </c>
      <c r="L50" s="217">
        <f t="shared" si="7"/>
        <v>7.1434276645882818E-5</v>
      </c>
      <c r="M50" s="217">
        <f t="shared" si="8"/>
        <v>-4.9227433172185385E-5</v>
      </c>
      <c r="N50" s="217">
        <f t="shared" si="9"/>
        <v>4.2061945297984383E-5</v>
      </c>
      <c r="O50" s="217">
        <f t="shared" si="10"/>
        <v>1.0242161967178201E-4</v>
      </c>
      <c r="P50" s="217">
        <f t="shared" si="11"/>
        <v>-3.2237368985137031E-5</v>
      </c>
      <c r="Q50" s="4" t="s">
        <v>170</v>
      </c>
      <c r="R50" s="4" t="s">
        <v>425</v>
      </c>
      <c r="S50" s="4" t="s">
        <v>680</v>
      </c>
      <c r="U50" s="210">
        <f t="shared" si="18"/>
        <v>38</v>
      </c>
      <c r="V50" s="210">
        <f t="shared" si="26"/>
        <v>477.98742138364804</v>
      </c>
      <c r="W50" s="215">
        <f t="shared" si="20"/>
        <v>6.0744711085912628E-10</v>
      </c>
      <c r="X50" s="216">
        <f t="shared" si="21"/>
        <v>-92.164915291896605</v>
      </c>
      <c r="Y50" s="215">
        <f t="shared" si="22"/>
        <v>7.997148829418893E-10</v>
      </c>
      <c r="Z50" s="216">
        <f t="shared" si="23"/>
        <v>-90.970648215525856</v>
      </c>
      <c r="AA50" s="215">
        <f t="shared" si="24"/>
        <v>6.3413882421371714E-10</v>
      </c>
      <c r="AB50" s="216">
        <f t="shared" si="25"/>
        <v>-91.978156569603001</v>
      </c>
    </row>
    <row r="51" spans="1:28" ht="17.25" customHeight="1">
      <c r="A51" s="213">
        <f t="shared" si="5"/>
        <v>14700</v>
      </c>
      <c r="B51" s="55">
        <v>29835</v>
      </c>
      <c r="C51" s="55">
        <v>27692</v>
      </c>
      <c r="D51" s="55">
        <v>11226</v>
      </c>
      <c r="E51" s="213" t="str">
        <f t="shared" si="1"/>
        <v>748B</v>
      </c>
      <c r="F51" s="213" t="str">
        <f t="shared" si="1"/>
        <v>6C2C</v>
      </c>
      <c r="G51" s="213" t="str">
        <f t="shared" si="1"/>
        <v>2BDA</v>
      </c>
      <c r="H51" s="210">
        <f t="shared" si="2"/>
        <v>-35.041353383458045</v>
      </c>
      <c r="I51" s="210">
        <f t="shared" si="3"/>
        <v>-90.469924812030513</v>
      </c>
      <c r="J51" s="210">
        <f t="shared" si="4"/>
        <v>-20.917293233082091</v>
      </c>
      <c r="K51" s="217">
        <f t="shared" si="6"/>
        <v>-4.0949778100580865E-5</v>
      </c>
      <c r="L51" s="217">
        <f t="shared" si="7"/>
        <v>-3.0003134275777181E-5</v>
      </c>
      <c r="M51" s="217">
        <f t="shared" si="8"/>
        <v>-2.8363509952444475E-4</v>
      </c>
      <c r="N51" s="217">
        <f t="shared" si="9"/>
        <v>-1.8807800300003145E-5</v>
      </c>
      <c r="O51" s="217">
        <f t="shared" si="10"/>
        <v>9.8420875012201553E-7</v>
      </c>
      <c r="P51" s="217">
        <f t="shared" si="11"/>
        <v>-2.666450353373964E-4</v>
      </c>
      <c r="Q51" s="4" t="s">
        <v>171</v>
      </c>
      <c r="R51" s="4" t="s">
        <v>426</v>
      </c>
      <c r="S51" s="4" t="s">
        <v>681</v>
      </c>
      <c r="U51" s="210">
        <f t="shared" si="18"/>
        <v>39</v>
      </c>
      <c r="V51" s="210">
        <f t="shared" si="26"/>
        <v>490.56603773584931</v>
      </c>
      <c r="W51" s="215">
        <f t="shared" si="20"/>
        <v>7.6989673359682492E-10</v>
      </c>
      <c r="X51" s="216">
        <f t="shared" si="21"/>
        <v>-91.135675229270859</v>
      </c>
      <c r="Y51" s="215">
        <f t="shared" si="22"/>
        <v>1.7735797158281729E-9</v>
      </c>
      <c r="Z51" s="216">
        <f t="shared" si="23"/>
        <v>-87.511492868276406</v>
      </c>
      <c r="AA51" s="215">
        <f t="shared" si="24"/>
        <v>7.5280529679840091E-10</v>
      </c>
      <c r="AB51" s="216">
        <f t="shared" si="25"/>
        <v>-91.233173338392689</v>
      </c>
    </row>
    <row r="52" spans="1:28" ht="17.25" customHeight="1">
      <c r="A52" s="213">
        <f t="shared" si="5"/>
        <v>15000</v>
      </c>
      <c r="B52" s="55">
        <v>29907</v>
      </c>
      <c r="C52" s="55">
        <v>27766</v>
      </c>
      <c r="D52" s="55">
        <v>11280</v>
      </c>
      <c r="E52" s="213" t="str">
        <f t="shared" si="1"/>
        <v>74D3</v>
      </c>
      <c r="F52" s="213" t="str">
        <f t="shared" si="1"/>
        <v>6C76</v>
      </c>
      <c r="G52" s="213" t="str">
        <f t="shared" si="1"/>
        <v>2C10</v>
      </c>
      <c r="H52" s="210">
        <f t="shared" si="2"/>
        <v>36.958646616541955</v>
      </c>
      <c r="I52" s="210">
        <f t="shared" si="3"/>
        <v>-16.469924812030513</v>
      </c>
      <c r="J52" s="210">
        <f t="shared" si="4"/>
        <v>33.082706766917909</v>
      </c>
      <c r="K52" s="217">
        <f t="shared" si="6"/>
        <v>-5.0080239940278991E-5</v>
      </c>
      <c r="L52" s="217">
        <f t="shared" si="7"/>
        <v>-1.3144054519743717E-4</v>
      </c>
      <c r="M52" s="217">
        <f t="shared" si="8"/>
        <v>-2.4978364239193037E-5</v>
      </c>
      <c r="N52" s="217">
        <f t="shared" si="9"/>
        <v>-2.7938262139701272E-5</v>
      </c>
      <c r="O52" s="217">
        <f t="shared" si="10"/>
        <v>-1.0045320217153797E-4</v>
      </c>
      <c r="P52" s="217">
        <f t="shared" si="11"/>
        <v>-7.9883000521446826E-6</v>
      </c>
      <c r="Q52" s="4" t="s">
        <v>172</v>
      </c>
      <c r="R52" s="4" t="s">
        <v>427</v>
      </c>
      <c r="S52" s="4" t="s">
        <v>682</v>
      </c>
      <c r="U52" s="210">
        <f t="shared" si="18"/>
        <v>40</v>
      </c>
      <c r="V52" s="210">
        <f t="shared" si="26"/>
        <v>503.14465408805057</v>
      </c>
      <c r="W52" s="215">
        <f t="shared" si="20"/>
        <v>9.664350159342626E-11</v>
      </c>
      <c r="X52" s="216">
        <f t="shared" si="21"/>
        <v>-100.14827343052899</v>
      </c>
      <c r="Y52" s="215">
        <f t="shared" si="22"/>
        <v>3.1082304923836865E-10</v>
      </c>
      <c r="Z52" s="216">
        <f t="shared" si="23"/>
        <v>-95.074867833528728</v>
      </c>
      <c r="AA52" s="215">
        <f t="shared" si="24"/>
        <v>2.1732696053828178E-10</v>
      </c>
      <c r="AB52" s="216">
        <f t="shared" si="25"/>
        <v>-96.628863938511032</v>
      </c>
    </row>
    <row r="53" spans="1:28" ht="17.25" customHeight="1">
      <c r="A53" s="213">
        <f t="shared" si="5"/>
        <v>15300</v>
      </c>
      <c r="B53" s="55">
        <v>29909</v>
      </c>
      <c r="C53" s="55">
        <v>27833</v>
      </c>
      <c r="D53" s="55">
        <v>11238</v>
      </c>
      <c r="E53" s="213" t="str">
        <f t="shared" si="1"/>
        <v>74D5</v>
      </c>
      <c r="F53" s="213" t="str">
        <f t="shared" si="1"/>
        <v>6CB9</v>
      </c>
      <c r="G53" s="213" t="str">
        <f t="shared" si="1"/>
        <v>2BE6</v>
      </c>
      <c r="H53" s="210">
        <f t="shared" si="2"/>
        <v>38.958646616541955</v>
      </c>
      <c r="I53" s="210">
        <f t="shared" si="3"/>
        <v>50.530075187969487</v>
      </c>
      <c r="J53" s="210">
        <f t="shared" si="4"/>
        <v>-8.9172932330820913</v>
      </c>
      <c r="K53" s="217">
        <f t="shared" si="6"/>
        <v>2.0557269157126862E-4</v>
      </c>
      <c r="L53" s="217">
        <f t="shared" si="7"/>
        <v>9.2629602745428191E-6</v>
      </c>
      <c r="M53" s="217">
        <f t="shared" si="8"/>
        <v>7.3537276714634283E-6</v>
      </c>
      <c r="N53" s="217">
        <f t="shared" si="9"/>
        <v>2.2771466937184634E-4</v>
      </c>
      <c r="O53" s="217">
        <f t="shared" si="10"/>
        <v>4.0250303300442015E-5</v>
      </c>
      <c r="P53" s="217">
        <f t="shared" si="11"/>
        <v>2.4343791858511783E-5</v>
      </c>
      <c r="Q53" s="4" t="s">
        <v>173</v>
      </c>
      <c r="R53" s="4" t="s">
        <v>428</v>
      </c>
      <c r="S53" s="4" t="s">
        <v>683</v>
      </c>
      <c r="U53" s="210">
        <f t="shared" si="18"/>
        <v>41</v>
      </c>
      <c r="V53" s="210">
        <f t="shared" si="26"/>
        <v>515.72327044025178</v>
      </c>
      <c r="W53" s="215">
        <f t="shared" si="20"/>
        <v>3.9462710410497522E-11</v>
      </c>
      <c r="X53" s="216">
        <f t="shared" si="21"/>
        <v>-104.03813089486817</v>
      </c>
      <c r="Y53" s="215">
        <f t="shared" si="22"/>
        <v>1.9039255311854777E-10</v>
      </c>
      <c r="Z53" s="216">
        <f t="shared" si="23"/>
        <v>-97.203500423106306</v>
      </c>
      <c r="AA53" s="215">
        <f t="shared" si="24"/>
        <v>1.2560618904546542E-10</v>
      </c>
      <c r="AB53" s="216">
        <f t="shared" si="25"/>
        <v>-99.009889609007928</v>
      </c>
    </row>
    <row r="54" spans="1:28" ht="17.25" customHeight="1">
      <c r="A54" s="213">
        <f t="shared" si="5"/>
        <v>15600</v>
      </c>
      <c r="B54" s="55">
        <v>29882</v>
      </c>
      <c r="C54" s="55">
        <v>27851</v>
      </c>
      <c r="D54" s="55">
        <v>11274</v>
      </c>
      <c r="E54" s="213" t="str">
        <f t="shared" si="1"/>
        <v>74BA</v>
      </c>
      <c r="F54" s="213" t="str">
        <f t="shared" si="1"/>
        <v>6CCB</v>
      </c>
      <c r="G54" s="213" t="str">
        <f t="shared" si="1"/>
        <v>2C0A</v>
      </c>
      <c r="H54" s="210">
        <f t="shared" si="2"/>
        <v>11.958646616541955</v>
      </c>
      <c r="I54" s="210">
        <f t="shared" si="3"/>
        <v>68.530075187969487</v>
      </c>
      <c r="J54" s="210">
        <f t="shared" si="4"/>
        <v>27.082706766917909</v>
      </c>
      <c r="K54" s="217">
        <f t="shared" si="6"/>
        <v>4.2470377572402372E-4</v>
      </c>
      <c r="L54" s="217">
        <f t="shared" si="7"/>
        <v>4.5427869851150283E-4</v>
      </c>
      <c r="M54" s="217">
        <f t="shared" si="8"/>
        <v>6.6207858886225678E-4</v>
      </c>
      <c r="N54" s="217">
        <f t="shared" si="9"/>
        <v>4.4684575352460141E-4</v>
      </c>
      <c r="O54" s="217">
        <f t="shared" si="10"/>
        <v>4.8526604153740203E-4</v>
      </c>
      <c r="P54" s="217">
        <f t="shared" si="11"/>
        <v>6.7906865304930518E-4</v>
      </c>
      <c r="Q54" s="4" t="s">
        <v>174</v>
      </c>
      <c r="R54" s="4" t="s">
        <v>429</v>
      </c>
      <c r="S54" s="4" t="s">
        <v>684</v>
      </c>
      <c r="U54" s="210">
        <f t="shared" si="18"/>
        <v>42</v>
      </c>
      <c r="V54" s="210">
        <f t="shared" si="26"/>
        <v>528.30188679245305</v>
      </c>
      <c r="W54" s="215">
        <f t="shared" si="20"/>
        <v>3.8159513097682305E-11</v>
      </c>
      <c r="X54" s="216">
        <f t="shared" si="21"/>
        <v>-104.18397175381435</v>
      </c>
      <c r="Y54" s="215">
        <f t="shared" si="22"/>
        <v>1.2955748374673998E-10</v>
      </c>
      <c r="Z54" s="216">
        <f t="shared" si="23"/>
        <v>-98.875374954065194</v>
      </c>
      <c r="AA54" s="215">
        <f t="shared" si="24"/>
        <v>7.066509693033392E-10</v>
      </c>
      <c r="AB54" s="216">
        <f t="shared" si="25"/>
        <v>-91.50795040989955</v>
      </c>
    </row>
    <row r="55" spans="1:28" ht="17.25" customHeight="1">
      <c r="A55" s="213">
        <f t="shared" si="5"/>
        <v>15900</v>
      </c>
      <c r="B55" s="55">
        <v>29864</v>
      </c>
      <c r="C55" s="55">
        <v>27797</v>
      </c>
      <c r="D55" s="55">
        <v>11252</v>
      </c>
      <c r="E55" s="213" t="str">
        <f t="shared" si="1"/>
        <v>74A8</v>
      </c>
      <c r="F55" s="213" t="str">
        <f t="shared" si="1"/>
        <v>6C95</v>
      </c>
      <c r="G55" s="213" t="str">
        <f t="shared" si="1"/>
        <v>2BF4</v>
      </c>
      <c r="H55" s="210">
        <f t="shared" si="2"/>
        <v>-6.0413533834580448</v>
      </c>
      <c r="I55" s="210">
        <f t="shared" si="3"/>
        <v>14.530075187969487</v>
      </c>
      <c r="J55" s="210">
        <f t="shared" si="4"/>
        <v>5.0827067669179087</v>
      </c>
      <c r="K55" s="217">
        <f t="shared" si="6"/>
        <v>4.2470377572402372E-4</v>
      </c>
      <c r="L55" s="217">
        <f t="shared" si="7"/>
        <v>7.2914136036374274E-4</v>
      </c>
      <c r="M55" s="217">
        <f t="shared" si="8"/>
        <v>6.9441068077291332E-4</v>
      </c>
      <c r="N55" s="217">
        <f t="shared" si="9"/>
        <v>4.4684575352460141E-4</v>
      </c>
      <c r="O55" s="217">
        <f t="shared" si="10"/>
        <v>7.6012870338964199E-4</v>
      </c>
      <c r="P55" s="217">
        <f t="shared" si="11"/>
        <v>7.1140074495996172E-4</v>
      </c>
      <c r="Q55" s="4" t="s">
        <v>175</v>
      </c>
      <c r="R55" s="4" t="s">
        <v>430</v>
      </c>
      <c r="S55" s="4" t="s">
        <v>685</v>
      </c>
      <c r="U55" s="210">
        <f t="shared" si="18"/>
        <v>43</v>
      </c>
      <c r="V55" s="210">
        <f t="shared" si="26"/>
        <v>540.88050314465431</v>
      </c>
      <c r="W55" s="215">
        <f t="shared" si="20"/>
        <v>1.0775843757493635E-11</v>
      </c>
      <c r="X55" s="216">
        <f t="shared" si="21"/>
        <v>-109.67548714218096</v>
      </c>
      <c r="Y55" s="215">
        <f t="shared" si="22"/>
        <v>2.7207973803131188E-11</v>
      </c>
      <c r="Z55" s="216">
        <f t="shared" si="23"/>
        <v>-105.65303799230327</v>
      </c>
      <c r="AA55" s="215">
        <f t="shared" si="24"/>
        <v>3.6170044784268452E-10</v>
      </c>
      <c r="AB55" s="216">
        <f t="shared" si="25"/>
        <v>-94.416509535124021</v>
      </c>
    </row>
    <row r="56" spans="1:28" ht="17.25" customHeight="1">
      <c r="A56" s="213">
        <f t="shared" si="5"/>
        <v>16200</v>
      </c>
      <c r="B56" s="55">
        <v>29870</v>
      </c>
      <c r="C56" s="55">
        <v>27830</v>
      </c>
      <c r="D56" s="55">
        <v>11269</v>
      </c>
      <c r="E56" s="213" t="str">
        <f t="shared" si="1"/>
        <v>74AE</v>
      </c>
      <c r="F56" s="213" t="str">
        <f t="shared" si="1"/>
        <v>6CB6</v>
      </c>
      <c r="G56" s="213" t="str">
        <f t="shared" si="1"/>
        <v>2C05</v>
      </c>
      <c r="H56" s="210">
        <f t="shared" si="2"/>
        <v>-4.1353383458044846E-2</v>
      </c>
      <c r="I56" s="210">
        <f t="shared" si="3"/>
        <v>47.530075187969487</v>
      </c>
      <c r="J56" s="210">
        <f t="shared" si="4"/>
        <v>22.082706766917909</v>
      </c>
      <c r="K56" s="217">
        <f t="shared" si="6"/>
        <v>3.4557310644663992E-4</v>
      </c>
      <c r="L56" s="217">
        <f t="shared" si="7"/>
        <v>6.2770394944208286E-4</v>
      </c>
      <c r="M56" s="217">
        <f t="shared" si="8"/>
        <v>6.2974649695160035E-4</v>
      </c>
      <c r="N56" s="217">
        <f t="shared" si="9"/>
        <v>3.6771508424721761E-4</v>
      </c>
      <c r="O56" s="217">
        <f t="shared" si="10"/>
        <v>6.58691292467982E-4</v>
      </c>
      <c r="P56" s="217">
        <f t="shared" si="11"/>
        <v>6.4673656113864875E-4</v>
      </c>
      <c r="Q56" s="4" t="s">
        <v>176</v>
      </c>
      <c r="R56" s="4" t="s">
        <v>431</v>
      </c>
      <c r="S56" s="4" t="s">
        <v>686</v>
      </c>
      <c r="U56" s="210">
        <f t="shared" si="18"/>
        <v>44</v>
      </c>
      <c r="V56" s="210">
        <f t="shared" si="26"/>
        <v>553.45911949685558</v>
      </c>
      <c r="W56" s="215">
        <f t="shared" si="20"/>
        <v>9.8984052546647196E-13</v>
      </c>
      <c r="X56" s="216">
        <f t="shared" si="21"/>
        <v>-120.04434769532565</v>
      </c>
      <c r="Y56" s="215">
        <f t="shared" si="22"/>
        <v>5.6933750622114807E-11</v>
      </c>
      <c r="Z56" s="216">
        <f t="shared" si="23"/>
        <v>-102.44630205248099</v>
      </c>
      <c r="AA56" s="215">
        <f t="shared" si="24"/>
        <v>1.0984696664545523E-10</v>
      </c>
      <c r="AB56" s="216">
        <f t="shared" si="25"/>
        <v>-99.592119313454674</v>
      </c>
    </row>
    <row r="57" spans="1:28" ht="17.25" customHeight="1">
      <c r="A57" s="213">
        <f t="shared" si="5"/>
        <v>16500</v>
      </c>
      <c r="B57" s="55">
        <v>29884</v>
      </c>
      <c r="C57" s="55">
        <v>27795</v>
      </c>
      <c r="D57" s="55">
        <v>11259</v>
      </c>
      <c r="E57" s="213" t="str">
        <f t="shared" si="1"/>
        <v>74BC</v>
      </c>
      <c r="F57" s="213" t="str">
        <f t="shared" si="1"/>
        <v>6C93</v>
      </c>
      <c r="G57" s="213" t="str">
        <f t="shared" si="1"/>
        <v>2BFB</v>
      </c>
      <c r="H57" s="210">
        <f t="shared" si="2"/>
        <v>13.958646616541955</v>
      </c>
      <c r="I57" s="210">
        <f t="shared" si="3"/>
        <v>12.530075187969487</v>
      </c>
      <c r="J57" s="210">
        <f t="shared" si="4"/>
        <v>12.082706766917909</v>
      </c>
      <c r="K57" s="217">
        <f t="shared" si="6"/>
        <v>1.9035525517177175E-4</v>
      </c>
      <c r="L57" s="217">
        <f t="shared" si="7"/>
        <v>4.9354479306182276E-4</v>
      </c>
      <c r="M57" s="217">
        <f t="shared" si="8"/>
        <v>4.5191999144298983E-4</v>
      </c>
      <c r="N57" s="217">
        <f t="shared" si="9"/>
        <v>2.1249723297234947E-4</v>
      </c>
      <c r="O57" s="217">
        <f t="shared" si="10"/>
        <v>5.245321360877219E-4</v>
      </c>
      <c r="P57" s="217">
        <f t="shared" si="11"/>
        <v>4.6891005563003818E-4</v>
      </c>
      <c r="Q57" s="4" t="s">
        <v>177</v>
      </c>
      <c r="R57" s="4" t="s">
        <v>432</v>
      </c>
      <c r="S57" s="4" t="s">
        <v>687</v>
      </c>
      <c r="U57" s="210">
        <f t="shared" si="18"/>
        <v>45</v>
      </c>
      <c r="V57" s="210">
        <f t="shared" si="26"/>
        <v>566.03773584905684</v>
      </c>
      <c r="W57" s="215">
        <f t="shared" si="20"/>
        <v>4.7842613018991649E-11</v>
      </c>
      <c r="X57" s="216">
        <f t="shared" si="21"/>
        <v>-103.20185108519262</v>
      </c>
      <c r="Y57" s="215">
        <f t="shared" si="22"/>
        <v>6.3946173858968443E-11</v>
      </c>
      <c r="Z57" s="216">
        <f t="shared" si="23"/>
        <v>-101.94185435886625</v>
      </c>
      <c r="AA57" s="215">
        <f t="shared" si="24"/>
        <v>9.5420077783557981E-11</v>
      </c>
      <c r="AB57" s="216">
        <f t="shared" si="25"/>
        <v>-100.20360233753237</v>
      </c>
    </row>
    <row r="58" spans="1:28" ht="17.25" customHeight="1">
      <c r="A58" s="213">
        <f t="shared" si="5"/>
        <v>16800</v>
      </c>
      <c r="B58" s="55">
        <v>29898</v>
      </c>
      <c r="C58" s="55">
        <v>27819</v>
      </c>
      <c r="D58" s="55">
        <v>11268</v>
      </c>
      <c r="E58" s="213" t="str">
        <f t="shared" si="1"/>
        <v>74CA</v>
      </c>
      <c r="F58" s="213" t="str">
        <f t="shared" si="1"/>
        <v>6CAB</v>
      </c>
      <c r="G58" s="213" t="str">
        <f t="shared" si="1"/>
        <v>2C04</v>
      </c>
      <c r="H58" s="210">
        <f t="shared" si="2"/>
        <v>27.958646616541955</v>
      </c>
      <c r="I58" s="210">
        <f t="shared" si="3"/>
        <v>36.530075187969487</v>
      </c>
      <c r="J58" s="210">
        <f t="shared" si="4"/>
        <v>21.082706766917909</v>
      </c>
      <c r="K58" s="217">
        <f t="shared" si="6"/>
        <v>3.2731218276724368E-4</v>
      </c>
      <c r="L58" s="217">
        <f t="shared" si="7"/>
        <v>5.4917176034144279E-4</v>
      </c>
      <c r="M58" s="217">
        <f t="shared" si="8"/>
        <v>6.2974649695160035E-4</v>
      </c>
      <c r="N58" s="217">
        <f t="shared" si="9"/>
        <v>3.4945416056782143E-4</v>
      </c>
      <c r="O58" s="217">
        <f t="shared" si="10"/>
        <v>5.8015910336734204E-4</v>
      </c>
      <c r="P58" s="217">
        <f t="shared" si="11"/>
        <v>6.4673656113864875E-4</v>
      </c>
      <c r="Q58" s="4" t="s">
        <v>178</v>
      </c>
      <c r="R58" s="4" t="s">
        <v>433</v>
      </c>
      <c r="S58" s="4" t="s">
        <v>688</v>
      </c>
      <c r="U58" s="210">
        <f t="shared" si="18"/>
        <v>46</v>
      </c>
      <c r="V58" s="210">
        <f t="shared" si="26"/>
        <v>578.61635220125811</v>
      </c>
      <c r="W58" s="215">
        <f t="shared" si="20"/>
        <v>2.295122870259885E-11</v>
      </c>
      <c r="X58" s="216">
        <f t="shared" si="21"/>
        <v>-106.39194059387087</v>
      </c>
      <c r="Y58" s="215">
        <f t="shared" si="22"/>
        <v>2.7099435617325666E-11</v>
      </c>
      <c r="Z58" s="216">
        <f t="shared" si="23"/>
        <v>-105.67039753805795</v>
      </c>
      <c r="AA58" s="215">
        <f t="shared" si="24"/>
        <v>8.9171289572850661E-11</v>
      </c>
      <c r="AB58" s="216">
        <f t="shared" si="25"/>
        <v>-100.49774952654724</v>
      </c>
    </row>
    <row r="59" spans="1:28" ht="17.25" customHeight="1">
      <c r="A59" s="213">
        <f t="shared" si="5"/>
        <v>17100</v>
      </c>
      <c r="B59" s="55">
        <v>29832</v>
      </c>
      <c r="C59" s="55">
        <v>27745</v>
      </c>
      <c r="D59" s="55">
        <v>11240</v>
      </c>
      <c r="E59" s="213" t="str">
        <f t="shared" si="1"/>
        <v>7488</v>
      </c>
      <c r="F59" s="213" t="str">
        <f t="shared" si="1"/>
        <v>6C61</v>
      </c>
      <c r="G59" s="213" t="str">
        <f t="shared" si="1"/>
        <v>2BE8</v>
      </c>
      <c r="H59" s="210">
        <f t="shared" si="2"/>
        <v>-38.041353383458045</v>
      </c>
      <c r="I59" s="210">
        <f t="shared" si="3"/>
        <v>-37.469924812030513</v>
      </c>
      <c r="J59" s="210">
        <f t="shared" si="4"/>
        <v>-6.9172932330820913</v>
      </c>
      <c r="K59" s="217">
        <f t="shared" si="6"/>
        <v>1.3252899685368359E-4</v>
      </c>
      <c r="L59" s="217">
        <f t="shared" si="7"/>
        <v>2.2849865484716282E-4</v>
      </c>
      <c r="M59" s="217">
        <f t="shared" si="8"/>
        <v>5.2466719824196693E-4</v>
      </c>
      <c r="N59" s="217">
        <f t="shared" si="9"/>
        <v>1.5467097465426131E-4</v>
      </c>
      <c r="O59" s="217">
        <f t="shared" si="10"/>
        <v>2.5948599787306201E-4</v>
      </c>
      <c r="P59" s="217">
        <f t="shared" si="11"/>
        <v>5.4165726242901533E-4</v>
      </c>
      <c r="Q59" s="4" t="s">
        <v>179</v>
      </c>
      <c r="R59" s="4" t="s">
        <v>434</v>
      </c>
      <c r="S59" s="4" t="s">
        <v>689</v>
      </c>
      <c r="U59" s="210">
        <f t="shared" si="18"/>
        <v>47</v>
      </c>
      <c r="V59" s="210">
        <f t="shared" si="26"/>
        <v>591.19496855345938</v>
      </c>
      <c r="W59" s="215">
        <f t="shared" si="20"/>
        <v>1.9594155178944394E-11</v>
      </c>
      <c r="X59" s="216">
        <f t="shared" si="21"/>
        <v>-107.0787345681115</v>
      </c>
      <c r="Y59" s="215">
        <f t="shared" si="22"/>
        <v>3.7160747485939797E-11</v>
      </c>
      <c r="Z59" s="216">
        <f t="shared" si="23"/>
        <v>-104.299155587862</v>
      </c>
      <c r="AA59" s="215">
        <f t="shared" si="24"/>
        <v>8.1431334901396955E-11</v>
      </c>
      <c r="AB59" s="216">
        <f t="shared" si="25"/>
        <v>-100.89208445772572</v>
      </c>
    </row>
    <row r="60" spans="1:28" ht="17.25" customHeight="1">
      <c r="A60" s="213">
        <f t="shared" si="5"/>
        <v>17400</v>
      </c>
      <c r="B60" s="55">
        <v>29896</v>
      </c>
      <c r="C60" s="55">
        <v>27760</v>
      </c>
      <c r="D60" s="55">
        <v>11290</v>
      </c>
      <c r="E60" s="213" t="str">
        <f t="shared" si="1"/>
        <v>74C8</v>
      </c>
      <c r="F60" s="213" t="str">
        <f t="shared" si="1"/>
        <v>6C70</v>
      </c>
      <c r="G60" s="213" t="str">
        <f t="shared" si="1"/>
        <v>2C1A</v>
      </c>
      <c r="H60" s="210">
        <f t="shared" si="2"/>
        <v>25.958646616541955</v>
      </c>
      <c r="I60" s="210">
        <f t="shared" si="3"/>
        <v>-22.469924812030513</v>
      </c>
      <c r="J60" s="210">
        <f t="shared" si="4"/>
        <v>43.082706766917909</v>
      </c>
      <c r="K60" s="217">
        <f t="shared" si="6"/>
        <v>2.1470315341096674E-4</v>
      </c>
      <c r="L60" s="217">
        <f t="shared" si="7"/>
        <v>2.8896007549702816E-5</v>
      </c>
      <c r="M60" s="217">
        <f t="shared" si="8"/>
        <v>7.7524091054955455E-4</v>
      </c>
      <c r="N60" s="217">
        <f t="shared" si="9"/>
        <v>2.3684513121154446E-4</v>
      </c>
      <c r="O60" s="217">
        <f t="shared" si="10"/>
        <v>5.9883350575602012E-5</v>
      </c>
      <c r="P60" s="217">
        <f t="shared" si="11"/>
        <v>7.9223097473660295E-4</v>
      </c>
      <c r="Q60" s="4" t="s">
        <v>180</v>
      </c>
      <c r="R60" s="4" t="s">
        <v>435</v>
      </c>
      <c r="S60" s="4" t="s">
        <v>690</v>
      </c>
      <c r="U60" s="210">
        <f t="shared" si="18"/>
        <v>48</v>
      </c>
      <c r="V60" s="210">
        <f t="shared" si="26"/>
        <v>603.77358490566064</v>
      </c>
      <c r="W60" s="215">
        <f t="shared" si="20"/>
        <v>6.0861481349698403E-11</v>
      </c>
      <c r="X60" s="216">
        <f t="shared" si="21"/>
        <v>-102.15657481255369</v>
      </c>
      <c r="Y60" s="215">
        <f t="shared" si="22"/>
        <v>1.1843908584722324E-10</v>
      </c>
      <c r="Z60" s="216">
        <f t="shared" si="23"/>
        <v>-99.265049533009645</v>
      </c>
      <c r="AA60" s="215">
        <f t="shared" si="24"/>
        <v>2.0700842086671306E-10</v>
      </c>
      <c r="AB60" s="216">
        <f t="shared" si="25"/>
        <v>-96.84011987579018</v>
      </c>
    </row>
    <row r="61" spans="1:28" ht="17.25" customHeight="1">
      <c r="A61" s="213">
        <f t="shared" si="5"/>
        <v>17700</v>
      </c>
      <c r="B61" s="55">
        <v>29841</v>
      </c>
      <c r="C61" s="55">
        <v>27826</v>
      </c>
      <c r="D61" s="55">
        <v>11248</v>
      </c>
      <c r="E61" s="213" t="str">
        <f t="shared" si="1"/>
        <v>7491</v>
      </c>
      <c r="F61" s="213" t="str">
        <f t="shared" si="1"/>
        <v>6CB2</v>
      </c>
      <c r="G61" s="213" t="str">
        <f t="shared" si="1"/>
        <v>2BF0</v>
      </c>
      <c r="H61" s="210">
        <f t="shared" si="2"/>
        <v>-29.041353383458045</v>
      </c>
      <c r="I61" s="210">
        <f t="shared" si="3"/>
        <v>43.530075187969487</v>
      </c>
      <c r="J61" s="210">
        <f t="shared" si="4"/>
        <v>1.0827067669179087</v>
      </c>
      <c r="K61" s="217">
        <f t="shared" si="6"/>
        <v>1.447029459732811E-4</v>
      </c>
      <c r="L61" s="217">
        <f t="shared" si="7"/>
        <v>3.495691130439828E-4</v>
      </c>
      <c r="M61" s="217">
        <f t="shared" si="8"/>
        <v>1.0338976458348062E-3</v>
      </c>
      <c r="N61" s="217">
        <f t="shared" si="9"/>
        <v>1.6684492377385882E-4</v>
      </c>
      <c r="O61" s="217">
        <f t="shared" si="10"/>
        <v>3.8055645606988199E-4</v>
      </c>
      <c r="P61" s="217">
        <f t="shared" si="11"/>
        <v>1.0508877100218546E-3</v>
      </c>
      <c r="Q61" s="4" t="s">
        <v>181</v>
      </c>
      <c r="R61" s="4" t="s">
        <v>436</v>
      </c>
      <c r="S61" s="4" t="s">
        <v>691</v>
      </c>
      <c r="U61" s="210">
        <f t="shared" si="18"/>
        <v>49</v>
      </c>
      <c r="V61" s="210">
        <f t="shared" si="26"/>
        <v>616.35220125786191</v>
      </c>
      <c r="W61" s="215">
        <f t="shared" si="20"/>
        <v>9.6542316386232758E-11</v>
      </c>
      <c r="X61" s="216">
        <f t="shared" si="21"/>
        <v>-100.15282285155921</v>
      </c>
      <c r="Y61" s="215">
        <f t="shared" si="22"/>
        <v>3.3532452661103832E-11</v>
      </c>
      <c r="Z61" s="216">
        <f t="shared" si="23"/>
        <v>-104.74534679848027</v>
      </c>
      <c r="AA61" s="215">
        <f t="shared" si="24"/>
        <v>5.7472773922366678E-11</v>
      </c>
      <c r="AB61" s="216">
        <f t="shared" si="25"/>
        <v>-102.40537841145331</v>
      </c>
    </row>
    <row r="62" spans="1:28" ht="17.25" customHeight="1">
      <c r="A62" s="213">
        <f t="shared" si="5"/>
        <v>18000</v>
      </c>
      <c r="B62" s="55">
        <v>29904</v>
      </c>
      <c r="C62" s="55">
        <v>27794</v>
      </c>
      <c r="D62" s="55">
        <v>11272</v>
      </c>
      <c r="E62" s="213" t="str">
        <f t="shared" si="1"/>
        <v>74D0</v>
      </c>
      <c r="F62" s="213" t="str">
        <f t="shared" si="1"/>
        <v>6C92</v>
      </c>
      <c r="G62" s="213" t="str">
        <f t="shared" si="1"/>
        <v>2C08</v>
      </c>
      <c r="H62" s="210">
        <f t="shared" si="2"/>
        <v>33.958646616541955</v>
      </c>
      <c r="I62" s="210">
        <f t="shared" si="3"/>
        <v>11.530075187969487</v>
      </c>
      <c r="J62" s="210">
        <f t="shared" si="4"/>
        <v>25.082706766917909</v>
      </c>
      <c r="K62" s="217">
        <f t="shared" si="6"/>
        <v>3.5470356828633807E-4</v>
      </c>
      <c r="L62" s="217">
        <f t="shared" si="7"/>
        <v>6.8333091672170279E-4</v>
      </c>
      <c r="M62" s="217">
        <f t="shared" si="8"/>
        <v>1.4057167028073555E-3</v>
      </c>
      <c r="N62" s="217">
        <f t="shared" si="9"/>
        <v>3.7684554608691581E-4</v>
      </c>
      <c r="O62" s="217">
        <f t="shared" si="10"/>
        <v>7.1431825974760193E-4</v>
      </c>
      <c r="P62" s="217">
        <f t="shared" si="11"/>
        <v>1.4227067669944039E-3</v>
      </c>
      <c r="Q62" s="4" t="s">
        <v>182</v>
      </c>
      <c r="R62" s="4" t="s">
        <v>437</v>
      </c>
      <c r="S62" s="4" t="s">
        <v>692</v>
      </c>
      <c r="U62" s="210">
        <f t="shared" si="18"/>
        <v>50</v>
      </c>
      <c r="V62" s="210">
        <f t="shared" si="26"/>
        <v>628.93081761006317</v>
      </c>
      <c r="W62" s="215">
        <f t="shared" si="20"/>
        <v>1.9885388841469298E-10</v>
      </c>
      <c r="X62" s="216">
        <f t="shared" si="21"/>
        <v>-97.014659123444147</v>
      </c>
      <c r="Y62" s="215">
        <f t="shared" si="22"/>
        <v>4.8303119272605225E-10</v>
      </c>
      <c r="Z62" s="216">
        <f t="shared" si="23"/>
        <v>-93.160248228895156</v>
      </c>
      <c r="AA62" s="215">
        <f t="shared" si="24"/>
        <v>3.6056938536655395E-10</v>
      </c>
      <c r="AB62" s="216">
        <f t="shared" si="25"/>
        <v>-94.430111504111835</v>
      </c>
    </row>
    <row r="63" spans="1:28" ht="17.25" customHeight="1">
      <c r="A63" s="213">
        <f t="shared" si="5"/>
        <v>18300</v>
      </c>
      <c r="B63" s="55">
        <v>29904</v>
      </c>
      <c r="C63" s="55">
        <v>27789</v>
      </c>
      <c r="D63" s="55">
        <v>11264</v>
      </c>
      <c r="E63" s="213" t="str">
        <f t="shared" si="1"/>
        <v>74D0</v>
      </c>
      <c r="F63" s="213" t="str">
        <f t="shared" si="1"/>
        <v>6C8D</v>
      </c>
      <c r="G63" s="213" t="str">
        <f t="shared" si="1"/>
        <v>2C00</v>
      </c>
      <c r="H63" s="210">
        <f t="shared" si="2"/>
        <v>33.958646616541955</v>
      </c>
      <c r="I63" s="210">
        <f t="shared" si="3"/>
        <v>6.5300751879694872</v>
      </c>
      <c r="J63" s="210">
        <f t="shared" si="4"/>
        <v>17.082706766917909</v>
      </c>
      <c r="K63" s="217">
        <f t="shared" si="6"/>
        <v>3.4557310644663992E-4</v>
      </c>
      <c r="L63" s="217">
        <f t="shared" si="7"/>
        <v>7.5859093127648286E-4</v>
      </c>
      <c r="M63" s="217">
        <f t="shared" si="8"/>
        <v>1.2763883351647298E-3</v>
      </c>
      <c r="N63" s="217">
        <f t="shared" si="9"/>
        <v>3.6771508424721761E-4</v>
      </c>
      <c r="O63" s="217">
        <f t="shared" si="10"/>
        <v>7.89578274302382E-4</v>
      </c>
      <c r="P63" s="217">
        <f t="shared" si="11"/>
        <v>1.2933783993517782E-3</v>
      </c>
      <c r="Q63" s="4" t="s">
        <v>183</v>
      </c>
      <c r="R63" s="4" t="s">
        <v>438</v>
      </c>
      <c r="S63" s="4" t="s">
        <v>693</v>
      </c>
      <c r="U63" s="210">
        <f t="shared" si="18"/>
        <v>51</v>
      </c>
      <c r="V63" s="210">
        <f t="shared" si="26"/>
        <v>641.50943396226444</v>
      </c>
      <c r="W63" s="215">
        <f t="shared" si="20"/>
        <v>1.366534018626082E-10</v>
      </c>
      <c r="X63" s="216">
        <f t="shared" si="21"/>
        <v>-98.643795524691669</v>
      </c>
      <c r="Y63" s="215">
        <f t="shared" si="22"/>
        <v>2.2722350323470547E-10</v>
      </c>
      <c r="Z63" s="216">
        <f t="shared" si="23"/>
        <v>-96.435467486774996</v>
      </c>
      <c r="AA63" s="215">
        <f t="shared" si="24"/>
        <v>2.6398757200823536E-10</v>
      </c>
      <c r="AB63" s="216">
        <f t="shared" si="25"/>
        <v>-95.784165183396084</v>
      </c>
    </row>
    <row r="64" spans="1:28" ht="17.25" customHeight="1">
      <c r="A64" s="213">
        <f t="shared" si="5"/>
        <v>18600</v>
      </c>
      <c r="B64" s="55">
        <v>29849</v>
      </c>
      <c r="C64" s="55">
        <v>27759</v>
      </c>
      <c r="D64" s="55">
        <v>11249</v>
      </c>
      <c r="E64" s="213" t="str">
        <f t="shared" si="1"/>
        <v>7499</v>
      </c>
      <c r="F64" s="213" t="str">
        <f t="shared" si="1"/>
        <v>6C6F</v>
      </c>
      <c r="G64" s="213" t="str">
        <f t="shared" si="1"/>
        <v>2BF1</v>
      </c>
      <c r="H64" s="210">
        <f t="shared" si="2"/>
        <v>-21.041353383458045</v>
      </c>
      <c r="I64" s="210">
        <f t="shared" si="3"/>
        <v>-23.469924812030513</v>
      </c>
      <c r="J64" s="210">
        <f t="shared" si="4"/>
        <v>2.0827067669179087</v>
      </c>
      <c r="K64" s="217">
        <f t="shared" si="6"/>
        <v>1.6296386965267736E-4</v>
      </c>
      <c r="L64" s="217">
        <f t="shared" si="7"/>
        <v>5.1645001488284279E-4</v>
      </c>
      <c r="M64" s="217">
        <f t="shared" si="8"/>
        <v>1.365301587919035E-3</v>
      </c>
      <c r="N64" s="217">
        <f t="shared" si="9"/>
        <v>1.8510584745325508E-4</v>
      </c>
      <c r="O64" s="217">
        <f t="shared" si="10"/>
        <v>5.4743735790874193E-4</v>
      </c>
      <c r="P64" s="217">
        <f t="shared" si="11"/>
        <v>1.3822916521060834E-3</v>
      </c>
      <c r="Q64" s="4" t="s">
        <v>184</v>
      </c>
      <c r="R64" s="4" t="s">
        <v>439</v>
      </c>
      <c r="S64" s="4" t="s">
        <v>694</v>
      </c>
      <c r="U64" s="210">
        <f t="shared" si="18"/>
        <v>52</v>
      </c>
      <c r="V64" s="210">
        <f t="shared" si="26"/>
        <v>654.0880503144657</v>
      </c>
      <c r="W64" s="215">
        <f t="shared" si="20"/>
        <v>3.25475167383221E-11</v>
      </c>
      <c r="X64" s="216">
        <f t="shared" si="21"/>
        <v>-104.87482140981639</v>
      </c>
      <c r="Y64" s="215">
        <f t="shared" si="22"/>
        <v>2.2764054057011545E-10</v>
      </c>
      <c r="Z64" s="216">
        <f t="shared" si="23"/>
        <v>-96.42750391758409</v>
      </c>
      <c r="AA64" s="215">
        <f t="shared" si="24"/>
        <v>3.9949947260010464E-11</v>
      </c>
      <c r="AB64" s="216">
        <f t="shared" si="25"/>
        <v>-103.98483789684195</v>
      </c>
    </row>
    <row r="65" spans="1:28" ht="17.25" customHeight="1">
      <c r="A65" s="213">
        <f t="shared" si="5"/>
        <v>18900</v>
      </c>
      <c r="B65" s="55">
        <v>29868</v>
      </c>
      <c r="C65" s="55">
        <v>27759</v>
      </c>
      <c r="D65" s="55">
        <v>11224</v>
      </c>
      <c r="E65" s="213" t="str">
        <f t="shared" si="1"/>
        <v>74AC</v>
      </c>
      <c r="F65" s="213" t="str">
        <f t="shared" si="1"/>
        <v>6C6F</v>
      </c>
      <c r="G65" s="213" t="str">
        <f t="shared" si="1"/>
        <v>2BD8</v>
      </c>
      <c r="H65" s="210">
        <f t="shared" si="2"/>
        <v>-2.0413533834580448</v>
      </c>
      <c r="I65" s="210">
        <f t="shared" si="3"/>
        <v>-23.469924812030513</v>
      </c>
      <c r="J65" s="210">
        <f t="shared" si="4"/>
        <v>-22.917293233082091</v>
      </c>
      <c r="K65" s="217">
        <f t="shared" si="6"/>
        <v>1.2035504773408609E-4</v>
      </c>
      <c r="L65" s="217">
        <f t="shared" si="7"/>
        <v>2.1540995666372278E-4</v>
      </c>
      <c r="M65" s="217">
        <f t="shared" si="8"/>
        <v>9.6115043903582909E-4</v>
      </c>
      <c r="N65" s="217">
        <f t="shared" si="9"/>
        <v>1.4249702553466379E-4</v>
      </c>
      <c r="O65" s="217">
        <f t="shared" si="10"/>
        <v>2.4639729968962195E-4</v>
      </c>
      <c r="P65" s="217">
        <f t="shared" si="11"/>
        <v>9.7814050322287739E-4</v>
      </c>
      <c r="Q65" s="4" t="s">
        <v>185</v>
      </c>
      <c r="R65" s="4" t="s">
        <v>440</v>
      </c>
      <c r="S65" s="4" t="s">
        <v>695</v>
      </c>
      <c r="U65" s="210">
        <f t="shared" si="18"/>
        <v>53</v>
      </c>
      <c r="V65" s="210">
        <f t="shared" si="26"/>
        <v>666.66666666666697</v>
      </c>
      <c r="W65" s="215">
        <f t="shared" si="20"/>
        <v>5.9707731161567066E-10</v>
      </c>
      <c r="X65" s="216">
        <f t="shared" si="21"/>
        <v>-92.239694312923888</v>
      </c>
      <c r="Y65" s="215">
        <f t="shared" si="22"/>
        <v>6.9591529461845595E-10</v>
      </c>
      <c r="Z65" s="216">
        <f t="shared" si="23"/>
        <v>-91.574436186057099</v>
      </c>
      <c r="AA65" s="215">
        <f t="shared" si="24"/>
        <v>6.4981131279788238E-10</v>
      </c>
      <c r="AB65" s="216">
        <f t="shared" si="25"/>
        <v>-91.872127321370385</v>
      </c>
    </row>
    <row r="66" spans="1:28" ht="17.25" customHeight="1">
      <c r="A66" s="213">
        <f t="shared" si="5"/>
        <v>19200</v>
      </c>
      <c r="B66" s="55">
        <v>29825</v>
      </c>
      <c r="C66" s="55">
        <v>27667</v>
      </c>
      <c r="D66" s="55">
        <v>11204</v>
      </c>
      <c r="E66" s="213" t="str">
        <f t="shared" ref="E66:G129" si="27">DEC2HEX(B66)</f>
        <v>7481</v>
      </c>
      <c r="F66" s="213" t="str">
        <f t="shared" si="27"/>
        <v>6C13</v>
      </c>
      <c r="G66" s="213" t="str">
        <f t="shared" si="27"/>
        <v>2BC4</v>
      </c>
      <c r="H66" s="210">
        <f t="shared" ref="H66:H129" si="28">B66-Q$3</f>
        <v>-45.041353383458045</v>
      </c>
      <c r="I66" s="210">
        <f t="shared" ref="I66:I129" si="29">C66-R$3</f>
        <v>-115.46992481203051</v>
      </c>
      <c r="J66" s="210">
        <f t="shared" ref="J66:J129" si="30">D66-S$3</f>
        <v>-42.917293233082091</v>
      </c>
      <c r="K66" s="217">
        <f t="shared" si="6"/>
        <v>1.659043818010408E-6</v>
      </c>
      <c r="L66" s="217">
        <f t="shared" si="7"/>
        <v>-2.0997273429807715E-4</v>
      </c>
      <c r="M66" s="217">
        <f t="shared" si="8"/>
        <v>5.7316533610795152E-4</v>
      </c>
      <c r="N66" s="217">
        <f t="shared" si="9"/>
        <v>2.3801021618588126E-5</v>
      </c>
      <c r="O66" s="217">
        <f t="shared" si="10"/>
        <v>-1.7898539127217796E-4</v>
      </c>
      <c r="P66" s="217">
        <f t="shared" si="11"/>
        <v>5.9015540029499992E-4</v>
      </c>
      <c r="Q66" s="4" t="s">
        <v>186</v>
      </c>
      <c r="R66" s="4" t="s">
        <v>441</v>
      </c>
      <c r="S66" s="4" t="s">
        <v>696</v>
      </c>
      <c r="U66" s="210">
        <f t="shared" si="18"/>
        <v>54</v>
      </c>
      <c r="V66" s="210">
        <f t="shared" si="26"/>
        <v>679.24528301886824</v>
      </c>
      <c r="W66" s="215">
        <f t="shared" si="20"/>
        <v>4.3437948034576607E-11</v>
      </c>
      <c r="X66" s="216">
        <f t="shared" si="21"/>
        <v>-103.62130698573648</v>
      </c>
      <c r="Y66" s="215">
        <f t="shared" si="22"/>
        <v>3.9008590200866267E-10</v>
      </c>
      <c r="Z66" s="216">
        <f t="shared" si="23"/>
        <v>-94.088397451265109</v>
      </c>
      <c r="AA66" s="215">
        <f t="shared" si="24"/>
        <v>1.7042442061310196E-10</v>
      </c>
      <c r="AB66" s="216">
        <f t="shared" si="25"/>
        <v>-97.684681737851932</v>
      </c>
    </row>
    <row r="67" spans="1:28" ht="17.25" customHeight="1">
      <c r="A67" s="213">
        <f t="shared" si="5"/>
        <v>19500</v>
      </c>
      <c r="B67" s="55">
        <v>29923</v>
      </c>
      <c r="C67" s="55">
        <v>27850</v>
      </c>
      <c r="D67" s="55">
        <v>11247</v>
      </c>
      <c r="E67" s="213" t="str">
        <f t="shared" si="27"/>
        <v>74E3</v>
      </c>
      <c r="F67" s="213" t="str">
        <f t="shared" si="27"/>
        <v>6CCA</v>
      </c>
      <c r="G67" s="213" t="str">
        <f t="shared" si="27"/>
        <v>2BEF</v>
      </c>
      <c r="H67" s="210">
        <f t="shared" si="28"/>
        <v>52.958646616541955</v>
      </c>
      <c r="I67" s="210">
        <f t="shared" si="29"/>
        <v>67.530075187969487</v>
      </c>
      <c r="J67" s="210">
        <f t="shared" si="30"/>
        <v>8.2706766917908681E-2</v>
      </c>
      <c r="K67" s="217">
        <f t="shared" si="6"/>
        <v>1.6296386965267736E-4</v>
      </c>
      <c r="L67" s="217">
        <f t="shared" si="7"/>
        <v>-1.4452924338087718E-4</v>
      </c>
      <c r="M67" s="217">
        <f t="shared" si="8"/>
        <v>3.95338830599341E-4</v>
      </c>
      <c r="N67" s="217">
        <f t="shared" si="9"/>
        <v>1.8510584745325508E-4</v>
      </c>
      <c r="O67" s="217">
        <f t="shared" si="10"/>
        <v>-1.1354190035497798E-4</v>
      </c>
      <c r="P67" s="217">
        <f t="shared" si="11"/>
        <v>4.1232889478638935E-4</v>
      </c>
      <c r="Q67" s="4" t="s">
        <v>187</v>
      </c>
      <c r="R67" s="4" t="s">
        <v>442</v>
      </c>
      <c r="S67" s="4" t="s">
        <v>697</v>
      </c>
      <c r="U67" s="210">
        <f t="shared" si="18"/>
        <v>55</v>
      </c>
      <c r="V67" s="210">
        <f t="shared" si="26"/>
        <v>691.8238993710695</v>
      </c>
      <c r="W67" s="215">
        <f t="shared" si="20"/>
        <v>2.228093344392382E-10</v>
      </c>
      <c r="X67" s="216">
        <f t="shared" si="21"/>
        <v>-96.520666186574914</v>
      </c>
      <c r="Y67" s="215">
        <f t="shared" si="22"/>
        <v>5.3224836088360036E-10</v>
      </c>
      <c r="Z67" s="216">
        <f t="shared" si="23"/>
        <v>-92.738856673444147</v>
      </c>
      <c r="AA67" s="215">
        <f t="shared" si="24"/>
        <v>1.3748328043775234E-10</v>
      </c>
      <c r="AB67" s="216">
        <f t="shared" si="25"/>
        <v>-98.617501138710267</v>
      </c>
    </row>
    <row r="68" spans="1:28" ht="17.25" customHeight="1">
      <c r="A68" s="213">
        <f t="shared" ref="A68:A131" si="31">A67+A$1</f>
        <v>19800</v>
      </c>
      <c r="B68" s="55">
        <v>29784</v>
      </c>
      <c r="C68" s="55">
        <v>27718</v>
      </c>
      <c r="D68" s="55">
        <v>11214</v>
      </c>
      <c r="E68" s="213" t="str">
        <f t="shared" si="27"/>
        <v>7458</v>
      </c>
      <c r="F68" s="213" t="str">
        <f t="shared" si="27"/>
        <v>6C46</v>
      </c>
      <c r="G68" s="213" t="str">
        <f t="shared" si="27"/>
        <v>2BCE</v>
      </c>
      <c r="H68" s="210">
        <f t="shared" si="28"/>
        <v>-86.041353383458045</v>
      </c>
      <c r="I68" s="210">
        <f t="shared" si="29"/>
        <v>-64.469924812030513</v>
      </c>
      <c r="J68" s="210">
        <f t="shared" si="30"/>
        <v>-32.917293233082091</v>
      </c>
      <c r="K68" s="217">
        <f t="shared" si="6"/>
        <v>-1.4138485833726028E-4</v>
      </c>
      <c r="L68" s="217">
        <f t="shared" si="7"/>
        <v>-3.9648668341209713E-4</v>
      </c>
      <c r="M68" s="217">
        <f t="shared" si="8"/>
        <v>3.1602796604455773E-5</v>
      </c>
      <c r="N68" s="217">
        <f t="shared" si="9"/>
        <v>-1.1924288053668256E-4</v>
      </c>
      <c r="O68" s="217">
        <f t="shared" si="10"/>
        <v>-3.6549934038619794E-4</v>
      </c>
      <c r="P68" s="217">
        <f t="shared" si="11"/>
        <v>4.8592860791504128E-5</v>
      </c>
      <c r="Q68" s="4" t="s">
        <v>188</v>
      </c>
      <c r="R68" s="4" t="s">
        <v>443</v>
      </c>
      <c r="S68" s="4" t="s">
        <v>698</v>
      </c>
      <c r="U68" s="210">
        <f t="shared" si="18"/>
        <v>56</v>
      </c>
      <c r="V68" s="210">
        <f t="shared" si="26"/>
        <v>704.40251572327077</v>
      </c>
      <c r="W68" s="215">
        <f t="shared" si="20"/>
        <v>2.5022857453737342E-11</v>
      </c>
      <c r="X68" s="216">
        <f t="shared" si="21"/>
        <v>-106.01663098098561</v>
      </c>
      <c r="Y68" s="215">
        <f t="shared" si="22"/>
        <v>5.3971623694767242E-11</v>
      </c>
      <c r="Z68" s="216">
        <f t="shared" si="23"/>
        <v>-102.67834516322957</v>
      </c>
      <c r="AA68" s="215">
        <f t="shared" si="24"/>
        <v>5.943671780048253E-10</v>
      </c>
      <c r="AB68" s="216">
        <f t="shared" si="25"/>
        <v>-92.259451810862402</v>
      </c>
    </row>
    <row r="69" spans="1:28" ht="17.25" customHeight="1">
      <c r="A69" s="213">
        <f t="shared" si="31"/>
        <v>20100</v>
      </c>
      <c r="B69" s="55">
        <v>29874</v>
      </c>
      <c r="C69" s="55">
        <v>27690</v>
      </c>
      <c r="D69" s="55">
        <v>11260</v>
      </c>
      <c r="E69" s="213" t="str">
        <f t="shared" si="27"/>
        <v>74B2</v>
      </c>
      <c r="F69" s="213" t="str">
        <f t="shared" si="27"/>
        <v>6C2A</v>
      </c>
      <c r="G69" s="213" t="str">
        <f t="shared" si="27"/>
        <v>2BFC</v>
      </c>
      <c r="H69" s="210">
        <f t="shared" si="28"/>
        <v>3.9586466165419552</v>
      </c>
      <c r="I69" s="210">
        <f t="shared" si="29"/>
        <v>-92.469924812030513</v>
      </c>
      <c r="J69" s="210">
        <f t="shared" si="30"/>
        <v>13.082706766917909</v>
      </c>
      <c r="K69" s="217">
        <f t="shared" si="6"/>
        <v>-2.1442855305484532E-4</v>
      </c>
      <c r="L69" s="217">
        <f t="shared" si="7"/>
        <v>-8.1859719982803716E-4</v>
      </c>
      <c r="M69" s="217">
        <f t="shared" si="8"/>
        <v>-3.3061387216857151E-5</v>
      </c>
      <c r="N69" s="217">
        <f t="shared" si="9"/>
        <v>-1.922865752542676E-4</v>
      </c>
      <c r="O69" s="217">
        <f t="shared" si="10"/>
        <v>-7.8760985680213801E-4</v>
      </c>
      <c r="P69" s="217">
        <f t="shared" si="11"/>
        <v>-1.6071323029808796E-5</v>
      </c>
      <c r="Q69" s="4" t="s">
        <v>189</v>
      </c>
      <c r="R69" s="4" t="s">
        <v>444</v>
      </c>
      <c r="S69" s="4" t="s">
        <v>699</v>
      </c>
      <c r="U69" s="210">
        <f t="shared" si="18"/>
        <v>57</v>
      </c>
      <c r="V69" s="210">
        <f t="shared" si="26"/>
        <v>716.98113207547203</v>
      </c>
      <c r="W69" s="215">
        <f t="shared" si="20"/>
        <v>2.1027175791419452E-10</v>
      </c>
      <c r="X69" s="216">
        <f t="shared" si="21"/>
        <v>-96.772190544923845</v>
      </c>
      <c r="Y69" s="215">
        <f t="shared" si="22"/>
        <v>6.5596815426601908E-10</v>
      </c>
      <c r="Z69" s="216">
        <f t="shared" si="23"/>
        <v>-91.831172441033829</v>
      </c>
      <c r="AA69" s="215">
        <f t="shared" si="24"/>
        <v>5.8727623508750668E-11</v>
      </c>
      <c r="AB69" s="216">
        <f t="shared" si="25"/>
        <v>-102.31157573104228</v>
      </c>
    </row>
    <row r="70" spans="1:28" ht="17.25" customHeight="1">
      <c r="A70" s="213">
        <f t="shared" si="31"/>
        <v>20400</v>
      </c>
      <c r="B70" s="55">
        <v>29890</v>
      </c>
      <c r="C70" s="55">
        <v>27810</v>
      </c>
      <c r="D70" s="55">
        <v>11265</v>
      </c>
      <c r="E70" s="213" t="str">
        <f t="shared" si="27"/>
        <v>74C2</v>
      </c>
      <c r="F70" s="213" t="str">
        <f t="shared" si="27"/>
        <v>6CA2</v>
      </c>
      <c r="G70" s="213" t="str">
        <f t="shared" si="27"/>
        <v>2C01</v>
      </c>
      <c r="H70" s="210">
        <f t="shared" si="28"/>
        <v>19.958646616541955</v>
      </c>
      <c r="I70" s="210">
        <f t="shared" si="29"/>
        <v>27.530075187969487</v>
      </c>
      <c r="J70" s="210">
        <f t="shared" si="30"/>
        <v>18.082706766917909</v>
      </c>
      <c r="K70" s="217">
        <f t="shared" si="6"/>
        <v>-3.790629082068148E-5</v>
      </c>
      <c r="L70" s="217">
        <f t="shared" si="7"/>
        <v>-6.059058543471371E-4</v>
      </c>
      <c r="M70" s="217">
        <f t="shared" si="8"/>
        <v>1.6901418722474574E-4</v>
      </c>
      <c r="N70" s="217">
        <f t="shared" si="9"/>
        <v>-1.5764313020103761E-5</v>
      </c>
      <c r="O70" s="217">
        <f t="shared" si="10"/>
        <v>-5.7491851132123795E-4</v>
      </c>
      <c r="P70" s="217">
        <f t="shared" si="11"/>
        <v>1.8600425141179408E-4</v>
      </c>
      <c r="Q70" s="4" t="s">
        <v>190</v>
      </c>
      <c r="R70" s="4" t="s">
        <v>445</v>
      </c>
      <c r="S70" s="4" t="s">
        <v>700</v>
      </c>
      <c r="U70" s="210">
        <f t="shared" si="18"/>
        <v>58</v>
      </c>
      <c r="V70" s="210">
        <f t="shared" si="26"/>
        <v>729.5597484276733</v>
      </c>
      <c r="W70" s="215">
        <f t="shared" si="20"/>
        <v>1.8354071666442244E-11</v>
      </c>
      <c r="X70" s="216">
        <f t="shared" si="21"/>
        <v>-107.36267576855299</v>
      </c>
      <c r="Y70" s="215">
        <f t="shared" si="22"/>
        <v>1.7448702573305766E-10</v>
      </c>
      <c r="Z70" s="216">
        <f t="shared" si="23"/>
        <v>-97.582368601777034</v>
      </c>
      <c r="AA70" s="215">
        <f t="shared" si="24"/>
        <v>1.0889781928211929E-10</v>
      </c>
      <c r="AB70" s="216">
        <f t="shared" si="25"/>
        <v>-99.629808170598807</v>
      </c>
    </row>
    <row r="71" spans="1:28" ht="17.25" customHeight="1">
      <c r="A71" s="213">
        <f t="shared" si="31"/>
        <v>20700</v>
      </c>
      <c r="B71" s="55">
        <v>29898</v>
      </c>
      <c r="C71" s="55">
        <v>27836</v>
      </c>
      <c r="D71" s="55">
        <v>11256</v>
      </c>
      <c r="E71" s="213" t="str">
        <f t="shared" si="27"/>
        <v>74CA</v>
      </c>
      <c r="F71" s="213" t="str">
        <f t="shared" si="27"/>
        <v>6CBC</v>
      </c>
      <c r="G71" s="213" t="str">
        <f t="shared" si="27"/>
        <v>2BF8</v>
      </c>
      <c r="H71" s="210">
        <f t="shared" si="28"/>
        <v>27.958646616541955</v>
      </c>
      <c r="I71" s="210">
        <f t="shared" si="29"/>
        <v>53.530075187969487</v>
      </c>
      <c r="J71" s="210">
        <f t="shared" si="30"/>
        <v>9.0827067669179087</v>
      </c>
      <c r="K71" s="217">
        <f t="shared" si="6"/>
        <v>-3.1819316260882732E-5</v>
      </c>
      <c r="L71" s="217">
        <f t="shared" si="7"/>
        <v>-3.5722058886177716E-4</v>
      </c>
      <c r="M71" s="217">
        <f t="shared" si="8"/>
        <v>-1.058085940158342E-4</v>
      </c>
      <c r="N71" s="217">
        <f t="shared" si="9"/>
        <v>-9.6773384603050122E-6</v>
      </c>
      <c r="O71" s="217">
        <f t="shared" si="10"/>
        <v>-3.2623324583587796E-4</v>
      </c>
      <c r="P71" s="217">
        <f t="shared" si="11"/>
        <v>-8.8818529828785855E-5</v>
      </c>
      <c r="Q71" s="4" t="s">
        <v>191</v>
      </c>
      <c r="R71" s="4" t="s">
        <v>446</v>
      </c>
      <c r="S71" s="4" t="s">
        <v>701</v>
      </c>
      <c r="U71" s="210">
        <f t="shared" si="18"/>
        <v>59</v>
      </c>
      <c r="V71" s="210">
        <f t="shared" si="26"/>
        <v>742.13836477987456</v>
      </c>
      <c r="W71" s="215">
        <f t="shared" si="20"/>
        <v>4.748180200883191E-10</v>
      </c>
      <c r="X71" s="216">
        <f t="shared" si="21"/>
        <v>-93.234728072481673</v>
      </c>
      <c r="Y71" s="215">
        <f t="shared" si="22"/>
        <v>3.3984663991436209E-10</v>
      </c>
      <c r="Z71" s="216">
        <f t="shared" si="23"/>
        <v>-94.687170196180332</v>
      </c>
      <c r="AA71" s="215">
        <f t="shared" si="24"/>
        <v>9.480886632736043E-10</v>
      </c>
      <c r="AB71" s="216">
        <f t="shared" si="25"/>
        <v>-90.231510464489389</v>
      </c>
    </row>
    <row r="72" spans="1:28" ht="17.25" customHeight="1">
      <c r="A72" s="213">
        <f t="shared" si="31"/>
        <v>21000</v>
      </c>
      <c r="B72" s="55">
        <v>29887</v>
      </c>
      <c r="C72" s="55">
        <v>27835</v>
      </c>
      <c r="D72" s="55">
        <v>11250</v>
      </c>
      <c r="E72" s="213" t="str">
        <f t="shared" si="27"/>
        <v>74BF</v>
      </c>
      <c r="F72" s="213" t="str">
        <f t="shared" si="27"/>
        <v>6CBB</v>
      </c>
      <c r="G72" s="213" t="str">
        <f t="shared" si="27"/>
        <v>2BF2</v>
      </c>
      <c r="H72" s="210">
        <f t="shared" si="28"/>
        <v>16.958646616541955</v>
      </c>
      <c r="I72" s="210">
        <f t="shared" si="29"/>
        <v>52.530075187969487</v>
      </c>
      <c r="J72" s="210">
        <f t="shared" si="30"/>
        <v>3.0827067669179087</v>
      </c>
      <c r="K72" s="217">
        <f t="shared" si="6"/>
        <v>1.0818109861448859E-4</v>
      </c>
      <c r="L72" s="217">
        <f t="shared" si="7"/>
        <v>-3.277710179490372E-4</v>
      </c>
      <c r="M72" s="217">
        <f t="shared" si="8"/>
        <v>-8.9642548060505961E-5</v>
      </c>
      <c r="N72" s="217">
        <f t="shared" si="9"/>
        <v>1.3032307641506631E-4</v>
      </c>
      <c r="O72" s="217">
        <f t="shared" si="10"/>
        <v>-2.96783674923138E-4</v>
      </c>
      <c r="P72" s="217">
        <f t="shared" si="11"/>
        <v>-7.2652483873457613E-5</v>
      </c>
      <c r="Q72" s="4" t="s">
        <v>192</v>
      </c>
      <c r="R72" s="4" t="s">
        <v>447</v>
      </c>
      <c r="S72" s="4" t="s">
        <v>702</v>
      </c>
      <c r="U72" s="210">
        <f t="shared" si="18"/>
        <v>60</v>
      </c>
      <c r="V72" s="210">
        <f t="shared" si="26"/>
        <v>754.71698113207583</v>
      </c>
      <c r="W72" s="215">
        <f t="shared" si="20"/>
        <v>5.4675281906725858E-10</v>
      </c>
      <c r="X72" s="216">
        <f t="shared" si="21"/>
        <v>-92.622089690544811</v>
      </c>
      <c r="Y72" s="215">
        <f t="shared" si="22"/>
        <v>6.1575816621652734E-10</v>
      </c>
      <c r="Z72" s="216">
        <f t="shared" si="23"/>
        <v>-92.105898198148708</v>
      </c>
      <c r="AA72" s="215">
        <f t="shared" si="24"/>
        <v>5.6102835012650235E-10</v>
      </c>
      <c r="AB72" s="216">
        <f t="shared" si="25"/>
        <v>-92.510151922333023</v>
      </c>
    </row>
    <row r="73" spans="1:28" ht="17.25" customHeight="1">
      <c r="A73" s="213">
        <f t="shared" si="31"/>
        <v>21300</v>
      </c>
      <c r="B73" s="55">
        <v>29879</v>
      </c>
      <c r="C73" s="55">
        <v>27865</v>
      </c>
      <c r="D73" s="55">
        <v>11283</v>
      </c>
      <c r="E73" s="213" t="str">
        <f t="shared" si="27"/>
        <v>74B7</v>
      </c>
      <c r="F73" s="213" t="str">
        <f t="shared" si="27"/>
        <v>6CD9</v>
      </c>
      <c r="G73" s="213" t="str">
        <f t="shared" si="27"/>
        <v>2C13</v>
      </c>
      <c r="H73" s="210">
        <f t="shared" si="28"/>
        <v>8.9586466165419552</v>
      </c>
      <c r="I73" s="210">
        <f t="shared" si="29"/>
        <v>82.530075187969487</v>
      </c>
      <c r="J73" s="210">
        <f t="shared" si="30"/>
        <v>36.082706766917909</v>
      </c>
      <c r="K73" s="217">
        <f t="shared" si="6"/>
        <v>3.2093916617004174E-5</v>
      </c>
      <c r="L73" s="217">
        <f t="shared" si="7"/>
        <v>-9.5446625192977175E-5</v>
      </c>
      <c r="M73" s="217">
        <f t="shared" si="8"/>
        <v>-7.2929530620068759E-7</v>
      </c>
      <c r="N73" s="217">
        <f t="shared" si="9"/>
        <v>5.4235894417581894E-5</v>
      </c>
      <c r="O73" s="217">
        <f t="shared" si="10"/>
        <v>-6.4459282167077979E-5</v>
      </c>
      <c r="P73" s="217">
        <f t="shared" si="11"/>
        <v>1.6260768880847666E-5</v>
      </c>
      <c r="Q73" s="4" t="s">
        <v>193</v>
      </c>
      <c r="R73" s="4" t="s">
        <v>448</v>
      </c>
      <c r="S73" s="4" t="s">
        <v>703</v>
      </c>
      <c r="U73" s="210">
        <f t="shared" si="18"/>
        <v>61</v>
      </c>
      <c r="V73" s="210">
        <f t="shared" si="26"/>
        <v>767.2955974842771</v>
      </c>
      <c r="W73" s="215">
        <f t="shared" si="20"/>
        <v>1.8888505946544092E-11</v>
      </c>
      <c r="X73" s="216">
        <f t="shared" si="21"/>
        <v>-107.23802392783979</v>
      </c>
      <c r="Y73" s="215">
        <f t="shared" si="22"/>
        <v>3.5845988503294487E-10</v>
      </c>
      <c r="Z73" s="216">
        <f t="shared" si="23"/>
        <v>-94.455594388347365</v>
      </c>
      <c r="AA73" s="215">
        <f t="shared" si="24"/>
        <v>1.4333513455019429E-10</v>
      </c>
      <c r="AB73" s="216">
        <f t="shared" si="25"/>
        <v>-98.436473415566212</v>
      </c>
    </row>
    <row r="74" spans="1:28" ht="17.25" customHeight="1">
      <c r="A74" s="213">
        <f t="shared" si="31"/>
        <v>21600</v>
      </c>
      <c r="B74" s="55">
        <v>29900</v>
      </c>
      <c r="C74" s="55">
        <v>27805</v>
      </c>
      <c r="D74" s="55">
        <v>11271</v>
      </c>
      <c r="E74" s="213" t="str">
        <f t="shared" si="27"/>
        <v>74CC</v>
      </c>
      <c r="F74" s="213" t="str">
        <f t="shared" si="27"/>
        <v>6C9D</v>
      </c>
      <c r="G74" s="213" t="str">
        <f t="shared" si="27"/>
        <v>2C07</v>
      </c>
      <c r="H74" s="210">
        <f t="shared" si="28"/>
        <v>29.958646616541955</v>
      </c>
      <c r="I74" s="210">
        <f t="shared" si="29"/>
        <v>22.530075187969487</v>
      </c>
      <c r="J74" s="210">
        <f t="shared" si="30"/>
        <v>24.082706766917909</v>
      </c>
      <c r="K74" s="217">
        <f t="shared" si="6"/>
        <v>1.9919967497406666E-5</v>
      </c>
      <c r="L74" s="217">
        <f t="shared" si="7"/>
        <v>-4.3091832459217178E-5</v>
      </c>
      <c r="M74" s="217">
        <f t="shared" si="8"/>
        <v>5.5851865537448121E-5</v>
      </c>
      <c r="N74" s="217">
        <f t="shared" si="9"/>
        <v>4.2061945297984383E-5</v>
      </c>
      <c r="O74" s="217">
        <f t="shared" si="10"/>
        <v>-1.2104489433317982E-5</v>
      </c>
      <c r="P74" s="217">
        <f t="shared" si="11"/>
        <v>7.2841929724496476E-5</v>
      </c>
      <c r="Q74" s="4" t="s">
        <v>194</v>
      </c>
      <c r="R74" s="4" t="s">
        <v>449</v>
      </c>
      <c r="S74" s="4" t="s">
        <v>704</v>
      </c>
      <c r="U74" s="210">
        <f t="shared" si="18"/>
        <v>62</v>
      </c>
      <c r="V74" s="210">
        <f t="shared" si="26"/>
        <v>779.87421383647836</v>
      </c>
      <c r="W74" s="215">
        <f t="shared" si="20"/>
        <v>1.1076757901116062E-10</v>
      </c>
      <c r="X74" s="216">
        <f t="shared" si="21"/>
        <v>-99.555873363309814</v>
      </c>
      <c r="Y74" s="215">
        <f t="shared" si="22"/>
        <v>8.7806516829246692E-10</v>
      </c>
      <c r="Z74" s="216">
        <f t="shared" si="23"/>
        <v>-90.564732504042396</v>
      </c>
      <c r="AA74" s="215">
        <f t="shared" si="24"/>
        <v>6.2222104216207492E-11</v>
      </c>
      <c r="AB74" s="216">
        <f t="shared" si="25"/>
        <v>-102.0605530608435</v>
      </c>
    </row>
    <row r="75" spans="1:28" ht="17.25" customHeight="1">
      <c r="A75" s="213">
        <f t="shared" si="31"/>
        <v>21900</v>
      </c>
      <c r="B75" s="55">
        <v>29904</v>
      </c>
      <c r="C75" s="55">
        <v>27836</v>
      </c>
      <c r="D75" s="55">
        <v>11265</v>
      </c>
      <c r="E75" s="213" t="str">
        <f t="shared" si="27"/>
        <v>74D0</v>
      </c>
      <c r="F75" s="213" t="str">
        <f t="shared" si="27"/>
        <v>6CBC</v>
      </c>
      <c r="G75" s="213" t="str">
        <f t="shared" si="27"/>
        <v>2C01</v>
      </c>
      <c r="H75" s="210">
        <f t="shared" si="28"/>
        <v>33.958646616541955</v>
      </c>
      <c r="I75" s="210">
        <f t="shared" si="29"/>
        <v>53.530075187969487</v>
      </c>
      <c r="J75" s="210">
        <f t="shared" si="30"/>
        <v>18.082706766917909</v>
      </c>
      <c r="K75" s="217">
        <f t="shared" si="6"/>
        <v>1.8731176789187239E-4</v>
      </c>
      <c r="L75" s="217">
        <f t="shared" si="7"/>
        <v>2.088656075720028E-4</v>
      </c>
      <c r="M75" s="217">
        <f t="shared" si="8"/>
        <v>1.8518023318007398E-4</v>
      </c>
      <c r="N75" s="217">
        <f t="shared" si="9"/>
        <v>2.0945374569245011E-4</v>
      </c>
      <c r="O75" s="217">
        <f t="shared" si="10"/>
        <v>2.39852950597902E-4</v>
      </c>
      <c r="P75" s="217">
        <f t="shared" si="11"/>
        <v>2.0217029736712232E-4</v>
      </c>
      <c r="Q75" s="4" t="s">
        <v>195</v>
      </c>
      <c r="R75" s="4" t="s">
        <v>450</v>
      </c>
      <c r="S75" s="4" t="s">
        <v>705</v>
      </c>
      <c r="U75" s="210">
        <f t="shared" si="18"/>
        <v>63</v>
      </c>
      <c r="V75" s="210">
        <f t="shared" si="26"/>
        <v>792.45283018867963</v>
      </c>
      <c r="W75" s="215">
        <f t="shared" si="20"/>
        <v>6.710591826962651E-11</v>
      </c>
      <c r="X75" s="216">
        <f t="shared" si="21"/>
        <v>-101.73239176425673</v>
      </c>
      <c r="Y75" s="215">
        <f t="shared" si="22"/>
        <v>6.4376637953961169E-10</v>
      </c>
      <c r="Z75" s="216">
        <f t="shared" si="23"/>
        <v>-91.912717079264056</v>
      </c>
      <c r="AA75" s="215">
        <f t="shared" si="24"/>
        <v>1.5006504780857207E-10</v>
      </c>
      <c r="AB75" s="216">
        <f t="shared" si="25"/>
        <v>-98.237204490724622</v>
      </c>
    </row>
    <row r="76" spans="1:28" ht="17.25" customHeight="1">
      <c r="A76" s="213">
        <f t="shared" si="31"/>
        <v>22200</v>
      </c>
      <c r="B76" s="55">
        <v>29841</v>
      </c>
      <c r="C76" s="55">
        <v>27718</v>
      </c>
      <c r="D76" s="55">
        <v>11244</v>
      </c>
      <c r="E76" s="213" t="str">
        <f t="shared" si="27"/>
        <v>7491</v>
      </c>
      <c r="F76" s="213" t="str">
        <f t="shared" si="27"/>
        <v>6C46</v>
      </c>
      <c r="G76" s="213" t="str">
        <f t="shared" si="27"/>
        <v>2BEC</v>
      </c>
      <c r="H76" s="210">
        <f t="shared" si="28"/>
        <v>-29.041353383458045</v>
      </c>
      <c r="I76" s="210">
        <f t="shared" si="29"/>
        <v>-64.469924812030513</v>
      </c>
      <c r="J76" s="210">
        <f t="shared" si="30"/>
        <v>-2.9172932330820913</v>
      </c>
      <c r="K76" s="217">
        <f t="shared" ref="K76:K139" si="32">AVERAGE(H66:H76)/Q$3</f>
        <v>1.051376113345892E-4</v>
      </c>
      <c r="L76" s="217">
        <f t="shared" ref="L76:L139" si="33">AVERAGE(I66:I76)/R$3</f>
        <v>7.4706451191742807E-5</v>
      </c>
      <c r="M76" s="217">
        <f t="shared" ref="M76:M139" si="34">AVERAGE(J66:J76)/S$3</f>
        <v>3.4684069273335631E-4</v>
      </c>
      <c r="N76" s="217">
        <f t="shared" ref="N76:N139" si="35">K76-Q$4</f>
        <v>1.2727958913516692E-4</v>
      </c>
      <c r="O76" s="217">
        <f t="shared" ref="O76:O139" si="36">L76-R$4</f>
        <v>1.05693794217642E-4</v>
      </c>
      <c r="P76" s="217">
        <f t="shared" ref="P76:P139" si="37">M76-S$4</f>
        <v>3.6383075692040465E-4</v>
      </c>
      <c r="Q76" s="4" t="s">
        <v>196</v>
      </c>
      <c r="R76" s="4" t="s">
        <v>451</v>
      </c>
      <c r="S76" s="4" t="s">
        <v>706</v>
      </c>
      <c r="U76" s="210">
        <f t="shared" si="18"/>
        <v>64</v>
      </c>
      <c r="V76" s="210">
        <f t="shared" si="26"/>
        <v>805.03144654088089</v>
      </c>
      <c r="W76" s="215">
        <f t="shared" si="20"/>
        <v>6.7039933115303719E-11</v>
      </c>
      <c r="X76" s="216">
        <f t="shared" si="21"/>
        <v>-101.73666427666399</v>
      </c>
      <c r="Y76" s="215">
        <f t="shared" si="22"/>
        <v>1.4553795892357263E-10</v>
      </c>
      <c r="Z76" s="216">
        <f t="shared" si="23"/>
        <v>-98.370237200731168</v>
      </c>
      <c r="AA76" s="215">
        <f t="shared" si="24"/>
        <v>2.5272678887031797E-10</v>
      </c>
      <c r="AB76" s="216">
        <f t="shared" si="25"/>
        <v>-95.973487207159295</v>
      </c>
    </row>
    <row r="77" spans="1:28" ht="17.25" customHeight="1">
      <c r="A77" s="213">
        <f t="shared" si="31"/>
        <v>22500</v>
      </c>
      <c r="B77" s="55">
        <v>29881</v>
      </c>
      <c r="C77" s="55">
        <v>27840</v>
      </c>
      <c r="D77" s="55">
        <v>11221</v>
      </c>
      <c r="E77" s="213" t="str">
        <f t="shared" si="27"/>
        <v>74B9</v>
      </c>
      <c r="F77" s="213" t="str">
        <f t="shared" si="27"/>
        <v>6CC0</v>
      </c>
      <c r="G77" s="213" t="str">
        <f t="shared" si="27"/>
        <v>2BD5</v>
      </c>
      <c r="H77" s="210">
        <f t="shared" si="28"/>
        <v>10.958646616541955</v>
      </c>
      <c r="I77" s="210">
        <f t="shared" si="29"/>
        <v>57.530075187969487</v>
      </c>
      <c r="J77" s="210">
        <f t="shared" si="30"/>
        <v>-25.917293233082091</v>
      </c>
      <c r="K77" s="217">
        <f t="shared" si="32"/>
        <v>2.7557289900895433E-4</v>
      </c>
      <c r="L77" s="217">
        <f t="shared" si="33"/>
        <v>6.4079264762552282E-4</v>
      </c>
      <c r="M77" s="217">
        <f t="shared" si="34"/>
        <v>4.8425208335364626E-4</v>
      </c>
      <c r="N77" s="217">
        <f t="shared" si="35"/>
        <v>2.9771487680953202E-4</v>
      </c>
      <c r="O77" s="217">
        <f t="shared" si="36"/>
        <v>6.7177999065142196E-4</v>
      </c>
      <c r="P77" s="217">
        <f t="shared" si="37"/>
        <v>5.0124214754069466E-4</v>
      </c>
      <c r="Q77" s="4" t="s">
        <v>197</v>
      </c>
      <c r="R77" s="4" t="s">
        <v>452</v>
      </c>
      <c r="S77" s="4" t="s">
        <v>707</v>
      </c>
      <c r="U77" s="210">
        <f t="shared" si="18"/>
        <v>65</v>
      </c>
      <c r="V77" s="210">
        <f t="shared" si="26"/>
        <v>817.61006289308216</v>
      </c>
      <c r="W77" s="215">
        <f t="shared" si="20"/>
        <v>5.4288876792846922E-11</v>
      </c>
      <c r="X77" s="216">
        <f t="shared" ref="X77:X108" si="38">IF(W77&lt;&gt;0,10*LOG10(W77),-120)</f>
        <v>-102.65289143566548</v>
      </c>
      <c r="Y77" s="215">
        <f t="shared" ref="Y77:Y108" si="39">(IMREAL(R77)^2+IMAGINARY(R77)^2)/$Q$7</f>
        <v>1.0380133783488375E-10</v>
      </c>
      <c r="Z77" s="216">
        <f t="shared" ref="Z77:Z108" si="40">IF(Y77&lt;&gt;0,10*LOG10(Y77),-120)</f>
        <v>-99.837970490832873</v>
      </c>
      <c r="AA77" s="215">
        <f t="shared" ref="AA77:AA108" si="41">(IMREAL(S77)^2+IMAGINARY(S77)^2)/$Q$7</f>
        <v>1.793202020905273E-10</v>
      </c>
      <c r="AB77" s="216">
        <f t="shared" ref="AB77:AB108" si="42">IF(AA77&lt;&gt;0,10*LOG10(AA77),-120)</f>
        <v>-97.463707803641796</v>
      </c>
    </row>
    <row r="78" spans="1:28" ht="17.25" customHeight="1">
      <c r="A78" s="213">
        <f t="shared" si="31"/>
        <v>22800</v>
      </c>
      <c r="B78" s="55">
        <v>29855</v>
      </c>
      <c r="C78" s="55">
        <v>27792</v>
      </c>
      <c r="D78" s="55">
        <v>11239</v>
      </c>
      <c r="E78" s="213" t="str">
        <f t="shared" si="27"/>
        <v>749F</v>
      </c>
      <c r="F78" s="213" t="str">
        <f t="shared" si="27"/>
        <v>6C90</v>
      </c>
      <c r="G78" s="213" t="str">
        <f t="shared" si="27"/>
        <v>2BE7</v>
      </c>
      <c r="H78" s="210">
        <f t="shared" si="28"/>
        <v>-15.041353383458045</v>
      </c>
      <c r="I78" s="210">
        <f t="shared" si="29"/>
        <v>9.5300751879694872</v>
      </c>
      <c r="J78" s="210">
        <f t="shared" si="30"/>
        <v>-7.9172932330820913</v>
      </c>
      <c r="K78" s="217">
        <f t="shared" si="32"/>
        <v>6.861576397579668E-5</v>
      </c>
      <c r="L78" s="217">
        <f t="shared" si="33"/>
        <v>4.5100652396564279E-4</v>
      </c>
      <c r="M78" s="217">
        <f t="shared" si="34"/>
        <v>4.1958789953233341E-4</v>
      </c>
      <c r="N78" s="217">
        <f t="shared" si="35"/>
        <v>9.07577417763744E-5</v>
      </c>
      <c r="O78" s="217">
        <f t="shared" si="36"/>
        <v>4.8199386699154199E-4</v>
      </c>
      <c r="P78" s="217">
        <f t="shared" si="37"/>
        <v>4.3657796371938175E-4</v>
      </c>
      <c r="Q78" s="4" t="s">
        <v>198</v>
      </c>
      <c r="R78" s="4" t="s">
        <v>453</v>
      </c>
      <c r="S78" s="4" t="s">
        <v>708</v>
      </c>
      <c r="U78" s="210">
        <f t="shared" ref="U78:U140" si="43">U77+1</f>
        <v>66</v>
      </c>
      <c r="V78" s="210">
        <f t="shared" ref="V78:V109" si="44">V77+V$13</f>
        <v>830.18867924528342</v>
      </c>
      <c r="W78" s="215">
        <f t="shared" ref="W78:W140" si="45">(IMREAL(Q78)^2+IMAGINARY(Q78)^2)/$Q$7</f>
        <v>2.9883402330148369E-11</v>
      </c>
      <c r="X78" s="216">
        <f t="shared" si="38"/>
        <v>-105.24569958091909</v>
      </c>
      <c r="Y78" s="215">
        <f t="shared" si="39"/>
        <v>3.1203387273103929E-10</v>
      </c>
      <c r="Z78" s="216">
        <f t="shared" si="40"/>
        <v>-95.05798258732554</v>
      </c>
      <c r="AA78" s="215">
        <f t="shared" si="41"/>
        <v>2.7352315842949511E-10</v>
      </c>
      <c r="AB78" s="216">
        <f t="shared" si="42"/>
        <v>-95.630058972926946</v>
      </c>
    </row>
    <row r="79" spans="1:28" ht="17.25" customHeight="1">
      <c r="A79" s="213">
        <f t="shared" si="31"/>
        <v>23100</v>
      </c>
      <c r="B79" s="55">
        <v>29883</v>
      </c>
      <c r="C79" s="55">
        <v>27763</v>
      </c>
      <c r="D79" s="55">
        <v>11263</v>
      </c>
      <c r="E79" s="213" t="str">
        <f t="shared" si="27"/>
        <v>74BB</v>
      </c>
      <c r="F79" s="213" t="str">
        <f t="shared" si="27"/>
        <v>6C73</v>
      </c>
      <c r="G79" s="213" t="str">
        <f t="shared" si="27"/>
        <v>2BFF</v>
      </c>
      <c r="H79" s="210">
        <f t="shared" si="28"/>
        <v>12.958646616541955</v>
      </c>
      <c r="I79" s="210">
        <f t="shared" si="29"/>
        <v>-19.469924812030513</v>
      </c>
      <c r="J79" s="210">
        <f t="shared" si="30"/>
        <v>16.082706766917909</v>
      </c>
      <c r="K79" s="217">
        <f t="shared" si="32"/>
        <v>3.69921004685835E-4</v>
      </c>
      <c r="L79" s="217">
        <f t="shared" si="33"/>
        <v>5.9825437852934274E-4</v>
      </c>
      <c r="M79" s="217">
        <f t="shared" si="34"/>
        <v>8.1565602543787511E-4</v>
      </c>
      <c r="N79" s="217">
        <f t="shared" si="35"/>
        <v>3.9206298248641274E-4</v>
      </c>
      <c r="O79" s="217">
        <f t="shared" si="36"/>
        <v>6.2924172155524199E-4</v>
      </c>
      <c r="P79" s="217">
        <f t="shared" si="37"/>
        <v>8.3264608962492351E-4</v>
      </c>
      <c r="Q79" s="4" t="s">
        <v>199</v>
      </c>
      <c r="R79" s="4" t="s">
        <v>454</v>
      </c>
      <c r="S79" s="4" t="s">
        <v>709</v>
      </c>
      <c r="U79" s="210">
        <f t="shared" si="43"/>
        <v>67</v>
      </c>
      <c r="V79" s="210">
        <f t="shared" si="44"/>
        <v>842.76729559748469</v>
      </c>
      <c r="W79" s="215">
        <f t="shared" si="45"/>
        <v>3.4688844771037619E-11</v>
      </c>
      <c r="X79" s="216">
        <f t="shared" si="38"/>
        <v>-104.59810163055539</v>
      </c>
      <c r="Y79" s="215">
        <f t="shared" si="39"/>
        <v>9.4905236293300074E-11</v>
      </c>
      <c r="Z79" s="216">
        <f t="shared" si="40"/>
        <v>-100.22709825185464</v>
      </c>
      <c r="AA79" s="215">
        <f t="shared" si="41"/>
        <v>1.0123005483438604E-10</v>
      </c>
      <c r="AB79" s="216">
        <f t="shared" si="42"/>
        <v>-99.946905279023994</v>
      </c>
    </row>
    <row r="80" spans="1:28" ht="17.25" customHeight="1">
      <c r="A80" s="213">
        <f t="shared" si="31"/>
        <v>23400</v>
      </c>
      <c r="B80" s="55">
        <v>29895</v>
      </c>
      <c r="C80" s="55">
        <v>27818</v>
      </c>
      <c r="D80" s="55">
        <v>11260</v>
      </c>
      <c r="E80" s="213" t="str">
        <f t="shared" si="27"/>
        <v>74C7</v>
      </c>
      <c r="F80" s="213" t="str">
        <f t="shared" si="27"/>
        <v>6CAA</v>
      </c>
      <c r="G80" s="213" t="str">
        <f t="shared" si="27"/>
        <v>2BFC</v>
      </c>
      <c r="H80" s="210">
        <f t="shared" si="28"/>
        <v>24.958646616541955</v>
      </c>
      <c r="I80" s="210">
        <f t="shared" si="29"/>
        <v>35.530075187969487</v>
      </c>
      <c r="J80" s="210">
        <f t="shared" si="30"/>
        <v>13.082706766917909</v>
      </c>
      <c r="K80" s="217">
        <f t="shared" si="32"/>
        <v>4.3383423756372186E-4</v>
      </c>
      <c r="L80" s="217">
        <f t="shared" si="33"/>
        <v>1.0170927203994227E-3</v>
      </c>
      <c r="M80" s="217">
        <f t="shared" si="34"/>
        <v>8.1565602543787511E-4</v>
      </c>
      <c r="N80" s="217">
        <f t="shared" si="35"/>
        <v>4.5597621536429961E-4</v>
      </c>
      <c r="O80" s="217">
        <f t="shared" si="36"/>
        <v>1.0480800634253219E-3</v>
      </c>
      <c r="P80" s="217">
        <f t="shared" si="37"/>
        <v>8.3264608962492351E-4</v>
      </c>
      <c r="Q80" s="4" t="s">
        <v>200</v>
      </c>
      <c r="R80" s="4" t="s">
        <v>455</v>
      </c>
      <c r="S80" s="4" t="s">
        <v>710</v>
      </c>
      <c r="U80" s="210">
        <f t="shared" si="43"/>
        <v>68</v>
      </c>
      <c r="V80" s="210">
        <f t="shared" si="44"/>
        <v>855.34591194968596</v>
      </c>
      <c r="W80" s="215">
        <f t="shared" si="45"/>
        <v>2.6920844954663907E-11</v>
      </c>
      <c r="X80" s="216">
        <f t="shared" si="38"/>
        <v>-105.69911313192893</v>
      </c>
      <c r="Y80" s="215">
        <f t="shared" si="39"/>
        <v>3.1078142439900586E-11</v>
      </c>
      <c r="Z80" s="216">
        <f t="shared" si="40"/>
        <v>-105.07544947149432</v>
      </c>
      <c r="AA80" s="215">
        <f t="shared" si="41"/>
        <v>4.4918500559221815E-12</v>
      </c>
      <c r="AB80" s="216">
        <f t="shared" si="42"/>
        <v>-113.47574749510417</v>
      </c>
    </row>
    <row r="81" spans="1:28" ht="17.25" customHeight="1">
      <c r="A81" s="213">
        <f t="shared" si="31"/>
        <v>23700</v>
      </c>
      <c r="B81" s="55">
        <v>29892</v>
      </c>
      <c r="C81" s="55">
        <v>27865</v>
      </c>
      <c r="D81" s="55">
        <v>11250</v>
      </c>
      <c r="E81" s="213" t="str">
        <f t="shared" si="27"/>
        <v>74C4</v>
      </c>
      <c r="F81" s="213" t="str">
        <f t="shared" si="27"/>
        <v>6CD9</v>
      </c>
      <c r="G81" s="213" t="str">
        <f t="shared" si="27"/>
        <v>2BF2</v>
      </c>
      <c r="H81" s="210">
        <f t="shared" si="28"/>
        <v>21.958646616541955</v>
      </c>
      <c r="I81" s="210">
        <f t="shared" si="29"/>
        <v>82.530075187969487</v>
      </c>
      <c r="J81" s="210">
        <f t="shared" si="30"/>
        <v>3.0827067669179087</v>
      </c>
      <c r="K81" s="217">
        <f t="shared" si="32"/>
        <v>4.3992121212352059E-4</v>
      </c>
      <c r="L81" s="217">
        <f t="shared" si="33"/>
        <v>1.1970623204217228E-3</v>
      </c>
      <c r="M81" s="217">
        <f t="shared" si="34"/>
        <v>6.9441068077291332E-4</v>
      </c>
      <c r="N81" s="217">
        <f t="shared" si="35"/>
        <v>4.6206318992409834E-4</v>
      </c>
      <c r="O81" s="217">
        <f t="shared" si="36"/>
        <v>1.2280496634476221E-3</v>
      </c>
      <c r="P81" s="217">
        <f t="shared" si="37"/>
        <v>7.1140074495996172E-4</v>
      </c>
      <c r="Q81" s="4" t="s">
        <v>201</v>
      </c>
      <c r="R81" s="4" t="s">
        <v>456</v>
      </c>
      <c r="S81" s="4" t="s">
        <v>711</v>
      </c>
      <c r="U81" s="210">
        <f t="shared" si="43"/>
        <v>69</v>
      </c>
      <c r="V81" s="210">
        <f t="shared" si="44"/>
        <v>867.92452830188722</v>
      </c>
      <c r="W81" s="215">
        <f t="shared" si="45"/>
        <v>9.9687690709192386E-12</v>
      </c>
      <c r="X81" s="216">
        <f t="shared" si="38"/>
        <v>-110.01358464427659</v>
      </c>
      <c r="Y81" s="215">
        <f t="shared" si="39"/>
        <v>4.5664511135826425E-12</v>
      </c>
      <c r="Z81" s="216">
        <f t="shared" si="40"/>
        <v>-113.40421187356911</v>
      </c>
      <c r="AA81" s="215">
        <f t="shared" si="41"/>
        <v>5.2837575827174458E-11</v>
      </c>
      <c r="AB81" s="216">
        <f t="shared" si="42"/>
        <v>-102.77057115906717</v>
      </c>
    </row>
    <row r="82" spans="1:28" ht="17.25" customHeight="1">
      <c r="A82" s="213">
        <f t="shared" si="31"/>
        <v>24000</v>
      </c>
      <c r="B82" s="55">
        <v>29940</v>
      </c>
      <c r="C82" s="55">
        <v>27818</v>
      </c>
      <c r="D82" s="55">
        <v>11266</v>
      </c>
      <c r="E82" s="213" t="str">
        <f t="shared" si="27"/>
        <v>74F4</v>
      </c>
      <c r="F82" s="213" t="str">
        <f t="shared" si="27"/>
        <v>6CAA</v>
      </c>
      <c r="G82" s="213" t="str">
        <f t="shared" si="27"/>
        <v>2C02</v>
      </c>
      <c r="H82" s="210">
        <f t="shared" si="28"/>
        <v>69.958646616541955</v>
      </c>
      <c r="I82" s="210">
        <f t="shared" si="29"/>
        <v>35.530075187969487</v>
      </c>
      <c r="J82" s="210">
        <f t="shared" si="30"/>
        <v>19.082706766917909</v>
      </c>
      <c r="K82" s="217">
        <f t="shared" si="32"/>
        <v>5.6774767787929443E-4</v>
      </c>
      <c r="L82" s="217">
        <f t="shared" si="33"/>
        <v>1.1381631785962428E-3</v>
      </c>
      <c r="M82" s="217">
        <f t="shared" si="34"/>
        <v>7.7524091054955455E-4</v>
      </c>
      <c r="N82" s="217">
        <f t="shared" si="35"/>
        <v>5.8988965567987218E-4</v>
      </c>
      <c r="O82" s="217">
        <f t="shared" si="36"/>
        <v>1.1691505216221421E-3</v>
      </c>
      <c r="P82" s="217">
        <f t="shared" si="37"/>
        <v>7.9223097473660295E-4</v>
      </c>
      <c r="Q82" s="4" t="s">
        <v>202</v>
      </c>
      <c r="R82" s="4" t="s">
        <v>457</v>
      </c>
      <c r="S82" s="4" t="s">
        <v>712</v>
      </c>
      <c r="U82" s="210">
        <f t="shared" si="43"/>
        <v>70</v>
      </c>
      <c r="V82" s="210">
        <f t="shared" si="44"/>
        <v>880.50314465408849</v>
      </c>
      <c r="W82" s="215">
        <f t="shared" si="45"/>
        <v>1.3640764952731864E-11</v>
      </c>
      <c r="X82" s="216">
        <f t="shared" si="38"/>
        <v>-108.65161274442359</v>
      </c>
      <c r="Y82" s="215">
        <f t="shared" si="39"/>
        <v>6.3978131327430184E-12</v>
      </c>
      <c r="Z82" s="216">
        <f t="shared" si="40"/>
        <v>-111.93968448935209</v>
      </c>
      <c r="AA82" s="215">
        <f t="shared" si="41"/>
        <v>4.8633077592978436E-11</v>
      </c>
      <c r="AB82" s="216">
        <f t="shared" si="42"/>
        <v>-103.13068246587355</v>
      </c>
    </row>
    <row r="83" spans="1:28" ht="17.25" customHeight="1">
      <c r="A83" s="213">
        <f t="shared" si="31"/>
        <v>24300</v>
      </c>
      <c r="B83" s="55">
        <v>29897</v>
      </c>
      <c r="C83" s="55">
        <v>27827</v>
      </c>
      <c r="D83" s="55">
        <v>11249</v>
      </c>
      <c r="E83" s="213" t="str">
        <f t="shared" si="27"/>
        <v>74C9</v>
      </c>
      <c r="F83" s="213" t="str">
        <f t="shared" si="27"/>
        <v>6CB3</v>
      </c>
      <c r="G83" s="213" t="str">
        <f t="shared" si="27"/>
        <v>2BF1</v>
      </c>
      <c r="H83" s="210">
        <f t="shared" si="28"/>
        <v>26.958646616541955</v>
      </c>
      <c r="I83" s="210">
        <f t="shared" si="29"/>
        <v>44.530075187969487</v>
      </c>
      <c r="J83" s="210">
        <f t="shared" si="30"/>
        <v>2.0827067669179087</v>
      </c>
      <c r="K83" s="217">
        <f t="shared" si="32"/>
        <v>5.9818255067828818E-4</v>
      </c>
      <c r="L83" s="217">
        <f t="shared" si="33"/>
        <v>1.1119857822293627E-3</v>
      </c>
      <c r="M83" s="217">
        <f t="shared" si="34"/>
        <v>7.6715788757189031E-4</v>
      </c>
      <c r="N83" s="217">
        <f t="shared" si="35"/>
        <v>6.2032452847886593E-4</v>
      </c>
      <c r="O83" s="217">
        <f t="shared" si="36"/>
        <v>1.1429731252552619E-3</v>
      </c>
      <c r="P83" s="217">
        <f t="shared" si="37"/>
        <v>7.8414795175893871E-4</v>
      </c>
      <c r="Q83" s="4" t="s">
        <v>203</v>
      </c>
      <c r="R83" s="4" t="s">
        <v>458</v>
      </c>
      <c r="S83" s="4" t="s">
        <v>713</v>
      </c>
      <c r="U83" s="210">
        <f t="shared" si="43"/>
        <v>71</v>
      </c>
      <c r="V83" s="210">
        <f t="shared" si="44"/>
        <v>893.08176100628975</v>
      </c>
      <c r="W83" s="215">
        <f t="shared" si="45"/>
        <v>2.3270183159622559E-12</v>
      </c>
      <c r="X83" s="216">
        <f t="shared" si="38"/>
        <v>-116.33200198367746</v>
      </c>
      <c r="Y83" s="215">
        <f t="shared" si="39"/>
        <v>1.0304775824807877E-11</v>
      </c>
      <c r="Z83" s="216">
        <f t="shared" si="40"/>
        <v>-109.86961451639053</v>
      </c>
      <c r="AA83" s="215">
        <f t="shared" si="41"/>
        <v>2.4918296956032816E-11</v>
      </c>
      <c r="AB83" s="216">
        <f t="shared" si="42"/>
        <v>-106.03481642906593</v>
      </c>
    </row>
    <row r="84" spans="1:28" ht="17.25" customHeight="1">
      <c r="A84" s="213">
        <f t="shared" si="31"/>
        <v>24600</v>
      </c>
      <c r="B84" s="55">
        <v>29871</v>
      </c>
      <c r="C84" s="55">
        <v>27809</v>
      </c>
      <c r="D84" s="55">
        <v>11259</v>
      </c>
      <c r="E84" s="213" t="str">
        <f t="shared" si="27"/>
        <v>74AF</v>
      </c>
      <c r="F84" s="213" t="str">
        <f t="shared" si="27"/>
        <v>6CA1</v>
      </c>
      <c r="G84" s="213" t="str">
        <f t="shared" si="27"/>
        <v>2BFB</v>
      </c>
      <c r="H84" s="210">
        <f t="shared" si="28"/>
        <v>0.95864661654195515</v>
      </c>
      <c r="I84" s="210">
        <f t="shared" si="29"/>
        <v>26.530075187969487</v>
      </c>
      <c r="J84" s="210">
        <f t="shared" si="30"/>
        <v>12.082706766917909</v>
      </c>
      <c r="K84" s="217">
        <f t="shared" si="32"/>
        <v>5.7383465243909327E-4</v>
      </c>
      <c r="L84" s="217">
        <f t="shared" si="33"/>
        <v>9.2874400766120274E-4</v>
      </c>
      <c r="M84" s="217">
        <f t="shared" si="34"/>
        <v>5.7316533610795152E-4</v>
      </c>
      <c r="N84" s="217">
        <f t="shared" si="35"/>
        <v>5.9597663023967101E-4</v>
      </c>
      <c r="O84" s="217">
        <f t="shared" si="36"/>
        <v>9.5973135068710188E-4</v>
      </c>
      <c r="P84" s="217">
        <f t="shared" si="37"/>
        <v>5.9015540029499992E-4</v>
      </c>
      <c r="Q84" s="4" t="s">
        <v>204</v>
      </c>
      <c r="R84" s="4" t="s">
        <v>459</v>
      </c>
      <c r="S84" s="4" t="s">
        <v>714</v>
      </c>
      <c r="U84" s="210">
        <f t="shared" si="43"/>
        <v>72</v>
      </c>
      <c r="V84" s="210">
        <f t="shared" si="44"/>
        <v>905.66037735849102</v>
      </c>
      <c r="W84" s="215">
        <f t="shared" si="45"/>
        <v>3.1287605749350914E-11</v>
      </c>
      <c r="X84" s="216">
        <f t="shared" si="38"/>
        <v>-105.04627669504153</v>
      </c>
      <c r="Y84" s="215">
        <f t="shared" si="39"/>
        <v>4.9857710985121069E-11</v>
      </c>
      <c r="Z84" s="216">
        <f t="shared" si="40"/>
        <v>-103.02267664246821</v>
      </c>
      <c r="AA84" s="215">
        <f t="shared" si="41"/>
        <v>5.2788186911453301E-11</v>
      </c>
      <c r="AB84" s="216">
        <f t="shared" si="42"/>
        <v>-102.77463254230778</v>
      </c>
    </row>
    <row r="85" spans="1:28" ht="17.25" customHeight="1">
      <c r="A85" s="213">
        <f t="shared" si="31"/>
        <v>24900</v>
      </c>
      <c r="B85" s="55">
        <v>29847</v>
      </c>
      <c r="C85" s="55">
        <v>27835</v>
      </c>
      <c r="D85" s="55">
        <v>11260</v>
      </c>
      <c r="E85" s="213" t="str">
        <f t="shared" si="27"/>
        <v>7497</v>
      </c>
      <c r="F85" s="213" t="str">
        <f t="shared" si="27"/>
        <v>6CBB</v>
      </c>
      <c r="G85" s="213" t="str">
        <f t="shared" si="27"/>
        <v>2BFC</v>
      </c>
      <c r="H85" s="210">
        <f t="shared" si="28"/>
        <v>-23.041353383458045</v>
      </c>
      <c r="I85" s="210">
        <f t="shared" si="29"/>
        <v>52.530075187969487</v>
      </c>
      <c r="J85" s="210">
        <f t="shared" si="30"/>
        <v>13.082706766917909</v>
      </c>
      <c r="K85" s="217">
        <f t="shared" si="32"/>
        <v>4.125298266044262E-4</v>
      </c>
      <c r="L85" s="217">
        <f t="shared" si="33"/>
        <v>1.0269092440370027E-3</v>
      </c>
      <c r="M85" s="217">
        <f t="shared" si="34"/>
        <v>4.8425208335364626E-4</v>
      </c>
      <c r="N85" s="217">
        <f t="shared" si="35"/>
        <v>4.3467180440500395E-4</v>
      </c>
      <c r="O85" s="217">
        <f t="shared" si="36"/>
        <v>1.057896587062902E-3</v>
      </c>
      <c r="P85" s="217">
        <f t="shared" si="37"/>
        <v>5.0124214754069466E-4</v>
      </c>
      <c r="Q85" s="4" t="s">
        <v>205</v>
      </c>
      <c r="R85" s="4" t="s">
        <v>460</v>
      </c>
      <c r="S85" s="4" t="s">
        <v>715</v>
      </c>
      <c r="U85" s="210">
        <f t="shared" si="43"/>
        <v>73</v>
      </c>
      <c r="V85" s="210">
        <f t="shared" si="44"/>
        <v>918.23899371069228</v>
      </c>
      <c r="W85" s="215">
        <f t="shared" si="45"/>
        <v>4.0751096143312596E-11</v>
      </c>
      <c r="X85" s="216">
        <f t="shared" si="38"/>
        <v>-103.89860704897268</v>
      </c>
      <c r="Y85" s="215">
        <f t="shared" si="39"/>
        <v>2.2347950430370098E-10</v>
      </c>
      <c r="Z85" s="216">
        <f t="shared" si="40"/>
        <v>-96.507623006124192</v>
      </c>
      <c r="AA85" s="215">
        <f t="shared" si="41"/>
        <v>5.4658112049563955E-11</v>
      </c>
      <c r="AB85" s="216">
        <f t="shared" si="42"/>
        <v>-102.62345373386439</v>
      </c>
    </row>
    <row r="86" spans="1:28" ht="17.25" customHeight="1">
      <c r="A86" s="213">
        <f t="shared" si="31"/>
        <v>25200</v>
      </c>
      <c r="B86" s="55">
        <v>29829</v>
      </c>
      <c r="C86" s="55">
        <v>27736</v>
      </c>
      <c r="D86" s="55">
        <v>11239</v>
      </c>
      <c r="E86" s="213" t="str">
        <f t="shared" si="27"/>
        <v>7485</v>
      </c>
      <c r="F86" s="213" t="str">
        <f t="shared" si="27"/>
        <v>6C58</v>
      </c>
      <c r="G86" s="213" t="str">
        <f t="shared" si="27"/>
        <v>2BE7</v>
      </c>
      <c r="H86" s="210">
        <f t="shared" si="28"/>
        <v>-41.041353383458045</v>
      </c>
      <c r="I86" s="210">
        <f t="shared" si="29"/>
        <v>-46.469924812030513</v>
      </c>
      <c r="J86" s="210">
        <f t="shared" si="30"/>
        <v>-7.9172932330820913</v>
      </c>
      <c r="K86" s="217">
        <f t="shared" si="32"/>
        <v>1.8426828061197299E-4</v>
      </c>
      <c r="L86" s="217">
        <f t="shared" si="33"/>
        <v>6.9969178945100284E-4</v>
      </c>
      <c r="M86" s="217">
        <f t="shared" si="34"/>
        <v>2.7409348593437926E-4</v>
      </c>
      <c r="N86" s="217">
        <f t="shared" si="35"/>
        <v>2.0641025841255071E-4</v>
      </c>
      <c r="O86" s="217">
        <f t="shared" si="36"/>
        <v>7.3067913247690198E-4</v>
      </c>
      <c r="P86" s="217">
        <f t="shared" si="37"/>
        <v>2.9108355012142761E-4</v>
      </c>
      <c r="Q86" s="4" t="s">
        <v>206</v>
      </c>
      <c r="R86" s="4" t="s">
        <v>461</v>
      </c>
      <c r="S86" s="4" t="s">
        <v>716</v>
      </c>
      <c r="U86" s="210">
        <f t="shared" si="43"/>
        <v>74</v>
      </c>
      <c r="V86" s="210">
        <f t="shared" si="44"/>
        <v>930.81761006289355</v>
      </c>
      <c r="W86" s="215">
        <f t="shared" si="45"/>
        <v>1.654714992787373E-12</v>
      </c>
      <c r="X86" s="216">
        <f t="shared" si="38"/>
        <v>-117.81276798092964</v>
      </c>
      <c r="Y86" s="215">
        <f t="shared" si="39"/>
        <v>3.3851229881620972E-12</v>
      </c>
      <c r="Z86" s="216">
        <f t="shared" si="40"/>
        <v>-114.70425547921282</v>
      </c>
      <c r="AA86" s="215">
        <f t="shared" si="41"/>
        <v>1.4145886040210954E-10</v>
      </c>
      <c r="AB86" s="216">
        <f t="shared" si="42"/>
        <v>-98.4936984493213</v>
      </c>
    </row>
    <row r="87" spans="1:28" ht="17.25" customHeight="1">
      <c r="A87" s="213">
        <f t="shared" si="31"/>
        <v>25500</v>
      </c>
      <c r="B87" s="55">
        <v>29890</v>
      </c>
      <c r="C87" s="55">
        <v>27853</v>
      </c>
      <c r="D87" s="55">
        <v>11289</v>
      </c>
      <c r="E87" s="213" t="str">
        <f t="shared" si="27"/>
        <v>74C2</v>
      </c>
      <c r="F87" s="213" t="str">
        <f t="shared" si="27"/>
        <v>6CCD</v>
      </c>
      <c r="G87" s="213" t="str">
        <f t="shared" si="27"/>
        <v>2C19</v>
      </c>
      <c r="H87" s="210">
        <f t="shared" si="28"/>
        <v>19.958646616541955</v>
      </c>
      <c r="I87" s="210">
        <f t="shared" si="29"/>
        <v>70.530075187969487</v>
      </c>
      <c r="J87" s="210">
        <f t="shared" si="30"/>
        <v>42.082706766917909</v>
      </c>
      <c r="K87" s="217">
        <f t="shared" si="32"/>
        <v>3.3339915732704246E-4</v>
      </c>
      <c r="L87" s="217">
        <f t="shared" si="33"/>
        <v>1.1414353531421029E-3</v>
      </c>
      <c r="M87" s="217">
        <f t="shared" si="34"/>
        <v>6.3782951992926449E-4</v>
      </c>
      <c r="N87" s="217">
        <f t="shared" si="35"/>
        <v>3.5554113512762016E-4</v>
      </c>
      <c r="O87" s="217">
        <f t="shared" si="36"/>
        <v>1.1724226961680022E-3</v>
      </c>
      <c r="P87" s="217">
        <f t="shared" si="37"/>
        <v>6.5481958411631289E-4</v>
      </c>
      <c r="Q87" s="4" t="s">
        <v>207</v>
      </c>
      <c r="R87" s="4" t="s">
        <v>462</v>
      </c>
      <c r="S87" s="4" t="s">
        <v>717</v>
      </c>
      <c r="U87" s="210">
        <f t="shared" si="43"/>
        <v>75</v>
      </c>
      <c r="V87" s="210">
        <f t="shared" si="44"/>
        <v>943.39622641509482</v>
      </c>
      <c r="W87" s="215">
        <f t="shared" si="45"/>
        <v>9.3626980529213618E-11</v>
      </c>
      <c r="X87" s="216">
        <f t="shared" si="38"/>
        <v>-100.28598982389285</v>
      </c>
      <c r="Y87" s="215">
        <f t="shared" si="39"/>
        <v>9.5285224813056837E-11</v>
      </c>
      <c r="Z87" s="216">
        <f t="shared" si="40"/>
        <v>-100.20974437028354</v>
      </c>
      <c r="AA87" s="215">
        <f t="shared" si="41"/>
        <v>3.1607648822230313E-10</v>
      </c>
      <c r="AB87" s="216">
        <f t="shared" si="42"/>
        <v>-95.002078085422141</v>
      </c>
    </row>
    <row r="88" spans="1:28" ht="17.25" customHeight="1">
      <c r="A88" s="213">
        <f t="shared" si="31"/>
        <v>25800</v>
      </c>
      <c r="B88" s="55">
        <v>29848</v>
      </c>
      <c r="C88" s="55">
        <v>27805</v>
      </c>
      <c r="D88" s="55">
        <v>11254</v>
      </c>
      <c r="E88" s="213" t="str">
        <f t="shared" si="27"/>
        <v>7498</v>
      </c>
      <c r="F88" s="213" t="str">
        <f t="shared" si="27"/>
        <v>6C9D</v>
      </c>
      <c r="G88" s="213" t="str">
        <f t="shared" si="27"/>
        <v>2BF6</v>
      </c>
      <c r="H88" s="210">
        <f t="shared" si="28"/>
        <v>-22.041353383458045</v>
      </c>
      <c r="I88" s="210">
        <f t="shared" si="29"/>
        <v>22.530075187969487</v>
      </c>
      <c r="J88" s="210">
        <f t="shared" si="30"/>
        <v>7.0827067669179087</v>
      </c>
      <c r="K88" s="217">
        <f t="shared" si="32"/>
        <v>2.3296407709036301E-4</v>
      </c>
      <c r="L88" s="217">
        <f t="shared" si="33"/>
        <v>1.0269092440370027E-3</v>
      </c>
      <c r="M88" s="217">
        <f t="shared" si="34"/>
        <v>9.0456927819218037E-4</v>
      </c>
      <c r="N88" s="217">
        <f t="shared" si="35"/>
        <v>2.551060548909407E-4</v>
      </c>
      <c r="O88" s="217">
        <f t="shared" si="36"/>
        <v>1.057896587062902E-3</v>
      </c>
      <c r="P88" s="217">
        <f t="shared" si="37"/>
        <v>9.2155934237922877E-4</v>
      </c>
      <c r="Q88" s="4" t="s">
        <v>208</v>
      </c>
      <c r="R88" s="4" t="s">
        <v>463</v>
      </c>
      <c r="S88" s="4" t="s">
        <v>718</v>
      </c>
      <c r="U88" s="210">
        <f t="shared" si="43"/>
        <v>76</v>
      </c>
      <c r="V88" s="210">
        <f t="shared" si="44"/>
        <v>955.97484276729608</v>
      </c>
      <c r="W88" s="215">
        <f t="shared" si="45"/>
        <v>3.57082066244155E-11</v>
      </c>
      <c r="X88" s="216">
        <f t="shared" si="38"/>
        <v>-104.47231960859534</v>
      </c>
      <c r="Y88" s="215">
        <f t="shared" si="39"/>
        <v>1.9213822444526197E-10</v>
      </c>
      <c r="Z88" s="216">
        <f t="shared" si="40"/>
        <v>-97.163862269433395</v>
      </c>
      <c r="AA88" s="215">
        <f t="shared" si="41"/>
        <v>1.5150890754245403E-10</v>
      </c>
      <c r="AB88" s="216">
        <f t="shared" si="42"/>
        <v>-98.195618332817133</v>
      </c>
    </row>
    <row r="89" spans="1:28" ht="17.25" customHeight="1">
      <c r="A89" s="213">
        <f t="shared" si="31"/>
        <v>26100</v>
      </c>
      <c r="B89" s="55">
        <v>29870</v>
      </c>
      <c r="C89" s="55">
        <v>27747</v>
      </c>
      <c r="D89" s="55">
        <v>11260</v>
      </c>
      <c r="E89" s="213" t="str">
        <f t="shared" si="27"/>
        <v>74AE</v>
      </c>
      <c r="F89" s="213" t="str">
        <f t="shared" si="27"/>
        <v>6C63</v>
      </c>
      <c r="G89" s="213" t="str">
        <f t="shared" si="27"/>
        <v>2BFC</v>
      </c>
      <c r="H89" s="210">
        <f t="shared" si="28"/>
        <v>-4.1353383458044846E-2</v>
      </c>
      <c r="I89" s="210">
        <f t="shared" si="29"/>
        <v>-35.469924812030513</v>
      </c>
      <c r="J89" s="210">
        <f t="shared" si="30"/>
        <v>13.082706766917909</v>
      </c>
      <c r="K89" s="217">
        <f t="shared" si="32"/>
        <v>2.7861638628885364E-4</v>
      </c>
      <c r="L89" s="217">
        <f t="shared" si="33"/>
        <v>8.7966138947330279E-4</v>
      </c>
      <c r="M89" s="217">
        <f t="shared" si="34"/>
        <v>1.0743127607231269E-3</v>
      </c>
      <c r="N89" s="217">
        <f t="shared" si="35"/>
        <v>3.0075836408943138E-4</v>
      </c>
      <c r="O89" s="217">
        <f t="shared" si="36"/>
        <v>9.1064873249920193E-4</v>
      </c>
      <c r="P89" s="217">
        <f t="shared" si="37"/>
        <v>1.0913028249101753E-3</v>
      </c>
      <c r="Q89" s="4" t="s">
        <v>209</v>
      </c>
      <c r="R89" s="4" t="s">
        <v>464</v>
      </c>
      <c r="S89" s="4" t="s">
        <v>719</v>
      </c>
      <c r="U89" s="210">
        <f t="shared" si="43"/>
        <v>77</v>
      </c>
      <c r="V89" s="210">
        <f t="shared" si="44"/>
        <v>968.55345911949735</v>
      </c>
      <c r="W89" s="215">
        <f t="shared" si="45"/>
        <v>2.0396496882699386E-10</v>
      </c>
      <c r="X89" s="216">
        <f t="shared" si="38"/>
        <v>-96.904444166503382</v>
      </c>
      <c r="Y89" s="215">
        <f t="shared" si="39"/>
        <v>4.7033365464606711E-10</v>
      </c>
      <c r="Z89" s="216">
        <f t="shared" si="40"/>
        <v>-93.275939442729694</v>
      </c>
      <c r="AA89" s="215">
        <f t="shared" si="41"/>
        <v>6.2001018729899738E-11</v>
      </c>
      <c r="AB89" s="216">
        <f t="shared" si="42"/>
        <v>-102.07601174612404</v>
      </c>
    </row>
    <row r="90" spans="1:28" ht="17.25" customHeight="1">
      <c r="A90" s="213">
        <f t="shared" si="31"/>
        <v>26400</v>
      </c>
      <c r="B90" s="55">
        <v>29871</v>
      </c>
      <c r="C90" s="55">
        <v>27833</v>
      </c>
      <c r="D90" s="55">
        <v>11261</v>
      </c>
      <c r="E90" s="213" t="str">
        <f t="shared" si="27"/>
        <v>74AF</v>
      </c>
      <c r="F90" s="213" t="str">
        <f t="shared" si="27"/>
        <v>6CB9</v>
      </c>
      <c r="G90" s="213" t="str">
        <f t="shared" si="27"/>
        <v>2BFD</v>
      </c>
      <c r="H90" s="210">
        <f t="shared" si="28"/>
        <v>0.95864661654195515</v>
      </c>
      <c r="I90" s="210">
        <f t="shared" si="29"/>
        <v>50.530075187969487</v>
      </c>
      <c r="J90" s="210">
        <f t="shared" si="30"/>
        <v>14.082706766917909</v>
      </c>
      <c r="K90" s="217">
        <f t="shared" si="32"/>
        <v>2.4209453893006113E-4</v>
      </c>
      <c r="L90" s="217">
        <f t="shared" si="33"/>
        <v>1.1087136076835028E-3</v>
      </c>
      <c r="M90" s="217">
        <f t="shared" si="34"/>
        <v>1.0581467147677986E-3</v>
      </c>
      <c r="N90" s="217">
        <f t="shared" si="35"/>
        <v>2.6423651673063885E-4</v>
      </c>
      <c r="O90" s="217">
        <f t="shared" si="36"/>
        <v>1.139700950709402E-3</v>
      </c>
      <c r="P90" s="217">
        <f t="shared" si="37"/>
        <v>1.075136778954847E-3</v>
      </c>
      <c r="Q90" s="4" t="s">
        <v>210</v>
      </c>
      <c r="R90" s="4" t="s">
        <v>465</v>
      </c>
      <c r="S90" s="4" t="s">
        <v>720</v>
      </c>
      <c r="U90" s="210">
        <f t="shared" si="43"/>
        <v>78</v>
      </c>
      <c r="V90" s="210">
        <f t="shared" si="44"/>
        <v>981.13207547169861</v>
      </c>
      <c r="W90" s="215">
        <f t="shared" si="45"/>
        <v>9.4296574828974612E-11</v>
      </c>
      <c r="X90" s="216">
        <f t="shared" si="38"/>
        <v>-100.25504082022923</v>
      </c>
      <c r="Y90" s="215">
        <f t="shared" si="39"/>
        <v>7.2481259413910982E-11</v>
      </c>
      <c r="Z90" s="216">
        <f t="shared" si="40"/>
        <v>-101.39774269087313</v>
      </c>
      <c r="AA90" s="215">
        <f t="shared" si="41"/>
        <v>1.6828467653498544E-10</v>
      </c>
      <c r="AB90" s="216">
        <f t="shared" si="42"/>
        <v>-97.739554276918952</v>
      </c>
    </row>
    <row r="91" spans="1:28" ht="17.25" customHeight="1">
      <c r="A91" s="213">
        <f t="shared" si="31"/>
        <v>26700</v>
      </c>
      <c r="B91" s="55">
        <v>29827</v>
      </c>
      <c r="C91" s="55">
        <v>27736</v>
      </c>
      <c r="D91" s="55">
        <v>11236</v>
      </c>
      <c r="E91" s="213" t="str">
        <f t="shared" si="27"/>
        <v>7483</v>
      </c>
      <c r="F91" s="213" t="str">
        <f t="shared" si="27"/>
        <v>6C58</v>
      </c>
      <c r="G91" s="213" t="str">
        <f t="shared" si="27"/>
        <v>2BE4</v>
      </c>
      <c r="H91" s="210">
        <f t="shared" si="28"/>
        <v>-43.041353383458045</v>
      </c>
      <c r="I91" s="210">
        <f t="shared" si="29"/>
        <v>-46.469924812030513</v>
      </c>
      <c r="J91" s="210">
        <f t="shared" si="30"/>
        <v>-10.917293233082091</v>
      </c>
      <c r="K91" s="217">
        <f t="shared" si="32"/>
        <v>3.5137403896903545E-5</v>
      </c>
      <c r="L91" s="217">
        <f t="shared" si="33"/>
        <v>8.403952949229827E-4</v>
      </c>
      <c r="M91" s="217">
        <f t="shared" si="34"/>
        <v>8.6415416330385981E-4</v>
      </c>
      <c r="N91" s="217">
        <f t="shared" si="35"/>
        <v>5.7279381697481265E-5</v>
      </c>
      <c r="O91" s="217">
        <f t="shared" si="36"/>
        <v>8.7138263794888184E-4</v>
      </c>
      <c r="P91" s="217">
        <f t="shared" si="37"/>
        <v>8.8114422749090821E-4</v>
      </c>
      <c r="Q91" s="4" t="s">
        <v>211</v>
      </c>
      <c r="R91" s="4" t="s">
        <v>466</v>
      </c>
      <c r="S91" s="4" t="s">
        <v>721</v>
      </c>
      <c r="U91" s="210">
        <f t="shared" si="43"/>
        <v>79</v>
      </c>
      <c r="V91" s="210">
        <f t="shared" si="44"/>
        <v>993.71069182389988</v>
      </c>
      <c r="W91" s="215">
        <f t="shared" si="45"/>
        <v>1.475970925780628E-10</v>
      </c>
      <c r="X91" s="216">
        <f t="shared" si="38"/>
        <v>-98.309221973215145</v>
      </c>
      <c r="Y91" s="215">
        <f t="shared" si="39"/>
        <v>1.2291342617271029E-10</v>
      </c>
      <c r="Z91" s="216">
        <f t="shared" si="40"/>
        <v>-99.104006753377419</v>
      </c>
      <c r="AA91" s="215">
        <f t="shared" si="41"/>
        <v>2.6520316522140834E-10</v>
      </c>
      <c r="AB91" s="216">
        <f t="shared" si="42"/>
        <v>-95.764212968962681</v>
      </c>
    </row>
    <row r="92" spans="1:28" ht="17.25" customHeight="1">
      <c r="A92" s="213">
        <f t="shared" si="31"/>
        <v>27000</v>
      </c>
      <c r="B92" s="55">
        <v>29823</v>
      </c>
      <c r="C92" s="55">
        <v>27744</v>
      </c>
      <c r="D92" s="55">
        <v>11259</v>
      </c>
      <c r="E92" s="213" t="str">
        <f t="shared" si="27"/>
        <v>747F</v>
      </c>
      <c r="F92" s="213" t="str">
        <f t="shared" si="27"/>
        <v>6C60</v>
      </c>
      <c r="G92" s="213" t="str">
        <f t="shared" si="27"/>
        <v>2BFB</v>
      </c>
      <c r="H92" s="210">
        <f t="shared" si="28"/>
        <v>-47.041353383458045</v>
      </c>
      <c r="I92" s="210">
        <f t="shared" si="29"/>
        <v>-38.469924812030513</v>
      </c>
      <c r="J92" s="210">
        <f t="shared" si="30"/>
        <v>12.082706766917909</v>
      </c>
      <c r="K92" s="217">
        <f t="shared" si="32"/>
        <v>-1.7486321841615342E-4</v>
      </c>
      <c r="L92" s="217">
        <f t="shared" si="33"/>
        <v>4.4446217487392281E-4</v>
      </c>
      <c r="M92" s="217">
        <f t="shared" si="34"/>
        <v>9.369013701028368E-4</v>
      </c>
      <c r="N92" s="217">
        <f t="shared" si="35"/>
        <v>-1.527212406155757E-4</v>
      </c>
      <c r="O92" s="217">
        <f t="shared" si="36"/>
        <v>4.7544951789982201E-4</v>
      </c>
      <c r="P92" s="217">
        <f t="shared" si="37"/>
        <v>9.538914342898852E-4</v>
      </c>
      <c r="Q92" s="4" t="s">
        <v>212</v>
      </c>
      <c r="R92" s="4" t="s">
        <v>467</v>
      </c>
      <c r="S92" s="4" t="s">
        <v>722</v>
      </c>
      <c r="U92" s="210">
        <f t="shared" si="43"/>
        <v>80</v>
      </c>
      <c r="V92" s="210">
        <f t="shared" si="44"/>
        <v>1006.2893081761011</v>
      </c>
      <c r="W92" s="215">
        <f t="shared" si="45"/>
        <v>4.0086355966864317E-10</v>
      </c>
      <c r="X92" s="216">
        <f t="shared" si="38"/>
        <v>-93.970034213102807</v>
      </c>
      <c r="Y92" s="215">
        <f t="shared" si="39"/>
        <v>8.5354230940931258E-10</v>
      </c>
      <c r="Z92" s="216">
        <f t="shared" si="40"/>
        <v>-90.687749463857102</v>
      </c>
      <c r="AA92" s="215">
        <f t="shared" si="41"/>
        <v>1.8161504612130522E-10</v>
      </c>
      <c r="AB92" s="216">
        <f t="shared" si="42"/>
        <v>-97.408481746653052</v>
      </c>
    </row>
    <row r="93" spans="1:28" ht="17.25" customHeight="1">
      <c r="A93" s="213">
        <f t="shared" si="31"/>
        <v>27300</v>
      </c>
      <c r="B93" s="55">
        <v>29903</v>
      </c>
      <c r="C93" s="55">
        <v>27803</v>
      </c>
      <c r="D93" s="55">
        <v>11255</v>
      </c>
      <c r="E93" s="213" t="str">
        <f t="shared" si="27"/>
        <v>74CF</v>
      </c>
      <c r="F93" s="213" t="str">
        <f t="shared" si="27"/>
        <v>6C9B</v>
      </c>
      <c r="G93" s="213" t="str">
        <f t="shared" si="27"/>
        <v>2BF7</v>
      </c>
      <c r="H93" s="210">
        <f t="shared" si="28"/>
        <v>32.958646616541955</v>
      </c>
      <c r="I93" s="210">
        <f t="shared" si="29"/>
        <v>20.530075187969487</v>
      </c>
      <c r="J93" s="210">
        <f t="shared" si="30"/>
        <v>8.0827067669179087</v>
      </c>
      <c r="K93" s="217">
        <f t="shared" si="32"/>
        <v>-2.8747224777243033E-4</v>
      </c>
      <c r="L93" s="217">
        <f t="shared" si="33"/>
        <v>3.9537955668602281E-4</v>
      </c>
      <c r="M93" s="217">
        <f t="shared" si="34"/>
        <v>8.4798811734853154E-4</v>
      </c>
      <c r="N93" s="217">
        <f t="shared" si="35"/>
        <v>-2.6533026997185264E-4</v>
      </c>
      <c r="O93" s="217">
        <f t="shared" si="36"/>
        <v>4.2636689971192201E-4</v>
      </c>
      <c r="P93" s="217">
        <f t="shared" si="37"/>
        <v>8.6497818153557994E-4</v>
      </c>
      <c r="Q93" s="4" t="s">
        <v>213</v>
      </c>
      <c r="R93" s="4" t="s">
        <v>468</v>
      </c>
      <c r="S93" s="4" t="s">
        <v>723</v>
      </c>
      <c r="U93" s="210">
        <f t="shared" si="43"/>
        <v>81</v>
      </c>
      <c r="V93" s="210">
        <f t="shared" si="44"/>
        <v>1018.8679245283024</v>
      </c>
      <c r="W93" s="215">
        <f t="shared" si="45"/>
        <v>5.5239952797802801E-11</v>
      </c>
      <c r="X93" s="216">
        <f t="shared" si="38"/>
        <v>-102.5774670119519</v>
      </c>
      <c r="Y93" s="215">
        <f t="shared" si="39"/>
        <v>2.5370935381703682E-10</v>
      </c>
      <c r="Z93" s="216">
        <f t="shared" si="40"/>
        <v>-95.956635208104416</v>
      </c>
      <c r="AA93" s="215">
        <f t="shared" si="41"/>
        <v>3.5053992382234419E-10</v>
      </c>
      <c r="AB93" s="216">
        <f t="shared" si="42"/>
        <v>-94.552625120530124</v>
      </c>
    </row>
    <row r="94" spans="1:28" ht="17.25" customHeight="1">
      <c r="A94" s="213">
        <f t="shared" si="31"/>
        <v>27600</v>
      </c>
      <c r="B94" s="55">
        <v>29850</v>
      </c>
      <c r="C94" s="55">
        <v>27768</v>
      </c>
      <c r="D94" s="55">
        <v>11228</v>
      </c>
      <c r="E94" s="213" t="str">
        <f t="shared" si="27"/>
        <v>749A</v>
      </c>
      <c r="F94" s="213" t="str">
        <f t="shared" si="27"/>
        <v>6C78</v>
      </c>
      <c r="G94" s="213" t="str">
        <f t="shared" si="27"/>
        <v>2BDC</v>
      </c>
      <c r="H94" s="210">
        <f t="shared" si="28"/>
        <v>-20.041353383458045</v>
      </c>
      <c r="I94" s="210">
        <f t="shared" si="29"/>
        <v>-14.469924812030513</v>
      </c>
      <c r="J94" s="210">
        <f t="shared" si="30"/>
        <v>-18.917293233082091</v>
      </c>
      <c r="K94" s="217">
        <f t="shared" si="32"/>
        <v>-4.3051614992770104E-4</v>
      </c>
      <c r="L94" s="217">
        <f t="shared" si="33"/>
        <v>2.0232125848028279E-4</v>
      </c>
      <c r="M94" s="217">
        <f t="shared" si="34"/>
        <v>6.7824463481758516E-4</v>
      </c>
      <c r="N94" s="217">
        <f t="shared" si="35"/>
        <v>-4.083741721271233E-4</v>
      </c>
      <c r="O94" s="217">
        <f t="shared" si="36"/>
        <v>2.3330860150618199E-4</v>
      </c>
      <c r="P94" s="217">
        <f t="shared" si="37"/>
        <v>6.9523469900463356E-4</v>
      </c>
      <c r="Q94" s="4" t="s">
        <v>214</v>
      </c>
      <c r="R94" s="4" t="s">
        <v>469</v>
      </c>
      <c r="S94" s="4" t="s">
        <v>724</v>
      </c>
      <c r="U94" s="210">
        <f t="shared" si="43"/>
        <v>82</v>
      </c>
      <c r="V94" s="210">
        <f t="shared" si="44"/>
        <v>1031.4465408805036</v>
      </c>
      <c r="W94" s="215">
        <f t="shared" si="45"/>
        <v>3.088782165046559E-11</v>
      </c>
      <c r="X94" s="216">
        <f t="shared" si="38"/>
        <v>-105.10212719038833</v>
      </c>
      <c r="Y94" s="215">
        <f t="shared" si="39"/>
        <v>4.5826507919675186E-10</v>
      </c>
      <c r="Z94" s="216">
        <f t="shared" si="40"/>
        <v>-93.388832356855588</v>
      </c>
      <c r="AA94" s="215">
        <f t="shared" si="41"/>
        <v>5.055430137569758E-11</v>
      </c>
      <c r="AB94" s="216">
        <f t="shared" si="42"/>
        <v>-102.96241886873051</v>
      </c>
    </row>
    <row r="95" spans="1:28" ht="17.25" customHeight="1">
      <c r="A95" s="213">
        <f t="shared" si="31"/>
        <v>27900</v>
      </c>
      <c r="B95" s="55">
        <v>29866</v>
      </c>
      <c r="C95" s="55">
        <v>27821</v>
      </c>
      <c r="D95" s="55">
        <v>11256</v>
      </c>
      <c r="E95" s="213" t="str">
        <f t="shared" si="27"/>
        <v>74AA</v>
      </c>
      <c r="F95" s="213" t="str">
        <f t="shared" si="27"/>
        <v>6CAD</v>
      </c>
      <c r="G95" s="213" t="str">
        <f t="shared" si="27"/>
        <v>2BF8</v>
      </c>
      <c r="H95" s="210">
        <f t="shared" si="28"/>
        <v>-4.0413533834580448</v>
      </c>
      <c r="I95" s="210">
        <f t="shared" si="29"/>
        <v>38.530075187969487</v>
      </c>
      <c r="J95" s="210">
        <f t="shared" si="30"/>
        <v>9.0827067669179087</v>
      </c>
      <c r="K95" s="217">
        <f t="shared" si="32"/>
        <v>-4.4573358632719797E-4</v>
      </c>
      <c r="L95" s="217">
        <f t="shared" si="33"/>
        <v>2.415873530306028E-4</v>
      </c>
      <c r="M95" s="217">
        <f t="shared" si="34"/>
        <v>6.5399556588459275E-4</v>
      </c>
      <c r="N95" s="217">
        <f t="shared" si="35"/>
        <v>-4.2359160852662022E-4</v>
      </c>
      <c r="O95" s="217">
        <f t="shared" si="36"/>
        <v>2.7257469605650197E-4</v>
      </c>
      <c r="P95" s="217">
        <f t="shared" si="37"/>
        <v>6.7098563007164116E-4</v>
      </c>
      <c r="Q95" s="4" t="s">
        <v>215</v>
      </c>
      <c r="R95" s="4" t="s">
        <v>470</v>
      </c>
      <c r="S95" s="4" t="s">
        <v>725</v>
      </c>
      <c r="U95" s="210">
        <f t="shared" si="43"/>
        <v>83</v>
      </c>
      <c r="V95" s="210">
        <f t="shared" si="44"/>
        <v>1044.0251572327047</v>
      </c>
      <c r="W95" s="215">
        <f t="shared" si="45"/>
        <v>2.9092448823424005E-11</v>
      </c>
      <c r="X95" s="216">
        <f t="shared" si="38"/>
        <v>-105.3621972097573</v>
      </c>
      <c r="Y95" s="215">
        <f t="shared" si="39"/>
        <v>4.7108783033783699E-11</v>
      </c>
      <c r="Z95" s="216">
        <f t="shared" si="40"/>
        <v>-103.26898114792525</v>
      </c>
      <c r="AA95" s="215">
        <f t="shared" si="41"/>
        <v>4.5034534215314568E-10</v>
      </c>
      <c r="AB95" s="216">
        <f t="shared" si="42"/>
        <v>-93.464543247324755</v>
      </c>
    </row>
    <row r="96" spans="1:28" ht="17.25" customHeight="1">
      <c r="A96" s="213">
        <f t="shared" si="31"/>
        <v>28200</v>
      </c>
      <c r="B96" s="55">
        <v>29884</v>
      </c>
      <c r="C96" s="55">
        <v>27805</v>
      </c>
      <c r="D96" s="55">
        <v>11267</v>
      </c>
      <c r="E96" s="213" t="str">
        <f t="shared" si="27"/>
        <v>74BC</v>
      </c>
      <c r="F96" s="213" t="str">
        <f t="shared" si="27"/>
        <v>6C9D</v>
      </c>
      <c r="G96" s="213" t="str">
        <f t="shared" si="27"/>
        <v>2C03</v>
      </c>
      <c r="H96" s="210">
        <f t="shared" si="28"/>
        <v>13.958646616541955</v>
      </c>
      <c r="I96" s="210">
        <f t="shared" si="29"/>
        <v>22.530075187969487</v>
      </c>
      <c r="J96" s="210">
        <f t="shared" si="30"/>
        <v>20.082706766917909</v>
      </c>
      <c r="K96" s="217">
        <f t="shared" si="32"/>
        <v>-3.3312455697092095E-4</v>
      </c>
      <c r="L96" s="217">
        <f t="shared" si="33"/>
        <v>1.4342211665480283E-4</v>
      </c>
      <c r="M96" s="217">
        <f t="shared" si="34"/>
        <v>7.1057672672824158E-4</v>
      </c>
      <c r="N96" s="217">
        <f t="shared" si="35"/>
        <v>-3.1098257917034321E-4</v>
      </c>
      <c r="O96" s="217">
        <f t="shared" si="36"/>
        <v>1.7440945968070202E-4</v>
      </c>
      <c r="P96" s="217">
        <f t="shared" si="37"/>
        <v>7.2756679091528999E-4</v>
      </c>
      <c r="Q96" s="4" t="s">
        <v>216</v>
      </c>
      <c r="R96" s="4" t="s">
        <v>471</v>
      </c>
      <c r="S96" s="4" t="s">
        <v>726</v>
      </c>
      <c r="U96" s="210">
        <f t="shared" si="43"/>
        <v>84</v>
      </c>
      <c r="V96" s="210">
        <f t="shared" si="44"/>
        <v>1056.6037735849059</v>
      </c>
      <c r="W96" s="215">
        <f t="shared" si="45"/>
        <v>1.3075229103312856E-11</v>
      </c>
      <c r="X96" s="216">
        <f t="shared" si="38"/>
        <v>-108.83550692714391</v>
      </c>
      <c r="Y96" s="215">
        <f t="shared" si="39"/>
        <v>1.5369632542550486E-11</v>
      </c>
      <c r="Z96" s="216">
        <f t="shared" si="40"/>
        <v>-108.13336515496373</v>
      </c>
      <c r="AA96" s="215">
        <f t="shared" si="41"/>
        <v>1.708231209059538E-10</v>
      </c>
      <c r="AB96" s="216">
        <f t="shared" si="42"/>
        <v>-97.674533479192732</v>
      </c>
    </row>
    <row r="97" spans="1:28" ht="17.25" customHeight="1">
      <c r="A97" s="213">
        <f t="shared" si="31"/>
        <v>28500</v>
      </c>
      <c r="B97" s="55">
        <v>29879</v>
      </c>
      <c r="C97" s="55">
        <v>27792</v>
      </c>
      <c r="D97" s="55">
        <v>11249</v>
      </c>
      <c r="E97" s="213" t="str">
        <f t="shared" si="27"/>
        <v>74B7</v>
      </c>
      <c r="F97" s="213" t="str">
        <f t="shared" si="27"/>
        <v>6C90</v>
      </c>
      <c r="G97" s="213" t="str">
        <f t="shared" si="27"/>
        <v>2BF1</v>
      </c>
      <c r="H97" s="210">
        <f t="shared" si="28"/>
        <v>8.9586466165419552</v>
      </c>
      <c r="I97" s="210">
        <f t="shared" si="29"/>
        <v>9.5300751879694872</v>
      </c>
      <c r="J97" s="210">
        <f t="shared" si="30"/>
        <v>2.0827067669179087</v>
      </c>
      <c r="K97" s="217">
        <f t="shared" si="32"/>
        <v>-1.8095019297595217E-4</v>
      </c>
      <c r="L97" s="217">
        <f t="shared" si="33"/>
        <v>3.2666389122296277E-4</v>
      </c>
      <c r="M97" s="217">
        <f t="shared" si="34"/>
        <v>7.9140695650488271E-4</v>
      </c>
      <c r="N97" s="217">
        <f t="shared" si="35"/>
        <v>-1.5880821517537445E-4</v>
      </c>
      <c r="O97" s="217">
        <f t="shared" si="36"/>
        <v>3.5765123424886196E-4</v>
      </c>
      <c r="P97" s="217">
        <f t="shared" si="37"/>
        <v>8.0839702069193111E-4</v>
      </c>
      <c r="Q97" s="4" t="s">
        <v>217</v>
      </c>
      <c r="R97" s="4" t="s">
        <v>472</v>
      </c>
      <c r="S97" s="4" t="s">
        <v>727</v>
      </c>
      <c r="U97" s="210">
        <f t="shared" si="43"/>
        <v>85</v>
      </c>
      <c r="V97" s="210">
        <f t="shared" si="44"/>
        <v>1069.182389937107</v>
      </c>
      <c r="W97" s="215">
        <f t="shared" si="45"/>
        <v>7.5565644197058365E-12</v>
      </c>
      <c r="X97" s="216">
        <f t="shared" si="38"/>
        <v>-111.2167561093959</v>
      </c>
      <c r="Y97" s="215">
        <f t="shared" si="39"/>
        <v>3.6815379221648654E-10</v>
      </c>
      <c r="Z97" s="216">
        <f t="shared" si="40"/>
        <v>-94.339707216568925</v>
      </c>
      <c r="AA97" s="215">
        <f t="shared" si="41"/>
        <v>1.4789344714201339E-10</v>
      </c>
      <c r="AB97" s="216">
        <f t="shared" si="42"/>
        <v>-98.300510682824225</v>
      </c>
    </row>
    <row r="98" spans="1:28" ht="17.25" customHeight="1">
      <c r="A98" s="213">
        <f t="shared" si="31"/>
        <v>28800</v>
      </c>
      <c r="B98" s="55">
        <v>29861</v>
      </c>
      <c r="C98" s="55">
        <v>27796</v>
      </c>
      <c r="D98" s="55">
        <v>11266</v>
      </c>
      <c r="E98" s="213" t="str">
        <f t="shared" si="27"/>
        <v>74A5</v>
      </c>
      <c r="F98" s="213" t="str">
        <f t="shared" si="27"/>
        <v>6C94</v>
      </c>
      <c r="G98" s="213" t="str">
        <f t="shared" si="27"/>
        <v>2C02</v>
      </c>
      <c r="H98" s="210">
        <f t="shared" si="28"/>
        <v>-9.0413533834580448</v>
      </c>
      <c r="I98" s="210">
        <f t="shared" si="29"/>
        <v>13.530075187969487</v>
      </c>
      <c r="J98" s="210">
        <f t="shared" si="30"/>
        <v>19.082706766917909</v>
      </c>
      <c r="K98" s="217">
        <f t="shared" si="32"/>
        <v>-2.6921132409303409E-4</v>
      </c>
      <c r="L98" s="217">
        <f t="shared" si="33"/>
        <v>1.4014994210894281E-4</v>
      </c>
      <c r="M98" s="217">
        <f t="shared" si="34"/>
        <v>6.0549742801860806E-4</v>
      </c>
      <c r="N98" s="217">
        <f t="shared" si="35"/>
        <v>-2.4706934629245634E-4</v>
      </c>
      <c r="O98" s="217">
        <f t="shared" si="36"/>
        <v>1.7113728513484201E-4</v>
      </c>
      <c r="P98" s="217">
        <f t="shared" si="37"/>
        <v>6.2248749220565646E-4</v>
      </c>
      <c r="Q98" s="4" t="s">
        <v>218</v>
      </c>
      <c r="R98" s="4" t="s">
        <v>473</v>
      </c>
      <c r="S98" s="4" t="s">
        <v>728</v>
      </c>
      <c r="U98" s="210">
        <f t="shared" si="43"/>
        <v>86</v>
      </c>
      <c r="V98" s="210">
        <f t="shared" si="44"/>
        <v>1081.7610062893082</v>
      </c>
      <c r="W98" s="215">
        <f t="shared" si="45"/>
        <v>3.225327236147555E-11</v>
      </c>
      <c r="X98" s="216">
        <f t="shared" si="38"/>
        <v>-104.91426216022992</v>
      </c>
      <c r="Y98" s="215">
        <f t="shared" si="39"/>
        <v>2.5567318183277846E-10</v>
      </c>
      <c r="Z98" s="216">
        <f t="shared" si="40"/>
        <v>-95.923148237642692</v>
      </c>
      <c r="AA98" s="215">
        <f t="shared" si="41"/>
        <v>6.7390144409955377E-10</v>
      </c>
      <c r="AB98" s="216">
        <f t="shared" si="42"/>
        <v>-91.714036129801372</v>
      </c>
    </row>
    <row r="99" spans="1:28" ht="17.25" customHeight="1">
      <c r="A99" s="213">
        <f t="shared" si="31"/>
        <v>29100</v>
      </c>
      <c r="B99" s="55">
        <v>29926</v>
      </c>
      <c r="C99" s="55">
        <v>27833</v>
      </c>
      <c r="D99" s="55">
        <v>11286</v>
      </c>
      <c r="E99" s="213" t="str">
        <f t="shared" si="27"/>
        <v>74E6</v>
      </c>
      <c r="F99" s="213" t="str">
        <f t="shared" si="27"/>
        <v>6CB9</v>
      </c>
      <c r="G99" s="213" t="str">
        <f t="shared" si="27"/>
        <v>2C16</v>
      </c>
      <c r="H99" s="210">
        <f t="shared" si="28"/>
        <v>55.958646616541955</v>
      </c>
      <c r="I99" s="210">
        <f t="shared" si="29"/>
        <v>50.530075187969487</v>
      </c>
      <c r="J99" s="210">
        <f t="shared" si="30"/>
        <v>39.082706766917909</v>
      </c>
      <c r="K99" s="217">
        <f t="shared" si="32"/>
        <v>-3.1819316260882732E-5</v>
      </c>
      <c r="L99" s="217">
        <f t="shared" si="33"/>
        <v>2.3177082939302281E-4</v>
      </c>
      <c r="M99" s="217">
        <f t="shared" si="34"/>
        <v>8.6415416330385981E-4</v>
      </c>
      <c r="N99" s="217">
        <f t="shared" si="35"/>
        <v>-9.6773384603050122E-6</v>
      </c>
      <c r="O99" s="217">
        <f t="shared" si="36"/>
        <v>2.62758172418922E-4</v>
      </c>
      <c r="P99" s="217">
        <f t="shared" si="37"/>
        <v>8.8114422749090821E-4</v>
      </c>
      <c r="Q99" s="4" t="s">
        <v>219</v>
      </c>
      <c r="R99" s="4" t="s">
        <v>474</v>
      </c>
      <c r="S99" s="4" t="s">
        <v>729</v>
      </c>
      <c r="U99" s="210">
        <f t="shared" si="43"/>
        <v>87</v>
      </c>
      <c r="V99" s="210">
        <f t="shared" si="44"/>
        <v>1094.3396226415093</v>
      </c>
      <c r="W99" s="215">
        <f t="shared" si="45"/>
        <v>2.6138100998135156E-11</v>
      </c>
      <c r="X99" s="216">
        <f t="shared" si="38"/>
        <v>-105.82725968247041</v>
      </c>
      <c r="Y99" s="215">
        <f t="shared" si="39"/>
        <v>1.0733988442273543E-10</v>
      </c>
      <c r="Z99" s="216">
        <f t="shared" si="40"/>
        <v>-99.692388766714473</v>
      </c>
      <c r="AA99" s="215">
        <f t="shared" si="41"/>
        <v>7.9955193089425706E-11</v>
      </c>
      <c r="AB99" s="216">
        <f t="shared" si="42"/>
        <v>-100.97153323577055</v>
      </c>
    </row>
    <row r="100" spans="1:28" ht="17.25" customHeight="1">
      <c r="A100" s="213">
        <f t="shared" si="31"/>
        <v>29400</v>
      </c>
      <c r="B100" s="55">
        <v>29896</v>
      </c>
      <c r="C100" s="55">
        <v>27781</v>
      </c>
      <c r="D100" s="55">
        <v>11250</v>
      </c>
      <c r="E100" s="213" t="str">
        <f t="shared" si="27"/>
        <v>74C8</v>
      </c>
      <c r="F100" s="213" t="str">
        <f t="shared" si="27"/>
        <v>6C85</v>
      </c>
      <c r="G100" s="213" t="str">
        <f t="shared" si="27"/>
        <v>2BF2</v>
      </c>
      <c r="H100" s="210">
        <f t="shared" si="28"/>
        <v>25.958646616541955</v>
      </c>
      <c r="I100" s="210">
        <f t="shared" si="29"/>
        <v>-1.4699248120305128</v>
      </c>
      <c r="J100" s="210">
        <f t="shared" si="30"/>
        <v>3.0827067669179087</v>
      </c>
      <c r="K100" s="217">
        <f t="shared" si="32"/>
        <v>4.7311353016501056E-5</v>
      </c>
      <c r="L100" s="217">
        <f t="shared" si="33"/>
        <v>3.4302476395226282E-4</v>
      </c>
      <c r="M100" s="217">
        <f t="shared" si="34"/>
        <v>7.8332393352721858E-4</v>
      </c>
      <c r="N100" s="217">
        <f t="shared" si="35"/>
        <v>6.9453330817078782E-5</v>
      </c>
      <c r="O100" s="217">
        <f t="shared" si="36"/>
        <v>3.7401210697816202E-4</v>
      </c>
      <c r="P100" s="217">
        <f t="shared" si="37"/>
        <v>8.0031399771426698E-4</v>
      </c>
      <c r="Q100" s="4" t="s">
        <v>220</v>
      </c>
      <c r="R100" s="4" t="s">
        <v>475</v>
      </c>
      <c r="S100" s="4" t="s">
        <v>730</v>
      </c>
      <c r="U100" s="210">
        <f t="shared" si="43"/>
        <v>88</v>
      </c>
      <c r="V100" s="210">
        <f t="shared" si="44"/>
        <v>1106.9182389937105</v>
      </c>
      <c r="W100" s="215">
        <f t="shared" si="45"/>
        <v>3.9063272567204862E-11</v>
      </c>
      <c r="X100" s="216">
        <f t="shared" si="38"/>
        <v>-104.08231376041934</v>
      </c>
      <c r="Y100" s="215">
        <f t="shared" si="39"/>
        <v>1.4928192068833953E-10</v>
      </c>
      <c r="Z100" s="216">
        <f t="shared" si="40"/>
        <v>-98.259927858498457</v>
      </c>
      <c r="AA100" s="215">
        <f t="shared" si="41"/>
        <v>1.4062050969417763E-10</v>
      </c>
      <c r="AB100" s="216">
        <f t="shared" si="42"/>
        <v>-98.519513322507038</v>
      </c>
    </row>
    <row r="101" spans="1:28" ht="17.25" customHeight="1">
      <c r="A101" s="213">
        <f t="shared" si="31"/>
        <v>29700</v>
      </c>
      <c r="B101" s="55">
        <v>29810</v>
      </c>
      <c r="C101" s="55">
        <v>27772</v>
      </c>
      <c r="D101" s="55">
        <v>11247</v>
      </c>
      <c r="E101" s="213" t="str">
        <f t="shared" si="27"/>
        <v>7472</v>
      </c>
      <c r="F101" s="213" t="str">
        <f t="shared" si="27"/>
        <v>6C7C</v>
      </c>
      <c r="G101" s="213" t="str">
        <f t="shared" si="27"/>
        <v>2BEF</v>
      </c>
      <c r="H101" s="210">
        <f t="shared" si="28"/>
        <v>-60.041353383458045</v>
      </c>
      <c r="I101" s="210">
        <f t="shared" si="29"/>
        <v>-10.469924812030513</v>
      </c>
      <c r="J101" s="210">
        <f t="shared" si="30"/>
        <v>8.2706766917908681E-2</v>
      </c>
      <c r="K101" s="217">
        <f t="shared" si="32"/>
        <v>-1.3834137105736091E-4</v>
      </c>
      <c r="L101" s="217">
        <f t="shared" si="33"/>
        <v>1.4342211665480283E-4</v>
      </c>
      <c r="M101" s="217">
        <f t="shared" si="34"/>
        <v>6.7016161183992091E-4</v>
      </c>
      <c r="N101" s="217">
        <f t="shared" si="35"/>
        <v>-1.1619939325678319E-4</v>
      </c>
      <c r="O101" s="217">
        <f t="shared" si="36"/>
        <v>1.7440945968070202E-4</v>
      </c>
      <c r="P101" s="217">
        <f t="shared" si="37"/>
        <v>6.8715167602696932E-4</v>
      </c>
      <c r="Q101" s="4" t="s">
        <v>221</v>
      </c>
      <c r="R101" s="4" t="s">
        <v>476</v>
      </c>
      <c r="S101" s="4" t="s">
        <v>731</v>
      </c>
      <c r="U101" s="210">
        <f t="shared" si="43"/>
        <v>89</v>
      </c>
      <c r="V101" s="210">
        <f t="shared" si="44"/>
        <v>1119.4968553459116</v>
      </c>
      <c r="W101" s="215">
        <f t="shared" si="45"/>
        <v>1.0494984984451463E-10</v>
      </c>
      <c r="X101" s="216">
        <f t="shared" si="38"/>
        <v>-99.790181784417072</v>
      </c>
      <c r="Y101" s="215">
        <f t="shared" si="39"/>
        <v>1.3325308297977795E-10</v>
      </c>
      <c r="Z101" s="216">
        <f t="shared" si="40"/>
        <v>-98.75322734229222</v>
      </c>
      <c r="AA101" s="215">
        <f t="shared" si="41"/>
        <v>1.9694427041077799E-10</v>
      </c>
      <c r="AB101" s="216">
        <f t="shared" si="42"/>
        <v>-97.056566493568852</v>
      </c>
    </row>
    <row r="102" spans="1:28" ht="17.25" customHeight="1">
      <c r="A102" s="213">
        <f t="shared" si="31"/>
        <v>30000</v>
      </c>
      <c r="B102" s="55">
        <v>29783</v>
      </c>
      <c r="C102" s="55">
        <v>27712</v>
      </c>
      <c r="D102" s="55">
        <v>11217</v>
      </c>
      <c r="E102" s="213" t="str">
        <f t="shared" si="27"/>
        <v>7457</v>
      </c>
      <c r="F102" s="213" t="str">
        <f t="shared" si="27"/>
        <v>6C40</v>
      </c>
      <c r="G102" s="213" t="str">
        <f t="shared" si="27"/>
        <v>2BD1</v>
      </c>
      <c r="H102" s="210">
        <f t="shared" si="28"/>
        <v>-87.041353383458045</v>
      </c>
      <c r="I102" s="210">
        <f t="shared" si="29"/>
        <v>-70.469924812030513</v>
      </c>
      <c r="J102" s="210">
        <f t="shared" si="30"/>
        <v>-29.917293233082091</v>
      </c>
      <c r="K102" s="217">
        <f t="shared" si="32"/>
        <v>-2.7225481137293351E-4</v>
      </c>
      <c r="L102" s="217">
        <f t="shared" si="33"/>
        <v>6.4889927554162812E-5</v>
      </c>
      <c r="M102" s="217">
        <f t="shared" si="34"/>
        <v>5.165841752643028E-4</v>
      </c>
      <c r="N102" s="217">
        <f t="shared" si="35"/>
        <v>-2.5011283357235581E-4</v>
      </c>
      <c r="O102" s="217">
        <f t="shared" si="36"/>
        <v>9.5877270580062009E-5</v>
      </c>
      <c r="P102" s="217">
        <f t="shared" si="37"/>
        <v>5.335742394513512E-4</v>
      </c>
      <c r="Q102" s="4" t="s">
        <v>222</v>
      </c>
      <c r="R102" s="4" t="s">
        <v>477</v>
      </c>
      <c r="S102" s="4" t="s">
        <v>732</v>
      </c>
      <c r="U102" s="210">
        <f t="shared" si="43"/>
        <v>90</v>
      </c>
      <c r="V102" s="210">
        <f t="shared" si="44"/>
        <v>1132.0754716981128</v>
      </c>
      <c r="W102" s="215">
        <f t="shared" si="45"/>
        <v>1.0379481879638907E-10</v>
      </c>
      <c r="X102" s="216">
        <f t="shared" si="38"/>
        <v>-99.83824324949012</v>
      </c>
      <c r="Y102" s="215">
        <f t="shared" si="39"/>
        <v>4.6927650047984973E-10</v>
      </c>
      <c r="Z102" s="216">
        <f t="shared" si="40"/>
        <v>-93.285711930013463</v>
      </c>
      <c r="AA102" s="215">
        <f t="shared" si="41"/>
        <v>3.1945222135309774E-10</v>
      </c>
      <c r="AB102" s="216">
        <f t="shared" si="42"/>
        <v>-94.955940875974591</v>
      </c>
    </row>
    <row r="103" spans="1:28" ht="17.25" customHeight="1">
      <c r="A103" s="213">
        <f t="shared" si="31"/>
        <v>30300</v>
      </c>
      <c r="B103" s="55">
        <v>29854</v>
      </c>
      <c r="C103" s="55">
        <v>27680</v>
      </c>
      <c r="D103" s="55">
        <v>11204</v>
      </c>
      <c r="E103" s="213" t="str">
        <f t="shared" si="27"/>
        <v>749E</v>
      </c>
      <c r="F103" s="213" t="str">
        <f t="shared" si="27"/>
        <v>6C20</v>
      </c>
      <c r="G103" s="213" t="str">
        <f t="shared" si="27"/>
        <v>2BC4</v>
      </c>
      <c r="H103" s="210">
        <f t="shared" si="28"/>
        <v>-16.041353383458045</v>
      </c>
      <c r="I103" s="210">
        <f t="shared" si="29"/>
        <v>-102.46992481203051</v>
      </c>
      <c r="J103" s="210">
        <f t="shared" si="30"/>
        <v>-42.917293233082091</v>
      </c>
      <c r="K103" s="217">
        <f t="shared" si="32"/>
        <v>-1.7790670569605278E-4</v>
      </c>
      <c r="L103" s="217">
        <f t="shared" si="33"/>
        <v>-1.4452924338087718E-4</v>
      </c>
      <c r="M103" s="217">
        <f t="shared" si="34"/>
        <v>7.2017911492776356E-5</v>
      </c>
      <c r="N103" s="217">
        <f t="shared" si="35"/>
        <v>-1.5576472789547506E-4</v>
      </c>
      <c r="O103" s="217">
        <f t="shared" si="36"/>
        <v>-1.1354190035497798E-4</v>
      </c>
      <c r="P103" s="217">
        <f t="shared" si="37"/>
        <v>8.9007975679824717E-5</v>
      </c>
      <c r="Q103" s="4" t="s">
        <v>223</v>
      </c>
      <c r="R103" s="4" t="s">
        <v>478</v>
      </c>
      <c r="S103" s="4" t="s">
        <v>733</v>
      </c>
      <c r="U103" s="210">
        <f t="shared" si="43"/>
        <v>91</v>
      </c>
      <c r="V103" s="210">
        <f t="shared" si="44"/>
        <v>1144.6540880503139</v>
      </c>
      <c r="W103" s="215">
        <f t="shared" si="45"/>
        <v>9.4508889844616769E-12</v>
      </c>
      <c r="X103" s="216">
        <f t="shared" si="38"/>
        <v>-110.24527338275122</v>
      </c>
      <c r="Y103" s="215">
        <f t="shared" si="39"/>
        <v>1.1080772056939393E-11</v>
      </c>
      <c r="Z103" s="216">
        <f t="shared" si="40"/>
        <v>-109.5542997892283</v>
      </c>
      <c r="AA103" s="215">
        <f t="shared" si="41"/>
        <v>2.3495790767779648E-11</v>
      </c>
      <c r="AB103" s="216">
        <f t="shared" si="42"/>
        <v>-106.29009933901129</v>
      </c>
    </row>
    <row r="104" spans="1:28" ht="17.25" customHeight="1">
      <c r="A104" s="213">
        <f t="shared" si="31"/>
        <v>30600</v>
      </c>
      <c r="B104" s="55">
        <v>29864</v>
      </c>
      <c r="C104" s="55">
        <v>27803</v>
      </c>
      <c r="D104" s="55">
        <v>11239</v>
      </c>
      <c r="E104" s="213" t="str">
        <f t="shared" si="27"/>
        <v>74A8</v>
      </c>
      <c r="F104" s="213" t="str">
        <f t="shared" si="27"/>
        <v>6C9B</v>
      </c>
      <c r="G104" s="213" t="str">
        <f t="shared" si="27"/>
        <v>2BE7</v>
      </c>
      <c r="H104" s="210">
        <f t="shared" si="28"/>
        <v>-6.0413533834580448</v>
      </c>
      <c r="I104" s="210">
        <f t="shared" si="29"/>
        <v>20.530075187969487</v>
      </c>
      <c r="J104" s="210">
        <f t="shared" si="30"/>
        <v>-7.9172932330820913</v>
      </c>
      <c r="K104" s="217">
        <f t="shared" si="32"/>
        <v>-2.9660270961212847E-4</v>
      </c>
      <c r="L104" s="217">
        <f t="shared" si="33"/>
        <v>-1.4452924338087718E-4</v>
      </c>
      <c r="M104" s="217">
        <f t="shared" si="34"/>
        <v>-5.7310456149849506E-5</v>
      </c>
      <c r="N104" s="217">
        <f t="shared" si="35"/>
        <v>-2.7446073181155073E-4</v>
      </c>
      <c r="O104" s="217">
        <f t="shared" si="36"/>
        <v>-1.1354190035497798E-4</v>
      </c>
      <c r="P104" s="217">
        <f t="shared" si="37"/>
        <v>-4.0320391962801151E-5</v>
      </c>
      <c r="Q104" s="4" t="s">
        <v>224</v>
      </c>
      <c r="R104" s="4" t="s">
        <v>479</v>
      </c>
      <c r="S104" s="4" t="s">
        <v>734</v>
      </c>
      <c r="U104" s="210">
        <f t="shared" si="43"/>
        <v>92</v>
      </c>
      <c r="V104" s="210">
        <f t="shared" si="44"/>
        <v>1157.2327044025151</v>
      </c>
      <c r="W104" s="215">
        <f t="shared" si="45"/>
        <v>1.5570956559020142E-11</v>
      </c>
      <c r="X104" s="216">
        <f t="shared" si="38"/>
        <v>-108.07684706921704</v>
      </c>
      <c r="Y104" s="215">
        <f t="shared" si="39"/>
        <v>3.8529402300592037E-11</v>
      </c>
      <c r="Z104" s="216">
        <f t="shared" si="40"/>
        <v>-104.14207728063772</v>
      </c>
      <c r="AA104" s="215">
        <f t="shared" si="41"/>
        <v>6.177250469021051E-11</v>
      </c>
      <c r="AB104" s="216">
        <f t="shared" si="42"/>
        <v>-102.09204788963682</v>
      </c>
    </row>
    <row r="105" spans="1:28" ht="17.25" customHeight="1">
      <c r="A105" s="213">
        <f t="shared" si="31"/>
        <v>30900</v>
      </c>
      <c r="B105" s="55">
        <v>29836</v>
      </c>
      <c r="C105" s="55">
        <v>27747</v>
      </c>
      <c r="D105" s="55">
        <v>11233</v>
      </c>
      <c r="E105" s="213" t="str">
        <f t="shared" si="27"/>
        <v>748C</v>
      </c>
      <c r="F105" s="213" t="str">
        <f t="shared" si="27"/>
        <v>6C63</v>
      </c>
      <c r="G105" s="213" t="str">
        <f t="shared" si="27"/>
        <v>2BE1</v>
      </c>
      <c r="H105" s="210">
        <f t="shared" si="28"/>
        <v>-34.041353383458045</v>
      </c>
      <c r="I105" s="210">
        <f t="shared" si="29"/>
        <v>-35.469924812030513</v>
      </c>
      <c r="J105" s="210">
        <f t="shared" si="30"/>
        <v>-13.917293233082091</v>
      </c>
      <c r="K105" s="217">
        <f t="shared" si="32"/>
        <v>-3.3921153153071979E-4</v>
      </c>
      <c r="L105" s="217">
        <f t="shared" si="33"/>
        <v>-2.1324490884393717E-4</v>
      </c>
      <c r="M105" s="217">
        <f t="shared" si="34"/>
        <v>-1.689534126152892E-5</v>
      </c>
      <c r="N105" s="217">
        <f t="shared" si="35"/>
        <v>-3.1706955373014204E-4</v>
      </c>
      <c r="O105" s="217">
        <f t="shared" si="36"/>
        <v>-1.8225756581803797E-4</v>
      </c>
      <c r="P105" s="217">
        <f t="shared" si="37"/>
        <v>9.4722925519434656E-8</v>
      </c>
      <c r="Q105" s="4" t="s">
        <v>225</v>
      </c>
      <c r="R105" s="4" t="s">
        <v>480</v>
      </c>
      <c r="S105" s="4" t="s">
        <v>735</v>
      </c>
      <c r="U105" s="210">
        <f t="shared" si="43"/>
        <v>93</v>
      </c>
      <c r="V105" s="210">
        <f t="shared" si="44"/>
        <v>1169.8113207547162</v>
      </c>
      <c r="W105" s="215">
        <f t="shared" si="45"/>
        <v>6.7519551889384007E-12</v>
      </c>
      <c r="X105" s="216">
        <f t="shared" si="38"/>
        <v>-111.7057044867822</v>
      </c>
      <c r="Y105" s="215">
        <f t="shared" si="39"/>
        <v>2.6242666967309279E-11</v>
      </c>
      <c r="Z105" s="216">
        <f t="shared" si="40"/>
        <v>-105.80992030945423</v>
      </c>
      <c r="AA105" s="215">
        <f t="shared" si="41"/>
        <v>2.3164366972085063E-11</v>
      </c>
      <c r="AB105" s="216">
        <f t="shared" si="42"/>
        <v>-106.35179563550047</v>
      </c>
    </row>
    <row r="106" spans="1:28" ht="17.25" customHeight="1">
      <c r="A106" s="213">
        <f t="shared" si="31"/>
        <v>31200</v>
      </c>
      <c r="B106" s="55">
        <v>29856</v>
      </c>
      <c r="C106" s="55">
        <v>27740</v>
      </c>
      <c r="D106" s="55">
        <v>11255</v>
      </c>
      <c r="E106" s="213" t="str">
        <f t="shared" si="27"/>
        <v>74A0</v>
      </c>
      <c r="F106" s="213" t="str">
        <f t="shared" si="27"/>
        <v>6C5C</v>
      </c>
      <c r="G106" s="213" t="str">
        <f t="shared" si="27"/>
        <v>2BF7</v>
      </c>
      <c r="H106" s="210">
        <f t="shared" si="28"/>
        <v>-14.041353383458045</v>
      </c>
      <c r="I106" s="210">
        <f t="shared" si="29"/>
        <v>-42.469924812030513</v>
      </c>
      <c r="J106" s="210">
        <f t="shared" si="30"/>
        <v>8.0827067669179087</v>
      </c>
      <c r="K106" s="217">
        <f t="shared" si="32"/>
        <v>-3.6964640432971354E-4</v>
      </c>
      <c r="L106" s="217">
        <f t="shared" si="33"/>
        <v>-4.7829104705859714E-4</v>
      </c>
      <c r="M106" s="217">
        <f t="shared" si="34"/>
        <v>-2.4978364239193037E-5</v>
      </c>
      <c r="N106" s="217">
        <f t="shared" si="35"/>
        <v>-3.4750442652913579E-4</v>
      </c>
      <c r="O106" s="217">
        <f t="shared" si="36"/>
        <v>-4.4730370403269794E-4</v>
      </c>
      <c r="P106" s="217">
        <f t="shared" si="37"/>
        <v>-7.9883000521446826E-6</v>
      </c>
      <c r="Q106" s="4" t="s">
        <v>226</v>
      </c>
      <c r="R106" s="4" t="s">
        <v>481</v>
      </c>
      <c r="S106" s="4" t="s">
        <v>736</v>
      </c>
      <c r="U106" s="210">
        <f t="shared" si="43"/>
        <v>94</v>
      </c>
      <c r="V106" s="210">
        <f t="shared" si="44"/>
        <v>1182.3899371069174</v>
      </c>
      <c r="W106" s="215">
        <f t="shared" si="45"/>
        <v>2.7252173793093445E-12</v>
      </c>
      <c r="X106" s="216">
        <f t="shared" si="38"/>
        <v>-115.64598850132582</v>
      </c>
      <c r="Y106" s="215">
        <f t="shared" si="39"/>
        <v>1.880322750419444E-11</v>
      </c>
      <c r="Z106" s="216">
        <f t="shared" si="40"/>
        <v>-107.25767599302389</v>
      </c>
      <c r="AA106" s="215">
        <f t="shared" si="41"/>
        <v>1.9033882941057656E-11</v>
      </c>
      <c r="AB106" s="216">
        <f t="shared" si="42"/>
        <v>-107.20472605940239</v>
      </c>
    </row>
    <row r="107" spans="1:28" ht="17.25" customHeight="1">
      <c r="A107" s="213">
        <f t="shared" si="31"/>
        <v>31500</v>
      </c>
      <c r="B107" s="55">
        <v>29860</v>
      </c>
      <c r="C107" s="55">
        <v>27797</v>
      </c>
      <c r="D107" s="55">
        <v>11262</v>
      </c>
      <c r="E107" s="213" t="str">
        <f t="shared" si="27"/>
        <v>74A4</v>
      </c>
      <c r="F107" s="213" t="str">
        <f t="shared" si="27"/>
        <v>6C95</v>
      </c>
      <c r="G107" s="213" t="str">
        <f t="shared" si="27"/>
        <v>2BFE</v>
      </c>
      <c r="H107" s="210">
        <f t="shared" si="28"/>
        <v>-10.041353383458045</v>
      </c>
      <c r="I107" s="210">
        <f t="shared" si="29"/>
        <v>14.530075187969487</v>
      </c>
      <c r="J107" s="210">
        <f t="shared" si="30"/>
        <v>15.082706766917909</v>
      </c>
      <c r="K107" s="217">
        <f t="shared" si="32"/>
        <v>-4.4269009904729855E-4</v>
      </c>
      <c r="L107" s="217">
        <f t="shared" si="33"/>
        <v>-5.044684434254771E-4</v>
      </c>
      <c r="M107" s="217">
        <f t="shared" si="34"/>
        <v>-6.5393479127513627E-5</v>
      </c>
      <c r="N107" s="217">
        <f t="shared" si="35"/>
        <v>-4.2054812124672086E-4</v>
      </c>
      <c r="O107" s="217">
        <f t="shared" si="36"/>
        <v>-4.7348110039957791E-4</v>
      </c>
      <c r="P107" s="217">
        <f t="shared" si="37"/>
        <v>-4.8403414940465272E-5</v>
      </c>
      <c r="Q107" s="4" t="s">
        <v>227</v>
      </c>
      <c r="R107" s="4" t="s">
        <v>482</v>
      </c>
      <c r="S107" s="4" t="s">
        <v>737</v>
      </c>
      <c r="U107" s="210">
        <f t="shared" si="43"/>
        <v>95</v>
      </c>
      <c r="V107" s="210">
        <f t="shared" si="44"/>
        <v>1194.9685534591185</v>
      </c>
      <c r="W107" s="215">
        <f t="shared" si="45"/>
        <v>2.6894945661191354E-11</v>
      </c>
      <c r="X107" s="216">
        <f t="shared" si="38"/>
        <v>-105.70329328834026</v>
      </c>
      <c r="Y107" s="215">
        <f t="shared" si="39"/>
        <v>4.5187766830834041E-11</v>
      </c>
      <c r="Z107" s="216">
        <f t="shared" si="40"/>
        <v>-103.44979120873057</v>
      </c>
      <c r="AA107" s="215">
        <f t="shared" si="41"/>
        <v>2.9729657037411795E-11</v>
      </c>
      <c r="AB107" s="216">
        <f t="shared" si="42"/>
        <v>-105.26810100805781</v>
      </c>
    </row>
    <row r="108" spans="1:28" ht="17.25" customHeight="1">
      <c r="A108" s="213">
        <f t="shared" si="31"/>
        <v>31800</v>
      </c>
      <c r="B108" s="55">
        <v>29902</v>
      </c>
      <c r="C108" s="55">
        <v>27814</v>
      </c>
      <c r="D108" s="55">
        <v>11273</v>
      </c>
      <c r="E108" s="213" t="str">
        <f t="shared" si="27"/>
        <v>74CE</v>
      </c>
      <c r="F108" s="213" t="str">
        <f t="shared" si="27"/>
        <v>6CA6</v>
      </c>
      <c r="G108" s="213" t="str">
        <f t="shared" si="27"/>
        <v>2C09</v>
      </c>
      <c r="H108" s="210">
        <f t="shared" si="28"/>
        <v>31.958646616541955</v>
      </c>
      <c r="I108" s="210">
        <f t="shared" si="29"/>
        <v>31.530075187969487</v>
      </c>
      <c r="J108" s="210">
        <f t="shared" si="30"/>
        <v>26.082706766917909</v>
      </c>
      <c r="K108" s="217">
        <f t="shared" si="32"/>
        <v>-3.7268989160961291E-4</v>
      </c>
      <c r="L108" s="217">
        <f t="shared" si="33"/>
        <v>-4.3248060341655712E-4</v>
      </c>
      <c r="M108" s="217">
        <f t="shared" si="34"/>
        <v>1.2859907233642517E-4</v>
      </c>
      <c r="N108" s="217">
        <f t="shared" si="35"/>
        <v>-3.5054791380903516E-4</v>
      </c>
      <c r="O108" s="217">
        <f t="shared" si="36"/>
        <v>-4.0149326039065793E-4</v>
      </c>
      <c r="P108" s="217">
        <f t="shared" si="37"/>
        <v>1.4558913652347352E-4</v>
      </c>
      <c r="Q108" s="4" t="s">
        <v>228</v>
      </c>
      <c r="R108" s="4" t="s">
        <v>483</v>
      </c>
      <c r="S108" s="4" t="s">
        <v>738</v>
      </c>
      <c r="U108" s="210">
        <f t="shared" si="43"/>
        <v>96</v>
      </c>
      <c r="V108" s="210">
        <f t="shared" si="44"/>
        <v>1207.5471698113197</v>
      </c>
      <c r="W108" s="215">
        <f t="shared" si="45"/>
        <v>2.3744384736402256E-11</v>
      </c>
      <c r="X108" s="216">
        <f t="shared" si="38"/>
        <v>-106.24439079358328</v>
      </c>
      <c r="Y108" s="215">
        <f t="shared" si="39"/>
        <v>9.8870008996619082E-11</v>
      </c>
      <c r="Z108" s="216">
        <f t="shared" si="40"/>
        <v>-100.04935426325483</v>
      </c>
      <c r="AA108" s="215">
        <f t="shared" si="41"/>
        <v>9.3313954624458969E-11</v>
      </c>
      <c r="AB108" s="216">
        <f t="shared" si="42"/>
        <v>-100.30053404879172</v>
      </c>
    </row>
    <row r="109" spans="1:28" ht="17.25" customHeight="1">
      <c r="A109" s="213">
        <f t="shared" si="31"/>
        <v>32100</v>
      </c>
      <c r="B109" s="55">
        <v>29912</v>
      </c>
      <c r="C109" s="55">
        <v>27818</v>
      </c>
      <c r="D109" s="55">
        <v>11268</v>
      </c>
      <c r="E109" s="213" t="str">
        <f t="shared" si="27"/>
        <v>74D8</v>
      </c>
      <c r="F109" s="213" t="str">
        <f t="shared" si="27"/>
        <v>6CAA</v>
      </c>
      <c r="G109" s="213" t="str">
        <f t="shared" si="27"/>
        <v>2C04</v>
      </c>
      <c r="H109" s="210">
        <f t="shared" si="28"/>
        <v>41.958646616541955</v>
      </c>
      <c r="I109" s="210">
        <f t="shared" si="29"/>
        <v>35.530075187969487</v>
      </c>
      <c r="J109" s="210">
        <f t="shared" si="30"/>
        <v>21.082706766917909</v>
      </c>
      <c r="K109" s="217">
        <f t="shared" si="32"/>
        <v>-2.1747204033474468E-4</v>
      </c>
      <c r="L109" s="217">
        <f t="shared" si="33"/>
        <v>-3.6049276340763714E-4</v>
      </c>
      <c r="M109" s="217">
        <f t="shared" si="34"/>
        <v>1.4476511829175339E-4</v>
      </c>
      <c r="N109" s="217">
        <f t="shared" si="35"/>
        <v>-1.9533006253416696E-4</v>
      </c>
      <c r="O109" s="217">
        <f t="shared" si="36"/>
        <v>-3.2950542038173795E-4</v>
      </c>
      <c r="P109" s="217">
        <f t="shared" si="37"/>
        <v>1.6175518247880173E-4</v>
      </c>
      <c r="Q109" s="4" t="s">
        <v>229</v>
      </c>
      <c r="R109" s="4" t="s">
        <v>484</v>
      </c>
      <c r="S109" s="4" t="s">
        <v>739</v>
      </c>
      <c r="U109" s="210">
        <f t="shared" si="43"/>
        <v>97</v>
      </c>
      <c r="V109" s="210">
        <f t="shared" si="44"/>
        <v>1220.1257861635208</v>
      </c>
      <c r="W109" s="215">
        <f t="shared" si="45"/>
        <v>2.6751798226670787E-11</v>
      </c>
      <c r="X109" s="216">
        <f t="shared" ref="X109:X140" si="46">IF(W109&lt;&gt;0,10*LOG10(W109),-120)</f>
        <v>-105.72647019860618</v>
      </c>
      <c r="Y109" s="215">
        <f t="shared" ref="Y109:Y140" si="47">(IMREAL(R109)^2+IMAGINARY(R109)^2)/$Q$7</f>
        <v>1.0642905496248618E-10</v>
      </c>
      <c r="Z109" s="216">
        <f t="shared" ref="Z109:Z140" si="48">IF(Y109&lt;&gt;0,10*LOG10(Y109),-120)</f>
        <v>-99.729397941526244</v>
      </c>
      <c r="AA109" s="215">
        <f t="shared" ref="AA109:AA140" si="49">(IMREAL(S109)^2+IMAGINARY(S109)^2)/$Q$7</f>
        <v>1.216098319678413E-10</v>
      </c>
      <c r="AB109" s="216">
        <f t="shared" ref="AB109:AB140" si="50">IF(AA109&lt;&gt;0,10*LOG10(AA109),-120)</f>
        <v>-99.15031311603046</v>
      </c>
    </row>
    <row r="110" spans="1:28" ht="17.25" customHeight="1">
      <c r="A110" s="213">
        <f t="shared" si="31"/>
        <v>32400</v>
      </c>
      <c r="B110" s="55">
        <v>29928</v>
      </c>
      <c r="C110" s="55">
        <v>27871</v>
      </c>
      <c r="D110" s="55">
        <v>11275</v>
      </c>
      <c r="E110" s="213" t="str">
        <f t="shared" si="27"/>
        <v>74E8</v>
      </c>
      <c r="F110" s="213" t="str">
        <f t="shared" si="27"/>
        <v>6CDF</v>
      </c>
      <c r="G110" s="213" t="str">
        <f t="shared" si="27"/>
        <v>2C0B</v>
      </c>
      <c r="H110" s="210">
        <f t="shared" si="28"/>
        <v>57.958646616541955</v>
      </c>
      <c r="I110" s="210">
        <f t="shared" si="29"/>
        <v>88.530075187969487</v>
      </c>
      <c r="J110" s="210">
        <f t="shared" si="30"/>
        <v>28.082706766917909</v>
      </c>
      <c r="K110" s="217">
        <f t="shared" si="32"/>
        <v>-2.1138506577494592E-4</v>
      </c>
      <c r="L110" s="217">
        <f t="shared" si="33"/>
        <v>-2.3615013066495717E-4</v>
      </c>
      <c r="M110" s="217">
        <f t="shared" si="34"/>
        <v>5.5851865537448121E-5</v>
      </c>
      <c r="N110" s="217">
        <f t="shared" si="35"/>
        <v>-1.892430879743682E-4</v>
      </c>
      <c r="O110" s="217">
        <f t="shared" si="36"/>
        <v>-2.0516278763905798E-4</v>
      </c>
      <c r="P110" s="217">
        <f t="shared" si="37"/>
        <v>7.2841929724496476E-5</v>
      </c>
      <c r="Q110" s="4" t="s">
        <v>230</v>
      </c>
      <c r="R110" s="4" t="s">
        <v>485</v>
      </c>
      <c r="S110" s="4" t="s">
        <v>740</v>
      </c>
      <c r="U110" s="210">
        <f t="shared" si="43"/>
        <v>98</v>
      </c>
      <c r="V110" s="210">
        <f t="shared" ref="V110:V140" si="51">V109+V$13</f>
        <v>1232.704402515722</v>
      </c>
      <c r="W110" s="215">
        <f t="shared" si="45"/>
        <v>1.1157686509943035E-11</v>
      </c>
      <c r="X110" s="216">
        <f t="shared" si="46"/>
        <v>-109.52425844835889</v>
      </c>
      <c r="Y110" s="215">
        <f t="shared" si="47"/>
        <v>7.0121972776277857E-11</v>
      </c>
      <c r="Z110" s="216">
        <f t="shared" si="48"/>
        <v>-101.54145874184069</v>
      </c>
      <c r="AA110" s="215">
        <f t="shared" si="49"/>
        <v>3.1263619015911348E-11</v>
      </c>
      <c r="AB110" s="216">
        <f t="shared" si="50"/>
        <v>-105.04960750319802</v>
      </c>
    </row>
    <row r="111" spans="1:28" ht="17.25" customHeight="1">
      <c r="A111" s="213">
        <f t="shared" si="31"/>
        <v>32700</v>
      </c>
      <c r="B111" s="55">
        <v>29866</v>
      </c>
      <c r="C111" s="55">
        <v>27798</v>
      </c>
      <c r="D111" s="55">
        <v>11259</v>
      </c>
      <c r="E111" s="213" t="str">
        <f t="shared" si="27"/>
        <v>74AA</v>
      </c>
      <c r="F111" s="213" t="str">
        <f t="shared" si="27"/>
        <v>6C96</v>
      </c>
      <c r="G111" s="213" t="str">
        <f t="shared" si="27"/>
        <v>2BFB</v>
      </c>
      <c r="H111" s="210">
        <f t="shared" si="28"/>
        <v>-4.0413533834580448</v>
      </c>
      <c r="I111" s="210">
        <f t="shared" si="29"/>
        <v>15.530075187969487</v>
      </c>
      <c r="J111" s="210">
        <f t="shared" si="30"/>
        <v>12.082706766917909</v>
      </c>
      <c r="K111" s="217">
        <f t="shared" si="32"/>
        <v>-3.0268968417192726E-4</v>
      </c>
      <c r="L111" s="217">
        <f t="shared" si="33"/>
        <v>-1.8052316338533719E-4</v>
      </c>
      <c r="M111" s="217">
        <f t="shared" si="34"/>
        <v>1.2859907233642517E-4</v>
      </c>
      <c r="N111" s="217">
        <f t="shared" si="35"/>
        <v>-2.8054770637134956E-4</v>
      </c>
      <c r="O111" s="217">
        <f t="shared" si="36"/>
        <v>-1.49535820359438E-4</v>
      </c>
      <c r="P111" s="217">
        <f t="shared" si="37"/>
        <v>1.4558913652347352E-4</v>
      </c>
      <c r="Q111" s="4" t="s">
        <v>231</v>
      </c>
      <c r="R111" s="4" t="s">
        <v>486</v>
      </c>
      <c r="S111" s="4" t="s">
        <v>741</v>
      </c>
      <c r="U111" s="210">
        <f t="shared" si="43"/>
        <v>99</v>
      </c>
      <c r="V111" s="210">
        <f t="shared" si="51"/>
        <v>1245.2830188679231</v>
      </c>
      <c r="W111" s="215">
        <f t="shared" si="45"/>
        <v>4.3710787580923403E-12</v>
      </c>
      <c r="X111" s="216">
        <f t="shared" si="46"/>
        <v>-113.59411368322344</v>
      </c>
      <c r="Y111" s="215">
        <f t="shared" si="47"/>
        <v>1.2691497473249195E-10</v>
      </c>
      <c r="Z111" s="216">
        <f t="shared" si="48"/>
        <v>-98.964871323575991</v>
      </c>
      <c r="AA111" s="215">
        <f t="shared" si="49"/>
        <v>9.889591247173461E-11</v>
      </c>
      <c r="AB111" s="216">
        <f t="shared" si="50"/>
        <v>-100.04821658126335</v>
      </c>
    </row>
    <row r="112" spans="1:28" ht="17.25" customHeight="1">
      <c r="A112" s="213">
        <f t="shared" si="31"/>
        <v>33000</v>
      </c>
      <c r="B112" s="55">
        <v>29858</v>
      </c>
      <c r="C112" s="55">
        <v>27795</v>
      </c>
      <c r="D112" s="55">
        <v>11229</v>
      </c>
      <c r="E112" s="213" t="str">
        <f t="shared" si="27"/>
        <v>74A2</v>
      </c>
      <c r="F112" s="213" t="str">
        <f t="shared" si="27"/>
        <v>6C93</v>
      </c>
      <c r="G112" s="213" t="str">
        <f t="shared" si="27"/>
        <v>2BDD</v>
      </c>
      <c r="H112" s="210">
        <f t="shared" si="28"/>
        <v>-12.041353383458045</v>
      </c>
      <c r="I112" s="210">
        <f t="shared" si="29"/>
        <v>12.530075187969487</v>
      </c>
      <c r="J112" s="210">
        <f t="shared" si="30"/>
        <v>-17.917293233082091</v>
      </c>
      <c r="K112" s="217">
        <f t="shared" si="32"/>
        <v>-1.5660229473675718E-4</v>
      </c>
      <c r="L112" s="217">
        <f t="shared" si="33"/>
        <v>-1.0526314883055717E-4</v>
      </c>
      <c r="M112" s="217">
        <f t="shared" si="34"/>
        <v>-1.689534126152892E-5</v>
      </c>
      <c r="N112" s="217">
        <f t="shared" si="35"/>
        <v>-1.3446031693617946E-4</v>
      </c>
      <c r="O112" s="217">
        <f t="shared" si="36"/>
        <v>-7.4275805804657974E-5</v>
      </c>
      <c r="P112" s="217">
        <f t="shared" si="37"/>
        <v>9.4722925519434656E-8</v>
      </c>
      <c r="Q112" s="4" t="s">
        <v>232</v>
      </c>
      <c r="R112" s="4" t="s">
        <v>487</v>
      </c>
      <c r="S112" s="4" t="s">
        <v>742</v>
      </c>
      <c r="U112" s="210">
        <f t="shared" si="43"/>
        <v>100</v>
      </c>
      <c r="V112" s="210">
        <f t="shared" si="51"/>
        <v>1257.8616352201243</v>
      </c>
      <c r="W112" s="215">
        <f t="shared" si="45"/>
        <v>1.8578242530981613E-10</v>
      </c>
      <c r="X112" s="216">
        <f t="shared" si="46"/>
        <v>-97.30995371892277</v>
      </c>
      <c r="Y112" s="215">
        <f t="shared" si="47"/>
        <v>1.7337610816328409E-10</v>
      </c>
      <c r="Z112" s="216">
        <f t="shared" si="48"/>
        <v>-97.610107500417371</v>
      </c>
      <c r="AA112" s="215">
        <f t="shared" si="49"/>
        <v>4.4820764175955997E-10</v>
      </c>
      <c r="AB112" s="216">
        <f t="shared" si="50"/>
        <v>-93.485207431920401</v>
      </c>
    </row>
    <row r="113" spans="1:28" ht="17.25" customHeight="1">
      <c r="A113" s="213">
        <f t="shared" si="31"/>
        <v>33300</v>
      </c>
      <c r="B113" s="55">
        <v>29923</v>
      </c>
      <c r="C113" s="55">
        <v>27831</v>
      </c>
      <c r="D113" s="55">
        <v>11253</v>
      </c>
      <c r="E113" s="213" t="str">
        <f t="shared" si="27"/>
        <v>74E3</v>
      </c>
      <c r="F113" s="213" t="str">
        <f t="shared" si="27"/>
        <v>6CB7</v>
      </c>
      <c r="G113" s="213" t="str">
        <f t="shared" si="27"/>
        <v>2BF5</v>
      </c>
      <c r="H113" s="210">
        <f t="shared" si="28"/>
        <v>52.958646616541955</v>
      </c>
      <c r="I113" s="210">
        <f t="shared" si="29"/>
        <v>48.530075187969487</v>
      </c>
      <c r="J113" s="210">
        <f t="shared" si="30"/>
        <v>6.0827067669179087</v>
      </c>
      <c r="K113" s="217">
        <f t="shared" si="32"/>
        <v>2.6948592444915554E-4</v>
      </c>
      <c r="L113" s="217">
        <f t="shared" si="33"/>
        <v>2.841256221267828E-4</v>
      </c>
      <c r="M113" s="217">
        <f t="shared" si="34"/>
        <v>2.7409348593437926E-4</v>
      </c>
      <c r="N113" s="217">
        <f t="shared" si="35"/>
        <v>2.9162790224973329E-4</v>
      </c>
      <c r="O113" s="217">
        <f t="shared" si="36"/>
        <v>3.1511296515268199E-4</v>
      </c>
      <c r="P113" s="217">
        <f t="shared" si="37"/>
        <v>2.9108355012142761E-4</v>
      </c>
      <c r="Q113" s="4" t="s">
        <v>233</v>
      </c>
      <c r="R113" s="4" t="s">
        <v>488</v>
      </c>
      <c r="S113" s="4" t="s">
        <v>743</v>
      </c>
      <c r="U113" s="210">
        <f t="shared" si="43"/>
        <v>101</v>
      </c>
      <c r="V113" s="210">
        <f t="shared" si="51"/>
        <v>1270.4402515723255</v>
      </c>
      <c r="W113" s="215">
        <f t="shared" si="45"/>
        <v>2.2517377878214339E-11</v>
      </c>
      <c r="X113" s="216">
        <f t="shared" si="46"/>
        <v>-106.47482183950541</v>
      </c>
      <c r="Y113" s="215">
        <f t="shared" si="47"/>
        <v>4.5026710212894146E-10</v>
      </c>
      <c r="Z113" s="216">
        <f t="shared" si="48"/>
        <v>-93.465297827412499</v>
      </c>
      <c r="AA113" s="215">
        <f t="shared" si="49"/>
        <v>1.5309843997403588E-10</v>
      </c>
      <c r="AB113" s="216">
        <f t="shared" si="50"/>
        <v>-98.150292346062429</v>
      </c>
    </row>
    <row r="114" spans="1:28" ht="17.25" customHeight="1">
      <c r="A114" s="213">
        <f t="shared" si="31"/>
        <v>33600</v>
      </c>
      <c r="B114" s="55">
        <v>29824</v>
      </c>
      <c r="C114" s="55">
        <v>27761</v>
      </c>
      <c r="D114" s="55">
        <v>11218</v>
      </c>
      <c r="E114" s="213" t="str">
        <f t="shared" si="27"/>
        <v>7480</v>
      </c>
      <c r="F114" s="213" t="str">
        <f t="shared" si="27"/>
        <v>6C71</v>
      </c>
      <c r="G114" s="213" t="str">
        <f t="shared" si="27"/>
        <v>2BD2</v>
      </c>
      <c r="H114" s="210">
        <f t="shared" si="28"/>
        <v>-46.041353383458045</v>
      </c>
      <c r="I114" s="210">
        <f t="shared" si="29"/>
        <v>-21.469924812030513</v>
      </c>
      <c r="J114" s="210">
        <f t="shared" si="30"/>
        <v>-28.917293233082091</v>
      </c>
      <c r="K114" s="217">
        <f t="shared" si="32"/>
        <v>1.7818130605217424E-4</v>
      </c>
      <c r="L114" s="217">
        <f t="shared" si="33"/>
        <v>5.4917176034144279E-4</v>
      </c>
      <c r="M114" s="217">
        <f t="shared" si="34"/>
        <v>3.8725580762167687E-4</v>
      </c>
      <c r="N114" s="217">
        <f t="shared" si="35"/>
        <v>2.0032328385275196E-4</v>
      </c>
      <c r="O114" s="217">
        <f t="shared" si="36"/>
        <v>5.8015910336734204E-4</v>
      </c>
      <c r="P114" s="217">
        <f t="shared" si="37"/>
        <v>4.0424587180872522E-4</v>
      </c>
      <c r="Q114" s="4" t="s">
        <v>234</v>
      </c>
      <c r="R114" s="4" t="s">
        <v>489</v>
      </c>
      <c r="S114" s="4" t="s">
        <v>744</v>
      </c>
      <c r="U114" s="210">
        <f t="shared" si="43"/>
        <v>102</v>
      </c>
      <c r="V114" s="210">
        <f t="shared" si="51"/>
        <v>1283.0188679245266</v>
      </c>
      <c r="W114" s="215">
        <f t="shared" si="45"/>
        <v>5.5125870498367307E-12</v>
      </c>
      <c r="X114" s="216">
        <f t="shared" si="46"/>
        <v>-112.58644539480522</v>
      </c>
      <c r="Y114" s="215">
        <f t="shared" si="47"/>
        <v>2.0008590302915955E-11</v>
      </c>
      <c r="Z114" s="216">
        <f t="shared" si="48"/>
        <v>-106.98783508326869</v>
      </c>
      <c r="AA114" s="215">
        <f t="shared" si="49"/>
        <v>3.7583654088135187E-11</v>
      </c>
      <c r="AB114" s="216">
        <f t="shared" si="50"/>
        <v>-104.25000997701034</v>
      </c>
    </row>
    <row r="115" spans="1:28" ht="17.25" customHeight="1">
      <c r="A115" s="213">
        <f t="shared" si="31"/>
        <v>33900</v>
      </c>
      <c r="B115" s="55">
        <v>29835</v>
      </c>
      <c r="C115" s="55">
        <v>27704</v>
      </c>
      <c r="D115" s="55">
        <v>11222</v>
      </c>
      <c r="E115" s="213" t="str">
        <f t="shared" si="27"/>
        <v>748B</v>
      </c>
      <c r="F115" s="213" t="str">
        <f t="shared" si="27"/>
        <v>6C38</v>
      </c>
      <c r="G115" s="213" t="str">
        <f t="shared" si="27"/>
        <v>2BD6</v>
      </c>
      <c r="H115" s="210">
        <f t="shared" si="28"/>
        <v>-35.041353383458045</v>
      </c>
      <c r="I115" s="210">
        <f t="shared" si="29"/>
        <v>-78.469924812030513</v>
      </c>
      <c r="J115" s="210">
        <f t="shared" si="30"/>
        <v>-24.917293233082091</v>
      </c>
      <c r="K115" s="217">
        <f t="shared" si="32"/>
        <v>8.9920174935092311E-5</v>
      </c>
      <c r="L115" s="217">
        <f t="shared" si="33"/>
        <v>2.2522648030130283E-4</v>
      </c>
      <c r="M115" s="217">
        <f t="shared" si="34"/>
        <v>2.4984441700138691E-4</v>
      </c>
      <c r="N115" s="217">
        <f t="shared" si="35"/>
        <v>1.1206215273567003E-4</v>
      </c>
      <c r="O115" s="217">
        <f t="shared" si="36"/>
        <v>2.5621382332720202E-4</v>
      </c>
      <c r="P115" s="217">
        <f t="shared" si="37"/>
        <v>2.6683448118843526E-4</v>
      </c>
      <c r="Q115" s="4" t="s">
        <v>235</v>
      </c>
      <c r="R115" s="4" t="s">
        <v>490</v>
      </c>
      <c r="S115" s="4" t="s">
        <v>745</v>
      </c>
      <c r="U115" s="210">
        <f t="shared" si="43"/>
        <v>103</v>
      </c>
      <c r="V115" s="210">
        <f t="shared" si="51"/>
        <v>1295.5974842767278</v>
      </c>
      <c r="W115" s="215">
        <f t="shared" si="45"/>
        <v>1.2873579201879346E-12</v>
      </c>
      <c r="X115" s="216">
        <f t="shared" si="46"/>
        <v>-118.90300690739792</v>
      </c>
      <c r="Y115" s="215">
        <f t="shared" si="47"/>
        <v>2.2199092547102798E-10</v>
      </c>
      <c r="Z115" s="216">
        <f t="shared" si="48"/>
        <v>-96.53664778244891</v>
      </c>
      <c r="AA115" s="215">
        <f t="shared" si="49"/>
        <v>1.1598708018211995E-10</v>
      </c>
      <c r="AB115" s="216">
        <f t="shared" si="50"/>
        <v>-99.35590384205031</v>
      </c>
    </row>
    <row r="116" spans="1:28" ht="17.25" customHeight="1">
      <c r="A116" s="213">
        <f t="shared" si="31"/>
        <v>34200</v>
      </c>
      <c r="B116" s="55">
        <v>29904</v>
      </c>
      <c r="C116" s="55">
        <v>27724</v>
      </c>
      <c r="D116" s="55">
        <v>11250</v>
      </c>
      <c r="E116" s="213" t="str">
        <f t="shared" si="27"/>
        <v>74D0</v>
      </c>
      <c r="F116" s="213" t="str">
        <f t="shared" si="27"/>
        <v>6C4C</v>
      </c>
      <c r="G116" s="213" t="str">
        <f t="shared" si="27"/>
        <v>2BF2</v>
      </c>
      <c r="H116" s="210">
        <f t="shared" si="28"/>
        <v>33.958646616541955</v>
      </c>
      <c r="I116" s="210">
        <f t="shared" si="29"/>
        <v>-58.469924812030513</v>
      </c>
      <c r="J116" s="210">
        <f t="shared" si="30"/>
        <v>3.0827067669179087</v>
      </c>
      <c r="K116" s="217">
        <f t="shared" si="32"/>
        <v>2.9687730996824988E-4</v>
      </c>
      <c r="L116" s="217">
        <f t="shared" si="33"/>
        <v>1.4996646574652283E-4</v>
      </c>
      <c r="M116" s="217">
        <f t="shared" si="34"/>
        <v>3.8725580762167687E-4</v>
      </c>
      <c r="N116" s="217">
        <f t="shared" si="35"/>
        <v>3.1901928776882757E-4</v>
      </c>
      <c r="O116" s="217">
        <f t="shared" si="36"/>
        <v>1.8095380877242203E-4</v>
      </c>
      <c r="P116" s="217">
        <f t="shared" si="37"/>
        <v>4.0424587180872522E-4</v>
      </c>
      <c r="Q116" s="4" t="s">
        <v>236</v>
      </c>
      <c r="R116" s="4" t="s">
        <v>491</v>
      </c>
      <c r="S116" s="4" t="s">
        <v>746</v>
      </c>
      <c r="U116" s="210">
        <f t="shared" si="43"/>
        <v>104</v>
      </c>
      <c r="V116" s="210">
        <f t="shared" si="51"/>
        <v>1308.1761006289289</v>
      </c>
      <c r="W116" s="215">
        <f t="shared" si="45"/>
        <v>9.9259552033597635E-11</v>
      </c>
      <c r="X116" s="216">
        <f t="shared" si="46"/>
        <v>-100.03227689140465</v>
      </c>
      <c r="Y116" s="215">
        <f t="shared" si="47"/>
        <v>5.5885506250876465E-10</v>
      </c>
      <c r="Z116" s="216">
        <f t="shared" si="48"/>
        <v>-92.527008105649813</v>
      </c>
      <c r="AA116" s="215">
        <f t="shared" si="49"/>
        <v>5.1915919297182389E-10</v>
      </c>
      <c r="AB116" s="216">
        <f t="shared" si="50"/>
        <v>-92.846994513456792</v>
      </c>
    </row>
    <row r="117" spans="1:28" ht="17.25" customHeight="1">
      <c r="A117" s="213">
        <f t="shared" si="31"/>
        <v>34500</v>
      </c>
      <c r="B117" s="55">
        <v>29824</v>
      </c>
      <c r="C117" s="55">
        <v>27776</v>
      </c>
      <c r="D117" s="55">
        <v>11227</v>
      </c>
      <c r="E117" s="213" t="str">
        <f t="shared" si="27"/>
        <v>7480</v>
      </c>
      <c r="F117" s="213" t="str">
        <f t="shared" si="27"/>
        <v>6C80</v>
      </c>
      <c r="G117" s="213" t="str">
        <f t="shared" si="27"/>
        <v>2BDB</v>
      </c>
      <c r="H117" s="210">
        <f t="shared" si="28"/>
        <v>-46.041353383458045</v>
      </c>
      <c r="I117" s="210">
        <f t="shared" si="29"/>
        <v>-6.4699248120305128</v>
      </c>
      <c r="J117" s="210">
        <f t="shared" si="30"/>
        <v>-19.917293233082091</v>
      </c>
      <c r="K117" s="217">
        <f t="shared" si="32"/>
        <v>1.9948571701146987E-4</v>
      </c>
      <c r="L117" s="217">
        <f t="shared" si="33"/>
        <v>2.677647493974828E-4</v>
      </c>
      <c r="M117" s="217">
        <f t="shared" si="34"/>
        <v>1.6093116424708163E-4</v>
      </c>
      <c r="N117" s="217">
        <f t="shared" si="35"/>
        <v>2.2162769481204759E-4</v>
      </c>
      <c r="O117" s="217">
        <f t="shared" si="36"/>
        <v>2.9875209242338199E-4</v>
      </c>
      <c r="P117" s="217">
        <f t="shared" si="37"/>
        <v>1.7792122843412998E-4</v>
      </c>
      <c r="Q117" s="4" t="s">
        <v>237</v>
      </c>
      <c r="R117" s="4" t="s">
        <v>492</v>
      </c>
      <c r="S117" s="4" t="s">
        <v>747</v>
      </c>
      <c r="U117" s="210">
        <f t="shared" si="43"/>
        <v>105</v>
      </c>
      <c r="V117" s="210">
        <f t="shared" si="51"/>
        <v>1320.7547169811301</v>
      </c>
      <c r="W117" s="215">
        <f t="shared" si="45"/>
        <v>5.7126904854352976E-11</v>
      </c>
      <c r="X117" s="216">
        <f t="shared" si="46"/>
        <v>-102.43159305452652</v>
      </c>
      <c r="Y117" s="215">
        <f t="shared" si="47"/>
        <v>2.673034412108667E-10</v>
      </c>
      <c r="Z117" s="216">
        <f t="shared" si="48"/>
        <v>-95.729954501874559</v>
      </c>
      <c r="AA117" s="215">
        <f t="shared" si="49"/>
        <v>6.9581699775986067E-11</v>
      </c>
      <c r="AB117" s="216">
        <f t="shared" si="50"/>
        <v>-101.57504966299632</v>
      </c>
    </row>
    <row r="118" spans="1:28" ht="17.25" customHeight="1">
      <c r="A118" s="213">
        <f t="shared" si="31"/>
        <v>34800</v>
      </c>
      <c r="B118" s="55">
        <v>29829</v>
      </c>
      <c r="C118" s="55">
        <v>27778</v>
      </c>
      <c r="D118" s="55">
        <v>11252</v>
      </c>
      <c r="E118" s="213" t="str">
        <f t="shared" si="27"/>
        <v>7485</v>
      </c>
      <c r="F118" s="213" t="str">
        <f t="shared" si="27"/>
        <v>6C82</v>
      </c>
      <c r="G118" s="213" t="str">
        <f t="shared" si="27"/>
        <v>2BF4</v>
      </c>
      <c r="H118" s="210">
        <f t="shared" si="28"/>
        <v>-41.041353383458045</v>
      </c>
      <c r="I118" s="210">
        <f t="shared" si="29"/>
        <v>-4.4699248120305128</v>
      </c>
      <c r="J118" s="210">
        <f t="shared" si="30"/>
        <v>5.0827067669179087</v>
      </c>
      <c r="K118" s="217">
        <f t="shared" si="32"/>
        <v>1.051376113345892E-4</v>
      </c>
      <c r="L118" s="217">
        <f t="shared" si="33"/>
        <v>2.0559343302614281E-4</v>
      </c>
      <c r="M118" s="217">
        <f t="shared" si="34"/>
        <v>8.0100934470440476E-5</v>
      </c>
      <c r="N118" s="217">
        <f t="shared" si="35"/>
        <v>1.2727958913516692E-4</v>
      </c>
      <c r="O118" s="217">
        <f t="shared" si="36"/>
        <v>2.3658077605204201E-4</v>
      </c>
      <c r="P118" s="217">
        <f t="shared" si="37"/>
        <v>9.7090998657488824E-5</v>
      </c>
      <c r="Q118" s="4" t="s">
        <v>238</v>
      </c>
      <c r="R118" s="4" t="s">
        <v>493</v>
      </c>
      <c r="S118" s="4" t="s">
        <v>748</v>
      </c>
      <c r="U118" s="210">
        <f t="shared" si="43"/>
        <v>106</v>
      </c>
      <c r="V118" s="210">
        <f t="shared" si="51"/>
        <v>1333.3333333333312</v>
      </c>
      <c r="W118" s="215">
        <f t="shared" si="45"/>
        <v>1.1460969276777061E-10</v>
      </c>
      <c r="X118" s="216">
        <f t="shared" si="46"/>
        <v>-99.407786516744864</v>
      </c>
      <c r="Y118" s="215">
        <f t="shared" si="47"/>
        <v>2.0161145390303555E-10</v>
      </c>
      <c r="Z118" s="216">
        <f t="shared" si="48"/>
        <v>-96.954847984885134</v>
      </c>
      <c r="AA118" s="215">
        <f t="shared" si="49"/>
        <v>1.2587848924142327E-10</v>
      </c>
      <c r="AB118" s="216">
        <f t="shared" si="50"/>
        <v>-99.00048478008982</v>
      </c>
    </row>
    <row r="119" spans="1:28" ht="17.25" customHeight="1">
      <c r="A119" s="213">
        <f t="shared" si="31"/>
        <v>35100</v>
      </c>
      <c r="B119" s="55">
        <v>29893</v>
      </c>
      <c r="C119" s="55">
        <v>27744</v>
      </c>
      <c r="D119" s="55">
        <v>11257</v>
      </c>
      <c r="E119" s="213" t="str">
        <f t="shared" si="27"/>
        <v>74C5</v>
      </c>
      <c r="F119" s="213" t="str">
        <f t="shared" si="27"/>
        <v>6C60</v>
      </c>
      <c r="G119" s="213" t="str">
        <f t="shared" si="27"/>
        <v>2BF9</v>
      </c>
      <c r="H119" s="210">
        <f t="shared" si="28"/>
        <v>22.958646616541955</v>
      </c>
      <c r="I119" s="210">
        <f t="shared" si="29"/>
        <v>-38.469924812030513</v>
      </c>
      <c r="J119" s="210">
        <f t="shared" si="30"/>
        <v>10.082706766917909</v>
      </c>
      <c r="K119" s="217">
        <f t="shared" si="32"/>
        <v>7.7746225815494827E-5</v>
      </c>
      <c r="L119" s="217">
        <f t="shared" si="33"/>
        <v>-2.3458785184057178E-5</v>
      </c>
      <c r="M119" s="217">
        <f t="shared" si="34"/>
        <v>-4.9227433172185385E-5</v>
      </c>
      <c r="N119" s="217">
        <f t="shared" si="35"/>
        <v>9.9888203616072546E-5</v>
      </c>
      <c r="O119" s="217">
        <f t="shared" si="36"/>
        <v>7.5285578418420177E-6</v>
      </c>
      <c r="P119" s="217">
        <f t="shared" si="37"/>
        <v>-3.2237368985137031E-5</v>
      </c>
      <c r="Q119" s="4" t="s">
        <v>239</v>
      </c>
      <c r="R119" s="4" t="s">
        <v>494</v>
      </c>
      <c r="S119" s="4" t="s">
        <v>749</v>
      </c>
      <c r="U119" s="210">
        <f t="shared" si="43"/>
        <v>107</v>
      </c>
      <c r="V119" s="210">
        <f t="shared" si="51"/>
        <v>1345.9119496855324</v>
      </c>
      <c r="W119" s="215">
        <f t="shared" si="45"/>
        <v>2.3269613149775212E-11</v>
      </c>
      <c r="X119" s="216">
        <f t="shared" si="46"/>
        <v>-106.3321083666662</v>
      </c>
      <c r="Y119" s="215">
        <f t="shared" si="47"/>
        <v>2.1750207507075784E-10</v>
      </c>
      <c r="Z119" s="216">
        <f t="shared" si="48"/>
        <v>-96.625365953186275</v>
      </c>
      <c r="AA119" s="215">
        <f t="shared" si="49"/>
        <v>4.1561679872750368E-10</v>
      </c>
      <c r="AB119" s="216">
        <f t="shared" si="50"/>
        <v>-93.813069071032714</v>
      </c>
    </row>
    <row r="120" spans="1:28" ht="17.25" customHeight="1">
      <c r="A120" s="213">
        <f t="shared" si="31"/>
        <v>35400</v>
      </c>
      <c r="B120" s="55">
        <v>29870</v>
      </c>
      <c r="C120" s="55">
        <v>27755</v>
      </c>
      <c r="D120" s="55">
        <v>11216</v>
      </c>
      <c r="E120" s="213" t="str">
        <f t="shared" si="27"/>
        <v>74AE</v>
      </c>
      <c r="F120" s="213" t="str">
        <f t="shared" si="27"/>
        <v>6C6B</v>
      </c>
      <c r="G120" s="213" t="str">
        <f t="shared" si="27"/>
        <v>2BD0</v>
      </c>
      <c r="H120" s="210">
        <f t="shared" si="28"/>
        <v>-4.1353383458044846E-2</v>
      </c>
      <c r="I120" s="210">
        <f t="shared" si="29"/>
        <v>-27.469924812030513</v>
      </c>
      <c r="J120" s="210">
        <f t="shared" si="30"/>
        <v>-30.917293233082091</v>
      </c>
      <c r="K120" s="217">
        <f t="shared" si="32"/>
        <v>-5.0080239940278991E-5</v>
      </c>
      <c r="L120" s="217">
        <f t="shared" si="33"/>
        <v>-2.2960578157323717E-4</v>
      </c>
      <c r="M120" s="217">
        <f t="shared" si="34"/>
        <v>-4.695446280107194E-4</v>
      </c>
      <c r="N120" s="217">
        <f t="shared" si="35"/>
        <v>-2.7938262139701272E-5</v>
      </c>
      <c r="O120" s="217">
        <f t="shared" si="36"/>
        <v>-1.9861843854733797E-4</v>
      </c>
      <c r="P120" s="217">
        <f t="shared" si="37"/>
        <v>-4.5255456382367105E-4</v>
      </c>
      <c r="Q120" s="4" t="s">
        <v>240</v>
      </c>
      <c r="R120" s="4" t="s">
        <v>495</v>
      </c>
      <c r="S120" s="4" t="s">
        <v>750</v>
      </c>
      <c r="U120" s="210">
        <f t="shared" si="43"/>
        <v>108</v>
      </c>
      <c r="V120" s="210">
        <f t="shared" si="51"/>
        <v>1358.4905660377335</v>
      </c>
      <c r="W120" s="215">
        <f t="shared" si="45"/>
        <v>1.1110105450927847E-10</v>
      </c>
      <c r="X120" s="216">
        <f t="shared" si="46"/>
        <v>-99.542818189584352</v>
      </c>
      <c r="Y120" s="215">
        <f t="shared" si="47"/>
        <v>2.6699303852937624E-10</v>
      </c>
      <c r="Z120" s="216">
        <f t="shared" si="48"/>
        <v>-95.735000621099275</v>
      </c>
      <c r="AA120" s="215">
        <f t="shared" si="49"/>
        <v>2.9416744205047108E-11</v>
      </c>
      <c r="AB120" s="216">
        <f t="shared" si="50"/>
        <v>-105.31405395919415</v>
      </c>
    </row>
    <row r="121" spans="1:28" ht="17.25" customHeight="1">
      <c r="A121" s="213">
        <f t="shared" si="31"/>
        <v>35700</v>
      </c>
      <c r="B121" s="55">
        <v>29880</v>
      </c>
      <c r="C121" s="55">
        <v>27862</v>
      </c>
      <c r="D121" s="55">
        <v>11258</v>
      </c>
      <c r="E121" s="213" t="str">
        <f t="shared" si="27"/>
        <v>74B8</v>
      </c>
      <c r="F121" s="213" t="str">
        <f t="shared" si="27"/>
        <v>6CD6</v>
      </c>
      <c r="G121" s="213" t="str">
        <f t="shared" si="27"/>
        <v>2BFA</v>
      </c>
      <c r="H121" s="210">
        <f t="shared" si="28"/>
        <v>9.9586466165419552</v>
      </c>
      <c r="I121" s="210">
        <f t="shared" si="29"/>
        <v>79.530075187969487</v>
      </c>
      <c r="J121" s="210">
        <f t="shared" si="30"/>
        <v>11.082706766917909</v>
      </c>
      <c r="K121" s="217">
        <f t="shared" si="32"/>
        <v>-1.9616762937544908E-4</v>
      </c>
      <c r="L121" s="217">
        <f t="shared" si="33"/>
        <v>-2.5905535248597715E-4</v>
      </c>
      <c r="M121" s="217">
        <f t="shared" si="34"/>
        <v>-6.0695601863100946E-4</v>
      </c>
      <c r="N121" s="217">
        <f t="shared" si="35"/>
        <v>-1.7402565157487136E-4</v>
      </c>
      <c r="O121" s="217">
        <f t="shared" si="36"/>
        <v>-2.2806800946007796E-4</v>
      </c>
      <c r="P121" s="217">
        <f t="shared" si="37"/>
        <v>-5.8996595444396106E-4</v>
      </c>
      <c r="Q121" s="4" t="s">
        <v>241</v>
      </c>
      <c r="R121" s="4" t="s">
        <v>496</v>
      </c>
      <c r="S121" s="4" t="s">
        <v>751</v>
      </c>
      <c r="U121" s="210">
        <f t="shared" si="43"/>
        <v>109</v>
      </c>
      <c r="V121" s="210">
        <f t="shared" si="51"/>
        <v>1371.0691823899347</v>
      </c>
      <c r="W121" s="215">
        <f t="shared" si="45"/>
        <v>1.1850932877973179E-10</v>
      </c>
      <c r="X121" s="216">
        <f t="shared" si="46"/>
        <v>-99.262474616530639</v>
      </c>
      <c r="Y121" s="215">
        <f t="shared" si="47"/>
        <v>9.914582248226118E-11</v>
      </c>
      <c r="Z121" s="216">
        <f t="shared" si="48"/>
        <v>-100.03725580108438</v>
      </c>
      <c r="AA121" s="215">
        <f t="shared" si="49"/>
        <v>3.2041424587322922E-11</v>
      </c>
      <c r="AB121" s="216">
        <f t="shared" si="50"/>
        <v>-104.9428818307908</v>
      </c>
    </row>
    <row r="122" spans="1:28" ht="17.25" customHeight="1">
      <c r="A122" s="213">
        <f t="shared" si="31"/>
        <v>36000</v>
      </c>
      <c r="B122" s="55">
        <v>29882</v>
      </c>
      <c r="C122" s="55">
        <v>27805</v>
      </c>
      <c r="D122" s="55">
        <v>11222</v>
      </c>
      <c r="E122" s="213" t="str">
        <f t="shared" si="27"/>
        <v>74BA</v>
      </c>
      <c r="F122" s="213" t="str">
        <f t="shared" si="27"/>
        <v>6C9D</v>
      </c>
      <c r="G122" s="213" t="str">
        <f t="shared" si="27"/>
        <v>2BD6</v>
      </c>
      <c r="H122" s="210">
        <f t="shared" si="28"/>
        <v>11.958646616541955</v>
      </c>
      <c r="I122" s="210">
        <f t="shared" si="29"/>
        <v>22.530075187969487</v>
      </c>
      <c r="J122" s="210">
        <f t="shared" si="30"/>
        <v>-24.917293233082091</v>
      </c>
      <c r="K122" s="217">
        <f t="shared" si="32"/>
        <v>-1.4747183289705903E-4</v>
      </c>
      <c r="L122" s="217">
        <f t="shared" si="33"/>
        <v>-2.3615013066495717E-4</v>
      </c>
      <c r="M122" s="217">
        <f t="shared" si="34"/>
        <v>-9.0602786880458178E-4</v>
      </c>
      <c r="N122" s="217">
        <f t="shared" si="35"/>
        <v>-1.2532985509648131E-4</v>
      </c>
      <c r="O122" s="217">
        <f t="shared" si="36"/>
        <v>-2.0516278763905798E-4</v>
      </c>
      <c r="P122" s="217">
        <f t="shared" si="37"/>
        <v>-8.8903780461753337E-4</v>
      </c>
      <c r="Q122" s="4" t="s">
        <v>242</v>
      </c>
      <c r="R122" s="4" t="s">
        <v>497</v>
      </c>
      <c r="S122" s="4" t="s">
        <v>752</v>
      </c>
      <c r="U122" s="210">
        <f t="shared" si="43"/>
        <v>110</v>
      </c>
      <c r="V122" s="210">
        <f t="shared" si="51"/>
        <v>1383.6477987421358</v>
      </c>
      <c r="W122" s="215">
        <f t="shared" si="45"/>
        <v>1.5881515438199559E-11</v>
      </c>
      <c r="X122" s="216">
        <f t="shared" si="46"/>
        <v>-107.99108058895946</v>
      </c>
      <c r="Y122" s="215">
        <f t="shared" si="47"/>
        <v>5.1971544904999201E-11</v>
      </c>
      <c r="Z122" s="216">
        <f t="shared" si="48"/>
        <v>-102.84234373157054</v>
      </c>
      <c r="AA122" s="215">
        <f t="shared" si="49"/>
        <v>1.256619762558234E-10</v>
      </c>
      <c r="AB122" s="216">
        <f t="shared" si="50"/>
        <v>-99.007961145210032</v>
      </c>
    </row>
    <row r="123" spans="1:28" ht="17.25" customHeight="1">
      <c r="A123" s="213">
        <f t="shared" si="31"/>
        <v>36300</v>
      </c>
      <c r="B123" s="55">
        <v>29861</v>
      </c>
      <c r="C123" s="55">
        <v>27749</v>
      </c>
      <c r="D123" s="55">
        <v>11251</v>
      </c>
      <c r="E123" s="213" t="str">
        <f t="shared" si="27"/>
        <v>74A5</v>
      </c>
      <c r="F123" s="213" t="str">
        <f t="shared" si="27"/>
        <v>6C65</v>
      </c>
      <c r="G123" s="213" t="str">
        <f t="shared" si="27"/>
        <v>2BF3</v>
      </c>
      <c r="H123" s="210">
        <f t="shared" si="28"/>
        <v>-9.0413533834580448</v>
      </c>
      <c r="I123" s="210">
        <f t="shared" si="29"/>
        <v>-33.469924812030513</v>
      </c>
      <c r="J123" s="210">
        <f t="shared" si="30"/>
        <v>4.0827067669179087</v>
      </c>
      <c r="K123" s="217">
        <f t="shared" si="32"/>
        <v>-1.3834137105736091E-4</v>
      </c>
      <c r="L123" s="217">
        <f t="shared" si="33"/>
        <v>-3.8667015977451717E-4</v>
      </c>
      <c r="M123" s="217">
        <f t="shared" si="34"/>
        <v>-7.2820136329597115E-4</v>
      </c>
      <c r="N123" s="217">
        <f t="shared" si="35"/>
        <v>-1.1619939325678319E-4</v>
      </c>
      <c r="O123" s="217">
        <f t="shared" si="36"/>
        <v>-3.5568281674861797E-4</v>
      </c>
      <c r="P123" s="217">
        <f t="shared" si="37"/>
        <v>-7.1121129910892275E-4</v>
      </c>
      <c r="Q123" s="4" t="s">
        <v>243</v>
      </c>
      <c r="R123" s="4" t="s">
        <v>498</v>
      </c>
      <c r="S123" s="4" t="s">
        <v>753</v>
      </c>
      <c r="U123" s="210">
        <f t="shared" si="43"/>
        <v>111</v>
      </c>
      <c r="V123" s="210">
        <f t="shared" si="51"/>
        <v>1396.226415094337</v>
      </c>
      <c r="W123" s="215">
        <f t="shared" si="45"/>
        <v>4.0252880264921269E-11</v>
      </c>
      <c r="X123" s="216">
        <f t="shared" si="46"/>
        <v>-103.95203038565487</v>
      </c>
      <c r="Y123" s="215">
        <f t="shared" si="47"/>
        <v>3.293034747698706E-11</v>
      </c>
      <c r="Z123" s="216">
        <f t="shared" si="48"/>
        <v>-104.82403686641815</v>
      </c>
      <c r="AA123" s="215">
        <f t="shared" si="49"/>
        <v>1.2824513962790951E-10</v>
      </c>
      <c r="AB123" s="216">
        <f t="shared" si="50"/>
        <v>-98.919590852631458</v>
      </c>
    </row>
    <row r="124" spans="1:28" ht="17.25" customHeight="1">
      <c r="A124" s="213">
        <f t="shared" si="31"/>
        <v>36600</v>
      </c>
      <c r="B124" s="55">
        <v>29859</v>
      </c>
      <c r="C124" s="55">
        <v>27770</v>
      </c>
      <c r="D124" s="55">
        <v>11255</v>
      </c>
      <c r="E124" s="213" t="str">
        <f t="shared" si="27"/>
        <v>74A3</v>
      </c>
      <c r="F124" s="213" t="str">
        <f t="shared" si="27"/>
        <v>6C7A</v>
      </c>
      <c r="G124" s="213" t="str">
        <f t="shared" si="27"/>
        <v>2BF7</v>
      </c>
      <c r="H124" s="210">
        <f t="shared" si="28"/>
        <v>-11.041353383458045</v>
      </c>
      <c r="I124" s="210">
        <f t="shared" si="29"/>
        <v>-12.469924812030513</v>
      </c>
      <c r="J124" s="210">
        <f t="shared" si="30"/>
        <v>8.0827067669179087</v>
      </c>
      <c r="K124" s="217">
        <f t="shared" si="32"/>
        <v>-3.3312455697092095E-4</v>
      </c>
      <c r="L124" s="217">
        <f t="shared" si="33"/>
        <v>-5.8627280707197705E-4</v>
      </c>
      <c r="M124" s="217">
        <f t="shared" si="34"/>
        <v>-7.1203531734064299E-4</v>
      </c>
      <c r="N124" s="217">
        <f t="shared" si="35"/>
        <v>-3.1098257917034321E-4</v>
      </c>
      <c r="O124" s="217">
        <f t="shared" si="36"/>
        <v>-5.552854640460778E-4</v>
      </c>
      <c r="P124" s="217">
        <f t="shared" si="37"/>
        <v>-6.9504525315359459E-4</v>
      </c>
      <c r="Q124" s="4" t="s">
        <v>244</v>
      </c>
      <c r="R124" s="4" t="s">
        <v>499</v>
      </c>
      <c r="S124" s="4" t="s">
        <v>754</v>
      </c>
      <c r="U124" s="210">
        <f t="shared" si="43"/>
        <v>112</v>
      </c>
      <c r="V124" s="210">
        <f t="shared" si="51"/>
        <v>1408.8050314465381</v>
      </c>
      <c r="W124" s="215">
        <f t="shared" si="45"/>
        <v>2.4670283407025438E-11</v>
      </c>
      <c r="X124" s="216">
        <f t="shared" si="46"/>
        <v>-106.0782586139797</v>
      </c>
      <c r="Y124" s="215">
        <f t="shared" si="47"/>
        <v>4.2794294935555224E-11</v>
      </c>
      <c r="Z124" s="216">
        <f t="shared" si="48"/>
        <v>-103.68614124518466</v>
      </c>
      <c r="AA124" s="215">
        <f t="shared" si="49"/>
        <v>1.7605177035946592E-10</v>
      </c>
      <c r="AB124" s="216">
        <f t="shared" si="50"/>
        <v>-97.543596033488029</v>
      </c>
    </row>
    <row r="125" spans="1:28" ht="17.25" customHeight="1">
      <c r="A125" s="213">
        <f t="shared" si="31"/>
        <v>36900</v>
      </c>
      <c r="B125" s="55">
        <v>29845</v>
      </c>
      <c r="C125" s="55">
        <v>27792</v>
      </c>
      <c r="D125" s="55">
        <v>11243</v>
      </c>
      <c r="E125" s="213" t="str">
        <f t="shared" si="27"/>
        <v>7495</v>
      </c>
      <c r="F125" s="213" t="str">
        <f t="shared" si="27"/>
        <v>6C90</v>
      </c>
      <c r="G125" s="213" t="str">
        <f t="shared" si="27"/>
        <v>2BEB</v>
      </c>
      <c r="H125" s="210">
        <f t="shared" si="28"/>
        <v>-25.041353383458045</v>
      </c>
      <c r="I125" s="210">
        <f t="shared" si="29"/>
        <v>9.5300751879694872</v>
      </c>
      <c r="J125" s="210">
        <f t="shared" si="30"/>
        <v>-3.9172932330820913</v>
      </c>
      <c r="K125" s="217">
        <f t="shared" si="32"/>
        <v>-2.6921132409303409E-4</v>
      </c>
      <c r="L125" s="217">
        <f t="shared" si="33"/>
        <v>-4.8483539615031717E-4</v>
      </c>
      <c r="M125" s="217">
        <f t="shared" si="34"/>
        <v>-5.0995974289904007E-4</v>
      </c>
      <c r="N125" s="217">
        <f t="shared" si="35"/>
        <v>-2.4706934629245634E-4</v>
      </c>
      <c r="O125" s="217">
        <f t="shared" si="36"/>
        <v>-4.5384805312441797E-4</v>
      </c>
      <c r="P125" s="217">
        <f t="shared" si="37"/>
        <v>-4.9296967871199167E-4</v>
      </c>
      <c r="Q125" s="4" t="s">
        <v>245</v>
      </c>
      <c r="R125" s="4" t="s">
        <v>500</v>
      </c>
      <c r="S125" s="4" t="s">
        <v>755</v>
      </c>
      <c r="U125" s="210">
        <f t="shared" si="43"/>
        <v>113</v>
      </c>
      <c r="V125" s="210">
        <f t="shared" si="51"/>
        <v>1421.3836477987393</v>
      </c>
      <c r="W125" s="215">
        <f t="shared" si="45"/>
        <v>4.953825508500409E-11</v>
      </c>
      <c r="X125" s="216">
        <f t="shared" si="46"/>
        <v>-103.05059294889872</v>
      </c>
      <c r="Y125" s="215">
        <f t="shared" si="47"/>
        <v>1.0595256773109744E-11</v>
      </c>
      <c r="Z125" s="216">
        <f t="shared" si="48"/>
        <v>-109.74888513819315</v>
      </c>
      <c r="AA125" s="215">
        <f t="shared" si="49"/>
        <v>1.5319700042496001E-10</v>
      </c>
      <c r="AB125" s="216">
        <f t="shared" si="50"/>
        <v>-98.147497380431076</v>
      </c>
    </row>
    <row r="126" spans="1:28" ht="17.25" customHeight="1">
      <c r="A126" s="213">
        <f t="shared" si="31"/>
        <v>37200</v>
      </c>
      <c r="B126" s="55">
        <v>29865</v>
      </c>
      <c r="C126" s="55">
        <v>27806</v>
      </c>
      <c r="D126" s="55">
        <v>11247</v>
      </c>
      <c r="E126" s="213" t="str">
        <f t="shared" si="27"/>
        <v>74A9</v>
      </c>
      <c r="F126" s="213" t="str">
        <f t="shared" si="27"/>
        <v>6C9E</v>
      </c>
      <c r="G126" s="213" t="str">
        <f t="shared" si="27"/>
        <v>2BEF</v>
      </c>
      <c r="H126" s="210">
        <f t="shared" si="28"/>
        <v>-5.0413533834580448</v>
      </c>
      <c r="I126" s="210">
        <f t="shared" si="29"/>
        <v>23.530075187969487</v>
      </c>
      <c r="J126" s="210">
        <f t="shared" si="30"/>
        <v>8.2706766917908681E-2</v>
      </c>
      <c r="K126" s="217">
        <f t="shared" si="32"/>
        <v>-1.7790670569605278E-4</v>
      </c>
      <c r="L126" s="217">
        <f t="shared" si="33"/>
        <v>-1.5107359247259718E-4</v>
      </c>
      <c r="M126" s="217">
        <f t="shared" si="34"/>
        <v>-3.078841684574371E-4</v>
      </c>
      <c r="N126" s="217">
        <f t="shared" si="35"/>
        <v>-1.5576472789547506E-4</v>
      </c>
      <c r="O126" s="217">
        <f t="shared" si="36"/>
        <v>-1.2008624944669799E-4</v>
      </c>
      <c r="P126" s="217">
        <f t="shared" si="37"/>
        <v>-2.9089410427038875E-4</v>
      </c>
      <c r="Q126" s="4" t="s">
        <v>246</v>
      </c>
      <c r="R126" s="4" t="s">
        <v>501</v>
      </c>
      <c r="S126" s="4" t="s">
        <v>756</v>
      </c>
      <c r="U126" s="210">
        <f t="shared" si="43"/>
        <v>114</v>
      </c>
      <c r="V126" s="210">
        <f t="shared" si="51"/>
        <v>1433.9622641509404</v>
      </c>
      <c r="W126" s="215">
        <f t="shared" si="45"/>
        <v>2.6789723465958837E-11</v>
      </c>
      <c r="X126" s="216">
        <f t="shared" si="46"/>
        <v>-105.72031769326767</v>
      </c>
      <c r="Y126" s="215">
        <f t="shared" si="47"/>
        <v>1.5360033865072179E-13</v>
      </c>
      <c r="Z126" s="216">
        <f t="shared" si="48"/>
        <v>-128.13607826791633</v>
      </c>
      <c r="AA126" s="215">
        <f t="shared" si="49"/>
        <v>9.6391288746975962E-11</v>
      </c>
      <c r="AB126" s="216">
        <f t="shared" si="50"/>
        <v>-100.15962213193302</v>
      </c>
    </row>
    <row r="127" spans="1:28" ht="17.25" customHeight="1">
      <c r="A127" s="213">
        <f t="shared" si="31"/>
        <v>37500</v>
      </c>
      <c r="B127" s="55">
        <v>29897</v>
      </c>
      <c r="C127" s="55">
        <v>27812</v>
      </c>
      <c r="D127" s="55">
        <v>11267</v>
      </c>
      <c r="E127" s="213" t="str">
        <f t="shared" si="27"/>
        <v>74C9</v>
      </c>
      <c r="F127" s="213" t="str">
        <f t="shared" si="27"/>
        <v>6CA4</v>
      </c>
      <c r="G127" s="213" t="str">
        <f t="shared" si="27"/>
        <v>2C03</v>
      </c>
      <c r="H127" s="210">
        <f t="shared" si="28"/>
        <v>26.958646616541955</v>
      </c>
      <c r="I127" s="210">
        <f t="shared" si="29"/>
        <v>29.530075187969487</v>
      </c>
      <c r="J127" s="210">
        <f t="shared" si="30"/>
        <v>20.082706766917909</v>
      </c>
      <c r="K127" s="217">
        <f t="shared" si="32"/>
        <v>-1.9921111665534844E-4</v>
      </c>
      <c r="L127" s="217">
        <f t="shared" si="33"/>
        <v>1.3687776756308282E-4</v>
      </c>
      <c r="M127" s="217">
        <f t="shared" si="34"/>
        <v>-1.7047277783714714E-4</v>
      </c>
      <c r="N127" s="217">
        <f t="shared" si="35"/>
        <v>-1.7706913885477072E-4</v>
      </c>
      <c r="O127" s="217">
        <f t="shared" si="36"/>
        <v>1.6786511058898202E-4</v>
      </c>
      <c r="P127" s="217">
        <f t="shared" si="37"/>
        <v>-1.5348271365009879E-4</v>
      </c>
      <c r="Q127" s="4" t="s">
        <v>247</v>
      </c>
      <c r="R127" s="4" t="s">
        <v>502</v>
      </c>
      <c r="S127" s="4" t="s">
        <v>757</v>
      </c>
      <c r="U127" s="210">
        <f t="shared" si="43"/>
        <v>115</v>
      </c>
      <c r="V127" s="210">
        <f t="shared" si="51"/>
        <v>1446.5408805031416</v>
      </c>
      <c r="W127" s="215">
        <f t="shared" si="45"/>
        <v>2.2641721610440775E-11</v>
      </c>
      <c r="X127" s="216">
        <f t="shared" si="46"/>
        <v>-106.4509055374314</v>
      </c>
      <c r="Y127" s="215">
        <f t="shared" si="47"/>
        <v>5.3087065222739798E-12</v>
      </c>
      <c r="Z127" s="216">
        <f t="shared" si="48"/>
        <v>-112.75011282811025</v>
      </c>
      <c r="AA127" s="215">
        <f t="shared" si="49"/>
        <v>3.6321176562694915E-11</v>
      </c>
      <c r="AB127" s="216">
        <f t="shared" si="50"/>
        <v>-104.39840091692531</v>
      </c>
    </row>
    <row r="128" spans="1:28" ht="17.25" customHeight="1">
      <c r="A128" s="213">
        <f t="shared" si="31"/>
        <v>37800</v>
      </c>
      <c r="B128" s="55">
        <v>29858</v>
      </c>
      <c r="C128" s="55">
        <v>27711</v>
      </c>
      <c r="D128" s="55">
        <v>11226</v>
      </c>
      <c r="E128" s="213" t="str">
        <f t="shared" si="27"/>
        <v>74A2</v>
      </c>
      <c r="F128" s="213" t="str">
        <f t="shared" si="27"/>
        <v>6C3F</v>
      </c>
      <c r="G128" s="213" t="str">
        <f t="shared" si="27"/>
        <v>2BDA</v>
      </c>
      <c r="H128" s="210">
        <f t="shared" si="28"/>
        <v>-12.041353383458045</v>
      </c>
      <c r="I128" s="210">
        <f t="shared" si="29"/>
        <v>-71.469924812030513</v>
      </c>
      <c r="J128" s="210">
        <f t="shared" si="30"/>
        <v>-20.917293233082091</v>
      </c>
      <c r="K128" s="217">
        <f t="shared" si="32"/>
        <v>-9.5732549138769637E-5</v>
      </c>
      <c r="L128" s="217">
        <f t="shared" si="33"/>
        <v>-7.5813577917817172E-5</v>
      </c>
      <c r="M128" s="217">
        <f t="shared" si="34"/>
        <v>-1.7855580081481125E-4</v>
      </c>
      <c r="N128" s="217">
        <f t="shared" si="35"/>
        <v>-7.3590571338191918E-5</v>
      </c>
      <c r="O128" s="217">
        <f t="shared" si="36"/>
        <v>-4.4826234891917976E-5</v>
      </c>
      <c r="P128" s="217">
        <f t="shared" si="37"/>
        <v>-1.615657366277629E-4</v>
      </c>
      <c r="Q128" s="4" t="s">
        <v>248</v>
      </c>
      <c r="R128" s="4" t="s">
        <v>503</v>
      </c>
      <c r="S128" s="4" t="s">
        <v>758</v>
      </c>
      <c r="U128" s="210">
        <f t="shared" si="43"/>
        <v>116</v>
      </c>
      <c r="V128" s="210">
        <f t="shared" si="51"/>
        <v>1459.1194968553427</v>
      </c>
      <c r="W128" s="215">
        <f t="shared" si="45"/>
        <v>1.9687612830731418E-11</v>
      </c>
      <c r="X128" s="216">
        <f t="shared" si="46"/>
        <v>-107.05806939894967</v>
      </c>
      <c r="Y128" s="215">
        <f t="shared" si="47"/>
        <v>1.0802179753060165E-11</v>
      </c>
      <c r="Z128" s="216">
        <f t="shared" si="48"/>
        <v>-109.66488600141975</v>
      </c>
      <c r="AA128" s="215">
        <f t="shared" si="49"/>
        <v>3.1702824648246194E-11</v>
      </c>
      <c r="AB128" s="216">
        <f t="shared" si="50"/>
        <v>-104.98902041425919</v>
      </c>
    </row>
    <row r="129" spans="1:28" ht="17.25" customHeight="1">
      <c r="A129" s="213">
        <f t="shared" si="31"/>
        <v>38100</v>
      </c>
      <c r="B129" s="55">
        <v>29832</v>
      </c>
      <c r="C129" s="55">
        <v>27818</v>
      </c>
      <c r="D129" s="55">
        <v>11261</v>
      </c>
      <c r="E129" s="213" t="str">
        <f t="shared" si="27"/>
        <v>7488</v>
      </c>
      <c r="F129" s="213" t="str">
        <f t="shared" si="27"/>
        <v>6CAA</v>
      </c>
      <c r="G129" s="213" t="str">
        <f t="shared" si="27"/>
        <v>2BFD</v>
      </c>
      <c r="H129" s="210">
        <f t="shared" si="28"/>
        <v>-38.041353383458045</v>
      </c>
      <c r="I129" s="210">
        <f t="shared" si="29"/>
        <v>35.530075187969487</v>
      </c>
      <c r="J129" s="210">
        <f t="shared" si="30"/>
        <v>14.082706766917909</v>
      </c>
      <c r="K129" s="217">
        <f t="shared" si="32"/>
        <v>-8.6602087299071504E-5</v>
      </c>
      <c r="L129" s="217">
        <f t="shared" si="33"/>
        <v>5.5073403916582818E-5</v>
      </c>
      <c r="M129" s="217">
        <f t="shared" si="34"/>
        <v>-1.058085940158342E-4</v>
      </c>
      <c r="N129" s="217">
        <f t="shared" si="35"/>
        <v>-6.4460109498493785E-5</v>
      </c>
      <c r="O129" s="217">
        <f t="shared" si="36"/>
        <v>8.6060746942482014E-5</v>
      </c>
      <c r="P129" s="217">
        <f t="shared" si="37"/>
        <v>-8.8818529828785855E-5</v>
      </c>
      <c r="Q129" s="4" t="s">
        <v>249</v>
      </c>
      <c r="R129" s="4" t="s">
        <v>504</v>
      </c>
      <c r="S129" s="4" t="s">
        <v>759</v>
      </c>
      <c r="U129" s="210">
        <f t="shared" si="43"/>
        <v>117</v>
      </c>
      <c r="V129" s="210">
        <f t="shared" si="51"/>
        <v>1471.6981132075439</v>
      </c>
      <c r="W129" s="215">
        <f t="shared" si="45"/>
        <v>1.5802224440404607E-11</v>
      </c>
      <c r="X129" s="216">
        <f t="shared" si="46"/>
        <v>-108.01281774172493</v>
      </c>
      <c r="Y129" s="215">
        <f t="shared" si="47"/>
        <v>1.2649470267333614E-11</v>
      </c>
      <c r="Z129" s="216">
        <f t="shared" si="48"/>
        <v>-108.97927661428167</v>
      </c>
      <c r="AA129" s="215">
        <f t="shared" si="49"/>
        <v>3.993524948108565E-11</v>
      </c>
      <c r="AB129" s="216">
        <f t="shared" si="50"/>
        <v>-103.98643598124701</v>
      </c>
    </row>
    <row r="130" spans="1:28" ht="17.25" customHeight="1">
      <c r="A130" s="213">
        <f t="shared" si="31"/>
        <v>38400</v>
      </c>
      <c r="B130" s="55">
        <v>29822</v>
      </c>
      <c r="C130" s="55">
        <v>27724</v>
      </c>
      <c r="D130" s="55">
        <v>11230</v>
      </c>
      <c r="E130" s="213" t="str">
        <f t="shared" ref="E130:G193" si="52">DEC2HEX(B130)</f>
        <v>747E</v>
      </c>
      <c r="F130" s="213" t="str">
        <f t="shared" si="52"/>
        <v>6C4C</v>
      </c>
      <c r="G130" s="213" t="str">
        <f t="shared" si="52"/>
        <v>2BDE</v>
      </c>
      <c r="H130" s="210">
        <f t="shared" ref="H130:H193" si="53">B130-Q$3</f>
        <v>-48.041353383458045</v>
      </c>
      <c r="I130" s="210">
        <f t="shared" ref="I130:I193" si="54">C130-R$3</f>
        <v>-58.469924812030513</v>
      </c>
      <c r="J130" s="210">
        <f t="shared" ref="J130:J193" si="55">D130-S$3</f>
        <v>-16.917293233082091</v>
      </c>
      <c r="K130" s="217">
        <f t="shared" si="32"/>
        <v>-3.0268968417192726E-4</v>
      </c>
      <c r="L130" s="217">
        <f t="shared" si="33"/>
        <v>-1.0370087000617181E-5</v>
      </c>
      <c r="M130" s="217">
        <f t="shared" si="34"/>
        <v>-3.2405021441276531E-4</v>
      </c>
      <c r="N130" s="217">
        <f t="shared" si="35"/>
        <v>-2.8054770637134956E-4</v>
      </c>
      <c r="O130" s="217">
        <f t="shared" si="36"/>
        <v>2.0617256025282015E-5</v>
      </c>
      <c r="P130" s="217">
        <f t="shared" si="37"/>
        <v>-3.0706015022571696E-4</v>
      </c>
      <c r="Q130" s="4" t="s">
        <v>250</v>
      </c>
      <c r="R130" s="4" t="s">
        <v>505</v>
      </c>
      <c r="S130" s="4" t="s">
        <v>760</v>
      </c>
      <c r="U130" s="210">
        <f t="shared" si="43"/>
        <v>118</v>
      </c>
      <c r="V130" s="210">
        <f t="shared" si="51"/>
        <v>1484.276729559745</v>
      </c>
      <c r="W130" s="215">
        <f t="shared" si="45"/>
        <v>8.8398640897892545E-12</v>
      </c>
      <c r="X130" s="216">
        <f t="shared" si="46"/>
        <v>-110.53554412080626</v>
      </c>
      <c r="Y130" s="215">
        <f t="shared" si="47"/>
        <v>2.7245289913646161E-11</v>
      </c>
      <c r="Z130" s="216">
        <f t="shared" si="48"/>
        <v>-105.64708566463236</v>
      </c>
      <c r="AA130" s="215">
        <f t="shared" si="49"/>
        <v>1.443663394973482E-11</v>
      </c>
      <c r="AB130" s="216">
        <f t="shared" si="50"/>
        <v>-108.40534055205872</v>
      </c>
    </row>
    <row r="131" spans="1:28" ht="17.25" customHeight="1">
      <c r="A131" s="213">
        <f t="shared" si="31"/>
        <v>38700</v>
      </c>
      <c r="B131" s="55">
        <v>29860</v>
      </c>
      <c r="C131" s="55">
        <v>27733</v>
      </c>
      <c r="D131" s="55">
        <v>11237</v>
      </c>
      <c r="E131" s="213" t="str">
        <f t="shared" si="52"/>
        <v>74A4</v>
      </c>
      <c r="F131" s="213" t="str">
        <f t="shared" si="52"/>
        <v>6C55</v>
      </c>
      <c r="G131" s="213" t="str">
        <f t="shared" si="52"/>
        <v>2BE5</v>
      </c>
      <c r="H131" s="210">
        <f t="shared" si="53"/>
        <v>-10.041353383458045</v>
      </c>
      <c r="I131" s="210">
        <f t="shared" si="54"/>
        <v>-49.469924812030513</v>
      </c>
      <c r="J131" s="210">
        <f t="shared" si="55"/>
        <v>-9.9172932330820913</v>
      </c>
      <c r="K131" s="217">
        <f t="shared" si="32"/>
        <v>-3.3312455697092095E-4</v>
      </c>
      <c r="L131" s="217">
        <f t="shared" si="33"/>
        <v>-8.2357927009537178E-5</v>
      </c>
      <c r="M131" s="217">
        <f t="shared" si="34"/>
        <v>-1.543067318818189E-4</v>
      </c>
      <c r="N131" s="217">
        <f t="shared" si="35"/>
        <v>-3.1098257917034321E-4</v>
      </c>
      <c r="O131" s="217">
        <f t="shared" si="36"/>
        <v>-5.1370583983637982E-5</v>
      </c>
      <c r="P131" s="217">
        <f t="shared" si="37"/>
        <v>-1.3731666769477055E-4</v>
      </c>
      <c r="Q131" s="4" t="s">
        <v>251</v>
      </c>
      <c r="R131" s="4" t="s">
        <v>506</v>
      </c>
      <c r="S131" s="4" t="s">
        <v>761</v>
      </c>
      <c r="U131" s="210">
        <f t="shared" si="43"/>
        <v>119</v>
      </c>
      <c r="V131" s="210">
        <f t="shared" si="51"/>
        <v>1496.8553459119462</v>
      </c>
      <c r="W131" s="215">
        <f t="shared" si="45"/>
        <v>3.5097464825335738E-11</v>
      </c>
      <c r="X131" s="216">
        <f t="shared" si="46"/>
        <v>-104.54724252540751</v>
      </c>
      <c r="Y131" s="215">
        <f t="shared" si="47"/>
        <v>3.3958869740974271E-11</v>
      </c>
      <c r="Z131" s="216">
        <f t="shared" si="48"/>
        <v>-104.69046772887056</v>
      </c>
      <c r="AA131" s="215">
        <f t="shared" si="49"/>
        <v>6.572505602298756E-11</v>
      </c>
      <c r="AB131" s="216">
        <f t="shared" si="50"/>
        <v>-101.82269035035765</v>
      </c>
    </row>
    <row r="132" spans="1:28" ht="17.25" customHeight="1">
      <c r="A132" s="213">
        <f t="shared" ref="A132:A195" si="56">A131+A$1</f>
        <v>39000</v>
      </c>
      <c r="B132" s="55">
        <v>29882</v>
      </c>
      <c r="C132" s="55">
        <v>27771</v>
      </c>
      <c r="D132" s="55">
        <v>11275</v>
      </c>
      <c r="E132" s="213" t="str">
        <f t="shared" si="52"/>
        <v>74BA</v>
      </c>
      <c r="F132" s="213" t="str">
        <f t="shared" si="52"/>
        <v>6C7B</v>
      </c>
      <c r="G132" s="213" t="str">
        <f t="shared" si="52"/>
        <v>2C0B</v>
      </c>
      <c r="H132" s="210">
        <f t="shared" si="53"/>
        <v>11.958646616541955</v>
      </c>
      <c r="I132" s="210">
        <f t="shared" si="54"/>
        <v>-11.469924812030513</v>
      </c>
      <c r="J132" s="210">
        <f t="shared" si="55"/>
        <v>28.082706766917909</v>
      </c>
      <c r="K132" s="217">
        <f t="shared" si="32"/>
        <v>-3.2703758241112223E-4</v>
      </c>
      <c r="L132" s="217">
        <f t="shared" si="33"/>
        <v>-3.8012581068279719E-4</v>
      </c>
      <c r="M132" s="217">
        <f t="shared" si="34"/>
        <v>-1.689534126152892E-5</v>
      </c>
      <c r="N132" s="217">
        <f t="shared" si="35"/>
        <v>-3.0489560461054448E-4</v>
      </c>
      <c r="O132" s="217">
        <f t="shared" si="36"/>
        <v>-3.4913846765689799E-4</v>
      </c>
      <c r="P132" s="217">
        <f t="shared" si="37"/>
        <v>9.4722925519434656E-8</v>
      </c>
      <c r="Q132" s="4" t="s">
        <v>252</v>
      </c>
      <c r="R132" s="4" t="s">
        <v>507</v>
      </c>
      <c r="S132" s="4" t="s">
        <v>762</v>
      </c>
      <c r="U132" s="210">
        <f t="shared" si="43"/>
        <v>120</v>
      </c>
      <c r="V132" s="210">
        <f t="shared" si="51"/>
        <v>1509.4339622641473</v>
      </c>
      <c r="W132" s="215">
        <f t="shared" si="45"/>
        <v>9.1987250005461201E-11</v>
      </c>
      <c r="X132" s="216">
        <f t="shared" si="46"/>
        <v>-100.36272364350133</v>
      </c>
      <c r="Y132" s="215">
        <f t="shared" si="47"/>
        <v>2.1240323149266384E-11</v>
      </c>
      <c r="Z132" s="216">
        <f t="shared" si="48"/>
        <v>-106.72838880204709</v>
      </c>
      <c r="AA132" s="215">
        <f t="shared" si="49"/>
        <v>3.6161247879466102E-11</v>
      </c>
      <c r="AB132" s="216">
        <f t="shared" si="50"/>
        <v>-104.41756590978335</v>
      </c>
    </row>
    <row r="133" spans="1:28" ht="17.25" customHeight="1">
      <c r="A133" s="213">
        <f t="shared" si="56"/>
        <v>39300</v>
      </c>
      <c r="B133" s="55">
        <v>29869</v>
      </c>
      <c r="C133" s="55">
        <v>27818</v>
      </c>
      <c r="D133" s="55">
        <v>11244</v>
      </c>
      <c r="E133" s="213" t="str">
        <f t="shared" si="52"/>
        <v>74AD</v>
      </c>
      <c r="F133" s="213" t="str">
        <f t="shared" si="52"/>
        <v>6CAA</v>
      </c>
      <c r="G133" s="213" t="str">
        <f t="shared" si="52"/>
        <v>2BEC</v>
      </c>
      <c r="H133" s="210">
        <f t="shared" si="53"/>
        <v>-1.0413533834580448</v>
      </c>
      <c r="I133" s="210">
        <f t="shared" si="54"/>
        <v>35.530075187969487</v>
      </c>
      <c r="J133" s="210">
        <f t="shared" si="55"/>
        <v>-2.9172932330820913</v>
      </c>
      <c r="K133" s="217">
        <f t="shared" si="32"/>
        <v>-3.6660291704981412E-4</v>
      </c>
      <c r="L133" s="217">
        <f t="shared" si="33"/>
        <v>-3.3758754158661711E-4</v>
      </c>
      <c r="M133" s="217">
        <f t="shared" si="34"/>
        <v>1.6093116424708163E-4</v>
      </c>
      <c r="N133" s="217">
        <f t="shared" si="35"/>
        <v>-3.4446093924923643E-4</v>
      </c>
      <c r="O133" s="217">
        <f t="shared" si="36"/>
        <v>-3.0660019856071792E-4</v>
      </c>
      <c r="P133" s="217">
        <f t="shared" si="37"/>
        <v>1.7792122843412998E-4</v>
      </c>
      <c r="Q133" s="4" t="s">
        <v>253</v>
      </c>
      <c r="R133" s="4" t="s">
        <v>508</v>
      </c>
      <c r="S133" s="4" t="s">
        <v>763</v>
      </c>
      <c r="U133" s="210">
        <f t="shared" si="43"/>
        <v>121</v>
      </c>
      <c r="V133" s="210">
        <f t="shared" si="51"/>
        <v>1522.0125786163485</v>
      </c>
      <c r="W133" s="215">
        <f t="shared" si="45"/>
        <v>1.677023925351761E-11</v>
      </c>
      <c r="X133" s="216">
        <f t="shared" si="46"/>
        <v>-107.75460741464202</v>
      </c>
      <c r="Y133" s="215">
        <f t="shared" si="47"/>
        <v>2.4461300546517465E-11</v>
      </c>
      <c r="Z133" s="216">
        <f t="shared" si="48"/>
        <v>-106.11520456328323</v>
      </c>
      <c r="AA133" s="215">
        <f t="shared" si="49"/>
        <v>6.0659590093557536E-11</v>
      </c>
      <c r="AB133" s="216">
        <f t="shared" si="50"/>
        <v>-102.1710052875512</v>
      </c>
    </row>
    <row r="134" spans="1:28" ht="17.25" customHeight="1">
      <c r="A134" s="213">
        <f t="shared" si="56"/>
        <v>39600</v>
      </c>
      <c r="B134" s="55">
        <v>29842</v>
      </c>
      <c r="C134" s="55">
        <v>27776</v>
      </c>
      <c r="D134" s="55">
        <v>11237</v>
      </c>
      <c r="E134" s="213" t="str">
        <f t="shared" si="52"/>
        <v>7492</v>
      </c>
      <c r="F134" s="213" t="str">
        <f t="shared" si="52"/>
        <v>6C80</v>
      </c>
      <c r="G134" s="213" t="str">
        <f t="shared" si="52"/>
        <v>2BE5</v>
      </c>
      <c r="H134" s="210">
        <f t="shared" si="53"/>
        <v>-28.041353383458045</v>
      </c>
      <c r="I134" s="210">
        <f t="shared" si="54"/>
        <v>-6.4699248120305128</v>
      </c>
      <c r="J134" s="210">
        <f t="shared" si="55"/>
        <v>-9.9172932330820913</v>
      </c>
      <c r="K134" s="217">
        <f t="shared" si="32"/>
        <v>-4.2442917536790231E-4</v>
      </c>
      <c r="L134" s="217">
        <f t="shared" si="33"/>
        <v>-2.4923882884839713E-4</v>
      </c>
      <c r="M134" s="217">
        <f t="shared" si="34"/>
        <v>4.7768842559784014E-5</v>
      </c>
      <c r="N134" s="217">
        <f t="shared" si="35"/>
        <v>-4.0228719756732457E-4</v>
      </c>
      <c r="O134" s="217">
        <f t="shared" si="36"/>
        <v>-2.1825148582249793E-4</v>
      </c>
      <c r="P134" s="217">
        <f t="shared" si="37"/>
        <v>6.4758906746832369E-5</v>
      </c>
      <c r="Q134" s="4" t="s">
        <v>254</v>
      </c>
      <c r="R134" s="4" t="s">
        <v>509</v>
      </c>
      <c r="S134" s="4" t="s">
        <v>764</v>
      </c>
      <c r="U134" s="210">
        <f t="shared" si="43"/>
        <v>122</v>
      </c>
      <c r="V134" s="210">
        <f t="shared" si="51"/>
        <v>1534.5911949685496</v>
      </c>
      <c r="W134" s="215">
        <f t="shared" si="45"/>
        <v>4.4840270421326718E-11</v>
      </c>
      <c r="X134" s="216">
        <f t="shared" si="46"/>
        <v>-103.48331776939334</v>
      </c>
      <c r="Y134" s="215">
        <f t="shared" si="47"/>
        <v>7.9116887964914269E-12</v>
      </c>
      <c r="Z134" s="216">
        <f t="shared" si="48"/>
        <v>-111.01730803896291</v>
      </c>
      <c r="AA134" s="215">
        <f t="shared" si="49"/>
        <v>8.5240015179605364E-13</v>
      </c>
      <c r="AB134" s="216">
        <f t="shared" si="50"/>
        <v>-120.69356481618344</v>
      </c>
    </row>
    <row r="135" spans="1:28" ht="17.25" customHeight="1">
      <c r="A135" s="213">
        <f t="shared" si="56"/>
        <v>39900</v>
      </c>
      <c r="B135" s="55">
        <v>29886</v>
      </c>
      <c r="C135" s="55">
        <v>27820</v>
      </c>
      <c r="D135" s="55">
        <v>11261</v>
      </c>
      <c r="E135" s="213" t="str">
        <f t="shared" si="52"/>
        <v>74BE</v>
      </c>
      <c r="F135" s="213" t="str">
        <f t="shared" si="52"/>
        <v>6CAC</v>
      </c>
      <c r="G135" s="213" t="str">
        <f t="shared" si="52"/>
        <v>2BFD</v>
      </c>
      <c r="H135" s="210">
        <f t="shared" si="53"/>
        <v>15.958646616541955</v>
      </c>
      <c r="I135" s="210">
        <f t="shared" si="54"/>
        <v>37.530075187969487</v>
      </c>
      <c r="J135" s="210">
        <f t="shared" si="55"/>
        <v>14.082706766917909</v>
      </c>
      <c r="K135" s="217">
        <f t="shared" si="32"/>
        <v>-3.422550188106191E-4</v>
      </c>
      <c r="L135" s="217">
        <f t="shared" si="33"/>
        <v>-8.5630101555397181E-5</v>
      </c>
      <c r="M135" s="217">
        <f t="shared" si="34"/>
        <v>9.6266980425768704E-5</v>
      </c>
      <c r="N135" s="217">
        <f t="shared" si="35"/>
        <v>-3.2011304101004141E-4</v>
      </c>
      <c r="O135" s="217">
        <f t="shared" si="36"/>
        <v>-5.4642758529497985E-5</v>
      </c>
      <c r="P135" s="217">
        <f t="shared" si="37"/>
        <v>1.1325704461281707E-4</v>
      </c>
      <c r="Q135" s="4" t="s">
        <v>255</v>
      </c>
      <c r="R135" s="4" t="s">
        <v>510</v>
      </c>
      <c r="S135" s="4" t="s">
        <v>765</v>
      </c>
      <c r="U135" s="210">
        <f t="shared" si="43"/>
        <v>123</v>
      </c>
      <c r="V135" s="210">
        <f t="shared" si="51"/>
        <v>1547.1698113207508</v>
      </c>
      <c r="W135" s="215">
        <f t="shared" si="45"/>
        <v>3.26652296687732E-11</v>
      </c>
      <c r="X135" s="216">
        <f t="shared" si="46"/>
        <v>-104.85914283945002</v>
      </c>
      <c r="Y135" s="215">
        <f t="shared" si="47"/>
        <v>8.0800337145171066E-11</v>
      </c>
      <c r="Z135" s="216">
        <f t="shared" si="48"/>
        <v>-100.92586827096925</v>
      </c>
      <c r="AA135" s="215">
        <f t="shared" si="49"/>
        <v>1.9196846921057196E-11</v>
      </c>
      <c r="AB135" s="216">
        <f t="shared" si="50"/>
        <v>-107.16770098235966</v>
      </c>
    </row>
    <row r="136" spans="1:28" ht="17.25" customHeight="1">
      <c r="A136" s="213">
        <f t="shared" si="56"/>
        <v>40200</v>
      </c>
      <c r="B136" s="55">
        <v>29867</v>
      </c>
      <c r="C136" s="55">
        <v>27747</v>
      </c>
      <c r="D136" s="55">
        <v>11244</v>
      </c>
      <c r="E136" s="213" t="str">
        <f t="shared" si="52"/>
        <v>74AB</v>
      </c>
      <c r="F136" s="213" t="str">
        <f t="shared" si="52"/>
        <v>6C63</v>
      </c>
      <c r="G136" s="213" t="str">
        <f t="shared" si="52"/>
        <v>2BEC</v>
      </c>
      <c r="H136" s="210">
        <f t="shared" si="53"/>
        <v>-3.0413533834580448</v>
      </c>
      <c r="I136" s="210">
        <f t="shared" si="54"/>
        <v>-35.469924812030513</v>
      </c>
      <c r="J136" s="210">
        <f t="shared" si="55"/>
        <v>-2.9172932330820913</v>
      </c>
      <c r="K136" s="217">
        <f t="shared" si="32"/>
        <v>-2.7529829865283282E-4</v>
      </c>
      <c r="L136" s="217">
        <f t="shared" si="33"/>
        <v>-2.3287795611909716E-4</v>
      </c>
      <c r="M136" s="217">
        <f t="shared" si="34"/>
        <v>1.0435000340343281E-4</v>
      </c>
      <c r="N136" s="217">
        <f t="shared" si="35"/>
        <v>-2.5315632085225507E-4</v>
      </c>
      <c r="O136" s="217">
        <f t="shared" si="36"/>
        <v>-2.0189061309319796E-4</v>
      </c>
      <c r="P136" s="217">
        <f t="shared" si="37"/>
        <v>1.2134006759048117E-4</v>
      </c>
      <c r="Q136" s="4" t="s">
        <v>256</v>
      </c>
      <c r="R136" s="4" t="s">
        <v>511</v>
      </c>
      <c r="S136" s="4" t="s">
        <v>766</v>
      </c>
      <c r="U136" s="210">
        <f t="shared" si="43"/>
        <v>124</v>
      </c>
      <c r="V136" s="210">
        <f t="shared" si="51"/>
        <v>1559.7484276729519</v>
      </c>
      <c r="W136" s="215">
        <f t="shared" si="45"/>
        <v>5.8110257825746234E-12</v>
      </c>
      <c r="X136" s="216">
        <f t="shared" si="46"/>
        <v>-112.35747197663095</v>
      </c>
      <c r="Y136" s="215">
        <f t="shared" si="47"/>
        <v>4.989501213644246E-11</v>
      </c>
      <c r="Z136" s="216">
        <f t="shared" si="48"/>
        <v>-103.01942867400467</v>
      </c>
      <c r="AA136" s="215">
        <f t="shared" si="49"/>
        <v>3.7241332527197635E-10</v>
      </c>
      <c r="AB136" s="216">
        <f t="shared" si="50"/>
        <v>-94.289747879792159</v>
      </c>
    </row>
    <row r="137" spans="1:28" ht="17.25" customHeight="1">
      <c r="A137" s="213">
        <f t="shared" si="56"/>
        <v>40500</v>
      </c>
      <c r="B137" s="55">
        <v>29846</v>
      </c>
      <c r="C137" s="55">
        <v>27795</v>
      </c>
      <c r="D137" s="55">
        <v>11247</v>
      </c>
      <c r="E137" s="213" t="str">
        <f t="shared" si="52"/>
        <v>7496</v>
      </c>
      <c r="F137" s="213" t="str">
        <f t="shared" si="52"/>
        <v>6C93</v>
      </c>
      <c r="G137" s="213" t="str">
        <f t="shared" si="52"/>
        <v>2BEF</v>
      </c>
      <c r="H137" s="210">
        <f t="shared" si="53"/>
        <v>-24.041353383458045</v>
      </c>
      <c r="I137" s="210">
        <f t="shared" si="54"/>
        <v>12.530075187969487</v>
      </c>
      <c r="J137" s="210">
        <f t="shared" si="55"/>
        <v>8.2706766917908681E-2</v>
      </c>
      <c r="K137" s="217">
        <f t="shared" si="32"/>
        <v>-3.3312455697092095E-4</v>
      </c>
      <c r="L137" s="217">
        <f t="shared" si="33"/>
        <v>-2.6887187612355717E-4</v>
      </c>
      <c r="M137" s="217">
        <f t="shared" si="34"/>
        <v>1.0435000340343281E-4</v>
      </c>
      <c r="N137" s="217">
        <f t="shared" si="35"/>
        <v>-3.1098257917034321E-4</v>
      </c>
      <c r="O137" s="217">
        <f t="shared" si="36"/>
        <v>-2.3788453309765798E-4</v>
      </c>
      <c r="P137" s="217">
        <f t="shared" si="37"/>
        <v>1.2134006759048117E-4</v>
      </c>
      <c r="Q137" s="4" t="s">
        <v>257</v>
      </c>
      <c r="R137" s="4" t="s">
        <v>512</v>
      </c>
      <c r="S137" s="4" t="s">
        <v>767</v>
      </c>
      <c r="U137" s="210">
        <f t="shared" si="43"/>
        <v>125</v>
      </c>
      <c r="V137" s="210">
        <f t="shared" si="51"/>
        <v>1572.3270440251531</v>
      </c>
      <c r="W137" s="215">
        <f t="shared" si="45"/>
        <v>3.8297360900433169E-11</v>
      </c>
      <c r="X137" s="216">
        <f t="shared" si="46"/>
        <v>-104.16831152555373</v>
      </c>
      <c r="Y137" s="215">
        <f t="shared" si="47"/>
        <v>1.2019478513312189E-10</v>
      </c>
      <c r="Z137" s="216">
        <f t="shared" si="48"/>
        <v>-99.201143745715427</v>
      </c>
      <c r="AA137" s="215">
        <f t="shared" si="49"/>
        <v>4.1200844874230401E-10</v>
      </c>
      <c r="AB137" s="216">
        <f t="shared" si="50"/>
        <v>-93.850938781306027</v>
      </c>
    </row>
    <row r="138" spans="1:28" ht="17.25" customHeight="1">
      <c r="A138" s="213">
        <f t="shared" si="56"/>
        <v>40800</v>
      </c>
      <c r="B138" s="55">
        <v>29893</v>
      </c>
      <c r="C138" s="55">
        <v>27843</v>
      </c>
      <c r="D138" s="55">
        <v>11272</v>
      </c>
      <c r="E138" s="213" t="str">
        <f t="shared" si="52"/>
        <v>74C5</v>
      </c>
      <c r="F138" s="213" t="str">
        <f t="shared" si="52"/>
        <v>6CC3</v>
      </c>
      <c r="G138" s="213" t="str">
        <f t="shared" si="52"/>
        <v>2C08</v>
      </c>
      <c r="H138" s="210">
        <f t="shared" si="53"/>
        <v>22.958646616541955</v>
      </c>
      <c r="I138" s="210">
        <f t="shared" si="54"/>
        <v>60.530075187969487</v>
      </c>
      <c r="J138" s="210">
        <f t="shared" si="55"/>
        <v>25.082706766917909</v>
      </c>
      <c r="K138" s="217">
        <f t="shared" si="32"/>
        <v>-3.4529850609051852E-4</v>
      </c>
      <c r="L138" s="217">
        <f t="shared" si="33"/>
        <v>-1.6743446520189716E-4</v>
      </c>
      <c r="M138" s="217">
        <f t="shared" si="34"/>
        <v>1.4476511829175339E-4</v>
      </c>
      <c r="N138" s="217">
        <f t="shared" si="35"/>
        <v>-3.2315652828994077E-4</v>
      </c>
      <c r="O138" s="217">
        <f t="shared" si="36"/>
        <v>-1.3644712217599796E-4</v>
      </c>
      <c r="P138" s="217">
        <f t="shared" si="37"/>
        <v>1.6175518247880173E-4</v>
      </c>
      <c r="Q138" s="4" t="s">
        <v>258</v>
      </c>
      <c r="R138" s="4" t="s">
        <v>513</v>
      </c>
      <c r="S138" s="4" t="s">
        <v>768</v>
      </c>
      <c r="U138" s="210">
        <f t="shared" si="43"/>
        <v>126</v>
      </c>
      <c r="V138" s="210">
        <f t="shared" si="51"/>
        <v>1584.9056603773543</v>
      </c>
      <c r="W138" s="215">
        <f t="shared" si="45"/>
        <v>1.9954906113703913E-10</v>
      </c>
      <c r="X138" s="216">
        <f t="shared" si="46"/>
        <v>-96.999503111972345</v>
      </c>
      <c r="Y138" s="215">
        <f t="shared" si="47"/>
        <v>9.3175843570350092E-12</v>
      </c>
      <c r="Z138" s="216">
        <f t="shared" si="48"/>
        <v>-110.30696666657947</v>
      </c>
      <c r="AA138" s="215">
        <f t="shared" si="49"/>
        <v>7.4020149420415395E-11</v>
      </c>
      <c r="AB138" s="216">
        <f t="shared" si="50"/>
        <v>-101.30650042553575</v>
      </c>
    </row>
    <row r="139" spans="1:28" ht="17.25" customHeight="1">
      <c r="A139" s="213">
        <f t="shared" si="56"/>
        <v>41100</v>
      </c>
      <c r="B139" s="55">
        <v>29874</v>
      </c>
      <c r="C139" s="55">
        <v>27760</v>
      </c>
      <c r="D139" s="55">
        <v>11248</v>
      </c>
      <c r="E139" s="213" t="str">
        <f t="shared" si="52"/>
        <v>74B2</v>
      </c>
      <c r="F139" s="213" t="str">
        <f t="shared" si="52"/>
        <v>6C70</v>
      </c>
      <c r="G139" s="213" t="str">
        <f t="shared" si="52"/>
        <v>2BF0</v>
      </c>
      <c r="H139" s="210">
        <f t="shared" si="53"/>
        <v>3.9586466165419552</v>
      </c>
      <c r="I139" s="210">
        <f t="shared" si="54"/>
        <v>-22.469924812030513</v>
      </c>
      <c r="J139" s="210">
        <f t="shared" si="55"/>
        <v>1.0827067669179087</v>
      </c>
      <c r="K139" s="217">
        <f t="shared" si="32"/>
        <v>-2.9660270961212847E-4</v>
      </c>
      <c r="L139" s="217">
        <f t="shared" si="33"/>
        <v>-7.0979124547571805E-6</v>
      </c>
      <c r="M139" s="217">
        <f t="shared" si="34"/>
        <v>3.2259162380036396E-4</v>
      </c>
      <c r="N139" s="217">
        <f t="shared" si="35"/>
        <v>-2.7446073181155073E-4</v>
      </c>
      <c r="O139" s="217">
        <f t="shared" si="36"/>
        <v>2.3889430571142015E-5</v>
      </c>
      <c r="P139" s="217">
        <f t="shared" si="37"/>
        <v>3.3958168798741231E-4</v>
      </c>
      <c r="Q139" s="4" t="s">
        <v>259</v>
      </c>
      <c r="R139" s="4" t="s">
        <v>514</v>
      </c>
      <c r="S139" s="4" t="s">
        <v>769</v>
      </c>
      <c r="U139" s="210">
        <f t="shared" si="43"/>
        <v>127</v>
      </c>
      <c r="V139" s="210">
        <f t="shared" si="51"/>
        <v>1597.4842767295554</v>
      </c>
      <c r="W139" s="215">
        <f t="shared" si="45"/>
        <v>1.5350485714956605E-11</v>
      </c>
      <c r="X139" s="216">
        <f t="shared" si="46"/>
        <v>-108.13877878168027</v>
      </c>
      <c r="Y139" s="215">
        <f t="shared" si="47"/>
        <v>4.7767478027768813E-11</v>
      </c>
      <c r="Z139" s="216">
        <f t="shared" si="48"/>
        <v>-103.20867687490703</v>
      </c>
      <c r="AA139" s="215">
        <f t="shared" si="49"/>
        <v>8.1107894269199459E-11</v>
      </c>
      <c r="AB139" s="216">
        <f t="shared" si="50"/>
        <v>-100.90936873647033</v>
      </c>
    </row>
    <row r="140" spans="1:28" ht="17.25" customHeight="1">
      <c r="A140" s="213">
        <f t="shared" si="56"/>
        <v>41400</v>
      </c>
      <c r="B140" s="55">
        <v>29853</v>
      </c>
      <c r="C140" s="55">
        <v>27757</v>
      </c>
      <c r="D140" s="55">
        <v>11231</v>
      </c>
      <c r="E140" s="213" t="str">
        <f t="shared" si="52"/>
        <v>749D</v>
      </c>
      <c r="F140" s="213" t="str">
        <f t="shared" si="52"/>
        <v>6C6D</v>
      </c>
      <c r="G140" s="213" t="str">
        <f t="shared" si="52"/>
        <v>2BDF</v>
      </c>
      <c r="H140" s="210">
        <f t="shared" si="53"/>
        <v>-17.041353383458045</v>
      </c>
      <c r="I140" s="210">
        <f t="shared" si="54"/>
        <v>-25.469924812030513</v>
      </c>
      <c r="J140" s="210">
        <f t="shared" si="55"/>
        <v>-15.917293233082091</v>
      </c>
      <c r="K140" s="217">
        <f t="shared" ref="K140:K203" si="57">AVERAGE(H130:H140)/Q$3</f>
        <v>-2.3268947673424158E-4</v>
      </c>
      <c r="L140" s="217">
        <f t="shared" ref="L140:L203" si="58">AVERAGE(I130:I140)/R$3</f>
        <v>-2.0670055975221716E-4</v>
      </c>
      <c r="M140" s="217">
        <f t="shared" ref="M140:M203" si="59">AVERAGE(J130:J140)/S$3</f>
        <v>8.0100934470440476E-5</v>
      </c>
      <c r="N140" s="217">
        <f t="shared" ref="N140:N203" si="60">K140-Q$4</f>
        <v>-2.1054749893366386E-4</v>
      </c>
      <c r="O140" s="217">
        <f t="shared" ref="O140:O203" si="61">L140-R$4</f>
        <v>-1.7571321672631797E-4</v>
      </c>
      <c r="P140" s="217">
        <f t="shared" ref="P140:P203" si="62">M140-S$4</f>
        <v>9.7090998657488824E-5</v>
      </c>
      <c r="Q140" s="4" t="s">
        <v>260</v>
      </c>
      <c r="R140" s="4" t="s">
        <v>515</v>
      </c>
      <c r="S140" s="4" t="s">
        <v>770</v>
      </c>
      <c r="U140" s="210">
        <f t="shared" si="43"/>
        <v>128</v>
      </c>
      <c r="V140" s="210">
        <f t="shared" si="51"/>
        <v>1610.0628930817566</v>
      </c>
      <c r="W140" s="215">
        <f t="shared" si="45"/>
        <v>5.4940995162097355E-13</v>
      </c>
      <c r="X140" s="216">
        <f t="shared" si="46"/>
        <v>-122.60103478342955</v>
      </c>
      <c r="Y140" s="215">
        <f t="shared" si="47"/>
        <v>2.8555146862029189E-10</v>
      </c>
      <c r="Z140" s="216">
        <f t="shared" si="48"/>
        <v>-95.443156018727038</v>
      </c>
      <c r="AA140" s="215">
        <f t="shared" si="49"/>
        <v>1.8015168266574257E-14</v>
      </c>
      <c r="AB140" s="216">
        <f t="shared" si="50"/>
        <v>-137.44361677093818</v>
      </c>
    </row>
    <row r="141" spans="1:28" ht="17.25" customHeight="1">
      <c r="A141" s="213">
        <f t="shared" si="56"/>
        <v>41700</v>
      </c>
      <c r="B141" s="55">
        <v>29845</v>
      </c>
      <c r="C141" s="55">
        <v>27840</v>
      </c>
      <c r="D141" s="55">
        <v>11246</v>
      </c>
      <c r="E141" s="213" t="str">
        <f t="shared" si="52"/>
        <v>7495</v>
      </c>
      <c r="F141" s="213" t="str">
        <f t="shared" si="52"/>
        <v>6CC0</v>
      </c>
      <c r="G141" s="213" t="str">
        <f t="shared" si="52"/>
        <v>2BEE</v>
      </c>
      <c r="H141" s="210">
        <f t="shared" si="53"/>
        <v>-25.041353383458045</v>
      </c>
      <c r="I141" s="210">
        <f t="shared" si="54"/>
        <v>57.530075187969487</v>
      </c>
      <c r="J141" s="210">
        <f t="shared" si="55"/>
        <v>-0.91729323308209132</v>
      </c>
      <c r="K141" s="217">
        <f t="shared" si="57"/>
        <v>-1.6268926929655593E-4</v>
      </c>
      <c r="L141" s="217">
        <f t="shared" si="58"/>
        <v>1.7287168756754281E-4</v>
      </c>
      <c r="M141" s="217">
        <f t="shared" si="59"/>
        <v>2.0942930211306635E-4</v>
      </c>
      <c r="N141" s="217">
        <f t="shared" si="60"/>
        <v>-1.4054729149597822E-4</v>
      </c>
      <c r="O141" s="217">
        <f t="shared" si="61"/>
        <v>2.0385903059344201E-4</v>
      </c>
      <c r="P141" s="217">
        <f t="shared" si="62"/>
        <v>2.264193663001147E-4</v>
      </c>
      <c r="Q141" s="4" t="s">
        <v>261</v>
      </c>
      <c r="R141" s="4" t="s">
        <v>516</v>
      </c>
      <c r="S141" s="4" t="s">
        <v>771</v>
      </c>
    </row>
    <row r="142" spans="1:28" ht="17.25" customHeight="1">
      <c r="A142" s="213">
        <f t="shared" si="56"/>
        <v>42000</v>
      </c>
      <c r="B142" s="55">
        <v>29848</v>
      </c>
      <c r="C142" s="55">
        <v>27777</v>
      </c>
      <c r="D142" s="55">
        <v>11249</v>
      </c>
      <c r="E142" s="213" t="str">
        <f t="shared" si="52"/>
        <v>7498</v>
      </c>
      <c r="F142" s="213" t="str">
        <f t="shared" si="52"/>
        <v>6C81</v>
      </c>
      <c r="G142" s="213" t="str">
        <f t="shared" si="52"/>
        <v>2BF1</v>
      </c>
      <c r="H142" s="210">
        <f t="shared" si="53"/>
        <v>-22.041353383458045</v>
      </c>
      <c r="I142" s="210">
        <f t="shared" si="54"/>
        <v>-5.4699248120305128</v>
      </c>
      <c r="J142" s="210">
        <f t="shared" si="55"/>
        <v>2.0827067669179087</v>
      </c>
      <c r="K142" s="217">
        <f t="shared" si="57"/>
        <v>-1.9921111665534844E-4</v>
      </c>
      <c r="L142" s="217">
        <f t="shared" si="58"/>
        <v>3.168473675853828E-4</v>
      </c>
      <c r="M142" s="217">
        <f t="shared" si="59"/>
        <v>3.0642557784503574E-4</v>
      </c>
      <c r="N142" s="217">
        <f t="shared" si="60"/>
        <v>-1.7706913885477072E-4</v>
      </c>
      <c r="O142" s="217">
        <f t="shared" si="61"/>
        <v>3.4783471061128199E-4</v>
      </c>
      <c r="P142" s="217">
        <f t="shared" si="62"/>
        <v>3.2341564203208409E-4</v>
      </c>
      <c r="Q142" s="4" t="s">
        <v>262</v>
      </c>
      <c r="R142" s="4" t="s">
        <v>517</v>
      </c>
      <c r="S142" s="4" t="s">
        <v>772</v>
      </c>
    </row>
    <row r="143" spans="1:28" ht="17.25" customHeight="1">
      <c r="A143" s="213">
        <f t="shared" si="56"/>
        <v>42300</v>
      </c>
      <c r="B143" s="55">
        <v>29879</v>
      </c>
      <c r="C143" s="55">
        <v>27795</v>
      </c>
      <c r="D143" s="55">
        <v>11242</v>
      </c>
      <c r="E143" s="213" t="str">
        <f t="shared" si="52"/>
        <v>74B7</v>
      </c>
      <c r="F143" s="213" t="str">
        <f t="shared" si="52"/>
        <v>6C93</v>
      </c>
      <c r="G143" s="213" t="str">
        <f t="shared" si="52"/>
        <v>2BEA</v>
      </c>
      <c r="H143" s="210">
        <f t="shared" si="53"/>
        <v>8.9586466165419552</v>
      </c>
      <c r="I143" s="210">
        <f t="shared" si="54"/>
        <v>12.530075187969487</v>
      </c>
      <c r="J143" s="210">
        <f t="shared" si="55"/>
        <v>-4.9172932330820913</v>
      </c>
      <c r="K143" s="217">
        <f t="shared" si="57"/>
        <v>-2.0834157849504656E-4</v>
      </c>
      <c r="L143" s="217">
        <f t="shared" si="58"/>
        <v>3.9537955668602281E-4</v>
      </c>
      <c r="M143" s="217">
        <f t="shared" si="59"/>
        <v>3.9685819582119894E-5</v>
      </c>
      <c r="N143" s="217">
        <f t="shared" si="60"/>
        <v>-1.8619960069446884E-4</v>
      </c>
      <c r="O143" s="217">
        <f t="shared" si="61"/>
        <v>4.2636689971192201E-4</v>
      </c>
      <c r="P143" s="217">
        <f t="shared" si="62"/>
        <v>5.6675883769168248E-5</v>
      </c>
      <c r="Q143" s="4" t="s">
        <v>263</v>
      </c>
      <c r="R143" s="4" t="s">
        <v>518</v>
      </c>
      <c r="S143" s="4" t="s">
        <v>773</v>
      </c>
    </row>
    <row r="144" spans="1:28" ht="17.25" customHeight="1">
      <c r="A144" s="213">
        <f t="shared" si="56"/>
        <v>42600</v>
      </c>
      <c r="B144" s="55">
        <v>29890</v>
      </c>
      <c r="C144" s="55">
        <v>27785</v>
      </c>
      <c r="D144" s="55">
        <v>11246</v>
      </c>
      <c r="E144" s="213" t="str">
        <f t="shared" si="52"/>
        <v>74C2</v>
      </c>
      <c r="F144" s="213" t="str">
        <f t="shared" si="52"/>
        <v>6C89</v>
      </c>
      <c r="G144" s="213" t="str">
        <f t="shared" si="52"/>
        <v>2BEE</v>
      </c>
      <c r="H144" s="210">
        <f t="shared" si="53"/>
        <v>19.958646616541955</v>
      </c>
      <c r="I144" s="210">
        <f t="shared" si="54"/>
        <v>2.5300751879694872</v>
      </c>
      <c r="J144" s="210">
        <f t="shared" si="55"/>
        <v>-0.91729323308209132</v>
      </c>
      <c r="K144" s="217">
        <f t="shared" si="57"/>
        <v>-1.4442834561715964E-4</v>
      </c>
      <c r="L144" s="217">
        <f t="shared" si="58"/>
        <v>2.8739779667264279E-4</v>
      </c>
      <c r="M144" s="217">
        <f t="shared" si="59"/>
        <v>5.5851865537448121E-5</v>
      </c>
      <c r="N144" s="217">
        <f t="shared" si="60"/>
        <v>-1.2228636781658192E-4</v>
      </c>
      <c r="O144" s="217">
        <f t="shared" si="61"/>
        <v>3.1838513969854198E-4</v>
      </c>
      <c r="P144" s="217">
        <f t="shared" si="62"/>
        <v>7.2841929724496476E-5</v>
      </c>
      <c r="Q144" s="4" t="s">
        <v>264</v>
      </c>
      <c r="R144" s="4" t="s">
        <v>519</v>
      </c>
      <c r="S144" s="4" t="s">
        <v>774</v>
      </c>
    </row>
    <row r="145" spans="1:19" ht="17.25" customHeight="1">
      <c r="A145" s="213">
        <f t="shared" si="56"/>
        <v>42900</v>
      </c>
      <c r="B145" s="55">
        <v>29843</v>
      </c>
      <c r="C145" s="55">
        <v>27770</v>
      </c>
      <c r="D145" s="55">
        <v>11248</v>
      </c>
      <c r="E145" s="213" t="str">
        <f t="shared" si="52"/>
        <v>7493</v>
      </c>
      <c r="F145" s="213" t="str">
        <f t="shared" si="52"/>
        <v>6C7A</v>
      </c>
      <c r="G145" s="213" t="str">
        <f t="shared" si="52"/>
        <v>2BF0</v>
      </c>
      <c r="H145" s="210">
        <f t="shared" si="53"/>
        <v>-27.041353383458045</v>
      </c>
      <c r="I145" s="210">
        <f t="shared" si="54"/>
        <v>-12.469924812030513</v>
      </c>
      <c r="J145" s="210">
        <f t="shared" si="55"/>
        <v>1.0827067669179087</v>
      </c>
      <c r="K145" s="217">
        <f t="shared" si="57"/>
        <v>-1.4138485833726028E-4</v>
      </c>
      <c r="L145" s="217">
        <f t="shared" si="58"/>
        <v>2.677647493974828E-4</v>
      </c>
      <c r="M145" s="217">
        <f t="shared" si="59"/>
        <v>1.4476511829175339E-4</v>
      </c>
      <c r="N145" s="217">
        <f t="shared" si="60"/>
        <v>-1.1924288053668256E-4</v>
      </c>
      <c r="O145" s="217">
        <f t="shared" si="61"/>
        <v>2.9875209242338199E-4</v>
      </c>
      <c r="P145" s="217">
        <f t="shared" si="62"/>
        <v>1.6175518247880173E-4</v>
      </c>
      <c r="Q145" s="4" t="s">
        <v>265</v>
      </c>
      <c r="R145" s="4" t="s">
        <v>520</v>
      </c>
      <c r="S145" s="4" t="s">
        <v>775</v>
      </c>
    </row>
    <row r="146" spans="1:19" ht="17.25" customHeight="1">
      <c r="A146" s="213">
        <f t="shared" si="56"/>
        <v>43200</v>
      </c>
      <c r="B146" s="55">
        <v>29911</v>
      </c>
      <c r="C146" s="55">
        <v>27810</v>
      </c>
      <c r="D146" s="55">
        <v>11247</v>
      </c>
      <c r="E146" s="213" t="str">
        <f t="shared" si="52"/>
        <v>74D7</v>
      </c>
      <c r="F146" s="213" t="str">
        <f t="shared" si="52"/>
        <v>6CA2</v>
      </c>
      <c r="G146" s="213" t="str">
        <f t="shared" si="52"/>
        <v>2BEF</v>
      </c>
      <c r="H146" s="210">
        <f t="shared" si="53"/>
        <v>40.958646616541955</v>
      </c>
      <c r="I146" s="210">
        <f t="shared" si="54"/>
        <v>27.530075187969487</v>
      </c>
      <c r="J146" s="210">
        <f t="shared" si="55"/>
        <v>8.2706766917908681E-2</v>
      </c>
      <c r="K146" s="217">
        <f t="shared" si="57"/>
        <v>-6.5297676339775873E-5</v>
      </c>
      <c r="L146" s="217">
        <f t="shared" si="58"/>
        <v>2.350430039388828E-4</v>
      </c>
      <c r="M146" s="217">
        <f t="shared" si="59"/>
        <v>3.1602796604455773E-5</v>
      </c>
      <c r="N146" s="217">
        <f t="shared" si="60"/>
        <v>-4.3155698539198154E-5</v>
      </c>
      <c r="O146" s="217">
        <f t="shared" si="61"/>
        <v>2.6603034696478199E-4</v>
      </c>
      <c r="P146" s="217">
        <f t="shared" si="62"/>
        <v>4.8592860791504128E-5</v>
      </c>
      <c r="Q146" s="4" t="s">
        <v>266</v>
      </c>
      <c r="R146" s="4" t="s">
        <v>521</v>
      </c>
      <c r="S146" s="4" t="s">
        <v>776</v>
      </c>
    </row>
    <row r="147" spans="1:19" ht="17.25" customHeight="1">
      <c r="A147" s="213">
        <f t="shared" si="56"/>
        <v>43500</v>
      </c>
      <c r="B147" s="55">
        <v>29887</v>
      </c>
      <c r="C147" s="55">
        <v>27772</v>
      </c>
      <c r="D147" s="55">
        <v>11253</v>
      </c>
      <c r="E147" s="213" t="str">
        <f t="shared" si="52"/>
        <v>74BF</v>
      </c>
      <c r="F147" s="213" t="str">
        <f t="shared" si="52"/>
        <v>6C7C</v>
      </c>
      <c r="G147" s="213" t="str">
        <f t="shared" si="52"/>
        <v>2BF5</v>
      </c>
      <c r="H147" s="210">
        <f t="shared" si="53"/>
        <v>16.958646616541955</v>
      </c>
      <c r="I147" s="210">
        <f t="shared" si="54"/>
        <v>-10.469924812030513</v>
      </c>
      <c r="J147" s="210">
        <f t="shared" si="55"/>
        <v>6.0827067669179087</v>
      </c>
      <c r="K147" s="217">
        <f t="shared" si="57"/>
        <v>-4.4279307417883454E-6</v>
      </c>
      <c r="L147" s="217">
        <f t="shared" si="58"/>
        <v>3.168473675853828E-4</v>
      </c>
      <c r="M147" s="217">
        <f t="shared" si="59"/>
        <v>1.0435000340343281E-4</v>
      </c>
      <c r="N147" s="217">
        <f t="shared" si="60"/>
        <v>1.7714047058789374E-5</v>
      </c>
      <c r="O147" s="217">
        <f t="shared" si="61"/>
        <v>3.4783471061128199E-4</v>
      </c>
      <c r="P147" s="217">
        <f t="shared" si="62"/>
        <v>1.2134006759048117E-4</v>
      </c>
      <c r="Q147" s="4" t="s">
        <v>267</v>
      </c>
      <c r="R147" s="4" t="s">
        <v>522</v>
      </c>
      <c r="S147" s="4" t="s">
        <v>777</v>
      </c>
    </row>
    <row r="148" spans="1:19" ht="17.25" customHeight="1">
      <c r="A148" s="213">
        <f t="shared" si="56"/>
        <v>43800</v>
      </c>
      <c r="B148" s="55">
        <v>29871</v>
      </c>
      <c r="C148" s="55">
        <v>27771</v>
      </c>
      <c r="D148" s="55">
        <v>11241</v>
      </c>
      <c r="E148" s="213" t="str">
        <f t="shared" si="52"/>
        <v>74AF</v>
      </c>
      <c r="F148" s="213" t="str">
        <f t="shared" si="52"/>
        <v>6C7B</v>
      </c>
      <c r="G148" s="213" t="str">
        <f t="shared" si="52"/>
        <v>2BE9</v>
      </c>
      <c r="H148" s="210">
        <f t="shared" si="53"/>
        <v>0.95864661654195515</v>
      </c>
      <c r="I148" s="210">
        <f t="shared" si="54"/>
        <v>-11.469924812030513</v>
      </c>
      <c r="J148" s="210">
        <f t="shared" si="55"/>
        <v>-5.9172932330820913</v>
      </c>
      <c r="K148" s="217">
        <f t="shared" si="57"/>
        <v>7.1659251255696058E-5</v>
      </c>
      <c r="L148" s="217">
        <f t="shared" si="58"/>
        <v>2.3831517848474281E-4</v>
      </c>
      <c r="M148" s="217">
        <f t="shared" si="59"/>
        <v>5.5851865537448121E-5</v>
      </c>
      <c r="N148" s="217">
        <f t="shared" si="60"/>
        <v>9.3801229056273777E-5</v>
      </c>
      <c r="O148" s="217">
        <f t="shared" si="61"/>
        <v>2.6930252151064198E-4</v>
      </c>
      <c r="P148" s="217">
        <f t="shared" si="62"/>
        <v>7.2841929724496476E-5</v>
      </c>
      <c r="Q148" s="4" t="s">
        <v>268</v>
      </c>
      <c r="R148" s="4" t="s">
        <v>523</v>
      </c>
      <c r="S148" s="4" t="s">
        <v>778</v>
      </c>
    </row>
    <row r="149" spans="1:19" ht="17.25" customHeight="1">
      <c r="A149" s="213">
        <f t="shared" si="56"/>
        <v>44100</v>
      </c>
      <c r="B149" s="55">
        <v>29873</v>
      </c>
      <c r="C149" s="55">
        <v>27741</v>
      </c>
      <c r="D149" s="55">
        <v>11254</v>
      </c>
      <c r="E149" s="213" t="str">
        <f t="shared" si="52"/>
        <v>74B1</v>
      </c>
      <c r="F149" s="213" t="str">
        <f t="shared" si="52"/>
        <v>6C5D</v>
      </c>
      <c r="G149" s="213" t="str">
        <f t="shared" si="52"/>
        <v>2BF6</v>
      </c>
      <c r="H149" s="210">
        <f t="shared" si="53"/>
        <v>2.9586466165419552</v>
      </c>
      <c r="I149" s="210">
        <f t="shared" si="54"/>
        <v>-41.469924812030513</v>
      </c>
      <c r="J149" s="210">
        <f t="shared" si="55"/>
        <v>7.0827067669179087</v>
      </c>
      <c r="K149" s="217">
        <f t="shared" si="57"/>
        <v>1.0789505657708538E-5</v>
      </c>
      <c r="L149" s="217">
        <f t="shared" si="58"/>
        <v>-9.5446625192977175E-5</v>
      </c>
      <c r="M149" s="217">
        <f t="shared" si="59"/>
        <v>-8.9642548060505961E-5</v>
      </c>
      <c r="N149" s="217">
        <f t="shared" si="60"/>
        <v>3.2931483458286256E-5</v>
      </c>
      <c r="O149" s="217">
        <f t="shared" si="61"/>
        <v>-6.4459282167077979E-5</v>
      </c>
      <c r="P149" s="217">
        <f t="shared" si="62"/>
        <v>-7.2652483873457613E-5</v>
      </c>
      <c r="Q149" s="4" t="s">
        <v>269</v>
      </c>
      <c r="R149" s="4" t="s">
        <v>524</v>
      </c>
      <c r="S149" s="4" t="s">
        <v>779</v>
      </c>
    </row>
    <row r="150" spans="1:19" ht="17.25" customHeight="1">
      <c r="A150" s="213">
        <f t="shared" si="56"/>
        <v>44400</v>
      </c>
      <c r="B150" s="55">
        <v>29874</v>
      </c>
      <c r="C150" s="55">
        <v>27814</v>
      </c>
      <c r="D150" s="55">
        <v>11274</v>
      </c>
      <c r="E150" s="213" t="str">
        <f t="shared" si="52"/>
        <v>74B2</v>
      </c>
      <c r="F150" s="213" t="str">
        <f t="shared" si="52"/>
        <v>6CA6</v>
      </c>
      <c r="G150" s="213" t="str">
        <f t="shared" si="52"/>
        <v>2C0A</v>
      </c>
      <c r="H150" s="210">
        <f t="shared" si="53"/>
        <v>3.9586466165419552</v>
      </c>
      <c r="I150" s="210">
        <f t="shared" si="54"/>
        <v>31.530075187969487</v>
      </c>
      <c r="J150" s="210">
        <f t="shared" si="55"/>
        <v>27.082706766917909</v>
      </c>
      <c r="K150" s="217">
        <f t="shared" si="57"/>
        <v>1.0789505657708538E-5</v>
      </c>
      <c r="L150" s="217">
        <f t="shared" si="58"/>
        <v>8.1250800283462813E-5</v>
      </c>
      <c r="M150" s="217">
        <f t="shared" si="59"/>
        <v>1.2051604935876105E-4</v>
      </c>
      <c r="N150" s="217">
        <f t="shared" si="60"/>
        <v>3.2931483458286256E-5</v>
      </c>
      <c r="O150" s="217">
        <f t="shared" si="61"/>
        <v>1.1223814330936201E-4</v>
      </c>
      <c r="P150" s="217">
        <f t="shared" si="62"/>
        <v>1.3750611354580941E-4</v>
      </c>
      <c r="Q150" s="4" t="s">
        <v>270</v>
      </c>
      <c r="R150" s="4" t="s">
        <v>525</v>
      </c>
      <c r="S150" s="4" t="s">
        <v>780</v>
      </c>
    </row>
    <row r="151" spans="1:19" ht="17.25" customHeight="1">
      <c r="A151" s="213">
        <f t="shared" si="56"/>
        <v>44700</v>
      </c>
      <c r="B151" s="55">
        <v>29858</v>
      </c>
      <c r="C151" s="55">
        <v>27806</v>
      </c>
      <c r="D151" s="55">
        <v>11249</v>
      </c>
      <c r="E151" s="213" t="str">
        <f t="shared" si="52"/>
        <v>74A2</v>
      </c>
      <c r="F151" s="213" t="str">
        <f t="shared" si="52"/>
        <v>6C9E</v>
      </c>
      <c r="G151" s="213" t="str">
        <f t="shared" si="52"/>
        <v>2BF1</v>
      </c>
      <c r="H151" s="210">
        <f t="shared" si="53"/>
        <v>-12.041353383458045</v>
      </c>
      <c r="I151" s="210">
        <f t="shared" si="54"/>
        <v>23.530075187969487</v>
      </c>
      <c r="J151" s="210">
        <f t="shared" si="55"/>
        <v>2.0827067669179087</v>
      </c>
      <c r="K151" s="217">
        <f t="shared" si="57"/>
        <v>2.6006942057205422E-5</v>
      </c>
      <c r="L151" s="217">
        <f t="shared" si="58"/>
        <v>2.415873530306028E-4</v>
      </c>
      <c r="M151" s="217">
        <f t="shared" si="59"/>
        <v>2.6601046295671513E-4</v>
      </c>
      <c r="N151" s="217">
        <f t="shared" si="60"/>
        <v>4.8148919857783138E-5</v>
      </c>
      <c r="O151" s="217">
        <f t="shared" si="61"/>
        <v>2.7257469605650197E-4</v>
      </c>
      <c r="P151" s="217">
        <f t="shared" si="62"/>
        <v>2.8300052714376348E-4</v>
      </c>
      <c r="Q151" s="4" t="s">
        <v>271</v>
      </c>
      <c r="R151" s="4" t="s">
        <v>526</v>
      </c>
      <c r="S151" s="4" t="s">
        <v>781</v>
      </c>
    </row>
    <row r="152" spans="1:19" ht="17.25" customHeight="1">
      <c r="A152" s="213">
        <f t="shared" si="56"/>
        <v>45000</v>
      </c>
      <c r="B152" s="55">
        <v>29903</v>
      </c>
      <c r="C152" s="55">
        <v>27740</v>
      </c>
      <c r="D152" s="55">
        <v>11247</v>
      </c>
      <c r="E152" s="213" t="str">
        <f t="shared" si="52"/>
        <v>74CF</v>
      </c>
      <c r="F152" s="213" t="str">
        <f t="shared" si="52"/>
        <v>6C5C</v>
      </c>
      <c r="G152" s="213" t="str">
        <f t="shared" si="52"/>
        <v>2BEF</v>
      </c>
      <c r="H152" s="210">
        <f t="shared" si="53"/>
        <v>32.958646616541955</v>
      </c>
      <c r="I152" s="210">
        <f t="shared" si="54"/>
        <v>-42.469924812030513</v>
      </c>
      <c r="J152" s="210">
        <f t="shared" si="55"/>
        <v>8.2706766917908681E-2</v>
      </c>
      <c r="K152" s="217">
        <f t="shared" si="57"/>
        <v>2.0252920429136926E-4</v>
      </c>
      <c r="L152" s="217">
        <f t="shared" si="58"/>
        <v>-8.5630101555397181E-5</v>
      </c>
      <c r="M152" s="217">
        <f t="shared" si="59"/>
        <v>2.7409348593437926E-4</v>
      </c>
      <c r="N152" s="217">
        <f t="shared" si="60"/>
        <v>2.2467118209194698E-4</v>
      </c>
      <c r="O152" s="217">
        <f t="shared" si="61"/>
        <v>-5.4642758529497985E-5</v>
      </c>
      <c r="P152" s="217">
        <f t="shared" si="62"/>
        <v>2.9108355012142761E-4</v>
      </c>
      <c r="Q152" s="4" t="s">
        <v>272</v>
      </c>
      <c r="R152" s="4" t="s">
        <v>527</v>
      </c>
      <c r="S152" s="4" t="s">
        <v>782</v>
      </c>
    </row>
    <row r="153" spans="1:19" ht="17.25" customHeight="1">
      <c r="A153" s="213">
        <f t="shared" si="56"/>
        <v>45300</v>
      </c>
      <c r="B153" s="55">
        <v>29868</v>
      </c>
      <c r="C153" s="55">
        <v>27825</v>
      </c>
      <c r="D153" s="55">
        <v>11268</v>
      </c>
      <c r="E153" s="213" t="str">
        <f t="shared" si="52"/>
        <v>74AC</v>
      </c>
      <c r="F153" s="213" t="str">
        <f t="shared" si="52"/>
        <v>6CB1</v>
      </c>
      <c r="G153" s="213" t="str">
        <f t="shared" si="52"/>
        <v>2C04</v>
      </c>
      <c r="H153" s="210">
        <f t="shared" si="53"/>
        <v>-2.0413533834580448</v>
      </c>
      <c r="I153" s="210">
        <f t="shared" si="54"/>
        <v>42.530075187969487</v>
      </c>
      <c r="J153" s="210">
        <f t="shared" si="55"/>
        <v>21.082706766917909</v>
      </c>
      <c r="K153" s="217">
        <f t="shared" si="57"/>
        <v>2.6339894988935676E-4</v>
      </c>
      <c r="L153" s="217">
        <f t="shared" si="58"/>
        <v>7.1434276645882818E-5</v>
      </c>
      <c r="M153" s="217">
        <f t="shared" si="59"/>
        <v>4.2767092250999749E-4</v>
      </c>
      <c r="N153" s="217">
        <f t="shared" si="60"/>
        <v>2.8554092768993445E-4</v>
      </c>
      <c r="O153" s="217">
        <f t="shared" si="61"/>
        <v>1.0242161967178201E-4</v>
      </c>
      <c r="P153" s="217">
        <f t="shared" si="62"/>
        <v>4.4466098669704583E-4</v>
      </c>
      <c r="Q153" s="4" t="s">
        <v>273</v>
      </c>
      <c r="R153" s="4" t="s">
        <v>528</v>
      </c>
      <c r="S153" s="4" t="s">
        <v>783</v>
      </c>
    </row>
    <row r="154" spans="1:19" ht="17.25" customHeight="1">
      <c r="A154" s="213">
        <f t="shared" si="56"/>
        <v>45600</v>
      </c>
      <c r="B154" s="55">
        <v>29892</v>
      </c>
      <c r="C154" s="55">
        <v>27803</v>
      </c>
      <c r="D154" s="55">
        <v>11252</v>
      </c>
      <c r="E154" s="213" t="str">
        <f t="shared" si="52"/>
        <v>74C4</v>
      </c>
      <c r="F154" s="213" t="str">
        <f t="shared" si="52"/>
        <v>6C9B</v>
      </c>
      <c r="G154" s="213" t="str">
        <f t="shared" si="52"/>
        <v>2BF4</v>
      </c>
      <c r="H154" s="210">
        <f t="shared" si="53"/>
        <v>21.958646616541955</v>
      </c>
      <c r="I154" s="210">
        <f t="shared" si="54"/>
        <v>20.530075187969487</v>
      </c>
      <c r="J154" s="210">
        <f t="shared" si="55"/>
        <v>5.0827067669179087</v>
      </c>
      <c r="K154" s="217">
        <f t="shared" si="57"/>
        <v>3.0296428452804871E-4</v>
      </c>
      <c r="L154" s="217">
        <f t="shared" si="58"/>
        <v>9.7611673012762813E-5</v>
      </c>
      <c r="M154" s="217">
        <f t="shared" si="59"/>
        <v>5.0850115228663866E-4</v>
      </c>
      <c r="N154" s="217">
        <f t="shared" si="60"/>
        <v>3.2510626232862641E-4</v>
      </c>
      <c r="O154" s="217">
        <f t="shared" si="61"/>
        <v>1.2859901603866201E-4</v>
      </c>
      <c r="P154" s="217">
        <f t="shared" si="62"/>
        <v>5.2549121647368707E-4</v>
      </c>
      <c r="Q154" s="4" t="s">
        <v>274</v>
      </c>
      <c r="R154" s="4" t="s">
        <v>529</v>
      </c>
      <c r="S154" s="4" t="s">
        <v>784</v>
      </c>
    </row>
    <row r="155" spans="1:19" ht="17.25" customHeight="1">
      <c r="A155" s="213">
        <f t="shared" si="56"/>
        <v>45900</v>
      </c>
      <c r="B155" s="55">
        <v>29823</v>
      </c>
      <c r="C155" s="55">
        <v>27801</v>
      </c>
      <c r="D155" s="55">
        <v>11263</v>
      </c>
      <c r="E155" s="213" t="str">
        <f t="shared" si="52"/>
        <v>747F</v>
      </c>
      <c r="F155" s="213" t="str">
        <f t="shared" si="52"/>
        <v>6C99</v>
      </c>
      <c r="G155" s="213" t="str">
        <f t="shared" si="52"/>
        <v>2BFF</v>
      </c>
      <c r="H155" s="210">
        <f t="shared" si="53"/>
        <v>-47.041353383458045</v>
      </c>
      <c r="I155" s="210">
        <f t="shared" si="54"/>
        <v>18.530075187969487</v>
      </c>
      <c r="J155" s="210">
        <f t="shared" si="55"/>
        <v>16.082706766917909</v>
      </c>
      <c r="K155" s="217">
        <f t="shared" si="57"/>
        <v>9.9050636774790458E-5</v>
      </c>
      <c r="L155" s="217">
        <f t="shared" si="58"/>
        <v>1.4996646574652283E-4</v>
      </c>
      <c r="M155" s="217">
        <f t="shared" si="59"/>
        <v>6.4591254290692862E-4</v>
      </c>
      <c r="N155" s="217">
        <f t="shared" si="60"/>
        <v>1.2119261457536818E-4</v>
      </c>
      <c r="O155" s="217">
        <f t="shared" si="61"/>
        <v>1.8095380877242203E-4</v>
      </c>
      <c r="P155" s="217">
        <f t="shared" si="62"/>
        <v>6.6290260709397702E-4</v>
      </c>
      <c r="Q155" s="4" t="s">
        <v>275</v>
      </c>
      <c r="R155" s="4" t="s">
        <v>530</v>
      </c>
      <c r="S155" s="4" t="s">
        <v>785</v>
      </c>
    </row>
    <row r="156" spans="1:19" ht="17.25" customHeight="1">
      <c r="A156" s="213">
        <f t="shared" si="56"/>
        <v>46200</v>
      </c>
      <c r="B156" s="55">
        <v>29824</v>
      </c>
      <c r="C156" s="55">
        <v>27706</v>
      </c>
      <c r="D156" s="55">
        <v>11217</v>
      </c>
      <c r="E156" s="213" t="str">
        <f t="shared" si="52"/>
        <v>7480</v>
      </c>
      <c r="F156" s="213" t="str">
        <f t="shared" si="52"/>
        <v>6C3A</v>
      </c>
      <c r="G156" s="213" t="str">
        <f t="shared" si="52"/>
        <v>2BD1</v>
      </c>
      <c r="H156" s="210">
        <f t="shared" si="53"/>
        <v>-46.041353383458045</v>
      </c>
      <c r="I156" s="210">
        <f t="shared" si="54"/>
        <v>-76.469924812030513</v>
      </c>
      <c r="J156" s="210">
        <f t="shared" si="55"/>
        <v>-29.917293233082091</v>
      </c>
      <c r="K156" s="217">
        <f t="shared" si="57"/>
        <v>4.1224378456702301E-5</v>
      </c>
      <c r="L156" s="217">
        <f t="shared" si="58"/>
        <v>-5.9452705188517179E-5</v>
      </c>
      <c r="M156" s="217">
        <f t="shared" si="59"/>
        <v>3.95338830599341E-4</v>
      </c>
      <c r="N156" s="217">
        <f t="shared" si="60"/>
        <v>6.3366356257280027E-5</v>
      </c>
      <c r="O156" s="217">
        <f t="shared" si="61"/>
        <v>-2.8465362162617983E-5</v>
      </c>
      <c r="P156" s="217">
        <f t="shared" si="62"/>
        <v>4.1232889478638935E-4</v>
      </c>
      <c r="Q156" s="4" t="s">
        <v>276</v>
      </c>
      <c r="R156" s="4" t="s">
        <v>531</v>
      </c>
      <c r="S156" s="4" t="s">
        <v>786</v>
      </c>
    </row>
    <row r="157" spans="1:19" ht="17.25" customHeight="1">
      <c r="A157" s="213">
        <f t="shared" si="56"/>
        <v>46500</v>
      </c>
      <c r="B157" s="55">
        <v>29817</v>
      </c>
      <c r="C157" s="55">
        <v>27682</v>
      </c>
      <c r="D157" s="55">
        <v>11205</v>
      </c>
      <c r="E157" s="213" t="str">
        <f t="shared" si="52"/>
        <v>7479</v>
      </c>
      <c r="F157" s="213" t="str">
        <f t="shared" si="52"/>
        <v>6C22</v>
      </c>
      <c r="G157" s="213" t="str">
        <f t="shared" si="52"/>
        <v>2BC5</v>
      </c>
      <c r="H157" s="210">
        <f t="shared" si="53"/>
        <v>-53.041353383458045</v>
      </c>
      <c r="I157" s="210">
        <f t="shared" si="54"/>
        <v>-100.46992481203051</v>
      </c>
      <c r="J157" s="210">
        <f t="shared" si="55"/>
        <v>-41.917293233082091</v>
      </c>
      <c r="K157" s="217">
        <f t="shared" si="57"/>
        <v>-2.4486342585383907E-4</v>
      </c>
      <c r="L157" s="217">
        <f t="shared" si="58"/>
        <v>-4.7829104705859714E-4</v>
      </c>
      <c r="M157" s="217">
        <f t="shared" si="59"/>
        <v>5.5851865537448121E-5</v>
      </c>
      <c r="N157" s="217">
        <f t="shared" si="60"/>
        <v>-2.2272144805326135E-4</v>
      </c>
      <c r="O157" s="217">
        <f t="shared" si="61"/>
        <v>-4.4730370403269794E-4</v>
      </c>
      <c r="P157" s="217">
        <f t="shared" si="62"/>
        <v>7.2841929724496476E-5</v>
      </c>
      <c r="Q157" s="4" t="s">
        <v>277</v>
      </c>
      <c r="R157" s="4" t="s">
        <v>532</v>
      </c>
      <c r="S157" s="4" t="s">
        <v>787</v>
      </c>
    </row>
    <row r="158" spans="1:19" ht="17.25" customHeight="1">
      <c r="A158" s="213">
        <f t="shared" si="56"/>
        <v>46800</v>
      </c>
      <c r="B158" s="55">
        <v>29816</v>
      </c>
      <c r="C158" s="55">
        <v>27764</v>
      </c>
      <c r="D158" s="55">
        <v>11253</v>
      </c>
      <c r="E158" s="213" t="str">
        <f t="shared" si="52"/>
        <v>7478</v>
      </c>
      <c r="F158" s="213" t="str">
        <f t="shared" si="52"/>
        <v>6C74</v>
      </c>
      <c r="G158" s="213" t="str">
        <f t="shared" si="52"/>
        <v>2BF5</v>
      </c>
      <c r="H158" s="210">
        <f t="shared" si="53"/>
        <v>-54.041353383458045</v>
      </c>
      <c r="I158" s="210">
        <f t="shared" si="54"/>
        <v>-18.469924812030513</v>
      </c>
      <c r="J158" s="210">
        <f t="shared" si="55"/>
        <v>6.0827067669179087</v>
      </c>
      <c r="K158" s="217">
        <f t="shared" si="57"/>
        <v>-4.6095102272669479E-4</v>
      </c>
      <c r="L158" s="217">
        <f t="shared" si="58"/>
        <v>-5.044684434254771E-4</v>
      </c>
      <c r="M158" s="217">
        <f t="shared" si="59"/>
        <v>5.5851865537448121E-5</v>
      </c>
      <c r="N158" s="217">
        <f t="shared" si="60"/>
        <v>-4.3880904492611705E-4</v>
      </c>
      <c r="O158" s="217">
        <f t="shared" si="61"/>
        <v>-4.7348110039957791E-4</v>
      </c>
      <c r="P158" s="217">
        <f t="shared" si="62"/>
        <v>7.2841929724496476E-5</v>
      </c>
      <c r="Q158" s="4" t="s">
        <v>278</v>
      </c>
      <c r="R158" s="4" t="s">
        <v>533</v>
      </c>
      <c r="S158" s="4" t="s">
        <v>788</v>
      </c>
    </row>
    <row r="159" spans="1:19" ht="17.25" customHeight="1">
      <c r="A159" s="213">
        <f t="shared" si="56"/>
        <v>47100</v>
      </c>
      <c r="B159" s="55">
        <v>29809</v>
      </c>
      <c r="C159" s="55">
        <v>27717</v>
      </c>
      <c r="D159" s="55">
        <v>11221</v>
      </c>
      <c r="E159" s="213" t="str">
        <f t="shared" si="52"/>
        <v>7471</v>
      </c>
      <c r="F159" s="213" t="str">
        <f t="shared" si="52"/>
        <v>6C45</v>
      </c>
      <c r="G159" s="213" t="str">
        <f t="shared" si="52"/>
        <v>2BD5</v>
      </c>
      <c r="H159" s="210">
        <f t="shared" si="53"/>
        <v>-61.041353383458045</v>
      </c>
      <c r="I159" s="210">
        <f t="shared" si="54"/>
        <v>-65.469924812030513</v>
      </c>
      <c r="J159" s="210">
        <f t="shared" si="55"/>
        <v>-25.917293233082091</v>
      </c>
      <c r="K159" s="217">
        <f t="shared" si="57"/>
        <v>-6.4964723408045613E-4</v>
      </c>
      <c r="L159" s="217">
        <f t="shared" si="58"/>
        <v>-6.8116586890191707E-4</v>
      </c>
      <c r="M159" s="217">
        <f t="shared" si="59"/>
        <v>-1.058085940158342E-4</v>
      </c>
      <c r="N159" s="217">
        <f t="shared" si="60"/>
        <v>-6.2750525627987839E-4</v>
      </c>
      <c r="O159" s="217">
        <f t="shared" si="61"/>
        <v>-6.5017852587601782E-4</v>
      </c>
      <c r="P159" s="217">
        <f t="shared" si="62"/>
        <v>-8.8818529828785855E-5</v>
      </c>
      <c r="Q159" s="4" t="s">
        <v>279</v>
      </c>
      <c r="R159" s="4" t="s">
        <v>534</v>
      </c>
      <c r="S159" s="4" t="s">
        <v>789</v>
      </c>
    </row>
    <row r="160" spans="1:19" ht="17.25" customHeight="1">
      <c r="A160" s="213">
        <f t="shared" si="56"/>
        <v>47400</v>
      </c>
      <c r="B160" s="55">
        <v>29892</v>
      </c>
      <c r="C160" s="55">
        <v>27715</v>
      </c>
      <c r="D160" s="55">
        <v>11220</v>
      </c>
      <c r="E160" s="213" t="str">
        <f t="shared" si="52"/>
        <v>74C4</v>
      </c>
      <c r="F160" s="213" t="str">
        <f t="shared" si="52"/>
        <v>6C43</v>
      </c>
      <c r="G160" s="213" t="str">
        <f t="shared" si="52"/>
        <v>2BD4</v>
      </c>
      <c r="H160" s="210">
        <f t="shared" si="53"/>
        <v>21.958646616541955</v>
      </c>
      <c r="I160" s="210">
        <f t="shared" si="54"/>
        <v>-67.469924812030513</v>
      </c>
      <c r="J160" s="210">
        <f t="shared" si="55"/>
        <v>-26.917293233082091</v>
      </c>
      <c r="K160" s="217">
        <f t="shared" si="57"/>
        <v>-5.91820975762368E-4</v>
      </c>
      <c r="L160" s="217">
        <f t="shared" si="58"/>
        <v>-7.6624240709427711E-4</v>
      </c>
      <c r="M160" s="217">
        <f t="shared" si="59"/>
        <v>-3.8063137525641414E-4</v>
      </c>
      <c r="N160" s="217">
        <f t="shared" si="60"/>
        <v>-5.6967899796179025E-4</v>
      </c>
      <c r="O160" s="217">
        <f t="shared" si="61"/>
        <v>-7.3525506406837797E-4</v>
      </c>
      <c r="P160" s="217">
        <f t="shared" si="62"/>
        <v>-3.6364131106936579E-4</v>
      </c>
      <c r="Q160" s="4" t="s">
        <v>280</v>
      </c>
      <c r="R160" s="4" t="s">
        <v>535</v>
      </c>
      <c r="S160" s="4" t="s">
        <v>790</v>
      </c>
    </row>
    <row r="161" spans="1:19" ht="17.25" customHeight="1">
      <c r="A161" s="213">
        <f t="shared" si="56"/>
        <v>47700</v>
      </c>
      <c r="B161" s="55">
        <v>29905</v>
      </c>
      <c r="C161" s="55">
        <v>27853</v>
      </c>
      <c r="D161" s="55">
        <v>11219</v>
      </c>
      <c r="E161" s="213" t="str">
        <f t="shared" si="52"/>
        <v>74D1</v>
      </c>
      <c r="F161" s="213" t="str">
        <f t="shared" si="52"/>
        <v>6CCD</v>
      </c>
      <c r="G161" s="213" t="str">
        <f t="shared" si="52"/>
        <v>2BD3</v>
      </c>
      <c r="H161" s="210">
        <f t="shared" si="53"/>
        <v>34.958646616541955</v>
      </c>
      <c r="I161" s="210">
        <f t="shared" si="54"/>
        <v>70.530075187969487</v>
      </c>
      <c r="J161" s="210">
        <f t="shared" si="55"/>
        <v>-27.917293233082091</v>
      </c>
      <c r="K161" s="217">
        <f t="shared" si="57"/>
        <v>-4.9747287008548738E-4</v>
      </c>
      <c r="L161" s="217">
        <f t="shared" si="58"/>
        <v>-6.3862759980573721E-4</v>
      </c>
      <c r="M161" s="217">
        <f t="shared" si="59"/>
        <v>-8.2519763902794054E-4</v>
      </c>
      <c r="N161" s="217">
        <f t="shared" si="60"/>
        <v>-4.7533089228490963E-4</v>
      </c>
      <c r="O161" s="217">
        <f t="shared" si="61"/>
        <v>-6.0764025677983806E-4</v>
      </c>
      <c r="P161" s="217">
        <f t="shared" si="62"/>
        <v>-8.0820757484089214E-4</v>
      </c>
      <c r="Q161" s="4" t="s">
        <v>281</v>
      </c>
      <c r="R161" s="4" t="s">
        <v>536</v>
      </c>
      <c r="S161" s="4" t="s">
        <v>791</v>
      </c>
    </row>
    <row r="162" spans="1:19" ht="17.25" customHeight="1">
      <c r="A162" s="213">
        <f t="shared" si="56"/>
        <v>48000</v>
      </c>
      <c r="B162" s="55">
        <v>29838</v>
      </c>
      <c r="C162" s="55">
        <v>27695</v>
      </c>
      <c r="D162" s="55">
        <v>11223</v>
      </c>
      <c r="E162" s="213" t="str">
        <f t="shared" si="52"/>
        <v>748E</v>
      </c>
      <c r="F162" s="213" t="str">
        <f t="shared" si="52"/>
        <v>6C2F</v>
      </c>
      <c r="G162" s="213" t="str">
        <f t="shared" si="52"/>
        <v>2BD7</v>
      </c>
      <c r="H162" s="210">
        <f t="shared" si="53"/>
        <v>-32.041353383458045</v>
      </c>
      <c r="I162" s="210">
        <f t="shared" si="54"/>
        <v>-87.469924812030513</v>
      </c>
      <c r="J162" s="210">
        <f t="shared" si="55"/>
        <v>-23.917293233082091</v>
      </c>
      <c r="K162" s="217">
        <f t="shared" si="57"/>
        <v>-5.5834261568347488E-4</v>
      </c>
      <c r="L162" s="217">
        <f t="shared" si="58"/>
        <v>-1.0018389743961971E-3</v>
      </c>
      <c r="M162" s="217">
        <f t="shared" si="59"/>
        <v>-1.0353562364472076E-3</v>
      </c>
      <c r="N162" s="217">
        <f t="shared" si="60"/>
        <v>-5.3620063788289713E-4</v>
      </c>
      <c r="O162" s="217">
        <f t="shared" si="61"/>
        <v>-9.7085163137029785E-4</v>
      </c>
      <c r="P162" s="217">
        <f t="shared" si="62"/>
        <v>-1.0183661722601592E-3</v>
      </c>
      <c r="Q162" s="4" t="s">
        <v>282</v>
      </c>
      <c r="R162" s="4" t="s">
        <v>537</v>
      </c>
      <c r="S162" s="4" t="s">
        <v>792</v>
      </c>
    </row>
    <row r="163" spans="1:19" ht="17.25" customHeight="1">
      <c r="A163" s="213">
        <f t="shared" si="56"/>
        <v>48300</v>
      </c>
      <c r="B163" s="55">
        <v>29793</v>
      </c>
      <c r="C163" s="55">
        <v>27707</v>
      </c>
      <c r="D163" s="55">
        <v>11225</v>
      </c>
      <c r="E163" s="213" t="str">
        <f t="shared" si="52"/>
        <v>7461</v>
      </c>
      <c r="F163" s="213" t="str">
        <f t="shared" si="52"/>
        <v>6C3B</v>
      </c>
      <c r="G163" s="213" t="str">
        <f t="shared" si="52"/>
        <v>2BD9</v>
      </c>
      <c r="H163" s="210">
        <f t="shared" si="53"/>
        <v>-77.041353383458045</v>
      </c>
      <c r="I163" s="210">
        <f t="shared" si="54"/>
        <v>-75.469924812030513</v>
      </c>
      <c r="J163" s="210">
        <f t="shared" si="55"/>
        <v>-21.917293233082091</v>
      </c>
      <c r="K163" s="217">
        <f t="shared" si="57"/>
        <v>-8.9312621647240624E-4</v>
      </c>
      <c r="L163" s="217">
        <f t="shared" si="58"/>
        <v>-1.1098207344095771E-3</v>
      </c>
      <c r="M163" s="217">
        <f t="shared" si="59"/>
        <v>-1.2131827419558181E-3</v>
      </c>
      <c r="N163" s="217">
        <f t="shared" si="60"/>
        <v>-8.709842386718285E-4</v>
      </c>
      <c r="O163" s="217">
        <f t="shared" si="61"/>
        <v>-1.0788333913836778E-3</v>
      </c>
      <c r="P163" s="217">
        <f t="shared" si="62"/>
        <v>-1.1961926777687697E-3</v>
      </c>
      <c r="Q163" s="4" t="s">
        <v>283</v>
      </c>
      <c r="R163" s="4" t="s">
        <v>538</v>
      </c>
      <c r="S163" s="4" t="s">
        <v>793</v>
      </c>
    </row>
    <row r="164" spans="1:19" ht="17.25" customHeight="1">
      <c r="A164" s="213">
        <f t="shared" si="56"/>
        <v>48600</v>
      </c>
      <c r="B164" s="55">
        <v>29872</v>
      </c>
      <c r="C164" s="55">
        <v>27800</v>
      </c>
      <c r="D164" s="55">
        <v>11235</v>
      </c>
      <c r="E164" s="213" t="str">
        <f t="shared" si="52"/>
        <v>74B0</v>
      </c>
      <c r="F164" s="213" t="str">
        <f t="shared" si="52"/>
        <v>6C98</v>
      </c>
      <c r="G164" s="213" t="str">
        <f t="shared" si="52"/>
        <v>2BE3</v>
      </c>
      <c r="H164" s="210">
        <f t="shared" si="53"/>
        <v>1.9586466165419552</v>
      </c>
      <c r="I164" s="210">
        <f t="shared" si="54"/>
        <v>17.530075187969487</v>
      </c>
      <c r="J164" s="210">
        <f t="shared" si="55"/>
        <v>-11.917293233082091</v>
      </c>
      <c r="K164" s="217">
        <f t="shared" si="57"/>
        <v>-8.8095226735280879E-4</v>
      </c>
      <c r="L164" s="217">
        <f t="shared" si="58"/>
        <v>-1.1916250980560769E-3</v>
      </c>
      <c r="M164" s="217">
        <f t="shared" si="59"/>
        <v>-1.4799225002187339E-3</v>
      </c>
      <c r="N164" s="217">
        <f t="shared" si="60"/>
        <v>-8.5881028955223104E-4</v>
      </c>
      <c r="O164" s="217">
        <f t="shared" si="61"/>
        <v>-1.1606377550301777E-3</v>
      </c>
      <c r="P164" s="217">
        <f t="shared" si="62"/>
        <v>-1.4629324360316855E-3</v>
      </c>
      <c r="Q164" s="4" t="s">
        <v>284</v>
      </c>
      <c r="R164" s="4" t="s">
        <v>539</v>
      </c>
      <c r="S164" s="4" t="s">
        <v>794</v>
      </c>
    </row>
    <row r="165" spans="1:19" ht="17.25" customHeight="1">
      <c r="A165" s="213">
        <f t="shared" si="56"/>
        <v>48900</v>
      </c>
      <c r="B165" s="55">
        <v>29896</v>
      </c>
      <c r="C165" s="55">
        <v>27825</v>
      </c>
      <c r="D165" s="55">
        <v>11262</v>
      </c>
      <c r="E165" s="213" t="str">
        <f t="shared" si="52"/>
        <v>74C8</v>
      </c>
      <c r="F165" s="213" t="str">
        <f t="shared" si="52"/>
        <v>6CB1</v>
      </c>
      <c r="G165" s="213" t="str">
        <f t="shared" si="52"/>
        <v>2BFE</v>
      </c>
      <c r="H165" s="210">
        <f t="shared" si="53"/>
        <v>25.958646616541955</v>
      </c>
      <c r="I165" s="210">
        <f t="shared" si="54"/>
        <v>42.530075187969487</v>
      </c>
      <c r="J165" s="210">
        <f t="shared" si="55"/>
        <v>15.082706766917909</v>
      </c>
      <c r="K165" s="217">
        <f t="shared" si="57"/>
        <v>-8.6877831823321133E-4</v>
      </c>
      <c r="L165" s="217">
        <f t="shared" si="58"/>
        <v>-1.1196372580471571E-3</v>
      </c>
      <c r="M165" s="217">
        <f t="shared" si="59"/>
        <v>-1.3990922704420928E-3</v>
      </c>
      <c r="N165" s="217">
        <f t="shared" si="60"/>
        <v>-8.4663634043263358E-4</v>
      </c>
      <c r="O165" s="217">
        <f t="shared" si="61"/>
        <v>-1.0886499150212579E-3</v>
      </c>
      <c r="P165" s="217">
        <f t="shared" si="62"/>
        <v>-1.3821022062550444E-3</v>
      </c>
      <c r="Q165" s="4" t="s">
        <v>285</v>
      </c>
      <c r="R165" s="4" t="s">
        <v>540</v>
      </c>
      <c r="S165" s="4" t="s">
        <v>795</v>
      </c>
    </row>
    <row r="166" spans="1:19" ht="17.25" customHeight="1">
      <c r="A166" s="213">
        <f t="shared" si="56"/>
        <v>49200</v>
      </c>
      <c r="B166" s="55">
        <v>29870</v>
      </c>
      <c r="C166" s="55">
        <v>27812</v>
      </c>
      <c r="D166" s="55">
        <v>11268</v>
      </c>
      <c r="E166" s="213" t="str">
        <f t="shared" si="52"/>
        <v>74AE</v>
      </c>
      <c r="F166" s="213" t="str">
        <f t="shared" si="52"/>
        <v>6CA4</v>
      </c>
      <c r="G166" s="213" t="str">
        <f t="shared" si="52"/>
        <v>2C04</v>
      </c>
      <c r="H166" s="210">
        <f t="shared" si="53"/>
        <v>-4.1353383458044846E-2</v>
      </c>
      <c r="I166" s="210">
        <f t="shared" si="54"/>
        <v>29.530075187969487</v>
      </c>
      <c r="J166" s="210">
        <f t="shared" si="55"/>
        <v>21.082706766917909</v>
      </c>
      <c r="K166" s="217">
        <f t="shared" si="57"/>
        <v>-7.2573441607794056E-4</v>
      </c>
      <c r="L166" s="217">
        <f t="shared" si="58"/>
        <v>-1.0836433380426972E-3</v>
      </c>
      <c r="M166" s="217">
        <f t="shared" si="59"/>
        <v>-1.3586771555537721E-3</v>
      </c>
      <c r="N166" s="217">
        <f t="shared" si="60"/>
        <v>-7.0359243827736282E-4</v>
      </c>
      <c r="O166" s="217">
        <f t="shared" si="61"/>
        <v>-1.0526559950167979E-3</v>
      </c>
      <c r="P166" s="217">
        <f t="shared" si="62"/>
        <v>-1.3416870913667237E-3</v>
      </c>
      <c r="Q166" s="4" t="s">
        <v>286</v>
      </c>
      <c r="R166" s="4" t="s">
        <v>541</v>
      </c>
      <c r="S166" s="4" t="s">
        <v>796</v>
      </c>
    </row>
    <row r="167" spans="1:19" ht="17.25" customHeight="1">
      <c r="A167" s="213">
        <f t="shared" si="56"/>
        <v>49500</v>
      </c>
      <c r="B167" s="55">
        <v>29854</v>
      </c>
      <c r="C167" s="55">
        <v>27816</v>
      </c>
      <c r="D167" s="55">
        <v>11221</v>
      </c>
      <c r="E167" s="213" t="str">
        <f t="shared" si="52"/>
        <v>749E</v>
      </c>
      <c r="F167" s="213" t="str">
        <f t="shared" si="52"/>
        <v>6CA8</v>
      </c>
      <c r="G167" s="213" t="str">
        <f t="shared" si="52"/>
        <v>2BD5</v>
      </c>
      <c r="H167" s="210">
        <f t="shared" si="53"/>
        <v>-16.041353383458045</v>
      </c>
      <c r="I167" s="210">
        <f t="shared" si="54"/>
        <v>33.530075187969487</v>
      </c>
      <c r="J167" s="210">
        <f t="shared" si="55"/>
        <v>-25.917293233082091</v>
      </c>
      <c r="K167" s="217">
        <f t="shared" si="57"/>
        <v>-6.3442979768095931E-4</v>
      </c>
      <c r="L167" s="217">
        <f t="shared" si="58"/>
        <v>-7.2370413799809714E-4</v>
      </c>
      <c r="M167" s="217">
        <f t="shared" si="59"/>
        <v>-1.3263450636431158E-3</v>
      </c>
      <c r="N167" s="217">
        <f t="shared" si="60"/>
        <v>-6.1228781988038156E-4</v>
      </c>
      <c r="O167" s="217">
        <f t="shared" si="61"/>
        <v>-6.92716794972198E-4</v>
      </c>
      <c r="P167" s="217">
        <f t="shared" si="62"/>
        <v>-1.3093549994560674E-3</v>
      </c>
      <c r="Q167" s="4" t="s">
        <v>287</v>
      </c>
      <c r="R167" s="4" t="s">
        <v>542</v>
      </c>
      <c r="S167" s="4" t="s">
        <v>797</v>
      </c>
    </row>
    <row r="168" spans="1:19" ht="17.25" customHeight="1">
      <c r="A168" s="213">
        <f t="shared" si="56"/>
        <v>49800</v>
      </c>
      <c r="B168" s="55">
        <v>29835</v>
      </c>
      <c r="C168" s="55">
        <v>27721</v>
      </c>
      <c r="D168" s="55">
        <v>11229</v>
      </c>
      <c r="E168" s="213" t="str">
        <f t="shared" si="52"/>
        <v>748B</v>
      </c>
      <c r="F168" s="213" t="str">
        <f t="shared" si="52"/>
        <v>6C49</v>
      </c>
      <c r="G168" s="213" t="str">
        <f t="shared" si="52"/>
        <v>2BDD</v>
      </c>
      <c r="H168" s="210">
        <f t="shared" si="53"/>
        <v>-35.041353383458045</v>
      </c>
      <c r="I168" s="210">
        <f t="shared" si="54"/>
        <v>-61.469924812030513</v>
      </c>
      <c r="J168" s="210">
        <f t="shared" si="55"/>
        <v>-17.917293233082091</v>
      </c>
      <c r="K168" s="217">
        <f t="shared" si="57"/>
        <v>-5.7964702664277054E-4</v>
      </c>
      <c r="L168" s="217">
        <f t="shared" si="58"/>
        <v>-5.9608933070955713E-4</v>
      </c>
      <c r="M168" s="217">
        <f t="shared" si="59"/>
        <v>-1.132352512179177E-3</v>
      </c>
      <c r="N168" s="217">
        <f t="shared" si="60"/>
        <v>-5.5750504884219279E-4</v>
      </c>
      <c r="O168" s="217">
        <f t="shared" si="61"/>
        <v>-5.6510198768365788E-4</v>
      </c>
      <c r="P168" s="217">
        <f t="shared" si="62"/>
        <v>-1.1153624479921286E-3</v>
      </c>
      <c r="Q168" s="4" t="s">
        <v>288</v>
      </c>
      <c r="R168" s="4" t="s">
        <v>543</v>
      </c>
      <c r="S168" s="4" t="s">
        <v>798</v>
      </c>
    </row>
    <row r="169" spans="1:19" ht="17.25" customHeight="1">
      <c r="A169" s="213">
        <f t="shared" si="56"/>
        <v>50100</v>
      </c>
      <c r="B169" s="55">
        <v>29828</v>
      </c>
      <c r="C169" s="55">
        <v>27664</v>
      </c>
      <c r="D169" s="55">
        <v>11214</v>
      </c>
      <c r="E169" s="213" t="str">
        <f t="shared" si="52"/>
        <v>7484</v>
      </c>
      <c r="F169" s="213" t="str">
        <f t="shared" si="52"/>
        <v>6C10</v>
      </c>
      <c r="G169" s="213" t="str">
        <f t="shared" si="52"/>
        <v>2BCE</v>
      </c>
      <c r="H169" s="210">
        <f t="shared" si="53"/>
        <v>-42.041353383458045</v>
      </c>
      <c r="I169" s="210">
        <f t="shared" si="54"/>
        <v>-118.46992481203051</v>
      </c>
      <c r="J169" s="210">
        <f t="shared" si="55"/>
        <v>-32.917293233082091</v>
      </c>
      <c r="K169" s="217">
        <f t="shared" si="57"/>
        <v>-5.4312517928397806E-4</v>
      </c>
      <c r="L169" s="217">
        <f t="shared" si="58"/>
        <v>-9.2330678529555714E-4</v>
      </c>
      <c r="M169" s="217">
        <f t="shared" si="59"/>
        <v>-1.4475904083080774E-3</v>
      </c>
      <c r="N169" s="217">
        <f t="shared" si="60"/>
        <v>-5.2098320148340031E-4</v>
      </c>
      <c r="O169" s="217">
        <f t="shared" si="61"/>
        <v>-8.9231944226965789E-4</v>
      </c>
      <c r="P169" s="217">
        <f t="shared" si="62"/>
        <v>-1.430600344121029E-3</v>
      </c>
      <c r="Q169" s="4" t="s">
        <v>289</v>
      </c>
      <c r="R169" s="4" t="s">
        <v>544</v>
      </c>
      <c r="S169" s="4" t="s">
        <v>799</v>
      </c>
    </row>
    <row r="170" spans="1:19" ht="17.25" customHeight="1">
      <c r="A170" s="213">
        <f t="shared" si="56"/>
        <v>50400</v>
      </c>
      <c r="B170" s="55">
        <v>29829</v>
      </c>
      <c r="C170" s="55">
        <v>27787</v>
      </c>
      <c r="D170" s="55">
        <v>11245</v>
      </c>
      <c r="E170" s="213" t="str">
        <f t="shared" si="52"/>
        <v>7485</v>
      </c>
      <c r="F170" s="213" t="str">
        <f t="shared" si="52"/>
        <v>6C8B</v>
      </c>
      <c r="G170" s="213" t="str">
        <f t="shared" si="52"/>
        <v>2BED</v>
      </c>
      <c r="H170" s="210">
        <f t="shared" si="53"/>
        <v>-41.041353383458045</v>
      </c>
      <c r="I170" s="210">
        <f t="shared" si="54"/>
        <v>4.5300751879694872</v>
      </c>
      <c r="J170" s="210">
        <f t="shared" si="55"/>
        <v>-1.9172932330820913</v>
      </c>
      <c r="K170" s="217">
        <f t="shared" si="57"/>
        <v>-4.8225543368599045E-4</v>
      </c>
      <c r="L170" s="217">
        <f t="shared" si="58"/>
        <v>-6.9425456708535713E-4</v>
      </c>
      <c r="M170" s="217">
        <f t="shared" si="59"/>
        <v>-1.2535978568441388E-3</v>
      </c>
      <c r="N170" s="217">
        <f t="shared" si="60"/>
        <v>-4.601134558854127E-4</v>
      </c>
      <c r="O170" s="217">
        <f t="shared" si="61"/>
        <v>-6.6326722405945799E-4</v>
      </c>
      <c r="P170" s="217">
        <f t="shared" si="62"/>
        <v>-1.2366077926570904E-3</v>
      </c>
      <c r="Q170" s="4" t="s">
        <v>290</v>
      </c>
      <c r="R170" s="4" t="s">
        <v>545</v>
      </c>
      <c r="S170" s="4" t="s">
        <v>800</v>
      </c>
    </row>
    <row r="171" spans="1:19" ht="17.25" customHeight="1">
      <c r="A171" s="213">
        <f t="shared" si="56"/>
        <v>50700</v>
      </c>
      <c r="B171" s="55">
        <v>29892</v>
      </c>
      <c r="C171" s="55">
        <v>27819</v>
      </c>
      <c r="D171" s="55">
        <v>11263</v>
      </c>
      <c r="E171" s="213" t="str">
        <f t="shared" si="52"/>
        <v>74C4</v>
      </c>
      <c r="F171" s="213" t="str">
        <f t="shared" si="52"/>
        <v>6CAB</v>
      </c>
      <c r="G171" s="213" t="str">
        <f t="shared" si="52"/>
        <v>2BFF</v>
      </c>
      <c r="H171" s="210">
        <f t="shared" si="53"/>
        <v>21.958646616541955</v>
      </c>
      <c r="I171" s="210">
        <f t="shared" si="54"/>
        <v>36.530075187969487</v>
      </c>
      <c r="J171" s="210">
        <f t="shared" si="55"/>
        <v>16.082706766917909</v>
      </c>
      <c r="K171" s="217">
        <f t="shared" si="57"/>
        <v>-4.8225543368599045E-4</v>
      </c>
      <c r="L171" s="217">
        <f t="shared" si="58"/>
        <v>-3.5394841431591717E-4</v>
      </c>
      <c r="M171" s="217">
        <f t="shared" si="59"/>
        <v>-9.0602786880458178E-4</v>
      </c>
      <c r="N171" s="217">
        <f t="shared" si="60"/>
        <v>-4.601134558854127E-4</v>
      </c>
      <c r="O171" s="217">
        <f t="shared" si="61"/>
        <v>-3.2296107129001797E-4</v>
      </c>
      <c r="P171" s="217">
        <f t="shared" si="62"/>
        <v>-8.8903780461753337E-4</v>
      </c>
      <c r="Q171" s="4" t="s">
        <v>291</v>
      </c>
      <c r="R171" s="4" t="s">
        <v>546</v>
      </c>
      <c r="S171" s="4" t="s">
        <v>801</v>
      </c>
    </row>
    <row r="172" spans="1:19" ht="17.25" customHeight="1">
      <c r="A172" s="213">
        <f t="shared" si="56"/>
        <v>51000</v>
      </c>
      <c r="B172" s="55">
        <v>29891</v>
      </c>
      <c r="C172" s="55">
        <v>27780</v>
      </c>
      <c r="D172" s="55">
        <v>11250</v>
      </c>
      <c r="E172" s="213" t="str">
        <f t="shared" si="52"/>
        <v>74C3</v>
      </c>
      <c r="F172" s="213" t="str">
        <f t="shared" si="52"/>
        <v>6C84</v>
      </c>
      <c r="G172" s="213" t="str">
        <f t="shared" si="52"/>
        <v>2BF2</v>
      </c>
      <c r="H172" s="210">
        <f t="shared" si="53"/>
        <v>20.958646616541955</v>
      </c>
      <c r="I172" s="210">
        <f t="shared" si="54"/>
        <v>-2.4699248120305128</v>
      </c>
      <c r="J172" s="210">
        <f t="shared" si="55"/>
        <v>3.0827067669179087</v>
      </c>
      <c r="K172" s="217">
        <f t="shared" si="57"/>
        <v>-5.2486425560458177E-4</v>
      </c>
      <c r="L172" s="217">
        <f t="shared" si="58"/>
        <v>-5.9281715616369714E-4</v>
      </c>
      <c r="M172" s="217">
        <f t="shared" si="59"/>
        <v>-6.5545415649699405E-4</v>
      </c>
      <c r="N172" s="217">
        <f t="shared" si="60"/>
        <v>-5.0272227780400402E-4</v>
      </c>
      <c r="O172" s="217">
        <f t="shared" si="61"/>
        <v>-5.61829813137798E-4</v>
      </c>
      <c r="P172" s="217">
        <f t="shared" si="62"/>
        <v>-6.3846409230994565E-4</v>
      </c>
      <c r="Q172" s="4" t="s">
        <v>292</v>
      </c>
      <c r="R172" s="4" t="s">
        <v>547</v>
      </c>
      <c r="S172" s="4" t="s">
        <v>802</v>
      </c>
    </row>
    <row r="173" spans="1:19" ht="17.25" customHeight="1">
      <c r="A173" s="213">
        <f t="shared" si="56"/>
        <v>51300</v>
      </c>
      <c r="B173" s="55">
        <v>29892</v>
      </c>
      <c r="C173" s="55">
        <v>27766</v>
      </c>
      <c r="D173" s="55">
        <v>11275</v>
      </c>
      <c r="E173" s="213" t="str">
        <f t="shared" si="52"/>
        <v>74C4</v>
      </c>
      <c r="F173" s="213" t="str">
        <f t="shared" si="52"/>
        <v>6C76</v>
      </c>
      <c r="G173" s="213" t="str">
        <f t="shared" si="52"/>
        <v>2C0B</v>
      </c>
      <c r="H173" s="210">
        <f t="shared" si="53"/>
        <v>21.958646616541955</v>
      </c>
      <c r="I173" s="210">
        <f t="shared" si="54"/>
        <v>-16.469924812030513</v>
      </c>
      <c r="J173" s="210">
        <f t="shared" si="55"/>
        <v>28.082706766917909</v>
      </c>
      <c r="K173" s="217">
        <f t="shared" si="57"/>
        <v>-3.6051594249001534E-4</v>
      </c>
      <c r="L173" s="217">
        <f t="shared" si="58"/>
        <v>-3.6049276340763714E-4</v>
      </c>
      <c r="M173" s="217">
        <f t="shared" si="59"/>
        <v>-2.3513696165846005E-4</v>
      </c>
      <c r="N173" s="217">
        <f t="shared" si="60"/>
        <v>-3.3837396468943759E-4</v>
      </c>
      <c r="O173" s="217">
        <f t="shared" si="61"/>
        <v>-3.2950542038173795E-4</v>
      </c>
      <c r="P173" s="217">
        <f t="shared" si="62"/>
        <v>-2.181468974714117E-4</v>
      </c>
      <c r="Q173" s="4" t="s">
        <v>293</v>
      </c>
      <c r="R173" s="4" t="s">
        <v>548</v>
      </c>
      <c r="S173" s="4" t="s">
        <v>803</v>
      </c>
    </row>
    <row r="174" spans="1:19" ht="17.25" customHeight="1">
      <c r="A174" s="213">
        <f t="shared" si="56"/>
        <v>51600</v>
      </c>
      <c r="B174" s="55">
        <v>29931</v>
      </c>
      <c r="C174" s="55">
        <v>27841</v>
      </c>
      <c r="D174" s="55">
        <v>11267</v>
      </c>
      <c r="E174" s="213" t="str">
        <f t="shared" si="52"/>
        <v>74EB</v>
      </c>
      <c r="F174" s="213" t="str">
        <f t="shared" si="52"/>
        <v>6CC1</v>
      </c>
      <c r="G174" s="213" t="str">
        <f t="shared" si="52"/>
        <v>2C03</v>
      </c>
      <c r="H174" s="210">
        <f t="shared" si="53"/>
        <v>60.958646616541955</v>
      </c>
      <c r="I174" s="210">
        <f t="shared" si="54"/>
        <v>58.530075187969487</v>
      </c>
      <c r="J174" s="210">
        <f t="shared" si="55"/>
        <v>20.082706766917909</v>
      </c>
      <c r="K174" s="217">
        <f t="shared" si="57"/>
        <v>5.948530213609856E-5</v>
      </c>
      <c r="L174" s="217">
        <f t="shared" si="58"/>
        <v>7.797862573760281E-5</v>
      </c>
      <c r="M174" s="217">
        <f t="shared" si="59"/>
        <v>1.0435000340343281E-4</v>
      </c>
      <c r="N174" s="217">
        <f t="shared" si="60"/>
        <v>8.162727993667628E-5</v>
      </c>
      <c r="O174" s="217">
        <f t="shared" si="61"/>
        <v>1.0896596876350201E-4</v>
      </c>
      <c r="P174" s="217">
        <f t="shared" si="62"/>
        <v>1.2134006759048117E-4</v>
      </c>
      <c r="Q174" s="4" t="s">
        <v>294</v>
      </c>
      <c r="R174" s="4" t="s">
        <v>549</v>
      </c>
      <c r="S174" s="4" t="s">
        <v>804</v>
      </c>
    </row>
    <row r="175" spans="1:19" ht="17.25" customHeight="1">
      <c r="A175" s="213">
        <f t="shared" si="56"/>
        <v>51900</v>
      </c>
      <c r="B175" s="55">
        <v>29921</v>
      </c>
      <c r="C175" s="55">
        <v>27844</v>
      </c>
      <c r="D175" s="55">
        <v>11264</v>
      </c>
      <c r="E175" s="213" t="str">
        <f t="shared" si="52"/>
        <v>74E1</v>
      </c>
      <c r="F175" s="213" t="str">
        <f t="shared" si="52"/>
        <v>6CC4</v>
      </c>
      <c r="G175" s="213" t="str">
        <f t="shared" si="52"/>
        <v>2C00</v>
      </c>
      <c r="H175" s="210">
        <f t="shared" si="53"/>
        <v>50.958646616541955</v>
      </c>
      <c r="I175" s="210">
        <f t="shared" si="54"/>
        <v>61.530075187969487</v>
      </c>
      <c r="J175" s="210">
        <f t="shared" si="55"/>
        <v>17.082706766917909</v>
      </c>
      <c r="K175" s="217">
        <f t="shared" si="57"/>
        <v>2.0861617885116799E-4</v>
      </c>
      <c r="L175" s="217">
        <f t="shared" si="58"/>
        <v>2.2195430575544281E-4</v>
      </c>
      <c r="M175" s="217">
        <f t="shared" si="59"/>
        <v>3.3875766975569217E-4</v>
      </c>
      <c r="N175" s="217">
        <f t="shared" si="60"/>
        <v>2.3075815665174571E-4</v>
      </c>
      <c r="O175" s="217">
        <f t="shared" si="61"/>
        <v>2.5294164878134203E-4</v>
      </c>
      <c r="P175" s="217">
        <f t="shared" si="62"/>
        <v>3.5574773394274052E-4</v>
      </c>
      <c r="Q175" s="4" t="s">
        <v>295</v>
      </c>
      <c r="R175" s="4" t="s">
        <v>550</v>
      </c>
      <c r="S175" s="4" t="s">
        <v>805</v>
      </c>
    </row>
    <row r="176" spans="1:19" ht="17.25" customHeight="1">
      <c r="A176" s="213">
        <f t="shared" si="56"/>
        <v>52200</v>
      </c>
      <c r="B176" s="55">
        <v>29894</v>
      </c>
      <c r="C176" s="55">
        <v>27826</v>
      </c>
      <c r="D176" s="55">
        <v>11218</v>
      </c>
      <c r="E176" s="213" t="str">
        <f t="shared" si="52"/>
        <v>74C6</v>
      </c>
      <c r="F176" s="213" t="str">
        <f t="shared" si="52"/>
        <v>6CB2</v>
      </c>
      <c r="G176" s="213" t="str">
        <f t="shared" si="52"/>
        <v>2BD2</v>
      </c>
      <c r="H176" s="210">
        <f t="shared" si="53"/>
        <v>23.958646616541955</v>
      </c>
      <c r="I176" s="210">
        <f t="shared" si="54"/>
        <v>43.530075187969487</v>
      </c>
      <c r="J176" s="210">
        <f t="shared" si="55"/>
        <v>-28.917293233082091</v>
      </c>
      <c r="K176" s="217">
        <f t="shared" si="57"/>
        <v>2.0252920429136926E-4</v>
      </c>
      <c r="L176" s="217">
        <f t="shared" si="58"/>
        <v>2.2522648030130283E-4</v>
      </c>
      <c r="M176" s="217">
        <f t="shared" si="59"/>
        <v>-1.689534126152892E-5</v>
      </c>
      <c r="N176" s="217">
        <f t="shared" si="60"/>
        <v>2.2467118209194698E-4</v>
      </c>
      <c r="O176" s="217">
        <f t="shared" si="61"/>
        <v>2.5621382332720202E-4</v>
      </c>
      <c r="P176" s="217">
        <f t="shared" si="62"/>
        <v>9.4722925519434656E-8</v>
      </c>
      <c r="Q176" s="4" t="s">
        <v>296</v>
      </c>
      <c r="R176" s="4" t="s">
        <v>551</v>
      </c>
      <c r="S176" s="4" t="s">
        <v>806</v>
      </c>
    </row>
    <row r="177" spans="1:19" ht="17.25" customHeight="1">
      <c r="A177" s="213">
        <f t="shared" si="56"/>
        <v>52500</v>
      </c>
      <c r="B177" s="55">
        <v>29822</v>
      </c>
      <c r="C177" s="55">
        <v>27717</v>
      </c>
      <c r="D177" s="55">
        <v>11223</v>
      </c>
      <c r="E177" s="213" t="str">
        <f t="shared" si="52"/>
        <v>747E</v>
      </c>
      <c r="F177" s="213" t="str">
        <f t="shared" si="52"/>
        <v>6C45</v>
      </c>
      <c r="G177" s="213" t="str">
        <f t="shared" si="52"/>
        <v>2BD7</v>
      </c>
      <c r="H177" s="210">
        <f t="shared" si="53"/>
        <v>-48.041353383458045</v>
      </c>
      <c r="I177" s="210">
        <f t="shared" si="54"/>
        <v>-65.469924812030513</v>
      </c>
      <c r="J177" s="210">
        <f t="shared" si="55"/>
        <v>-23.917293233082091</v>
      </c>
      <c r="K177" s="217">
        <f t="shared" si="57"/>
        <v>5.6441814856199183E-5</v>
      </c>
      <c r="L177" s="217">
        <f t="shared" si="58"/>
        <v>-8.5630101555397181E-5</v>
      </c>
      <c r="M177" s="217">
        <f t="shared" si="59"/>
        <v>-3.8063137525641414E-4</v>
      </c>
      <c r="N177" s="217">
        <f t="shared" si="60"/>
        <v>7.8583792656776902E-5</v>
      </c>
      <c r="O177" s="217">
        <f t="shared" si="61"/>
        <v>-5.4642758529497985E-5</v>
      </c>
      <c r="P177" s="217">
        <f t="shared" si="62"/>
        <v>-3.6364131106936579E-4</v>
      </c>
      <c r="Q177" s="4" t="s">
        <v>297</v>
      </c>
      <c r="R177" s="4" t="s">
        <v>552</v>
      </c>
      <c r="S177" s="4" t="s">
        <v>807</v>
      </c>
    </row>
    <row r="178" spans="1:19" ht="17.25" customHeight="1">
      <c r="A178" s="213">
        <f t="shared" si="56"/>
        <v>52800</v>
      </c>
      <c r="B178" s="55">
        <v>29775</v>
      </c>
      <c r="C178" s="55">
        <v>27709</v>
      </c>
      <c r="D178" s="55">
        <v>11220</v>
      </c>
      <c r="E178" s="213" t="str">
        <f t="shared" si="52"/>
        <v>744F</v>
      </c>
      <c r="F178" s="213" t="str">
        <f t="shared" si="52"/>
        <v>6C3D</v>
      </c>
      <c r="G178" s="213" t="str">
        <f t="shared" si="52"/>
        <v>2BD4</v>
      </c>
      <c r="H178" s="210">
        <f t="shared" si="53"/>
        <v>-95.041353383458045</v>
      </c>
      <c r="I178" s="210">
        <f t="shared" si="54"/>
        <v>-73.469924812030513</v>
      </c>
      <c r="J178" s="210">
        <f t="shared" si="55"/>
        <v>-26.917293233082091</v>
      </c>
      <c r="K178" s="217">
        <f t="shared" si="57"/>
        <v>-1.8399368025585154E-4</v>
      </c>
      <c r="L178" s="217">
        <f t="shared" si="58"/>
        <v>-4.3575277796241717E-4</v>
      </c>
      <c r="M178" s="217">
        <f t="shared" si="59"/>
        <v>-3.8871439823407822E-4</v>
      </c>
      <c r="N178" s="217">
        <f t="shared" si="60"/>
        <v>-1.6185170245527382E-4</v>
      </c>
      <c r="O178" s="217">
        <f t="shared" si="61"/>
        <v>-4.0476543493651797E-4</v>
      </c>
      <c r="P178" s="217">
        <f t="shared" si="62"/>
        <v>-3.7172433404702987E-4</v>
      </c>
      <c r="Q178" s="4" t="s">
        <v>298</v>
      </c>
      <c r="R178" s="4" t="s">
        <v>553</v>
      </c>
      <c r="S178" s="4" t="s">
        <v>808</v>
      </c>
    </row>
    <row r="179" spans="1:19" ht="17.25" customHeight="1">
      <c r="A179" s="213">
        <f t="shared" si="56"/>
        <v>53100</v>
      </c>
      <c r="B179" s="55">
        <v>29860</v>
      </c>
      <c r="C179" s="55">
        <v>27814</v>
      </c>
      <c r="D179" s="55">
        <v>11238</v>
      </c>
      <c r="E179" s="213" t="str">
        <f t="shared" si="52"/>
        <v>74A4</v>
      </c>
      <c r="F179" s="213" t="str">
        <f t="shared" si="52"/>
        <v>6CA6</v>
      </c>
      <c r="G179" s="213" t="str">
        <f t="shared" si="52"/>
        <v>2BE6</v>
      </c>
      <c r="H179" s="210">
        <f t="shared" si="53"/>
        <v>-10.041353383458045</v>
      </c>
      <c r="I179" s="210">
        <f t="shared" si="54"/>
        <v>31.530075187969487</v>
      </c>
      <c r="J179" s="210">
        <f t="shared" si="55"/>
        <v>-8.9172932330820913</v>
      </c>
      <c r="K179" s="217">
        <f t="shared" si="57"/>
        <v>-1.0790649825836713E-4</v>
      </c>
      <c r="L179" s="217">
        <f t="shared" si="58"/>
        <v>-1.3144054519743717E-4</v>
      </c>
      <c r="M179" s="217">
        <f t="shared" si="59"/>
        <v>-3.1596719143510123E-4</v>
      </c>
      <c r="N179" s="217">
        <f t="shared" si="60"/>
        <v>-8.5764520457789415E-5</v>
      </c>
      <c r="O179" s="217">
        <f t="shared" si="61"/>
        <v>-1.0045320217153797E-4</v>
      </c>
      <c r="P179" s="217">
        <f t="shared" si="62"/>
        <v>-2.9897712724805288E-4</v>
      </c>
      <c r="Q179" s="4" t="s">
        <v>299</v>
      </c>
      <c r="R179" s="4" t="s">
        <v>554</v>
      </c>
      <c r="S179" s="4" t="s">
        <v>809</v>
      </c>
    </row>
    <row r="180" spans="1:19" ht="17.25" customHeight="1">
      <c r="A180" s="213">
        <f t="shared" si="56"/>
        <v>53400</v>
      </c>
      <c r="B180" s="55">
        <v>29937</v>
      </c>
      <c r="C180" s="55">
        <v>27847</v>
      </c>
      <c r="D180" s="55">
        <v>11291</v>
      </c>
      <c r="E180" s="213" t="str">
        <f t="shared" si="52"/>
        <v>74F1</v>
      </c>
      <c r="F180" s="213" t="str">
        <f t="shared" si="52"/>
        <v>6CC7</v>
      </c>
      <c r="G180" s="213" t="str">
        <f t="shared" si="52"/>
        <v>2C1B</v>
      </c>
      <c r="H180" s="210">
        <f t="shared" si="53"/>
        <v>66.958646616541955</v>
      </c>
      <c r="I180" s="210">
        <f t="shared" si="54"/>
        <v>64.530075187969487</v>
      </c>
      <c r="J180" s="210">
        <f t="shared" si="55"/>
        <v>44.082706766917909</v>
      </c>
      <c r="K180" s="217">
        <f t="shared" si="57"/>
        <v>2.2383361525066489E-4</v>
      </c>
      <c r="L180" s="217">
        <f t="shared" si="58"/>
        <v>4.6736739669494279E-4</v>
      </c>
      <c r="M180" s="217">
        <f t="shared" si="59"/>
        <v>3.0642557784503574E-4</v>
      </c>
      <c r="N180" s="217">
        <f t="shared" si="60"/>
        <v>2.4597559305124261E-4</v>
      </c>
      <c r="O180" s="217">
        <f t="shared" si="61"/>
        <v>4.9835473972084199E-4</v>
      </c>
      <c r="P180" s="217">
        <f t="shared" si="62"/>
        <v>3.2341564203208409E-4</v>
      </c>
      <c r="Q180" s="4" t="s">
        <v>300</v>
      </c>
      <c r="R180" s="4" t="s">
        <v>555</v>
      </c>
      <c r="S180" s="4" t="s">
        <v>810</v>
      </c>
    </row>
    <row r="181" spans="1:19" ht="17.25" customHeight="1">
      <c r="A181" s="213">
        <f t="shared" si="56"/>
        <v>53700</v>
      </c>
      <c r="B181" s="55">
        <v>29891</v>
      </c>
      <c r="C181" s="55">
        <v>27833</v>
      </c>
      <c r="D181" s="55">
        <v>11281</v>
      </c>
      <c r="E181" s="213" t="str">
        <f t="shared" si="52"/>
        <v>74C3</v>
      </c>
      <c r="F181" s="213" t="str">
        <f t="shared" si="52"/>
        <v>6CB9</v>
      </c>
      <c r="G181" s="213" t="str">
        <f t="shared" si="52"/>
        <v>2C11</v>
      </c>
      <c r="H181" s="210">
        <f t="shared" si="53"/>
        <v>20.958646616541955</v>
      </c>
      <c r="I181" s="210">
        <f t="shared" si="54"/>
        <v>50.530075187969487</v>
      </c>
      <c r="J181" s="210">
        <f t="shared" si="55"/>
        <v>34.082706766917909</v>
      </c>
      <c r="K181" s="217">
        <f t="shared" si="57"/>
        <v>4.125298266044262E-4</v>
      </c>
      <c r="L181" s="217">
        <f t="shared" si="58"/>
        <v>6.1788742580450278E-4</v>
      </c>
      <c r="M181" s="217">
        <f t="shared" si="59"/>
        <v>5.9741440504094392E-4</v>
      </c>
      <c r="N181" s="217">
        <f t="shared" si="60"/>
        <v>4.3467180440500395E-4</v>
      </c>
      <c r="O181" s="217">
        <f t="shared" si="61"/>
        <v>6.4887476883040193E-4</v>
      </c>
      <c r="P181" s="217">
        <f t="shared" si="62"/>
        <v>6.1440446922799233E-4</v>
      </c>
      <c r="Q181" s="4" t="s">
        <v>301</v>
      </c>
      <c r="R181" s="4" t="s">
        <v>556</v>
      </c>
      <c r="S181" s="4" t="s">
        <v>811</v>
      </c>
    </row>
    <row r="182" spans="1:19" ht="17.25" customHeight="1">
      <c r="A182" s="213">
        <f t="shared" si="56"/>
        <v>54000</v>
      </c>
      <c r="B182" s="55">
        <v>29883</v>
      </c>
      <c r="C182" s="55">
        <v>27713</v>
      </c>
      <c r="D182" s="55">
        <v>11254</v>
      </c>
      <c r="E182" s="213" t="str">
        <f t="shared" si="52"/>
        <v>74BB</v>
      </c>
      <c r="F182" s="213" t="str">
        <f t="shared" si="52"/>
        <v>6C41</v>
      </c>
      <c r="G182" s="213" t="str">
        <f t="shared" si="52"/>
        <v>2BF6</v>
      </c>
      <c r="H182" s="210">
        <f t="shared" si="53"/>
        <v>12.958646616541955</v>
      </c>
      <c r="I182" s="210">
        <f t="shared" si="54"/>
        <v>-69.469924812030513</v>
      </c>
      <c r="J182" s="210">
        <f t="shared" si="55"/>
        <v>7.0827067669179087</v>
      </c>
      <c r="K182" s="217">
        <f t="shared" si="57"/>
        <v>3.8513844108533182E-4</v>
      </c>
      <c r="L182" s="217">
        <f t="shared" si="58"/>
        <v>2.7103692394334279E-4</v>
      </c>
      <c r="M182" s="217">
        <f t="shared" si="59"/>
        <v>5.2466719824196693E-4</v>
      </c>
      <c r="N182" s="217">
        <f t="shared" si="60"/>
        <v>4.0728041888590956E-4</v>
      </c>
      <c r="O182" s="217">
        <f t="shared" si="61"/>
        <v>3.0202426696924198E-4</v>
      </c>
      <c r="P182" s="217">
        <f t="shared" si="62"/>
        <v>5.4165726242901533E-4</v>
      </c>
      <c r="Q182" s="4" t="s">
        <v>302</v>
      </c>
      <c r="R182" s="4" t="s">
        <v>557</v>
      </c>
      <c r="S182" s="4" t="s">
        <v>812</v>
      </c>
    </row>
    <row r="183" spans="1:19" ht="17.25" customHeight="1">
      <c r="A183" s="213">
        <f t="shared" si="56"/>
        <v>54300</v>
      </c>
      <c r="B183" s="55">
        <v>29799</v>
      </c>
      <c r="C183" s="55">
        <v>27728</v>
      </c>
      <c r="D183" s="55">
        <v>11219</v>
      </c>
      <c r="E183" s="213" t="str">
        <f t="shared" si="52"/>
        <v>7467</v>
      </c>
      <c r="F183" s="213" t="str">
        <f t="shared" si="52"/>
        <v>6C50</v>
      </c>
      <c r="G183" s="213" t="str">
        <f t="shared" si="52"/>
        <v>2BD3</v>
      </c>
      <c r="H183" s="210">
        <f t="shared" si="53"/>
        <v>-71.041353383458045</v>
      </c>
      <c r="I183" s="210">
        <f t="shared" si="54"/>
        <v>-54.469924812030513</v>
      </c>
      <c r="J183" s="210">
        <f t="shared" si="55"/>
        <v>-27.917293233082091</v>
      </c>
      <c r="K183" s="217">
        <f t="shared" si="57"/>
        <v>1.051376113345892E-4</v>
      </c>
      <c r="L183" s="217">
        <f t="shared" si="58"/>
        <v>1.0088384755862282E-4</v>
      </c>
      <c r="M183" s="217">
        <f t="shared" si="59"/>
        <v>2.7409348593437926E-4</v>
      </c>
      <c r="N183" s="217">
        <f t="shared" si="60"/>
        <v>1.2727958913516692E-4</v>
      </c>
      <c r="O183" s="217">
        <f t="shared" si="61"/>
        <v>1.31871190584522E-4</v>
      </c>
      <c r="P183" s="217">
        <f t="shared" si="62"/>
        <v>2.9108355012142761E-4</v>
      </c>
      <c r="Q183" s="4" t="s">
        <v>303</v>
      </c>
      <c r="R183" s="4" t="s">
        <v>558</v>
      </c>
      <c r="S183" s="4" t="s">
        <v>813</v>
      </c>
    </row>
    <row r="184" spans="1:19" ht="17.25" customHeight="1">
      <c r="A184" s="213">
        <f t="shared" si="56"/>
        <v>54600</v>
      </c>
      <c r="B184" s="55">
        <v>29859</v>
      </c>
      <c r="C184" s="55">
        <v>27714</v>
      </c>
      <c r="D184" s="55">
        <v>11223</v>
      </c>
      <c r="E184" s="213" t="str">
        <f t="shared" si="52"/>
        <v>74A3</v>
      </c>
      <c r="F184" s="213" t="str">
        <f t="shared" si="52"/>
        <v>6C42</v>
      </c>
      <c r="G184" s="213" t="str">
        <f t="shared" si="52"/>
        <v>2BD7</v>
      </c>
      <c r="H184" s="210">
        <f t="shared" si="53"/>
        <v>-11.041353383458045</v>
      </c>
      <c r="I184" s="210">
        <f t="shared" si="54"/>
        <v>-68.469924812030513</v>
      </c>
      <c r="J184" s="210">
        <f t="shared" si="55"/>
        <v>-23.917293233082091</v>
      </c>
      <c r="K184" s="217">
        <f t="shared" si="57"/>
        <v>4.7025310979097844E-6</v>
      </c>
      <c r="L184" s="217">
        <f t="shared" si="58"/>
        <v>-6.926922882609718E-5</v>
      </c>
      <c r="M184" s="217">
        <f t="shared" si="59"/>
        <v>-1.4622370890415479E-4</v>
      </c>
      <c r="N184" s="217">
        <f t="shared" si="60"/>
        <v>2.6844508898487504E-5</v>
      </c>
      <c r="O184" s="217">
        <f t="shared" si="61"/>
        <v>-3.8281885800197984E-5</v>
      </c>
      <c r="P184" s="217">
        <f t="shared" si="62"/>
        <v>-1.2923364471710644E-4</v>
      </c>
      <c r="Q184" s="4" t="s">
        <v>304</v>
      </c>
      <c r="R184" s="4" t="s">
        <v>559</v>
      </c>
      <c r="S184" s="4" t="s">
        <v>814</v>
      </c>
    </row>
    <row r="185" spans="1:19" ht="17.25" customHeight="1">
      <c r="A185" s="213">
        <f t="shared" si="56"/>
        <v>54900</v>
      </c>
      <c r="B185" s="55">
        <v>29809</v>
      </c>
      <c r="C185" s="55">
        <v>27751</v>
      </c>
      <c r="D185" s="55">
        <v>11262</v>
      </c>
      <c r="E185" s="213" t="str">
        <f t="shared" si="52"/>
        <v>7471</v>
      </c>
      <c r="F185" s="213" t="str">
        <f t="shared" si="52"/>
        <v>6C67</v>
      </c>
      <c r="G185" s="213" t="str">
        <f t="shared" si="52"/>
        <v>2BFE</v>
      </c>
      <c r="H185" s="210">
        <f t="shared" si="53"/>
        <v>-61.041353383458045</v>
      </c>
      <c r="I185" s="210">
        <f t="shared" si="54"/>
        <v>-31.469924812030513</v>
      </c>
      <c r="J185" s="210">
        <f t="shared" si="55"/>
        <v>15.082706766917909</v>
      </c>
      <c r="K185" s="217">
        <f t="shared" si="57"/>
        <v>-3.6660291704981412E-4</v>
      </c>
      <c r="L185" s="217">
        <f t="shared" si="58"/>
        <v>-3.6376493795349719E-4</v>
      </c>
      <c r="M185" s="217">
        <f t="shared" si="59"/>
        <v>-1.8663882379247535E-4</v>
      </c>
      <c r="N185" s="217">
        <f t="shared" si="60"/>
        <v>-3.4446093924923643E-4</v>
      </c>
      <c r="O185" s="217">
        <f t="shared" si="61"/>
        <v>-3.3277759492759799E-4</v>
      </c>
      <c r="P185" s="217">
        <f t="shared" si="62"/>
        <v>-1.6964875960542701E-4</v>
      </c>
      <c r="Q185" s="4" t="s">
        <v>305</v>
      </c>
      <c r="R185" s="4" t="s">
        <v>560</v>
      </c>
      <c r="S185" s="4" t="s">
        <v>815</v>
      </c>
    </row>
    <row r="186" spans="1:19" ht="17.25" customHeight="1">
      <c r="A186" s="213">
        <f t="shared" si="56"/>
        <v>55200</v>
      </c>
      <c r="B186" s="55">
        <v>29835</v>
      </c>
      <c r="C186" s="55">
        <v>27716</v>
      </c>
      <c r="D186" s="55">
        <v>11201</v>
      </c>
      <c r="E186" s="213" t="str">
        <f t="shared" si="52"/>
        <v>748B</v>
      </c>
      <c r="F186" s="213" t="str">
        <f t="shared" si="52"/>
        <v>6C44</v>
      </c>
      <c r="G186" s="213" t="str">
        <f t="shared" si="52"/>
        <v>2BC1</v>
      </c>
      <c r="H186" s="210">
        <f t="shared" si="53"/>
        <v>-35.041353383458045</v>
      </c>
      <c r="I186" s="210">
        <f t="shared" si="54"/>
        <v>-66.469924812030513</v>
      </c>
      <c r="J186" s="210">
        <f t="shared" si="55"/>
        <v>-45.917293233082091</v>
      </c>
      <c r="K186" s="217">
        <f t="shared" si="57"/>
        <v>-6.2834282312116047E-4</v>
      </c>
      <c r="L186" s="217">
        <f t="shared" si="58"/>
        <v>-7.8260327982357717E-4</v>
      </c>
      <c r="M186" s="217">
        <f t="shared" si="59"/>
        <v>-6.9586927138531472E-4</v>
      </c>
      <c r="N186" s="217">
        <f t="shared" si="60"/>
        <v>-6.0620084532058273E-4</v>
      </c>
      <c r="O186" s="217">
        <f t="shared" si="61"/>
        <v>-7.5161593679767802E-4</v>
      </c>
      <c r="P186" s="217">
        <f t="shared" si="62"/>
        <v>-6.7887920719826632E-4</v>
      </c>
      <c r="Q186" s="4" t="s">
        <v>306</v>
      </c>
      <c r="R186" s="4" t="s">
        <v>561</v>
      </c>
      <c r="S186" s="4" t="s">
        <v>816</v>
      </c>
    </row>
    <row r="187" spans="1:19" ht="17.25" customHeight="1">
      <c r="A187" s="213">
        <f t="shared" si="56"/>
        <v>55500</v>
      </c>
      <c r="B187" s="55">
        <v>29849</v>
      </c>
      <c r="C187" s="55">
        <v>27695</v>
      </c>
      <c r="D187" s="55">
        <v>11244</v>
      </c>
      <c r="E187" s="213" t="str">
        <f t="shared" si="52"/>
        <v>7499</v>
      </c>
      <c r="F187" s="213" t="str">
        <f t="shared" si="52"/>
        <v>6C2F</v>
      </c>
      <c r="G187" s="213" t="str">
        <f t="shared" si="52"/>
        <v>2BEC</v>
      </c>
      <c r="H187" s="210">
        <f t="shared" si="53"/>
        <v>-21.041353383458045</v>
      </c>
      <c r="I187" s="210">
        <f t="shared" si="54"/>
        <v>-87.469924812030513</v>
      </c>
      <c r="J187" s="210">
        <f t="shared" si="55"/>
        <v>-2.9172932330820913</v>
      </c>
      <c r="K187" s="217">
        <f t="shared" si="57"/>
        <v>-7.6529975071663241E-4</v>
      </c>
      <c r="L187" s="217">
        <f t="shared" si="58"/>
        <v>-1.2112581453312371E-3</v>
      </c>
      <c r="M187" s="217">
        <f t="shared" si="59"/>
        <v>-4.8571067396604772E-4</v>
      </c>
      <c r="N187" s="217">
        <f t="shared" si="60"/>
        <v>-7.4315777291605466E-4</v>
      </c>
      <c r="O187" s="217">
        <f t="shared" si="61"/>
        <v>-1.1802708023053378E-3</v>
      </c>
      <c r="P187" s="217">
        <f t="shared" si="62"/>
        <v>-4.6872060977899937E-4</v>
      </c>
      <c r="Q187" s="4" t="s">
        <v>307</v>
      </c>
      <c r="R187" s="4" t="s">
        <v>562</v>
      </c>
      <c r="S187" s="4" t="s">
        <v>817</v>
      </c>
    </row>
    <row r="188" spans="1:19" ht="17.25" customHeight="1">
      <c r="A188" s="213">
        <f t="shared" si="56"/>
        <v>55800</v>
      </c>
      <c r="B188" s="55">
        <v>29868</v>
      </c>
      <c r="C188" s="55">
        <v>27756</v>
      </c>
      <c r="D188" s="55">
        <v>11262</v>
      </c>
      <c r="E188" s="213" t="str">
        <f t="shared" si="52"/>
        <v>74AC</v>
      </c>
      <c r="F188" s="213" t="str">
        <f t="shared" si="52"/>
        <v>6C6C</v>
      </c>
      <c r="G188" s="213" t="str">
        <f t="shared" si="52"/>
        <v>2BFE</v>
      </c>
      <c r="H188" s="210">
        <f t="shared" si="53"/>
        <v>-2.0413533834580448</v>
      </c>
      <c r="I188" s="210">
        <f t="shared" si="54"/>
        <v>-26.469924812030513</v>
      </c>
      <c r="J188" s="210">
        <f t="shared" si="55"/>
        <v>15.082706766917909</v>
      </c>
      <c r="K188" s="217">
        <f t="shared" si="57"/>
        <v>-6.2529933584126111E-4</v>
      </c>
      <c r="L188" s="217">
        <f t="shared" si="58"/>
        <v>-1.0836433380426972E-3</v>
      </c>
      <c r="M188" s="217">
        <f t="shared" si="59"/>
        <v>-1.7047277783714714E-4</v>
      </c>
      <c r="N188" s="217">
        <f t="shared" si="60"/>
        <v>-6.0315735804068336E-4</v>
      </c>
      <c r="O188" s="217">
        <f t="shared" si="61"/>
        <v>-1.0526559950167979E-3</v>
      </c>
      <c r="P188" s="217">
        <f t="shared" si="62"/>
        <v>-1.5348271365009879E-4</v>
      </c>
      <c r="Q188" s="4" t="s">
        <v>308</v>
      </c>
      <c r="R188" s="4" t="s">
        <v>563</v>
      </c>
      <c r="S188" s="4" t="s">
        <v>818</v>
      </c>
    </row>
    <row r="189" spans="1:19" ht="17.25" customHeight="1">
      <c r="A189" s="213">
        <f t="shared" si="56"/>
        <v>56100</v>
      </c>
      <c r="B189" s="55">
        <v>29897</v>
      </c>
      <c r="C189" s="55">
        <v>27888</v>
      </c>
      <c r="D189" s="55">
        <v>11261</v>
      </c>
      <c r="E189" s="213" t="str">
        <f t="shared" si="52"/>
        <v>74C9</v>
      </c>
      <c r="F189" s="213" t="str">
        <f t="shared" si="52"/>
        <v>6CF0</v>
      </c>
      <c r="G189" s="213" t="str">
        <f t="shared" si="52"/>
        <v>2BFD</v>
      </c>
      <c r="H189" s="210">
        <f t="shared" si="53"/>
        <v>26.958646616541955</v>
      </c>
      <c r="I189" s="210">
        <f t="shared" si="54"/>
        <v>105.53007518796949</v>
      </c>
      <c r="J189" s="210">
        <f t="shared" si="55"/>
        <v>14.082706766917909</v>
      </c>
      <c r="K189" s="217">
        <f t="shared" si="57"/>
        <v>-2.5399388769353721E-4</v>
      </c>
      <c r="L189" s="217">
        <f t="shared" si="58"/>
        <v>-4.9792409433375713E-4</v>
      </c>
      <c r="M189" s="217">
        <f t="shared" si="59"/>
        <v>1.6093116424708163E-4</v>
      </c>
      <c r="N189" s="217">
        <f t="shared" si="60"/>
        <v>-2.3185190989295949E-4</v>
      </c>
      <c r="O189" s="217">
        <f t="shared" si="61"/>
        <v>-4.6693675130785793E-4</v>
      </c>
      <c r="P189" s="217">
        <f t="shared" si="62"/>
        <v>1.7792122843412998E-4</v>
      </c>
      <c r="Q189" s="4" t="s">
        <v>309</v>
      </c>
      <c r="R189" s="4" t="s">
        <v>564</v>
      </c>
      <c r="S189" s="4" t="s">
        <v>819</v>
      </c>
    </row>
    <row r="190" spans="1:19" ht="17.25" customHeight="1">
      <c r="A190" s="213">
        <f t="shared" si="56"/>
        <v>56400</v>
      </c>
      <c r="B190" s="55">
        <v>29924</v>
      </c>
      <c r="C190" s="55">
        <v>27805</v>
      </c>
      <c r="D190" s="55">
        <v>11257</v>
      </c>
      <c r="E190" s="213" t="str">
        <f t="shared" si="52"/>
        <v>74E4</v>
      </c>
      <c r="F190" s="213" t="str">
        <f t="shared" si="52"/>
        <v>6C9D</v>
      </c>
      <c r="G190" s="213" t="str">
        <f t="shared" si="52"/>
        <v>2BF9</v>
      </c>
      <c r="H190" s="210">
        <f t="shared" si="53"/>
        <v>53.958646616541955</v>
      </c>
      <c r="I190" s="210">
        <f t="shared" si="54"/>
        <v>22.530075187969487</v>
      </c>
      <c r="J190" s="210">
        <f t="shared" si="55"/>
        <v>10.082706766917909</v>
      </c>
      <c r="K190" s="217">
        <f t="shared" si="57"/>
        <v>-5.9210701779977118E-5</v>
      </c>
      <c r="L190" s="217">
        <f t="shared" si="58"/>
        <v>-5.2737366524649714E-4</v>
      </c>
      <c r="M190" s="217">
        <f t="shared" si="59"/>
        <v>3.1450860082269982E-4</v>
      </c>
      <c r="N190" s="217">
        <f t="shared" si="60"/>
        <v>-3.7068723979399398E-5</v>
      </c>
      <c r="O190" s="217">
        <f t="shared" si="61"/>
        <v>-4.96386322220598E-4</v>
      </c>
      <c r="P190" s="217">
        <f t="shared" si="62"/>
        <v>3.3149866500974817E-4</v>
      </c>
      <c r="Q190" s="4" t="s">
        <v>310</v>
      </c>
      <c r="R190" s="4" t="s">
        <v>565</v>
      </c>
      <c r="S190" s="4" t="s">
        <v>820</v>
      </c>
    </row>
    <row r="191" spans="1:19" ht="17.25" customHeight="1">
      <c r="A191" s="213">
        <f t="shared" si="56"/>
        <v>56700</v>
      </c>
      <c r="B191" s="55">
        <v>29911</v>
      </c>
      <c r="C191" s="55">
        <v>27838</v>
      </c>
      <c r="D191" s="55">
        <v>11271</v>
      </c>
      <c r="E191" s="213" t="str">
        <f t="shared" si="52"/>
        <v>74D7</v>
      </c>
      <c r="F191" s="213" t="str">
        <f t="shared" si="52"/>
        <v>6CBE</v>
      </c>
      <c r="G191" s="213" t="str">
        <f t="shared" si="52"/>
        <v>2C07</v>
      </c>
      <c r="H191" s="210">
        <f t="shared" si="53"/>
        <v>40.958646616541955</v>
      </c>
      <c r="I191" s="210">
        <f t="shared" si="54"/>
        <v>55.530075187969487</v>
      </c>
      <c r="J191" s="210">
        <f t="shared" si="55"/>
        <v>24.082706766917909</v>
      </c>
      <c r="K191" s="217">
        <f t="shared" si="57"/>
        <v>-1.3834137105736091E-4</v>
      </c>
      <c r="L191" s="217">
        <f t="shared" si="58"/>
        <v>-5.5682323615923715E-4</v>
      </c>
      <c r="M191" s="217">
        <f t="shared" si="59"/>
        <v>1.5284814126941752E-4</v>
      </c>
      <c r="N191" s="217">
        <f t="shared" si="60"/>
        <v>-1.1619939325678319E-4</v>
      </c>
      <c r="O191" s="217">
        <f t="shared" si="61"/>
        <v>-5.2583589313333801E-4</v>
      </c>
      <c r="P191" s="217">
        <f t="shared" si="62"/>
        <v>1.6983820545646587E-4</v>
      </c>
      <c r="Q191" s="4" t="s">
        <v>311</v>
      </c>
      <c r="R191" s="4" t="s">
        <v>566</v>
      </c>
      <c r="S191" s="4" t="s">
        <v>821</v>
      </c>
    </row>
    <row r="192" spans="1:19" ht="17.25" customHeight="1">
      <c r="A192" s="213">
        <f t="shared" si="56"/>
        <v>57000</v>
      </c>
      <c r="B192" s="55">
        <v>29961</v>
      </c>
      <c r="C192" s="55">
        <v>27886</v>
      </c>
      <c r="D192" s="55">
        <v>11271</v>
      </c>
      <c r="E192" s="213" t="str">
        <f t="shared" si="52"/>
        <v>7509</v>
      </c>
      <c r="F192" s="213" t="str">
        <f t="shared" si="52"/>
        <v>6CEE</v>
      </c>
      <c r="G192" s="213" t="str">
        <f t="shared" si="52"/>
        <v>2C07</v>
      </c>
      <c r="H192" s="210">
        <f t="shared" si="53"/>
        <v>90.958646616541955</v>
      </c>
      <c r="I192" s="210">
        <f t="shared" si="54"/>
        <v>103.53007518796949</v>
      </c>
      <c r="J192" s="210">
        <f t="shared" si="55"/>
        <v>24.082706766917909</v>
      </c>
      <c r="K192" s="217">
        <f t="shared" si="57"/>
        <v>7.4702738535595449E-5</v>
      </c>
      <c r="L192" s="217">
        <f t="shared" si="58"/>
        <v>-3.8339798522865718E-4</v>
      </c>
      <c r="M192" s="217">
        <f t="shared" si="59"/>
        <v>7.2017911492776356E-5</v>
      </c>
      <c r="N192" s="217">
        <f t="shared" si="60"/>
        <v>9.6844716336173169E-5</v>
      </c>
      <c r="O192" s="217">
        <f t="shared" si="61"/>
        <v>-3.5241064220275798E-4</v>
      </c>
      <c r="P192" s="217">
        <f t="shared" si="62"/>
        <v>8.9007975679824717E-5</v>
      </c>
      <c r="Q192" s="4" t="s">
        <v>312</v>
      </c>
      <c r="R192" s="4" t="s">
        <v>567</v>
      </c>
      <c r="S192" s="4" t="s">
        <v>822</v>
      </c>
    </row>
    <row r="193" spans="1:19" ht="17.25" customHeight="1">
      <c r="A193" s="213">
        <f t="shared" si="56"/>
        <v>57300</v>
      </c>
      <c r="B193" s="55">
        <v>29939</v>
      </c>
      <c r="C193" s="55">
        <v>27840</v>
      </c>
      <c r="D193" s="55">
        <v>11279</v>
      </c>
      <c r="E193" s="213" t="str">
        <f t="shared" si="52"/>
        <v>74F3</v>
      </c>
      <c r="F193" s="213" t="str">
        <f t="shared" si="52"/>
        <v>6CC0</v>
      </c>
      <c r="G193" s="213" t="str">
        <f t="shared" si="52"/>
        <v>2C0F</v>
      </c>
      <c r="H193" s="210">
        <f t="shared" si="53"/>
        <v>68.958646616541955</v>
      </c>
      <c r="I193" s="210">
        <f t="shared" si="54"/>
        <v>57.530075187969487</v>
      </c>
      <c r="J193" s="210">
        <f t="shared" si="55"/>
        <v>32.082706766917909</v>
      </c>
      <c r="K193" s="217">
        <f t="shared" si="57"/>
        <v>2.4513802620996052E-4</v>
      </c>
      <c r="L193" s="217">
        <f t="shared" si="58"/>
        <v>3.2168182095562818E-5</v>
      </c>
      <c r="M193" s="217">
        <f t="shared" si="59"/>
        <v>2.7409348593437926E-4</v>
      </c>
      <c r="N193" s="217">
        <f t="shared" si="60"/>
        <v>2.6728000401053827E-4</v>
      </c>
      <c r="O193" s="217">
        <f t="shared" si="61"/>
        <v>6.3155525121462008E-5</v>
      </c>
      <c r="P193" s="217">
        <f t="shared" si="62"/>
        <v>2.9108355012142761E-4</v>
      </c>
      <c r="Q193" s="4" t="s">
        <v>313</v>
      </c>
      <c r="R193" s="4" t="s">
        <v>568</v>
      </c>
      <c r="S193" s="4" t="s">
        <v>823</v>
      </c>
    </row>
    <row r="194" spans="1:19" ht="17.25" customHeight="1">
      <c r="A194" s="213">
        <f t="shared" si="56"/>
        <v>57600</v>
      </c>
      <c r="B194" s="55">
        <v>29899</v>
      </c>
      <c r="C194" s="55">
        <v>27765</v>
      </c>
      <c r="D194" s="55">
        <v>11249</v>
      </c>
      <c r="E194" s="213" t="str">
        <f t="shared" ref="E194:G257" si="63">DEC2HEX(B194)</f>
        <v>74CB</v>
      </c>
      <c r="F194" s="213" t="str">
        <f t="shared" si="63"/>
        <v>6C75</v>
      </c>
      <c r="G194" s="213" t="str">
        <f t="shared" si="63"/>
        <v>2BF1</v>
      </c>
      <c r="H194" s="210">
        <f t="shared" ref="H194:H257" si="64">B194-Q$3</f>
        <v>28.958646616541955</v>
      </c>
      <c r="I194" s="210">
        <f t="shared" ref="I194:I257" si="65">C194-R$3</f>
        <v>-17.469924812030513</v>
      </c>
      <c r="J194" s="210">
        <f t="shared" ref="J194:J257" si="66">D194-S$3</f>
        <v>2.0827067669179087</v>
      </c>
      <c r="K194" s="217">
        <f t="shared" si="57"/>
        <v>5.4948675419989814E-4</v>
      </c>
      <c r="L194" s="217">
        <f t="shared" si="58"/>
        <v>1.5323864029238282E-4</v>
      </c>
      <c r="M194" s="217">
        <f t="shared" si="59"/>
        <v>5.165841752643028E-4</v>
      </c>
      <c r="N194" s="217">
        <f t="shared" si="60"/>
        <v>5.7162873200047588E-4</v>
      </c>
      <c r="O194" s="217">
        <f t="shared" si="61"/>
        <v>1.8422598331828202E-4</v>
      </c>
      <c r="P194" s="217">
        <f t="shared" si="62"/>
        <v>5.335742394513512E-4</v>
      </c>
      <c r="Q194" s="4" t="s">
        <v>314</v>
      </c>
      <c r="R194" s="4" t="s">
        <v>569</v>
      </c>
      <c r="S194" s="4" t="s">
        <v>824</v>
      </c>
    </row>
    <row r="195" spans="1:19" ht="17.25" customHeight="1">
      <c r="A195" s="213">
        <f t="shared" si="56"/>
        <v>57900</v>
      </c>
      <c r="B195" s="55">
        <v>29912</v>
      </c>
      <c r="C195" s="55">
        <v>27879</v>
      </c>
      <c r="D195" s="55">
        <v>11286</v>
      </c>
      <c r="E195" s="213" t="str">
        <f t="shared" si="63"/>
        <v>74D8</v>
      </c>
      <c r="F195" s="213" t="str">
        <f t="shared" si="63"/>
        <v>6CE7</v>
      </c>
      <c r="G195" s="213" t="str">
        <f t="shared" si="63"/>
        <v>2C16</v>
      </c>
      <c r="H195" s="210">
        <f t="shared" si="64"/>
        <v>41.958646616541955</v>
      </c>
      <c r="I195" s="210">
        <f t="shared" si="65"/>
        <v>96.530075187969487</v>
      </c>
      <c r="J195" s="210">
        <f t="shared" si="66"/>
        <v>39.082706766917909</v>
      </c>
      <c r="K195" s="217">
        <f t="shared" si="57"/>
        <v>7.1079158003456509E-4</v>
      </c>
      <c r="L195" s="217">
        <f t="shared" si="58"/>
        <v>6.9314744035928275E-4</v>
      </c>
      <c r="M195" s="217">
        <f t="shared" si="59"/>
        <v>1.0258146228571421E-3</v>
      </c>
      <c r="N195" s="217">
        <f t="shared" si="60"/>
        <v>7.3293355783514284E-4</v>
      </c>
      <c r="O195" s="217">
        <f t="shared" si="61"/>
        <v>7.24134783385182E-4</v>
      </c>
      <c r="P195" s="217">
        <f t="shared" si="62"/>
        <v>1.0428046870441905E-3</v>
      </c>
      <c r="Q195" s="4" t="s">
        <v>315</v>
      </c>
      <c r="R195" s="4" t="s">
        <v>570</v>
      </c>
      <c r="S195" s="4" t="s">
        <v>825</v>
      </c>
    </row>
    <row r="196" spans="1:19" ht="17.25" customHeight="1">
      <c r="A196" s="213">
        <f t="shared" ref="A196:A259" si="67">A195+A$1</f>
        <v>58200</v>
      </c>
      <c r="B196" s="55">
        <v>29933</v>
      </c>
      <c r="C196" s="55">
        <v>27866</v>
      </c>
      <c r="D196" s="55">
        <v>11267</v>
      </c>
      <c r="E196" s="213" t="str">
        <f t="shared" si="63"/>
        <v>74ED</v>
      </c>
      <c r="F196" s="213" t="str">
        <f t="shared" si="63"/>
        <v>6CDA</v>
      </c>
      <c r="G196" s="213" t="str">
        <f t="shared" si="63"/>
        <v>2C03</v>
      </c>
      <c r="H196" s="210">
        <f t="shared" si="64"/>
        <v>62.958646616541955</v>
      </c>
      <c r="I196" s="210">
        <f t="shared" si="65"/>
        <v>83.530075187969487</v>
      </c>
      <c r="J196" s="210">
        <f t="shared" si="66"/>
        <v>20.082706766917909</v>
      </c>
      <c r="K196" s="217">
        <f t="shared" si="57"/>
        <v>1.0881840027420879E-3</v>
      </c>
      <c r="L196" s="217">
        <f t="shared" si="58"/>
        <v>1.0694475131331827E-3</v>
      </c>
      <c r="M196" s="217">
        <f t="shared" si="59"/>
        <v>1.0662297377454625E-3</v>
      </c>
      <c r="N196" s="217">
        <f t="shared" si="60"/>
        <v>1.1103259805426656E-3</v>
      </c>
      <c r="O196" s="217">
        <f t="shared" si="61"/>
        <v>1.100434856159082E-3</v>
      </c>
      <c r="P196" s="217">
        <f t="shared" si="62"/>
        <v>1.0832198019325109E-3</v>
      </c>
      <c r="Q196" s="4" t="s">
        <v>316</v>
      </c>
      <c r="R196" s="4" t="s">
        <v>571</v>
      </c>
      <c r="S196" s="4" t="s">
        <v>826</v>
      </c>
    </row>
    <row r="197" spans="1:19" ht="17.25" customHeight="1">
      <c r="A197" s="213">
        <f t="shared" si="67"/>
        <v>58500</v>
      </c>
      <c r="B197" s="55">
        <v>29849</v>
      </c>
      <c r="C197" s="55">
        <v>27772</v>
      </c>
      <c r="D197" s="55">
        <v>11274</v>
      </c>
      <c r="E197" s="213" t="str">
        <f t="shared" si="63"/>
        <v>7499</v>
      </c>
      <c r="F197" s="213" t="str">
        <f t="shared" si="63"/>
        <v>6C7C</v>
      </c>
      <c r="G197" s="213" t="str">
        <f t="shared" si="63"/>
        <v>2C0A</v>
      </c>
      <c r="H197" s="210">
        <f t="shared" si="64"/>
        <v>-21.041353383458045</v>
      </c>
      <c r="I197" s="210">
        <f t="shared" si="65"/>
        <v>-10.469924812030513</v>
      </c>
      <c r="J197" s="210">
        <f t="shared" si="66"/>
        <v>27.082706766917909</v>
      </c>
      <c r="K197" s="217">
        <f t="shared" si="57"/>
        <v>1.1307928246606792E-3</v>
      </c>
      <c r="L197" s="217">
        <f t="shared" si="58"/>
        <v>1.2526892877013428E-3</v>
      </c>
      <c r="M197" s="217">
        <f t="shared" si="59"/>
        <v>1.6562904151149432E-3</v>
      </c>
      <c r="N197" s="217">
        <f t="shared" si="60"/>
        <v>1.1529348024612569E-3</v>
      </c>
      <c r="O197" s="217">
        <f t="shared" si="61"/>
        <v>1.283676630727242E-3</v>
      </c>
      <c r="P197" s="217">
        <f t="shared" si="62"/>
        <v>1.6732804793019916E-3</v>
      </c>
      <c r="Q197" s="4" t="s">
        <v>317</v>
      </c>
      <c r="R197" s="4" t="s">
        <v>572</v>
      </c>
      <c r="S197" s="4" t="s">
        <v>827</v>
      </c>
    </row>
    <row r="198" spans="1:19" ht="17.25" customHeight="1">
      <c r="A198" s="213">
        <f t="shared" si="67"/>
        <v>58800</v>
      </c>
      <c r="B198" s="55">
        <v>29860</v>
      </c>
      <c r="C198" s="55">
        <v>27760</v>
      </c>
      <c r="D198" s="55">
        <v>11238</v>
      </c>
      <c r="E198" s="213" t="str">
        <f t="shared" si="63"/>
        <v>74A4</v>
      </c>
      <c r="F198" s="213" t="str">
        <f t="shared" si="63"/>
        <v>6C70</v>
      </c>
      <c r="G198" s="213" t="str">
        <f t="shared" si="63"/>
        <v>2BE6</v>
      </c>
      <c r="H198" s="210">
        <f t="shared" si="64"/>
        <v>-10.041353383458045</v>
      </c>
      <c r="I198" s="210">
        <f t="shared" si="65"/>
        <v>-22.469924812030513</v>
      </c>
      <c r="J198" s="210">
        <f t="shared" si="66"/>
        <v>-8.9172932330820913</v>
      </c>
      <c r="K198" s="217">
        <f t="shared" si="57"/>
        <v>1.1642711847395723E-3</v>
      </c>
      <c r="L198" s="217">
        <f t="shared" si="58"/>
        <v>1.4653806331822426E-3</v>
      </c>
      <c r="M198" s="217">
        <f t="shared" si="59"/>
        <v>1.6077922772489584E-3</v>
      </c>
      <c r="N198" s="217">
        <f t="shared" si="60"/>
        <v>1.1864131625401501E-3</v>
      </c>
      <c r="O198" s="217">
        <f t="shared" si="61"/>
        <v>1.4963679762081418E-3</v>
      </c>
      <c r="P198" s="217">
        <f t="shared" si="62"/>
        <v>1.6247823414360068E-3</v>
      </c>
      <c r="Q198" s="4" t="s">
        <v>318</v>
      </c>
      <c r="R198" s="4" t="s">
        <v>573</v>
      </c>
      <c r="S198" s="4" t="s">
        <v>828</v>
      </c>
    </row>
    <row r="199" spans="1:19" ht="17.25" customHeight="1">
      <c r="A199" s="213">
        <f t="shared" si="67"/>
        <v>59100</v>
      </c>
      <c r="B199" s="55">
        <v>29821</v>
      </c>
      <c r="C199" s="55">
        <v>27712</v>
      </c>
      <c r="D199" s="55">
        <v>11229</v>
      </c>
      <c r="E199" s="213" t="str">
        <f t="shared" si="63"/>
        <v>747D</v>
      </c>
      <c r="F199" s="213" t="str">
        <f t="shared" si="63"/>
        <v>6C40</v>
      </c>
      <c r="G199" s="213" t="str">
        <f t="shared" si="63"/>
        <v>2BDD</v>
      </c>
      <c r="H199" s="210">
        <f t="shared" si="64"/>
        <v>-49.041353383458045</v>
      </c>
      <c r="I199" s="210">
        <f t="shared" si="65"/>
        <v>-70.469924812030513</v>
      </c>
      <c r="J199" s="210">
        <f t="shared" si="66"/>
        <v>-17.917293233082091</v>
      </c>
      <c r="K199" s="217">
        <f t="shared" si="57"/>
        <v>1.0212272825843016E-3</v>
      </c>
      <c r="L199" s="217">
        <f t="shared" si="58"/>
        <v>1.3214049531644026E-3</v>
      </c>
      <c r="M199" s="217">
        <f t="shared" si="59"/>
        <v>1.3410525189860426E-3</v>
      </c>
      <c r="N199" s="217">
        <f t="shared" si="60"/>
        <v>1.0433692603848794E-3</v>
      </c>
      <c r="O199" s="217">
        <f t="shared" si="61"/>
        <v>1.3523922961903019E-3</v>
      </c>
      <c r="P199" s="217">
        <f t="shared" si="62"/>
        <v>1.358042583173091E-3</v>
      </c>
      <c r="Q199" s="4" t="s">
        <v>319</v>
      </c>
      <c r="R199" s="4" t="s">
        <v>574</v>
      </c>
      <c r="S199" s="4" t="s">
        <v>829</v>
      </c>
    </row>
    <row r="200" spans="1:19" ht="17.25" customHeight="1">
      <c r="A200" s="213">
        <f t="shared" si="67"/>
        <v>59400</v>
      </c>
      <c r="B200" s="55">
        <v>29911</v>
      </c>
      <c r="C200" s="55">
        <v>27878</v>
      </c>
      <c r="D200" s="55">
        <v>11269</v>
      </c>
      <c r="E200" s="213" t="str">
        <f t="shared" si="63"/>
        <v>74D7</v>
      </c>
      <c r="F200" s="213" t="str">
        <f t="shared" si="63"/>
        <v>6CE6</v>
      </c>
      <c r="G200" s="213" t="str">
        <f t="shared" si="63"/>
        <v>2C05</v>
      </c>
      <c r="H200" s="210">
        <f t="shared" si="64"/>
        <v>40.958646616541955</v>
      </c>
      <c r="I200" s="210">
        <f t="shared" si="65"/>
        <v>95.530075187969487</v>
      </c>
      <c r="J200" s="210">
        <f t="shared" si="66"/>
        <v>22.082706766917909</v>
      </c>
      <c r="K200" s="217">
        <f t="shared" si="57"/>
        <v>1.0638361045028927E-3</v>
      </c>
      <c r="L200" s="217">
        <f t="shared" si="58"/>
        <v>1.2886832077058027E-3</v>
      </c>
      <c r="M200" s="217">
        <f t="shared" si="59"/>
        <v>1.4057167028073555E-3</v>
      </c>
      <c r="N200" s="217">
        <f t="shared" si="60"/>
        <v>1.0859780823034705E-3</v>
      </c>
      <c r="O200" s="217">
        <f t="shared" si="61"/>
        <v>1.319670550731702E-3</v>
      </c>
      <c r="P200" s="217">
        <f t="shared" si="62"/>
        <v>1.4227067669944039E-3</v>
      </c>
      <c r="Q200" s="4" t="s">
        <v>320</v>
      </c>
      <c r="R200" s="4" t="s">
        <v>575</v>
      </c>
      <c r="S200" s="4" t="s">
        <v>830</v>
      </c>
    </row>
    <row r="201" spans="1:19" ht="17.25" customHeight="1">
      <c r="A201" s="213">
        <f t="shared" si="67"/>
        <v>59700</v>
      </c>
      <c r="B201" s="55">
        <v>29803</v>
      </c>
      <c r="C201" s="55">
        <v>27662</v>
      </c>
      <c r="D201" s="55">
        <v>11222</v>
      </c>
      <c r="E201" s="213" t="str">
        <f t="shared" si="63"/>
        <v>746B</v>
      </c>
      <c r="F201" s="213" t="str">
        <f t="shared" si="63"/>
        <v>6C0E</v>
      </c>
      <c r="G201" s="213" t="str">
        <f t="shared" si="63"/>
        <v>2BD6</v>
      </c>
      <c r="H201" s="210">
        <f t="shared" si="64"/>
        <v>-67.041353383458045</v>
      </c>
      <c r="I201" s="210">
        <f t="shared" si="65"/>
        <v>-120.46992481203051</v>
      </c>
      <c r="J201" s="210">
        <f t="shared" si="66"/>
        <v>-24.917293233082091</v>
      </c>
      <c r="K201" s="217">
        <f t="shared" si="57"/>
        <v>6.9557414363506816E-4</v>
      </c>
      <c r="L201" s="217">
        <f t="shared" si="58"/>
        <v>8.2076224764782277E-4</v>
      </c>
      <c r="M201" s="217">
        <f t="shared" si="59"/>
        <v>1.1228108985891115E-3</v>
      </c>
      <c r="N201" s="217">
        <f t="shared" si="60"/>
        <v>7.1771612143564591E-4</v>
      </c>
      <c r="O201" s="217">
        <f t="shared" si="61"/>
        <v>8.5174959067372191E-4</v>
      </c>
      <c r="P201" s="217">
        <f t="shared" si="62"/>
        <v>1.1398009627761599E-3</v>
      </c>
      <c r="Q201" s="4" t="s">
        <v>321</v>
      </c>
      <c r="R201" s="4" t="s">
        <v>576</v>
      </c>
      <c r="S201" s="4" t="s">
        <v>831</v>
      </c>
    </row>
    <row r="202" spans="1:19" ht="17.25" customHeight="1">
      <c r="A202" s="213">
        <f t="shared" si="67"/>
        <v>60000</v>
      </c>
      <c r="B202" s="55">
        <v>29796</v>
      </c>
      <c r="C202" s="55">
        <v>27663</v>
      </c>
      <c r="D202" s="55">
        <v>11194</v>
      </c>
      <c r="E202" s="213" t="str">
        <f t="shared" si="63"/>
        <v>7464</v>
      </c>
      <c r="F202" s="213" t="str">
        <f t="shared" si="63"/>
        <v>6C0F</v>
      </c>
      <c r="G202" s="213" t="str">
        <f t="shared" si="63"/>
        <v>2BBA</v>
      </c>
      <c r="H202" s="210">
        <f t="shared" si="64"/>
        <v>-74.041353383458045</v>
      </c>
      <c r="I202" s="210">
        <f t="shared" si="65"/>
        <v>-119.46992481203051</v>
      </c>
      <c r="J202" s="210">
        <f t="shared" si="66"/>
        <v>-52.917293233082091</v>
      </c>
      <c r="K202" s="217">
        <f t="shared" si="57"/>
        <v>3.4557310644663992E-4</v>
      </c>
      <c r="L202" s="217">
        <f t="shared" si="58"/>
        <v>2.4813170212232281E-4</v>
      </c>
      <c r="M202" s="217">
        <f t="shared" si="59"/>
        <v>5.0041812930897453E-4</v>
      </c>
      <c r="N202" s="217">
        <f t="shared" si="60"/>
        <v>3.6771508424721761E-4</v>
      </c>
      <c r="O202" s="217">
        <f t="shared" si="61"/>
        <v>2.79119045148222E-4</v>
      </c>
      <c r="P202" s="217">
        <f t="shared" si="62"/>
        <v>5.1740819349602293E-4</v>
      </c>
      <c r="Q202" s="4" t="s">
        <v>322</v>
      </c>
      <c r="R202" s="4" t="s">
        <v>577</v>
      </c>
      <c r="S202" s="4" t="s">
        <v>832</v>
      </c>
    </row>
    <row r="203" spans="1:19" ht="17.25" customHeight="1">
      <c r="A203" s="213">
        <f t="shared" si="67"/>
        <v>60300</v>
      </c>
      <c r="B203" s="55">
        <v>29961</v>
      </c>
      <c r="C203" s="55">
        <v>27789</v>
      </c>
      <c r="D203" s="55">
        <v>11227</v>
      </c>
      <c r="E203" s="213" t="str">
        <f t="shared" si="63"/>
        <v>7509</v>
      </c>
      <c r="F203" s="213" t="str">
        <f t="shared" si="63"/>
        <v>6C8D</v>
      </c>
      <c r="G203" s="213" t="str">
        <f t="shared" si="63"/>
        <v>2BDB</v>
      </c>
      <c r="H203" s="210">
        <f t="shared" si="64"/>
        <v>90.958646616541955</v>
      </c>
      <c r="I203" s="210">
        <f t="shared" si="65"/>
        <v>6.5300751879694872</v>
      </c>
      <c r="J203" s="210">
        <f t="shared" si="66"/>
        <v>-19.917293233082091</v>
      </c>
      <c r="K203" s="217">
        <f t="shared" si="57"/>
        <v>3.4557310644663992E-4</v>
      </c>
      <c r="L203" s="217">
        <f t="shared" si="58"/>
        <v>-6.926922882609718E-5</v>
      </c>
      <c r="M203" s="217">
        <f t="shared" si="59"/>
        <v>1.4476511829175339E-4</v>
      </c>
      <c r="N203" s="217">
        <f t="shared" si="60"/>
        <v>3.6771508424721761E-4</v>
      </c>
      <c r="O203" s="217">
        <f t="shared" si="61"/>
        <v>-3.8281885800197984E-5</v>
      </c>
      <c r="P203" s="217">
        <f t="shared" si="62"/>
        <v>1.6175518247880173E-4</v>
      </c>
      <c r="Q203" s="4" t="s">
        <v>323</v>
      </c>
      <c r="R203" s="4" t="s">
        <v>578</v>
      </c>
      <c r="S203" s="4" t="s">
        <v>833</v>
      </c>
    </row>
    <row r="204" spans="1:19" ht="17.25" customHeight="1">
      <c r="A204" s="213">
        <f t="shared" si="67"/>
        <v>60600</v>
      </c>
      <c r="B204" s="55">
        <v>29802</v>
      </c>
      <c r="C204" s="55">
        <v>27688</v>
      </c>
      <c r="D204" s="55">
        <v>11191</v>
      </c>
      <c r="E204" s="213" t="str">
        <f t="shared" si="63"/>
        <v>746A</v>
      </c>
      <c r="F204" s="213" t="str">
        <f t="shared" si="63"/>
        <v>6C28</v>
      </c>
      <c r="G204" s="213" t="str">
        <f t="shared" si="63"/>
        <v>2BB7</v>
      </c>
      <c r="H204" s="210">
        <f t="shared" si="64"/>
        <v>-68.041353383458045</v>
      </c>
      <c r="I204" s="210">
        <f t="shared" si="65"/>
        <v>-94.469924812030513</v>
      </c>
      <c r="J204" s="210">
        <f t="shared" si="66"/>
        <v>-55.917293233082091</v>
      </c>
      <c r="K204" s="217">
        <f t="shared" ref="K204:K267" si="68">AVERAGE(H194:H204)/Q$3</f>
        <v>-7.1384650899574629E-5</v>
      </c>
      <c r="L204" s="217">
        <f t="shared" ref="L204:L267" si="69">AVERAGE(I194:I204)/R$3</f>
        <v>-5.6663975979681723E-4</v>
      </c>
      <c r="M204" s="217">
        <f t="shared" ref="M204:M267" si="70">AVERAGE(J194:J204)/S$3</f>
        <v>-5.6654090374268879E-4</v>
      </c>
      <c r="N204" s="217">
        <f t="shared" ref="N204:N267" si="71">K204-Q$4</f>
        <v>-4.9242673098996909E-5</v>
      </c>
      <c r="O204" s="217">
        <f t="shared" ref="O204:O267" si="72">L204-R$4</f>
        <v>-5.3565241677091808E-4</v>
      </c>
      <c r="P204" s="217">
        <f t="shared" ref="P204:P267" si="73">M204-S$4</f>
        <v>-5.4955083955564039E-4</v>
      </c>
      <c r="Q204" s="4" t="s">
        <v>324</v>
      </c>
      <c r="R204" s="4" t="s">
        <v>579</v>
      </c>
      <c r="S204" s="4" t="s">
        <v>834</v>
      </c>
    </row>
    <row r="205" spans="1:19" ht="17.25" customHeight="1">
      <c r="A205" s="213">
        <f t="shared" si="67"/>
        <v>60900</v>
      </c>
      <c r="B205" s="55">
        <v>29827</v>
      </c>
      <c r="C205" s="55">
        <v>27675</v>
      </c>
      <c r="D205" s="55">
        <v>11215</v>
      </c>
      <c r="E205" s="213" t="str">
        <f t="shared" si="63"/>
        <v>7483</v>
      </c>
      <c r="F205" s="213" t="str">
        <f t="shared" si="63"/>
        <v>6C1B</v>
      </c>
      <c r="G205" s="213" t="str">
        <f t="shared" si="63"/>
        <v>2BCF</v>
      </c>
      <c r="H205" s="210">
        <f t="shared" si="64"/>
        <v>-43.041353383458045</v>
      </c>
      <c r="I205" s="210">
        <f t="shared" si="65"/>
        <v>-107.46992481203051</v>
      </c>
      <c r="J205" s="210">
        <f t="shared" si="66"/>
        <v>-31.917293233082091</v>
      </c>
      <c r="K205" s="217">
        <f t="shared" si="68"/>
        <v>-2.9051573505232975E-4</v>
      </c>
      <c r="L205" s="217">
        <f t="shared" si="69"/>
        <v>-8.6113546892421712E-4</v>
      </c>
      <c r="M205" s="217">
        <f t="shared" si="70"/>
        <v>-8.413636849832687E-4</v>
      </c>
      <c r="N205" s="217">
        <f t="shared" si="71"/>
        <v>-2.68373757251752E-4</v>
      </c>
      <c r="O205" s="217">
        <f t="shared" si="72"/>
        <v>-8.3014812589831798E-4</v>
      </c>
      <c r="P205" s="217">
        <f t="shared" si="73"/>
        <v>-8.243736207962203E-4</v>
      </c>
      <c r="Q205" s="4" t="s">
        <v>325</v>
      </c>
      <c r="R205" s="4" t="s">
        <v>580</v>
      </c>
      <c r="S205" s="4" t="s">
        <v>835</v>
      </c>
    </row>
    <row r="206" spans="1:19" ht="17.25" customHeight="1">
      <c r="A206" s="213">
        <f t="shared" si="67"/>
        <v>61200</v>
      </c>
      <c r="B206" s="55">
        <v>29893</v>
      </c>
      <c r="C206" s="55">
        <v>27741</v>
      </c>
      <c r="D206" s="55">
        <v>11264</v>
      </c>
      <c r="E206" s="213" t="str">
        <f t="shared" si="63"/>
        <v>74C5</v>
      </c>
      <c r="F206" s="213" t="str">
        <f t="shared" si="63"/>
        <v>6C5D</v>
      </c>
      <c r="G206" s="213" t="str">
        <f t="shared" si="63"/>
        <v>2C00</v>
      </c>
      <c r="H206" s="210">
        <f t="shared" si="64"/>
        <v>22.958646616541955</v>
      </c>
      <c r="I206" s="210">
        <f t="shared" si="65"/>
        <v>-41.469924812030513</v>
      </c>
      <c r="J206" s="210">
        <f t="shared" si="66"/>
        <v>17.082706766917909</v>
      </c>
      <c r="K206" s="217">
        <f t="shared" si="68"/>
        <v>-3.4834199337041788E-4</v>
      </c>
      <c r="L206" s="217">
        <f t="shared" si="69"/>
        <v>-1.3126955562528971E-3</v>
      </c>
      <c r="M206" s="217">
        <f t="shared" si="70"/>
        <v>-1.0191901904918793E-3</v>
      </c>
      <c r="N206" s="217">
        <f t="shared" si="71"/>
        <v>-3.2620001556984014E-4</v>
      </c>
      <c r="O206" s="217">
        <f t="shared" si="72"/>
        <v>-1.2817082132269978E-3</v>
      </c>
      <c r="P206" s="217">
        <f t="shared" si="73"/>
        <v>-1.0022001263048309E-3</v>
      </c>
      <c r="Q206" s="4" t="s">
        <v>326</v>
      </c>
      <c r="R206" s="4" t="s">
        <v>581</v>
      </c>
      <c r="S206" s="4" t="s">
        <v>836</v>
      </c>
    </row>
    <row r="207" spans="1:19" ht="17.25" customHeight="1">
      <c r="A207" s="213">
        <f t="shared" si="67"/>
        <v>61500</v>
      </c>
      <c r="B207" s="55">
        <v>29846</v>
      </c>
      <c r="C207" s="55">
        <v>27765</v>
      </c>
      <c r="D207" s="55">
        <v>11213</v>
      </c>
      <c r="E207" s="213" t="str">
        <f t="shared" si="63"/>
        <v>7496</v>
      </c>
      <c r="F207" s="213" t="str">
        <f t="shared" si="63"/>
        <v>6C75</v>
      </c>
      <c r="G207" s="213" t="str">
        <f t="shared" si="63"/>
        <v>2BCD</v>
      </c>
      <c r="H207" s="210">
        <f t="shared" si="64"/>
        <v>-24.041353383458045</v>
      </c>
      <c r="I207" s="210">
        <f t="shared" si="65"/>
        <v>-17.469924812030513</v>
      </c>
      <c r="J207" s="210">
        <f t="shared" si="66"/>
        <v>-33.917293233082091</v>
      </c>
      <c r="K207" s="217">
        <f t="shared" si="68"/>
        <v>-6.1312538672166365E-4</v>
      </c>
      <c r="L207" s="217">
        <f t="shared" si="69"/>
        <v>-1.6431851853847569E-3</v>
      </c>
      <c r="M207" s="217">
        <f t="shared" si="70"/>
        <v>-1.4556734312857415E-3</v>
      </c>
      <c r="N207" s="217">
        <f t="shared" si="71"/>
        <v>-5.9098340892108591E-4</v>
      </c>
      <c r="O207" s="217">
        <f t="shared" si="72"/>
        <v>-1.6121978423588577E-3</v>
      </c>
      <c r="P207" s="217">
        <f t="shared" si="73"/>
        <v>-1.4386833670986931E-3</v>
      </c>
      <c r="Q207" s="4" t="s">
        <v>327</v>
      </c>
      <c r="R207" s="4" t="s">
        <v>582</v>
      </c>
      <c r="S207" s="4" t="s">
        <v>837</v>
      </c>
    </row>
    <row r="208" spans="1:19" ht="17.25" customHeight="1">
      <c r="A208" s="213">
        <f t="shared" si="67"/>
        <v>61800</v>
      </c>
      <c r="B208" s="55">
        <v>29844</v>
      </c>
      <c r="C208" s="55">
        <v>27705</v>
      </c>
      <c r="D208" s="55">
        <v>11210</v>
      </c>
      <c r="E208" s="213" t="str">
        <f t="shared" si="63"/>
        <v>7494</v>
      </c>
      <c r="F208" s="213" t="str">
        <f t="shared" si="63"/>
        <v>6C39</v>
      </c>
      <c r="G208" s="213" t="str">
        <f t="shared" si="63"/>
        <v>2BCA</v>
      </c>
      <c r="H208" s="210">
        <f t="shared" si="64"/>
        <v>-26.041353383458045</v>
      </c>
      <c r="I208" s="210">
        <f t="shared" si="65"/>
        <v>-77.469924812030513</v>
      </c>
      <c r="J208" s="210">
        <f t="shared" si="66"/>
        <v>-36.917293233082091</v>
      </c>
      <c r="K208" s="217">
        <f t="shared" si="68"/>
        <v>-6.2834282312116047E-4</v>
      </c>
      <c r="L208" s="217">
        <f t="shared" si="69"/>
        <v>-1.8624208799573772E-3</v>
      </c>
      <c r="M208" s="217">
        <f t="shared" si="70"/>
        <v>-1.972986901856245E-3</v>
      </c>
      <c r="N208" s="217">
        <f t="shared" si="71"/>
        <v>-6.0620084532058273E-4</v>
      </c>
      <c r="O208" s="217">
        <f t="shared" si="72"/>
        <v>-1.8314335369314779E-3</v>
      </c>
      <c r="P208" s="217">
        <f t="shared" si="73"/>
        <v>-1.9559968376691968E-3</v>
      </c>
      <c r="Q208" s="4" t="s">
        <v>328</v>
      </c>
      <c r="R208" s="4" t="s">
        <v>583</v>
      </c>
      <c r="S208" s="4" t="s">
        <v>838</v>
      </c>
    </row>
    <row r="209" spans="1:19" ht="17.25" customHeight="1">
      <c r="A209" s="213">
        <f t="shared" si="67"/>
        <v>62100</v>
      </c>
      <c r="B209" s="55">
        <v>29832</v>
      </c>
      <c r="C209" s="55">
        <v>27640</v>
      </c>
      <c r="D209" s="55">
        <v>11255</v>
      </c>
      <c r="E209" s="213" t="str">
        <f t="shared" si="63"/>
        <v>7488</v>
      </c>
      <c r="F209" s="213" t="str">
        <f t="shared" si="63"/>
        <v>6BF8</v>
      </c>
      <c r="G209" s="213" t="str">
        <f t="shared" si="63"/>
        <v>2BF7</v>
      </c>
      <c r="H209" s="210">
        <f t="shared" si="64"/>
        <v>-38.041353383458045</v>
      </c>
      <c r="I209" s="210">
        <f t="shared" si="65"/>
        <v>-142.46992481203051</v>
      </c>
      <c r="J209" s="210">
        <f t="shared" si="66"/>
        <v>8.0827067669179087</v>
      </c>
      <c r="K209" s="217">
        <f t="shared" si="68"/>
        <v>-7.1356046695834311E-4</v>
      </c>
      <c r="L209" s="217">
        <f t="shared" si="69"/>
        <v>-2.255081825460577E-3</v>
      </c>
      <c r="M209" s="217">
        <f t="shared" si="70"/>
        <v>-1.8355755112359549E-3</v>
      </c>
      <c r="N209" s="217">
        <f t="shared" si="71"/>
        <v>-6.9141848915776536E-4</v>
      </c>
      <c r="O209" s="217">
        <f t="shared" si="72"/>
        <v>-2.224094482434678E-3</v>
      </c>
      <c r="P209" s="217">
        <f t="shared" si="73"/>
        <v>-1.8185854470489065E-3</v>
      </c>
      <c r="Q209" s="4" t="s">
        <v>329</v>
      </c>
      <c r="R209" s="4" t="s">
        <v>584</v>
      </c>
      <c r="S209" s="4" t="s">
        <v>839</v>
      </c>
    </row>
    <row r="210" spans="1:19" ht="17.25" customHeight="1">
      <c r="A210" s="213">
        <f t="shared" si="67"/>
        <v>62400</v>
      </c>
      <c r="B210" s="55">
        <v>29880</v>
      </c>
      <c r="C210" s="55">
        <v>27788</v>
      </c>
      <c r="D210" s="55">
        <v>11270</v>
      </c>
      <c r="E210" s="213" t="str">
        <f t="shared" si="63"/>
        <v>74B8</v>
      </c>
      <c r="F210" s="213" t="str">
        <f t="shared" si="63"/>
        <v>6C8C</v>
      </c>
      <c r="G210" s="213" t="str">
        <f t="shared" si="63"/>
        <v>2C06</v>
      </c>
      <c r="H210" s="210">
        <f t="shared" si="64"/>
        <v>9.9586466165419552</v>
      </c>
      <c r="I210" s="210">
        <f t="shared" si="65"/>
        <v>5.5300751879694872</v>
      </c>
      <c r="J210" s="210">
        <f t="shared" si="66"/>
        <v>23.082706766917909</v>
      </c>
      <c r="K210" s="217">
        <f t="shared" si="68"/>
        <v>-5.3399471744427986E-4</v>
      </c>
      <c r="L210" s="217">
        <f t="shared" si="69"/>
        <v>-2.0063965599752169E-3</v>
      </c>
      <c r="M210" s="217">
        <f t="shared" si="70"/>
        <v>-1.5041715691517263E-3</v>
      </c>
      <c r="N210" s="217">
        <f t="shared" si="71"/>
        <v>-5.1185273964370211E-4</v>
      </c>
      <c r="O210" s="217">
        <f t="shared" si="72"/>
        <v>-1.9754092169493179E-3</v>
      </c>
      <c r="P210" s="217">
        <f t="shared" si="73"/>
        <v>-1.4871815049646779E-3</v>
      </c>
      <c r="Q210" s="4" t="s">
        <v>330</v>
      </c>
      <c r="R210" s="4" t="s">
        <v>585</v>
      </c>
      <c r="S210" s="4" t="s">
        <v>840</v>
      </c>
    </row>
    <row r="211" spans="1:19" ht="17.25" customHeight="1">
      <c r="A211" s="213">
        <f t="shared" si="67"/>
        <v>62700</v>
      </c>
      <c r="B211" s="55">
        <v>29913</v>
      </c>
      <c r="C211" s="55">
        <v>27796</v>
      </c>
      <c r="D211" s="55">
        <v>11260</v>
      </c>
      <c r="E211" s="213" t="str">
        <f t="shared" si="63"/>
        <v>74D9</v>
      </c>
      <c r="F211" s="213" t="str">
        <f t="shared" si="63"/>
        <v>6C94</v>
      </c>
      <c r="G211" s="213" t="str">
        <f t="shared" si="63"/>
        <v>2BFC</v>
      </c>
      <c r="H211" s="210">
        <f t="shared" si="64"/>
        <v>42.958646616541955</v>
      </c>
      <c r="I211" s="210">
        <f t="shared" si="65"/>
        <v>13.530075187969487</v>
      </c>
      <c r="J211" s="210">
        <f t="shared" si="66"/>
        <v>13.082706766917909</v>
      </c>
      <c r="K211" s="217">
        <f t="shared" si="68"/>
        <v>-5.2790774288448102E-4</v>
      </c>
      <c r="L211" s="217">
        <f t="shared" si="69"/>
        <v>-2.2747148727357371E-3</v>
      </c>
      <c r="M211" s="217">
        <f t="shared" si="70"/>
        <v>-1.5769187759507033E-3</v>
      </c>
      <c r="N211" s="217">
        <f t="shared" si="71"/>
        <v>-5.0576576508390327E-4</v>
      </c>
      <c r="O211" s="217">
        <f t="shared" si="72"/>
        <v>-2.2437275297098381E-3</v>
      </c>
      <c r="P211" s="217">
        <f t="shared" si="73"/>
        <v>-1.5599287117636549E-3</v>
      </c>
      <c r="Q211" s="4" t="s">
        <v>331</v>
      </c>
      <c r="R211" s="4" t="s">
        <v>586</v>
      </c>
      <c r="S211" s="4" t="s">
        <v>841</v>
      </c>
    </row>
    <row r="212" spans="1:19" ht="17.25" customHeight="1">
      <c r="A212" s="213">
        <f t="shared" si="67"/>
        <v>63000</v>
      </c>
      <c r="B212" s="55">
        <v>29905</v>
      </c>
      <c r="C212" s="55">
        <v>27846</v>
      </c>
      <c r="D212" s="55">
        <v>11267</v>
      </c>
      <c r="E212" s="213" t="str">
        <f t="shared" si="63"/>
        <v>74D1</v>
      </c>
      <c r="F212" s="213" t="str">
        <f t="shared" si="63"/>
        <v>6CC6</v>
      </c>
      <c r="G212" s="213" t="str">
        <f t="shared" si="63"/>
        <v>2C03</v>
      </c>
      <c r="H212" s="210">
        <f t="shared" si="64"/>
        <v>34.958646616541955</v>
      </c>
      <c r="I212" s="210">
        <f t="shared" si="65"/>
        <v>63.530075187969487</v>
      </c>
      <c r="J212" s="210">
        <f t="shared" si="66"/>
        <v>20.082706766917909</v>
      </c>
      <c r="K212" s="217">
        <f t="shared" si="68"/>
        <v>-2.1747204033474468E-4</v>
      </c>
      <c r="L212" s="217">
        <f t="shared" si="69"/>
        <v>-1.6726347562974972E-3</v>
      </c>
      <c r="M212" s="217">
        <f t="shared" si="70"/>
        <v>-1.2131827419558181E-3</v>
      </c>
      <c r="N212" s="217">
        <f t="shared" si="71"/>
        <v>-1.9533006253416696E-4</v>
      </c>
      <c r="O212" s="217">
        <f t="shared" si="72"/>
        <v>-1.6416474132715979E-3</v>
      </c>
      <c r="P212" s="217">
        <f t="shared" si="73"/>
        <v>-1.1961926777687697E-3</v>
      </c>
      <c r="Q212" s="4" t="s">
        <v>332</v>
      </c>
      <c r="R212" s="4" t="s">
        <v>587</v>
      </c>
      <c r="S212" s="4" t="s">
        <v>842</v>
      </c>
    </row>
    <row r="213" spans="1:19" ht="17.25" customHeight="1">
      <c r="A213" s="213">
        <f t="shared" si="67"/>
        <v>63300</v>
      </c>
      <c r="B213" s="55">
        <v>29871</v>
      </c>
      <c r="C213" s="55">
        <v>27830</v>
      </c>
      <c r="D213" s="55">
        <v>11239</v>
      </c>
      <c r="E213" s="213" t="str">
        <f t="shared" si="63"/>
        <v>74AF</v>
      </c>
      <c r="F213" s="213" t="str">
        <f t="shared" si="63"/>
        <v>6CB6</v>
      </c>
      <c r="G213" s="213" t="str">
        <f t="shared" si="63"/>
        <v>2BE7</v>
      </c>
      <c r="H213" s="210">
        <f t="shared" si="64"/>
        <v>0.95864661654195515</v>
      </c>
      <c r="I213" s="210">
        <f t="shared" si="65"/>
        <v>47.530075187969487</v>
      </c>
      <c r="J213" s="210">
        <f t="shared" si="66"/>
        <v>-7.9172932330820913</v>
      </c>
      <c r="K213" s="217">
        <f t="shared" si="68"/>
        <v>1.0789505657708538E-5</v>
      </c>
      <c r="L213" s="217">
        <f t="shared" si="69"/>
        <v>-1.1261816071388771E-3</v>
      </c>
      <c r="M213" s="217">
        <f t="shared" si="70"/>
        <v>-8.4944670796093294E-4</v>
      </c>
      <c r="N213" s="217">
        <f t="shared" si="71"/>
        <v>3.2931483458286256E-5</v>
      </c>
      <c r="O213" s="217">
        <f t="shared" si="72"/>
        <v>-1.0951942641129779E-3</v>
      </c>
      <c r="P213" s="217">
        <f t="shared" si="73"/>
        <v>-8.3245664377388454E-4</v>
      </c>
      <c r="Q213" s="4" t="s">
        <v>333</v>
      </c>
      <c r="R213" s="4" t="s">
        <v>588</v>
      </c>
      <c r="S213" s="4" t="s">
        <v>843</v>
      </c>
    </row>
    <row r="214" spans="1:19" ht="17.25" customHeight="1">
      <c r="A214" s="213">
        <f t="shared" si="67"/>
        <v>63600</v>
      </c>
      <c r="B214" s="55">
        <v>29901</v>
      </c>
      <c r="C214" s="55">
        <v>27811</v>
      </c>
      <c r="D214" s="55">
        <v>11266</v>
      </c>
      <c r="E214" s="213" t="str">
        <f t="shared" si="63"/>
        <v>74CD</v>
      </c>
      <c r="F214" s="213" t="str">
        <f t="shared" si="63"/>
        <v>6CA3</v>
      </c>
      <c r="G214" s="213" t="str">
        <f t="shared" si="63"/>
        <v>2C02</v>
      </c>
      <c r="H214" s="210">
        <f t="shared" si="64"/>
        <v>30.958646616541955</v>
      </c>
      <c r="I214" s="210">
        <f t="shared" si="65"/>
        <v>28.530075187969487</v>
      </c>
      <c r="J214" s="210">
        <f t="shared" si="66"/>
        <v>19.082706766917909</v>
      </c>
      <c r="K214" s="217">
        <f t="shared" si="68"/>
        <v>-1.7181973113625405E-4</v>
      </c>
      <c r="L214" s="217">
        <f t="shared" si="69"/>
        <v>-1.0541937671299571E-3</v>
      </c>
      <c r="M214" s="217">
        <f t="shared" si="70"/>
        <v>-5.3420881183203236E-4</v>
      </c>
      <c r="N214" s="217">
        <f t="shared" si="71"/>
        <v>-1.4967775333567633E-4</v>
      </c>
      <c r="O214" s="217">
        <f t="shared" si="72"/>
        <v>-1.0232064241040579E-3</v>
      </c>
      <c r="P214" s="217">
        <f t="shared" si="73"/>
        <v>-5.1721874764498396E-4</v>
      </c>
      <c r="Q214" s="4" t="s">
        <v>334</v>
      </c>
      <c r="R214" s="4" t="s">
        <v>589</v>
      </c>
      <c r="S214" s="4" t="s">
        <v>844</v>
      </c>
    </row>
    <row r="215" spans="1:19" ht="17.25" customHeight="1">
      <c r="A215" s="213">
        <f t="shared" si="67"/>
        <v>63900</v>
      </c>
      <c r="B215" s="55">
        <v>29886</v>
      </c>
      <c r="C215" s="55">
        <v>27853</v>
      </c>
      <c r="D215" s="55">
        <v>11259</v>
      </c>
      <c r="E215" s="213" t="str">
        <f t="shared" si="63"/>
        <v>74BE</v>
      </c>
      <c r="F215" s="213" t="str">
        <f t="shared" si="63"/>
        <v>6CCD</v>
      </c>
      <c r="G215" s="213" t="str">
        <f t="shared" si="63"/>
        <v>2BFB</v>
      </c>
      <c r="H215" s="210">
        <f t="shared" si="64"/>
        <v>15.958646616541955</v>
      </c>
      <c r="I215" s="210">
        <f t="shared" si="65"/>
        <v>70.530075187969487</v>
      </c>
      <c r="J215" s="210">
        <f t="shared" si="66"/>
        <v>12.082706766917909</v>
      </c>
      <c r="K215" s="217">
        <f t="shared" si="68"/>
        <v>8.3833200375293569E-5</v>
      </c>
      <c r="L215" s="217">
        <f t="shared" si="69"/>
        <v>-5.1428496706305718E-4</v>
      </c>
      <c r="M215" s="217">
        <f t="shared" si="70"/>
        <v>1.5436750649127546E-5</v>
      </c>
      <c r="N215" s="217">
        <f t="shared" si="71"/>
        <v>1.0597517817587129E-4</v>
      </c>
      <c r="O215" s="217">
        <f t="shared" si="72"/>
        <v>-4.8329762403715798E-4</v>
      </c>
      <c r="P215" s="217">
        <f t="shared" si="73"/>
        <v>3.24268148361759E-5</v>
      </c>
      <c r="Q215" s="4" t="s">
        <v>335</v>
      </c>
      <c r="R215" s="4" t="s">
        <v>590</v>
      </c>
      <c r="S215" s="4" t="s">
        <v>845</v>
      </c>
    </row>
    <row r="216" spans="1:19" ht="17.25" customHeight="1">
      <c r="A216" s="213">
        <f t="shared" si="67"/>
        <v>64200</v>
      </c>
      <c r="B216" s="55">
        <v>29806</v>
      </c>
      <c r="C216" s="55">
        <v>27751</v>
      </c>
      <c r="D216" s="55">
        <v>11242</v>
      </c>
      <c r="E216" s="213" t="str">
        <f t="shared" si="63"/>
        <v>746E</v>
      </c>
      <c r="F216" s="213" t="str">
        <f t="shared" si="63"/>
        <v>6C67</v>
      </c>
      <c r="G216" s="213" t="str">
        <f t="shared" si="63"/>
        <v>2BEA</v>
      </c>
      <c r="H216" s="210">
        <f t="shared" si="64"/>
        <v>-64.041353383458045</v>
      </c>
      <c r="I216" s="210">
        <f t="shared" si="65"/>
        <v>-31.469924812030513</v>
      </c>
      <c r="J216" s="210">
        <f t="shared" si="66"/>
        <v>-4.9172932330820913</v>
      </c>
      <c r="K216" s="217">
        <f t="shared" si="68"/>
        <v>1.9919967497406666E-5</v>
      </c>
      <c r="L216" s="217">
        <f t="shared" si="69"/>
        <v>-2.6559970157769719E-4</v>
      </c>
      <c r="M216" s="217">
        <f t="shared" si="70"/>
        <v>2.3367837104605867E-4</v>
      </c>
      <c r="N216" s="217">
        <f t="shared" si="71"/>
        <v>4.2061945297984383E-5</v>
      </c>
      <c r="O216" s="217">
        <f t="shared" si="72"/>
        <v>-2.3461235855179799E-4</v>
      </c>
      <c r="P216" s="217">
        <f t="shared" si="73"/>
        <v>2.5066843523310705E-4</v>
      </c>
      <c r="Q216" s="4" t="s">
        <v>336</v>
      </c>
      <c r="R216" s="4" t="s">
        <v>591</v>
      </c>
      <c r="S216" s="4" t="s">
        <v>846</v>
      </c>
    </row>
    <row r="217" spans="1:19" ht="17.25" customHeight="1">
      <c r="A217" s="213">
        <f t="shared" si="67"/>
        <v>64500</v>
      </c>
      <c r="B217" s="55">
        <v>29838</v>
      </c>
      <c r="C217" s="55">
        <v>27714</v>
      </c>
      <c r="D217" s="55">
        <v>11221</v>
      </c>
      <c r="E217" s="213" t="str">
        <f t="shared" si="63"/>
        <v>748E</v>
      </c>
      <c r="F217" s="213" t="str">
        <f t="shared" si="63"/>
        <v>6C42</v>
      </c>
      <c r="G217" s="213" t="str">
        <f t="shared" si="63"/>
        <v>2BD5</v>
      </c>
      <c r="H217" s="210">
        <f t="shared" si="64"/>
        <v>-32.041353383458045</v>
      </c>
      <c r="I217" s="210">
        <f t="shared" si="65"/>
        <v>-68.469924812030513</v>
      </c>
      <c r="J217" s="210">
        <f t="shared" si="66"/>
        <v>-25.917293233082091</v>
      </c>
      <c r="K217" s="217">
        <f t="shared" si="68"/>
        <v>-1.4747183289705903E-4</v>
      </c>
      <c r="L217" s="217">
        <f t="shared" si="69"/>
        <v>-3.5394841431591717E-4</v>
      </c>
      <c r="M217" s="217">
        <f t="shared" si="70"/>
        <v>-1.1389161699349831E-4</v>
      </c>
      <c r="N217" s="217">
        <f t="shared" si="71"/>
        <v>-1.2532985509648131E-4</v>
      </c>
      <c r="O217" s="217">
        <f t="shared" si="72"/>
        <v>-3.2296107129001797E-4</v>
      </c>
      <c r="P217" s="217">
        <f t="shared" si="73"/>
        <v>-9.6901552806449962E-5</v>
      </c>
      <c r="Q217" s="4" t="s">
        <v>337</v>
      </c>
      <c r="R217" s="4" t="s">
        <v>592</v>
      </c>
      <c r="S217" s="4" t="s">
        <v>847</v>
      </c>
    </row>
    <row r="218" spans="1:19" ht="17.25" customHeight="1">
      <c r="A218" s="213">
        <f t="shared" si="67"/>
        <v>64800</v>
      </c>
      <c r="B218" s="55">
        <v>29860</v>
      </c>
      <c r="C218" s="55">
        <v>27662</v>
      </c>
      <c r="D218" s="55">
        <v>11268</v>
      </c>
      <c r="E218" s="213" t="str">
        <f t="shared" si="63"/>
        <v>74A4</v>
      </c>
      <c r="F218" s="213" t="str">
        <f t="shared" si="63"/>
        <v>6C0E</v>
      </c>
      <c r="G218" s="213" t="str">
        <f t="shared" si="63"/>
        <v>2C04</v>
      </c>
      <c r="H218" s="210">
        <f t="shared" si="64"/>
        <v>-10.041353383458045</v>
      </c>
      <c r="I218" s="210">
        <f t="shared" si="65"/>
        <v>-120.46992481203051</v>
      </c>
      <c r="J218" s="210">
        <f t="shared" si="66"/>
        <v>21.082706766917909</v>
      </c>
      <c r="K218" s="217">
        <f t="shared" si="68"/>
        <v>-1.0486301097846777E-4</v>
      </c>
      <c r="L218" s="217">
        <f t="shared" si="69"/>
        <v>-6.9098239253949714E-4</v>
      </c>
      <c r="M218" s="217">
        <f t="shared" si="70"/>
        <v>3.3067464677802804E-4</v>
      </c>
      <c r="N218" s="217">
        <f t="shared" si="71"/>
        <v>-8.2721033177890051E-5</v>
      </c>
      <c r="O218" s="217">
        <f t="shared" si="72"/>
        <v>-6.5999504951359789E-4</v>
      </c>
      <c r="P218" s="217">
        <f t="shared" si="73"/>
        <v>3.4766471096507639E-4</v>
      </c>
      <c r="Q218" s="4" t="s">
        <v>338</v>
      </c>
      <c r="R218" s="4" t="s">
        <v>593</v>
      </c>
      <c r="S218" s="4" t="s">
        <v>848</v>
      </c>
    </row>
    <row r="219" spans="1:19" ht="17.25" customHeight="1">
      <c r="A219" s="213">
        <f t="shared" si="67"/>
        <v>65100</v>
      </c>
      <c r="B219" s="55">
        <v>29948</v>
      </c>
      <c r="C219" s="55">
        <v>27853</v>
      </c>
      <c r="D219" s="55">
        <v>11267</v>
      </c>
      <c r="E219" s="213" t="str">
        <f t="shared" si="63"/>
        <v>74FC</v>
      </c>
      <c r="F219" s="213" t="str">
        <f t="shared" si="63"/>
        <v>6CCD</v>
      </c>
      <c r="G219" s="213" t="str">
        <f t="shared" si="63"/>
        <v>2C03</v>
      </c>
      <c r="H219" s="210">
        <f t="shared" si="64"/>
        <v>77.958646616541955</v>
      </c>
      <c r="I219" s="210">
        <f t="shared" si="65"/>
        <v>70.530075187969487</v>
      </c>
      <c r="J219" s="210">
        <f t="shared" si="66"/>
        <v>20.082706766917909</v>
      </c>
      <c r="K219" s="217">
        <f t="shared" si="68"/>
        <v>2.1165966613106738E-4</v>
      </c>
      <c r="L219" s="217">
        <f t="shared" si="69"/>
        <v>-2.0670055975221716E-4</v>
      </c>
      <c r="M219" s="217">
        <f t="shared" si="70"/>
        <v>7.9140695650488271E-4</v>
      </c>
      <c r="N219" s="217">
        <f t="shared" si="71"/>
        <v>2.338016439316451E-4</v>
      </c>
      <c r="O219" s="217">
        <f t="shared" si="72"/>
        <v>-1.7571321672631797E-4</v>
      </c>
      <c r="P219" s="217">
        <f t="shared" si="73"/>
        <v>8.0839702069193111E-4</v>
      </c>
      <c r="Q219" s="4" t="s">
        <v>339</v>
      </c>
      <c r="R219" s="4" t="s">
        <v>594</v>
      </c>
      <c r="S219" s="4" t="s">
        <v>849</v>
      </c>
    </row>
    <row r="220" spans="1:19" ht="17.25" customHeight="1">
      <c r="A220" s="213">
        <f t="shared" si="67"/>
        <v>65400</v>
      </c>
      <c r="B220" s="55">
        <v>29905</v>
      </c>
      <c r="C220" s="55">
        <v>27854</v>
      </c>
      <c r="D220" s="55">
        <v>11243</v>
      </c>
      <c r="E220" s="213" t="str">
        <f t="shared" si="63"/>
        <v>74D1</v>
      </c>
      <c r="F220" s="213" t="str">
        <f t="shared" si="63"/>
        <v>6CCE</v>
      </c>
      <c r="G220" s="213" t="str">
        <f t="shared" si="63"/>
        <v>2BEB</v>
      </c>
      <c r="H220" s="210">
        <f t="shared" si="64"/>
        <v>34.958646616541955</v>
      </c>
      <c r="I220" s="210">
        <f t="shared" si="65"/>
        <v>71.530075187969487</v>
      </c>
      <c r="J220" s="210">
        <f t="shared" si="66"/>
        <v>-3.9172932330820913</v>
      </c>
      <c r="K220" s="217">
        <f t="shared" si="68"/>
        <v>4.3383423756372186E-4</v>
      </c>
      <c r="L220" s="217">
        <f t="shared" si="69"/>
        <v>4.9354479306182276E-4</v>
      </c>
      <c r="M220" s="217">
        <f t="shared" si="70"/>
        <v>6.9441068077291332E-4</v>
      </c>
      <c r="N220" s="217">
        <f t="shared" si="71"/>
        <v>4.5597621536429961E-4</v>
      </c>
      <c r="O220" s="217">
        <f t="shared" si="72"/>
        <v>5.245321360877219E-4</v>
      </c>
      <c r="P220" s="217">
        <f t="shared" si="73"/>
        <v>7.1140074495996172E-4</v>
      </c>
      <c r="Q220" s="4" t="s">
        <v>340</v>
      </c>
      <c r="R220" s="4" t="s">
        <v>595</v>
      </c>
      <c r="S220" s="4" t="s">
        <v>850</v>
      </c>
    </row>
    <row r="221" spans="1:19" ht="17.25" customHeight="1">
      <c r="A221" s="213">
        <f t="shared" si="67"/>
        <v>65700</v>
      </c>
      <c r="B221" s="55">
        <v>29878</v>
      </c>
      <c r="C221" s="55">
        <v>27780</v>
      </c>
      <c r="D221" s="55">
        <v>11250</v>
      </c>
      <c r="E221" s="213" t="str">
        <f t="shared" si="63"/>
        <v>74B6</v>
      </c>
      <c r="F221" s="213" t="str">
        <f t="shared" si="63"/>
        <v>6C84</v>
      </c>
      <c r="G221" s="213" t="str">
        <f t="shared" si="63"/>
        <v>2BF2</v>
      </c>
      <c r="H221" s="210">
        <f t="shared" si="64"/>
        <v>7.9586466165419552</v>
      </c>
      <c r="I221" s="210">
        <f t="shared" si="65"/>
        <v>-2.4699248120305128</v>
      </c>
      <c r="J221" s="210">
        <f t="shared" si="66"/>
        <v>3.0827067669179087</v>
      </c>
      <c r="K221" s="217">
        <f t="shared" si="68"/>
        <v>4.2774726300392313E-4</v>
      </c>
      <c r="L221" s="217">
        <f t="shared" si="69"/>
        <v>4.6736739669494279E-4</v>
      </c>
      <c r="M221" s="217">
        <f t="shared" si="70"/>
        <v>5.3275022121963096E-4</v>
      </c>
      <c r="N221" s="217">
        <f t="shared" si="71"/>
        <v>4.4988924080450088E-4</v>
      </c>
      <c r="O221" s="217">
        <f t="shared" si="72"/>
        <v>4.9835473972084199E-4</v>
      </c>
      <c r="P221" s="217">
        <f t="shared" si="73"/>
        <v>5.4974028540667936E-4</v>
      </c>
      <c r="Q221" s="4" t="s">
        <v>341</v>
      </c>
      <c r="R221" s="4" t="s">
        <v>596</v>
      </c>
      <c r="S221" s="4" t="s">
        <v>851</v>
      </c>
    </row>
    <row r="222" spans="1:19" ht="17.25" customHeight="1">
      <c r="A222" s="213">
        <f t="shared" si="67"/>
        <v>66000</v>
      </c>
      <c r="B222" s="55">
        <v>29895</v>
      </c>
      <c r="C222" s="55">
        <v>27870</v>
      </c>
      <c r="D222" s="55">
        <v>11282</v>
      </c>
      <c r="E222" s="213" t="str">
        <f t="shared" si="63"/>
        <v>74C7</v>
      </c>
      <c r="F222" s="213" t="str">
        <f t="shared" si="63"/>
        <v>6CDE</v>
      </c>
      <c r="G222" s="213" t="str">
        <f t="shared" si="63"/>
        <v>2C12</v>
      </c>
      <c r="H222" s="210">
        <f t="shared" si="64"/>
        <v>24.958646616541955</v>
      </c>
      <c r="I222" s="210">
        <f t="shared" si="65"/>
        <v>87.530075187969487</v>
      </c>
      <c r="J222" s="210">
        <f t="shared" si="66"/>
        <v>35.082706766917909</v>
      </c>
      <c r="K222" s="217">
        <f t="shared" si="68"/>
        <v>3.7296449196573431E-4</v>
      </c>
      <c r="L222" s="217">
        <f t="shared" si="69"/>
        <v>7.0950831308858281E-4</v>
      </c>
      <c r="M222" s="217">
        <f t="shared" si="70"/>
        <v>7.1057672672824158E-4</v>
      </c>
      <c r="N222" s="217">
        <f t="shared" si="71"/>
        <v>3.95106469766312E-4</v>
      </c>
      <c r="O222" s="217">
        <f t="shared" si="72"/>
        <v>7.4049565611448206E-4</v>
      </c>
      <c r="P222" s="217">
        <f t="shared" si="73"/>
        <v>7.2756679091528999E-4</v>
      </c>
      <c r="Q222" s="4" t="s">
        <v>342</v>
      </c>
      <c r="R222" s="4" t="s">
        <v>597</v>
      </c>
      <c r="S222" s="4" t="s">
        <v>852</v>
      </c>
    </row>
    <row r="223" spans="1:19" ht="17.25" customHeight="1">
      <c r="A223" s="213">
        <f t="shared" si="67"/>
        <v>66300</v>
      </c>
      <c r="B223" s="55">
        <v>29927</v>
      </c>
      <c r="C223" s="55">
        <v>27808</v>
      </c>
      <c r="D223" s="55">
        <v>11265</v>
      </c>
      <c r="E223" s="213" t="str">
        <f t="shared" si="63"/>
        <v>74E7</v>
      </c>
      <c r="F223" s="213" t="str">
        <f t="shared" si="63"/>
        <v>6CA0</v>
      </c>
      <c r="G223" s="213" t="str">
        <f t="shared" si="63"/>
        <v>2C01</v>
      </c>
      <c r="H223" s="210">
        <f t="shared" si="64"/>
        <v>56.958646616541955</v>
      </c>
      <c r="I223" s="210">
        <f t="shared" si="65"/>
        <v>25.530075187969487</v>
      </c>
      <c r="J223" s="210">
        <f t="shared" si="66"/>
        <v>18.082706766917909</v>
      </c>
      <c r="K223" s="217">
        <f t="shared" si="68"/>
        <v>4.3992121212352059E-4</v>
      </c>
      <c r="L223" s="217">
        <f t="shared" si="69"/>
        <v>5.8516568034590278E-4</v>
      </c>
      <c r="M223" s="217">
        <f t="shared" si="70"/>
        <v>6.9441068077291332E-4</v>
      </c>
      <c r="N223" s="217">
        <f t="shared" si="71"/>
        <v>4.6206318992409834E-4</v>
      </c>
      <c r="O223" s="217">
        <f t="shared" si="72"/>
        <v>6.1615302337180203E-4</v>
      </c>
      <c r="P223" s="217">
        <f t="shared" si="73"/>
        <v>7.1140074495996172E-4</v>
      </c>
      <c r="Q223" s="4" t="s">
        <v>343</v>
      </c>
      <c r="R223" s="4" t="s">
        <v>598</v>
      </c>
      <c r="S223" s="4" t="s">
        <v>853</v>
      </c>
    </row>
    <row r="224" spans="1:19" ht="17.25" customHeight="1">
      <c r="A224" s="213">
        <f t="shared" si="67"/>
        <v>66600</v>
      </c>
      <c r="B224" s="55">
        <v>29878</v>
      </c>
      <c r="C224" s="55">
        <v>27840</v>
      </c>
      <c r="D224" s="55">
        <v>11261</v>
      </c>
      <c r="E224" s="213" t="str">
        <f t="shared" si="63"/>
        <v>74B6</v>
      </c>
      <c r="F224" s="213" t="str">
        <f t="shared" si="63"/>
        <v>6CC0</v>
      </c>
      <c r="G224" s="213" t="str">
        <f t="shared" si="63"/>
        <v>2BFD</v>
      </c>
      <c r="H224" s="210">
        <f t="shared" si="64"/>
        <v>7.9586466165419552</v>
      </c>
      <c r="I224" s="210">
        <f t="shared" si="65"/>
        <v>57.530075187969487</v>
      </c>
      <c r="J224" s="210">
        <f t="shared" si="66"/>
        <v>14.082706766917909</v>
      </c>
      <c r="K224" s="217">
        <f t="shared" si="68"/>
        <v>4.6122562308281625E-4</v>
      </c>
      <c r="L224" s="217">
        <f t="shared" si="69"/>
        <v>6.1788742580450278E-4</v>
      </c>
      <c r="M224" s="217">
        <f t="shared" si="70"/>
        <v>8.7223718628152383E-4</v>
      </c>
      <c r="N224" s="217">
        <f t="shared" si="71"/>
        <v>4.8336760088339399E-4</v>
      </c>
      <c r="O224" s="217">
        <f t="shared" si="72"/>
        <v>6.4887476883040193E-4</v>
      </c>
      <c r="P224" s="217">
        <f t="shared" si="73"/>
        <v>8.8922725046857224E-4</v>
      </c>
      <c r="Q224" s="4" t="s">
        <v>344</v>
      </c>
      <c r="R224" s="4" t="s">
        <v>599</v>
      </c>
      <c r="S224" s="4" t="s">
        <v>854</v>
      </c>
    </row>
    <row r="225" spans="1:19" ht="17.25" customHeight="1">
      <c r="A225" s="213">
        <f t="shared" si="67"/>
        <v>66900</v>
      </c>
      <c r="B225" s="55">
        <v>29937</v>
      </c>
      <c r="C225" s="55">
        <v>27784</v>
      </c>
      <c r="D225" s="55">
        <v>11256</v>
      </c>
      <c r="E225" s="213" t="str">
        <f t="shared" si="63"/>
        <v>74F1</v>
      </c>
      <c r="F225" s="213" t="str">
        <f t="shared" si="63"/>
        <v>6C88</v>
      </c>
      <c r="G225" s="213" t="str">
        <f t="shared" si="63"/>
        <v>2BF8</v>
      </c>
      <c r="H225" s="210">
        <f t="shared" si="64"/>
        <v>66.958646616541955</v>
      </c>
      <c r="I225" s="210">
        <f t="shared" si="65"/>
        <v>1.5300751879694872</v>
      </c>
      <c r="J225" s="210">
        <f t="shared" si="66"/>
        <v>9.0827067669179087</v>
      </c>
      <c r="K225" s="217">
        <f t="shared" si="68"/>
        <v>5.7079116515919379E-4</v>
      </c>
      <c r="L225" s="217">
        <f t="shared" si="69"/>
        <v>5.2953871306628275E-4</v>
      </c>
      <c r="M225" s="217">
        <f t="shared" si="70"/>
        <v>7.9140695650488271E-4</v>
      </c>
      <c r="N225" s="217">
        <f t="shared" si="71"/>
        <v>5.9293314295977154E-4</v>
      </c>
      <c r="O225" s="217">
        <f t="shared" si="72"/>
        <v>5.6052605609218189E-4</v>
      </c>
      <c r="P225" s="217">
        <f t="shared" si="73"/>
        <v>8.0839702069193111E-4</v>
      </c>
      <c r="Q225" s="4" t="s">
        <v>345</v>
      </c>
      <c r="R225" s="4" t="s">
        <v>600</v>
      </c>
      <c r="S225" s="4" t="s">
        <v>855</v>
      </c>
    </row>
    <row r="226" spans="1:19" ht="17.25" customHeight="1">
      <c r="A226" s="213">
        <f t="shared" si="67"/>
        <v>67200</v>
      </c>
      <c r="B226" s="55">
        <v>29919</v>
      </c>
      <c r="C226" s="55">
        <v>27823</v>
      </c>
      <c r="D226" s="55">
        <v>11260</v>
      </c>
      <c r="E226" s="213" t="str">
        <f t="shared" si="63"/>
        <v>74DF</v>
      </c>
      <c r="F226" s="213" t="str">
        <f t="shared" si="63"/>
        <v>6CAF</v>
      </c>
      <c r="G226" s="213" t="str">
        <f t="shared" si="63"/>
        <v>2BFC</v>
      </c>
      <c r="H226" s="210">
        <f t="shared" si="64"/>
        <v>48.958646616541955</v>
      </c>
      <c r="I226" s="210">
        <f t="shared" si="65"/>
        <v>40.530075187969487</v>
      </c>
      <c r="J226" s="210">
        <f t="shared" si="66"/>
        <v>13.082706766917909</v>
      </c>
      <c r="K226" s="217">
        <f t="shared" si="68"/>
        <v>6.7122624539587314E-4</v>
      </c>
      <c r="L226" s="217">
        <f t="shared" si="69"/>
        <v>4.313734766904828E-4</v>
      </c>
      <c r="M226" s="217">
        <f t="shared" si="70"/>
        <v>7.9948997948254674E-4</v>
      </c>
      <c r="N226" s="217">
        <f t="shared" si="71"/>
        <v>6.9336822319645088E-4</v>
      </c>
      <c r="O226" s="217">
        <f t="shared" si="72"/>
        <v>4.62360819716382E-4</v>
      </c>
      <c r="P226" s="217">
        <f t="shared" si="73"/>
        <v>8.1648004366959514E-4</v>
      </c>
      <c r="Q226" s="4" t="s">
        <v>346</v>
      </c>
      <c r="R226" s="4" t="s">
        <v>601</v>
      </c>
      <c r="S226" s="4" t="s">
        <v>856</v>
      </c>
    </row>
    <row r="227" spans="1:19" ht="17.25" customHeight="1">
      <c r="A227" s="213">
        <f t="shared" si="67"/>
        <v>67500</v>
      </c>
      <c r="B227" s="55">
        <v>29916</v>
      </c>
      <c r="C227" s="55">
        <v>27844</v>
      </c>
      <c r="D227" s="55">
        <v>11224</v>
      </c>
      <c r="E227" s="213" t="str">
        <f t="shared" si="63"/>
        <v>74DC</v>
      </c>
      <c r="F227" s="213" t="str">
        <f t="shared" si="63"/>
        <v>6CC4</v>
      </c>
      <c r="G227" s="213" t="str">
        <f t="shared" si="63"/>
        <v>2BD8</v>
      </c>
      <c r="H227" s="210">
        <f t="shared" si="64"/>
        <v>45.958646616541955</v>
      </c>
      <c r="I227" s="210">
        <f t="shared" si="65"/>
        <v>61.530075187969487</v>
      </c>
      <c r="J227" s="210">
        <f t="shared" si="66"/>
        <v>-22.917293233082091</v>
      </c>
      <c r="K227" s="217">
        <f t="shared" si="68"/>
        <v>1.0060098461848045E-3</v>
      </c>
      <c r="L227" s="217">
        <f t="shared" si="69"/>
        <v>7.3568570945546283E-4</v>
      </c>
      <c r="M227" s="217">
        <f t="shared" si="70"/>
        <v>6.5399556588459275E-4</v>
      </c>
      <c r="N227" s="217">
        <f t="shared" si="71"/>
        <v>1.0281518239853822E-3</v>
      </c>
      <c r="O227" s="217">
        <f t="shared" si="72"/>
        <v>7.6667305248136197E-4</v>
      </c>
      <c r="P227" s="217">
        <f t="shared" si="73"/>
        <v>6.7098563007164116E-4</v>
      </c>
      <c r="Q227" s="4" t="s">
        <v>347</v>
      </c>
      <c r="R227" s="4" t="s">
        <v>602</v>
      </c>
      <c r="S227" s="4" t="s">
        <v>857</v>
      </c>
    </row>
    <row r="228" spans="1:19" ht="17.25" customHeight="1">
      <c r="A228" s="213">
        <f t="shared" si="67"/>
        <v>67800</v>
      </c>
      <c r="B228" s="55">
        <v>29888</v>
      </c>
      <c r="C228" s="55">
        <v>27794</v>
      </c>
      <c r="D228" s="55">
        <v>11276</v>
      </c>
      <c r="E228" s="213" t="str">
        <f t="shared" si="63"/>
        <v>74C0</v>
      </c>
      <c r="F228" s="213" t="str">
        <f t="shared" si="63"/>
        <v>6C92</v>
      </c>
      <c r="G228" s="213" t="str">
        <f t="shared" si="63"/>
        <v>2C0C</v>
      </c>
      <c r="H228" s="210">
        <f t="shared" si="64"/>
        <v>17.958646616541955</v>
      </c>
      <c r="I228" s="210">
        <f t="shared" si="65"/>
        <v>11.530075187969487</v>
      </c>
      <c r="J228" s="210">
        <f t="shared" si="66"/>
        <v>29.082706766917909</v>
      </c>
      <c r="K228" s="217">
        <f t="shared" si="68"/>
        <v>1.1581842101797734E-3</v>
      </c>
      <c r="L228" s="217">
        <f t="shared" si="69"/>
        <v>9.9745967312426273E-4</v>
      </c>
      <c r="M228" s="217">
        <f t="shared" si="70"/>
        <v>1.0985618296561193E-3</v>
      </c>
      <c r="N228" s="217">
        <f t="shared" si="71"/>
        <v>1.1803261879803511E-3</v>
      </c>
      <c r="O228" s="217">
        <f t="shared" si="72"/>
        <v>1.028447016150162E-3</v>
      </c>
      <c r="P228" s="217">
        <f t="shared" si="73"/>
        <v>1.1155518938431677E-3</v>
      </c>
      <c r="Q228" s="4" t="s">
        <v>348</v>
      </c>
      <c r="R228" s="4" t="s">
        <v>603</v>
      </c>
      <c r="S228" s="4" t="s">
        <v>858</v>
      </c>
    </row>
    <row r="229" spans="1:19" ht="17.25" customHeight="1">
      <c r="A229" s="213">
        <f t="shared" si="67"/>
        <v>68100</v>
      </c>
      <c r="B229" s="55">
        <v>29914</v>
      </c>
      <c r="C229" s="55">
        <v>27858</v>
      </c>
      <c r="D229" s="55">
        <v>11241</v>
      </c>
      <c r="E229" s="213" t="str">
        <f t="shared" si="63"/>
        <v>74DA</v>
      </c>
      <c r="F229" s="213" t="str">
        <f t="shared" si="63"/>
        <v>6CD2</v>
      </c>
      <c r="G229" s="213" t="str">
        <f t="shared" si="63"/>
        <v>2BE9</v>
      </c>
      <c r="H229" s="210">
        <f t="shared" si="64"/>
        <v>43.958646616541955</v>
      </c>
      <c r="I229" s="210">
        <f t="shared" si="65"/>
        <v>75.530075187969487</v>
      </c>
      <c r="J229" s="210">
        <f t="shared" si="66"/>
        <v>-5.9172932330820913</v>
      </c>
      <c r="K229" s="217">
        <f t="shared" si="68"/>
        <v>1.3225325232943399E-3</v>
      </c>
      <c r="L229" s="217">
        <f t="shared" si="69"/>
        <v>1.6388058841128228E-3</v>
      </c>
      <c r="M229" s="217">
        <f t="shared" si="70"/>
        <v>8.8032020925918797E-4</v>
      </c>
      <c r="N229" s="217">
        <f t="shared" si="71"/>
        <v>1.3446745010949176E-3</v>
      </c>
      <c r="O229" s="217">
        <f t="shared" si="72"/>
        <v>1.669793227138722E-3</v>
      </c>
      <c r="P229" s="217">
        <f t="shared" si="73"/>
        <v>8.9731027344623637E-4</v>
      </c>
      <c r="Q229" s="4" t="s">
        <v>349</v>
      </c>
      <c r="R229" s="4" t="s">
        <v>604</v>
      </c>
      <c r="S229" s="4" t="s">
        <v>859</v>
      </c>
    </row>
    <row r="230" spans="1:19" ht="17.25" customHeight="1">
      <c r="A230" s="213">
        <f t="shared" si="67"/>
        <v>68400</v>
      </c>
      <c r="B230" s="55">
        <v>29850</v>
      </c>
      <c r="C230" s="55">
        <v>27716</v>
      </c>
      <c r="D230" s="55">
        <v>11273</v>
      </c>
      <c r="E230" s="213" t="str">
        <f t="shared" si="63"/>
        <v>749A</v>
      </c>
      <c r="F230" s="213" t="str">
        <f t="shared" si="63"/>
        <v>6C44</v>
      </c>
      <c r="G230" s="213" t="str">
        <f t="shared" si="63"/>
        <v>2C09</v>
      </c>
      <c r="H230" s="210">
        <f t="shared" si="64"/>
        <v>-20.041353383458045</v>
      </c>
      <c r="I230" s="210">
        <f t="shared" si="65"/>
        <v>-66.469924812030513</v>
      </c>
      <c r="J230" s="210">
        <f t="shared" si="66"/>
        <v>26.082706766917909</v>
      </c>
      <c r="K230" s="217">
        <f t="shared" si="68"/>
        <v>1.0242707698642009E-3</v>
      </c>
      <c r="L230" s="217">
        <f t="shared" si="69"/>
        <v>1.1905179713300029E-3</v>
      </c>
      <c r="M230" s="217">
        <f t="shared" si="70"/>
        <v>9.2881834712517266E-4</v>
      </c>
      <c r="N230" s="217">
        <f t="shared" si="71"/>
        <v>1.0464127476647786E-3</v>
      </c>
      <c r="O230" s="217">
        <f t="shared" si="72"/>
        <v>1.2215053143559021E-3</v>
      </c>
      <c r="P230" s="217">
        <f t="shared" si="73"/>
        <v>9.4580841131222107E-4</v>
      </c>
      <c r="Q230" s="4" t="s">
        <v>350</v>
      </c>
      <c r="R230" s="4" t="s">
        <v>605</v>
      </c>
      <c r="S230" s="4" t="s">
        <v>860</v>
      </c>
    </row>
    <row r="231" spans="1:19" ht="17.25" customHeight="1">
      <c r="A231" s="213">
        <f t="shared" si="67"/>
        <v>68700</v>
      </c>
      <c r="B231" s="55">
        <v>29885</v>
      </c>
      <c r="C231" s="55">
        <v>27786</v>
      </c>
      <c r="D231" s="55">
        <v>11253</v>
      </c>
      <c r="E231" s="213" t="str">
        <f t="shared" si="63"/>
        <v>74BD</v>
      </c>
      <c r="F231" s="213" t="str">
        <f t="shared" si="63"/>
        <v>6C8A</v>
      </c>
      <c r="G231" s="213" t="str">
        <f t="shared" si="63"/>
        <v>2BF5</v>
      </c>
      <c r="H231" s="210">
        <f t="shared" si="64"/>
        <v>14.958646616541955</v>
      </c>
      <c r="I231" s="210">
        <f t="shared" si="65"/>
        <v>3.5300751879694872</v>
      </c>
      <c r="J231" s="210">
        <f t="shared" si="66"/>
        <v>6.0827067669179087</v>
      </c>
      <c r="K231" s="217">
        <f t="shared" si="68"/>
        <v>9.6340102426621329E-4</v>
      </c>
      <c r="L231" s="217">
        <f t="shared" si="69"/>
        <v>9.6801010221152272E-4</v>
      </c>
      <c r="M231" s="217">
        <f t="shared" si="70"/>
        <v>1.0096485769018138E-3</v>
      </c>
      <c r="N231" s="217">
        <f t="shared" si="71"/>
        <v>9.8554300206679093E-4</v>
      </c>
      <c r="O231" s="217">
        <f t="shared" si="72"/>
        <v>9.9899744523742197E-4</v>
      </c>
      <c r="P231" s="217">
        <f t="shared" si="73"/>
        <v>1.0266386410888622E-3</v>
      </c>
      <c r="Q231" s="4" t="s">
        <v>351</v>
      </c>
      <c r="R231" s="4" t="s">
        <v>606</v>
      </c>
      <c r="S231" s="4" t="s">
        <v>861</v>
      </c>
    </row>
    <row r="232" spans="1:19" ht="17.25" customHeight="1">
      <c r="A232" s="213">
        <f t="shared" si="67"/>
        <v>69000</v>
      </c>
      <c r="B232" s="55">
        <v>29883</v>
      </c>
      <c r="C232" s="55">
        <v>27830</v>
      </c>
      <c r="D232" s="55">
        <v>11254</v>
      </c>
      <c r="E232" s="213" t="str">
        <f t="shared" si="63"/>
        <v>74BB</v>
      </c>
      <c r="F232" s="213" t="str">
        <f t="shared" si="63"/>
        <v>6CB6</v>
      </c>
      <c r="G232" s="213" t="str">
        <f t="shared" si="63"/>
        <v>2BF6</v>
      </c>
      <c r="H232" s="210">
        <f t="shared" si="64"/>
        <v>12.958646616541955</v>
      </c>
      <c r="I232" s="210">
        <f t="shared" si="65"/>
        <v>47.530075187969487</v>
      </c>
      <c r="J232" s="210">
        <f t="shared" si="66"/>
        <v>7.0827067669179087</v>
      </c>
      <c r="K232" s="217">
        <f t="shared" si="68"/>
        <v>9.7861846066571033E-4</v>
      </c>
      <c r="L232" s="217">
        <f t="shared" si="69"/>
        <v>1.1316188295045228E-3</v>
      </c>
      <c r="M232" s="217">
        <f t="shared" si="70"/>
        <v>1.0419806688124703E-3</v>
      </c>
      <c r="N232" s="217">
        <f t="shared" si="71"/>
        <v>1.0007604384662881E-3</v>
      </c>
      <c r="O232" s="217">
        <f t="shared" si="72"/>
        <v>1.1626061725304221E-3</v>
      </c>
      <c r="P232" s="217">
        <f t="shared" si="73"/>
        <v>1.0589707329995187E-3</v>
      </c>
      <c r="Q232" s="4" t="s">
        <v>352</v>
      </c>
      <c r="R232" s="4" t="s">
        <v>607</v>
      </c>
      <c r="S232" s="4" t="s">
        <v>862</v>
      </c>
    </row>
    <row r="233" spans="1:19" ht="17.25" customHeight="1">
      <c r="A233" s="213">
        <f t="shared" si="67"/>
        <v>69300</v>
      </c>
      <c r="B233" s="55">
        <v>29883</v>
      </c>
      <c r="C233" s="55">
        <v>27795</v>
      </c>
      <c r="D233" s="55">
        <v>11275</v>
      </c>
      <c r="E233" s="213" t="str">
        <f t="shared" si="63"/>
        <v>74BB</v>
      </c>
      <c r="F233" s="213" t="str">
        <f t="shared" si="63"/>
        <v>6C93</v>
      </c>
      <c r="G233" s="213" t="str">
        <f t="shared" si="63"/>
        <v>2C0B</v>
      </c>
      <c r="H233" s="210">
        <f t="shared" si="64"/>
        <v>12.958646616541955</v>
      </c>
      <c r="I233" s="210">
        <f t="shared" si="65"/>
        <v>12.530075187969487</v>
      </c>
      <c r="J233" s="210">
        <f t="shared" si="66"/>
        <v>28.082706766917909</v>
      </c>
      <c r="K233" s="217">
        <f t="shared" si="68"/>
        <v>9.4209661330691774E-4</v>
      </c>
      <c r="L233" s="217">
        <f t="shared" si="69"/>
        <v>8.8620573856502277E-4</v>
      </c>
      <c r="M233" s="217">
        <f t="shared" si="70"/>
        <v>9.8539950796882139E-4</v>
      </c>
      <c r="N233" s="217">
        <f t="shared" si="71"/>
        <v>9.6423859110749549E-4</v>
      </c>
      <c r="O233" s="217">
        <f t="shared" si="72"/>
        <v>9.1719308159092191E-4</v>
      </c>
      <c r="P233" s="217">
        <f t="shared" si="73"/>
        <v>1.0023895721558698E-3</v>
      </c>
      <c r="Q233" s="4" t="s">
        <v>353</v>
      </c>
      <c r="R233" s="4" t="s">
        <v>608</v>
      </c>
      <c r="S233" s="4" t="s">
        <v>863</v>
      </c>
    </row>
    <row r="234" spans="1:19" ht="17.25" customHeight="1">
      <c r="A234" s="213">
        <f t="shared" si="67"/>
        <v>69600</v>
      </c>
      <c r="B234" s="55">
        <v>29880</v>
      </c>
      <c r="C234" s="55">
        <v>27880</v>
      </c>
      <c r="D234" s="55">
        <v>11272</v>
      </c>
      <c r="E234" s="213" t="str">
        <f t="shared" si="63"/>
        <v>74B8</v>
      </c>
      <c r="F234" s="213" t="str">
        <f t="shared" si="63"/>
        <v>6CE8</v>
      </c>
      <c r="G234" s="213" t="str">
        <f t="shared" si="63"/>
        <v>2C08</v>
      </c>
      <c r="H234" s="210">
        <f t="shared" si="64"/>
        <v>9.9586466165419552</v>
      </c>
      <c r="I234" s="210">
        <f t="shared" si="65"/>
        <v>97.530075187969487</v>
      </c>
      <c r="J234" s="210">
        <f t="shared" si="66"/>
        <v>25.082706766917909</v>
      </c>
      <c r="K234" s="217">
        <f t="shared" si="68"/>
        <v>7.9905271115164708E-4</v>
      </c>
      <c r="L234" s="217">
        <f t="shared" si="69"/>
        <v>1.1218023058669428E-3</v>
      </c>
      <c r="M234" s="217">
        <f t="shared" si="70"/>
        <v>1.0419806688124703E-3</v>
      </c>
      <c r="N234" s="217">
        <f t="shared" si="71"/>
        <v>8.2119468895222483E-4</v>
      </c>
      <c r="O234" s="217">
        <f t="shared" si="72"/>
        <v>1.152789648892842E-3</v>
      </c>
      <c r="P234" s="217">
        <f t="shared" si="73"/>
        <v>1.0589707329995187E-3</v>
      </c>
      <c r="Q234" s="4" t="s">
        <v>354</v>
      </c>
      <c r="R234" s="4" t="s">
        <v>609</v>
      </c>
      <c r="S234" s="4" t="s">
        <v>864</v>
      </c>
    </row>
    <row r="235" spans="1:19" ht="17.25" customHeight="1">
      <c r="A235" s="213">
        <f t="shared" si="67"/>
        <v>69900</v>
      </c>
      <c r="B235" s="55">
        <v>29898</v>
      </c>
      <c r="C235" s="55">
        <v>27802</v>
      </c>
      <c r="D235" s="55">
        <v>11256</v>
      </c>
      <c r="E235" s="213" t="str">
        <f t="shared" si="63"/>
        <v>74CA</v>
      </c>
      <c r="F235" s="213" t="str">
        <f t="shared" si="63"/>
        <v>6C9A</v>
      </c>
      <c r="G235" s="213" t="str">
        <f t="shared" si="63"/>
        <v>2BF8</v>
      </c>
      <c r="H235" s="210">
        <f t="shared" si="64"/>
        <v>27.958646616541955</v>
      </c>
      <c r="I235" s="210">
        <f t="shared" si="65"/>
        <v>19.530075187969487</v>
      </c>
      <c r="J235" s="210">
        <f t="shared" si="66"/>
        <v>9.0827067669179087</v>
      </c>
      <c r="K235" s="217">
        <f t="shared" si="68"/>
        <v>8.5992245674963459E-4</v>
      </c>
      <c r="L235" s="217">
        <f t="shared" si="69"/>
        <v>9.9745967312426273E-4</v>
      </c>
      <c r="M235" s="217">
        <f t="shared" si="70"/>
        <v>1.0015655539241497E-3</v>
      </c>
      <c r="N235" s="217">
        <f t="shared" si="71"/>
        <v>8.8206443455021233E-4</v>
      </c>
      <c r="O235" s="217">
        <f t="shared" si="72"/>
        <v>1.028447016150162E-3</v>
      </c>
      <c r="P235" s="217">
        <f t="shared" si="73"/>
        <v>1.0185556181111981E-3</v>
      </c>
      <c r="Q235" s="4" t="s">
        <v>355</v>
      </c>
      <c r="R235" s="4" t="s">
        <v>610</v>
      </c>
      <c r="S235" s="4" t="s">
        <v>865</v>
      </c>
    </row>
    <row r="236" spans="1:19" ht="17.25" customHeight="1">
      <c r="A236" s="213">
        <f t="shared" si="67"/>
        <v>70200</v>
      </c>
      <c r="B236" s="55">
        <v>29834</v>
      </c>
      <c r="C236" s="55">
        <v>27758</v>
      </c>
      <c r="D236" s="55">
        <v>11224</v>
      </c>
      <c r="E236" s="213" t="str">
        <f t="shared" si="63"/>
        <v>748A</v>
      </c>
      <c r="F236" s="213" t="str">
        <f t="shared" si="63"/>
        <v>6C6E</v>
      </c>
      <c r="G236" s="213" t="str">
        <f t="shared" si="63"/>
        <v>2BD8</v>
      </c>
      <c r="H236" s="210">
        <f t="shared" si="64"/>
        <v>-36.041353383458045</v>
      </c>
      <c r="I236" s="210">
        <f t="shared" si="65"/>
        <v>-24.469924812030513</v>
      </c>
      <c r="J236" s="210">
        <f t="shared" si="66"/>
        <v>-22.917293233082091</v>
      </c>
      <c r="K236" s="217">
        <f t="shared" si="68"/>
        <v>5.4644326691999877E-4</v>
      </c>
      <c r="L236" s="217">
        <f t="shared" si="69"/>
        <v>9.1238313493190268E-4</v>
      </c>
      <c r="M236" s="217">
        <f t="shared" si="70"/>
        <v>7.4290881863889801E-4</v>
      </c>
      <c r="N236" s="217">
        <f t="shared" si="71"/>
        <v>5.6858524472057652E-4</v>
      </c>
      <c r="O236" s="217">
        <f t="shared" si="72"/>
        <v>9.4337047795780182E-4</v>
      </c>
      <c r="P236" s="217">
        <f t="shared" si="73"/>
        <v>7.5989888282594641E-4</v>
      </c>
      <c r="Q236" s="4" t="s">
        <v>356</v>
      </c>
      <c r="R236" s="4" t="s">
        <v>611</v>
      </c>
      <c r="S236" s="4" t="s">
        <v>866</v>
      </c>
    </row>
    <row r="237" spans="1:19" ht="17.25" customHeight="1">
      <c r="A237" s="213">
        <f t="shared" si="67"/>
        <v>70500</v>
      </c>
      <c r="B237" s="55">
        <v>29887</v>
      </c>
      <c r="C237" s="55">
        <v>27843</v>
      </c>
      <c r="D237" s="55">
        <v>11255</v>
      </c>
      <c r="E237" s="213" t="str">
        <f t="shared" si="63"/>
        <v>74BF</v>
      </c>
      <c r="F237" s="213" t="str">
        <f t="shared" si="63"/>
        <v>6CC3</v>
      </c>
      <c r="G237" s="213" t="str">
        <f t="shared" si="63"/>
        <v>2BF7</v>
      </c>
      <c r="H237" s="210">
        <f t="shared" si="64"/>
        <v>16.958646616541955</v>
      </c>
      <c r="I237" s="210">
        <f t="shared" si="65"/>
        <v>60.530075187969487</v>
      </c>
      <c r="J237" s="210">
        <f t="shared" si="66"/>
        <v>8.0827067669179087</v>
      </c>
      <c r="K237" s="217">
        <f t="shared" si="68"/>
        <v>4.4905167396321874E-4</v>
      </c>
      <c r="L237" s="217">
        <f t="shared" si="69"/>
        <v>9.7782662584910279E-4</v>
      </c>
      <c r="M237" s="217">
        <f t="shared" si="70"/>
        <v>7.0249370375057745E-4</v>
      </c>
      <c r="N237" s="217">
        <f t="shared" si="71"/>
        <v>4.7119365176379643E-4</v>
      </c>
      <c r="O237" s="217">
        <f t="shared" si="72"/>
        <v>1.008813968875002E-3</v>
      </c>
      <c r="P237" s="217">
        <f t="shared" si="73"/>
        <v>7.1948376793762585E-4</v>
      </c>
      <c r="Q237" s="4" t="s">
        <v>357</v>
      </c>
      <c r="R237" s="4" t="s">
        <v>612</v>
      </c>
      <c r="S237" s="4" t="s">
        <v>867</v>
      </c>
    </row>
    <row r="238" spans="1:19" ht="17.25" customHeight="1">
      <c r="A238" s="213">
        <f t="shared" si="67"/>
        <v>70800</v>
      </c>
      <c r="B238" s="55">
        <v>29847</v>
      </c>
      <c r="C238" s="55">
        <v>27809</v>
      </c>
      <c r="D238" s="55">
        <v>11237</v>
      </c>
      <c r="E238" s="213" t="str">
        <f t="shared" si="63"/>
        <v>7497</v>
      </c>
      <c r="F238" s="213" t="str">
        <f t="shared" si="63"/>
        <v>6CA1</v>
      </c>
      <c r="G238" s="213" t="str">
        <f t="shared" si="63"/>
        <v>2BE5</v>
      </c>
      <c r="H238" s="210">
        <f t="shared" si="64"/>
        <v>-23.041353383458045</v>
      </c>
      <c r="I238" s="210">
        <f t="shared" si="65"/>
        <v>26.530075187969487</v>
      </c>
      <c r="J238" s="210">
        <f t="shared" si="66"/>
        <v>-9.9172932330820913</v>
      </c>
      <c r="K238" s="217">
        <f t="shared" si="68"/>
        <v>2.3905105165016177E-4</v>
      </c>
      <c r="L238" s="217">
        <f t="shared" si="69"/>
        <v>8.6330051674400274E-4</v>
      </c>
      <c r="M238" s="217">
        <f t="shared" si="70"/>
        <v>8.0757300246021098E-4</v>
      </c>
      <c r="N238" s="217">
        <f t="shared" si="71"/>
        <v>2.6119302945073949E-4</v>
      </c>
      <c r="O238" s="217">
        <f t="shared" si="72"/>
        <v>8.9428785976990188E-4</v>
      </c>
      <c r="P238" s="217">
        <f t="shared" si="73"/>
        <v>8.2456306664725938E-4</v>
      </c>
      <c r="Q238" s="4" t="s">
        <v>358</v>
      </c>
      <c r="R238" s="4" t="s">
        <v>613</v>
      </c>
      <c r="S238" s="4" t="s">
        <v>868</v>
      </c>
    </row>
    <row r="239" spans="1:19" ht="17.25" customHeight="1">
      <c r="A239" s="213">
        <f t="shared" si="67"/>
        <v>71100</v>
      </c>
      <c r="B239" s="55">
        <v>29850</v>
      </c>
      <c r="C239" s="55">
        <v>27799</v>
      </c>
      <c r="D239" s="55">
        <v>11229</v>
      </c>
      <c r="E239" s="213" t="str">
        <f t="shared" si="63"/>
        <v>749A</v>
      </c>
      <c r="F239" s="213" t="str">
        <f t="shared" si="63"/>
        <v>6C97</v>
      </c>
      <c r="G239" s="213" t="str">
        <f t="shared" si="63"/>
        <v>2BDD</v>
      </c>
      <c r="H239" s="210">
        <f t="shared" si="64"/>
        <v>-20.041353383458045</v>
      </c>
      <c r="I239" s="210">
        <f t="shared" si="65"/>
        <v>16.530075187969487</v>
      </c>
      <c r="J239" s="210">
        <f t="shared" si="66"/>
        <v>-17.917293233082091</v>
      </c>
      <c r="K239" s="217">
        <f t="shared" si="68"/>
        <v>1.2339853501398547E-4</v>
      </c>
      <c r="L239" s="217">
        <f t="shared" si="69"/>
        <v>8.7966138947330279E-4</v>
      </c>
      <c r="M239" s="217">
        <f t="shared" si="70"/>
        <v>4.2767092250999749E-4</v>
      </c>
      <c r="N239" s="217">
        <f t="shared" si="71"/>
        <v>1.4554051281456319E-4</v>
      </c>
      <c r="O239" s="217">
        <f t="shared" si="72"/>
        <v>9.1064873249920193E-4</v>
      </c>
      <c r="P239" s="217">
        <f t="shared" si="73"/>
        <v>4.4466098669704583E-4</v>
      </c>
      <c r="Q239" s="4" t="s">
        <v>359</v>
      </c>
      <c r="R239" s="4" t="s">
        <v>614</v>
      </c>
      <c r="S239" s="4" t="s">
        <v>869</v>
      </c>
    </row>
    <row r="240" spans="1:19" ht="17.25" customHeight="1">
      <c r="A240" s="213">
        <f t="shared" si="67"/>
        <v>71400</v>
      </c>
      <c r="B240" s="55">
        <v>29908</v>
      </c>
      <c r="C240" s="55">
        <v>27799</v>
      </c>
      <c r="D240" s="55">
        <v>11252</v>
      </c>
      <c r="E240" s="213" t="str">
        <f t="shared" si="63"/>
        <v>74D4</v>
      </c>
      <c r="F240" s="213" t="str">
        <f t="shared" si="63"/>
        <v>6C97</v>
      </c>
      <c r="G240" s="213" t="str">
        <f t="shared" si="63"/>
        <v>2BF4</v>
      </c>
      <c r="H240" s="210">
        <f t="shared" si="64"/>
        <v>37.958646616541955</v>
      </c>
      <c r="I240" s="210">
        <f t="shared" si="65"/>
        <v>16.530075187969487</v>
      </c>
      <c r="J240" s="210">
        <f t="shared" si="66"/>
        <v>5.0827067669179087</v>
      </c>
      <c r="K240" s="217">
        <f t="shared" si="68"/>
        <v>1.051376113345892E-4</v>
      </c>
      <c r="L240" s="217">
        <f t="shared" si="69"/>
        <v>6.8660309126756277E-4</v>
      </c>
      <c r="M240" s="217">
        <f t="shared" si="70"/>
        <v>5.165841752643028E-4</v>
      </c>
      <c r="N240" s="217">
        <f t="shared" si="71"/>
        <v>1.2727958913516692E-4</v>
      </c>
      <c r="O240" s="217">
        <f t="shared" si="72"/>
        <v>7.1759043429346202E-4</v>
      </c>
      <c r="P240" s="217">
        <f t="shared" si="73"/>
        <v>5.335742394513512E-4</v>
      </c>
      <c r="Q240" s="4" t="s">
        <v>360</v>
      </c>
      <c r="R240" s="4" t="s">
        <v>615</v>
      </c>
      <c r="S240" s="4" t="s">
        <v>870</v>
      </c>
    </row>
    <row r="241" spans="1:19" ht="17.25" customHeight="1">
      <c r="A241" s="213">
        <f t="shared" si="67"/>
        <v>71700</v>
      </c>
      <c r="B241" s="55">
        <v>29882</v>
      </c>
      <c r="C241" s="55">
        <v>27824</v>
      </c>
      <c r="D241" s="55">
        <v>11224</v>
      </c>
      <c r="E241" s="213" t="str">
        <f t="shared" si="63"/>
        <v>74BA</v>
      </c>
      <c r="F241" s="213" t="str">
        <f t="shared" si="63"/>
        <v>6CB0</v>
      </c>
      <c r="G241" s="213" t="str">
        <f t="shared" si="63"/>
        <v>2BD8</v>
      </c>
      <c r="H241" s="210">
        <f t="shared" si="64"/>
        <v>11.958646616541955</v>
      </c>
      <c r="I241" s="210">
        <f t="shared" si="65"/>
        <v>41.530075187969487</v>
      </c>
      <c r="J241" s="210">
        <f t="shared" si="66"/>
        <v>-22.917293233082091</v>
      </c>
      <c r="K241" s="217">
        <f t="shared" si="68"/>
        <v>2.0252920429136926E-4</v>
      </c>
      <c r="L241" s="217">
        <f t="shared" si="69"/>
        <v>1.0399979422204427E-3</v>
      </c>
      <c r="M241" s="217">
        <f t="shared" si="70"/>
        <v>1.2051604935876105E-4</v>
      </c>
      <c r="N241" s="217">
        <f t="shared" si="71"/>
        <v>2.2467118209194698E-4</v>
      </c>
      <c r="O241" s="217">
        <f t="shared" si="72"/>
        <v>1.0709852852463419E-3</v>
      </c>
      <c r="P241" s="217">
        <f t="shared" si="73"/>
        <v>1.3750611354580941E-4</v>
      </c>
      <c r="Q241" s="4" t="s">
        <v>361</v>
      </c>
      <c r="R241" s="4" t="s">
        <v>616</v>
      </c>
      <c r="S241" s="4" t="s">
        <v>871</v>
      </c>
    </row>
    <row r="242" spans="1:19" ht="17.25" customHeight="1">
      <c r="A242" s="213">
        <f t="shared" si="67"/>
        <v>72000</v>
      </c>
      <c r="B242" s="55">
        <v>29819</v>
      </c>
      <c r="C242" s="55">
        <v>27740</v>
      </c>
      <c r="D242" s="55">
        <v>11250</v>
      </c>
      <c r="E242" s="213" t="str">
        <f t="shared" si="63"/>
        <v>747B</v>
      </c>
      <c r="F242" s="213" t="str">
        <f t="shared" si="63"/>
        <v>6C5C</v>
      </c>
      <c r="G242" s="213" t="str">
        <f t="shared" si="63"/>
        <v>2BF2</v>
      </c>
      <c r="H242" s="210">
        <f t="shared" si="64"/>
        <v>-51.041353383458045</v>
      </c>
      <c r="I242" s="210">
        <f t="shared" si="65"/>
        <v>-42.469924812030513</v>
      </c>
      <c r="J242" s="210">
        <f t="shared" si="66"/>
        <v>3.0827067669179087</v>
      </c>
      <c r="K242" s="217">
        <f t="shared" si="68"/>
        <v>1.659043818010408E-6</v>
      </c>
      <c r="L242" s="217">
        <f t="shared" si="69"/>
        <v>8.8947791311088287E-4</v>
      </c>
      <c r="M242" s="217">
        <f t="shared" si="70"/>
        <v>9.6266980425768704E-5</v>
      </c>
      <c r="N242" s="217">
        <f t="shared" si="71"/>
        <v>2.3801021618588126E-5</v>
      </c>
      <c r="O242" s="217">
        <f t="shared" si="72"/>
        <v>9.2046525613678201E-4</v>
      </c>
      <c r="P242" s="217">
        <f t="shared" si="73"/>
        <v>1.1325704461281707E-4</v>
      </c>
      <c r="Q242" s="4" t="s">
        <v>362</v>
      </c>
      <c r="R242" s="4" t="s">
        <v>617</v>
      </c>
      <c r="S242" s="4" t="s">
        <v>872</v>
      </c>
    </row>
    <row r="243" spans="1:19" ht="17.25" customHeight="1">
      <c r="A243" s="213">
        <f t="shared" si="67"/>
        <v>72300</v>
      </c>
      <c r="B243" s="55">
        <v>29842</v>
      </c>
      <c r="C243" s="55">
        <v>27812</v>
      </c>
      <c r="D243" s="55">
        <v>11241</v>
      </c>
      <c r="E243" s="213" t="str">
        <f t="shared" si="63"/>
        <v>7492</v>
      </c>
      <c r="F243" s="213" t="str">
        <f t="shared" si="63"/>
        <v>6CA4</v>
      </c>
      <c r="G243" s="213" t="str">
        <f t="shared" si="63"/>
        <v>2BE9</v>
      </c>
      <c r="H243" s="210">
        <f t="shared" si="64"/>
        <v>-28.041353383458045</v>
      </c>
      <c r="I243" s="210">
        <f t="shared" si="65"/>
        <v>29.530075187969487</v>
      </c>
      <c r="J243" s="210">
        <f t="shared" si="66"/>
        <v>-5.9172932330820913</v>
      </c>
      <c r="K243" s="217">
        <f t="shared" si="68"/>
        <v>-1.2312393465786401E-4</v>
      </c>
      <c r="L243" s="217">
        <f t="shared" si="69"/>
        <v>8.3057877128540284E-4</v>
      </c>
      <c r="M243" s="217">
        <f t="shared" si="70"/>
        <v>-8.8123182838648044E-6</v>
      </c>
      <c r="N243" s="217">
        <f t="shared" si="71"/>
        <v>-1.0098195685728629E-4</v>
      </c>
      <c r="O243" s="217">
        <f t="shared" si="72"/>
        <v>8.6156611431130199E-4</v>
      </c>
      <c r="P243" s="217">
        <f t="shared" si="73"/>
        <v>8.1777459031835502E-6</v>
      </c>
      <c r="Q243" s="4" t="s">
        <v>363</v>
      </c>
      <c r="R243" s="4" t="s">
        <v>618</v>
      </c>
      <c r="S243" s="4" t="s">
        <v>873</v>
      </c>
    </row>
    <row r="244" spans="1:19" ht="17.25" customHeight="1">
      <c r="A244" s="213">
        <f t="shared" si="67"/>
        <v>72600</v>
      </c>
      <c r="B244" s="55">
        <v>29899</v>
      </c>
      <c r="C244" s="55">
        <v>27767</v>
      </c>
      <c r="D244" s="55">
        <v>11240</v>
      </c>
      <c r="E244" s="213" t="str">
        <f t="shared" si="63"/>
        <v>74CB</v>
      </c>
      <c r="F244" s="213" t="str">
        <f t="shared" si="63"/>
        <v>6C77</v>
      </c>
      <c r="G244" s="213" t="str">
        <f t="shared" si="63"/>
        <v>2BE8</v>
      </c>
      <c r="H244" s="210">
        <f t="shared" si="64"/>
        <v>28.958646616541955</v>
      </c>
      <c r="I244" s="210">
        <f t="shared" si="65"/>
        <v>-15.469924812030513</v>
      </c>
      <c r="J244" s="210">
        <f t="shared" si="66"/>
        <v>-6.9172932330820913</v>
      </c>
      <c r="K244" s="217">
        <f t="shared" si="68"/>
        <v>-7.4428138179473993E-5</v>
      </c>
      <c r="L244" s="217">
        <f t="shared" si="69"/>
        <v>7.3895788400132282E-4</v>
      </c>
      <c r="M244" s="217">
        <f t="shared" si="70"/>
        <v>-2.9171812250210888E-4</v>
      </c>
      <c r="N244" s="217">
        <f t="shared" si="71"/>
        <v>-5.2286160378896274E-5</v>
      </c>
      <c r="O244" s="217">
        <f t="shared" si="72"/>
        <v>7.6994522702722207E-4</v>
      </c>
      <c r="P244" s="217">
        <f t="shared" si="73"/>
        <v>-2.7472805831506053E-4</v>
      </c>
      <c r="Q244" s="4" t="s">
        <v>364</v>
      </c>
      <c r="R244" s="4" t="s">
        <v>619</v>
      </c>
      <c r="S244" s="4" t="s">
        <v>874</v>
      </c>
    </row>
    <row r="245" spans="1:19" ht="17.25" customHeight="1">
      <c r="A245" s="213">
        <f t="shared" si="67"/>
        <v>72900</v>
      </c>
      <c r="B245" s="55">
        <v>29846</v>
      </c>
      <c r="C245" s="55">
        <v>27818</v>
      </c>
      <c r="D245" s="55">
        <v>11231</v>
      </c>
      <c r="E245" s="213" t="str">
        <f t="shared" si="63"/>
        <v>7496</v>
      </c>
      <c r="F245" s="213" t="str">
        <f t="shared" si="63"/>
        <v>6CAA</v>
      </c>
      <c r="G245" s="213" t="str">
        <f t="shared" si="63"/>
        <v>2BDF</v>
      </c>
      <c r="H245" s="210">
        <f t="shared" si="64"/>
        <v>-24.041353383458045</v>
      </c>
      <c r="I245" s="210">
        <f t="shared" si="65"/>
        <v>35.530075187969487</v>
      </c>
      <c r="J245" s="210">
        <f t="shared" si="66"/>
        <v>-15.917293233082091</v>
      </c>
      <c r="K245" s="217">
        <f t="shared" si="68"/>
        <v>-1.7790670569605278E-4</v>
      </c>
      <c r="L245" s="217">
        <f t="shared" si="69"/>
        <v>5.3608306215800273E-4</v>
      </c>
      <c r="M245" s="217">
        <f t="shared" si="70"/>
        <v>-6.2312206458633762E-4</v>
      </c>
      <c r="N245" s="217">
        <f t="shared" si="71"/>
        <v>-1.5576472789547506E-4</v>
      </c>
      <c r="O245" s="217">
        <f t="shared" si="72"/>
        <v>5.6707040518390187E-4</v>
      </c>
      <c r="P245" s="217">
        <f t="shared" si="73"/>
        <v>-6.0613200039928922E-4</v>
      </c>
      <c r="Q245" s="4" t="s">
        <v>365</v>
      </c>
      <c r="R245" s="4" t="s">
        <v>620</v>
      </c>
      <c r="S245" s="4" t="s">
        <v>875</v>
      </c>
    </row>
    <row r="246" spans="1:19" ht="17.25" customHeight="1">
      <c r="A246" s="213">
        <f t="shared" si="67"/>
        <v>73200</v>
      </c>
      <c r="B246" s="55">
        <v>29886</v>
      </c>
      <c r="C246" s="55">
        <v>27791</v>
      </c>
      <c r="D246" s="55">
        <v>11268</v>
      </c>
      <c r="E246" s="213" t="str">
        <f t="shared" si="63"/>
        <v>74BE</v>
      </c>
      <c r="F246" s="213" t="str">
        <f t="shared" si="63"/>
        <v>6C8F</v>
      </c>
      <c r="G246" s="213" t="str">
        <f t="shared" si="63"/>
        <v>2C04</v>
      </c>
      <c r="H246" s="210">
        <f t="shared" si="64"/>
        <v>15.958646616541955</v>
      </c>
      <c r="I246" s="210">
        <f t="shared" si="65"/>
        <v>8.5300751879694872</v>
      </c>
      <c r="J246" s="210">
        <f t="shared" si="66"/>
        <v>21.082706766917909</v>
      </c>
      <c r="K246" s="217">
        <f t="shared" si="68"/>
        <v>-2.1442855305484532E-4</v>
      </c>
      <c r="L246" s="217">
        <f t="shared" si="69"/>
        <v>5.0008914215354274E-4</v>
      </c>
      <c r="M246" s="217">
        <f t="shared" si="70"/>
        <v>-5.2612578885436823E-4</v>
      </c>
      <c r="N246" s="217">
        <f t="shared" si="71"/>
        <v>-1.922865752542676E-4</v>
      </c>
      <c r="O246" s="217">
        <f t="shared" si="72"/>
        <v>5.3107648517944188E-4</v>
      </c>
      <c r="P246" s="217">
        <f t="shared" si="73"/>
        <v>-5.0913572466731983E-4</v>
      </c>
      <c r="Q246" s="4" t="s">
        <v>366</v>
      </c>
      <c r="R246" s="4" t="s">
        <v>621</v>
      </c>
      <c r="S246" s="4" t="s">
        <v>876</v>
      </c>
    </row>
    <row r="247" spans="1:19" ht="17.25" customHeight="1">
      <c r="A247" s="213">
        <f t="shared" si="67"/>
        <v>73500</v>
      </c>
      <c r="B247" s="55">
        <v>29832</v>
      </c>
      <c r="C247" s="55">
        <v>27771</v>
      </c>
      <c r="D247" s="55">
        <v>11241</v>
      </c>
      <c r="E247" s="213" t="str">
        <f t="shared" si="63"/>
        <v>7488</v>
      </c>
      <c r="F247" s="213" t="str">
        <f t="shared" si="63"/>
        <v>6C7B</v>
      </c>
      <c r="G247" s="213" t="str">
        <f t="shared" si="63"/>
        <v>2BE9</v>
      </c>
      <c r="H247" s="210">
        <f t="shared" si="64"/>
        <v>-38.041353383458045</v>
      </c>
      <c r="I247" s="210">
        <f t="shared" si="65"/>
        <v>-11.469924812030513</v>
      </c>
      <c r="J247" s="210">
        <f t="shared" si="66"/>
        <v>-5.9172932330820913</v>
      </c>
      <c r="K247" s="217">
        <f t="shared" si="68"/>
        <v>-2.2051552761464407E-4</v>
      </c>
      <c r="L247" s="217">
        <f t="shared" si="69"/>
        <v>5.4262741124972281E-4</v>
      </c>
      <c r="M247" s="217">
        <f t="shared" si="70"/>
        <v>-3.8871439823407822E-4</v>
      </c>
      <c r="N247" s="217">
        <f t="shared" si="71"/>
        <v>-1.9837354981406635E-4</v>
      </c>
      <c r="O247" s="217">
        <f t="shared" si="72"/>
        <v>5.7361475427562206E-4</v>
      </c>
      <c r="P247" s="217">
        <f t="shared" si="73"/>
        <v>-3.7172433404702987E-4</v>
      </c>
      <c r="Q247" s="4" t="s">
        <v>367</v>
      </c>
      <c r="R247" s="4" t="s">
        <v>622</v>
      </c>
      <c r="S247" s="4" t="s">
        <v>877</v>
      </c>
    </row>
    <row r="248" spans="1:19" ht="17.25" customHeight="1">
      <c r="A248" s="213">
        <f t="shared" si="67"/>
        <v>73800</v>
      </c>
      <c r="B248" s="55">
        <v>29913</v>
      </c>
      <c r="C248" s="55">
        <v>27784</v>
      </c>
      <c r="D248" s="55">
        <v>11241</v>
      </c>
      <c r="E248" s="213" t="str">
        <f t="shared" si="63"/>
        <v>74D9</v>
      </c>
      <c r="F248" s="213" t="str">
        <f t="shared" si="63"/>
        <v>6C88</v>
      </c>
      <c r="G248" s="213" t="str">
        <f t="shared" si="63"/>
        <v>2BE9</v>
      </c>
      <c r="H248" s="210">
        <f t="shared" si="64"/>
        <v>42.958646616541955</v>
      </c>
      <c r="I248" s="210">
        <f t="shared" si="65"/>
        <v>1.5300751879694872</v>
      </c>
      <c r="J248" s="210">
        <f t="shared" si="66"/>
        <v>-5.9172932330820913</v>
      </c>
      <c r="K248" s="217">
        <f t="shared" si="68"/>
        <v>-1.4138485833726028E-4</v>
      </c>
      <c r="L248" s="217">
        <f t="shared" si="69"/>
        <v>3.495691130439828E-4</v>
      </c>
      <c r="M248" s="217">
        <f t="shared" si="70"/>
        <v>-5.0187671992137594E-4</v>
      </c>
      <c r="N248" s="217">
        <f t="shared" si="71"/>
        <v>-1.1924288053668256E-4</v>
      </c>
      <c r="O248" s="217">
        <f t="shared" si="72"/>
        <v>3.8055645606988199E-4</v>
      </c>
      <c r="P248" s="217">
        <f t="shared" si="73"/>
        <v>-4.8488665573432759E-4</v>
      </c>
      <c r="Q248" s="4" t="s">
        <v>368</v>
      </c>
      <c r="R248" s="4" t="s">
        <v>623</v>
      </c>
      <c r="S248" s="4" t="s">
        <v>878</v>
      </c>
    </row>
    <row r="249" spans="1:19" ht="17.25" customHeight="1">
      <c r="A249" s="213">
        <f t="shared" si="67"/>
        <v>74100</v>
      </c>
      <c r="B249" s="55">
        <v>29910</v>
      </c>
      <c r="C249" s="55">
        <v>27832</v>
      </c>
      <c r="D249" s="55">
        <v>11255</v>
      </c>
      <c r="E249" s="213" t="str">
        <f t="shared" si="63"/>
        <v>74D6</v>
      </c>
      <c r="F249" s="213" t="str">
        <f t="shared" si="63"/>
        <v>6CB8</v>
      </c>
      <c r="G249" s="213" t="str">
        <f t="shared" si="63"/>
        <v>2BF7</v>
      </c>
      <c r="H249" s="210">
        <f t="shared" si="64"/>
        <v>39.958646616541955</v>
      </c>
      <c r="I249" s="210">
        <f t="shared" si="65"/>
        <v>49.530075187969487</v>
      </c>
      <c r="J249" s="210">
        <f t="shared" si="66"/>
        <v>8.0827067669179087</v>
      </c>
      <c r="K249" s="217">
        <f t="shared" si="68"/>
        <v>5.0354840296400427E-5</v>
      </c>
      <c r="L249" s="217">
        <f t="shared" si="69"/>
        <v>4.2482912759876282E-4</v>
      </c>
      <c r="M249" s="217">
        <f t="shared" si="70"/>
        <v>-3.5638230632342179E-4</v>
      </c>
      <c r="N249" s="217">
        <f t="shared" si="71"/>
        <v>7.2496818096978147E-5</v>
      </c>
      <c r="O249" s="217">
        <f t="shared" si="72"/>
        <v>4.5581647062466202E-4</v>
      </c>
      <c r="P249" s="217">
        <f t="shared" si="73"/>
        <v>-3.3939224213637344E-4</v>
      </c>
      <c r="Q249" s="4" t="s">
        <v>369</v>
      </c>
      <c r="R249" s="4" t="s">
        <v>624</v>
      </c>
      <c r="S249" s="4" t="s">
        <v>879</v>
      </c>
    </row>
    <row r="250" spans="1:19" ht="17.25" customHeight="1">
      <c r="A250" s="213">
        <f t="shared" si="67"/>
        <v>74400</v>
      </c>
      <c r="B250" s="55">
        <v>29832</v>
      </c>
      <c r="C250" s="55">
        <v>27804</v>
      </c>
      <c r="D250" s="55">
        <v>11223</v>
      </c>
      <c r="E250" s="213" t="str">
        <f t="shared" si="63"/>
        <v>7488</v>
      </c>
      <c r="F250" s="213" t="str">
        <f t="shared" si="63"/>
        <v>6C9C</v>
      </c>
      <c r="G250" s="213" t="str">
        <f t="shared" si="63"/>
        <v>2BD7</v>
      </c>
      <c r="H250" s="210">
        <f t="shared" si="64"/>
        <v>-38.041353383458045</v>
      </c>
      <c r="I250" s="210">
        <f t="shared" si="65"/>
        <v>21.530075187969487</v>
      </c>
      <c r="J250" s="210">
        <f t="shared" si="66"/>
        <v>-23.917293233082091</v>
      </c>
      <c r="K250" s="217">
        <f t="shared" si="68"/>
        <v>-4.4279307417883454E-6</v>
      </c>
      <c r="L250" s="217">
        <f t="shared" si="69"/>
        <v>4.4119000032806277E-4</v>
      </c>
      <c r="M250" s="217">
        <f t="shared" si="70"/>
        <v>-4.0488044418940654E-4</v>
      </c>
      <c r="N250" s="217">
        <f t="shared" si="71"/>
        <v>1.7714047058789374E-5</v>
      </c>
      <c r="O250" s="217">
        <f t="shared" si="72"/>
        <v>4.7217734335396196E-4</v>
      </c>
      <c r="P250" s="217">
        <f t="shared" si="73"/>
        <v>-3.8789038000235819E-4</v>
      </c>
      <c r="Q250" s="4" t="s">
        <v>370</v>
      </c>
      <c r="R250" s="4" t="s">
        <v>625</v>
      </c>
      <c r="S250" s="4" t="s">
        <v>880</v>
      </c>
    </row>
    <row r="251" spans="1:19" ht="17.25" customHeight="1">
      <c r="A251" s="213">
        <f t="shared" si="67"/>
        <v>74700</v>
      </c>
      <c r="B251" s="55">
        <v>29889</v>
      </c>
      <c r="C251" s="55">
        <v>27760</v>
      </c>
      <c r="D251" s="55">
        <v>11271</v>
      </c>
      <c r="E251" s="213" t="str">
        <f t="shared" si="63"/>
        <v>74C1</v>
      </c>
      <c r="F251" s="213" t="str">
        <f t="shared" si="63"/>
        <v>6C70</v>
      </c>
      <c r="G251" s="213" t="str">
        <f t="shared" si="63"/>
        <v>2C07</v>
      </c>
      <c r="H251" s="210">
        <f t="shared" si="64"/>
        <v>18.958646616541955</v>
      </c>
      <c r="I251" s="210">
        <f t="shared" si="65"/>
        <v>-22.469924812030513</v>
      </c>
      <c r="J251" s="210">
        <f t="shared" si="66"/>
        <v>24.082706766917909</v>
      </c>
      <c r="K251" s="217">
        <f t="shared" si="68"/>
        <v>-6.2254189059876496E-5</v>
      </c>
      <c r="L251" s="217">
        <f t="shared" si="69"/>
        <v>3.1357519303952281E-4</v>
      </c>
      <c r="M251" s="217">
        <f t="shared" si="70"/>
        <v>-2.5130300761378832E-4</v>
      </c>
      <c r="N251" s="217">
        <f t="shared" si="71"/>
        <v>-4.0112211259298776E-5</v>
      </c>
      <c r="O251" s="217">
        <f t="shared" si="72"/>
        <v>3.44562536065422E-4</v>
      </c>
      <c r="P251" s="217">
        <f t="shared" si="73"/>
        <v>-2.3431294342673997E-4</v>
      </c>
      <c r="Q251" s="4" t="s">
        <v>371</v>
      </c>
      <c r="R251" s="4" t="s">
        <v>626</v>
      </c>
      <c r="S251" s="4" t="s">
        <v>881</v>
      </c>
    </row>
    <row r="252" spans="1:19" ht="17.25" customHeight="1">
      <c r="A252" s="213">
        <f t="shared" si="67"/>
        <v>75000</v>
      </c>
      <c r="B252" s="55">
        <v>29892</v>
      </c>
      <c r="C252" s="55">
        <v>27836</v>
      </c>
      <c r="D252" s="55">
        <v>11258</v>
      </c>
      <c r="E252" s="213" t="str">
        <f t="shared" si="63"/>
        <v>74C4</v>
      </c>
      <c r="F252" s="213" t="str">
        <f t="shared" si="63"/>
        <v>6CBC</v>
      </c>
      <c r="G252" s="213" t="str">
        <f t="shared" si="63"/>
        <v>2BFA</v>
      </c>
      <c r="H252" s="210">
        <f t="shared" si="64"/>
        <v>21.958646616541955</v>
      </c>
      <c r="I252" s="210">
        <f t="shared" si="65"/>
        <v>53.530075187969487</v>
      </c>
      <c r="J252" s="210">
        <f t="shared" si="66"/>
        <v>11.082706766917909</v>
      </c>
      <c r="K252" s="217">
        <f t="shared" si="68"/>
        <v>-3.1819316260882732E-5</v>
      </c>
      <c r="L252" s="217">
        <f t="shared" si="69"/>
        <v>3.5284128758984284E-4</v>
      </c>
      <c r="M252" s="217">
        <f t="shared" si="70"/>
        <v>2.3519773626791663E-5</v>
      </c>
      <c r="N252" s="217">
        <f t="shared" si="71"/>
        <v>-9.6773384603050122E-6</v>
      </c>
      <c r="O252" s="217">
        <f t="shared" si="72"/>
        <v>3.8382863061574204E-4</v>
      </c>
      <c r="P252" s="217">
        <f t="shared" si="73"/>
        <v>4.0509837813840021E-5</v>
      </c>
      <c r="Q252" s="4" t="s">
        <v>372</v>
      </c>
      <c r="R252" s="4" t="s">
        <v>627</v>
      </c>
      <c r="S252" s="4" t="s">
        <v>882</v>
      </c>
    </row>
    <row r="253" spans="1:19" ht="17.25" customHeight="1">
      <c r="A253" s="213">
        <f t="shared" si="67"/>
        <v>75300</v>
      </c>
      <c r="B253" s="55">
        <v>29895</v>
      </c>
      <c r="C253" s="55">
        <v>27772</v>
      </c>
      <c r="D253" s="55">
        <v>11227</v>
      </c>
      <c r="E253" s="213" t="str">
        <f t="shared" si="63"/>
        <v>74C7</v>
      </c>
      <c r="F253" s="213" t="str">
        <f t="shared" si="63"/>
        <v>6C7C</v>
      </c>
      <c r="G253" s="213" t="str">
        <f t="shared" si="63"/>
        <v>2BDB</v>
      </c>
      <c r="H253" s="210">
        <f t="shared" si="64"/>
        <v>24.958646616541955</v>
      </c>
      <c r="I253" s="210">
        <f t="shared" si="65"/>
        <v>-10.469924812030513</v>
      </c>
      <c r="J253" s="210">
        <f t="shared" si="66"/>
        <v>-19.917293233082091</v>
      </c>
      <c r="K253" s="217">
        <f t="shared" si="68"/>
        <v>1.9948571701146987E-4</v>
      </c>
      <c r="L253" s="217">
        <f t="shared" si="69"/>
        <v>4.5755087305736277E-4</v>
      </c>
      <c r="M253" s="217">
        <f t="shared" si="70"/>
        <v>-1.6238975485948301E-4</v>
      </c>
      <c r="N253" s="217">
        <f t="shared" si="71"/>
        <v>2.2162769481204759E-4</v>
      </c>
      <c r="O253" s="217">
        <f t="shared" si="72"/>
        <v>4.8853821608326191E-4</v>
      </c>
      <c r="P253" s="217">
        <f t="shared" si="73"/>
        <v>-1.4539969067243466E-4</v>
      </c>
      <c r="Q253" s="4" t="s">
        <v>373</v>
      </c>
      <c r="R253" s="4" t="s">
        <v>628</v>
      </c>
      <c r="S253" s="4" t="s">
        <v>883</v>
      </c>
    </row>
    <row r="254" spans="1:19" ht="17.25" customHeight="1">
      <c r="A254" s="213">
        <f t="shared" si="67"/>
        <v>75600</v>
      </c>
      <c r="B254" s="55">
        <v>29881</v>
      </c>
      <c r="C254" s="55">
        <v>27864</v>
      </c>
      <c r="D254" s="55">
        <v>11265</v>
      </c>
      <c r="E254" s="213" t="str">
        <f t="shared" si="63"/>
        <v>74B9</v>
      </c>
      <c r="F254" s="213" t="str">
        <f t="shared" si="63"/>
        <v>6CD8</v>
      </c>
      <c r="G254" s="213" t="str">
        <f t="shared" si="63"/>
        <v>2C01</v>
      </c>
      <c r="H254" s="210">
        <f t="shared" si="64"/>
        <v>10.958646616541955</v>
      </c>
      <c r="I254" s="210">
        <f t="shared" si="65"/>
        <v>81.530075187969487</v>
      </c>
      <c r="J254" s="210">
        <f t="shared" si="66"/>
        <v>18.082706766917909</v>
      </c>
      <c r="K254" s="217">
        <f t="shared" si="68"/>
        <v>3.1818172092754553E-4</v>
      </c>
      <c r="L254" s="217">
        <f t="shared" si="69"/>
        <v>6.2770394944208286E-4</v>
      </c>
      <c r="M254" s="217">
        <f t="shared" si="70"/>
        <v>3.1602796604455773E-5</v>
      </c>
      <c r="N254" s="217">
        <f t="shared" si="71"/>
        <v>3.4032369872812323E-4</v>
      </c>
      <c r="O254" s="217">
        <f t="shared" si="72"/>
        <v>6.58691292467982E-4</v>
      </c>
      <c r="P254" s="217">
        <f t="shared" si="73"/>
        <v>4.8592860791504128E-5</v>
      </c>
      <c r="Q254" s="4" t="s">
        <v>374</v>
      </c>
      <c r="R254" s="4" t="s">
        <v>629</v>
      </c>
      <c r="S254" s="4" t="s">
        <v>884</v>
      </c>
    </row>
    <row r="255" spans="1:19" ht="17.25" customHeight="1">
      <c r="A255" s="213">
        <f t="shared" si="67"/>
        <v>75900</v>
      </c>
      <c r="B255" s="55">
        <v>29910</v>
      </c>
      <c r="C255" s="55">
        <v>27830</v>
      </c>
      <c r="D255" s="55">
        <v>11259</v>
      </c>
      <c r="E255" s="213" t="str">
        <f t="shared" si="63"/>
        <v>74D6</v>
      </c>
      <c r="F255" s="213" t="str">
        <f t="shared" si="63"/>
        <v>6CB6</v>
      </c>
      <c r="G255" s="213" t="str">
        <f t="shared" si="63"/>
        <v>2BFB</v>
      </c>
      <c r="H255" s="210">
        <f t="shared" si="64"/>
        <v>39.958646616541955</v>
      </c>
      <c r="I255" s="210">
        <f t="shared" si="65"/>
        <v>47.530075187969487</v>
      </c>
      <c r="J255" s="210">
        <f t="shared" si="66"/>
        <v>12.082706766917909</v>
      </c>
      <c r="K255" s="217">
        <f t="shared" si="68"/>
        <v>3.516600810064387E-4</v>
      </c>
      <c r="L255" s="217">
        <f t="shared" si="69"/>
        <v>8.3385094583126283E-4</v>
      </c>
      <c r="M255" s="217">
        <f t="shared" si="70"/>
        <v>1.8518023318007398E-4</v>
      </c>
      <c r="N255" s="217">
        <f t="shared" si="71"/>
        <v>3.7380205880701645E-4</v>
      </c>
      <c r="O255" s="217">
        <f t="shared" si="72"/>
        <v>8.6483828885716208E-4</v>
      </c>
      <c r="P255" s="217">
        <f t="shared" si="73"/>
        <v>2.0217029736712232E-4</v>
      </c>
      <c r="Q255" s="4" t="s">
        <v>375</v>
      </c>
      <c r="R255" s="4" t="s">
        <v>630</v>
      </c>
      <c r="S255" s="4" t="s">
        <v>885</v>
      </c>
    </row>
    <row r="256" spans="1:19" ht="17.25" customHeight="1">
      <c r="A256" s="213">
        <f t="shared" si="67"/>
        <v>76200</v>
      </c>
      <c r="B256" s="55">
        <v>29905</v>
      </c>
      <c r="C256" s="55">
        <v>27779</v>
      </c>
      <c r="D256" s="55">
        <v>11233</v>
      </c>
      <c r="E256" s="213" t="str">
        <f t="shared" si="63"/>
        <v>74D1</v>
      </c>
      <c r="F256" s="213" t="str">
        <f t="shared" si="63"/>
        <v>6C83</v>
      </c>
      <c r="G256" s="213" t="str">
        <f t="shared" si="63"/>
        <v>2BE1</v>
      </c>
      <c r="H256" s="210">
        <f t="shared" si="64"/>
        <v>34.958646616541955</v>
      </c>
      <c r="I256" s="210">
        <f t="shared" si="65"/>
        <v>-3.4699248120305128</v>
      </c>
      <c r="J256" s="210">
        <f t="shared" si="66"/>
        <v>-13.917293233082091</v>
      </c>
      <c r="K256" s="217">
        <f t="shared" si="68"/>
        <v>5.3122583052050184E-4</v>
      </c>
      <c r="L256" s="217">
        <f t="shared" si="69"/>
        <v>7.0623613854272271E-4</v>
      </c>
      <c r="M256" s="217">
        <f t="shared" si="70"/>
        <v>2.0134627913540219E-4</v>
      </c>
      <c r="N256" s="217">
        <f t="shared" si="71"/>
        <v>5.5336780832107959E-4</v>
      </c>
      <c r="O256" s="217">
        <f t="shared" si="72"/>
        <v>7.3722348156862196E-4</v>
      </c>
      <c r="P256" s="217">
        <f t="shared" si="73"/>
        <v>2.1833634332245054E-4</v>
      </c>
      <c r="Q256" s="4" t="s">
        <v>376</v>
      </c>
      <c r="R256" s="4" t="s">
        <v>631</v>
      </c>
      <c r="S256" s="4" t="s">
        <v>886</v>
      </c>
    </row>
    <row r="257" spans="1:20" ht="17.25" customHeight="1">
      <c r="A257" s="213">
        <f t="shared" si="67"/>
        <v>76500</v>
      </c>
      <c r="B257" s="55">
        <v>29943</v>
      </c>
      <c r="C257" s="55">
        <v>27866</v>
      </c>
      <c r="D257" s="55">
        <v>11272</v>
      </c>
      <c r="E257" s="213" t="str">
        <f t="shared" si="63"/>
        <v>74F7</v>
      </c>
      <c r="F257" s="213" t="str">
        <f t="shared" si="63"/>
        <v>6CDA</v>
      </c>
      <c r="G257" s="213" t="str">
        <f t="shared" si="63"/>
        <v>2C08</v>
      </c>
      <c r="H257" s="210">
        <f t="shared" si="64"/>
        <v>72.958646616541955</v>
      </c>
      <c r="I257" s="210">
        <f t="shared" si="65"/>
        <v>83.530075187969487</v>
      </c>
      <c r="J257" s="210">
        <f t="shared" si="66"/>
        <v>25.082706766917909</v>
      </c>
      <c r="K257" s="217">
        <f t="shared" si="68"/>
        <v>7.0470460547476636E-4</v>
      </c>
      <c r="L257" s="217">
        <f t="shared" si="69"/>
        <v>9.5164922948222277E-4</v>
      </c>
      <c r="M257" s="217">
        <f t="shared" si="70"/>
        <v>2.3367837104605867E-4</v>
      </c>
      <c r="N257" s="217">
        <f t="shared" si="71"/>
        <v>7.2684658327534411E-4</v>
      </c>
      <c r="O257" s="217">
        <f t="shared" si="72"/>
        <v>9.8263657250812191E-4</v>
      </c>
      <c r="P257" s="217">
        <f t="shared" si="73"/>
        <v>2.5066843523310705E-4</v>
      </c>
      <c r="Q257" s="4" t="s">
        <v>377</v>
      </c>
      <c r="R257" s="4" t="s">
        <v>632</v>
      </c>
      <c r="S257" s="4" t="s">
        <v>887</v>
      </c>
    </row>
    <row r="258" spans="1:20" ht="17.25" customHeight="1">
      <c r="A258" s="213">
        <f t="shared" si="67"/>
        <v>76800</v>
      </c>
      <c r="B258" s="55">
        <v>29874</v>
      </c>
      <c r="C258" s="55">
        <v>27837</v>
      </c>
      <c r="D258" s="55">
        <v>11273</v>
      </c>
      <c r="E258" s="213" t="str">
        <f t="shared" ref="E258:G267" si="74">DEC2HEX(B258)</f>
        <v>74B2</v>
      </c>
      <c r="F258" s="213" t="str">
        <f t="shared" si="74"/>
        <v>6CBD</v>
      </c>
      <c r="G258" s="213" t="str">
        <f t="shared" si="74"/>
        <v>2C09</v>
      </c>
      <c r="H258" s="210">
        <f t="shared" ref="H258:H267" si="75">B258-Q$3</f>
        <v>3.9586466165419552</v>
      </c>
      <c r="I258" s="210">
        <f t="shared" ref="I258:I267" si="76">C258-R$3</f>
        <v>54.530075187969487</v>
      </c>
      <c r="J258" s="210">
        <f t="shared" ref="J258:J267" si="77">D258-S$3</f>
        <v>26.082706766917909</v>
      </c>
      <c r="K258" s="217">
        <f t="shared" si="68"/>
        <v>8.325310712305402E-4</v>
      </c>
      <c r="L258" s="217">
        <f t="shared" si="69"/>
        <v>1.1676127495089826E-3</v>
      </c>
      <c r="M258" s="217">
        <f t="shared" si="70"/>
        <v>4.923351063313104E-4</v>
      </c>
      <c r="N258" s="217">
        <f t="shared" si="71"/>
        <v>8.5467304903111795E-4</v>
      </c>
      <c r="O258" s="217">
        <f t="shared" si="72"/>
        <v>1.1986000925348819E-3</v>
      </c>
      <c r="P258" s="217">
        <f t="shared" si="73"/>
        <v>5.093251705183588E-4</v>
      </c>
      <c r="Q258" s="4" t="s">
        <v>378</v>
      </c>
      <c r="R258" s="4" t="s">
        <v>633</v>
      </c>
      <c r="S258" s="4" t="s">
        <v>888</v>
      </c>
    </row>
    <row r="259" spans="1:20" ht="17.25" customHeight="1">
      <c r="A259" s="213">
        <f t="shared" si="67"/>
        <v>77100</v>
      </c>
      <c r="B259" s="55">
        <v>29865</v>
      </c>
      <c r="C259" s="55">
        <v>27729</v>
      </c>
      <c r="D259" s="55">
        <v>11242</v>
      </c>
      <c r="E259" s="213" t="str">
        <f t="shared" si="74"/>
        <v>74A9</v>
      </c>
      <c r="F259" s="213" t="str">
        <f t="shared" si="74"/>
        <v>6C51</v>
      </c>
      <c r="G259" s="213" t="str">
        <f t="shared" si="74"/>
        <v>2BEA</v>
      </c>
      <c r="H259" s="210">
        <f t="shared" si="75"/>
        <v>-5.0413533834580448</v>
      </c>
      <c r="I259" s="210">
        <f t="shared" si="76"/>
        <v>-53.469924812030513</v>
      </c>
      <c r="J259" s="210">
        <f t="shared" si="77"/>
        <v>-4.9172932330820913</v>
      </c>
      <c r="K259" s="217">
        <f t="shared" si="68"/>
        <v>6.8644368179537018E-4</v>
      </c>
      <c r="L259" s="217">
        <f t="shared" si="69"/>
        <v>9.8764314948668287E-4</v>
      </c>
      <c r="M259" s="217">
        <f t="shared" si="70"/>
        <v>5.0041812930897453E-4</v>
      </c>
      <c r="N259" s="217">
        <f t="shared" si="71"/>
        <v>7.0858565959594792E-4</v>
      </c>
      <c r="O259" s="217">
        <f t="shared" si="72"/>
        <v>1.0186304925125821E-3</v>
      </c>
      <c r="P259" s="217">
        <f t="shared" si="73"/>
        <v>5.1740819349602293E-4</v>
      </c>
      <c r="Q259" s="4" t="s">
        <v>379</v>
      </c>
      <c r="R259" s="4" t="s">
        <v>634</v>
      </c>
      <c r="S259" s="4" t="s">
        <v>889</v>
      </c>
    </row>
    <row r="260" spans="1:20" ht="17.25" customHeight="1">
      <c r="A260" s="213">
        <f t="shared" ref="A260:A267" si="78">A259+A$1</f>
        <v>77400</v>
      </c>
      <c r="B260" s="55">
        <v>29929</v>
      </c>
      <c r="C260" s="55">
        <v>27774</v>
      </c>
      <c r="D260" s="55">
        <v>11275</v>
      </c>
      <c r="E260" s="213" t="str">
        <f t="shared" si="74"/>
        <v>74E9</v>
      </c>
      <c r="F260" s="213" t="str">
        <f t="shared" si="74"/>
        <v>6C7E</v>
      </c>
      <c r="G260" s="213" t="str">
        <f t="shared" si="74"/>
        <v>2C0B</v>
      </c>
      <c r="H260" s="210">
        <f t="shared" si="75"/>
        <v>58.958646616541955</v>
      </c>
      <c r="I260" s="210">
        <f t="shared" si="76"/>
        <v>-8.4699248120305128</v>
      </c>
      <c r="J260" s="210">
        <f t="shared" si="77"/>
        <v>28.082706766917909</v>
      </c>
      <c r="K260" s="217">
        <f t="shared" si="68"/>
        <v>7.4426994011345831E-4</v>
      </c>
      <c r="L260" s="217">
        <f t="shared" si="69"/>
        <v>7.9785702582680273E-4</v>
      </c>
      <c r="M260" s="217">
        <f t="shared" si="70"/>
        <v>6.6207858886225678E-4</v>
      </c>
      <c r="N260" s="217">
        <f t="shared" si="71"/>
        <v>7.6641191791403606E-4</v>
      </c>
      <c r="O260" s="217">
        <f t="shared" si="72"/>
        <v>8.2884436885270188E-4</v>
      </c>
      <c r="P260" s="217">
        <f t="shared" si="73"/>
        <v>6.7906865304930518E-4</v>
      </c>
      <c r="Q260" s="4" t="s">
        <v>380</v>
      </c>
      <c r="R260" s="4" t="s">
        <v>635</v>
      </c>
      <c r="S260" s="4" t="s">
        <v>890</v>
      </c>
    </row>
    <row r="261" spans="1:20" ht="17.25" customHeight="1">
      <c r="A261" s="213">
        <f t="shared" si="78"/>
        <v>77700</v>
      </c>
      <c r="B261" s="55">
        <v>29847</v>
      </c>
      <c r="C261" s="55">
        <v>27822</v>
      </c>
      <c r="D261" s="55">
        <v>11249</v>
      </c>
      <c r="E261" s="213" t="str">
        <f t="shared" si="74"/>
        <v>7497</v>
      </c>
      <c r="F261" s="213" t="str">
        <f t="shared" si="74"/>
        <v>6CAE</v>
      </c>
      <c r="G261" s="213" t="str">
        <f t="shared" si="74"/>
        <v>2BF1</v>
      </c>
      <c r="H261" s="210">
        <f t="shared" si="75"/>
        <v>-23.041353383458045</v>
      </c>
      <c r="I261" s="210">
        <f t="shared" si="76"/>
        <v>39.530075187969487</v>
      </c>
      <c r="J261" s="210">
        <f t="shared" si="77"/>
        <v>2.0827067669179087</v>
      </c>
      <c r="K261" s="217">
        <f t="shared" si="68"/>
        <v>7.8992224931194888E-4</v>
      </c>
      <c r="L261" s="217">
        <f t="shared" si="69"/>
        <v>8.5675616765228276E-4</v>
      </c>
      <c r="M261" s="217">
        <f t="shared" si="70"/>
        <v>8.7223718628152383E-4</v>
      </c>
      <c r="N261" s="217">
        <f t="shared" si="71"/>
        <v>8.1206422711252663E-4</v>
      </c>
      <c r="O261" s="217">
        <f t="shared" si="72"/>
        <v>8.877435106781819E-4</v>
      </c>
      <c r="P261" s="217">
        <f t="shared" si="73"/>
        <v>8.8922725046857224E-4</v>
      </c>
      <c r="Q261" s="4" t="s">
        <v>381</v>
      </c>
      <c r="R261" s="4" t="s">
        <v>636</v>
      </c>
      <c r="S261" s="4" t="s">
        <v>891</v>
      </c>
    </row>
    <row r="262" spans="1:20" ht="17.25" customHeight="1">
      <c r="A262" s="213">
        <f t="shared" si="78"/>
        <v>78000</v>
      </c>
      <c r="B262" s="55">
        <v>29908</v>
      </c>
      <c r="C262" s="55">
        <v>27789</v>
      </c>
      <c r="D262" s="55">
        <v>11266</v>
      </c>
      <c r="E262" s="213" t="str">
        <f t="shared" si="74"/>
        <v>74D4</v>
      </c>
      <c r="F262" s="213" t="str">
        <f t="shared" si="74"/>
        <v>6C8D</v>
      </c>
      <c r="G262" s="213" t="str">
        <f t="shared" si="74"/>
        <v>2C02</v>
      </c>
      <c r="H262" s="210">
        <f t="shared" si="75"/>
        <v>37.958646616541955</v>
      </c>
      <c r="I262" s="210">
        <f t="shared" si="76"/>
        <v>6.5300751879694872</v>
      </c>
      <c r="J262" s="210">
        <f t="shared" si="77"/>
        <v>19.082706766917909</v>
      </c>
      <c r="K262" s="217">
        <f t="shared" si="68"/>
        <v>8.4774850763003702E-4</v>
      </c>
      <c r="L262" s="217">
        <f t="shared" si="69"/>
        <v>9.5164922948222277E-4</v>
      </c>
      <c r="M262" s="217">
        <f t="shared" si="70"/>
        <v>8.3182207139320338E-4</v>
      </c>
      <c r="N262" s="217">
        <f t="shared" si="71"/>
        <v>8.6989048543061477E-4</v>
      </c>
      <c r="O262" s="217">
        <f t="shared" si="72"/>
        <v>9.8263657250812191E-4</v>
      </c>
      <c r="P262" s="217">
        <f t="shared" si="73"/>
        <v>8.4881213558025178E-4</v>
      </c>
      <c r="Q262" s="4" t="s">
        <v>382</v>
      </c>
      <c r="R262" s="4" t="s">
        <v>637</v>
      </c>
      <c r="S262" s="4" t="s">
        <v>892</v>
      </c>
    </row>
    <row r="263" spans="1:20" ht="17.25" customHeight="1">
      <c r="A263" s="213">
        <f t="shared" si="78"/>
        <v>78300</v>
      </c>
      <c r="B263" s="55">
        <v>29931</v>
      </c>
      <c r="C263" s="55">
        <v>27833</v>
      </c>
      <c r="D263" s="55">
        <v>11280</v>
      </c>
      <c r="E263" s="213" t="str">
        <f t="shared" si="74"/>
        <v>74EB</v>
      </c>
      <c r="F263" s="213" t="str">
        <f t="shared" si="74"/>
        <v>6CB9</v>
      </c>
      <c r="G263" s="213" t="str">
        <f t="shared" si="74"/>
        <v>2C10</v>
      </c>
      <c r="H263" s="210">
        <f t="shared" si="75"/>
        <v>60.958646616541955</v>
      </c>
      <c r="I263" s="210">
        <f t="shared" si="76"/>
        <v>50.530075187969487</v>
      </c>
      <c r="J263" s="210">
        <f t="shared" si="77"/>
        <v>33.082706766917909</v>
      </c>
      <c r="K263" s="217">
        <f t="shared" si="68"/>
        <v>9.6644451154611277E-4</v>
      </c>
      <c r="L263" s="217">
        <f t="shared" si="69"/>
        <v>9.418327058446428E-4</v>
      </c>
      <c r="M263" s="217">
        <f t="shared" si="70"/>
        <v>1.0096485769018138E-3</v>
      </c>
      <c r="N263" s="217">
        <f t="shared" si="71"/>
        <v>9.885864893466904E-4</v>
      </c>
      <c r="O263" s="217">
        <f t="shared" si="72"/>
        <v>9.7282004887054205E-4</v>
      </c>
      <c r="P263" s="217">
        <f t="shared" si="73"/>
        <v>1.0266386410888622E-3</v>
      </c>
      <c r="Q263" s="4" t="s">
        <v>383</v>
      </c>
      <c r="R263" s="4" t="s">
        <v>638</v>
      </c>
      <c r="S263" s="4" t="s">
        <v>893</v>
      </c>
    </row>
    <row r="264" spans="1:20" ht="17.25" customHeight="1">
      <c r="A264" s="213">
        <f t="shared" si="78"/>
        <v>78600</v>
      </c>
      <c r="B264" s="55">
        <v>29894</v>
      </c>
      <c r="C264" s="55">
        <v>27860</v>
      </c>
      <c r="D264" s="55">
        <v>11258</v>
      </c>
      <c r="E264" s="213" t="str">
        <f t="shared" si="74"/>
        <v>74C6</v>
      </c>
      <c r="F264" s="213" t="str">
        <f t="shared" si="74"/>
        <v>6CD4</v>
      </c>
      <c r="G264" s="213" t="str">
        <f t="shared" si="74"/>
        <v>2BFA</v>
      </c>
      <c r="H264" s="210">
        <f t="shared" si="75"/>
        <v>23.958646616541955</v>
      </c>
      <c r="I264" s="210">
        <f t="shared" si="76"/>
        <v>77.530075187969487</v>
      </c>
      <c r="J264" s="210">
        <f t="shared" si="77"/>
        <v>11.082706766917909</v>
      </c>
      <c r="K264" s="217">
        <f t="shared" si="68"/>
        <v>9.6340102426621329E-4</v>
      </c>
      <c r="L264" s="217">
        <f t="shared" si="69"/>
        <v>1.2297840658803227E-3</v>
      </c>
      <c r="M264" s="217">
        <f t="shared" si="70"/>
        <v>1.2602222892094015E-3</v>
      </c>
      <c r="N264" s="217">
        <f t="shared" si="71"/>
        <v>9.8554300206679093E-4</v>
      </c>
      <c r="O264" s="217">
        <f t="shared" si="72"/>
        <v>1.260771408906222E-3</v>
      </c>
      <c r="P264" s="217">
        <f t="shared" si="73"/>
        <v>1.2772123533964499E-3</v>
      </c>
      <c r="Q264" s="4" t="s">
        <v>384</v>
      </c>
      <c r="R264" s="4" t="s">
        <v>639</v>
      </c>
      <c r="S264" s="4" t="s">
        <v>894</v>
      </c>
    </row>
    <row r="265" spans="1:20" ht="17.25" customHeight="1">
      <c r="A265" s="213">
        <f t="shared" si="78"/>
        <v>78900</v>
      </c>
      <c r="B265" s="55">
        <v>29883</v>
      </c>
      <c r="C265" s="55">
        <v>27835</v>
      </c>
      <c r="D265" s="55">
        <v>11256</v>
      </c>
      <c r="E265" s="213" t="str">
        <f t="shared" si="74"/>
        <v>74BB</v>
      </c>
      <c r="F265" s="213" t="str">
        <f t="shared" si="74"/>
        <v>6CBB</v>
      </c>
      <c r="G265" s="213" t="str">
        <f t="shared" si="74"/>
        <v>2BF8</v>
      </c>
      <c r="H265" s="210">
        <f t="shared" si="75"/>
        <v>12.958646616541955</v>
      </c>
      <c r="I265" s="210">
        <f t="shared" si="76"/>
        <v>52.530075187969487</v>
      </c>
      <c r="J265" s="210">
        <f t="shared" si="77"/>
        <v>9.0827067669179087</v>
      </c>
      <c r="K265" s="217">
        <f t="shared" si="68"/>
        <v>9.6948799882601213E-4</v>
      </c>
      <c r="L265" s="217">
        <f t="shared" si="69"/>
        <v>1.1348910040503827E-3</v>
      </c>
      <c r="M265" s="217">
        <f t="shared" si="70"/>
        <v>1.1874750824104245E-3</v>
      </c>
      <c r="N265" s="217">
        <f t="shared" si="71"/>
        <v>9.9162997662658988E-4</v>
      </c>
      <c r="O265" s="217">
        <f t="shared" si="72"/>
        <v>1.165878347076282E-3</v>
      </c>
      <c r="P265" s="217">
        <f t="shared" si="73"/>
        <v>1.2044651465974729E-3</v>
      </c>
      <c r="Q265" s="4" t="s">
        <v>385</v>
      </c>
      <c r="R265" s="4" t="s">
        <v>640</v>
      </c>
      <c r="S265" s="4" t="s">
        <v>895</v>
      </c>
    </row>
    <row r="266" spans="1:20" ht="17.25" customHeight="1">
      <c r="A266" s="213">
        <f t="shared" si="78"/>
        <v>79200</v>
      </c>
      <c r="B266" s="55">
        <v>29893</v>
      </c>
      <c r="C266" s="55">
        <v>27864</v>
      </c>
      <c r="D266" s="55">
        <v>11257</v>
      </c>
      <c r="E266" s="213" t="str">
        <f t="shared" si="74"/>
        <v>74C5</v>
      </c>
      <c r="F266" s="213" t="str">
        <f t="shared" si="74"/>
        <v>6CD8</v>
      </c>
      <c r="G266" s="213" t="str">
        <f t="shared" si="74"/>
        <v>2BF9</v>
      </c>
      <c r="H266" s="210">
        <f t="shared" si="75"/>
        <v>22.958646616541955</v>
      </c>
      <c r="I266" s="210">
        <f t="shared" si="76"/>
        <v>81.530075187969487</v>
      </c>
      <c r="J266" s="210">
        <f t="shared" si="77"/>
        <v>10.082706766917909</v>
      </c>
      <c r="K266" s="217">
        <f t="shared" si="68"/>
        <v>9.1774871506772261E-4</v>
      </c>
      <c r="L266" s="217">
        <f t="shared" si="69"/>
        <v>1.2461449386096228E-3</v>
      </c>
      <c r="M266" s="217">
        <f t="shared" si="70"/>
        <v>1.1713090364550963E-3</v>
      </c>
      <c r="N266" s="217">
        <f t="shared" si="71"/>
        <v>9.3989069286830036E-4</v>
      </c>
      <c r="O266" s="217">
        <f t="shared" si="72"/>
        <v>1.277132281635522E-3</v>
      </c>
      <c r="P266" s="217">
        <f t="shared" si="73"/>
        <v>1.1882991006421447E-3</v>
      </c>
      <c r="Q266" s="4" t="s">
        <v>386</v>
      </c>
      <c r="R266" s="4" t="s">
        <v>641</v>
      </c>
      <c r="S266" s="4" t="s">
        <v>896</v>
      </c>
    </row>
    <row r="267" spans="1:20" ht="17.25" customHeight="1">
      <c r="A267" s="213">
        <f t="shared" si="78"/>
        <v>79500</v>
      </c>
      <c r="B267" s="55">
        <v>29934</v>
      </c>
      <c r="C267" s="55">
        <v>27779</v>
      </c>
      <c r="D267" s="55">
        <v>11252</v>
      </c>
      <c r="E267" s="213" t="str">
        <f t="shared" si="74"/>
        <v>74EE</v>
      </c>
      <c r="F267" s="213" t="str">
        <f t="shared" si="74"/>
        <v>6C83</v>
      </c>
      <c r="G267" s="213" t="str">
        <f t="shared" si="74"/>
        <v>2BF4</v>
      </c>
      <c r="H267" s="210">
        <f t="shared" si="75"/>
        <v>63.958646616541955</v>
      </c>
      <c r="I267" s="210">
        <f t="shared" si="76"/>
        <v>-3.4699248120305128</v>
      </c>
      <c r="J267" s="210">
        <f t="shared" si="77"/>
        <v>5.0827067669179087</v>
      </c>
      <c r="K267" s="217">
        <f t="shared" si="68"/>
        <v>1.0060098461848045E-3</v>
      </c>
      <c r="L267" s="217">
        <f t="shared" si="69"/>
        <v>1.2461449386096228E-3</v>
      </c>
      <c r="M267" s="217">
        <f t="shared" si="70"/>
        <v>1.3248864730307144E-3</v>
      </c>
      <c r="N267" s="217">
        <f t="shared" si="71"/>
        <v>1.0281518239853822E-3</v>
      </c>
      <c r="O267" s="217">
        <f t="shared" si="72"/>
        <v>1.277132281635522E-3</v>
      </c>
      <c r="P267" s="217">
        <f t="shared" si="73"/>
        <v>1.3418765372177628E-3</v>
      </c>
      <c r="Q267" s="4" t="s">
        <v>387</v>
      </c>
      <c r="R267" s="4" t="s">
        <v>642</v>
      </c>
      <c r="S267" s="4" t="s">
        <v>897</v>
      </c>
    </row>
    <row r="268" spans="1:20" ht="17.25" customHeight="1">
      <c r="A268" s="213"/>
      <c r="B268" s="55"/>
      <c r="C268" s="55"/>
      <c r="D268" s="55"/>
      <c r="E268" s="213"/>
      <c r="F268" s="213"/>
      <c r="G268" s="213"/>
      <c r="H268" s="213"/>
      <c r="I268" s="213"/>
      <c r="J268" s="213"/>
      <c r="K268" s="217"/>
      <c r="L268" s="217"/>
      <c r="M268" s="217"/>
      <c r="N268" s="217"/>
      <c r="O268" s="217"/>
      <c r="P268" s="217"/>
      <c r="Q268" s="217"/>
      <c r="R268" s="217"/>
      <c r="S268" s="217"/>
      <c r="T268" s="213"/>
    </row>
    <row r="269" spans="1:20" ht="17.25" customHeight="1">
      <c r="A269" s="213"/>
      <c r="B269" s="55"/>
      <c r="C269" s="55"/>
      <c r="D269" s="55"/>
      <c r="E269" s="213"/>
      <c r="F269" s="213"/>
      <c r="G269" s="213"/>
      <c r="H269" s="213"/>
      <c r="I269" s="213"/>
      <c r="J269" s="213"/>
      <c r="K269" s="217"/>
      <c r="L269" s="217"/>
      <c r="M269" s="217"/>
      <c r="N269" s="217"/>
      <c r="O269" s="217"/>
      <c r="P269" s="217"/>
      <c r="Q269" s="217"/>
      <c r="R269" s="217"/>
      <c r="S269" s="217"/>
      <c r="T269" s="213"/>
    </row>
    <row r="270" spans="1:20" ht="17.25" customHeight="1">
      <c r="A270" s="213"/>
      <c r="B270" s="55"/>
      <c r="C270" s="55"/>
      <c r="D270" s="55"/>
      <c r="E270" s="213"/>
      <c r="F270" s="213"/>
      <c r="G270" s="213"/>
      <c r="H270" s="213"/>
      <c r="I270" s="213"/>
      <c r="J270" s="213"/>
      <c r="K270" s="217"/>
      <c r="L270" s="217"/>
      <c r="M270" s="217"/>
      <c r="N270" s="217"/>
      <c r="O270" s="217"/>
      <c r="P270" s="217"/>
      <c r="Q270" s="217"/>
      <c r="R270" s="217"/>
      <c r="S270" s="217"/>
      <c r="T270" s="213"/>
    </row>
    <row r="271" spans="1:20" ht="17.25" customHeight="1">
      <c r="A271" s="213"/>
      <c r="B271" s="55"/>
      <c r="C271" s="55"/>
      <c r="D271" s="55"/>
      <c r="E271" s="213"/>
      <c r="F271" s="213"/>
      <c r="G271" s="213"/>
      <c r="H271" s="213"/>
      <c r="I271" s="213"/>
      <c r="J271" s="213"/>
      <c r="K271" s="217"/>
      <c r="L271" s="217"/>
      <c r="M271" s="217"/>
      <c r="N271" s="217"/>
      <c r="O271" s="217"/>
      <c r="P271" s="217"/>
      <c r="Q271" s="217"/>
      <c r="R271" s="217"/>
      <c r="S271" s="217"/>
      <c r="T271" s="213"/>
    </row>
    <row r="272" spans="1:20" ht="17.25" customHeight="1">
      <c r="A272" s="213"/>
      <c r="B272" s="55"/>
      <c r="C272" s="55"/>
      <c r="D272" s="55"/>
      <c r="E272" s="213"/>
      <c r="F272" s="213"/>
      <c r="G272" s="213"/>
      <c r="H272" s="213"/>
      <c r="I272" s="213"/>
      <c r="J272" s="213"/>
      <c r="K272" s="217"/>
      <c r="L272" s="217"/>
      <c r="M272" s="217"/>
      <c r="N272" s="217"/>
      <c r="O272" s="217"/>
      <c r="P272" s="217"/>
      <c r="Q272" s="217"/>
      <c r="R272" s="217"/>
      <c r="S272" s="217"/>
      <c r="T272" s="213"/>
    </row>
    <row r="273" spans="1:20" ht="17.25" customHeight="1">
      <c r="A273" s="213"/>
      <c r="B273" s="55"/>
      <c r="C273" s="55"/>
      <c r="D273" s="55"/>
      <c r="E273" s="213"/>
      <c r="F273" s="213"/>
      <c r="G273" s="213"/>
      <c r="H273" s="213"/>
      <c r="I273" s="213"/>
      <c r="J273" s="213"/>
      <c r="K273" s="217"/>
      <c r="L273" s="217"/>
      <c r="M273" s="217"/>
      <c r="N273" s="217"/>
      <c r="O273" s="217"/>
      <c r="P273" s="217"/>
      <c r="Q273" s="217"/>
      <c r="R273" s="217"/>
      <c r="S273" s="217"/>
      <c r="T273" s="213"/>
    </row>
    <row r="274" spans="1:20" ht="17.25" customHeight="1">
      <c r="A274" s="213"/>
      <c r="B274" s="55"/>
      <c r="C274" s="55"/>
      <c r="D274" s="55"/>
      <c r="E274" s="213"/>
      <c r="F274" s="213"/>
      <c r="G274" s="213"/>
      <c r="H274" s="213"/>
      <c r="I274" s="213"/>
      <c r="J274" s="213"/>
      <c r="K274" s="217"/>
      <c r="L274" s="217"/>
      <c r="M274" s="217"/>
      <c r="N274" s="217"/>
      <c r="O274" s="217"/>
      <c r="P274" s="217"/>
      <c r="Q274" s="217"/>
      <c r="R274" s="217"/>
      <c r="S274" s="217"/>
      <c r="T274" s="213"/>
    </row>
    <row r="275" spans="1:20" ht="17.25" customHeight="1">
      <c r="A275" s="213"/>
      <c r="B275" s="55"/>
      <c r="C275" s="55"/>
      <c r="D275" s="55"/>
      <c r="E275" s="213"/>
      <c r="F275" s="213"/>
      <c r="G275" s="213"/>
      <c r="H275" s="213"/>
      <c r="I275" s="213"/>
      <c r="J275" s="213"/>
      <c r="K275" s="217"/>
      <c r="L275" s="217"/>
      <c r="M275" s="217"/>
      <c r="N275" s="217"/>
      <c r="O275" s="217"/>
      <c r="P275" s="217"/>
      <c r="Q275" s="217"/>
      <c r="R275" s="217"/>
      <c r="S275" s="217"/>
      <c r="T275" s="213"/>
    </row>
    <row r="276" spans="1:20" ht="17.25" customHeight="1">
      <c r="A276" s="213"/>
      <c r="B276" s="55"/>
      <c r="C276" s="55"/>
      <c r="D276" s="55"/>
      <c r="E276" s="213"/>
      <c r="F276" s="213"/>
      <c r="G276" s="213"/>
      <c r="H276" s="213"/>
      <c r="I276" s="213"/>
      <c r="J276" s="213"/>
      <c r="K276" s="217"/>
      <c r="L276" s="217"/>
      <c r="M276" s="217"/>
      <c r="N276" s="217"/>
      <c r="O276" s="217"/>
      <c r="P276" s="217"/>
      <c r="Q276" s="217"/>
      <c r="R276" s="217"/>
      <c r="S276" s="217"/>
      <c r="T276" s="213"/>
    </row>
    <row r="277" spans="1:20" ht="17.25" customHeight="1">
      <c r="A277" s="213"/>
      <c r="B277" s="55"/>
      <c r="C277" s="55"/>
      <c r="D277" s="55"/>
      <c r="E277" s="213"/>
      <c r="F277" s="213"/>
      <c r="G277" s="213"/>
      <c r="H277" s="213"/>
      <c r="I277" s="213"/>
      <c r="J277" s="213"/>
      <c r="K277" s="217"/>
      <c r="L277" s="217"/>
      <c r="M277" s="217"/>
      <c r="N277" s="217"/>
      <c r="O277" s="217"/>
      <c r="P277" s="217"/>
      <c r="Q277" s="217"/>
      <c r="R277" s="217"/>
      <c r="S277" s="217"/>
      <c r="T277" s="213"/>
    </row>
    <row r="278" spans="1:20" ht="17.25" customHeight="1">
      <c r="A278" s="213"/>
      <c r="B278" s="55"/>
      <c r="C278" s="55"/>
      <c r="D278" s="55"/>
      <c r="E278" s="213"/>
      <c r="F278" s="213"/>
      <c r="G278" s="213"/>
      <c r="H278" s="213"/>
      <c r="I278" s="213"/>
      <c r="J278" s="213"/>
      <c r="K278" s="217"/>
      <c r="L278" s="217"/>
      <c r="M278" s="217"/>
      <c r="N278" s="217"/>
      <c r="O278" s="217"/>
      <c r="P278" s="217"/>
      <c r="Q278" s="217"/>
      <c r="R278" s="217"/>
      <c r="S278" s="217"/>
      <c r="T278" s="213"/>
    </row>
    <row r="279" spans="1:20" ht="17.25" customHeight="1">
      <c r="A279" s="213"/>
      <c r="B279" s="55"/>
      <c r="C279" s="55"/>
      <c r="D279" s="55"/>
      <c r="E279" s="213"/>
      <c r="F279" s="213"/>
      <c r="G279" s="213"/>
      <c r="H279" s="213"/>
      <c r="I279" s="213"/>
      <c r="J279" s="213"/>
      <c r="K279" s="217"/>
      <c r="L279" s="217"/>
      <c r="M279" s="217"/>
      <c r="N279" s="217"/>
      <c r="O279" s="217"/>
      <c r="P279" s="217"/>
      <c r="Q279" s="217"/>
      <c r="R279" s="217"/>
      <c r="S279" s="217"/>
      <c r="T279" s="213"/>
    </row>
    <row r="280" spans="1:20" ht="17.25" customHeight="1">
      <c r="A280" s="213"/>
      <c r="B280" s="55"/>
      <c r="C280" s="55"/>
      <c r="D280" s="55"/>
      <c r="E280" s="213"/>
      <c r="F280" s="213"/>
      <c r="G280" s="213"/>
      <c r="H280" s="213"/>
      <c r="I280" s="213"/>
      <c r="J280" s="213"/>
      <c r="K280" s="217"/>
      <c r="L280" s="217"/>
      <c r="M280" s="217"/>
      <c r="N280" s="217"/>
      <c r="O280" s="217"/>
      <c r="P280" s="217"/>
      <c r="Q280" s="217"/>
      <c r="R280" s="217"/>
      <c r="S280" s="217"/>
      <c r="T280" s="213"/>
    </row>
    <row r="281" spans="1:20" ht="17.25" customHeight="1">
      <c r="A281" s="213"/>
      <c r="B281" s="55"/>
      <c r="C281" s="55"/>
      <c r="D281" s="55"/>
      <c r="E281" s="213"/>
      <c r="F281" s="213"/>
      <c r="G281" s="213"/>
      <c r="H281" s="213"/>
      <c r="I281" s="213"/>
      <c r="J281" s="213"/>
      <c r="K281" s="217"/>
      <c r="L281" s="217"/>
      <c r="M281" s="217"/>
      <c r="N281" s="217"/>
      <c r="O281" s="217"/>
      <c r="P281" s="217"/>
      <c r="Q281" s="217"/>
      <c r="R281" s="217"/>
      <c r="S281" s="217"/>
      <c r="T281" s="213"/>
    </row>
    <row r="282" spans="1:20" ht="17.25" customHeight="1">
      <c r="A282" s="213"/>
      <c r="B282" s="55"/>
      <c r="C282" s="55"/>
      <c r="D282" s="55"/>
      <c r="E282" s="213"/>
      <c r="F282" s="213"/>
      <c r="G282" s="213"/>
      <c r="H282" s="213"/>
      <c r="I282" s="213"/>
      <c r="J282" s="213"/>
      <c r="K282" s="217"/>
      <c r="L282" s="217"/>
      <c r="M282" s="217"/>
      <c r="N282" s="217"/>
      <c r="O282" s="217"/>
      <c r="P282" s="217"/>
      <c r="Q282" s="217"/>
      <c r="R282" s="217"/>
      <c r="S282" s="217"/>
      <c r="T282" s="213"/>
    </row>
    <row r="283" spans="1:20" ht="17.25" customHeight="1">
      <c r="A283" s="213"/>
      <c r="B283" s="55"/>
      <c r="C283" s="55"/>
      <c r="D283" s="55"/>
      <c r="E283" s="213"/>
      <c r="F283" s="213"/>
      <c r="G283" s="213"/>
      <c r="H283" s="213"/>
      <c r="I283" s="213"/>
      <c r="J283" s="213"/>
      <c r="K283" s="217"/>
      <c r="L283" s="217"/>
      <c r="M283" s="217"/>
      <c r="N283" s="217"/>
      <c r="O283" s="217"/>
      <c r="P283" s="217"/>
      <c r="Q283" s="217"/>
      <c r="R283" s="217"/>
      <c r="S283" s="217"/>
      <c r="T283" s="213"/>
    </row>
    <row r="284" spans="1:20" ht="17.25" customHeight="1">
      <c r="A284" s="213"/>
      <c r="B284" s="55"/>
      <c r="C284" s="55"/>
      <c r="D284" s="55"/>
      <c r="E284" s="213"/>
      <c r="F284" s="213"/>
      <c r="G284" s="213"/>
      <c r="H284" s="213"/>
      <c r="I284" s="213"/>
      <c r="J284" s="213"/>
      <c r="K284" s="217"/>
      <c r="L284" s="217"/>
      <c r="M284" s="217"/>
      <c r="N284" s="217"/>
      <c r="O284" s="217"/>
      <c r="P284" s="217"/>
      <c r="Q284" s="217"/>
      <c r="R284" s="217"/>
      <c r="S284" s="217"/>
      <c r="T284" s="213"/>
    </row>
    <row r="285" spans="1:20" ht="17.25" customHeight="1">
      <c r="A285" s="213"/>
      <c r="B285" s="55"/>
      <c r="C285" s="55"/>
      <c r="D285" s="55"/>
      <c r="E285" s="213"/>
      <c r="F285" s="213"/>
      <c r="G285" s="213"/>
      <c r="H285" s="213"/>
      <c r="I285" s="213"/>
      <c r="J285" s="213"/>
      <c r="K285" s="217"/>
      <c r="L285" s="217"/>
      <c r="M285" s="217"/>
      <c r="N285" s="217"/>
      <c r="O285" s="217"/>
      <c r="P285" s="217"/>
      <c r="Q285" s="217"/>
      <c r="R285" s="217"/>
      <c r="S285" s="217"/>
      <c r="T285" s="213"/>
    </row>
  </sheetData>
  <mergeCells count="14">
    <mergeCell ref="B1:D1"/>
    <mergeCell ref="E1:G1"/>
    <mergeCell ref="N3:P3"/>
    <mergeCell ref="N4:P4"/>
    <mergeCell ref="N5:P5"/>
    <mergeCell ref="N2:S2"/>
    <mergeCell ref="Y10:Z10"/>
    <mergeCell ref="AA10:AB10"/>
    <mergeCell ref="U9:AB9"/>
    <mergeCell ref="O6:P6"/>
    <mergeCell ref="O7:P7"/>
    <mergeCell ref="W10:X10"/>
    <mergeCell ref="U10:U11"/>
    <mergeCell ref="V10:V11"/>
  </mergeCells>
  <conditionalFormatting sqref="B2:D285">
    <cfRule type="expression" dxfId="1" priority="2">
      <formula>(B2=392)</formula>
    </cfRule>
  </conditionalFormatting>
  <conditionalFormatting sqref="T2:T11 T268:T285">
    <cfRule type="expression" dxfId="0" priority="1">
      <formula>T2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5123" r:id="rId4" name="cbReset"/>
    <control shapeId="5126" r:id="rId5" name="cbModeOn"/>
    <control shapeId="5127" r:id="rId6" name="cbMeas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EVB CCT Cal</vt:lpstr>
      <vt:lpstr>Monitor Cal</vt:lpstr>
      <vt:lpstr>Simple</vt:lpstr>
      <vt:lpstr>pink noise</vt:lpstr>
      <vt:lpstr>AVG</vt:lpstr>
      <vt:lpstr>Bcomp</vt:lpstr>
      <vt:lpstr>Blue</vt:lpstr>
      <vt:lpstr>Bratio</vt:lpstr>
      <vt:lpstr>Btarget</vt:lpstr>
      <vt:lpstr>cmpA0</vt:lpstr>
      <vt:lpstr>cmpAN</vt:lpstr>
      <vt:lpstr>cmpCWF0</vt:lpstr>
      <vt:lpstr>cmpCWFN</vt:lpstr>
      <vt:lpstr>cmpSet</vt:lpstr>
      <vt:lpstr>cmpTest</vt:lpstr>
      <vt:lpstr>cmpThres</vt:lpstr>
      <vt:lpstr>code000</vt:lpstr>
      <vt:lpstr>code001</vt:lpstr>
      <vt:lpstr>code002</vt:lpstr>
      <vt:lpstr>code003</vt:lpstr>
      <vt:lpstr>code010</vt:lpstr>
      <vt:lpstr>code011</vt:lpstr>
      <vt:lpstr>code012</vt:lpstr>
      <vt:lpstr>code013</vt:lpstr>
      <vt:lpstr>code020</vt:lpstr>
      <vt:lpstr>code021</vt:lpstr>
      <vt:lpstr>code022</vt:lpstr>
      <vt:lpstr>code023</vt:lpstr>
      <vt:lpstr>code100</vt:lpstr>
      <vt:lpstr>code101</vt:lpstr>
      <vt:lpstr>code102</vt:lpstr>
      <vt:lpstr>code103</vt:lpstr>
      <vt:lpstr>code110</vt:lpstr>
      <vt:lpstr>code111</vt:lpstr>
      <vt:lpstr>code112</vt:lpstr>
      <vt:lpstr>code113</vt:lpstr>
      <vt:lpstr>code120</vt:lpstr>
      <vt:lpstr>code121</vt:lpstr>
      <vt:lpstr>code122</vt:lpstr>
      <vt:lpstr>code123</vt:lpstr>
      <vt:lpstr>code200</vt:lpstr>
      <vt:lpstr>code201</vt:lpstr>
      <vt:lpstr>code202</vt:lpstr>
      <vt:lpstr>code203</vt:lpstr>
      <vt:lpstr>code210</vt:lpstr>
      <vt:lpstr>code211</vt:lpstr>
      <vt:lpstr>code212</vt:lpstr>
      <vt:lpstr>code213</vt:lpstr>
      <vt:lpstr>code220</vt:lpstr>
      <vt:lpstr>code221</vt:lpstr>
      <vt:lpstr>code222</vt:lpstr>
      <vt:lpstr>code223</vt:lpstr>
      <vt:lpstr>Gain</vt:lpstr>
      <vt:lpstr>Green</vt:lpstr>
      <vt:lpstr>HI</vt:lpstr>
      <vt:lpstr>HS</vt:lpstr>
      <vt:lpstr>LO</vt:lpstr>
      <vt:lpstr>RangeList</vt:lpstr>
      <vt:lpstr>Ratio</vt:lpstr>
      <vt:lpstr>Rcomp</vt:lpstr>
      <vt:lpstr>Red</vt:lpstr>
      <vt:lpstr>RGBdata</vt:lpstr>
      <vt:lpstr>Rratio</vt:lpstr>
      <vt:lpstr>Rtarget</vt:lpstr>
      <vt:lpstr>setData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2014-04-15T02:33:46Z</dcterms:created>
  <dcterms:modified xsi:type="dcterms:W3CDTF">2015-01-13T19:16:11Z</dcterms:modified>
</cp:coreProperties>
</file>