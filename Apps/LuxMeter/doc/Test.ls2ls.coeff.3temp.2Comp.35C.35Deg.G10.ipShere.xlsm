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23730" windowHeight="8010"/>
  </bookViews>
  <sheets>
    <sheet name="Summary" sheetId="1" r:id="rId1"/>
    <sheet name="Calculations" sheetId="6" r:id="rId2"/>
    <sheet name="data0" sheetId="2" r:id="rId3"/>
    <sheet name="data1" sheetId="4" r:id="rId4"/>
    <sheet name="data2" sheetId="5" r:id="rId5"/>
  </sheets>
  <functionGroups/>
  <calcPr calcId="125725"/>
</workbook>
</file>

<file path=xl/calcChain.xml><?xml version="1.0" encoding="utf-8"?>
<calcChain xmlns="http://schemas.openxmlformats.org/spreadsheetml/2006/main">
  <c r="AW117" i="6"/>
  <c r="AV117"/>
  <c r="AV501" s="1"/>
  <c r="AG18" i="5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8" i="4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8" i="2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" i="4"/>
  <c r="AW125" i="6" l="1"/>
  <c r="AW153"/>
  <c r="AW120"/>
  <c r="AW122"/>
  <c r="AW124"/>
  <c r="AW126"/>
  <c r="AW128"/>
  <c r="AW130"/>
  <c r="AW132"/>
  <c r="AW134"/>
  <c r="AW136"/>
  <c r="AW138"/>
  <c r="AW140"/>
  <c r="AW142"/>
  <c r="AW144"/>
  <c r="AW146"/>
  <c r="AW148"/>
  <c r="AW150"/>
  <c r="AW152"/>
  <c r="AW154"/>
  <c r="AW156"/>
  <c r="AW158"/>
  <c r="AW160"/>
  <c r="AW162"/>
  <c r="AW164"/>
  <c r="AW166"/>
  <c r="AW168"/>
  <c r="AW170"/>
  <c r="AW172"/>
  <c r="AW174"/>
  <c r="AW176"/>
  <c r="AW178"/>
  <c r="AW180"/>
  <c r="AW182"/>
  <c r="AW184"/>
  <c r="AW186"/>
  <c r="AW188"/>
  <c r="AW190"/>
  <c r="AW192"/>
  <c r="AW194"/>
  <c r="AW196"/>
  <c r="AW198"/>
  <c r="AW200"/>
  <c r="AW202"/>
  <c r="AW204"/>
  <c r="AW206"/>
  <c r="AW208"/>
  <c r="AW210"/>
  <c r="AW212"/>
  <c r="AW214"/>
  <c r="AW216"/>
  <c r="AW218"/>
  <c r="AW220"/>
  <c r="AW222"/>
  <c r="AW224"/>
  <c r="AW226"/>
  <c r="AW228"/>
  <c r="AW230"/>
  <c r="AW232"/>
  <c r="AW234"/>
  <c r="AW236"/>
  <c r="AW238"/>
  <c r="AW240"/>
  <c r="AW242"/>
  <c r="AW244"/>
  <c r="AW246"/>
  <c r="AW248"/>
  <c r="AW250"/>
  <c r="AW252"/>
  <c r="AW254"/>
  <c r="AW256"/>
  <c r="AW258"/>
  <c r="AW260"/>
  <c r="AW262"/>
  <c r="AW264"/>
  <c r="AW266"/>
  <c r="AW268"/>
  <c r="AW270"/>
  <c r="AW272"/>
  <c r="AW274"/>
  <c r="AW276"/>
  <c r="AW278"/>
  <c r="AW280"/>
  <c r="AW282"/>
  <c r="AW284"/>
  <c r="AW286"/>
  <c r="AW288"/>
  <c r="AW290"/>
  <c r="AW292"/>
  <c r="AW294"/>
  <c r="AW296"/>
  <c r="AW298"/>
  <c r="AW300"/>
  <c r="AW302"/>
  <c r="AW304"/>
  <c r="AW306"/>
  <c r="AW308"/>
  <c r="AW310"/>
  <c r="AW312"/>
  <c r="AW314"/>
  <c r="AW316"/>
  <c r="AW318"/>
  <c r="AW320"/>
  <c r="AW322"/>
  <c r="AW324"/>
  <c r="AW326"/>
  <c r="AW328"/>
  <c r="AW330"/>
  <c r="AW332"/>
  <c r="AW334"/>
  <c r="AW336"/>
  <c r="AW338"/>
  <c r="AW340"/>
  <c r="AW342"/>
  <c r="AW344"/>
  <c r="AW346"/>
  <c r="AW348"/>
  <c r="AW350"/>
  <c r="AW352"/>
  <c r="AW354"/>
  <c r="AW356"/>
  <c r="AW358"/>
  <c r="AW360"/>
  <c r="AW362"/>
  <c r="AW364"/>
  <c r="AW366"/>
  <c r="AW368"/>
  <c r="AW370"/>
  <c r="AW372"/>
  <c r="AW374"/>
  <c r="AW376"/>
  <c r="AW378"/>
  <c r="AW380"/>
  <c r="AW382"/>
  <c r="AW384"/>
  <c r="AW386"/>
  <c r="AW388"/>
  <c r="AW390"/>
  <c r="AW392"/>
  <c r="AW394"/>
  <c r="AW396"/>
  <c r="AW398"/>
  <c r="AW400"/>
  <c r="AW402"/>
  <c r="AW404"/>
  <c r="AW406"/>
  <c r="AW408"/>
  <c r="AW410"/>
  <c r="AW412"/>
  <c r="AW414"/>
  <c r="AW416"/>
  <c r="AW418"/>
  <c r="AW420"/>
  <c r="AW422"/>
  <c r="AW424"/>
  <c r="AW426"/>
  <c r="AW428"/>
  <c r="AW430"/>
  <c r="AW432"/>
  <c r="AW434"/>
  <c r="AW436"/>
  <c r="AW438"/>
  <c r="AW440"/>
  <c r="AW442"/>
  <c r="AW444"/>
  <c r="AW446"/>
  <c r="AW448"/>
  <c r="AW450"/>
  <c r="AW452"/>
  <c r="AW454"/>
  <c r="AW456"/>
  <c r="AW458"/>
  <c r="AW460"/>
  <c r="AW462"/>
  <c r="AW464"/>
  <c r="AW466"/>
  <c r="AW468"/>
  <c r="AW470"/>
  <c r="AW472"/>
  <c r="AW474"/>
  <c r="AW476"/>
  <c r="AW478"/>
  <c r="AW480"/>
  <c r="AW482"/>
  <c r="AW484"/>
  <c r="AW486"/>
  <c r="AW488"/>
  <c r="AW490"/>
  <c r="AW492"/>
  <c r="AW494"/>
  <c r="AW496"/>
  <c r="AW498"/>
  <c r="AW500"/>
  <c r="AW502"/>
  <c r="AV120"/>
  <c r="AV122"/>
  <c r="AV124"/>
  <c r="AV126"/>
  <c r="AV128"/>
  <c r="AV130"/>
  <c r="AV132"/>
  <c r="AV134"/>
  <c r="AV136"/>
  <c r="AV138"/>
  <c r="AV140"/>
  <c r="AV142"/>
  <c r="AV144"/>
  <c r="AV146"/>
  <c r="AV148"/>
  <c r="AV150"/>
  <c r="AV152"/>
  <c r="AV154"/>
  <c r="AV156"/>
  <c r="AV158"/>
  <c r="AV160"/>
  <c r="AV162"/>
  <c r="AV164"/>
  <c r="AV166"/>
  <c r="AV168"/>
  <c r="AV170"/>
  <c r="AV172"/>
  <c r="AV174"/>
  <c r="AV176"/>
  <c r="AV178"/>
  <c r="AV180"/>
  <c r="AV182"/>
  <c r="AV184"/>
  <c r="AV186"/>
  <c r="AV188"/>
  <c r="AV190"/>
  <c r="AV192"/>
  <c r="AV194"/>
  <c r="AV196"/>
  <c r="AV198"/>
  <c r="AV200"/>
  <c r="AV202"/>
  <c r="AV204"/>
  <c r="AV206"/>
  <c r="AV208"/>
  <c r="AV210"/>
  <c r="AV212"/>
  <c r="AV214"/>
  <c r="AV216"/>
  <c r="AV218"/>
  <c r="AV220"/>
  <c r="AV222"/>
  <c r="AV224"/>
  <c r="AV226"/>
  <c r="AV228"/>
  <c r="AV230"/>
  <c r="AV232"/>
  <c r="AV234"/>
  <c r="AV236"/>
  <c r="AV238"/>
  <c r="AV240"/>
  <c r="AV242"/>
  <c r="AV244"/>
  <c r="AV246"/>
  <c r="AV248"/>
  <c r="AV250"/>
  <c r="AV252"/>
  <c r="AV254"/>
  <c r="AV256"/>
  <c r="AV258"/>
  <c r="AV260"/>
  <c r="AV262"/>
  <c r="AV264"/>
  <c r="AV266"/>
  <c r="AV268"/>
  <c r="AV270"/>
  <c r="AV272"/>
  <c r="AV274"/>
  <c r="AV276"/>
  <c r="AV278"/>
  <c r="AV280"/>
  <c r="AV282"/>
  <c r="AV284"/>
  <c r="AV286"/>
  <c r="AV288"/>
  <c r="AV290"/>
  <c r="AV292"/>
  <c r="AV294"/>
  <c r="AV296"/>
  <c r="AV298"/>
  <c r="AV300"/>
  <c r="AV302"/>
  <c r="AV304"/>
  <c r="AV306"/>
  <c r="AV308"/>
  <c r="AV310"/>
  <c r="AV312"/>
  <c r="AV314"/>
  <c r="AV316"/>
  <c r="AV318"/>
  <c r="AV320"/>
  <c r="AV322"/>
  <c r="AV324"/>
  <c r="AV326"/>
  <c r="AV328"/>
  <c r="AV330"/>
  <c r="AV332"/>
  <c r="AV334"/>
  <c r="AV336"/>
  <c r="AV338"/>
  <c r="AV340"/>
  <c r="AV342"/>
  <c r="AV344"/>
  <c r="AV346"/>
  <c r="AV348"/>
  <c r="AV350"/>
  <c r="AV352"/>
  <c r="AV354"/>
  <c r="AV356"/>
  <c r="AV358"/>
  <c r="AV360"/>
  <c r="AV362"/>
  <c r="AV364"/>
  <c r="AV366"/>
  <c r="AV368"/>
  <c r="AV370"/>
  <c r="AV372"/>
  <c r="AV374"/>
  <c r="AV376"/>
  <c r="AV378"/>
  <c r="AV380"/>
  <c r="AV382"/>
  <c r="AV384"/>
  <c r="AV386"/>
  <c r="AV388"/>
  <c r="AV390"/>
  <c r="AV392"/>
  <c r="AV394"/>
  <c r="AV396"/>
  <c r="AV398"/>
  <c r="AV400"/>
  <c r="AV402"/>
  <c r="AV404"/>
  <c r="AV406"/>
  <c r="AV408"/>
  <c r="AV410"/>
  <c r="AV412"/>
  <c r="AV414"/>
  <c r="AV416"/>
  <c r="AV418"/>
  <c r="AV420"/>
  <c r="AV422"/>
  <c r="AV424"/>
  <c r="AV426"/>
  <c r="AV428"/>
  <c r="AV430"/>
  <c r="AV432"/>
  <c r="AV434"/>
  <c r="AV436"/>
  <c r="AV438"/>
  <c r="AV440"/>
  <c r="AV442"/>
  <c r="AV444"/>
  <c r="AV446"/>
  <c r="AV448"/>
  <c r="AV450"/>
  <c r="AV452"/>
  <c r="AV454"/>
  <c r="AV456"/>
  <c r="AV458"/>
  <c r="AV460"/>
  <c r="AV462"/>
  <c r="AV464"/>
  <c r="AV466"/>
  <c r="AV468"/>
  <c r="AV470"/>
  <c r="AV472"/>
  <c r="AV474"/>
  <c r="AV476"/>
  <c r="AV478"/>
  <c r="AV480"/>
  <c r="AV482"/>
  <c r="AV484"/>
  <c r="AV486"/>
  <c r="AV488"/>
  <c r="AV490"/>
  <c r="AV492"/>
  <c r="AV494"/>
  <c r="AV496"/>
  <c r="AV498"/>
  <c r="AV500"/>
  <c r="AV502"/>
  <c r="AW121"/>
  <c r="AW123"/>
  <c r="AW129"/>
  <c r="AW131"/>
  <c r="AW133"/>
  <c r="AW135"/>
  <c r="AW137"/>
  <c r="AW139"/>
  <c r="AW141"/>
  <c r="AW143"/>
  <c r="AW145"/>
  <c r="AW147"/>
  <c r="AW151"/>
  <c r="AW155"/>
  <c r="AW157"/>
  <c r="AW159"/>
  <c r="AW161"/>
  <c r="AW163"/>
  <c r="AW165"/>
  <c r="AW167"/>
  <c r="AW169"/>
  <c r="AW171"/>
  <c r="AW173"/>
  <c r="AW175"/>
  <c r="AW177"/>
  <c r="AW179"/>
  <c r="AW181"/>
  <c r="AW183"/>
  <c r="AW185"/>
  <c r="AW187"/>
  <c r="AW189"/>
  <c r="AW191"/>
  <c r="AW193"/>
  <c r="AW195"/>
  <c r="AW197"/>
  <c r="AW199"/>
  <c r="AW201"/>
  <c r="AW203"/>
  <c r="AW205"/>
  <c r="AW207"/>
  <c r="AW209"/>
  <c r="AW211"/>
  <c r="AW213"/>
  <c r="AW215"/>
  <c r="AW217"/>
  <c r="AW219"/>
  <c r="AW221"/>
  <c r="AW223"/>
  <c r="AW225"/>
  <c r="AW227"/>
  <c r="AW229"/>
  <c r="AW231"/>
  <c r="AW233"/>
  <c r="AW235"/>
  <c r="AW237"/>
  <c r="AW239"/>
  <c r="AW241"/>
  <c r="AW243"/>
  <c r="AW245"/>
  <c r="AW247"/>
  <c r="AW249"/>
  <c r="AW251"/>
  <c r="AW253"/>
  <c r="AW255"/>
  <c r="AW257"/>
  <c r="AW259"/>
  <c r="AW261"/>
  <c r="AW263"/>
  <c r="AW265"/>
  <c r="AW267"/>
  <c r="AW269"/>
  <c r="AW271"/>
  <c r="AW273"/>
  <c r="AW275"/>
  <c r="AW277"/>
  <c r="AW279"/>
  <c r="AW281"/>
  <c r="AW283"/>
  <c r="AW285"/>
  <c r="AW287"/>
  <c r="AW289"/>
  <c r="AW291"/>
  <c r="AW293"/>
  <c r="AW295"/>
  <c r="AW297"/>
  <c r="AW299"/>
  <c r="AW301"/>
  <c r="AW303"/>
  <c r="AW305"/>
  <c r="AW307"/>
  <c r="AW309"/>
  <c r="AW311"/>
  <c r="AW313"/>
  <c r="AW315"/>
  <c r="AW317"/>
  <c r="AW319"/>
  <c r="AW321"/>
  <c r="AW323"/>
  <c r="AW325"/>
  <c r="AW327"/>
  <c r="AW329"/>
  <c r="AW331"/>
  <c r="AW333"/>
  <c r="AW335"/>
  <c r="AW337"/>
  <c r="AW339"/>
  <c r="AW341"/>
  <c r="AW343"/>
  <c r="AW345"/>
  <c r="AW347"/>
  <c r="AW349"/>
  <c r="AW351"/>
  <c r="AW353"/>
  <c r="AW355"/>
  <c r="AW357"/>
  <c r="AW359"/>
  <c r="AW361"/>
  <c r="AW363"/>
  <c r="AW365"/>
  <c r="AW367"/>
  <c r="AW369"/>
  <c r="AW371"/>
  <c r="AW373"/>
  <c r="AW375"/>
  <c r="AW377"/>
  <c r="AW379"/>
  <c r="AW381"/>
  <c r="AW383"/>
  <c r="AW385"/>
  <c r="AW387"/>
  <c r="AW389"/>
  <c r="AW391"/>
  <c r="AW393"/>
  <c r="AW395"/>
  <c r="AW397"/>
  <c r="AW399"/>
  <c r="AW401"/>
  <c r="AW403"/>
  <c r="AW405"/>
  <c r="AW407"/>
  <c r="AW409"/>
  <c r="AW411"/>
  <c r="AW413"/>
  <c r="AW415"/>
  <c r="AW417"/>
  <c r="AW419"/>
  <c r="AW421"/>
  <c r="AW423"/>
  <c r="AW425"/>
  <c r="AW427"/>
  <c r="AW429"/>
  <c r="AW431"/>
  <c r="AW433"/>
  <c r="AW435"/>
  <c r="AW437"/>
  <c r="AW439"/>
  <c r="AW441"/>
  <c r="AW443"/>
  <c r="AW445"/>
  <c r="AW447"/>
  <c r="AW449"/>
  <c r="AW451"/>
  <c r="AW453"/>
  <c r="AW455"/>
  <c r="AW457"/>
  <c r="AW459"/>
  <c r="AW461"/>
  <c r="AW463"/>
  <c r="AW465"/>
  <c r="AW467"/>
  <c r="AW469"/>
  <c r="AW471"/>
  <c r="AW473"/>
  <c r="AW475"/>
  <c r="AW477"/>
  <c r="AW479"/>
  <c r="AW481"/>
  <c r="AW483"/>
  <c r="AW485"/>
  <c r="AW487"/>
  <c r="AW489"/>
  <c r="AW491"/>
  <c r="AW493"/>
  <c r="AW495"/>
  <c r="AW497"/>
  <c r="AW499"/>
  <c r="AW501"/>
  <c r="AW119"/>
  <c r="AW127"/>
  <c r="AW149"/>
  <c r="AV119"/>
  <c r="AV121"/>
  <c r="AV123"/>
  <c r="AV125"/>
  <c r="AV127"/>
  <c r="AV129"/>
  <c r="AV131"/>
  <c r="AV133"/>
  <c r="AV135"/>
  <c r="AV137"/>
  <c r="AV139"/>
  <c r="AV141"/>
  <c r="AV143"/>
  <c r="AV145"/>
  <c r="AV147"/>
  <c r="AV149"/>
  <c r="AV151"/>
  <c r="AV153"/>
  <c r="AV155"/>
  <c r="AV157"/>
  <c r="AV159"/>
  <c r="AV161"/>
  <c r="AV163"/>
  <c r="AV165"/>
  <c r="AV167"/>
  <c r="AV169"/>
  <c r="AV171"/>
  <c r="AV173"/>
  <c r="AV175"/>
  <c r="AV177"/>
  <c r="AV179"/>
  <c r="AV181"/>
  <c r="AV183"/>
  <c r="AV185"/>
  <c r="AV187"/>
  <c r="AV189"/>
  <c r="AV191"/>
  <c r="AV193"/>
  <c r="AV195"/>
  <c r="AV197"/>
  <c r="AV199"/>
  <c r="AV201"/>
  <c r="AV203"/>
  <c r="AV205"/>
  <c r="AV207"/>
  <c r="AV209"/>
  <c r="AV211"/>
  <c r="AV213"/>
  <c r="AV215"/>
  <c r="AV217"/>
  <c r="AV219"/>
  <c r="AV221"/>
  <c r="AV223"/>
  <c r="AV225"/>
  <c r="AV227"/>
  <c r="AV229"/>
  <c r="AV231"/>
  <c r="AV233"/>
  <c r="AV235"/>
  <c r="AV237"/>
  <c r="AV239"/>
  <c r="AV241"/>
  <c r="AV243"/>
  <c r="AV245"/>
  <c r="AV247"/>
  <c r="AV249"/>
  <c r="AV251"/>
  <c r="AV253"/>
  <c r="AV255"/>
  <c r="AV257"/>
  <c r="AV259"/>
  <c r="AV261"/>
  <c r="AV263"/>
  <c r="AV265"/>
  <c r="AV267"/>
  <c r="AV269"/>
  <c r="AV271"/>
  <c r="AV273"/>
  <c r="AV275"/>
  <c r="AV277"/>
  <c r="AV279"/>
  <c r="AV281"/>
  <c r="AV283"/>
  <c r="AV285"/>
  <c r="AV287"/>
  <c r="AV289"/>
  <c r="AV291"/>
  <c r="AV293"/>
  <c r="AV295"/>
  <c r="AV297"/>
  <c r="AV299"/>
  <c r="AV301"/>
  <c r="AV303"/>
  <c r="AV305"/>
  <c r="AV307"/>
  <c r="AV309"/>
  <c r="AV311"/>
  <c r="AV313"/>
  <c r="AV315"/>
  <c r="AV317"/>
  <c r="AV319"/>
  <c r="AV321"/>
  <c r="AV323"/>
  <c r="AV325"/>
  <c r="AV327"/>
  <c r="AV329"/>
  <c r="AV331"/>
  <c r="AV333"/>
  <c r="AV335"/>
  <c r="AV337"/>
  <c r="AV339"/>
  <c r="AV341"/>
  <c r="AV343"/>
  <c r="AV345"/>
  <c r="AV347"/>
  <c r="AV349"/>
  <c r="AV351"/>
  <c r="AV353"/>
  <c r="AV355"/>
  <c r="AV357"/>
  <c r="AV359"/>
  <c r="AV361"/>
  <c r="AV363"/>
  <c r="AV365"/>
  <c r="AV367"/>
  <c r="AV369"/>
  <c r="AV371"/>
  <c r="AV373"/>
  <c r="AV375"/>
  <c r="AV377"/>
  <c r="AV379"/>
  <c r="AV381"/>
  <c r="AV383"/>
  <c r="AV385"/>
  <c r="AV387"/>
  <c r="AV389"/>
  <c r="AV391"/>
  <c r="AV393"/>
  <c r="AV395"/>
  <c r="AV397"/>
  <c r="AV399"/>
  <c r="AV401"/>
  <c r="AV403"/>
  <c r="AV405"/>
  <c r="AV407"/>
  <c r="AV409"/>
  <c r="AV411"/>
  <c r="AV413"/>
  <c r="AV415"/>
  <c r="AV417"/>
  <c r="AV419"/>
  <c r="AV421"/>
  <c r="AV423"/>
  <c r="AV425"/>
  <c r="AV427"/>
  <c r="AV429"/>
  <c r="AV431"/>
  <c r="AV433"/>
  <c r="AV435"/>
  <c r="AV437"/>
  <c r="AV439"/>
  <c r="AV441"/>
  <c r="AV443"/>
  <c r="AV445"/>
  <c r="AV447"/>
  <c r="AV449"/>
  <c r="AV451"/>
  <c r="AV453"/>
  <c r="AV455"/>
  <c r="AV457"/>
  <c r="AV459"/>
  <c r="AV461"/>
  <c r="AV463"/>
  <c r="AV465"/>
  <c r="AV467"/>
  <c r="AV469"/>
  <c r="AV471"/>
  <c r="AV473"/>
  <c r="AV475"/>
  <c r="AV477"/>
  <c r="AV479"/>
  <c r="AV481"/>
  <c r="AV483"/>
  <c r="AV485"/>
  <c r="AV487"/>
  <c r="AV489"/>
  <c r="AV491"/>
  <c r="AV493"/>
  <c r="AV495"/>
  <c r="AV497"/>
  <c r="AV499"/>
  <c r="D6" i="1"/>
  <c r="D5"/>
  <c r="D4"/>
  <c r="AR89" i="6"/>
  <c r="AR24"/>
  <c r="F9" i="1"/>
  <c r="H9" s="1"/>
  <c r="E9"/>
  <c r="G9" s="1"/>
  <c r="B94" i="6"/>
  <c r="B93"/>
  <c r="B88"/>
  <c r="B87"/>
  <c r="B29"/>
  <c r="B28"/>
  <c r="B46"/>
  <c r="B48" s="1"/>
  <c r="B45"/>
  <c r="B47" s="1"/>
  <c r="B108" l="1"/>
  <c r="B83"/>
  <c r="B62"/>
  <c r="B18"/>
  <c r="B31" l="1"/>
  <c r="B35" s="1"/>
  <c r="B39" s="1"/>
  <c r="B24"/>
  <c r="B9"/>
  <c r="AX119"/>
  <c r="AX120" s="1"/>
  <c r="AX121" s="1"/>
  <c r="AX122" s="1"/>
  <c r="AX123" s="1"/>
  <c r="E6" i="1"/>
  <c r="E5"/>
  <c r="E4"/>
  <c r="B112" i="6"/>
  <c r="B99"/>
  <c r="B109" s="1"/>
  <c r="B12" l="1"/>
  <c r="B19"/>
  <c r="B26"/>
  <c r="B33"/>
  <c r="B37" s="1"/>
  <c r="B41" s="1"/>
  <c r="B25"/>
  <c r="B32"/>
  <c r="B36" s="1"/>
  <c r="B40" s="1"/>
  <c r="F6" i="1"/>
  <c r="F5"/>
  <c r="F4"/>
  <c r="B113" i="6"/>
  <c r="B102"/>
  <c r="B110" s="1"/>
  <c r="B15" l="1"/>
  <c r="B20"/>
  <c r="B114"/>
  <c r="B105"/>
  <c r="B89"/>
  <c r="B74"/>
  <c r="B84" s="1"/>
  <c r="B115" l="1"/>
  <c r="B111"/>
  <c r="B34"/>
  <c r="B38" s="1"/>
  <c r="B42" s="1"/>
  <c r="B21"/>
  <c r="B27"/>
  <c r="B90"/>
  <c r="B77"/>
  <c r="B85" s="1"/>
  <c r="B91" l="1"/>
  <c r="B80"/>
  <c r="B92" l="1"/>
  <c r="B86"/>
  <c r="B66"/>
  <c r="C118"/>
  <c r="B118"/>
  <c r="B53"/>
  <c r="B24" i="5"/>
  <c r="B26" s="1"/>
  <c r="B28" s="1"/>
  <c r="A24"/>
  <c r="A26" s="1"/>
  <c r="A28" s="1"/>
  <c r="B23"/>
  <c r="B25" s="1"/>
  <c r="B27" s="1"/>
  <c r="A23"/>
  <c r="A25" s="1"/>
  <c r="A27" s="1"/>
  <c r="D20"/>
  <c r="C20"/>
  <c r="A19"/>
  <c r="B24" i="4"/>
  <c r="B26" s="1"/>
  <c r="B28" s="1"/>
  <c r="A24"/>
  <c r="A26" s="1"/>
  <c r="A28" s="1"/>
  <c r="B23"/>
  <c r="B25" s="1"/>
  <c r="B27" s="1"/>
  <c r="A23"/>
  <c r="A25" s="1"/>
  <c r="A27" s="1"/>
  <c r="D20"/>
  <c r="C20"/>
  <c r="A19"/>
  <c r="AO4" i="6"/>
  <c r="AI19" i="5" s="1"/>
  <c r="AN4" i="6"/>
  <c r="AH19" i="2" s="1"/>
  <c r="AM4" i="6"/>
  <c r="AG19" i="2" s="1"/>
  <c r="AL4" i="6"/>
  <c r="AF19" i="4" s="1"/>
  <c r="AK4" i="6"/>
  <c r="AE19" i="5" s="1"/>
  <c r="AJ4" i="6"/>
  <c r="AD19" i="5" s="1"/>
  <c r="AI4" i="6"/>
  <c r="AC19" i="4" s="1"/>
  <c r="AH4" i="6"/>
  <c r="AB19" i="4" s="1"/>
  <c r="AG4" i="6"/>
  <c r="AA19" i="5" s="1"/>
  <c r="AF4" i="6"/>
  <c r="Z19" i="5" s="1"/>
  <c r="AE4" i="6"/>
  <c r="Y19" i="4" s="1"/>
  <c r="AD4" i="6"/>
  <c r="X19" i="4" s="1"/>
  <c r="AC4" i="6"/>
  <c r="W19" i="5" s="1"/>
  <c r="AB4" i="6"/>
  <c r="V19" i="5" s="1"/>
  <c r="AA4" i="6"/>
  <c r="U19" i="4" s="1"/>
  <c r="Z4" i="6"/>
  <c r="T19" i="4" s="1"/>
  <c r="Y4" i="6"/>
  <c r="S19" i="2" s="1"/>
  <c r="X4" i="6"/>
  <c r="R19" i="5" s="1"/>
  <c r="W4" i="6"/>
  <c r="Q19" i="4" s="1"/>
  <c r="V4" i="6"/>
  <c r="P19" i="4" s="1"/>
  <c r="U4" i="6"/>
  <c r="O19" i="5" s="1"/>
  <c r="T4" i="6"/>
  <c r="N19" i="5" s="1"/>
  <c r="S4" i="6"/>
  <c r="M19" i="4" s="1"/>
  <c r="R4" i="6"/>
  <c r="L19" i="4" s="1"/>
  <c r="Q4" i="6"/>
  <c r="K19" i="5" s="1"/>
  <c r="P4" i="6"/>
  <c r="J19" i="5" s="1"/>
  <c r="O4" i="6"/>
  <c r="I19" i="4" s="1"/>
  <c r="N4" i="6"/>
  <c r="H19" i="4" s="1"/>
  <c r="M4" i="6"/>
  <c r="G19" i="5" s="1"/>
  <c r="L4" i="6"/>
  <c r="F19" i="5" s="1"/>
  <c r="K4" i="6"/>
  <c r="E19" i="4" s="1"/>
  <c r="J4" i="6"/>
  <c r="D19" i="4" s="1"/>
  <c r="A19" i="2"/>
  <c r="H19"/>
  <c r="E19"/>
  <c r="D20"/>
  <c r="J2" i="6" s="1"/>
  <c r="B24" i="2"/>
  <c r="B26" s="1"/>
  <c r="B28" s="1"/>
  <c r="A24"/>
  <c r="A26" s="1"/>
  <c r="A28" s="1"/>
  <c r="B23"/>
  <c r="B25" s="1"/>
  <c r="B27" s="1"/>
  <c r="A23"/>
  <c r="A25" s="1"/>
  <c r="A27" s="1"/>
  <c r="C20"/>
  <c r="Z19" l="1"/>
  <c r="B56" i="6"/>
  <c r="B63"/>
  <c r="AA19" i="2"/>
  <c r="K19"/>
  <c r="X19"/>
  <c r="T19"/>
  <c r="AB19"/>
  <c r="AI19"/>
  <c r="Q19"/>
  <c r="W19"/>
  <c r="L19"/>
  <c r="AE19"/>
  <c r="B68" i="6"/>
  <c r="B67"/>
  <c r="G19" i="2"/>
  <c r="AF19"/>
  <c r="D19"/>
  <c r="P19"/>
  <c r="AD19"/>
  <c r="I19"/>
  <c r="O19"/>
  <c r="M19"/>
  <c r="V19"/>
  <c r="F19"/>
  <c r="J19"/>
  <c r="N19"/>
  <c r="R19"/>
  <c r="U19"/>
  <c r="Y19"/>
  <c r="AC19"/>
  <c r="G19" i="4"/>
  <c r="K19"/>
  <c r="O19"/>
  <c r="S19"/>
  <c r="W19"/>
  <c r="AA19"/>
  <c r="AE19"/>
  <c r="AI19"/>
  <c r="E19" i="5"/>
  <c r="I19"/>
  <c r="M19"/>
  <c r="Q19"/>
  <c r="U19"/>
  <c r="Y19"/>
  <c r="AC19"/>
  <c r="AG19"/>
  <c r="F19" i="4"/>
  <c r="J19"/>
  <c r="N19"/>
  <c r="R19"/>
  <c r="V19"/>
  <c r="Z19"/>
  <c r="AD19"/>
  <c r="AH19"/>
  <c r="D19" i="5"/>
  <c r="H19"/>
  <c r="L19"/>
  <c r="P19"/>
  <c r="T19"/>
  <c r="X19"/>
  <c r="AB19"/>
  <c r="AF19"/>
  <c r="AG19" i="4"/>
  <c r="S19" i="5"/>
  <c r="AH19"/>
  <c r="A125" i="6"/>
  <c r="A123"/>
  <c r="A119"/>
  <c r="B59" l="1"/>
  <c r="B64"/>
  <c r="AU215"/>
  <c r="AT215"/>
  <c r="AT311" s="1"/>
  <c r="AT407" s="1"/>
  <c r="B69" l="1"/>
  <c r="B65"/>
  <c r="AU311"/>
  <c r="A120"/>
  <c r="AU407" l="1"/>
  <c r="A122" s="1"/>
  <c r="A121"/>
  <c r="A124"/>
  <c r="AQ120" l="1"/>
  <c r="AQ121" s="1"/>
  <c r="AQ122" s="1"/>
  <c r="AQ123" s="1"/>
  <c r="AQ124" s="1"/>
  <c r="AQ125" s="1"/>
  <c r="AQ126" s="1"/>
  <c r="AQ127" s="1"/>
  <c r="AQ128" s="1"/>
  <c r="AQ129" s="1"/>
  <c r="AQ130" s="1"/>
  <c r="AQ131" s="1"/>
  <c r="AQ132" s="1"/>
  <c r="AQ133" s="1"/>
  <c r="AQ134" s="1"/>
  <c r="AQ135" s="1"/>
  <c r="AQ136" s="1"/>
  <c r="AQ137" s="1"/>
  <c r="AQ138" s="1"/>
  <c r="AQ139" s="1"/>
  <c r="AQ140" s="1"/>
  <c r="AQ141" s="1"/>
  <c r="AQ142" s="1"/>
  <c r="AQ143" s="1"/>
  <c r="AQ144" s="1"/>
  <c r="AQ145" s="1"/>
  <c r="AQ146" s="1"/>
  <c r="AQ147" s="1"/>
  <c r="AQ148" s="1"/>
  <c r="AQ149" s="1"/>
  <c r="AQ150" s="1"/>
  <c r="AQ151" s="1"/>
  <c r="AQ152" s="1"/>
  <c r="AQ153" s="1"/>
  <c r="AQ154" s="1"/>
  <c r="AQ155" s="1"/>
  <c r="AQ156" s="1"/>
  <c r="AQ157" s="1"/>
  <c r="AQ158" s="1"/>
  <c r="AQ159" s="1"/>
  <c r="AQ160" s="1"/>
  <c r="AQ161" s="1"/>
  <c r="AQ162" s="1"/>
  <c r="AQ163" s="1"/>
  <c r="AQ164" s="1"/>
  <c r="AQ165" s="1"/>
  <c r="AQ166" s="1"/>
  <c r="AQ167" s="1"/>
  <c r="AQ168" s="1"/>
  <c r="AQ169" s="1"/>
  <c r="AQ170" s="1"/>
  <c r="AQ171" s="1"/>
  <c r="AQ172" s="1"/>
  <c r="AQ173" s="1"/>
  <c r="AQ174" s="1"/>
  <c r="AQ175" s="1"/>
  <c r="AQ176" s="1"/>
  <c r="AQ177" s="1"/>
  <c r="AQ178" s="1"/>
  <c r="AQ179" s="1"/>
  <c r="AQ180" s="1"/>
  <c r="AQ181" s="1"/>
  <c r="AQ182" s="1"/>
  <c r="AQ183" s="1"/>
  <c r="AQ184" s="1"/>
  <c r="AQ185" s="1"/>
  <c r="AQ186" s="1"/>
  <c r="AQ187" s="1"/>
  <c r="AQ188" s="1"/>
  <c r="AQ189" s="1"/>
  <c r="AQ190" s="1"/>
  <c r="AQ191" s="1"/>
  <c r="AQ192" s="1"/>
  <c r="AQ193" s="1"/>
  <c r="AQ194" s="1"/>
  <c r="AQ195" s="1"/>
  <c r="AQ196" s="1"/>
  <c r="AQ197" s="1"/>
  <c r="AQ198" s="1"/>
  <c r="AQ199" s="1"/>
  <c r="AQ200" s="1"/>
  <c r="AQ201" s="1"/>
  <c r="AQ202" s="1"/>
  <c r="AQ203" s="1"/>
  <c r="AQ204" s="1"/>
  <c r="AQ205" s="1"/>
  <c r="AQ206" s="1"/>
  <c r="AQ207" s="1"/>
  <c r="AQ208" s="1"/>
  <c r="AQ209" s="1"/>
  <c r="AQ210" s="1"/>
  <c r="AQ211" s="1"/>
  <c r="AQ212" s="1"/>
  <c r="AQ213" s="1"/>
  <c r="AQ214" s="1"/>
  <c r="AQ215" s="1"/>
  <c r="AQ216" s="1"/>
  <c r="AQ217" s="1"/>
  <c r="AQ218" s="1"/>
  <c r="AQ219" s="1"/>
  <c r="AQ220" s="1"/>
  <c r="AQ221" s="1"/>
  <c r="AQ222" s="1"/>
  <c r="AQ223" s="1"/>
  <c r="AQ224" s="1"/>
  <c r="AQ225" s="1"/>
  <c r="AQ226" s="1"/>
  <c r="AQ227" s="1"/>
  <c r="AQ228" s="1"/>
  <c r="AQ229" s="1"/>
  <c r="AQ230" s="1"/>
  <c r="AQ231" s="1"/>
  <c r="AQ232" s="1"/>
  <c r="AQ233" s="1"/>
  <c r="AQ234" s="1"/>
  <c r="AQ235" s="1"/>
  <c r="AQ236" s="1"/>
  <c r="AQ237" s="1"/>
  <c r="AQ238" s="1"/>
  <c r="AQ239" s="1"/>
  <c r="AQ240" s="1"/>
  <c r="AQ241" s="1"/>
  <c r="AQ242" s="1"/>
  <c r="AQ243" s="1"/>
  <c r="AQ244" s="1"/>
  <c r="AQ245" s="1"/>
  <c r="AQ246" s="1"/>
  <c r="AQ247" s="1"/>
  <c r="AQ248" s="1"/>
  <c r="AQ249" s="1"/>
  <c r="AQ250" s="1"/>
  <c r="AQ251" s="1"/>
  <c r="AQ252" s="1"/>
  <c r="AQ253" s="1"/>
  <c r="AQ254" s="1"/>
  <c r="AQ255" s="1"/>
  <c r="AQ256" s="1"/>
  <c r="AQ257" s="1"/>
  <c r="AQ258" s="1"/>
  <c r="AQ259" s="1"/>
  <c r="AQ260" s="1"/>
  <c r="AQ261" s="1"/>
  <c r="AQ262" s="1"/>
  <c r="AQ263" s="1"/>
  <c r="AQ264" s="1"/>
  <c r="AQ265" s="1"/>
  <c r="AQ266" s="1"/>
  <c r="AQ267" s="1"/>
  <c r="AQ268" s="1"/>
  <c r="AQ269" s="1"/>
  <c r="AQ270" s="1"/>
  <c r="AQ271" s="1"/>
  <c r="AQ272" s="1"/>
  <c r="AQ273" s="1"/>
  <c r="AQ274" s="1"/>
  <c r="AQ275" s="1"/>
  <c r="AQ276" s="1"/>
  <c r="AQ277" s="1"/>
  <c r="AQ278" s="1"/>
  <c r="AQ279" s="1"/>
  <c r="AQ280" s="1"/>
  <c r="AQ281" s="1"/>
  <c r="AQ282" s="1"/>
  <c r="AQ283" s="1"/>
  <c r="AQ284" s="1"/>
  <c r="AQ285" s="1"/>
  <c r="AQ286" s="1"/>
  <c r="AQ287" s="1"/>
  <c r="AQ288" s="1"/>
  <c r="AQ289" s="1"/>
  <c r="AQ290" s="1"/>
  <c r="AQ291" s="1"/>
  <c r="AQ292" s="1"/>
  <c r="AQ293" s="1"/>
  <c r="AQ294" s="1"/>
  <c r="AQ295" s="1"/>
  <c r="AQ296" s="1"/>
  <c r="AQ297" s="1"/>
  <c r="AQ298" s="1"/>
  <c r="AQ299" s="1"/>
  <c r="AQ300" s="1"/>
  <c r="AQ301" s="1"/>
  <c r="AQ302" s="1"/>
  <c r="AQ303" s="1"/>
  <c r="AQ304" s="1"/>
  <c r="AQ305" s="1"/>
  <c r="AQ306" s="1"/>
  <c r="AQ307" s="1"/>
  <c r="AQ308" s="1"/>
  <c r="AQ309" s="1"/>
  <c r="AQ310" s="1"/>
  <c r="AQ311" s="1"/>
  <c r="AQ312" s="1"/>
  <c r="AQ313" s="1"/>
  <c r="AQ314" s="1"/>
  <c r="AQ315" s="1"/>
  <c r="AQ316" s="1"/>
  <c r="AQ317" s="1"/>
  <c r="AQ318" s="1"/>
  <c r="AQ319" s="1"/>
  <c r="AQ320" s="1"/>
  <c r="AQ321" s="1"/>
  <c r="AQ322" s="1"/>
  <c r="AQ323" s="1"/>
  <c r="AQ324" s="1"/>
  <c r="AQ325" s="1"/>
  <c r="AQ326" s="1"/>
  <c r="AQ327" s="1"/>
  <c r="AQ328" s="1"/>
  <c r="AQ329" s="1"/>
  <c r="AQ330" s="1"/>
  <c r="AQ331" s="1"/>
  <c r="AQ332" s="1"/>
  <c r="AQ333" s="1"/>
  <c r="AQ334" s="1"/>
  <c r="AQ335" s="1"/>
  <c r="AQ336" s="1"/>
  <c r="AQ337" s="1"/>
  <c r="AQ338" s="1"/>
  <c r="AQ339" s="1"/>
  <c r="AQ340" s="1"/>
  <c r="AQ341" s="1"/>
  <c r="AQ342" s="1"/>
  <c r="AQ343" s="1"/>
  <c r="AQ344" s="1"/>
  <c r="AQ345" s="1"/>
  <c r="AQ346" s="1"/>
  <c r="AQ347" s="1"/>
  <c r="AQ348" s="1"/>
  <c r="AQ349" s="1"/>
  <c r="AQ350" s="1"/>
  <c r="AQ351" s="1"/>
  <c r="AQ352" s="1"/>
  <c r="AQ353" s="1"/>
  <c r="AQ354" s="1"/>
  <c r="AQ355" s="1"/>
  <c r="AQ356" s="1"/>
  <c r="AQ357" s="1"/>
  <c r="AQ358" s="1"/>
  <c r="AQ359" s="1"/>
  <c r="AQ360" s="1"/>
  <c r="AQ361" s="1"/>
  <c r="AQ362" s="1"/>
  <c r="AQ363" s="1"/>
  <c r="AQ364" s="1"/>
  <c r="AQ365" s="1"/>
  <c r="AQ366" s="1"/>
  <c r="AQ367" s="1"/>
  <c r="AQ368" s="1"/>
  <c r="AQ369" s="1"/>
  <c r="AQ370" s="1"/>
  <c r="AQ371" s="1"/>
  <c r="AQ372" s="1"/>
  <c r="AQ373" s="1"/>
  <c r="AQ374" s="1"/>
  <c r="AQ375" s="1"/>
  <c r="AQ376" s="1"/>
  <c r="AQ377" s="1"/>
  <c r="AQ378" s="1"/>
  <c r="AQ379" s="1"/>
  <c r="AQ380" s="1"/>
  <c r="AQ381" s="1"/>
  <c r="AQ382" s="1"/>
  <c r="AQ383" s="1"/>
  <c r="AQ384" s="1"/>
  <c r="AQ385" s="1"/>
  <c r="AQ386" s="1"/>
  <c r="AQ387" s="1"/>
  <c r="AQ388" s="1"/>
  <c r="AQ389" s="1"/>
  <c r="AQ390" s="1"/>
  <c r="AQ391" s="1"/>
  <c r="AQ392" s="1"/>
  <c r="AQ393" s="1"/>
  <c r="AQ394" s="1"/>
  <c r="AQ395" s="1"/>
  <c r="AQ396" s="1"/>
  <c r="AQ397" s="1"/>
  <c r="AQ398" s="1"/>
  <c r="AQ399" s="1"/>
  <c r="AQ400" s="1"/>
  <c r="AQ401" s="1"/>
  <c r="AQ402" s="1"/>
  <c r="AQ403" s="1"/>
  <c r="AQ404" s="1"/>
  <c r="AQ405" s="1"/>
  <c r="AQ406" s="1"/>
  <c r="AQ407" s="1"/>
  <c r="AQ408" s="1"/>
  <c r="AQ409" s="1"/>
  <c r="AQ410" s="1"/>
  <c r="AQ411" s="1"/>
  <c r="AQ412" s="1"/>
  <c r="AQ413" s="1"/>
  <c r="AQ414" s="1"/>
  <c r="AQ415" s="1"/>
  <c r="AQ416" s="1"/>
  <c r="AQ417" s="1"/>
  <c r="AQ418" s="1"/>
  <c r="AQ419" s="1"/>
  <c r="AQ420" s="1"/>
  <c r="AQ421" s="1"/>
  <c r="AQ422" s="1"/>
  <c r="AQ423" s="1"/>
  <c r="AQ424" s="1"/>
  <c r="AQ425" s="1"/>
  <c r="AQ426" s="1"/>
  <c r="AQ427" s="1"/>
  <c r="AQ428" s="1"/>
  <c r="AQ429" s="1"/>
  <c r="AQ430" s="1"/>
  <c r="AQ431" s="1"/>
  <c r="AQ432" s="1"/>
  <c r="AQ433" s="1"/>
  <c r="AQ434" s="1"/>
  <c r="AQ435" s="1"/>
  <c r="AQ436" s="1"/>
  <c r="AQ437" s="1"/>
  <c r="AQ438" s="1"/>
  <c r="AQ439" s="1"/>
  <c r="AQ440" s="1"/>
  <c r="AQ441" s="1"/>
  <c r="AQ442" s="1"/>
  <c r="AQ443" s="1"/>
  <c r="AQ444" s="1"/>
  <c r="AQ445" s="1"/>
  <c r="AQ446" s="1"/>
  <c r="AQ447" s="1"/>
  <c r="AQ448" s="1"/>
  <c r="AQ449" s="1"/>
  <c r="AQ450" s="1"/>
  <c r="AQ451" s="1"/>
  <c r="AQ452" s="1"/>
  <c r="AQ453" s="1"/>
  <c r="AQ454" s="1"/>
  <c r="AQ455" s="1"/>
  <c r="AQ456" s="1"/>
  <c r="AQ457" s="1"/>
  <c r="AQ458" s="1"/>
  <c r="AQ459" s="1"/>
  <c r="AQ460" s="1"/>
  <c r="AQ461" s="1"/>
  <c r="AQ462" s="1"/>
  <c r="AQ463" s="1"/>
  <c r="AQ464" s="1"/>
  <c r="AQ465" s="1"/>
  <c r="AQ466" s="1"/>
  <c r="AQ467" s="1"/>
  <c r="AQ468" s="1"/>
  <c r="AQ469" s="1"/>
  <c r="AQ470" s="1"/>
  <c r="AQ471" s="1"/>
  <c r="AQ472" s="1"/>
  <c r="AQ473" s="1"/>
  <c r="AQ474" s="1"/>
  <c r="AQ475" s="1"/>
  <c r="AQ476" s="1"/>
  <c r="AQ477" s="1"/>
  <c r="AQ478" s="1"/>
  <c r="AQ479" s="1"/>
  <c r="AQ480" s="1"/>
  <c r="AQ481" s="1"/>
  <c r="AQ482" s="1"/>
  <c r="AQ483" s="1"/>
  <c r="AQ484" s="1"/>
  <c r="AQ485" s="1"/>
  <c r="AQ486" s="1"/>
  <c r="AQ487" s="1"/>
  <c r="AQ488" s="1"/>
  <c r="AQ489" s="1"/>
  <c r="AQ490" s="1"/>
  <c r="AQ491" s="1"/>
  <c r="AQ492" s="1"/>
  <c r="AQ493" s="1"/>
  <c r="AQ494" s="1"/>
  <c r="AQ495" s="1"/>
  <c r="AQ496" s="1"/>
  <c r="AQ497" s="1"/>
  <c r="AQ498" s="1"/>
  <c r="AQ499" s="1"/>
  <c r="AQ500" s="1"/>
  <c r="AQ501" s="1"/>
  <c r="AQ502" s="1"/>
  <c r="AS122" l="1"/>
  <c r="AS125" s="1"/>
  <c r="AS128" s="1"/>
  <c r="AS120"/>
  <c r="AS121" s="1"/>
  <c r="AU120"/>
  <c r="AT122"/>
  <c r="AT120"/>
  <c r="AT216" s="1"/>
  <c r="AT312" s="1"/>
  <c r="AT408" s="1"/>
  <c r="A1" i="5"/>
  <c r="AR121" i="6" s="1"/>
  <c r="AR120"/>
  <c r="A1" i="2"/>
  <c r="AR119" i="6" s="1"/>
  <c r="AX125"/>
  <c r="AX128" s="1"/>
  <c r="AX131" s="1"/>
  <c r="AX134" s="1"/>
  <c r="AX137" s="1"/>
  <c r="AX140" s="1"/>
  <c r="AX143" s="1"/>
  <c r="AX146" s="1"/>
  <c r="AX149" s="1"/>
  <c r="AX152" s="1"/>
  <c r="AX155" s="1"/>
  <c r="AX158" s="1"/>
  <c r="AX161" s="1"/>
  <c r="AX164" s="1"/>
  <c r="AX167" s="1"/>
  <c r="AX170" s="1"/>
  <c r="AX173" s="1"/>
  <c r="AX176" s="1"/>
  <c r="AX179" s="1"/>
  <c r="AX182" s="1"/>
  <c r="AX185" s="1"/>
  <c r="AX188" s="1"/>
  <c r="AX191" s="1"/>
  <c r="AX194" s="1"/>
  <c r="AX197" s="1"/>
  <c r="AX200" s="1"/>
  <c r="AX203" s="1"/>
  <c r="AX206" s="1"/>
  <c r="AX209" s="1"/>
  <c r="AX212" s="1"/>
  <c r="AX215" s="1"/>
  <c r="AX218" s="1"/>
  <c r="AX221" s="1"/>
  <c r="AX224" s="1"/>
  <c r="AX227" s="1"/>
  <c r="AX230" s="1"/>
  <c r="AX233" s="1"/>
  <c r="AX236" s="1"/>
  <c r="AX239" s="1"/>
  <c r="AX242" s="1"/>
  <c r="AX245" s="1"/>
  <c r="AX248" s="1"/>
  <c r="AX251" s="1"/>
  <c r="AX254" s="1"/>
  <c r="AX257" s="1"/>
  <c r="AX260" s="1"/>
  <c r="AX263" s="1"/>
  <c r="AX266" s="1"/>
  <c r="AX269" s="1"/>
  <c r="AX272" s="1"/>
  <c r="AX275" s="1"/>
  <c r="AX278" s="1"/>
  <c r="AX281" s="1"/>
  <c r="AX284" s="1"/>
  <c r="AX287" s="1"/>
  <c r="AX290" s="1"/>
  <c r="AX293" s="1"/>
  <c r="AX296" s="1"/>
  <c r="AX299" s="1"/>
  <c r="AX302" s="1"/>
  <c r="AX305" s="1"/>
  <c r="AX308" s="1"/>
  <c r="AX311" s="1"/>
  <c r="AX314" s="1"/>
  <c r="AX317" s="1"/>
  <c r="AX320" s="1"/>
  <c r="AX323" s="1"/>
  <c r="AX326" s="1"/>
  <c r="AX329" s="1"/>
  <c r="AX332" s="1"/>
  <c r="AX335" s="1"/>
  <c r="AX338" s="1"/>
  <c r="AX341" s="1"/>
  <c r="AX344" s="1"/>
  <c r="AX347" s="1"/>
  <c r="AX350" s="1"/>
  <c r="AX353" s="1"/>
  <c r="AX356" s="1"/>
  <c r="AX359" s="1"/>
  <c r="AX362" s="1"/>
  <c r="AX365" s="1"/>
  <c r="AX368" s="1"/>
  <c r="AX371" s="1"/>
  <c r="AX374" s="1"/>
  <c r="AX377" s="1"/>
  <c r="AX380" s="1"/>
  <c r="AX383" s="1"/>
  <c r="AX386" s="1"/>
  <c r="AX389" s="1"/>
  <c r="AX392" s="1"/>
  <c r="AX395" s="1"/>
  <c r="AX398" s="1"/>
  <c r="AX401" s="1"/>
  <c r="AX404" s="1"/>
  <c r="AX407" s="1"/>
  <c r="AX410" s="1"/>
  <c r="AX413" s="1"/>
  <c r="AX416" s="1"/>
  <c r="AX419" s="1"/>
  <c r="AX422" s="1"/>
  <c r="AX425" s="1"/>
  <c r="AX428" s="1"/>
  <c r="AX431" s="1"/>
  <c r="AX434" s="1"/>
  <c r="AX437" s="1"/>
  <c r="AX440" s="1"/>
  <c r="AX443" s="1"/>
  <c r="AX446" s="1"/>
  <c r="AX449" s="1"/>
  <c r="AX452" s="1"/>
  <c r="AX455" s="1"/>
  <c r="AX458" s="1"/>
  <c r="AX461" s="1"/>
  <c r="AX464" s="1"/>
  <c r="AX467" s="1"/>
  <c r="AX470" s="1"/>
  <c r="AX473" s="1"/>
  <c r="AX476" s="1"/>
  <c r="AX479" s="1"/>
  <c r="AX482" s="1"/>
  <c r="AX485" s="1"/>
  <c r="AX488" s="1"/>
  <c r="AX491" s="1"/>
  <c r="AX494" s="1"/>
  <c r="AX497" s="1"/>
  <c r="AX500" s="1"/>
  <c r="AX124"/>
  <c r="AX127" s="1"/>
  <c r="AX130" s="1"/>
  <c r="AX133" s="1"/>
  <c r="AX136" s="1"/>
  <c r="AX139" s="1"/>
  <c r="AX142" s="1"/>
  <c r="AX145" s="1"/>
  <c r="AX148" s="1"/>
  <c r="AX151" s="1"/>
  <c r="AX154" s="1"/>
  <c r="AX157" s="1"/>
  <c r="AX160" s="1"/>
  <c r="AX163" s="1"/>
  <c r="AX166" s="1"/>
  <c r="AX169" s="1"/>
  <c r="AX172" s="1"/>
  <c r="AX175" s="1"/>
  <c r="AX178" s="1"/>
  <c r="AX181" s="1"/>
  <c r="AX184" s="1"/>
  <c r="AX187" s="1"/>
  <c r="AX190" s="1"/>
  <c r="AX193" s="1"/>
  <c r="AX196" s="1"/>
  <c r="AX199" s="1"/>
  <c r="AX202" s="1"/>
  <c r="AX205" s="1"/>
  <c r="AX208" s="1"/>
  <c r="AX211" s="1"/>
  <c r="AX214" s="1"/>
  <c r="AX217" s="1"/>
  <c r="AX220" s="1"/>
  <c r="AX223" s="1"/>
  <c r="AX226" s="1"/>
  <c r="AX229" s="1"/>
  <c r="AX232" s="1"/>
  <c r="AX235" s="1"/>
  <c r="AX238" s="1"/>
  <c r="AX241" s="1"/>
  <c r="AX244" s="1"/>
  <c r="AX247" s="1"/>
  <c r="AX250" s="1"/>
  <c r="AX253" s="1"/>
  <c r="AX256" s="1"/>
  <c r="AX259" s="1"/>
  <c r="AX262" s="1"/>
  <c r="AX265" s="1"/>
  <c r="AX268" s="1"/>
  <c r="AX271" s="1"/>
  <c r="AX274" s="1"/>
  <c r="AX277" s="1"/>
  <c r="AX280" s="1"/>
  <c r="AX283" s="1"/>
  <c r="AX286" s="1"/>
  <c r="AX289" s="1"/>
  <c r="AX292" s="1"/>
  <c r="AX295" s="1"/>
  <c r="AX298" s="1"/>
  <c r="AX301" s="1"/>
  <c r="AX304" s="1"/>
  <c r="AX307" s="1"/>
  <c r="AX310" s="1"/>
  <c r="AX313" s="1"/>
  <c r="AX316" s="1"/>
  <c r="AX319" s="1"/>
  <c r="AX322" s="1"/>
  <c r="AX325" s="1"/>
  <c r="AX328" s="1"/>
  <c r="AX331" s="1"/>
  <c r="AX334" s="1"/>
  <c r="AX337" s="1"/>
  <c r="AX340" s="1"/>
  <c r="AX343" s="1"/>
  <c r="AX346" s="1"/>
  <c r="AX349" s="1"/>
  <c r="AX352" s="1"/>
  <c r="AX355" s="1"/>
  <c r="AX358" s="1"/>
  <c r="AX361" s="1"/>
  <c r="AX364" s="1"/>
  <c r="AX367" s="1"/>
  <c r="AX370" s="1"/>
  <c r="AX373" s="1"/>
  <c r="AX376" s="1"/>
  <c r="AX379" s="1"/>
  <c r="AX382" s="1"/>
  <c r="AX385" s="1"/>
  <c r="AX388" s="1"/>
  <c r="AX391" s="1"/>
  <c r="AX394" s="1"/>
  <c r="AX397" s="1"/>
  <c r="AX400" s="1"/>
  <c r="AX403" s="1"/>
  <c r="AX406" s="1"/>
  <c r="AX409" s="1"/>
  <c r="AX412" s="1"/>
  <c r="AX415" s="1"/>
  <c r="AX418" s="1"/>
  <c r="AX421" s="1"/>
  <c r="AX424" s="1"/>
  <c r="AX427" s="1"/>
  <c r="AX430" s="1"/>
  <c r="AX433" s="1"/>
  <c r="AX436" s="1"/>
  <c r="AX439" s="1"/>
  <c r="AX442" s="1"/>
  <c r="AX445" s="1"/>
  <c r="AX448" s="1"/>
  <c r="AX451" s="1"/>
  <c r="AX454" s="1"/>
  <c r="AX457" s="1"/>
  <c r="AX460" s="1"/>
  <c r="AX463" s="1"/>
  <c r="AX466" s="1"/>
  <c r="AX469" s="1"/>
  <c r="AX472" s="1"/>
  <c r="AX475" s="1"/>
  <c r="AX478" s="1"/>
  <c r="AX481" s="1"/>
  <c r="AX484" s="1"/>
  <c r="AX487" s="1"/>
  <c r="AX490" s="1"/>
  <c r="AX493" s="1"/>
  <c r="AX496" s="1"/>
  <c r="AX499" s="1"/>
  <c r="AX502" s="1"/>
  <c r="C1" i="5"/>
  <c r="E20" s="1"/>
  <c r="C1" i="4"/>
  <c r="E20" s="1"/>
  <c r="C1" i="2"/>
  <c r="E20" s="1"/>
  <c r="K2" i="6" s="1"/>
  <c r="D1" i="2" l="1"/>
  <c r="F20" s="1"/>
  <c r="L2" i="6" s="1"/>
  <c r="D1" i="4"/>
  <c r="D1" i="5"/>
  <c r="AX126" i="6"/>
  <c r="AX129" s="1"/>
  <c r="AX132" s="1"/>
  <c r="AX135" s="1"/>
  <c r="AX138" s="1"/>
  <c r="AX141" s="1"/>
  <c r="AX144" s="1"/>
  <c r="AX147" s="1"/>
  <c r="AX150" s="1"/>
  <c r="AX153" s="1"/>
  <c r="AX156" s="1"/>
  <c r="AX159" s="1"/>
  <c r="AX162" s="1"/>
  <c r="AX165" s="1"/>
  <c r="AX168" s="1"/>
  <c r="AX171" s="1"/>
  <c r="AX174" s="1"/>
  <c r="AX177" s="1"/>
  <c r="AX180" s="1"/>
  <c r="AX183" s="1"/>
  <c r="AX186" s="1"/>
  <c r="AX189" s="1"/>
  <c r="AX192" s="1"/>
  <c r="AX195" s="1"/>
  <c r="AX198" s="1"/>
  <c r="AX201" s="1"/>
  <c r="AX204" s="1"/>
  <c r="AX207" s="1"/>
  <c r="AX210" s="1"/>
  <c r="AX213" s="1"/>
  <c r="AX216" s="1"/>
  <c r="AX219" s="1"/>
  <c r="AX222" s="1"/>
  <c r="AX225" s="1"/>
  <c r="AX228" s="1"/>
  <c r="AX231" s="1"/>
  <c r="AX234" s="1"/>
  <c r="AX237" s="1"/>
  <c r="AX240" s="1"/>
  <c r="AX243" s="1"/>
  <c r="AX246" s="1"/>
  <c r="AX249" s="1"/>
  <c r="AX252" s="1"/>
  <c r="AX255" s="1"/>
  <c r="AX258" s="1"/>
  <c r="AX261" s="1"/>
  <c r="AX264" s="1"/>
  <c r="AX267" s="1"/>
  <c r="AX270" s="1"/>
  <c r="AX273" s="1"/>
  <c r="AX276" s="1"/>
  <c r="AX279" s="1"/>
  <c r="AX282" s="1"/>
  <c r="AX285" s="1"/>
  <c r="AX288" s="1"/>
  <c r="AX291" s="1"/>
  <c r="AX294" s="1"/>
  <c r="AX297" s="1"/>
  <c r="AX300" s="1"/>
  <c r="AX303" s="1"/>
  <c r="AX306" s="1"/>
  <c r="AX309" s="1"/>
  <c r="AX312" s="1"/>
  <c r="AX315" s="1"/>
  <c r="AX318" s="1"/>
  <c r="AX321" s="1"/>
  <c r="AX324" s="1"/>
  <c r="AX327" s="1"/>
  <c r="AX330" s="1"/>
  <c r="AX333" s="1"/>
  <c r="AX336" s="1"/>
  <c r="AX339" s="1"/>
  <c r="AX342" s="1"/>
  <c r="AX345" s="1"/>
  <c r="AX348" s="1"/>
  <c r="AX351" s="1"/>
  <c r="AX354" s="1"/>
  <c r="AX357" s="1"/>
  <c r="AX360" s="1"/>
  <c r="AX363" s="1"/>
  <c r="AX366" s="1"/>
  <c r="AX369" s="1"/>
  <c r="AX372" s="1"/>
  <c r="AX375" s="1"/>
  <c r="AX378" s="1"/>
  <c r="AX381" s="1"/>
  <c r="AX384" s="1"/>
  <c r="AX387" s="1"/>
  <c r="AX390" s="1"/>
  <c r="AX393" s="1"/>
  <c r="AX396" s="1"/>
  <c r="AX399" s="1"/>
  <c r="AX402" s="1"/>
  <c r="AX405" s="1"/>
  <c r="AX408" s="1"/>
  <c r="AX411" s="1"/>
  <c r="AX414" s="1"/>
  <c r="AX417" s="1"/>
  <c r="AX420" s="1"/>
  <c r="AX423" s="1"/>
  <c r="AX426" s="1"/>
  <c r="AX429" s="1"/>
  <c r="AX432" s="1"/>
  <c r="AX435" s="1"/>
  <c r="AX438" s="1"/>
  <c r="AX441" s="1"/>
  <c r="AX444" s="1"/>
  <c r="AX447" s="1"/>
  <c r="AX450" s="1"/>
  <c r="AX453" s="1"/>
  <c r="AX456" s="1"/>
  <c r="AX459" s="1"/>
  <c r="AX462" s="1"/>
  <c r="AX465" s="1"/>
  <c r="AX468" s="1"/>
  <c r="AX471" s="1"/>
  <c r="AX474" s="1"/>
  <c r="AX477" s="1"/>
  <c r="AX480" s="1"/>
  <c r="AX483" s="1"/>
  <c r="AX486" s="1"/>
  <c r="AX489" s="1"/>
  <c r="AX492" s="1"/>
  <c r="AX495" s="1"/>
  <c r="AX498" s="1"/>
  <c r="AX501" s="1"/>
  <c r="AS131"/>
  <c r="AU121"/>
  <c r="AU216"/>
  <c r="AU312" s="1"/>
  <c r="AU408" s="1"/>
  <c r="AT125"/>
  <c r="AT218"/>
  <c r="AT314" s="1"/>
  <c r="AT410" s="1"/>
  <c r="AS124"/>
  <c r="AT121"/>
  <c r="AS123"/>
  <c r="AT123"/>
  <c r="AR124"/>
  <c r="AR127" s="1"/>
  <c r="AR130" s="1"/>
  <c r="AR133" s="1"/>
  <c r="AR136" s="1"/>
  <c r="C52"/>
  <c r="AR122"/>
  <c r="AR125" s="1"/>
  <c r="AR128" s="1"/>
  <c r="AR131" s="1"/>
  <c r="AR134" s="1"/>
  <c r="AR137" s="1"/>
  <c r="C50"/>
  <c r="AR123"/>
  <c r="AR126" s="1"/>
  <c r="AR129" s="1"/>
  <c r="AR132" s="1"/>
  <c r="AR135" s="1"/>
  <c r="AR138" s="1"/>
  <c r="C51"/>
  <c r="C54" l="1"/>
  <c r="C7"/>
  <c r="C35" s="1"/>
  <c r="C45" s="1"/>
  <c r="C55"/>
  <c r="C8"/>
  <c r="C39" s="1"/>
  <c r="C47" s="1"/>
  <c r="C53"/>
  <c r="C6"/>
  <c r="C31" s="1"/>
  <c r="C43" s="1"/>
  <c r="E1" i="2"/>
  <c r="F20" i="4"/>
  <c r="E1"/>
  <c r="E1" i="5"/>
  <c r="F20"/>
  <c r="AS127" i="6"/>
  <c r="AT128"/>
  <c r="AT221"/>
  <c r="AT317" s="1"/>
  <c r="AT413" s="1"/>
  <c r="AU122"/>
  <c r="AU217"/>
  <c r="AU313" s="1"/>
  <c r="AU409" s="1"/>
  <c r="AT126"/>
  <c r="AT219"/>
  <c r="AT315" s="1"/>
  <c r="AT411" s="1"/>
  <c r="AT217"/>
  <c r="AT313" s="1"/>
  <c r="AT409" s="1"/>
  <c r="AT124"/>
  <c r="AS134"/>
  <c r="AS126"/>
  <c r="AR140"/>
  <c r="AR143" s="1"/>
  <c r="AR146" s="1"/>
  <c r="AR149" s="1"/>
  <c r="AR152" s="1"/>
  <c r="AR155" s="1"/>
  <c r="C72"/>
  <c r="C75" s="1"/>
  <c r="C78" s="1"/>
  <c r="C81" s="1"/>
  <c r="AR141"/>
  <c r="AR144" s="1"/>
  <c r="AR147" s="1"/>
  <c r="AR150" s="1"/>
  <c r="AR153" s="1"/>
  <c r="C73"/>
  <c r="C76" s="1"/>
  <c r="C79" s="1"/>
  <c r="C82" s="1"/>
  <c r="AR139"/>
  <c r="AR142" s="1"/>
  <c r="AR145" s="1"/>
  <c r="AR148" s="1"/>
  <c r="AR151" s="1"/>
  <c r="AR154" s="1"/>
  <c r="C71"/>
  <c r="C74" s="1"/>
  <c r="C77" s="1"/>
  <c r="C80" s="1"/>
  <c r="C58" l="1"/>
  <c r="C11"/>
  <c r="C57"/>
  <c r="C10"/>
  <c r="G20" i="2"/>
  <c r="M2" i="6" s="1"/>
  <c r="F1" i="2"/>
  <c r="C56" i="6"/>
  <c r="C9"/>
  <c r="G20" i="4"/>
  <c r="F1"/>
  <c r="F1" i="5"/>
  <c r="G20"/>
  <c r="AR158" i="6"/>
  <c r="AR161" s="1"/>
  <c r="AR164" s="1"/>
  <c r="AR167" s="1"/>
  <c r="AR170" s="1"/>
  <c r="AR173" s="1"/>
  <c r="AR176" s="1"/>
  <c r="AR179" s="1"/>
  <c r="AR182" s="1"/>
  <c r="AR185" s="1"/>
  <c r="AR188" s="1"/>
  <c r="AR191" s="1"/>
  <c r="AR194" s="1"/>
  <c r="AR197" s="1"/>
  <c r="AR200" s="1"/>
  <c r="AR203" s="1"/>
  <c r="AR206" s="1"/>
  <c r="AR209" s="1"/>
  <c r="AR212" s="1"/>
  <c r="AR215" s="1"/>
  <c r="AR218" s="1"/>
  <c r="AR221" s="1"/>
  <c r="AR224" s="1"/>
  <c r="AR227" s="1"/>
  <c r="AR230" s="1"/>
  <c r="AR233" s="1"/>
  <c r="AR236" s="1"/>
  <c r="AR239" s="1"/>
  <c r="AR242" s="1"/>
  <c r="AR245" s="1"/>
  <c r="AR248" s="1"/>
  <c r="AR251" s="1"/>
  <c r="AR254" s="1"/>
  <c r="AR257" s="1"/>
  <c r="AR260" s="1"/>
  <c r="AR263" s="1"/>
  <c r="AR266" s="1"/>
  <c r="AR269" s="1"/>
  <c r="AR272" s="1"/>
  <c r="AR275" s="1"/>
  <c r="AR278" s="1"/>
  <c r="AR281" s="1"/>
  <c r="AR284" s="1"/>
  <c r="AR287" s="1"/>
  <c r="AR290" s="1"/>
  <c r="AR293" s="1"/>
  <c r="AR296" s="1"/>
  <c r="AR299" s="1"/>
  <c r="AR302" s="1"/>
  <c r="AR305" s="1"/>
  <c r="AR308" s="1"/>
  <c r="AR311" s="1"/>
  <c r="AR314" s="1"/>
  <c r="AR317" s="1"/>
  <c r="AR320" s="1"/>
  <c r="AR323" s="1"/>
  <c r="AR326" s="1"/>
  <c r="AR329" s="1"/>
  <c r="AR332" s="1"/>
  <c r="AR335" s="1"/>
  <c r="AR338" s="1"/>
  <c r="AR341" s="1"/>
  <c r="AR344" s="1"/>
  <c r="AR347" s="1"/>
  <c r="AR350" s="1"/>
  <c r="AR353" s="1"/>
  <c r="AR356" s="1"/>
  <c r="AR359" s="1"/>
  <c r="AR362" s="1"/>
  <c r="AR365" s="1"/>
  <c r="AR368" s="1"/>
  <c r="AR371" s="1"/>
  <c r="AR374" s="1"/>
  <c r="AR377" s="1"/>
  <c r="AR380" s="1"/>
  <c r="AR383" s="1"/>
  <c r="AR386" s="1"/>
  <c r="AR389" s="1"/>
  <c r="AR392" s="1"/>
  <c r="AR395" s="1"/>
  <c r="AR398" s="1"/>
  <c r="AR401" s="1"/>
  <c r="AR404" s="1"/>
  <c r="AR407" s="1"/>
  <c r="AR410" s="1"/>
  <c r="AR413" s="1"/>
  <c r="AR416" s="1"/>
  <c r="AR419" s="1"/>
  <c r="AR422" s="1"/>
  <c r="AR425" s="1"/>
  <c r="AR428" s="1"/>
  <c r="AR431" s="1"/>
  <c r="AR434" s="1"/>
  <c r="AR437" s="1"/>
  <c r="AR440" s="1"/>
  <c r="AR443" s="1"/>
  <c r="AR446" s="1"/>
  <c r="AR449" s="1"/>
  <c r="AR452" s="1"/>
  <c r="AR455" s="1"/>
  <c r="AR458" s="1"/>
  <c r="AR461" s="1"/>
  <c r="AR464" s="1"/>
  <c r="AR467" s="1"/>
  <c r="AR470" s="1"/>
  <c r="AR473" s="1"/>
  <c r="AR476" s="1"/>
  <c r="AR479" s="1"/>
  <c r="AR482" s="1"/>
  <c r="AR485" s="1"/>
  <c r="AR488" s="1"/>
  <c r="AR491" s="1"/>
  <c r="AR494" s="1"/>
  <c r="AR497" s="1"/>
  <c r="AR500" s="1"/>
  <c r="C98"/>
  <c r="C101" s="1"/>
  <c r="C104" s="1"/>
  <c r="C107" s="1"/>
  <c r="AT127"/>
  <c r="AT220"/>
  <c r="AT316" s="1"/>
  <c r="AT412" s="1"/>
  <c r="AS137"/>
  <c r="AT129"/>
  <c r="AT222"/>
  <c r="AT318" s="1"/>
  <c r="AT414" s="1"/>
  <c r="AT131"/>
  <c r="AT224"/>
  <c r="AT320" s="1"/>
  <c r="AT416" s="1"/>
  <c r="AR156"/>
  <c r="AR159" s="1"/>
  <c r="AR162" s="1"/>
  <c r="AR165" s="1"/>
  <c r="AR168" s="1"/>
  <c r="AR171" s="1"/>
  <c r="AR174" s="1"/>
  <c r="AR177" s="1"/>
  <c r="AR180" s="1"/>
  <c r="AR183" s="1"/>
  <c r="AR186" s="1"/>
  <c r="AR189" s="1"/>
  <c r="AR192" s="1"/>
  <c r="AR195" s="1"/>
  <c r="AR198" s="1"/>
  <c r="AR201" s="1"/>
  <c r="AR204" s="1"/>
  <c r="AR207" s="1"/>
  <c r="AR210" s="1"/>
  <c r="AR213" s="1"/>
  <c r="AR216" s="1"/>
  <c r="AR219" s="1"/>
  <c r="AR222" s="1"/>
  <c r="AR225" s="1"/>
  <c r="AR228" s="1"/>
  <c r="AR231" s="1"/>
  <c r="AR234" s="1"/>
  <c r="AR237" s="1"/>
  <c r="AR240" s="1"/>
  <c r="AR243" s="1"/>
  <c r="AR246" s="1"/>
  <c r="AR249" s="1"/>
  <c r="AR252" s="1"/>
  <c r="AR255" s="1"/>
  <c r="AR258" s="1"/>
  <c r="AR261" s="1"/>
  <c r="AR264" s="1"/>
  <c r="AR267" s="1"/>
  <c r="AR270" s="1"/>
  <c r="AR273" s="1"/>
  <c r="AR276" s="1"/>
  <c r="AR279" s="1"/>
  <c r="AR282" s="1"/>
  <c r="AR285" s="1"/>
  <c r="AR288" s="1"/>
  <c r="AR291" s="1"/>
  <c r="AR294" s="1"/>
  <c r="AR297" s="1"/>
  <c r="AR300" s="1"/>
  <c r="AR303" s="1"/>
  <c r="AR306" s="1"/>
  <c r="AR309" s="1"/>
  <c r="AR312" s="1"/>
  <c r="AR315" s="1"/>
  <c r="AR318" s="1"/>
  <c r="AR321" s="1"/>
  <c r="AR324" s="1"/>
  <c r="AR327" s="1"/>
  <c r="AR330" s="1"/>
  <c r="AR333" s="1"/>
  <c r="AR336" s="1"/>
  <c r="AR339" s="1"/>
  <c r="AR342" s="1"/>
  <c r="AR345" s="1"/>
  <c r="AR348" s="1"/>
  <c r="AR351" s="1"/>
  <c r="AR354" s="1"/>
  <c r="AR357" s="1"/>
  <c r="AR360" s="1"/>
  <c r="AR363" s="1"/>
  <c r="AR366" s="1"/>
  <c r="AR369" s="1"/>
  <c r="AR372" s="1"/>
  <c r="AR375" s="1"/>
  <c r="AR378" s="1"/>
  <c r="AR381" s="1"/>
  <c r="AR384" s="1"/>
  <c r="AR387" s="1"/>
  <c r="AR390" s="1"/>
  <c r="AR393" s="1"/>
  <c r="AR396" s="1"/>
  <c r="AR399" s="1"/>
  <c r="AR402" s="1"/>
  <c r="AR405" s="1"/>
  <c r="AR408" s="1"/>
  <c r="AR411" s="1"/>
  <c r="AR414" s="1"/>
  <c r="AR417" s="1"/>
  <c r="AR420" s="1"/>
  <c r="AR423" s="1"/>
  <c r="AR426" s="1"/>
  <c r="AR429" s="1"/>
  <c r="AR432" s="1"/>
  <c r="AR435" s="1"/>
  <c r="AR438" s="1"/>
  <c r="AR441" s="1"/>
  <c r="AR444" s="1"/>
  <c r="AR447" s="1"/>
  <c r="AR450" s="1"/>
  <c r="AR453" s="1"/>
  <c r="AR456" s="1"/>
  <c r="AR459" s="1"/>
  <c r="AR462" s="1"/>
  <c r="AR465" s="1"/>
  <c r="AR468" s="1"/>
  <c r="AR471" s="1"/>
  <c r="AR474" s="1"/>
  <c r="AR477" s="1"/>
  <c r="AR480" s="1"/>
  <c r="AR483" s="1"/>
  <c r="AR486" s="1"/>
  <c r="AR489" s="1"/>
  <c r="AR492" s="1"/>
  <c r="AR495" s="1"/>
  <c r="AR498" s="1"/>
  <c r="AR501" s="1"/>
  <c r="C96"/>
  <c r="C99" s="1"/>
  <c r="C102" s="1"/>
  <c r="C105" s="1"/>
  <c r="AS130"/>
  <c r="AR157"/>
  <c r="AR160" s="1"/>
  <c r="AR163" s="1"/>
  <c r="AR166" s="1"/>
  <c r="AR169" s="1"/>
  <c r="AR172" s="1"/>
  <c r="AR175" s="1"/>
  <c r="AR178" s="1"/>
  <c r="AR181" s="1"/>
  <c r="AR184" s="1"/>
  <c r="AR187" s="1"/>
  <c r="AR190" s="1"/>
  <c r="AR193" s="1"/>
  <c r="AR196" s="1"/>
  <c r="AR199" s="1"/>
  <c r="AR202" s="1"/>
  <c r="AR205" s="1"/>
  <c r="AR208" s="1"/>
  <c r="AR211" s="1"/>
  <c r="AR214" s="1"/>
  <c r="AR217" s="1"/>
  <c r="AR220" s="1"/>
  <c r="AR223" s="1"/>
  <c r="AR226" s="1"/>
  <c r="AR229" s="1"/>
  <c r="AR232" s="1"/>
  <c r="AR235" s="1"/>
  <c r="AR238" s="1"/>
  <c r="AR241" s="1"/>
  <c r="AR244" s="1"/>
  <c r="AR247" s="1"/>
  <c r="AR250" s="1"/>
  <c r="AR253" s="1"/>
  <c r="AR256" s="1"/>
  <c r="AR259" s="1"/>
  <c r="AR262" s="1"/>
  <c r="AR265" s="1"/>
  <c r="AR268" s="1"/>
  <c r="AR271" s="1"/>
  <c r="AR274" s="1"/>
  <c r="AR277" s="1"/>
  <c r="AR280" s="1"/>
  <c r="AR283" s="1"/>
  <c r="AR286" s="1"/>
  <c r="AR289" s="1"/>
  <c r="AR292" s="1"/>
  <c r="AR295" s="1"/>
  <c r="AR298" s="1"/>
  <c r="AR301" s="1"/>
  <c r="AR304" s="1"/>
  <c r="AR307" s="1"/>
  <c r="AR310" s="1"/>
  <c r="AR313" s="1"/>
  <c r="AR316" s="1"/>
  <c r="AR319" s="1"/>
  <c r="AR322" s="1"/>
  <c r="AR325" s="1"/>
  <c r="AR328" s="1"/>
  <c r="AR331" s="1"/>
  <c r="AR334" s="1"/>
  <c r="AR337" s="1"/>
  <c r="AR340" s="1"/>
  <c r="AR343" s="1"/>
  <c r="AR346" s="1"/>
  <c r="AR349" s="1"/>
  <c r="AR352" s="1"/>
  <c r="AR355" s="1"/>
  <c r="AR358" s="1"/>
  <c r="AR361" s="1"/>
  <c r="AR364" s="1"/>
  <c r="AR367" s="1"/>
  <c r="AR370" s="1"/>
  <c r="AR373" s="1"/>
  <c r="AR376" s="1"/>
  <c r="AR379" s="1"/>
  <c r="AR382" s="1"/>
  <c r="AR385" s="1"/>
  <c r="AR388" s="1"/>
  <c r="AR391" s="1"/>
  <c r="AR394" s="1"/>
  <c r="AR397" s="1"/>
  <c r="AR400" s="1"/>
  <c r="AR403" s="1"/>
  <c r="AR406" s="1"/>
  <c r="AR409" s="1"/>
  <c r="AR412" s="1"/>
  <c r="AR415" s="1"/>
  <c r="AR418" s="1"/>
  <c r="AR421" s="1"/>
  <c r="AR424" s="1"/>
  <c r="AR427" s="1"/>
  <c r="AR430" s="1"/>
  <c r="AR433" s="1"/>
  <c r="AR436" s="1"/>
  <c r="AR439" s="1"/>
  <c r="AR442" s="1"/>
  <c r="AR445" s="1"/>
  <c r="AR448" s="1"/>
  <c r="AR451" s="1"/>
  <c r="AR454" s="1"/>
  <c r="AR457" s="1"/>
  <c r="AR460" s="1"/>
  <c r="AR463" s="1"/>
  <c r="AR466" s="1"/>
  <c r="AR469" s="1"/>
  <c r="AR472" s="1"/>
  <c r="AR475" s="1"/>
  <c r="AR478" s="1"/>
  <c r="AR481" s="1"/>
  <c r="AR484" s="1"/>
  <c r="AR487" s="1"/>
  <c r="AR490" s="1"/>
  <c r="AR493" s="1"/>
  <c r="AR496" s="1"/>
  <c r="AR499" s="1"/>
  <c r="AR502" s="1"/>
  <c r="C97"/>
  <c r="C100" s="1"/>
  <c r="C103" s="1"/>
  <c r="C106" s="1"/>
  <c r="AS129"/>
  <c r="AU123"/>
  <c r="AU218"/>
  <c r="AU314" s="1"/>
  <c r="AU410" s="1"/>
  <c r="C60" l="1"/>
  <c r="C16" s="1"/>
  <c r="C13"/>
  <c r="C61"/>
  <c r="C17" s="1"/>
  <c r="C14"/>
  <c r="H20" i="2"/>
  <c r="N2" i="6" s="1"/>
  <c r="G1" i="2"/>
  <c r="C59" i="6"/>
  <c r="C15" s="1"/>
  <c r="C12"/>
  <c r="H20" i="4"/>
  <c r="G1"/>
  <c r="G1" i="5"/>
  <c r="H20"/>
  <c r="AS140" i="6"/>
  <c r="AU124"/>
  <c r="AU219"/>
  <c r="AU315" s="1"/>
  <c r="AU411" s="1"/>
  <c r="AS133"/>
  <c r="AT134"/>
  <c r="AT227"/>
  <c r="AT323" s="1"/>
  <c r="AT419" s="1"/>
  <c r="AS132"/>
  <c r="AT130"/>
  <c r="AT223"/>
  <c r="AT319" s="1"/>
  <c r="AT415" s="1"/>
  <c r="AT132"/>
  <c r="AT225"/>
  <c r="AT321" s="1"/>
  <c r="AT417" s="1"/>
  <c r="I20" i="2" l="1"/>
  <c r="O2" i="6" s="1"/>
  <c r="H1" i="2"/>
  <c r="I20" i="4"/>
  <c r="H1"/>
  <c r="H1" i="5"/>
  <c r="I20"/>
  <c r="AT133" i="6"/>
  <c r="AT226"/>
  <c r="AT322" s="1"/>
  <c r="AT418" s="1"/>
  <c r="AS136"/>
  <c r="AU125"/>
  <c r="AU220"/>
  <c r="AU316" s="1"/>
  <c r="AU412" s="1"/>
  <c r="AS135"/>
  <c r="AT137"/>
  <c r="AT230"/>
  <c r="AT326" s="1"/>
  <c r="AT422" s="1"/>
  <c r="AS143"/>
  <c r="AT135"/>
  <c r="AT228"/>
  <c r="AT324" s="1"/>
  <c r="AT420" s="1"/>
  <c r="I1" i="2" l="1"/>
  <c r="J20"/>
  <c r="P2" i="6" s="1"/>
  <c r="J20" i="4"/>
  <c r="I1"/>
  <c r="I1" i="5"/>
  <c r="J20"/>
  <c r="AS146" i="6"/>
  <c r="AT233"/>
  <c r="AT329" s="1"/>
  <c r="AT425" s="1"/>
  <c r="AT140"/>
  <c r="AT136"/>
  <c r="AT229"/>
  <c r="AT325" s="1"/>
  <c r="AT421" s="1"/>
  <c r="AS139"/>
  <c r="AT231"/>
  <c r="AT327" s="1"/>
  <c r="AT423" s="1"/>
  <c r="AT138"/>
  <c r="AS138"/>
  <c r="AU126"/>
  <c r="AU221"/>
  <c r="AU317" s="1"/>
  <c r="AU413" s="1"/>
  <c r="J1" i="2" l="1"/>
  <c r="K20"/>
  <c r="Q2" i="6" s="1"/>
  <c r="J1" i="4"/>
  <c r="K20"/>
  <c r="J1" i="5"/>
  <c r="K20"/>
  <c r="AS141" i="6"/>
  <c r="AU127"/>
  <c r="AU222"/>
  <c r="AU318" s="1"/>
  <c r="AU414" s="1"/>
  <c r="AT141"/>
  <c r="AT234"/>
  <c r="AT330" s="1"/>
  <c r="AT426" s="1"/>
  <c r="AT143"/>
  <c r="AT236"/>
  <c r="AT332" s="1"/>
  <c r="AT428" s="1"/>
  <c r="AS149"/>
  <c r="AS142"/>
  <c r="AT232"/>
  <c r="AT328" s="1"/>
  <c r="AT424" s="1"/>
  <c r="AT139"/>
  <c r="K1" i="2" l="1"/>
  <c r="L20"/>
  <c r="R2" i="6" s="1"/>
  <c r="K1" i="4"/>
  <c r="L20"/>
  <c r="K1" i="5"/>
  <c r="L20"/>
  <c r="AT142" i="6"/>
  <c r="AT235"/>
  <c r="AT331" s="1"/>
  <c r="AT427" s="1"/>
  <c r="AS145"/>
  <c r="AT144"/>
  <c r="AT237"/>
  <c r="AT333" s="1"/>
  <c r="AT429" s="1"/>
  <c r="AU128"/>
  <c r="AU223"/>
  <c r="AU319" s="1"/>
  <c r="AU415" s="1"/>
  <c r="AS144"/>
  <c r="AS152"/>
  <c r="AT146"/>
  <c r="AT239"/>
  <c r="AT335" s="1"/>
  <c r="AT431" s="1"/>
  <c r="L1" i="2" l="1"/>
  <c r="M20"/>
  <c r="S2" i="6" s="1"/>
  <c r="M20" i="4"/>
  <c r="L1"/>
  <c r="L1" i="5"/>
  <c r="M20"/>
  <c r="AU129" i="6"/>
  <c r="AU224"/>
  <c r="AU320" s="1"/>
  <c r="AU416" s="1"/>
  <c r="AS155"/>
  <c r="AS148"/>
  <c r="AT145"/>
  <c r="AT238"/>
  <c r="AT334" s="1"/>
  <c r="AT430" s="1"/>
  <c r="AT149"/>
  <c r="AT242"/>
  <c r="AT338" s="1"/>
  <c r="AT434" s="1"/>
  <c r="AS147"/>
  <c r="AT147"/>
  <c r="AT240"/>
  <c r="AT336" s="1"/>
  <c r="AT432" s="1"/>
  <c r="K3"/>
  <c r="M1" i="2" l="1"/>
  <c r="N20"/>
  <c r="T2" i="6" s="1"/>
  <c r="M1" i="4"/>
  <c r="N20"/>
  <c r="M1" i="5"/>
  <c r="N20"/>
  <c r="AS150" i="6"/>
  <c r="AT152"/>
  <c r="AT245"/>
  <c r="AT341" s="1"/>
  <c r="AT437" s="1"/>
  <c r="AU130"/>
  <c r="AU225"/>
  <c r="AU321" s="1"/>
  <c r="AU417" s="1"/>
  <c r="AT150"/>
  <c r="AT243"/>
  <c r="AT339" s="1"/>
  <c r="AT435" s="1"/>
  <c r="AS151"/>
  <c r="AT148"/>
  <c r="AT241"/>
  <c r="AT337" s="1"/>
  <c r="AT433" s="1"/>
  <c r="AS158"/>
  <c r="O20" i="2" l="1"/>
  <c r="U2" i="6" s="1"/>
  <c r="N1" i="2"/>
  <c r="N1" i="4"/>
  <c r="O20"/>
  <c r="N1" i="5"/>
  <c r="O20"/>
  <c r="AT151" i="6"/>
  <c r="AT244"/>
  <c r="AT340" s="1"/>
  <c r="AT436" s="1"/>
  <c r="AS153"/>
  <c r="AT155"/>
  <c r="AT248"/>
  <c r="AT344" s="1"/>
  <c r="AT440" s="1"/>
  <c r="AS161"/>
  <c r="AS154"/>
  <c r="AT153"/>
  <c r="AT246"/>
  <c r="AT342" s="1"/>
  <c r="AT438" s="1"/>
  <c r="AU131"/>
  <c r="AU226"/>
  <c r="AU322" s="1"/>
  <c r="AU418" s="1"/>
  <c r="O1" i="2" l="1"/>
  <c r="P20"/>
  <c r="V2" i="6" s="1"/>
  <c r="P20" i="4"/>
  <c r="O1"/>
  <c r="O1" i="5"/>
  <c r="P20"/>
  <c r="AU132" i="6"/>
  <c r="AU227"/>
  <c r="AU323" s="1"/>
  <c r="AU419" s="1"/>
  <c r="AS157"/>
  <c r="AS156"/>
  <c r="AT154"/>
  <c r="AT247"/>
  <c r="AT343" s="1"/>
  <c r="AT439" s="1"/>
  <c r="AT156"/>
  <c r="AT249"/>
  <c r="AT345" s="1"/>
  <c r="AT441" s="1"/>
  <c r="AS164"/>
  <c r="AT158"/>
  <c r="AT251"/>
  <c r="AT347" s="1"/>
  <c r="AT443" s="1"/>
  <c r="P1" i="2" l="1"/>
  <c r="Q20"/>
  <c r="W2" i="6" s="1"/>
  <c r="P1" i="4"/>
  <c r="Q20"/>
  <c r="P1" i="5"/>
  <c r="Q20"/>
  <c r="AT157" i="6"/>
  <c r="AT250"/>
  <c r="AT346" s="1"/>
  <c r="AT442" s="1"/>
  <c r="AS160"/>
  <c r="AS167"/>
  <c r="AT159"/>
  <c r="AT252"/>
  <c r="AT348" s="1"/>
  <c r="AT444" s="1"/>
  <c r="AU133"/>
  <c r="AU228"/>
  <c r="AU324" s="1"/>
  <c r="AU420" s="1"/>
  <c r="AT161"/>
  <c r="AT254"/>
  <c r="AT350" s="1"/>
  <c r="AT446" s="1"/>
  <c r="AS159"/>
  <c r="Q1" i="2" l="1"/>
  <c r="R20"/>
  <c r="X2" i="6" s="1"/>
  <c r="Q1" i="4"/>
  <c r="R20"/>
  <c r="Q1" i="5"/>
  <c r="R20"/>
  <c r="AS162" i="6"/>
  <c r="AU134"/>
  <c r="AU229"/>
  <c r="AU325" s="1"/>
  <c r="AU421" s="1"/>
  <c r="AS170"/>
  <c r="AT162"/>
  <c r="AT255"/>
  <c r="AT351" s="1"/>
  <c r="AT447" s="1"/>
  <c r="AS163"/>
  <c r="AT160"/>
  <c r="AT253"/>
  <c r="AT349" s="1"/>
  <c r="AT445" s="1"/>
  <c r="AT164"/>
  <c r="AT257"/>
  <c r="AT353" s="1"/>
  <c r="AT449" s="1"/>
  <c r="R1" i="2" l="1"/>
  <c r="S20"/>
  <c r="Y2" i="6" s="1"/>
  <c r="S20" i="4"/>
  <c r="R1"/>
  <c r="R1" i="5"/>
  <c r="S20"/>
  <c r="AU135" i="6"/>
  <c r="AU230"/>
  <c r="AU326" s="1"/>
  <c r="AU422" s="1"/>
  <c r="AS166"/>
  <c r="AT165"/>
  <c r="AT258"/>
  <c r="AT354" s="1"/>
  <c r="AT450" s="1"/>
  <c r="AS165"/>
  <c r="AT163"/>
  <c r="AT256"/>
  <c r="AT352" s="1"/>
  <c r="AT448" s="1"/>
  <c r="AT167"/>
  <c r="AT260"/>
  <c r="AT356" s="1"/>
  <c r="AT452" s="1"/>
  <c r="AS173"/>
  <c r="S1" i="2" l="1"/>
  <c r="T20"/>
  <c r="Z2" i="6" s="1"/>
  <c r="S1" i="4"/>
  <c r="T20"/>
  <c r="S1" i="5"/>
  <c r="T20"/>
  <c r="AT166" i="6"/>
  <c r="AT259"/>
  <c r="AT355" s="1"/>
  <c r="AT451" s="1"/>
  <c r="AU136"/>
  <c r="AU231"/>
  <c r="AU327" s="1"/>
  <c r="AU423" s="1"/>
  <c r="AS176"/>
  <c r="AT170"/>
  <c r="AT263"/>
  <c r="AT359" s="1"/>
  <c r="AT455" s="1"/>
  <c r="AS169"/>
  <c r="AS168"/>
  <c r="AT168"/>
  <c r="AT261"/>
  <c r="AT357" s="1"/>
  <c r="AT453" s="1"/>
  <c r="T1" i="2" l="1"/>
  <c r="U20"/>
  <c r="AA2" i="6" s="1"/>
  <c r="T1" i="4"/>
  <c r="U20"/>
  <c r="T1" i="5"/>
  <c r="U20"/>
  <c r="AS171" i="6"/>
  <c r="AS179"/>
  <c r="AT169"/>
  <c r="AT262"/>
  <c r="AT358" s="1"/>
  <c r="AT454" s="1"/>
  <c r="AU137"/>
  <c r="AU232"/>
  <c r="AU328" s="1"/>
  <c r="AU424" s="1"/>
  <c r="AT171"/>
  <c r="AT264"/>
  <c r="AT360" s="1"/>
  <c r="AT456" s="1"/>
  <c r="AS172"/>
  <c r="AT173"/>
  <c r="AT266"/>
  <c r="AT362" s="1"/>
  <c r="AT458" s="1"/>
  <c r="U1" i="2" l="1"/>
  <c r="V20"/>
  <c r="AB2" i="6" s="1"/>
  <c r="V20" i="4"/>
  <c r="U1"/>
  <c r="U1" i="5"/>
  <c r="V20"/>
  <c r="AS174" i="6"/>
  <c r="AS175"/>
  <c r="AT174"/>
  <c r="AT267"/>
  <c r="AT363" s="1"/>
  <c r="AT459" s="1"/>
  <c r="AU233"/>
  <c r="AU329" s="1"/>
  <c r="AU425" s="1"/>
  <c r="AU138"/>
  <c r="AT172"/>
  <c r="AT265"/>
  <c r="AT361" s="1"/>
  <c r="AT457" s="1"/>
  <c r="AT176"/>
  <c r="AT269"/>
  <c r="AT365" s="1"/>
  <c r="AT461" s="1"/>
  <c r="AS182"/>
  <c r="V1" i="2" l="1"/>
  <c r="W20"/>
  <c r="AC2" i="6" s="1"/>
  <c r="V1" i="4"/>
  <c r="W20"/>
  <c r="V1" i="5"/>
  <c r="W20"/>
  <c r="AS177" i="6"/>
  <c r="AT175"/>
  <c r="AT268"/>
  <c r="AT364" s="1"/>
  <c r="AT460" s="1"/>
  <c r="AS185"/>
  <c r="AT179"/>
  <c r="AT272"/>
  <c r="AT368" s="1"/>
  <c r="AT464" s="1"/>
  <c r="AT177"/>
  <c r="AT270"/>
  <c r="AT366" s="1"/>
  <c r="AT462" s="1"/>
  <c r="AU139"/>
  <c r="AU234"/>
  <c r="AU330" s="1"/>
  <c r="AU426" s="1"/>
  <c r="AS178"/>
  <c r="W1" i="2" l="1"/>
  <c r="X20"/>
  <c r="AD2" i="6" s="1"/>
  <c r="W1" i="4"/>
  <c r="X20"/>
  <c r="W1" i="5"/>
  <c r="X20"/>
  <c r="AT180" i="6"/>
  <c r="AT273"/>
  <c r="AT369" s="1"/>
  <c r="AT465" s="1"/>
  <c r="AS180"/>
  <c r="AS188"/>
  <c r="AT178"/>
  <c r="AT271"/>
  <c r="AT367" s="1"/>
  <c r="AT463" s="1"/>
  <c r="AU140"/>
  <c r="AU235"/>
  <c r="AU331" s="1"/>
  <c r="AU427" s="1"/>
  <c r="AT182"/>
  <c r="AT275"/>
  <c r="AT371" s="1"/>
  <c r="AT467" s="1"/>
  <c r="AS181"/>
  <c r="X1" i="2" l="1"/>
  <c r="Y20"/>
  <c r="AE2" i="6" s="1"/>
  <c r="Y20" i="4"/>
  <c r="X1"/>
  <c r="X1" i="5"/>
  <c r="Y20"/>
  <c r="AS184" i="6"/>
  <c r="AS191"/>
  <c r="AT181"/>
  <c r="AT274"/>
  <c r="AT370" s="1"/>
  <c r="AT466" s="1"/>
  <c r="AS183"/>
  <c r="AT183"/>
  <c r="AT276"/>
  <c r="AT372" s="1"/>
  <c r="AT468" s="1"/>
  <c r="AT185"/>
  <c r="AT278"/>
  <c r="AT374" s="1"/>
  <c r="AT470" s="1"/>
  <c r="AU236"/>
  <c r="AU332" s="1"/>
  <c r="AU428" s="1"/>
  <c r="AU141"/>
  <c r="Y1" i="2" l="1"/>
  <c r="Z20"/>
  <c r="AF2" i="6" s="1"/>
  <c r="Y1" i="4"/>
  <c r="Z20"/>
  <c r="Y1" i="5"/>
  <c r="Z20"/>
  <c r="AS186" i="6"/>
  <c r="AT184"/>
  <c r="AT277"/>
  <c r="AT373" s="1"/>
  <c r="AT469" s="1"/>
  <c r="AS187"/>
  <c r="AT186"/>
  <c r="AT279"/>
  <c r="AT375" s="1"/>
  <c r="AT471" s="1"/>
  <c r="AU142"/>
  <c r="AU237"/>
  <c r="AU333" s="1"/>
  <c r="AU429" s="1"/>
  <c r="AT188"/>
  <c r="AT281"/>
  <c r="AT377" s="1"/>
  <c r="AT473" s="1"/>
  <c r="AS194"/>
  <c r="AA20" i="2" l="1"/>
  <c r="AG2" i="6" s="1"/>
  <c r="Z1" i="2"/>
  <c r="Z1" i="4"/>
  <c r="AA20"/>
  <c r="Z1" i="5"/>
  <c r="AA20"/>
  <c r="AS190" i="6"/>
  <c r="AT187"/>
  <c r="AT280"/>
  <c r="AT376" s="1"/>
  <c r="AT472" s="1"/>
  <c r="AT189"/>
  <c r="AT282"/>
  <c r="AT378" s="1"/>
  <c r="AT474" s="1"/>
  <c r="AS197"/>
  <c r="AT284"/>
  <c r="AT380" s="1"/>
  <c r="AT476" s="1"/>
  <c r="AT191"/>
  <c r="AU238"/>
  <c r="AU334" s="1"/>
  <c r="AU430" s="1"/>
  <c r="AU143"/>
  <c r="AS189"/>
  <c r="AA1" i="2" l="1"/>
  <c r="AB20"/>
  <c r="AH2" i="6" s="1"/>
  <c r="AB20" i="4"/>
  <c r="AA1"/>
  <c r="AA1" i="5"/>
  <c r="AB20"/>
  <c r="AT194" i="6"/>
  <c r="AT287"/>
  <c r="AT383" s="1"/>
  <c r="AT479" s="1"/>
  <c r="AT283"/>
  <c r="AT379" s="1"/>
  <c r="AT475" s="1"/>
  <c r="AT190"/>
  <c r="AS192"/>
  <c r="AS193"/>
  <c r="AU239"/>
  <c r="AU335" s="1"/>
  <c r="AU431" s="1"/>
  <c r="AU144"/>
  <c r="AS200"/>
  <c r="AT285"/>
  <c r="AT381" s="1"/>
  <c r="AT477" s="1"/>
  <c r="AT192"/>
  <c r="AC20" i="2" l="1"/>
  <c r="AI2" i="6" s="1"/>
  <c r="AB1" i="2"/>
  <c r="AB1" i="4"/>
  <c r="AC20"/>
  <c r="AB1" i="5"/>
  <c r="AC20"/>
  <c r="AT288" i="6"/>
  <c r="AT384" s="1"/>
  <c r="AT480" s="1"/>
  <c r="AT195"/>
  <c r="AS195"/>
  <c r="AU240"/>
  <c r="AU336" s="1"/>
  <c r="AU432" s="1"/>
  <c r="AU145"/>
  <c r="AT286"/>
  <c r="AT382" s="1"/>
  <c r="AT478" s="1"/>
  <c r="AT193"/>
  <c r="AS203"/>
  <c r="AT290"/>
  <c r="AT386" s="1"/>
  <c r="AT482" s="1"/>
  <c r="AT197"/>
  <c r="AS196"/>
  <c r="AC1" i="2" l="1"/>
  <c r="AD20"/>
  <c r="AJ2" i="6" s="1"/>
  <c r="AC1" i="4"/>
  <c r="AD20"/>
  <c r="AC1" i="5"/>
  <c r="AD20"/>
  <c r="AT293" i="6"/>
  <c r="AT389" s="1"/>
  <c r="AT485" s="1"/>
  <c r="AT200"/>
  <c r="AS198"/>
  <c r="AS206"/>
  <c r="AT198"/>
  <c r="AT291"/>
  <c r="AT387" s="1"/>
  <c r="AT483" s="1"/>
  <c r="AS199"/>
  <c r="AT289"/>
  <c r="AT385" s="1"/>
  <c r="AT481" s="1"/>
  <c r="AT196"/>
  <c r="AU241"/>
  <c r="AU337" s="1"/>
  <c r="AU433" s="1"/>
  <c r="AU146"/>
  <c r="AD1" i="2" l="1"/>
  <c r="AE20"/>
  <c r="AK2" i="6" s="1"/>
  <c r="AE20" i="4"/>
  <c r="AD1"/>
  <c r="AD1" i="5"/>
  <c r="AE20"/>
  <c r="AS209" i="6"/>
  <c r="AU242"/>
  <c r="AU338" s="1"/>
  <c r="AU434" s="1"/>
  <c r="AU147"/>
  <c r="AS202"/>
  <c r="AT294"/>
  <c r="AT390" s="1"/>
  <c r="AT486" s="1"/>
  <c r="AT201"/>
  <c r="AS201"/>
  <c r="AT296"/>
  <c r="AT392" s="1"/>
  <c r="AT488" s="1"/>
  <c r="AT203"/>
  <c r="AT292"/>
  <c r="AT388" s="1"/>
  <c r="AT484" s="1"/>
  <c r="AT199"/>
  <c r="AE1" i="2" l="1"/>
  <c r="AF20"/>
  <c r="AL2" i="6" s="1"/>
  <c r="AE1" i="4"/>
  <c r="AF20"/>
  <c r="AE1" i="5"/>
  <c r="AF20"/>
  <c r="AT202" i="6"/>
  <c r="AT295"/>
  <c r="AT391" s="1"/>
  <c r="AT487" s="1"/>
  <c r="AS204"/>
  <c r="AS212"/>
  <c r="AT297"/>
  <c r="AT393" s="1"/>
  <c r="AT489" s="1"/>
  <c r="AT204"/>
  <c r="AT299"/>
  <c r="AT395" s="1"/>
  <c r="AT491" s="1"/>
  <c r="AT206"/>
  <c r="AU243"/>
  <c r="AU339" s="1"/>
  <c r="AU435" s="1"/>
  <c r="AU148"/>
  <c r="AS205"/>
  <c r="AF1" i="2" l="1"/>
  <c r="AG20"/>
  <c r="AM2" i="6" s="1"/>
  <c r="AF1" i="4"/>
  <c r="AG20"/>
  <c r="AF1" i="5"/>
  <c r="AG20"/>
  <c r="AT209" i="6"/>
  <c r="AT302"/>
  <c r="AT398" s="1"/>
  <c r="AT494" s="1"/>
  <c r="AS207"/>
  <c r="AT205"/>
  <c r="AT298"/>
  <c r="AT394" s="1"/>
  <c r="AT490" s="1"/>
  <c r="AS208"/>
  <c r="AS215"/>
  <c r="AU244"/>
  <c r="AU340" s="1"/>
  <c r="AU436" s="1"/>
  <c r="AU149"/>
  <c r="AT207"/>
  <c r="AT300"/>
  <c r="AT396" s="1"/>
  <c r="AT492" s="1"/>
  <c r="AG1" i="2" l="1"/>
  <c r="AI20" s="1"/>
  <c r="AO2" i="6" s="1"/>
  <c r="AH20" i="2"/>
  <c r="AN2" i="6" s="1"/>
  <c r="AH20" i="4"/>
  <c r="AG1"/>
  <c r="AI20" s="1"/>
  <c r="AG1" i="5"/>
  <c r="AI20" s="1"/>
  <c r="AH20"/>
  <c r="AU245" i="6"/>
  <c r="AU341" s="1"/>
  <c r="AU437" s="1"/>
  <c r="AU150"/>
  <c r="AS218"/>
  <c r="AS210"/>
  <c r="AT212"/>
  <c r="AT308" s="1"/>
  <c r="AT404" s="1"/>
  <c r="AT500" s="1"/>
  <c r="AT305"/>
  <c r="AT401" s="1"/>
  <c r="AT497" s="1"/>
  <c r="AT210"/>
  <c r="AT303"/>
  <c r="AT399" s="1"/>
  <c r="AT495" s="1"/>
  <c r="AS211"/>
  <c r="AT208"/>
  <c r="AT301"/>
  <c r="AT397" s="1"/>
  <c r="AT493" s="1"/>
  <c r="AH11" i="2"/>
  <c r="C21" s="1"/>
  <c r="E21" s="1"/>
  <c r="AI11"/>
  <c r="K21" l="1"/>
  <c r="S21"/>
  <c r="H21"/>
  <c r="AB21"/>
  <c r="AI21"/>
  <c r="AG21"/>
  <c r="AA21"/>
  <c r="AH21"/>
  <c r="W21"/>
  <c r="T21"/>
  <c r="G21"/>
  <c r="AE21"/>
  <c r="O21"/>
  <c r="D21"/>
  <c r="Z21"/>
  <c r="X21"/>
  <c r="Q21"/>
  <c r="R21"/>
  <c r="V21"/>
  <c r="AD21"/>
  <c r="L21"/>
  <c r="U21"/>
  <c r="F21"/>
  <c r="I21"/>
  <c r="AF21"/>
  <c r="Y21"/>
  <c r="J21"/>
  <c r="AC21"/>
  <c r="N21"/>
  <c r="M21"/>
  <c r="P21"/>
  <c r="AJ11"/>
  <c r="AS214" i="6"/>
  <c r="AT213"/>
  <c r="AT309" s="1"/>
  <c r="AT405" s="1"/>
  <c r="AT501" s="1"/>
  <c r="AT306"/>
  <c r="AT402" s="1"/>
  <c r="AT498" s="1"/>
  <c r="AS221"/>
  <c r="AT211"/>
  <c r="AT304"/>
  <c r="AT400" s="1"/>
  <c r="AT496" s="1"/>
  <c r="AS213"/>
  <c r="AU246"/>
  <c r="AU342" s="1"/>
  <c r="AU438" s="1"/>
  <c r="AU151"/>
  <c r="AH11" i="4"/>
  <c r="C21" s="1"/>
  <c r="AI11"/>
  <c r="AY122" i="6"/>
  <c r="AY125"/>
  <c r="AY137"/>
  <c r="AY149"/>
  <c r="AY128"/>
  <c r="AY140"/>
  <c r="AY131"/>
  <c r="AY143"/>
  <c r="AY134"/>
  <c r="AY119"/>
  <c r="AY146"/>
  <c r="AJ11" i="4" l="1"/>
  <c r="H21"/>
  <c r="L21"/>
  <c r="P21"/>
  <c r="T21"/>
  <c r="X21"/>
  <c r="E21"/>
  <c r="Q21"/>
  <c r="U21"/>
  <c r="AC21"/>
  <c r="D21"/>
  <c r="AB21"/>
  <c r="AF21"/>
  <c r="I21"/>
  <c r="M21"/>
  <c r="Y21"/>
  <c r="G21"/>
  <c r="Z21"/>
  <c r="AA21"/>
  <c r="J21"/>
  <c r="N21"/>
  <c r="AE21"/>
  <c r="R21"/>
  <c r="AG21"/>
  <c r="V21"/>
  <c r="F21"/>
  <c r="W21"/>
  <c r="K21"/>
  <c r="AD21"/>
  <c r="O21"/>
  <c r="AH21"/>
  <c r="AI21"/>
  <c r="S21"/>
  <c r="AS216" i="6"/>
  <c r="AT307"/>
  <c r="AT403" s="1"/>
  <c r="AT499" s="1"/>
  <c r="AT214"/>
  <c r="AT310" s="1"/>
  <c r="AT406" s="1"/>
  <c r="AT502" s="1"/>
  <c r="AS224"/>
  <c r="AU247"/>
  <c r="AU343" s="1"/>
  <c r="AU439" s="1"/>
  <c r="AU152"/>
  <c r="AS217"/>
  <c r="AI12" i="2"/>
  <c r="AH12"/>
  <c r="C22" s="1"/>
  <c r="AH11" i="5"/>
  <c r="C21" s="1"/>
  <c r="AI11"/>
  <c r="AJ11" s="1"/>
  <c r="AH13" i="2"/>
  <c r="C23" s="1"/>
  <c r="E23" s="1"/>
  <c r="AI13"/>
  <c r="AY132" i="6"/>
  <c r="AY120"/>
  <c r="AY135"/>
  <c r="AY126"/>
  <c r="AY138"/>
  <c r="AY129"/>
  <c r="AY144"/>
  <c r="AY123"/>
  <c r="AY150"/>
  <c r="AY147"/>
  <c r="AY141"/>
  <c r="D23" i="2" l="1"/>
  <c r="D22"/>
  <c r="E22"/>
  <c r="J3" i="6"/>
  <c r="K21" i="5"/>
  <c r="O21"/>
  <c r="AA21"/>
  <c r="AE21"/>
  <c r="AI21"/>
  <c r="G21"/>
  <c r="W21"/>
  <c r="F21"/>
  <c r="J21"/>
  <c r="N21"/>
  <c r="R21"/>
  <c r="V21"/>
  <c r="Z21"/>
  <c r="AD21"/>
  <c r="AF21"/>
  <c r="Q21"/>
  <c r="D21"/>
  <c r="U21"/>
  <c r="E21"/>
  <c r="X21"/>
  <c r="S21"/>
  <c r="H21"/>
  <c r="AH21"/>
  <c r="AB21"/>
  <c r="P21"/>
  <c r="AG21"/>
  <c r="T21"/>
  <c r="Y21"/>
  <c r="I21"/>
  <c r="L21"/>
  <c r="AC21"/>
  <c r="M21"/>
  <c r="K22" i="2"/>
  <c r="H22"/>
  <c r="AI22"/>
  <c r="AB22"/>
  <c r="T22"/>
  <c r="AA22"/>
  <c r="AG22"/>
  <c r="AH22"/>
  <c r="Z22"/>
  <c r="S22"/>
  <c r="Q22"/>
  <c r="X22"/>
  <c r="R22"/>
  <c r="V22"/>
  <c r="AD22"/>
  <c r="G22"/>
  <c r="L22"/>
  <c r="U22"/>
  <c r="F22"/>
  <c r="AI14" s="1"/>
  <c r="I22"/>
  <c r="AE22"/>
  <c r="Y22"/>
  <c r="J22"/>
  <c r="O22"/>
  <c r="N22"/>
  <c r="M22"/>
  <c r="W22"/>
  <c r="AF22"/>
  <c r="AC22"/>
  <c r="P22"/>
  <c r="K23"/>
  <c r="S23"/>
  <c r="AI23"/>
  <c r="AH23"/>
  <c r="AA23"/>
  <c r="AG23"/>
  <c r="X23"/>
  <c r="H23"/>
  <c r="AB23"/>
  <c r="T23"/>
  <c r="Q23"/>
  <c r="Z23"/>
  <c r="R23"/>
  <c r="V23"/>
  <c r="AD23"/>
  <c r="G23"/>
  <c r="L23"/>
  <c r="U23"/>
  <c r="F23"/>
  <c r="I23"/>
  <c r="AF23"/>
  <c r="AE23"/>
  <c r="Y23"/>
  <c r="J23"/>
  <c r="O23"/>
  <c r="AC23"/>
  <c r="N23"/>
  <c r="M23"/>
  <c r="P23"/>
  <c r="W23"/>
  <c r="AJ12"/>
  <c r="AJ13"/>
  <c r="AS227" i="6"/>
  <c r="AU248"/>
  <c r="AU344" s="1"/>
  <c r="AU440" s="1"/>
  <c r="AU153"/>
  <c r="AS220"/>
  <c r="AS219"/>
  <c r="AI13" i="4"/>
  <c r="AJ13" s="1"/>
  <c r="AH13"/>
  <c r="C23" s="1"/>
  <c r="AH14"/>
  <c r="C24" s="1"/>
  <c r="AI14"/>
  <c r="AI12"/>
  <c r="AJ12" s="1"/>
  <c r="AH12"/>
  <c r="C22" s="1"/>
  <c r="AY151" i="6"/>
  <c r="AZ140"/>
  <c r="AY139"/>
  <c r="AY142"/>
  <c r="AY136"/>
  <c r="AY127"/>
  <c r="AZ149"/>
  <c r="AZ134"/>
  <c r="AZ146"/>
  <c r="AY145"/>
  <c r="AZ131"/>
  <c r="AY224"/>
  <c r="AZ125"/>
  <c r="AZ122"/>
  <c r="AY215"/>
  <c r="AZ119"/>
  <c r="AY221"/>
  <c r="AY121"/>
  <c r="AZ128"/>
  <c r="AY133"/>
  <c r="AY218"/>
  <c r="AZ143"/>
  <c r="AZ137"/>
  <c r="AY148"/>
  <c r="AY124"/>
  <c r="AY130"/>
  <c r="AY152"/>
  <c r="AJ14" i="4" l="1"/>
  <c r="AH14" i="2"/>
  <c r="C24" s="1"/>
  <c r="S24" s="1"/>
  <c r="H22" i="4"/>
  <c r="P22"/>
  <c r="AF22"/>
  <c r="Q22"/>
  <c r="U22"/>
  <c r="D22"/>
  <c r="L22"/>
  <c r="T22"/>
  <c r="X22"/>
  <c r="AB22"/>
  <c r="E22"/>
  <c r="I22"/>
  <c r="M22"/>
  <c r="Y22"/>
  <c r="AC22"/>
  <c r="R22"/>
  <c r="V22"/>
  <c r="F22"/>
  <c r="G22"/>
  <c r="Z22"/>
  <c r="AA22"/>
  <c r="K22"/>
  <c r="J22"/>
  <c r="AD22"/>
  <c r="N22"/>
  <c r="AE22"/>
  <c r="O22"/>
  <c r="AG22"/>
  <c r="W22"/>
  <c r="AH22"/>
  <c r="AI22"/>
  <c r="S22"/>
  <c r="L24"/>
  <c r="AF24"/>
  <c r="Q24"/>
  <c r="D24"/>
  <c r="H24"/>
  <c r="P24"/>
  <c r="T24"/>
  <c r="X24"/>
  <c r="AB24"/>
  <c r="E24"/>
  <c r="I24"/>
  <c r="M24"/>
  <c r="U24"/>
  <c r="Y24"/>
  <c r="AC24"/>
  <c r="R24"/>
  <c r="AG24"/>
  <c r="V24"/>
  <c r="F24"/>
  <c r="W24"/>
  <c r="Z24"/>
  <c r="AA24"/>
  <c r="K24"/>
  <c r="J24"/>
  <c r="AE24"/>
  <c r="AH24"/>
  <c r="AI24"/>
  <c r="S24"/>
  <c r="G24"/>
  <c r="AD24"/>
  <c r="N24"/>
  <c r="O24"/>
  <c r="D23"/>
  <c r="L23"/>
  <c r="P23"/>
  <c r="T23"/>
  <c r="X23"/>
  <c r="AB23"/>
  <c r="M23"/>
  <c r="AC23"/>
  <c r="H23"/>
  <c r="AF23"/>
  <c r="E23"/>
  <c r="I23"/>
  <c r="Q23"/>
  <c r="U23"/>
  <c r="Y23"/>
  <c r="R23"/>
  <c r="F23"/>
  <c r="Z23"/>
  <c r="AA23"/>
  <c r="K23"/>
  <c r="J23"/>
  <c r="O23"/>
  <c r="AH23"/>
  <c r="S23"/>
  <c r="AG23"/>
  <c r="V23"/>
  <c r="W23"/>
  <c r="G23"/>
  <c r="AD23"/>
  <c r="N23"/>
  <c r="AE23"/>
  <c r="AI23"/>
  <c r="BA149" i="6"/>
  <c r="BB149"/>
  <c r="BB134"/>
  <c r="BA134"/>
  <c r="BB128"/>
  <c r="BA128"/>
  <c r="BB122"/>
  <c r="BA122"/>
  <c r="BB140"/>
  <c r="BA140"/>
  <c r="BB146"/>
  <c r="BA146"/>
  <c r="BB119"/>
  <c r="BA119"/>
  <c r="BB137"/>
  <c r="BA137"/>
  <c r="BB125"/>
  <c r="BA125"/>
  <c r="BB143"/>
  <c r="BA143"/>
  <c r="BB131"/>
  <c r="BA131"/>
  <c r="AU249"/>
  <c r="AU345" s="1"/>
  <c r="AU441" s="1"/>
  <c r="AU154"/>
  <c r="AS230"/>
  <c r="AS223"/>
  <c r="AS222"/>
  <c r="AI12" i="5"/>
  <c r="AJ12" s="1"/>
  <c r="AH12"/>
  <c r="C22" s="1"/>
  <c r="AI15" i="2"/>
  <c r="AH15"/>
  <c r="C25" s="1"/>
  <c r="E25" s="1"/>
  <c r="AI14" i="5"/>
  <c r="AJ14" s="1"/>
  <c r="AH14"/>
  <c r="C24" s="1"/>
  <c r="AH13"/>
  <c r="C23" s="1"/>
  <c r="AI13"/>
  <c r="AZ126" i="6"/>
  <c r="AZ135"/>
  <c r="AZ123"/>
  <c r="AZ150"/>
  <c r="AZ132"/>
  <c r="K6"/>
  <c r="J31"/>
  <c r="AZ144"/>
  <c r="AY216"/>
  <c r="AZ141"/>
  <c r="AZ129"/>
  <c r="AY219"/>
  <c r="AY153"/>
  <c r="J6"/>
  <c r="AZ120"/>
  <c r="AZ147"/>
  <c r="K31"/>
  <c r="AZ138"/>
  <c r="AZ152"/>
  <c r="AY227"/>
  <c r="M24" i="2" l="1"/>
  <c r="D24"/>
  <c r="D25"/>
  <c r="Y24"/>
  <c r="G24"/>
  <c r="H24"/>
  <c r="E24"/>
  <c r="AJ13" i="5"/>
  <c r="V24" i="2"/>
  <c r="W24"/>
  <c r="F24"/>
  <c r="AJ14"/>
  <c r="AH24"/>
  <c r="R24"/>
  <c r="AE24"/>
  <c r="N24"/>
  <c r="AB24"/>
  <c r="Q24"/>
  <c r="P24"/>
  <c r="AF24"/>
  <c r="X24"/>
  <c r="K24"/>
  <c r="AD24"/>
  <c r="AC24"/>
  <c r="I24"/>
  <c r="Z24"/>
  <c r="L24"/>
  <c r="AG24"/>
  <c r="T24"/>
  <c r="O24"/>
  <c r="AA24"/>
  <c r="J24"/>
  <c r="AH16" s="1"/>
  <c r="C26" s="1"/>
  <c r="D26" s="1"/>
  <c r="AI24"/>
  <c r="U24"/>
  <c r="G23" i="5"/>
  <c r="K23"/>
  <c r="O23"/>
  <c r="W23"/>
  <c r="AE23"/>
  <c r="F23"/>
  <c r="R23"/>
  <c r="AI23"/>
  <c r="AA23"/>
  <c r="J23"/>
  <c r="N23"/>
  <c r="V23"/>
  <c r="Z23"/>
  <c r="AD23"/>
  <c r="AF23"/>
  <c r="Q23"/>
  <c r="T23"/>
  <c r="U23"/>
  <c r="E23"/>
  <c r="Y23"/>
  <c r="H23"/>
  <c r="L23"/>
  <c r="AG23"/>
  <c r="D23"/>
  <c r="X23"/>
  <c r="S23"/>
  <c r="I23"/>
  <c r="AH23"/>
  <c r="AB23"/>
  <c r="AC23"/>
  <c r="M23"/>
  <c r="P23"/>
  <c r="AA22"/>
  <c r="AE22"/>
  <c r="F22"/>
  <c r="J22"/>
  <c r="N22"/>
  <c r="R22"/>
  <c r="V22"/>
  <c r="Z22"/>
  <c r="AD22"/>
  <c r="AI22"/>
  <c r="G22"/>
  <c r="K22"/>
  <c r="O22"/>
  <c r="W22"/>
  <c r="Q22"/>
  <c r="D22"/>
  <c r="U22"/>
  <c r="E22"/>
  <c r="X22"/>
  <c r="Y22"/>
  <c r="H22"/>
  <c r="I22"/>
  <c r="AB22"/>
  <c r="L22"/>
  <c r="AC22"/>
  <c r="M22"/>
  <c r="P22"/>
  <c r="AG22"/>
  <c r="AF22"/>
  <c r="T22"/>
  <c r="S22"/>
  <c r="AH22"/>
  <c r="K24"/>
  <c r="O24"/>
  <c r="W24"/>
  <c r="G24"/>
  <c r="AA24"/>
  <c r="AE24"/>
  <c r="F24"/>
  <c r="J24"/>
  <c r="N24"/>
  <c r="R24"/>
  <c r="V24"/>
  <c r="Z24"/>
  <c r="AD24"/>
  <c r="AI24"/>
  <c r="AF24"/>
  <c r="Q24"/>
  <c r="T24"/>
  <c r="D24"/>
  <c r="U24"/>
  <c r="E24"/>
  <c r="X24"/>
  <c r="Y24"/>
  <c r="S24"/>
  <c r="H24"/>
  <c r="I24"/>
  <c r="AH24"/>
  <c r="AB24"/>
  <c r="M24"/>
  <c r="P24"/>
  <c r="L24"/>
  <c r="AC24"/>
  <c r="AG24"/>
  <c r="BB150" i="6"/>
  <c r="BA150"/>
  <c r="BB138"/>
  <c r="BA138"/>
  <c r="BB129"/>
  <c r="BA129"/>
  <c r="BB147"/>
  <c r="BA147"/>
  <c r="BB123"/>
  <c r="BA123"/>
  <c r="BB144"/>
  <c r="BA144"/>
  <c r="BB132"/>
  <c r="BA132"/>
  <c r="BB141"/>
  <c r="BA141"/>
  <c r="BB126"/>
  <c r="BA126"/>
  <c r="BB135"/>
  <c r="BA135"/>
  <c r="BB120"/>
  <c r="BA120"/>
  <c r="H25" i="2"/>
  <c r="AB25"/>
  <c r="AA25"/>
  <c r="AG25"/>
  <c r="AI25"/>
  <c r="AH25"/>
  <c r="K25"/>
  <c r="S25"/>
  <c r="Z25"/>
  <c r="W25"/>
  <c r="X25"/>
  <c r="Q25"/>
  <c r="T25"/>
  <c r="R25"/>
  <c r="V25"/>
  <c r="AD25"/>
  <c r="G25"/>
  <c r="L25"/>
  <c r="U25"/>
  <c r="F25"/>
  <c r="I25"/>
  <c r="AF25"/>
  <c r="AE25"/>
  <c r="Y25"/>
  <c r="J25"/>
  <c r="O25"/>
  <c r="AC25"/>
  <c r="N25"/>
  <c r="M25"/>
  <c r="P25"/>
  <c r="AJ15"/>
  <c r="BB152" i="6"/>
  <c r="BA152"/>
  <c r="AS225"/>
  <c r="AS233"/>
  <c r="AS226"/>
  <c r="AU250"/>
  <c r="AU346" s="1"/>
  <c r="AU442" s="1"/>
  <c r="AU155"/>
  <c r="AH15" i="4"/>
  <c r="C25" s="1"/>
  <c r="AI15"/>
  <c r="AJ15" s="1"/>
  <c r="AI16" i="2"/>
  <c r="AZ215" i="6"/>
  <c r="AZ218"/>
  <c r="AZ221"/>
  <c r="AZ224"/>
  <c r="AZ130"/>
  <c r="AZ216"/>
  <c r="AY217"/>
  <c r="AZ148"/>
  <c r="AY222"/>
  <c r="AZ124"/>
  <c r="AZ127"/>
  <c r="K32"/>
  <c r="AY220"/>
  <c r="AY154"/>
  <c r="J9"/>
  <c r="K9"/>
  <c r="AZ136"/>
  <c r="AZ145"/>
  <c r="AZ227"/>
  <c r="AZ139"/>
  <c r="AZ151"/>
  <c r="J35"/>
  <c r="K7"/>
  <c r="AZ142"/>
  <c r="AY223"/>
  <c r="K35"/>
  <c r="J7"/>
  <c r="AY230"/>
  <c r="AZ121"/>
  <c r="AZ219"/>
  <c r="AZ133"/>
  <c r="AZ153"/>
  <c r="J32"/>
  <c r="BA215" l="1"/>
  <c r="BB215"/>
  <c r="BA224"/>
  <c r="BB224"/>
  <c r="BA221"/>
  <c r="BB221"/>
  <c r="BA218"/>
  <c r="BB218"/>
  <c r="E26" i="2"/>
  <c r="BA216" i="6"/>
  <c r="BB216"/>
  <c r="BB133"/>
  <c r="BA133"/>
  <c r="BB130"/>
  <c r="BA130"/>
  <c r="BA151"/>
  <c r="BB151"/>
  <c r="BB127"/>
  <c r="BA127"/>
  <c r="BB148"/>
  <c r="BA148"/>
  <c r="BB145"/>
  <c r="BA145"/>
  <c r="BB136"/>
  <c r="BA136"/>
  <c r="BB124"/>
  <c r="BA124"/>
  <c r="BB121"/>
  <c r="BA121"/>
  <c r="BB142"/>
  <c r="BA142"/>
  <c r="BB139"/>
  <c r="BA139"/>
  <c r="H25" i="4"/>
  <c r="X25"/>
  <c r="AB25"/>
  <c r="E25"/>
  <c r="I25"/>
  <c r="Y25"/>
  <c r="D25"/>
  <c r="L25"/>
  <c r="P25"/>
  <c r="T25"/>
  <c r="AF25"/>
  <c r="M25"/>
  <c r="Q25"/>
  <c r="U25"/>
  <c r="AC25"/>
  <c r="AG25"/>
  <c r="V25"/>
  <c r="W25"/>
  <c r="G25"/>
  <c r="K25"/>
  <c r="AD25"/>
  <c r="N25"/>
  <c r="O25"/>
  <c r="AH25"/>
  <c r="AI25"/>
  <c r="R25"/>
  <c r="F25"/>
  <c r="Z25"/>
  <c r="AA25"/>
  <c r="J25"/>
  <c r="AE25"/>
  <c r="S25"/>
  <c r="S26" i="2"/>
  <c r="Y3" i="6" s="1"/>
  <c r="H26" i="2"/>
  <c r="N3" i="6" s="1"/>
  <c r="AA26" i="2"/>
  <c r="AG3" i="6" s="1"/>
  <c r="AG26" i="2"/>
  <c r="AB26"/>
  <c r="AH3" i="6" s="1"/>
  <c r="AI26" i="2"/>
  <c r="AH26"/>
  <c r="K26"/>
  <c r="Q3" i="6" s="1"/>
  <c r="X26" i="2"/>
  <c r="AD3" i="6" s="1"/>
  <c r="Q26" i="2"/>
  <c r="W3" i="6" s="1"/>
  <c r="T26" i="2"/>
  <c r="Z3" i="6" s="1"/>
  <c r="W26" i="2"/>
  <c r="AC3" i="6" s="1"/>
  <c r="L26" i="2"/>
  <c r="R3" i="6" s="1"/>
  <c r="AC26" i="2"/>
  <c r="AI3" i="6" s="1"/>
  <c r="Z26" i="2"/>
  <c r="AF3" i="6" s="1"/>
  <c r="R26" i="2"/>
  <c r="X3" i="6" s="1"/>
  <c r="V26" i="2"/>
  <c r="AB3" i="6" s="1"/>
  <c r="AD26" i="2"/>
  <c r="AJ3" i="6" s="1"/>
  <c r="G26" i="2"/>
  <c r="M3" i="6" s="1"/>
  <c r="U26" i="2"/>
  <c r="AA3" i="6" s="1"/>
  <c r="F26" i="2"/>
  <c r="L3" i="6" s="1"/>
  <c r="I26" i="2"/>
  <c r="O3" i="6" s="1"/>
  <c r="AF26" i="2"/>
  <c r="AL3" i="6" s="1"/>
  <c r="AE26" i="2"/>
  <c r="AK3" i="6" s="1"/>
  <c r="Y26" i="2"/>
  <c r="AE3" i="6" s="1"/>
  <c r="J26" i="2"/>
  <c r="P3" i="6" s="1"/>
  <c r="O26" i="2"/>
  <c r="U3" i="6" s="1"/>
  <c r="U7" s="1"/>
  <c r="N26" i="2"/>
  <c r="T3" i="6" s="1"/>
  <c r="M26" i="2"/>
  <c r="S3" i="6" s="1"/>
  <c r="P26" i="2"/>
  <c r="V3" i="6" s="1"/>
  <c r="AJ16" i="2"/>
  <c r="BB153" i="6"/>
  <c r="BA153"/>
  <c r="BB219"/>
  <c r="BA219"/>
  <c r="BB227"/>
  <c r="BA227"/>
  <c r="AU251"/>
  <c r="AU347" s="1"/>
  <c r="AU443" s="1"/>
  <c r="AU156"/>
  <c r="AS228"/>
  <c r="AS229"/>
  <c r="AS236"/>
  <c r="AI16" i="4"/>
  <c r="AJ16" s="1"/>
  <c r="AH16"/>
  <c r="C26" s="1"/>
  <c r="AI15" i="5"/>
  <c r="AJ15" s="1"/>
  <c r="AH15"/>
  <c r="C25" s="1"/>
  <c r="AI17" i="2"/>
  <c r="AH17"/>
  <c r="C27" s="1"/>
  <c r="E27" s="1"/>
  <c r="L39" i="6"/>
  <c r="L8"/>
  <c r="M31"/>
  <c r="M32"/>
  <c r="AY226"/>
  <c r="AY233"/>
  <c r="J8"/>
  <c r="N8"/>
  <c r="AZ220"/>
  <c r="N39"/>
  <c r="N9"/>
  <c r="M7"/>
  <c r="AY155"/>
  <c r="J36"/>
  <c r="AZ217"/>
  <c r="AZ230"/>
  <c r="M39"/>
  <c r="M8"/>
  <c r="N35"/>
  <c r="N32"/>
  <c r="K36"/>
  <c r="N31"/>
  <c r="AZ222"/>
  <c r="AZ223"/>
  <c r="N7"/>
  <c r="J39"/>
  <c r="M35"/>
  <c r="K8"/>
  <c r="N6"/>
  <c r="M6"/>
  <c r="AY225"/>
  <c r="K10"/>
  <c r="M9"/>
  <c r="AZ154"/>
  <c r="K39"/>
  <c r="J10"/>
  <c r="D27" i="2" l="1"/>
  <c r="U35" i="6"/>
  <c r="S31"/>
  <c r="S6"/>
  <c r="S7"/>
  <c r="S35"/>
  <c r="S39"/>
  <c r="S8"/>
  <c r="S24"/>
  <c r="S18"/>
  <c r="L31"/>
  <c r="L6"/>
  <c r="L35"/>
  <c r="L9"/>
  <c r="L7"/>
  <c r="L32"/>
  <c r="R31"/>
  <c r="R6"/>
  <c r="R35"/>
  <c r="R7"/>
  <c r="R8"/>
  <c r="R39"/>
  <c r="R24"/>
  <c r="R18"/>
  <c r="AI18" i="2"/>
  <c r="P6" i="6"/>
  <c r="P31"/>
  <c r="P35"/>
  <c r="P7"/>
  <c r="P8"/>
  <c r="P39"/>
  <c r="P18"/>
  <c r="P24"/>
  <c r="O31"/>
  <c r="O6"/>
  <c r="O35"/>
  <c r="O7"/>
  <c r="O8"/>
  <c r="O39"/>
  <c r="O24"/>
  <c r="O18"/>
  <c r="U31"/>
  <c r="U6"/>
  <c r="T31"/>
  <c r="T6"/>
  <c r="T35"/>
  <c r="T7"/>
  <c r="T8"/>
  <c r="T39"/>
  <c r="T18"/>
  <c r="T24"/>
  <c r="Q6"/>
  <c r="Q31"/>
  <c r="Q7"/>
  <c r="Q35"/>
  <c r="Q8"/>
  <c r="Q39"/>
  <c r="Q24"/>
  <c r="Q18"/>
  <c r="BB220"/>
  <c r="BA220"/>
  <c r="BA217"/>
  <c r="BB217"/>
  <c r="K24"/>
  <c r="K18"/>
  <c r="L24"/>
  <c r="L18"/>
  <c r="M24"/>
  <c r="M18"/>
  <c r="N24"/>
  <c r="N18"/>
  <c r="J18"/>
  <c r="J24"/>
  <c r="G25" i="5"/>
  <c r="J25"/>
  <c r="N25"/>
  <c r="V25"/>
  <c r="Z25"/>
  <c r="AD25"/>
  <c r="K25"/>
  <c r="O25"/>
  <c r="W25"/>
  <c r="AA25"/>
  <c r="AE25"/>
  <c r="F25"/>
  <c r="R25"/>
  <c r="AI25"/>
  <c r="T25"/>
  <c r="D25"/>
  <c r="S25"/>
  <c r="I25"/>
  <c r="AH25"/>
  <c r="AB25"/>
  <c r="L25"/>
  <c r="AC25"/>
  <c r="M25"/>
  <c r="P25"/>
  <c r="AF25"/>
  <c r="Q25"/>
  <c r="U25"/>
  <c r="E25"/>
  <c r="X25"/>
  <c r="Y25"/>
  <c r="H25"/>
  <c r="AG25"/>
  <c r="D26" i="4"/>
  <c r="H26"/>
  <c r="L26"/>
  <c r="P26"/>
  <c r="T26"/>
  <c r="X26"/>
  <c r="AB26"/>
  <c r="E26"/>
  <c r="I26"/>
  <c r="M26"/>
  <c r="Y26"/>
  <c r="AC26"/>
  <c r="AF26"/>
  <c r="Q26"/>
  <c r="U26"/>
  <c r="AG26"/>
  <c r="W26"/>
  <c r="AH26"/>
  <c r="AI26"/>
  <c r="S26"/>
  <c r="R26"/>
  <c r="V26"/>
  <c r="F26"/>
  <c r="G26"/>
  <c r="Z26"/>
  <c r="AA26"/>
  <c r="K26"/>
  <c r="J26"/>
  <c r="AD26"/>
  <c r="N26"/>
  <c r="AE26"/>
  <c r="O26"/>
  <c r="Z27" i="2"/>
  <c r="T27"/>
  <c r="AA27"/>
  <c r="AH27"/>
  <c r="AB27"/>
  <c r="AI27"/>
  <c r="AG27"/>
  <c r="K27"/>
  <c r="S27"/>
  <c r="H27"/>
  <c r="Q27"/>
  <c r="R27"/>
  <c r="V27"/>
  <c r="AD27"/>
  <c r="L27"/>
  <c r="U27"/>
  <c r="F27"/>
  <c r="I27"/>
  <c r="AF27"/>
  <c r="Y27"/>
  <c r="J27"/>
  <c r="AC27"/>
  <c r="N27"/>
  <c r="M27"/>
  <c r="P27"/>
  <c r="W27"/>
  <c r="X27"/>
  <c r="G27"/>
  <c r="AE27"/>
  <c r="O27"/>
  <c r="AJ17"/>
  <c r="BB222" i="6"/>
  <c r="BA222"/>
  <c r="BB223"/>
  <c r="BA223"/>
  <c r="BB154"/>
  <c r="BA154"/>
  <c r="BB230"/>
  <c r="BA230"/>
  <c r="AU252"/>
  <c r="AU348" s="1"/>
  <c r="AU444" s="1"/>
  <c r="AU157"/>
  <c r="AS239"/>
  <c r="AS231"/>
  <c r="AS232"/>
  <c r="AH18" i="2"/>
  <c r="C28" s="1"/>
  <c r="D28" s="1"/>
  <c r="AI16" i="5"/>
  <c r="AJ16" s="1"/>
  <c r="AH16"/>
  <c r="C26" s="1"/>
  <c r="AH17" i="4"/>
  <c r="C27" s="1"/>
  <c r="AI17"/>
  <c r="AJ17" s="1"/>
  <c r="AM3" i="6"/>
  <c r="AN3"/>
  <c r="U8"/>
  <c r="O32"/>
  <c r="U39"/>
  <c r="O9"/>
  <c r="L11"/>
  <c r="L40"/>
  <c r="L36"/>
  <c r="L10"/>
  <c r="AY156"/>
  <c r="K40"/>
  <c r="AY236"/>
  <c r="AZ225"/>
  <c r="AZ233"/>
  <c r="J11"/>
  <c r="AY228"/>
  <c r="K11"/>
  <c r="AZ226"/>
  <c r="AZ155"/>
  <c r="AY229"/>
  <c r="J40"/>
  <c r="E28" i="2" l="1"/>
  <c r="J25" i="6"/>
  <c r="J19"/>
  <c r="K19"/>
  <c r="K25"/>
  <c r="G26" i="5"/>
  <c r="AA26"/>
  <c r="AE26"/>
  <c r="F26"/>
  <c r="J26"/>
  <c r="N26"/>
  <c r="R26"/>
  <c r="V26"/>
  <c r="Z26"/>
  <c r="AD26"/>
  <c r="AI26"/>
  <c r="K26"/>
  <c r="O26"/>
  <c r="W26"/>
  <c r="AF26"/>
  <c r="T26"/>
  <c r="Q26"/>
  <c r="D26"/>
  <c r="U26"/>
  <c r="E26"/>
  <c r="X26"/>
  <c r="Y26"/>
  <c r="S26"/>
  <c r="H26"/>
  <c r="I26"/>
  <c r="AH26"/>
  <c r="AB26"/>
  <c r="L26"/>
  <c r="AC26"/>
  <c r="M26"/>
  <c r="P26"/>
  <c r="AG26"/>
  <c r="D27" i="4"/>
  <c r="AF27"/>
  <c r="I27"/>
  <c r="M27"/>
  <c r="Q27"/>
  <c r="U27"/>
  <c r="Y27"/>
  <c r="H27"/>
  <c r="L27"/>
  <c r="P27"/>
  <c r="T27"/>
  <c r="X27"/>
  <c r="AB27"/>
  <c r="E27"/>
  <c r="AC27"/>
  <c r="R27"/>
  <c r="AG27"/>
  <c r="V27"/>
  <c r="F27"/>
  <c r="W27"/>
  <c r="AD27"/>
  <c r="AE27"/>
  <c r="S27"/>
  <c r="G27"/>
  <c r="Z27"/>
  <c r="AA27"/>
  <c r="K27"/>
  <c r="J27"/>
  <c r="N27"/>
  <c r="O27"/>
  <c r="AH27"/>
  <c r="AI27"/>
  <c r="S28" i="2"/>
  <c r="AB28"/>
  <c r="AI28"/>
  <c r="AA28"/>
  <c r="AG28"/>
  <c r="AH28"/>
  <c r="K28"/>
  <c r="H28"/>
  <c r="X28"/>
  <c r="AF28"/>
  <c r="AC28"/>
  <c r="P28"/>
  <c r="Z28"/>
  <c r="Q28"/>
  <c r="T28"/>
  <c r="W28"/>
  <c r="R28"/>
  <c r="V28"/>
  <c r="AD28"/>
  <c r="G28"/>
  <c r="L28"/>
  <c r="U28"/>
  <c r="F28"/>
  <c r="I28"/>
  <c r="AE28"/>
  <c r="Y28"/>
  <c r="J28"/>
  <c r="O28"/>
  <c r="N28"/>
  <c r="M28"/>
  <c r="AJ18"/>
  <c r="L19" i="6"/>
  <c r="U18"/>
  <c r="U24"/>
  <c r="L25"/>
  <c r="BB155"/>
  <c r="BA155"/>
  <c r="BB226"/>
  <c r="BA226"/>
  <c r="BB225"/>
  <c r="BA225"/>
  <c r="BB233"/>
  <c r="BA233"/>
  <c r="AS242"/>
  <c r="AS235"/>
  <c r="AU253"/>
  <c r="AU349" s="1"/>
  <c r="AU445" s="1"/>
  <c r="AU158"/>
  <c r="AS234"/>
  <c r="AI18" i="4"/>
  <c r="AH18" i="5"/>
  <c r="C28" s="1"/>
  <c r="AH18" i="4"/>
  <c r="C28" s="1"/>
  <c r="AI17" i="5"/>
  <c r="AH17"/>
  <c r="C27" s="1"/>
  <c r="AI18"/>
  <c r="AJ18" s="1"/>
  <c r="P32" i="6"/>
  <c r="P9"/>
  <c r="V31"/>
  <c r="V6"/>
  <c r="AZ236"/>
  <c r="AY157"/>
  <c r="AY231"/>
  <c r="AZ156"/>
  <c r="M40"/>
  <c r="AZ228"/>
  <c r="M10"/>
  <c r="M36"/>
  <c r="AY239"/>
  <c r="AZ229"/>
  <c r="M11"/>
  <c r="AY232"/>
  <c r="AJ17" i="5" l="1"/>
  <c r="AJ18" i="4"/>
  <c r="G27" i="5"/>
  <c r="W27"/>
  <c r="AA27"/>
  <c r="F27"/>
  <c r="J27"/>
  <c r="N27"/>
  <c r="R27"/>
  <c r="V27"/>
  <c r="Z27"/>
  <c r="AD27"/>
  <c r="K27"/>
  <c r="O27"/>
  <c r="AE27"/>
  <c r="AI27"/>
  <c r="X27"/>
  <c r="Y27"/>
  <c r="I27"/>
  <c r="AH27"/>
  <c r="AC27"/>
  <c r="M27"/>
  <c r="AF27"/>
  <c r="Q27"/>
  <c r="T27"/>
  <c r="D27"/>
  <c r="U27"/>
  <c r="E27"/>
  <c r="S27"/>
  <c r="H27"/>
  <c r="AB27"/>
  <c r="L27"/>
  <c r="P27"/>
  <c r="AG27"/>
  <c r="K28"/>
  <c r="O28"/>
  <c r="W28"/>
  <c r="G28"/>
  <c r="AA28"/>
  <c r="AE28"/>
  <c r="F28"/>
  <c r="J28"/>
  <c r="N28"/>
  <c r="R28"/>
  <c r="V28"/>
  <c r="Z28"/>
  <c r="AD28"/>
  <c r="AI28"/>
  <c r="S28"/>
  <c r="L28"/>
  <c r="AC28"/>
  <c r="AF28"/>
  <c r="Q28"/>
  <c r="T28"/>
  <c r="D28"/>
  <c r="U28"/>
  <c r="E28"/>
  <c r="X28"/>
  <c r="Y28"/>
  <c r="H28"/>
  <c r="I28"/>
  <c r="AH28"/>
  <c r="AB28"/>
  <c r="M28"/>
  <c r="P28"/>
  <c r="AG28"/>
  <c r="D28" i="4"/>
  <c r="T28"/>
  <c r="AB28"/>
  <c r="AF28"/>
  <c r="E28"/>
  <c r="I28"/>
  <c r="M28"/>
  <c r="U28"/>
  <c r="Y28"/>
  <c r="AC28"/>
  <c r="H28"/>
  <c r="L28"/>
  <c r="P28"/>
  <c r="X28"/>
  <c r="Q28"/>
  <c r="G28"/>
  <c r="AD28"/>
  <c r="N28"/>
  <c r="O28"/>
  <c r="AI28"/>
  <c r="R28"/>
  <c r="AG28"/>
  <c r="V28"/>
  <c r="F28"/>
  <c r="W28"/>
  <c r="Z28"/>
  <c r="AA28"/>
  <c r="K28"/>
  <c r="J28"/>
  <c r="AE28"/>
  <c r="AH28"/>
  <c r="S28"/>
  <c r="M19" i="6"/>
  <c r="M25"/>
  <c r="BB229"/>
  <c r="BA229"/>
  <c r="BB228"/>
  <c r="BA228"/>
  <c r="BB156"/>
  <c r="BA156"/>
  <c r="BB236"/>
  <c r="BA236"/>
  <c r="AS237"/>
  <c r="AS245"/>
  <c r="AU254"/>
  <c r="AU350" s="1"/>
  <c r="AU446" s="1"/>
  <c r="AU159"/>
  <c r="AS238"/>
  <c r="AO3"/>
  <c r="Q9"/>
  <c r="V35"/>
  <c r="Q32"/>
  <c r="V7"/>
  <c r="AZ231"/>
  <c r="AY235"/>
  <c r="N10"/>
  <c r="AZ239"/>
  <c r="N11"/>
  <c r="AY158"/>
  <c r="AZ232"/>
  <c r="N40"/>
  <c r="AY234"/>
  <c r="AZ157"/>
  <c r="N36"/>
  <c r="AY242"/>
  <c r="N19" l="1"/>
  <c r="N25"/>
  <c r="BB157"/>
  <c r="BA157"/>
  <c r="BB232"/>
  <c r="BA232"/>
  <c r="BB231"/>
  <c r="BA231"/>
  <c r="BB239"/>
  <c r="BA239"/>
  <c r="AS240"/>
  <c r="AS241"/>
  <c r="AU255"/>
  <c r="AU351" s="1"/>
  <c r="AU447" s="1"/>
  <c r="AU160"/>
  <c r="AS248"/>
  <c r="V8"/>
  <c r="O36"/>
  <c r="O11"/>
  <c r="R9"/>
  <c r="V39"/>
  <c r="R32"/>
  <c r="O10"/>
  <c r="O40"/>
  <c r="AY159"/>
  <c r="AZ235"/>
  <c r="AZ242"/>
  <c r="AY238"/>
  <c r="AY245"/>
  <c r="AZ234"/>
  <c r="AZ158"/>
  <c r="AY237"/>
  <c r="O19" l="1"/>
  <c r="V18"/>
  <c r="O25"/>
  <c r="V24"/>
  <c r="BB234"/>
  <c r="BA234"/>
  <c r="BB235"/>
  <c r="BA235"/>
  <c r="BB158"/>
  <c r="BA158"/>
  <c r="BB242"/>
  <c r="BA242"/>
  <c r="AS251"/>
  <c r="AS243"/>
  <c r="AU256"/>
  <c r="AU352" s="1"/>
  <c r="AU448" s="1"/>
  <c r="AU161"/>
  <c r="AS244"/>
  <c r="P40"/>
  <c r="W31"/>
  <c r="P11"/>
  <c r="S32"/>
  <c r="P36"/>
  <c r="P10"/>
  <c r="S9"/>
  <c r="W6"/>
  <c r="AZ237"/>
  <c r="AZ238"/>
  <c r="AY248"/>
  <c r="AY160"/>
  <c r="AY240"/>
  <c r="AY241"/>
  <c r="AZ245"/>
  <c r="AZ159"/>
  <c r="P19" l="1"/>
  <c r="P25"/>
  <c r="BB159"/>
  <c r="BA159"/>
  <c r="BB237"/>
  <c r="BA237"/>
  <c r="BB238"/>
  <c r="BA238"/>
  <c r="BB245"/>
  <c r="BA245"/>
  <c r="AS247"/>
  <c r="AU257"/>
  <c r="AU353" s="1"/>
  <c r="AU449" s="1"/>
  <c r="AU162"/>
  <c r="AS246"/>
  <c r="AS254"/>
  <c r="W7"/>
  <c r="T9"/>
  <c r="T32"/>
  <c r="W35"/>
  <c r="Q40"/>
  <c r="Q11"/>
  <c r="Q36"/>
  <c r="Q10"/>
  <c r="AY244"/>
  <c r="AY243"/>
  <c r="AZ240"/>
  <c r="AY161"/>
  <c r="AZ160"/>
  <c r="AZ241"/>
  <c r="AZ248"/>
  <c r="AY251"/>
  <c r="Q19" l="1"/>
  <c r="Q25"/>
  <c r="BB160"/>
  <c r="BA160"/>
  <c r="BB240"/>
  <c r="BA240"/>
  <c r="BB241"/>
  <c r="BA241"/>
  <c r="BB248"/>
  <c r="BA248"/>
  <c r="AS249"/>
  <c r="AS257"/>
  <c r="AU258"/>
  <c r="AU354" s="1"/>
  <c r="AU450" s="1"/>
  <c r="AU163"/>
  <c r="AS250"/>
  <c r="R36"/>
  <c r="W8"/>
  <c r="W39"/>
  <c r="R40"/>
  <c r="U32"/>
  <c r="R10"/>
  <c r="R11"/>
  <c r="U9"/>
  <c r="AY246"/>
  <c r="AZ251"/>
  <c r="AY162"/>
  <c r="AY254"/>
  <c r="AZ244"/>
  <c r="AZ243"/>
  <c r="AZ161"/>
  <c r="AY247"/>
  <c r="W18" l="1"/>
  <c r="R19"/>
  <c r="R25"/>
  <c r="W24"/>
  <c r="BB243"/>
  <c r="BA243"/>
  <c r="BB161"/>
  <c r="BA161"/>
  <c r="BB244"/>
  <c r="BA244"/>
  <c r="BB251"/>
  <c r="BA251"/>
  <c r="AS253"/>
  <c r="AU259"/>
  <c r="AU355" s="1"/>
  <c r="AU451" s="1"/>
  <c r="AU164"/>
  <c r="AS260"/>
  <c r="AS252"/>
  <c r="V9"/>
  <c r="S11"/>
  <c r="S10"/>
  <c r="S40"/>
  <c r="X6"/>
  <c r="V32"/>
  <c r="S36"/>
  <c r="X31"/>
  <c r="AY250"/>
  <c r="AZ247"/>
  <c r="AY257"/>
  <c r="AZ254"/>
  <c r="AZ162"/>
  <c r="AY249"/>
  <c r="AZ246"/>
  <c r="AY163"/>
  <c r="S19" l="1"/>
  <c r="S25"/>
  <c r="BB247"/>
  <c r="BA247"/>
  <c r="BB246"/>
  <c r="BA246"/>
  <c r="BB162"/>
  <c r="BA162"/>
  <c r="BB254"/>
  <c r="BA254"/>
  <c r="AS255"/>
  <c r="AS263"/>
  <c r="AU260"/>
  <c r="AU356" s="1"/>
  <c r="AU452" s="1"/>
  <c r="AU165"/>
  <c r="AS256"/>
  <c r="T11"/>
  <c r="W9"/>
  <c r="T36"/>
  <c r="X7"/>
  <c r="X35"/>
  <c r="T40"/>
  <c r="W32"/>
  <c r="T10"/>
  <c r="AY164"/>
  <c r="AZ249"/>
  <c r="AZ257"/>
  <c r="AY252"/>
  <c r="AY253"/>
  <c r="AZ250"/>
  <c r="AZ163"/>
  <c r="T19" l="1"/>
  <c r="T25"/>
  <c r="BB163"/>
  <c r="BA163"/>
  <c r="BB249"/>
  <c r="BA249"/>
  <c r="BB250"/>
  <c r="BA250"/>
  <c r="BB257"/>
  <c r="BA257"/>
  <c r="AS259"/>
  <c r="AU261"/>
  <c r="AU357" s="1"/>
  <c r="AU453" s="1"/>
  <c r="AU166"/>
  <c r="AS266"/>
  <c r="AS258"/>
  <c r="U36"/>
  <c r="X9"/>
  <c r="U11"/>
  <c r="U10"/>
  <c r="X32"/>
  <c r="X8"/>
  <c r="U40"/>
  <c r="X39"/>
  <c r="AY256"/>
  <c r="AZ253"/>
  <c r="AZ164"/>
  <c r="AY255"/>
  <c r="AY260"/>
  <c r="AY165"/>
  <c r="AZ252"/>
  <c r="U19" l="1"/>
  <c r="X18"/>
  <c r="U25"/>
  <c r="X24"/>
  <c r="BB253"/>
  <c r="BA253"/>
  <c r="BB252"/>
  <c r="BA252"/>
  <c r="BB164"/>
  <c r="BA164"/>
  <c r="AS269"/>
  <c r="AS262"/>
  <c r="AS261"/>
  <c r="AU262"/>
  <c r="AU358" s="1"/>
  <c r="AU454" s="1"/>
  <c r="AU167"/>
  <c r="Y31"/>
  <c r="Y6"/>
  <c r="V40"/>
  <c r="V36"/>
  <c r="V10"/>
  <c r="V11"/>
  <c r="AY259"/>
  <c r="AZ260"/>
  <c r="AZ165"/>
  <c r="AY258"/>
  <c r="AZ255"/>
  <c r="AZ256"/>
  <c r="AY166"/>
  <c r="V19" l="1"/>
  <c r="V25"/>
  <c r="BB255"/>
  <c r="BA255"/>
  <c r="BB256"/>
  <c r="BA256"/>
  <c r="BB165"/>
  <c r="BA165"/>
  <c r="BB260"/>
  <c r="BA260"/>
  <c r="AU263"/>
  <c r="AU168"/>
  <c r="AS264"/>
  <c r="AS265"/>
  <c r="AS272"/>
  <c r="Y35"/>
  <c r="Y32"/>
  <c r="W40"/>
  <c r="Y9"/>
  <c r="Y7"/>
  <c r="W36"/>
  <c r="W10"/>
  <c r="W11"/>
  <c r="AZ259"/>
  <c r="AY261"/>
  <c r="AY262"/>
  <c r="AZ258"/>
  <c r="AZ166"/>
  <c r="AY167"/>
  <c r="W19" l="1"/>
  <c r="W25"/>
  <c r="BB259"/>
  <c r="BA259"/>
  <c r="BB166"/>
  <c r="BA166"/>
  <c r="BB258"/>
  <c r="BA258"/>
  <c r="AS275"/>
  <c r="AU359"/>
  <c r="AU455" s="1"/>
  <c r="AS268"/>
  <c r="AS267"/>
  <c r="AU264"/>
  <c r="AU360" s="1"/>
  <c r="AU456" s="1"/>
  <c r="AU169"/>
  <c r="X40"/>
  <c r="Y39"/>
  <c r="X36"/>
  <c r="X10"/>
  <c r="X11" l="1"/>
  <c r="Y8"/>
  <c r="AZ167"/>
  <c r="AZ262"/>
  <c r="AZ261"/>
  <c r="AY168"/>
  <c r="AY263"/>
  <c r="Y18" l="1"/>
  <c r="X19"/>
  <c r="Y24"/>
  <c r="X25"/>
  <c r="BB262"/>
  <c r="BA262"/>
  <c r="BB261"/>
  <c r="BA261"/>
  <c r="BB167"/>
  <c r="BA167"/>
  <c r="AU265"/>
  <c r="AU170"/>
  <c r="AS270"/>
  <c r="AS271"/>
  <c r="AS278"/>
  <c r="Y36"/>
  <c r="Z31"/>
  <c r="Z6"/>
  <c r="Y10"/>
  <c r="Y11"/>
  <c r="Y40"/>
  <c r="AY169"/>
  <c r="AZ263"/>
  <c r="AZ168"/>
  <c r="AY264"/>
  <c r="Y19" l="1"/>
  <c r="Y25"/>
  <c r="BB168"/>
  <c r="BA168"/>
  <c r="BB263"/>
  <c r="BA263"/>
  <c r="AS273"/>
  <c r="AS281"/>
  <c r="AU361"/>
  <c r="AU457" s="1"/>
  <c r="AS274"/>
  <c r="AU266"/>
  <c r="AU171"/>
  <c r="Z35"/>
  <c r="Z7"/>
  <c r="Z32"/>
  <c r="Z9"/>
  <c r="AY265"/>
  <c r="AZ264"/>
  <c r="AZ169"/>
  <c r="AY170"/>
  <c r="BB169" l="1"/>
  <c r="BA169"/>
  <c r="BB264"/>
  <c r="BA264"/>
  <c r="AU267"/>
  <c r="AU172"/>
  <c r="AU362"/>
  <c r="AU458" s="1"/>
  <c r="AS284"/>
  <c r="AS276"/>
  <c r="AS277"/>
  <c r="Z10"/>
  <c r="Z36"/>
  <c r="Z8"/>
  <c r="Z39"/>
  <c r="AY171"/>
  <c r="AZ265"/>
  <c r="AY266"/>
  <c r="AZ170"/>
  <c r="Z18" l="1"/>
  <c r="Z24"/>
  <c r="BB265"/>
  <c r="BA265"/>
  <c r="BB170"/>
  <c r="BA170"/>
  <c r="AS287"/>
  <c r="AS280"/>
  <c r="AS279"/>
  <c r="AU363"/>
  <c r="AU459" s="1"/>
  <c r="AU268"/>
  <c r="AU173"/>
  <c r="AA6"/>
  <c r="Z40"/>
  <c r="Z11"/>
  <c r="AA31"/>
  <c r="AZ266"/>
  <c r="AZ171"/>
  <c r="AY267"/>
  <c r="AY172"/>
  <c r="Z19" l="1"/>
  <c r="Z25"/>
  <c r="BB171"/>
  <c r="BA171"/>
  <c r="BB266"/>
  <c r="BA266"/>
  <c r="AU364"/>
  <c r="AU460" s="1"/>
  <c r="AS282"/>
  <c r="AS283"/>
  <c r="AS290"/>
  <c r="AU269"/>
  <c r="AU174"/>
  <c r="AA32"/>
  <c r="AA9"/>
  <c r="AA7"/>
  <c r="AA35"/>
  <c r="AZ172"/>
  <c r="AY173"/>
  <c r="AZ267"/>
  <c r="AY268"/>
  <c r="BB267" l="1"/>
  <c r="BA267"/>
  <c r="BB172"/>
  <c r="BA172"/>
  <c r="AU270"/>
  <c r="AU175"/>
  <c r="AU365"/>
  <c r="AU461" s="1"/>
  <c r="AS286"/>
  <c r="AS285"/>
  <c r="AS293"/>
  <c r="AA36"/>
  <c r="AA8"/>
  <c r="AA10"/>
  <c r="AA39"/>
  <c r="AY269"/>
  <c r="AZ173"/>
  <c r="AY174"/>
  <c r="AZ268"/>
  <c r="AA18" l="1"/>
  <c r="AA24"/>
  <c r="BB268"/>
  <c r="BA268"/>
  <c r="BB173"/>
  <c r="BA173"/>
  <c r="AS296"/>
  <c r="AS288"/>
  <c r="AU366"/>
  <c r="AU462" s="1"/>
  <c r="AS289"/>
  <c r="AU271"/>
  <c r="AU176"/>
  <c r="AA40"/>
  <c r="AA11"/>
  <c r="AB31"/>
  <c r="AB6"/>
  <c r="AY175"/>
  <c r="AZ269"/>
  <c r="AY270"/>
  <c r="AZ174"/>
  <c r="AA19" l="1"/>
  <c r="AA25"/>
  <c r="BB174"/>
  <c r="BA174"/>
  <c r="BB269"/>
  <c r="BA269"/>
  <c r="AU272"/>
  <c r="AU177"/>
  <c r="AU367"/>
  <c r="AU463" s="1"/>
  <c r="AS291"/>
  <c r="AS299"/>
  <c r="AS292"/>
  <c r="AB7"/>
  <c r="AB32"/>
  <c r="AB9"/>
  <c r="AB35"/>
  <c r="AZ175"/>
  <c r="AY271"/>
  <c r="AZ270"/>
  <c r="AY176"/>
  <c r="BB175" l="1"/>
  <c r="BA175"/>
  <c r="BB270"/>
  <c r="BA270"/>
  <c r="AS294"/>
  <c r="AS302"/>
  <c r="AU368"/>
  <c r="AU464" s="1"/>
  <c r="AS295"/>
  <c r="AU273"/>
  <c r="AU178"/>
  <c r="AB36"/>
  <c r="AB8"/>
  <c r="AB10"/>
  <c r="AB39"/>
  <c r="AZ176"/>
  <c r="AY177"/>
  <c r="AY272"/>
  <c r="AZ271"/>
  <c r="AB18" l="1"/>
  <c r="AB24"/>
  <c r="BB271"/>
  <c r="BA271"/>
  <c r="BB176"/>
  <c r="BA176"/>
  <c r="AU274"/>
  <c r="AU179"/>
  <c r="AS298"/>
  <c r="AU369"/>
  <c r="AU465" s="1"/>
  <c r="AS305"/>
  <c r="AS297"/>
  <c r="AC6"/>
  <c r="AB40"/>
  <c r="AB11"/>
  <c r="AC31"/>
  <c r="AY178"/>
  <c r="AZ177"/>
  <c r="AZ272"/>
  <c r="AY273"/>
  <c r="AB19" l="1"/>
  <c r="AB25"/>
  <c r="BB177"/>
  <c r="BA177"/>
  <c r="BB272"/>
  <c r="BA272"/>
  <c r="AS301"/>
  <c r="AS308"/>
  <c r="AU370"/>
  <c r="AU466" s="1"/>
  <c r="AS300"/>
  <c r="AU275"/>
  <c r="AU180"/>
  <c r="AC32"/>
  <c r="AC35"/>
  <c r="AC7"/>
  <c r="AC9"/>
  <c r="AY179"/>
  <c r="AY274"/>
  <c r="AZ273"/>
  <c r="AZ178"/>
  <c r="BB178" l="1"/>
  <c r="BA178"/>
  <c r="BB273"/>
  <c r="BA273"/>
  <c r="AU276"/>
  <c r="AU181"/>
  <c r="AS303"/>
  <c r="AU371"/>
  <c r="AU467" s="1"/>
  <c r="AS311"/>
  <c r="AS304"/>
  <c r="AC8"/>
  <c r="AC10"/>
  <c r="AC39"/>
  <c r="AC36"/>
  <c r="AY180"/>
  <c r="AY275"/>
  <c r="AZ179"/>
  <c r="AZ274"/>
  <c r="AC18" l="1"/>
  <c r="AC24"/>
  <c r="BB274"/>
  <c r="BA274"/>
  <c r="BB179"/>
  <c r="BA179"/>
  <c r="AS314"/>
  <c r="AU372"/>
  <c r="AU468" s="1"/>
  <c r="AS306"/>
  <c r="AS307"/>
  <c r="AU277"/>
  <c r="AU182"/>
  <c r="AC11"/>
  <c r="AD6"/>
  <c r="AD31"/>
  <c r="AC40"/>
  <c r="AZ180"/>
  <c r="AY311"/>
  <c r="AZ275"/>
  <c r="AY276"/>
  <c r="AY181"/>
  <c r="AC19" l="1"/>
  <c r="AC25"/>
  <c r="BB180"/>
  <c r="BA180"/>
  <c r="BB275"/>
  <c r="BA275"/>
  <c r="AU278"/>
  <c r="AU183"/>
  <c r="AS310"/>
  <c r="AU373"/>
  <c r="AU469" s="1"/>
  <c r="AS309"/>
  <c r="AS317"/>
  <c r="AD35"/>
  <c r="AD9"/>
  <c r="AD32"/>
  <c r="AD7"/>
  <c r="AY314"/>
  <c r="AY277"/>
  <c r="AY182"/>
  <c r="AZ311"/>
  <c r="AZ181"/>
  <c r="AZ276"/>
  <c r="BB276" l="1"/>
  <c r="BA276"/>
  <c r="BB181"/>
  <c r="BA181"/>
  <c r="BB311"/>
  <c r="BA311"/>
  <c r="AS312"/>
  <c r="AU374"/>
  <c r="AU470" s="1"/>
  <c r="AS313"/>
  <c r="AS320"/>
  <c r="AU279"/>
  <c r="AU184"/>
  <c r="AD8"/>
  <c r="AD36"/>
  <c r="AD39"/>
  <c r="AD10"/>
  <c r="AY183"/>
  <c r="AY317"/>
  <c r="J33"/>
  <c r="AZ314"/>
  <c r="AZ182"/>
  <c r="AZ277"/>
  <c r="J12"/>
  <c r="AY278"/>
  <c r="AD18" l="1"/>
  <c r="AD24"/>
  <c r="BB277"/>
  <c r="BA277"/>
  <c r="BB182"/>
  <c r="BA182"/>
  <c r="BB314"/>
  <c r="BA314"/>
  <c r="AU375"/>
  <c r="AU471" s="1"/>
  <c r="AS316"/>
  <c r="AS315"/>
  <c r="AU280"/>
  <c r="AU185"/>
  <c r="AS323"/>
  <c r="AE6"/>
  <c r="AD40"/>
  <c r="AD11"/>
  <c r="AE31"/>
  <c r="AZ278"/>
  <c r="AY320"/>
  <c r="K33"/>
  <c r="AZ317"/>
  <c r="AY313"/>
  <c r="K12"/>
  <c r="AY184"/>
  <c r="AY312"/>
  <c r="AY279"/>
  <c r="AZ183"/>
  <c r="AD19" l="1"/>
  <c r="AD25"/>
  <c r="BB183"/>
  <c r="BA183"/>
  <c r="BB278"/>
  <c r="BA278"/>
  <c r="BB317"/>
  <c r="BA317"/>
  <c r="AS326"/>
  <c r="AU281"/>
  <c r="AU186"/>
  <c r="AS318"/>
  <c r="AU376"/>
  <c r="AU472" s="1"/>
  <c r="AS319"/>
  <c r="AE32"/>
  <c r="AE35"/>
  <c r="AE7"/>
  <c r="AE9"/>
  <c r="L12"/>
  <c r="L33"/>
  <c r="AZ313"/>
  <c r="AY315"/>
  <c r="AZ184"/>
  <c r="AZ320"/>
  <c r="AY280"/>
  <c r="AY323"/>
  <c r="AY316"/>
  <c r="AY185"/>
  <c r="AZ279"/>
  <c r="AZ312"/>
  <c r="BB313" l="1"/>
  <c r="BA313"/>
  <c r="BB312"/>
  <c r="BA312"/>
  <c r="BB279"/>
  <c r="BA279"/>
  <c r="BB184"/>
  <c r="BA184"/>
  <c r="BB320"/>
  <c r="BA320"/>
  <c r="AS321"/>
  <c r="AU282"/>
  <c r="AU187"/>
  <c r="AS329"/>
  <c r="AS322"/>
  <c r="AU377"/>
  <c r="AU473" s="1"/>
  <c r="AE8"/>
  <c r="AE39"/>
  <c r="AE10"/>
  <c r="AE36"/>
  <c r="J41"/>
  <c r="AZ280"/>
  <c r="AY318"/>
  <c r="M33"/>
  <c r="AZ323"/>
  <c r="AY326"/>
  <c r="AY186"/>
  <c r="M12"/>
  <c r="J14"/>
  <c r="AZ185"/>
  <c r="AZ315"/>
  <c r="J37"/>
  <c r="AZ316"/>
  <c r="AY281"/>
  <c r="J13"/>
  <c r="AY319"/>
  <c r="AE18" l="1"/>
  <c r="J20"/>
  <c r="AE24"/>
  <c r="J26"/>
  <c r="BB280"/>
  <c r="BA280"/>
  <c r="BB323"/>
  <c r="BA323"/>
  <c r="BB316"/>
  <c r="BA316"/>
  <c r="BB315"/>
  <c r="BA315"/>
  <c r="BB185"/>
  <c r="BA185"/>
  <c r="AS325"/>
  <c r="AS332"/>
  <c r="AU283"/>
  <c r="AU188"/>
  <c r="AS324"/>
  <c r="AU378"/>
  <c r="AU474" s="1"/>
  <c r="AF6"/>
  <c r="AE11"/>
  <c r="AF31"/>
  <c r="AE40"/>
  <c r="AY322"/>
  <c r="AY329"/>
  <c r="K13"/>
  <c r="AZ326"/>
  <c r="K14"/>
  <c r="AZ319"/>
  <c r="N12"/>
  <c r="AZ186"/>
  <c r="K37"/>
  <c r="AZ281"/>
  <c r="K41"/>
  <c r="AY187"/>
  <c r="N33"/>
  <c r="AY321"/>
  <c r="AZ318"/>
  <c r="AY282"/>
  <c r="K20" l="1"/>
  <c r="AE19"/>
  <c r="AE25"/>
  <c r="K26"/>
  <c r="BB326"/>
  <c r="BA326"/>
  <c r="BB186"/>
  <c r="BA186"/>
  <c r="BB318"/>
  <c r="BA318"/>
  <c r="BB319"/>
  <c r="BA319"/>
  <c r="BB281"/>
  <c r="BA281"/>
  <c r="AS327"/>
  <c r="AU284"/>
  <c r="AU189"/>
  <c r="AS335"/>
  <c r="AU379"/>
  <c r="AU475" s="1"/>
  <c r="AS328"/>
  <c r="AF7"/>
  <c r="AF35"/>
  <c r="AF9"/>
  <c r="O12"/>
  <c r="O33"/>
  <c r="AF32"/>
  <c r="L13"/>
  <c r="L14"/>
  <c r="L41"/>
  <c r="L37"/>
  <c r="AZ322"/>
  <c r="AZ187"/>
  <c r="AZ321"/>
  <c r="AY188"/>
  <c r="AY332"/>
  <c r="AY325"/>
  <c r="AY324"/>
  <c r="AZ282"/>
  <c r="AY283"/>
  <c r="AZ329"/>
  <c r="L20" l="1"/>
  <c r="L26"/>
  <c r="BB282"/>
  <c r="BA282"/>
  <c r="BB187"/>
  <c r="BA187"/>
  <c r="BB321"/>
  <c r="BA321"/>
  <c r="BB322"/>
  <c r="BA322"/>
  <c r="BB329"/>
  <c r="BA329"/>
  <c r="AS338"/>
  <c r="AU285"/>
  <c r="AU190"/>
  <c r="AS330"/>
  <c r="AS331"/>
  <c r="AU380"/>
  <c r="AU476" s="1"/>
  <c r="AF36"/>
  <c r="AF8"/>
  <c r="AF39"/>
  <c r="P33"/>
  <c r="P12"/>
  <c r="AF10"/>
  <c r="M13"/>
  <c r="AY335"/>
  <c r="AY189"/>
  <c r="AZ324"/>
  <c r="M41"/>
  <c r="M37"/>
  <c r="AY327"/>
  <c r="AZ332"/>
  <c r="AY328"/>
  <c r="AZ325"/>
  <c r="M14"/>
  <c r="AZ188"/>
  <c r="AZ283"/>
  <c r="AY284"/>
  <c r="M20" l="1"/>
  <c r="AF18"/>
  <c r="AF24"/>
  <c r="M26"/>
  <c r="BB188"/>
  <c r="BA188"/>
  <c r="BB325"/>
  <c r="BA325"/>
  <c r="BB283"/>
  <c r="BA283"/>
  <c r="BB324"/>
  <c r="BA324"/>
  <c r="BB332"/>
  <c r="BA332"/>
  <c r="AS333"/>
  <c r="AS334"/>
  <c r="AU286"/>
  <c r="AU191"/>
  <c r="AS341"/>
  <c r="AU381"/>
  <c r="AU477" s="1"/>
  <c r="AF11"/>
  <c r="AF40"/>
  <c r="Q12"/>
  <c r="Q33"/>
  <c r="AG6"/>
  <c r="AG31"/>
  <c r="AY285"/>
  <c r="AY190"/>
  <c r="AY331"/>
  <c r="AZ328"/>
  <c r="AZ189"/>
  <c r="N41"/>
  <c r="AY338"/>
  <c r="AY330"/>
  <c r="N13"/>
  <c r="AZ284"/>
  <c r="N37"/>
  <c r="AZ335"/>
  <c r="AZ327"/>
  <c r="N14"/>
  <c r="AF19" l="1"/>
  <c r="N20"/>
  <c r="N26"/>
  <c r="AF25"/>
  <c r="BB335"/>
  <c r="BA335"/>
  <c r="BB189"/>
  <c r="BA189"/>
  <c r="BB327"/>
  <c r="BA327"/>
  <c r="BB328"/>
  <c r="BA328"/>
  <c r="BB284"/>
  <c r="BA284"/>
  <c r="AS344"/>
  <c r="AU287"/>
  <c r="AU192"/>
  <c r="AS337"/>
  <c r="AU382"/>
  <c r="AU478" s="1"/>
  <c r="AS336"/>
  <c r="AG35"/>
  <c r="R33"/>
  <c r="O13"/>
  <c r="AG7"/>
  <c r="O37"/>
  <c r="AG9"/>
  <c r="AG32"/>
  <c r="O14"/>
  <c r="R12"/>
  <c r="O41"/>
  <c r="AZ331"/>
  <c r="AY333"/>
  <c r="AY341"/>
  <c r="AY191"/>
  <c r="AZ330"/>
  <c r="AZ190"/>
  <c r="AZ285"/>
  <c r="AZ338"/>
  <c r="AY286"/>
  <c r="AY334"/>
  <c r="O20" l="1"/>
  <c r="O26"/>
  <c r="BB285"/>
  <c r="BA285"/>
  <c r="BB331"/>
  <c r="BA331"/>
  <c r="BB330"/>
  <c r="BA330"/>
  <c r="BB190"/>
  <c r="BA190"/>
  <c r="BB338"/>
  <c r="BA338"/>
  <c r="AU288"/>
  <c r="AU193"/>
  <c r="AS347"/>
  <c r="AS340"/>
  <c r="AS339"/>
  <c r="AU383"/>
  <c r="AU479" s="1"/>
  <c r="S33"/>
  <c r="AG10"/>
  <c r="S12"/>
  <c r="AG36"/>
  <c r="P37"/>
  <c r="P14"/>
  <c r="P41"/>
  <c r="AG39"/>
  <c r="P13"/>
  <c r="AG8"/>
  <c r="AY287"/>
  <c r="AY337"/>
  <c r="AZ333"/>
  <c r="AY344"/>
  <c r="AZ286"/>
  <c r="AZ191"/>
  <c r="AZ341"/>
  <c r="AY192"/>
  <c r="AZ334"/>
  <c r="AY336"/>
  <c r="AG18" l="1"/>
  <c r="P20"/>
  <c r="P26"/>
  <c r="AG24"/>
  <c r="BB191"/>
  <c r="BA191"/>
  <c r="BB286"/>
  <c r="BA286"/>
  <c r="BB334"/>
  <c r="BA334"/>
  <c r="BB333"/>
  <c r="BA333"/>
  <c r="BB341"/>
  <c r="BA341"/>
  <c r="AS342"/>
  <c r="AU384"/>
  <c r="AU480" s="1"/>
  <c r="AS343"/>
  <c r="AS350"/>
  <c r="AU289"/>
  <c r="AU194"/>
  <c r="T33"/>
  <c r="Q41"/>
  <c r="Q14"/>
  <c r="AG11"/>
  <c r="Q13"/>
  <c r="AH31"/>
  <c r="AH6"/>
  <c r="T12"/>
  <c r="Q37"/>
  <c r="AG40"/>
  <c r="AZ337"/>
  <c r="AZ192"/>
  <c r="AZ344"/>
  <c r="AY347"/>
  <c r="AY193"/>
  <c r="AY340"/>
  <c r="AZ336"/>
  <c r="AY288"/>
  <c r="AZ287"/>
  <c r="AY339"/>
  <c r="AG19" l="1"/>
  <c r="Q20"/>
  <c r="AG25"/>
  <c r="Q26"/>
  <c r="BB337"/>
  <c r="BA337"/>
  <c r="BB344"/>
  <c r="BA344"/>
  <c r="BB192"/>
  <c r="BA192"/>
  <c r="BB336"/>
  <c r="BA336"/>
  <c r="BB287"/>
  <c r="BA287"/>
  <c r="AS345"/>
  <c r="AU290"/>
  <c r="AU195"/>
  <c r="AS353"/>
  <c r="AU385"/>
  <c r="AU481" s="1"/>
  <c r="AS346"/>
  <c r="R14"/>
  <c r="AH32"/>
  <c r="R41"/>
  <c r="AH35"/>
  <c r="R13"/>
  <c r="AH9"/>
  <c r="U33"/>
  <c r="R37"/>
  <c r="AH7"/>
  <c r="U12"/>
  <c r="AZ288"/>
  <c r="AZ347"/>
  <c r="AY350"/>
  <c r="AY194"/>
  <c r="AZ339"/>
  <c r="AY289"/>
  <c r="AZ340"/>
  <c r="AY343"/>
  <c r="AY342"/>
  <c r="AZ193"/>
  <c r="R20" l="1"/>
  <c r="R26"/>
  <c r="BB340"/>
  <c r="BA340"/>
  <c r="BB288"/>
  <c r="BA288"/>
  <c r="BB193"/>
  <c r="BA193"/>
  <c r="BB339"/>
  <c r="BA339"/>
  <c r="BB347"/>
  <c r="BA347"/>
  <c r="AS356"/>
  <c r="AU291"/>
  <c r="AU196"/>
  <c r="AS348"/>
  <c r="AS349"/>
  <c r="AU386"/>
  <c r="AU482" s="1"/>
  <c r="V33"/>
  <c r="AH10"/>
  <c r="AH39"/>
  <c r="S13"/>
  <c r="AH36"/>
  <c r="S41"/>
  <c r="V12"/>
  <c r="AH8"/>
  <c r="S14"/>
  <c r="S37"/>
  <c r="AZ343"/>
  <c r="AZ342"/>
  <c r="AY346"/>
  <c r="AY195"/>
  <c r="AZ194"/>
  <c r="AZ289"/>
  <c r="AY290"/>
  <c r="AZ350"/>
  <c r="AY353"/>
  <c r="AY345"/>
  <c r="AH18" l="1"/>
  <c r="S20"/>
  <c r="S26"/>
  <c r="AH24"/>
  <c r="BB289"/>
  <c r="BA289"/>
  <c r="BB194"/>
  <c r="BA194"/>
  <c r="BB343"/>
  <c r="BA343"/>
  <c r="BB342"/>
  <c r="BA342"/>
  <c r="BB350"/>
  <c r="BA350"/>
  <c r="AS352"/>
  <c r="AS351"/>
  <c r="AU292"/>
  <c r="AU197"/>
  <c r="AS359"/>
  <c r="AU387"/>
  <c r="AU483" s="1"/>
  <c r="T41"/>
  <c r="T14"/>
  <c r="AI31"/>
  <c r="AH11"/>
  <c r="T13"/>
  <c r="W12"/>
  <c r="AI6"/>
  <c r="W33"/>
  <c r="T37"/>
  <c r="AH40"/>
  <c r="AY291"/>
  <c r="AY349"/>
  <c r="AY196"/>
  <c r="AZ195"/>
  <c r="AZ290"/>
  <c r="AZ353"/>
  <c r="AZ345"/>
  <c r="AY348"/>
  <c r="AZ346"/>
  <c r="AY356"/>
  <c r="T20" l="1"/>
  <c r="AH19"/>
  <c r="T26"/>
  <c r="AH25"/>
  <c r="BB353"/>
  <c r="BA353"/>
  <c r="BB346"/>
  <c r="BA346"/>
  <c r="BB345"/>
  <c r="BA345"/>
  <c r="BB195"/>
  <c r="BA195"/>
  <c r="BB290"/>
  <c r="BA290"/>
  <c r="AS362"/>
  <c r="AU293"/>
  <c r="AU198"/>
  <c r="AS354"/>
  <c r="AU388"/>
  <c r="AU484" s="1"/>
  <c r="AS355"/>
  <c r="AI9"/>
  <c r="X12"/>
  <c r="U14"/>
  <c r="AI32"/>
  <c r="U37"/>
  <c r="U41"/>
  <c r="AI7"/>
  <c r="AI35"/>
  <c r="X33"/>
  <c r="U13"/>
  <c r="AY197"/>
  <c r="AZ348"/>
  <c r="AZ349"/>
  <c r="AZ196"/>
  <c r="AZ291"/>
  <c r="AZ356"/>
  <c r="AY359"/>
  <c r="AY352"/>
  <c r="AY292"/>
  <c r="AY351"/>
  <c r="U20" l="1"/>
  <c r="U26"/>
  <c r="BB291"/>
  <c r="BA291"/>
  <c r="BB349"/>
  <c r="BA349"/>
  <c r="BB196"/>
  <c r="BA196"/>
  <c r="BB348"/>
  <c r="BA348"/>
  <c r="BB356"/>
  <c r="BA356"/>
  <c r="AS357"/>
  <c r="AU294"/>
  <c r="AU199"/>
  <c r="AS365"/>
  <c r="AS358"/>
  <c r="AU389"/>
  <c r="AU485" s="1"/>
  <c r="V37"/>
  <c r="V13"/>
  <c r="AI10"/>
  <c r="AI8"/>
  <c r="V14"/>
  <c r="V41"/>
  <c r="Y12"/>
  <c r="Y33"/>
  <c r="AI36"/>
  <c r="AI39"/>
  <c r="AY362"/>
  <c r="AZ352"/>
  <c r="AY198"/>
  <c r="AZ351"/>
  <c r="AY354"/>
  <c r="AY293"/>
  <c r="AZ197"/>
  <c r="AZ359"/>
  <c r="AY355"/>
  <c r="AZ292"/>
  <c r="AI18" l="1"/>
  <c r="V20"/>
  <c r="V26"/>
  <c r="AI24"/>
  <c r="BB352"/>
  <c r="BA352"/>
  <c r="BB292"/>
  <c r="BA292"/>
  <c r="BB359"/>
  <c r="BA359"/>
  <c r="BB351"/>
  <c r="BA351"/>
  <c r="BB197"/>
  <c r="BA197"/>
  <c r="AS368"/>
  <c r="AU295"/>
  <c r="AU200"/>
  <c r="AS360"/>
  <c r="AU390"/>
  <c r="AU486" s="1"/>
  <c r="AS361"/>
  <c r="AI40"/>
  <c r="W14"/>
  <c r="AJ6"/>
  <c r="W13"/>
  <c r="Z33"/>
  <c r="AJ31"/>
  <c r="W37"/>
  <c r="AI11"/>
  <c r="W41"/>
  <c r="Z12"/>
  <c r="AZ355"/>
  <c r="AZ362"/>
  <c r="AY294"/>
  <c r="AZ293"/>
  <c r="AY365"/>
  <c r="AZ354"/>
  <c r="AY357"/>
  <c r="AY199"/>
  <c r="AY358"/>
  <c r="AZ198"/>
  <c r="W20" l="1"/>
  <c r="AI19"/>
  <c r="W26"/>
  <c r="AI25"/>
  <c r="BB354"/>
  <c r="BA354"/>
  <c r="BB198"/>
  <c r="BA198"/>
  <c r="BB362"/>
  <c r="BA362"/>
  <c r="BB355"/>
  <c r="BA355"/>
  <c r="BB293"/>
  <c r="BA293"/>
  <c r="AU296"/>
  <c r="AU201"/>
  <c r="AS371"/>
  <c r="AS363"/>
  <c r="AS364"/>
  <c r="AU391"/>
  <c r="AU487" s="1"/>
  <c r="AJ32"/>
  <c r="AJ9"/>
  <c r="X41"/>
  <c r="AA12"/>
  <c r="AJ7"/>
  <c r="X37"/>
  <c r="X14"/>
  <c r="AA33"/>
  <c r="AJ35"/>
  <c r="X13"/>
  <c r="AY360"/>
  <c r="AZ357"/>
  <c r="AY295"/>
  <c r="AY368"/>
  <c r="AZ358"/>
  <c r="AZ365"/>
  <c r="AY200"/>
  <c r="AY361"/>
  <c r="AZ294"/>
  <c r="AZ199"/>
  <c r="X20" l="1"/>
  <c r="X26"/>
  <c r="BB294"/>
  <c r="BA294"/>
  <c r="BB358"/>
  <c r="BA358"/>
  <c r="BB199"/>
  <c r="BA199"/>
  <c r="BB357"/>
  <c r="BA357"/>
  <c r="BB365"/>
  <c r="BA365"/>
  <c r="AS367"/>
  <c r="AU392"/>
  <c r="AU488" s="1"/>
  <c r="AS366"/>
  <c r="AS374"/>
  <c r="AU297"/>
  <c r="AU202"/>
  <c r="Y37"/>
  <c r="AB12"/>
  <c r="Y14"/>
  <c r="AB33"/>
  <c r="AJ39"/>
  <c r="AJ8"/>
  <c r="Y41"/>
  <c r="AJ10"/>
  <c r="AJ36"/>
  <c r="Y13"/>
  <c r="AZ361"/>
  <c r="AY201"/>
  <c r="AY371"/>
  <c r="AY364"/>
  <c r="AZ360"/>
  <c r="AZ368"/>
  <c r="AY296"/>
  <c r="AZ200"/>
  <c r="AZ295"/>
  <c r="AY363"/>
  <c r="Y20" l="1"/>
  <c r="AJ18"/>
  <c r="Y26"/>
  <c r="AJ24"/>
  <c r="BB200"/>
  <c r="BA200"/>
  <c r="BB360"/>
  <c r="BA360"/>
  <c r="BB361"/>
  <c r="BA361"/>
  <c r="BB295"/>
  <c r="BA295"/>
  <c r="BB368"/>
  <c r="BA368"/>
  <c r="AU393"/>
  <c r="AU489" s="1"/>
  <c r="AS369"/>
  <c r="AS370"/>
  <c r="AU298"/>
  <c r="AU203"/>
  <c r="AS377"/>
  <c r="AC33"/>
  <c r="Z14"/>
  <c r="Z37"/>
  <c r="Z13"/>
  <c r="Z41"/>
  <c r="AJ40"/>
  <c r="AC12"/>
  <c r="AJ11"/>
  <c r="AK6"/>
  <c r="AK31"/>
  <c r="AZ296"/>
  <c r="AZ364"/>
  <c r="AZ201"/>
  <c r="AY202"/>
  <c r="AY374"/>
  <c r="AY366"/>
  <c r="AZ363"/>
  <c r="AY297"/>
  <c r="AZ371"/>
  <c r="AY367"/>
  <c r="AJ19" l="1"/>
  <c r="Z20"/>
  <c r="AJ25"/>
  <c r="Z26"/>
  <c r="BB363"/>
  <c r="BA363"/>
  <c r="BB364"/>
  <c r="BA364"/>
  <c r="BB296"/>
  <c r="BA296"/>
  <c r="BB201"/>
  <c r="BA201"/>
  <c r="BB371"/>
  <c r="BA371"/>
  <c r="AS380"/>
  <c r="AU299"/>
  <c r="AU204"/>
  <c r="AS373"/>
  <c r="AU394"/>
  <c r="AU490" s="1"/>
  <c r="AS372"/>
  <c r="AA41"/>
  <c r="AA13"/>
  <c r="AK32"/>
  <c r="AK9"/>
  <c r="AA37"/>
  <c r="AD12"/>
  <c r="AK7"/>
  <c r="AA14"/>
  <c r="AK35"/>
  <c r="AD33"/>
  <c r="AY377"/>
  <c r="AZ202"/>
  <c r="AY203"/>
  <c r="AZ297"/>
  <c r="AY370"/>
  <c r="AY369"/>
  <c r="AZ374"/>
  <c r="AY298"/>
  <c r="AZ366"/>
  <c r="AZ367"/>
  <c r="AA20" l="1"/>
  <c r="AA26"/>
  <c r="BB202"/>
  <c r="BA202"/>
  <c r="BB366"/>
  <c r="BA366"/>
  <c r="BB374"/>
  <c r="BA374"/>
  <c r="BB367"/>
  <c r="BA367"/>
  <c r="BB297"/>
  <c r="BA297"/>
  <c r="AS376"/>
  <c r="AU300"/>
  <c r="AU205"/>
  <c r="AS383"/>
  <c r="AS375"/>
  <c r="AU395"/>
  <c r="AU491" s="1"/>
  <c r="AB14"/>
  <c r="AK8"/>
  <c r="AK39"/>
  <c r="AK10"/>
  <c r="AB13"/>
  <c r="AE33"/>
  <c r="AK36"/>
  <c r="AE12"/>
  <c r="AB37"/>
  <c r="AB41"/>
  <c r="AZ298"/>
  <c r="AY372"/>
  <c r="AZ203"/>
  <c r="AZ377"/>
  <c r="AY299"/>
  <c r="AY380"/>
  <c r="AZ369"/>
  <c r="AY204"/>
  <c r="AZ370"/>
  <c r="AY373"/>
  <c r="AK18" l="1"/>
  <c r="AB20"/>
  <c r="AB26"/>
  <c r="AK24"/>
  <c r="BB370"/>
  <c r="BA370"/>
  <c r="BB377"/>
  <c r="BA377"/>
  <c r="BB369"/>
  <c r="BA369"/>
  <c r="BB298"/>
  <c r="BA298"/>
  <c r="BB203"/>
  <c r="BA203"/>
  <c r="AS378"/>
  <c r="AU301"/>
  <c r="AU206"/>
  <c r="AS379"/>
  <c r="AS386"/>
  <c r="AU396"/>
  <c r="AU492" s="1"/>
  <c r="AK11"/>
  <c r="AC37"/>
  <c r="AF12"/>
  <c r="AC41"/>
  <c r="AF33"/>
  <c r="AC14"/>
  <c r="AL31"/>
  <c r="AC13"/>
  <c r="AK40"/>
  <c r="AL6"/>
  <c r="AZ380"/>
  <c r="AY383"/>
  <c r="AZ373"/>
  <c r="AZ299"/>
  <c r="AY376"/>
  <c r="AY205"/>
  <c r="AY300"/>
  <c r="AZ204"/>
  <c r="AZ372"/>
  <c r="AY375"/>
  <c r="AK19" l="1"/>
  <c r="AC20"/>
  <c r="AK25"/>
  <c r="AC26"/>
  <c r="BB204"/>
  <c r="BA204"/>
  <c r="BB372"/>
  <c r="BA372"/>
  <c r="BB373"/>
  <c r="BA373"/>
  <c r="BB380"/>
  <c r="BA380"/>
  <c r="BB299"/>
  <c r="BA299"/>
  <c r="AS382"/>
  <c r="AS389"/>
  <c r="AU302"/>
  <c r="AU207"/>
  <c r="AS381"/>
  <c r="AU397"/>
  <c r="AU493" s="1"/>
  <c r="AD14"/>
  <c r="AL9"/>
  <c r="AG33"/>
  <c r="AL35"/>
  <c r="AD37"/>
  <c r="AD41"/>
  <c r="AD13"/>
  <c r="AG12"/>
  <c r="AL7"/>
  <c r="AL32"/>
  <c r="AZ383"/>
  <c r="AZ300"/>
  <c r="AY206"/>
  <c r="AZ375"/>
  <c r="AZ376"/>
  <c r="AY301"/>
  <c r="AZ205"/>
  <c r="AY378"/>
  <c r="AY386"/>
  <c r="AY379"/>
  <c r="AD20" l="1"/>
  <c r="AD26"/>
  <c r="BB300"/>
  <c r="BA300"/>
  <c r="BB205"/>
  <c r="BA205"/>
  <c r="BB376"/>
  <c r="BA376"/>
  <c r="BB375"/>
  <c r="BA375"/>
  <c r="BB383"/>
  <c r="BA383"/>
  <c r="AS384"/>
  <c r="AU303"/>
  <c r="AU208"/>
  <c r="AS392"/>
  <c r="AU398"/>
  <c r="AU494" s="1"/>
  <c r="AS385"/>
  <c r="AH12"/>
  <c r="AL8"/>
  <c r="AH33"/>
  <c r="AE13"/>
  <c r="AL39"/>
  <c r="AL36"/>
  <c r="AE41"/>
  <c r="AL10"/>
  <c r="AE14"/>
  <c r="AE37"/>
  <c r="AZ378"/>
  <c r="AZ301"/>
  <c r="AY302"/>
  <c r="AZ379"/>
  <c r="AY381"/>
  <c r="AY207"/>
  <c r="AY389"/>
  <c r="AZ386"/>
  <c r="AY382"/>
  <c r="AZ206"/>
  <c r="AL18" l="1"/>
  <c r="AE20"/>
  <c r="AE26"/>
  <c r="AL24"/>
  <c r="BB301"/>
  <c r="BA301"/>
  <c r="BB379"/>
  <c r="BA379"/>
  <c r="BB206"/>
  <c r="BA206"/>
  <c r="BB378"/>
  <c r="BA378"/>
  <c r="BB386"/>
  <c r="BA386"/>
  <c r="AS395"/>
  <c r="AU304"/>
  <c r="AU209"/>
  <c r="AS387"/>
  <c r="AS388"/>
  <c r="AU399"/>
  <c r="AU495" s="1"/>
  <c r="AI33"/>
  <c r="AL40"/>
  <c r="AF41"/>
  <c r="AI12"/>
  <c r="AM6"/>
  <c r="AM31"/>
  <c r="AF14"/>
  <c r="AF37"/>
  <c r="AL11"/>
  <c r="AF13"/>
  <c r="AY384"/>
  <c r="AY303"/>
  <c r="AZ302"/>
  <c r="AZ389"/>
  <c r="AY392"/>
  <c r="AY385"/>
  <c r="AY208"/>
  <c r="AZ381"/>
  <c r="AZ207"/>
  <c r="AZ382"/>
  <c r="AF20" l="1"/>
  <c r="AL19"/>
  <c r="AF26"/>
  <c r="AL25"/>
  <c r="BB382"/>
  <c r="BA382"/>
  <c r="BB302"/>
  <c r="BA302"/>
  <c r="BB207"/>
  <c r="BA207"/>
  <c r="BB381"/>
  <c r="BA381"/>
  <c r="BB389"/>
  <c r="BA389"/>
  <c r="AS390"/>
  <c r="AS391"/>
  <c r="AU305"/>
  <c r="AU210"/>
  <c r="AS398"/>
  <c r="AU400"/>
  <c r="AU496" s="1"/>
  <c r="AM35"/>
  <c r="AG14"/>
  <c r="AG37"/>
  <c r="AG13"/>
  <c r="AM32"/>
  <c r="AJ12"/>
  <c r="AG41"/>
  <c r="AM9"/>
  <c r="AM7"/>
  <c r="AJ33"/>
  <c r="AY387"/>
  <c r="AZ303"/>
  <c r="AY209"/>
  <c r="AY388"/>
  <c r="AY395"/>
  <c r="AZ208"/>
  <c r="AZ392"/>
  <c r="AZ385"/>
  <c r="AY304"/>
  <c r="AZ384"/>
  <c r="AG20" l="1"/>
  <c r="AG26"/>
  <c r="BB385"/>
  <c r="BA385"/>
  <c r="BB303"/>
  <c r="BA303"/>
  <c r="BB384"/>
  <c r="BA384"/>
  <c r="BB208"/>
  <c r="BA208"/>
  <c r="BB392"/>
  <c r="BA392"/>
  <c r="AS401"/>
  <c r="AU306"/>
  <c r="AU211"/>
  <c r="AS394"/>
  <c r="AU401"/>
  <c r="AU497" s="1"/>
  <c r="AS393"/>
  <c r="AH41"/>
  <c r="AK33"/>
  <c r="AH13"/>
  <c r="AH37"/>
  <c r="AH14"/>
  <c r="AM36"/>
  <c r="AM8"/>
  <c r="AM39"/>
  <c r="AM10"/>
  <c r="AK12"/>
  <c r="AY305"/>
  <c r="AZ387"/>
  <c r="AY210"/>
  <c r="AY391"/>
  <c r="AZ395"/>
  <c r="AY390"/>
  <c r="AY398"/>
  <c r="AZ388"/>
  <c r="AZ304"/>
  <c r="AZ209"/>
  <c r="AM18" l="1"/>
  <c r="AH20"/>
  <c r="AH26"/>
  <c r="AM24"/>
  <c r="BB387"/>
  <c r="BA387"/>
  <c r="BB388"/>
  <c r="BA388"/>
  <c r="BB209"/>
  <c r="BA209"/>
  <c r="BB304"/>
  <c r="BA304"/>
  <c r="BB395"/>
  <c r="BA395"/>
  <c r="AS397"/>
  <c r="AU307"/>
  <c r="AU212"/>
  <c r="AS404"/>
  <c r="AS396"/>
  <c r="AU402"/>
  <c r="AU498" s="1"/>
  <c r="AN31"/>
  <c r="AI37"/>
  <c r="AM11"/>
  <c r="AI41"/>
  <c r="AI13"/>
  <c r="AI14"/>
  <c r="AL12"/>
  <c r="AN6"/>
  <c r="AL33"/>
  <c r="AM40"/>
  <c r="AZ390"/>
  <c r="AY401"/>
  <c r="AZ305"/>
  <c r="AZ398"/>
  <c r="AZ391"/>
  <c r="AY394"/>
  <c r="AY211"/>
  <c r="AY393"/>
  <c r="AY306"/>
  <c r="AZ210"/>
  <c r="AI20" l="1"/>
  <c r="AM19"/>
  <c r="AM25"/>
  <c r="AI26"/>
  <c r="BB398"/>
  <c r="BA398"/>
  <c r="BB390"/>
  <c r="BA390"/>
  <c r="BB391"/>
  <c r="BA391"/>
  <c r="BB210"/>
  <c r="BA210"/>
  <c r="BB305"/>
  <c r="BA305"/>
  <c r="AU308"/>
  <c r="AU213"/>
  <c r="AS400"/>
  <c r="AU403"/>
  <c r="AU499" s="1"/>
  <c r="AS399"/>
  <c r="AS407"/>
  <c r="AM12"/>
  <c r="AN9"/>
  <c r="AJ41"/>
  <c r="AN7"/>
  <c r="AN32"/>
  <c r="AJ13"/>
  <c r="AJ14"/>
  <c r="AN35"/>
  <c r="AM33"/>
  <c r="AJ37"/>
  <c r="AZ401"/>
  <c r="AZ394"/>
  <c r="AY397"/>
  <c r="AZ306"/>
  <c r="AY396"/>
  <c r="AZ211"/>
  <c r="AY307"/>
  <c r="AY212"/>
  <c r="AZ393"/>
  <c r="AJ20" l="1"/>
  <c r="AJ26"/>
  <c r="BB394"/>
  <c r="BA394"/>
  <c r="BB393"/>
  <c r="BA393"/>
  <c r="BB306"/>
  <c r="BA306"/>
  <c r="BB211"/>
  <c r="BA211"/>
  <c r="BB401"/>
  <c r="BA401"/>
  <c r="AS403"/>
  <c r="AS410"/>
  <c r="AU309"/>
  <c r="AU214"/>
  <c r="AS402"/>
  <c r="AU404"/>
  <c r="AK41"/>
  <c r="AK13"/>
  <c r="AN8"/>
  <c r="AN10"/>
  <c r="AK14"/>
  <c r="AK37"/>
  <c r="AN39"/>
  <c r="AN12"/>
  <c r="AN33"/>
  <c r="AN36"/>
  <c r="AZ212"/>
  <c r="AZ307"/>
  <c r="AY400"/>
  <c r="AZ396"/>
  <c r="AZ397"/>
  <c r="AY407"/>
  <c r="AY308"/>
  <c r="AY399"/>
  <c r="AY213"/>
  <c r="AK20" l="1"/>
  <c r="AN18"/>
  <c r="AN24"/>
  <c r="AK26"/>
  <c r="BB397"/>
  <c r="BA397"/>
  <c r="BB307"/>
  <c r="BA307"/>
  <c r="BB396"/>
  <c r="BA396"/>
  <c r="BB212"/>
  <c r="BA212"/>
  <c r="AU405"/>
  <c r="AU501" s="1"/>
  <c r="AS406"/>
  <c r="AU500"/>
  <c r="AS405"/>
  <c r="AU310"/>
  <c r="AS413"/>
  <c r="AL14"/>
  <c r="AO31"/>
  <c r="AL41"/>
  <c r="AN40"/>
  <c r="AL13"/>
  <c r="AO6"/>
  <c r="AL37"/>
  <c r="AN11"/>
  <c r="AY402"/>
  <c r="AY410"/>
  <c r="AY309"/>
  <c r="AZ308"/>
  <c r="AZ213"/>
  <c r="AZ407"/>
  <c r="AY403"/>
  <c r="AY214"/>
  <c r="AZ400"/>
  <c r="AY404"/>
  <c r="AZ399"/>
  <c r="AL20" l="1"/>
  <c r="AN19"/>
  <c r="G31"/>
  <c r="F31"/>
  <c r="E31"/>
  <c r="D31"/>
  <c r="G6"/>
  <c r="E6"/>
  <c r="D6"/>
  <c r="F6"/>
  <c r="AN25"/>
  <c r="AL26"/>
  <c r="BB213"/>
  <c r="BA213"/>
  <c r="BB399"/>
  <c r="BA399"/>
  <c r="BB407"/>
  <c r="BA407"/>
  <c r="BB400"/>
  <c r="BA400"/>
  <c r="BB308"/>
  <c r="BA308"/>
  <c r="AS416"/>
  <c r="AS409"/>
  <c r="AS408"/>
  <c r="AU406"/>
  <c r="AU502" s="1"/>
  <c r="AM14"/>
  <c r="AM37"/>
  <c r="AM41"/>
  <c r="AO9"/>
  <c r="AM13"/>
  <c r="AO35"/>
  <c r="AO7"/>
  <c r="AO32"/>
  <c r="AZ402"/>
  <c r="AY405"/>
  <c r="AZ403"/>
  <c r="J34"/>
  <c r="AZ214"/>
  <c r="AY310"/>
  <c r="AZ404"/>
  <c r="AZ410"/>
  <c r="AZ309"/>
  <c r="AY413"/>
  <c r="J15"/>
  <c r="G43" l="1"/>
  <c r="F43"/>
  <c r="D43"/>
  <c r="E43"/>
  <c r="L10" i="1" s="1"/>
  <c r="H6" i="6"/>
  <c r="H31"/>
  <c r="AM20"/>
  <c r="F32"/>
  <c r="G32"/>
  <c r="D32"/>
  <c r="E32"/>
  <c r="F35"/>
  <c r="G35"/>
  <c r="D35"/>
  <c r="E35"/>
  <c r="I31"/>
  <c r="G9"/>
  <c r="G7"/>
  <c r="F9"/>
  <c r="D9"/>
  <c r="E9"/>
  <c r="F7"/>
  <c r="D7"/>
  <c r="E7"/>
  <c r="I6"/>
  <c r="AM26"/>
  <c r="BB402"/>
  <c r="BA402"/>
  <c r="BB404"/>
  <c r="BA404"/>
  <c r="BB309"/>
  <c r="BA309"/>
  <c r="BB403"/>
  <c r="BA403"/>
  <c r="BB214"/>
  <c r="BA214"/>
  <c r="BB410"/>
  <c r="BA410"/>
  <c r="B119" a="1"/>
  <c r="C119" s="1"/>
  <c r="A50" s="1"/>
  <c r="AS412"/>
  <c r="AS419"/>
  <c r="AS411"/>
  <c r="AO33"/>
  <c r="AO36"/>
  <c r="AN41"/>
  <c r="AO8"/>
  <c r="AN14"/>
  <c r="AO39"/>
  <c r="AO12"/>
  <c r="AN37"/>
  <c r="AO10"/>
  <c r="AN13"/>
  <c r="AY409"/>
  <c r="AY406"/>
  <c r="AY408"/>
  <c r="AY416"/>
  <c r="K15"/>
  <c r="AZ413"/>
  <c r="AZ405"/>
  <c r="K34"/>
  <c r="AZ310"/>
  <c r="E45" l="1"/>
  <c r="M10" i="1" s="1"/>
  <c r="D45" i="6"/>
  <c r="G45"/>
  <c r="F45"/>
  <c r="I43"/>
  <c r="H43"/>
  <c r="H35"/>
  <c r="H32"/>
  <c r="H7"/>
  <c r="H9"/>
  <c r="AO18"/>
  <c r="AN20"/>
  <c r="G39"/>
  <c r="F39"/>
  <c r="E39"/>
  <c r="D39"/>
  <c r="G36"/>
  <c r="F36"/>
  <c r="E36"/>
  <c r="D36"/>
  <c r="G33"/>
  <c r="F33"/>
  <c r="E33"/>
  <c r="D33"/>
  <c r="I35"/>
  <c r="I32"/>
  <c r="G8"/>
  <c r="G10"/>
  <c r="G12"/>
  <c r="F8"/>
  <c r="E8"/>
  <c r="D8"/>
  <c r="F10"/>
  <c r="E10"/>
  <c r="D10"/>
  <c r="F12"/>
  <c r="E12"/>
  <c r="D12"/>
  <c r="I7"/>
  <c r="I9"/>
  <c r="AO24"/>
  <c r="AN26"/>
  <c r="BB405"/>
  <c r="BA405"/>
  <c r="BB310"/>
  <c r="BA310"/>
  <c r="BB413"/>
  <c r="BA413"/>
  <c r="B123" a="1"/>
  <c r="C123" s="1"/>
  <c r="A71" s="1"/>
  <c r="I10" i="1" s="1"/>
  <c r="B120" i="6" a="1"/>
  <c r="C120" s="1"/>
  <c r="A53" s="1"/>
  <c r="B119"/>
  <c r="A51" s="1"/>
  <c r="AS422"/>
  <c r="AS415"/>
  <c r="AS414"/>
  <c r="AO11"/>
  <c r="X52"/>
  <c r="AM52"/>
  <c r="T50"/>
  <c r="U50"/>
  <c r="AO50"/>
  <c r="AF50"/>
  <c r="S50"/>
  <c r="X51"/>
  <c r="R52"/>
  <c r="AG51"/>
  <c r="AN52"/>
  <c r="AL52"/>
  <c r="U51"/>
  <c r="W52"/>
  <c r="AF52"/>
  <c r="Y52"/>
  <c r="AG50"/>
  <c r="AC50"/>
  <c r="V50"/>
  <c r="X50"/>
  <c r="U52"/>
  <c r="O51"/>
  <c r="AE51"/>
  <c r="Z51"/>
  <c r="AE50"/>
  <c r="W50"/>
  <c r="AA51"/>
  <c r="S51"/>
  <c r="AH50"/>
  <c r="AL51"/>
  <c r="AC52"/>
  <c r="AO37"/>
  <c r="Q50"/>
  <c r="AL50"/>
  <c r="AH51"/>
  <c r="AD52"/>
  <c r="O50"/>
  <c r="AO13"/>
  <c r="AC51"/>
  <c r="V51"/>
  <c r="O52"/>
  <c r="AH52"/>
  <c r="AG52"/>
  <c r="AK52"/>
  <c r="Q51"/>
  <c r="AI50"/>
  <c r="P50"/>
  <c r="T51"/>
  <c r="Z52"/>
  <c r="Y50"/>
  <c r="P52"/>
  <c r="AO51"/>
  <c r="AI51"/>
  <c r="AI52"/>
  <c r="AK51"/>
  <c r="AD51"/>
  <c r="W51"/>
  <c r="AB51"/>
  <c r="S52"/>
  <c r="AJ51"/>
  <c r="AN51"/>
  <c r="Q52"/>
  <c r="P51"/>
  <c r="AE52"/>
  <c r="AM50"/>
  <c r="AO52"/>
  <c r="AJ50"/>
  <c r="R50"/>
  <c r="AM51"/>
  <c r="V52"/>
  <c r="AK50"/>
  <c r="AJ52"/>
  <c r="AA52"/>
  <c r="AA50"/>
  <c r="AO40"/>
  <c r="T52"/>
  <c r="AN50"/>
  <c r="Y51"/>
  <c r="AB52"/>
  <c r="Z50"/>
  <c r="AD50"/>
  <c r="R51"/>
  <c r="AF51"/>
  <c r="AB50"/>
  <c r="L34"/>
  <c r="L51"/>
  <c r="L15"/>
  <c r="L52"/>
  <c r="L50"/>
  <c r="K52"/>
  <c r="N52"/>
  <c r="AY412"/>
  <c r="AZ416"/>
  <c r="AZ409"/>
  <c r="K51"/>
  <c r="N51"/>
  <c r="J51"/>
  <c r="AZ408"/>
  <c r="AY411"/>
  <c r="J50"/>
  <c r="AY419"/>
  <c r="J52"/>
  <c r="AZ406"/>
  <c r="M52"/>
  <c r="N50"/>
  <c r="M51"/>
  <c r="K50"/>
  <c r="M50"/>
  <c r="H45" l="1"/>
  <c r="E47"/>
  <c r="N10" i="1" s="1"/>
  <c r="D47" i="6"/>
  <c r="G47"/>
  <c r="F47"/>
  <c r="I45"/>
  <c r="H10"/>
  <c r="H8"/>
  <c r="H12"/>
  <c r="H33"/>
  <c r="H36"/>
  <c r="H39"/>
  <c r="N62"/>
  <c r="AO62"/>
  <c r="M62"/>
  <c r="AM62"/>
  <c r="R62"/>
  <c r="AD62"/>
  <c r="J62"/>
  <c r="AG62"/>
  <c r="W62"/>
  <c r="S62"/>
  <c r="AB62"/>
  <c r="K62"/>
  <c r="O62"/>
  <c r="X62"/>
  <c r="T62"/>
  <c r="AE62"/>
  <c r="Q62"/>
  <c r="AJ62"/>
  <c r="AK62"/>
  <c r="AA62"/>
  <c r="U62"/>
  <c r="V62"/>
  <c r="AL62"/>
  <c r="AC62"/>
  <c r="AF62"/>
  <c r="Z62"/>
  <c r="AI62"/>
  <c r="P62"/>
  <c r="AH62"/>
  <c r="Y62"/>
  <c r="AN62"/>
  <c r="L62"/>
  <c r="D18"/>
  <c r="E18"/>
  <c r="F18"/>
  <c r="G18"/>
  <c r="AO19"/>
  <c r="F40"/>
  <c r="G40"/>
  <c r="D40"/>
  <c r="E40"/>
  <c r="F37"/>
  <c r="G37"/>
  <c r="D37"/>
  <c r="E37"/>
  <c r="I33"/>
  <c r="I36"/>
  <c r="I39"/>
  <c r="G11"/>
  <c r="G13"/>
  <c r="F11"/>
  <c r="D11"/>
  <c r="E11"/>
  <c r="F13"/>
  <c r="D13"/>
  <c r="E13"/>
  <c r="I12"/>
  <c r="I10"/>
  <c r="I8"/>
  <c r="F24"/>
  <c r="G24"/>
  <c r="D24"/>
  <c r="E24"/>
  <c r="AO25"/>
  <c r="BB406"/>
  <c r="BA406"/>
  <c r="BB409"/>
  <c r="BA409"/>
  <c r="BB408"/>
  <c r="BA408"/>
  <c r="BB416"/>
  <c r="BA416"/>
  <c r="B121" a="1"/>
  <c r="C121" s="1"/>
  <c r="A56" s="1"/>
  <c r="R66"/>
  <c r="AK66"/>
  <c r="AH66"/>
  <c r="K66"/>
  <c r="AG66"/>
  <c r="AF66"/>
  <c r="AC66"/>
  <c r="AE66"/>
  <c r="Z66"/>
  <c r="Y66"/>
  <c r="W66"/>
  <c r="U66"/>
  <c r="AA66"/>
  <c r="AM66"/>
  <c r="AN66"/>
  <c r="N66"/>
  <c r="O66"/>
  <c r="S66"/>
  <c r="M66"/>
  <c r="V66"/>
  <c r="D50"/>
  <c r="J66"/>
  <c r="G50"/>
  <c r="F50"/>
  <c r="E50"/>
  <c r="AI66"/>
  <c r="X66"/>
  <c r="AB66"/>
  <c r="G52"/>
  <c r="D52"/>
  <c r="F52"/>
  <c r="E52"/>
  <c r="AO66"/>
  <c r="AJ66"/>
  <c r="Q66"/>
  <c r="L66"/>
  <c r="AD66"/>
  <c r="T66"/>
  <c r="AL66"/>
  <c r="F51"/>
  <c r="E51"/>
  <c r="G51"/>
  <c r="D51"/>
  <c r="P66"/>
  <c r="B123"/>
  <c r="A72" s="1"/>
  <c r="J10" i="1" s="1"/>
  <c r="B120" i="6"/>
  <c r="A54" s="1"/>
  <c r="AS425"/>
  <c r="A74"/>
  <c r="AS417"/>
  <c r="AS418"/>
  <c r="AI53"/>
  <c r="P53"/>
  <c r="AB72"/>
  <c r="AG73"/>
  <c r="AH73"/>
  <c r="AJ54"/>
  <c r="AL72"/>
  <c r="Z73"/>
  <c r="AF72"/>
  <c r="S55"/>
  <c r="W72"/>
  <c r="Y54"/>
  <c r="R71"/>
  <c r="R55"/>
  <c r="V73"/>
  <c r="Q72"/>
  <c r="AM53"/>
  <c r="AE55"/>
  <c r="S73"/>
  <c r="AH54"/>
  <c r="X73"/>
  <c r="Y55"/>
  <c r="X71"/>
  <c r="AL71"/>
  <c r="AL53"/>
  <c r="AJ71"/>
  <c r="AD55"/>
  <c r="AN54"/>
  <c r="AF73"/>
  <c r="Z55"/>
  <c r="AH72"/>
  <c r="S72"/>
  <c r="U71"/>
  <c r="AG53"/>
  <c r="W73"/>
  <c r="P73"/>
  <c r="AO14"/>
  <c r="V53"/>
  <c r="W53"/>
  <c r="AB71"/>
  <c r="T73"/>
  <c r="AI72"/>
  <c r="AI54"/>
  <c r="AH55"/>
  <c r="O55"/>
  <c r="AJ72"/>
  <c r="T53"/>
  <c r="X72"/>
  <c r="AM71"/>
  <c r="V71"/>
  <c r="AN72"/>
  <c r="AF53"/>
  <c r="X53"/>
  <c r="AH71"/>
  <c r="AE71"/>
  <c r="AH53"/>
  <c r="AK71"/>
  <c r="AK73"/>
  <c r="AB54"/>
  <c r="Y72"/>
  <c r="AA72"/>
  <c r="AO72"/>
  <c r="AO53"/>
  <c r="AC72"/>
  <c r="AO41"/>
  <c r="AD54"/>
  <c r="Q71"/>
  <c r="AM73"/>
  <c r="AG71"/>
  <c r="U73"/>
  <c r="O53"/>
  <c r="AA71"/>
  <c r="P54"/>
  <c r="R54"/>
  <c r="V72"/>
  <c r="AN53"/>
  <c r="Z71"/>
  <c r="AL55"/>
  <c r="AK55"/>
  <c r="Z53"/>
  <c r="Q73"/>
  <c r="AI73"/>
  <c r="Z54"/>
  <c r="O73"/>
  <c r="X55"/>
  <c r="AG54"/>
  <c r="Z72"/>
  <c r="Q53"/>
  <c r="W54"/>
  <c r="Y73"/>
  <c r="AE54"/>
  <c r="AA54"/>
  <c r="O72"/>
  <c r="Y71"/>
  <c r="W55"/>
  <c r="V54"/>
  <c r="T55"/>
  <c r="AN73"/>
  <c r="AK53"/>
  <c r="AJ53"/>
  <c r="AB53"/>
  <c r="AO71"/>
  <c r="U72"/>
  <c r="AA53"/>
  <c r="AE72"/>
  <c r="AC71"/>
  <c r="T71"/>
  <c r="AJ73"/>
  <c r="AF71"/>
  <c r="U55"/>
  <c r="S53"/>
  <c r="S71"/>
  <c r="AC73"/>
  <c r="O71"/>
  <c r="W71"/>
  <c r="AG55"/>
  <c r="V55"/>
  <c r="AI55"/>
  <c r="AD72"/>
  <c r="AM55"/>
  <c r="AA73"/>
  <c r="Q54"/>
  <c r="R53"/>
  <c r="O54"/>
  <c r="AC53"/>
  <c r="AF54"/>
  <c r="Q55"/>
  <c r="AG72"/>
  <c r="AM72"/>
  <c r="P71"/>
  <c r="L55"/>
  <c r="L54"/>
  <c r="L72"/>
  <c r="L53"/>
  <c r="L73"/>
  <c r="L71"/>
  <c r="N73"/>
  <c r="J55"/>
  <c r="J17"/>
  <c r="N72"/>
  <c r="M54"/>
  <c r="M53"/>
  <c r="AY422"/>
  <c r="M73"/>
  <c r="K55"/>
  <c r="J53"/>
  <c r="K72"/>
  <c r="AY415"/>
  <c r="K73"/>
  <c r="J38"/>
  <c r="K53"/>
  <c r="AZ419"/>
  <c r="M15"/>
  <c r="M34"/>
  <c r="J72"/>
  <c r="N71"/>
  <c r="K71"/>
  <c r="K54"/>
  <c r="AY414"/>
  <c r="M72"/>
  <c r="J16"/>
  <c r="J54"/>
  <c r="N54"/>
  <c r="AZ412"/>
  <c r="AZ411"/>
  <c r="J42"/>
  <c r="F28" l="1"/>
  <c r="G28"/>
  <c r="D28"/>
  <c r="E28"/>
  <c r="F22"/>
  <c r="G22"/>
  <c r="D22"/>
  <c r="E22"/>
  <c r="F10" i="1" s="1"/>
  <c r="H47" i="6"/>
  <c r="A75"/>
  <c r="I47"/>
  <c r="H51"/>
  <c r="H37"/>
  <c r="H40"/>
  <c r="H50"/>
  <c r="H11"/>
  <c r="H52"/>
  <c r="H13"/>
  <c r="AF83"/>
  <c r="AJ83"/>
  <c r="Z83"/>
  <c r="AA83"/>
  <c r="S83"/>
  <c r="N83"/>
  <c r="X83"/>
  <c r="W83"/>
  <c r="AH83"/>
  <c r="U83"/>
  <c r="K83"/>
  <c r="AC83"/>
  <c r="AM83"/>
  <c r="Y83"/>
  <c r="Q83"/>
  <c r="AG83"/>
  <c r="L83"/>
  <c r="O83"/>
  <c r="V83"/>
  <c r="C18"/>
  <c r="AI63"/>
  <c r="Z63"/>
  <c r="V63"/>
  <c r="O63"/>
  <c r="Q63"/>
  <c r="J63"/>
  <c r="AG63"/>
  <c r="R63"/>
  <c r="W63"/>
  <c r="L63"/>
  <c r="K63"/>
  <c r="AH63"/>
  <c r="F62"/>
  <c r="G62"/>
  <c r="D62"/>
  <c r="E62"/>
  <c r="D19"/>
  <c r="G19"/>
  <c r="F19"/>
  <c r="E19"/>
  <c r="I18"/>
  <c r="AO20"/>
  <c r="J21"/>
  <c r="C24"/>
  <c r="I50"/>
  <c r="G41"/>
  <c r="F41"/>
  <c r="E41"/>
  <c r="D41"/>
  <c r="I37"/>
  <c r="I40"/>
  <c r="G14"/>
  <c r="F14"/>
  <c r="E14"/>
  <c r="D14"/>
  <c r="I13"/>
  <c r="I11"/>
  <c r="F25"/>
  <c r="E25"/>
  <c r="D25"/>
  <c r="G25"/>
  <c r="I24"/>
  <c r="AO26"/>
  <c r="J27"/>
  <c r="BB411"/>
  <c r="BA411"/>
  <c r="BB412"/>
  <c r="BA412"/>
  <c r="BB419"/>
  <c r="BA419"/>
  <c r="I52"/>
  <c r="F66"/>
  <c r="I51"/>
  <c r="E66"/>
  <c r="W89"/>
  <c r="L89"/>
  <c r="AH89"/>
  <c r="N89"/>
  <c r="AJ89"/>
  <c r="AC89"/>
  <c r="O89"/>
  <c r="AF89"/>
  <c r="Q89"/>
  <c r="AM89"/>
  <c r="Z89"/>
  <c r="X89"/>
  <c r="V89"/>
  <c r="U89"/>
  <c r="AA89"/>
  <c r="Y89"/>
  <c r="AG89"/>
  <c r="K89"/>
  <c r="S89"/>
  <c r="G66"/>
  <c r="B121"/>
  <c r="A57" s="1"/>
  <c r="D66"/>
  <c r="O67"/>
  <c r="R67"/>
  <c r="AH67"/>
  <c r="AI67"/>
  <c r="Q67"/>
  <c r="AG67"/>
  <c r="V67"/>
  <c r="L67"/>
  <c r="W67"/>
  <c r="J67"/>
  <c r="Z67"/>
  <c r="K67"/>
  <c r="AS421"/>
  <c r="AS420"/>
  <c r="AS428"/>
  <c r="AN55"/>
  <c r="AD53"/>
  <c r="X54"/>
  <c r="AK54"/>
  <c r="U74"/>
  <c r="AE76"/>
  <c r="S54"/>
  <c r="AO55"/>
  <c r="Q76"/>
  <c r="R73"/>
  <c r="AC75"/>
  <c r="AJ55"/>
  <c r="P76"/>
  <c r="S76"/>
  <c r="AF55"/>
  <c r="AD71"/>
  <c r="AL76"/>
  <c r="Z76"/>
  <c r="AB75"/>
  <c r="AI71"/>
  <c r="AJ75"/>
  <c r="AG76"/>
  <c r="V76"/>
  <c r="AE75"/>
  <c r="AL54"/>
  <c r="AH75"/>
  <c r="R76"/>
  <c r="AN71"/>
  <c r="AE53"/>
  <c r="V74"/>
  <c r="AA55"/>
  <c r="AD75"/>
  <c r="Q74"/>
  <c r="AI76"/>
  <c r="Z74"/>
  <c r="AK72"/>
  <c r="P74"/>
  <c r="AB73"/>
  <c r="AO54"/>
  <c r="AM75"/>
  <c r="AB76"/>
  <c r="AC55"/>
  <c r="Y53"/>
  <c r="AF75"/>
  <c r="T76"/>
  <c r="X74"/>
  <c r="T75"/>
  <c r="AO75"/>
  <c r="AA76"/>
  <c r="AD76"/>
  <c r="AB74"/>
  <c r="R74"/>
  <c r="AD73"/>
  <c r="AA74"/>
  <c r="P72"/>
  <c r="AE74"/>
  <c r="AE73"/>
  <c r="AA75"/>
  <c r="AB55"/>
  <c r="AO73"/>
  <c r="AH74"/>
  <c r="X76"/>
  <c r="AK76"/>
  <c r="U76"/>
  <c r="AL73"/>
  <c r="AO76"/>
  <c r="W76"/>
  <c r="AJ74"/>
  <c r="W75"/>
  <c r="AM74"/>
  <c r="R72"/>
  <c r="P75"/>
  <c r="V75"/>
  <c r="U54"/>
  <c r="AJ76"/>
  <c r="T72"/>
  <c r="AK75"/>
  <c r="AO74"/>
  <c r="Z75"/>
  <c r="Q75"/>
  <c r="R75"/>
  <c r="O75"/>
  <c r="U75"/>
  <c r="AF76"/>
  <c r="W74"/>
  <c r="AM54"/>
  <c r="AC54"/>
  <c r="AL74"/>
  <c r="P55"/>
  <c r="T74"/>
  <c r="AC74"/>
  <c r="U53"/>
  <c r="AL75"/>
  <c r="X75"/>
  <c r="AK74"/>
  <c r="AN75"/>
  <c r="AG75"/>
  <c r="T54"/>
  <c r="O76"/>
  <c r="O74"/>
  <c r="AF74"/>
  <c r="AM76"/>
  <c r="AH76"/>
  <c r="AG74"/>
  <c r="L76"/>
  <c r="L75"/>
  <c r="L74"/>
  <c r="K42"/>
  <c r="M74"/>
  <c r="N34"/>
  <c r="N75"/>
  <c r="J73"/>
  <c r="K16"/>
  <c r="K75"/>
  <c r="N76"/>
  <c r="K76"/>
  <c r="K38"/>
  <c r="M71"/>
  <c r="N55"/>
  <c r="J74"/>
  <c r="J75"/>
  <c r="N53"/>
  <c r="M55"/>
  <c r="J71"/>
  <c r="K74"/>
  <c r="M75"/>
  <c r="H22" l="1"/>
  <c r="K10" i="1"/>
  <c r="H28" i="6"/>
  <c r="E10" i="1" s="1"/>
  <c r="I28" i="6"/>
  <c r="I22"/>
  <c r="P90"/>
  <c r="V84"/>
  <c r="V90"/>
  <c r="AF90"/>
  <c r="AF84"/>
  <c r="AO90"/>
  <c r="K90"/>
  <c r="K84"/>
  <c r="AM90"/>
  <c r="AM84"/>
  <c r="X84"/>
  <c r="X90"/>
  <c r="AA84"/>
  <c r="AA90"/>
  <c r="AH84"/>
  <c r="AH90"/>
  <c r="U90"/>
  <c r="U84"/>
  <c r="R90"/>
  <c r="L84"/>
  <c r="L90"/>
  <c r="H41"/>
  <c r="H14"/>
  <c r="Z84"/>
  <c r="Q84"/>
  <c r="AE83"/>
  <c r="W84"/>
  <c r="AG84"/>
  <c r="T84"/>
  <c r="M83"/>
  <c r="AB84"/>
  <c r="AJ84"/>
  <c r="AI83"/>
  <c r="AK83"/>
  <c r="P83"/>
  <c r="P84"/>
  <c r="R84"/>
  <c r="R83"/>
  <c r="T83"/>
  <c r="AD83"/>
  <c r="AO83"/>
  <c r="AO84"/>
  <c r="AB83"/>
  <c r="AN83"/>
  <c r="AL83"/>
  <c r="AK84"/>
  <c r="AE84"/>
  <c r="AL84"/>
  <c r="J83"/>
  <c r="O84"/>
  <c r="I62"/>
  <c r="AE63"/>
  <c r="X63"/>
  <c r="AK63"/>
  <c r="AC63"/>
  <c r="P63"/>
  <c r="AN63"/>
  <c r="AO63"/>
  <c r="AL63"/>
  <c r="AA63"/>
  <c r="S63"/>
  <c r="AJ63"/>
  <c r="AM63"/>
  <c r="AD63"/>
  <c r="AF63"/>
  <c r="T63"/>
  <c r="Y63"/>
  <c r="AB63"/>
  <c r="N63"/>
  <c r="M63"/>
  <c r="U63"/>
  <c r="C62"/>
  <c r="C19"/>
  <c r="I19"/>
  <c r="D20"/>
  <c r="E20"/>
  <c r="F20"/>
  <c r="G20"/>
  <c r="I41"/>
  <c r="G72"/>
  <c r="D72"/>
  <c r="P89"/>
  <c r="F72"/>
  <c r="E72"/>
  <c r="AK67"/>
  <c r="AE67"/>
  <c r="AD67"/>
  <c r="AJ90"/>
  <c r="AC67"/>
  <c r="AL89"/>
  <c r="R89"/>
  <c r="AN67"/>
  <c r="P67"/>
  <c r="X67"/>
  <c r="T89"/>
  <c r="AI89"/>
  <c r="Q90"/>
  <c r="M67"/>
  <c r="G55"/>
  <c r="F55"/>
  <c r="E55"/>
  <c r="D55"/>
  <c r="AF67"/>
  <c r="AO67"/>
  <c r="AE89"/>
  <c r="E73"/>
  <c r="G73"/>
  <c r="F73"/>
  <c r="D73"/>
  <c r="AD89"/>
  <c r="AM67"/>
  <c r="AK90"/>
  <c r="T67"/>
  <c r="AL67"/>
  <c r="W90"/>
  <c r="Z90"/>
  <c r="Y67"/>
  <c r="AK89"/>
  <c r="AB67"/>
  <c r="AA67"/>
  <c r="AO89"/>
  <c r="S67"/>
  <c r="D54"/>
  <c r="G54"/>
  <c r="E54"/>
  <c r="F54"/>
  <c r="AE90"/>
  <c r="AB89"/>
  <c r="M89"/>
  <c r="AG90"/>
  <c r="AL90"/>
  <c r="F53"/>
  <c r="G53"/>
  <c r="D53"/>
  <c r="N67"/>
  <c r="E53"/>
  <c r="AJ67"/>
  <c r="J89"/>
  <c r="D71"/>
  <c r="F71"/>
  <c r="E71"/>
  <c r="G71"/>
  <c r="AN89"/>
  <c r="O90"/>
  <c r="AB90"/>
  <c r="T90"/>
  <c r="U67"/>
  <c r="S58"/>
  <c r="AH57"/>
  <c r="W56"/>
  <c r="AO56"/>
  <c r="Q56"/>
  <c r="P57"/>
  <c r="U58"/>
  <c r="O58"/>
  <c r="AD58"/>
  <c r="Z57"/>
  <c r="R58"/>
  <c r="X56"/>
  <c r="AA56"/>
  <c r="Y56"/>
  <c r="AN57"/>
  <c r="P58"/>
  <c r="AD57"/>
  <c r="V56"/>
  <c r="AJ57"/>
  <c r="U56"/>
  <c r="S56"/>
  <c r="AN76"/>
  <c r="S57"/>
  <c r="AD74"/>
  <c r="AI75"/>
  <c r="AL58"/>
  <c r="AD56"/>
  <c r="W58"/>
  <c r="T56"/>
  <c r="AK58"/>
  <c r="AM57"/>
  <c r="AE56"/>
  <c r="AC56"/>
  <c r="U57"/>
  <c r="R56"/>
  <c r="AO57"/>
  <c r="S74"/>
  <c r="Y76"/>
  <c r="X58"/>
  <c r="AB58"/>
  <c r="Y75"/>
  <c r="AM58"/>
  <c r="AI56"/>
  <c r="O57"/>
  <c r="AF57"/>
  <c r="Y58"/>
  <c r="AI74"/>
  <c r="AE58"/>
  <c r="AG57"/>
  <c r="Q57"/>
  <c r="AK57"/>
  <c r="R57"/>
  <c r="AG58"/>
  <c r="AA58"/>
  <c r="X57"/>
  <c r="AN58"/>
  <c r="W57"/>
  <c r="AL56"/>
  <c r="AH58"/>
  <c r="AF56"/>
  <c r="AN74"/>
  <c r="AN56"/>
  <c r="AJ56"/>
  <c r="Z58"/>
  <c r="AC57"/>
  <c r="AJ58"/>
  <c r="AI57"/>
  <c r="AO58"/>
  <c r="AC58"/>
  <c r="AA57"/>
  <c r="AG56"/>
  <c r="AB56"/>
  <c r="O56"/>
  <c r="Y74"/>
  <c r="AK56"/>
  <c r="T57"/>
  <c r="S75"/>
  <c r="AB57"/>
  <c r="P56"/>
  <c r="Q58"/>
  <c r="Y57"/>
  <c r="AC76"/>
  <c r="Z56"/>
  <c r="AL57"/>
  <c r="V57"/>
  <c r="AF58"/>
  <c r="T58"/>
  <c r="AM56"/>
  <c r="AE57"/>
  <c r="V58"/>
  <c r="AI58"/>
  <c r="AH56"/>
  <c r="L56"/>
  <c r="L58"/>
  <c r="L57"/>
  <c r="N74"/>
  <c r="AZ414"/>
  <c r="M56"/>
  <c r="N15"/>
  <c r="J56"/>
  <c r="AY425"/>
  <c r="J76"/>
  <c r="K58"/>
  <c r="K57"/>
  <c r="M58"/>
  <c r="AY418"/>
  <c r="K17"/>
  <c r="M57"/>
  <c r="N56"/>
  <c r="M76"/>
  <c r="AY417"/>
  <c r="J57"/>
  <c r="AZ422"/>
  <c r="AZ415"/>
  <c r="N58"/>
  <c r="J58"/>
  <c r="N57"/>
  <c r="K56"/>
  <c r="H53" l="1"/>
  <c r="H71"/>
  <c r="H73"/>
  <c r="H55"/>
  <c r="H54"/>
  <c r="H72"/>
  <c r="E63"/>
  <c r="AN84"/>
  <c r="J84"/>
  <c r="AC84"/>
  <c r="S84"/>
  <c r="AD84"/>
  <c r="Y84"/>
  <c r="M84"/>
  <c r="N84"/>
  <c r="AI84"/>
  <c r="D83"/>
  <c r="E83"/>
  <c r="G83"/>
  <c r="F83"/>
  <c r="D63"/>
  <c r="F63"/>
  <c r="G63"/>
  <c r="X64"/>
  <c r="AF64"/>
  <c r="AO64"/>
  <c r="N64"/>
  <c r="W64"/>
  <c r="O64"/>
  <c r="Q64"/>
  <c r="Y64"/>
  <c r="AD64"/>
  <c r="R64"/>
  <c r="AE64"/>
  <c r="Z64"/>
  <c r="V64"/>
  <c r="AK64"/>
  <c r="AC64"/>
  <c r="J64"/>
  <c r="S64"/>
  <c r="U64"/>
  <c r="T64"/>
  <c r="AA64"/>
  <c r="AG64"/>
  <c r="AJ64"/>
  <c r="P64"/>
  <c r="AM64"/>
  <c r="AN64"/>
  <c r="AB64"/>
  <c r="L64"/>
  <c r="K64"/>
  <c r="AH64"/>
  <c r="AI64"/>
  <c r="M64"/>
  <c r="AL64"/>
  <c r="C20"/>
  <c r="I20"/>
  <c r="K21"/>
  <c r="I73"/>
  <c r="I71"/>
  <c r="D89"/>
  <c r="I66"/>
  <c r="I14"/>
  <c r="F26"/>
  <c r="E26"/>
  <c r="G26"/>
  <c r="D26"/>
  <c r="C25"/>
  <c r="I25"/>
  <c r="K27"/>
  <c r="BB414"/>
  <c r="BA414"/>
  <c r="BB415"/>
  <c r="BA415"/>
  <c r="BB422"/>
  <c r="BA422"/>
  <c r="I72"/>
  <c r="E89"/>
  <c r="F89"/>
  <c r="G89"/>
  <c r="C66"/>
  <c r="AC90"/>
  <c r="AN90"/>
  <c r="F74"/>
  <c r="D74"/>
  <c r="N90"/>
  <c r="G74"/>
  <c r="E74"/>
  <c r="AG68"/>
  <c r="Z68"/>
  <c r="AH68"/>
  <c r="J68"/>
  <c r="X68"/>
  <c r="AI90"/>
  <c r="M90"/>
  <c r="E75"/>
  <c r="D75"/>
  <c r="G75"/>
  <c r="F75"/>
  <c r="AF68"/>
  <c r="AE68"/>
  <c r="AJ68"/>
  <c r="S90"/>
  <c r="G76"/>
  <c r="J90"/>
  <c r="F76"/>
  <c r="D76"/>
  <c r="E76"/>
  <c r="AI68"/>
  <c r="AL68"/>
  <c r="AC68"/>
  <c r="AB68"/>
  <c r="AK68"/>
  <c r="AD68"/>
  <c r="Y90"/>
  <c r="AD90"/>
  <c r="AM68"/>
  <c r="AN68"/>
  <c r="AA68"/>
  <c r="AO68"/>
  <c r="I54"/>
  <c r="I55"/>
  <c r="I53"/>
  <c r="G67"/>
  <c r="D67"/>
  <c r="E57"/>
  <c r="G57"/>
  <c r="D57"/>
  <c r="F57"/>
  <c r="L68"/>
  <c r="G58"/>
  <c r="E58"/>
  <c r="D58"/>
  <c r="F58"/>
  <c r="R68"/>
  <c r="M68"/>
  <c r="S68"/>
  <c r="Y68"/>
  <c r="V68"/>
  <c r="W68"/>
  <c r="E56"/>
  <c r="F56"/>
  <c r="K68"/>
  <c r="G56"/>
  <c r="D56"/>
  <c r="P68"/>
  <c r="U68"/>
  <c r="Q68"/>
  <c r="N68"/>
  <c r="O68"/>
  <c r="T68"/>
  <c r="E67"/>
  <c r="F67"/>
  <c r="AS424"/>
  <c r="AS431"/>
  <c r="AS423"/>
  <c r="O34"/>
  <c r="L16"/>
  <c r="L38"/>
  <c r="L42"/>
  <c r="G93" l="1"/>
  <c r="E87"/>
  <c r="D87"/>
  <c r="D93"/>
  <c r="E93"/>
  <c r="F93"/>
  <c r="F87"/>
  <c r="G87"/>
  <c r="H57"/>
  <c r="H56"/>
  <c r="H76"/>
  <c r="H75"/>
  <c r="H58"/>
  <c r="H74"/>
  <c r="I63"/>
  <c r="I83"/>
  <c r="E84"/>
  <c r="G84"/>
  <c r="F84"/>
  <c r="D84"/>
  <c r="C83"/>
  <c r="C63"/>
  <c r="D64"/>
  <c r="E64"/>
  <c r="F64"/>
  <c r="G64"/>
  <c r="C89"/>
  <c r="I89"/>
  <c r="O15"/>
  <c r="L17"/>
  <c r="AZ418"/>
  <c r="AY420"/>
  <c r="AZ417"/>
  <c r="AZ425"/>
  <c r="AY428"/>
  <c r="AY421"/>
  <c r="H87" l="1"/>
  <c r="H10" i="1" s="1"/>
  <c r="H93" i="6"/>
  <c r="G10" i="1" s="1"/>
  <c r="I93" i="6"/>
  <c r="I87"/>
  <c r="C84"/>
  <c r="I84"/>
  <c r="C64"/>
  <c r="I64"/>
  <c r="L21"/>
  <c r="D90"/>
  <c r="C26"/>
  <c r="I26"/>
  <c r="L27"/>
  <c r="BB418"/>
  <c r="BA418"/>
  <c r="BB417"/>
  <c r="BA417"/>
  <c r="BB425"/>
  <c r="BA425"/>
  <c r="E90"/>
  <c r="I75"/>
  <c r="I74"/>
  <c r="F90"/>
  <c r="I76"/>
  <c r="G90"/>
  <c r="C67"/>
  <c r="I67"/>
  <c r="I57"/>
  <c r="I56"/>
  <c r="D68"/>
  <c r="F68"/>
  <c r="I58"/>
  <c r="E68"/>
  <c r="G68"/>
  <c r="AS426"/>
  <c r="AS434"/>
  <c r="AS427"/>
  <c r="P15"/>
  <c r="P34"/>
  <c r="M17"/>
  <c r="AY423"/>
  <c r="M42"/>
  <c r="M16"/>
  <c r="AY424"/>
  <c r="AZ421"/>
  <c r="M38"/>
  <c r="AZ420"/>
  <c r="AY431"/>
  <c r="AZ428"/>
  <c r="M21" l="1"/>
  <c r="I90"/>
  <c r="M27"/>
  <c r="BB421"/>
  <c r="BA421"/>
  <c r="BB420"/>
  <c r="BA420"/>
  <c r="BB428"/>
  <c r="BA428"/>
  <c r="C90"/>
  <c r="C68"/>
  <c r="I68"/>
  <c r="AS429"/>
  <c r="AS430"/>
  <c r="AS437"/>
  <c r="Q34"/>
  <c r="Q15"/>
  <c r="N16"/>
  <c r="AY427"/>
  <c r="AZ423"/>
  <c r="N42"/>
  <c r="AZ424"/>
  <c r="N38"/>
  <c r="AY426"/>
  <c r="AZ431"/>
  <c r="N17"/>
  <c r="AY434"/>
  <c r="N21" l="1"/>
  <c r="N27"/>
  <c r="BB424"/>
  <c r="BA424"/>
  <c r="BB423"/>
  <c r="BA423"/>
  <c r="BB431"/>
  <c r="BA431"/>
  <c r="AS440"/>
  <c r="AS433"/>
  <c r="AS432"/>
  <c r="O38"/>
  <c r="R34"/>
  <c r="O17"/>
  <c r="O16"/>
  <c r="O42"/>
  <c r="R15"/>
  <c r="AZ426"/>
  <c r="AZ427"/>
  <c r="AZ434"/>
  <c r="AY429"/>
  <c r="AY430"/>
  <c r="AY437"/>
  <c r="O21" l="1"/>
  <c r="O27"/>
  <c r="BB427"/>
  <c r="BA427"/>
  <c r="BB426"/>
  <c r="BA426"/>
  <c r="BB434"/>
  <c r="BA434"/>
  <c r="AS436"/>
  <c r="AS435"/>
  <c r="AS443"/>
  <c r="P16"/>
  <c r="P42"/>
  <c r="P17"/>
  <c r="P38"/>
  <c r="S15"/>
  <c r="S34"/>
  <c r="AZ430"/>
  <c r="AY440"/>
  <c r="AY433"/>
  <c r="AZ429"/>
  <c r="AY432"/>
  <c r="AZ437"/>
  <c r="P21" l="1"/>
  <c r="P27"/>
  <c r="BB429"/>
  <c r="BA429"/>
  <c r="BB430"/>
  <c r="BA430"/>
  <c r="BB437"/>
  <c r="BA437"/>
  <c r="AS446"/>
  <c r="AS439"/>
  <c r="AS438"/>
  <c r="T34"/>
  <c r="Q17"/>
  <c r="Q38"/>
  <c r="Q16"/>
  <c r="Q42"/>
  <c r="T15"/>
  <c r="AZ433"/>
  <c r="AZ440"/>
  <c r="AY436"/>
  <c r="AY443"/>
  <c r="AZ432"/>
  <c r="AY435"/>
  <c r="Q21" l="1"/>
  <c r="Q27"/>
  <c r="BB433"/>
  <c r="BA433"/>
  <c r="BB432"/>
  <c r="BA432"/>
  <c r="BB440"/>
  <c r="BA440"/>
  <c r="AS442"/>
  <c r="AS441"/>
  <c r="AS449"/>
  <c r="R42"/>
  <c r="U15"/>
  <c r="U34"/>
  <c r="R17"/>
  <c r="R38"/>
  <c r="R16"/>
  <c r="AY438"/>
  <c r="AZ436"/>
  <c r="AY439"/>
  <c r="AY446"/>
  <c r="AZ443"/>
  <c r="AZ435"/>
  <c r="R21" l="1"/>
  <c r="R27"/>
  <c r="BB436"/>
  <c r="BA436"/>
  <c r="BB435"/>
  <c r="BA435"/>
  <c r="BB443"/>
  <c r="BA443"/>
  <c r="AS444"/>
  <c r="AS452"/>
  <c r="AS445"/>
  <c r="S16"/>
  <c r="V34"/>
  <c r="S42"/>
  <c r="S17"/>
  <c r="V15"/>
  <c r="S38"/>
  <c r="AY442"/>
  <c r="AZ438"/>
  <c r="AY441"/>
  <c r="AZ439"/>
  <c r="AY449"/>
  <c r="AZ446"/>
  <c r="S21" l="1"/>
  <c r="S27"/>
  <c r="BB439"/>
  <c r="BA439"/>
  <c r="BB438"/>
  <c r="BA438"/>
  <c r="BB446"/>
  <c r="BA446"/>
  <c r="AS448"/>
  <c r="AS447"/>
  <c r="AS455"/>
  <c r="T16"/>
  <c r="W15"/>
  <c r="T38"/>
  <c r="T42"/>
  <c r="T17"/>
  <c r="W34"/>
  <c r="AZ442"/>
  <c r="AY445"/>
  <c r="AY452"/>
  <c r="AZ441"/>
  <c r="AY444"/>
  <c r="AZ449"/>
  <c r="T21" l="1"/>
  <c r="T27"/>
  <c r="BB442"/>
  <c r="BA442"/>
  <c r="BB441"/>
  <c r="BA441"/>
  <c r="BB449"/>
  <c r="BA449"/>
  <c r="AS450"/>
  <c r="AS458"/>
  <c r="AS451"/>
  <c r="X15"/>
  <c r="X34"/>
  <c r="U42"/>
  <c r="U17"/>
  <c r="U16"/>
  <c r="U38"/>
  <c r="AZ452"/>
  <c r="AY447"/>
  <c r="AY448"/>
  <c r="AZ445"/>
  <c r="AY455"/>
  <c r="AZ444"/>
  <c r="U21" l="1"/>
  <c r="U27"/>
  <c r="BB445"/>
  <c r="BA445"/>
  <c r="BB444"/>
  <c r="BA444"/>
  <c r="BB452"/>
  <c r="BA452"/>
  <c r="AS454"/>
  <c r="AS453"/>
  <c r="AS461"/>
  <c r="Y34"/>
  <c r="V42"/>
  <c r="V16"/>
  <c r="V17"/>
  <c r="V38"/>
  <c r="Y15"/>
  <c r="AY458"/>
  <c r="AY451"/>
  <c r="AZ455"/>
  <c r="AY450"/>
  <c r="AZ448"/>
  <c r="AZ447"/>
  <c r="V21" l="1"/>
  <c r="V27"/>
  <c r="BB448"/>
  <c r="BA448"/>
  <c r="BB447"/>
  <c r="BA447"/>
  <c r="BB455"/>
  <c r="BA455"/>
  <c r="AS456"/>
  <c r="AS464"/>
  <c r="AS457"/>
  <c r="W42"/>
  <c r="W38"/>
  <c r="W17"/>
  <c r="W16"/>
  <c r="Z15"/>
  <c r="Z34"/>
  <c r="AZ451"/>
  <c r="AZ450"/>
  <c r="AY454"/>
  <c r="AY461"/>
  <c r="AY453"/>
  <c r="AZ458"/>
  <c r="W21" l="1"/>
  <c r="W27"/>
  <c r="BB450"/>
  <c r="BA450"/>
  <c r="BB451"/>
  <c r="BA451"/>
  <c r="BB458"/>
  <c r="BA458"/>
  <c r="AS460"/>
  <c r="AS459"/>
  <c r="AS467"/>
  <c r="AA34"/>
  <c r="X17"/>
  <c r="X16"/>
  <c r="AA15"/>
  <c r="X42"/>
  <c r="X38"/>
  <c r="AZ453"/>
  <c r="AY464"/>
  <c r="AZ454"/>
  <c r="AZ461"/>
  <c r="AY456"/>
  <c r="AY457"/>
  <c r="X21" l="1"/>
  <c r="X27"/>
  <c r="BB453"/>
  <c r="BA453"/>
  <c r="BB454"/>
  <c r="BA454"/>
  <c r="BB461"/>
  <c r="BA461"/>
  <c r="AS470"/>
  <c r="AS463"/>
  <c r="AS462"/>
  <c r="Y38"/>
  <c r="AB15"/>
  <c r="Y16"/>
  <c r="Y42"/>
  <c r="Y17"/>
  <c r="AB34"/>
  <c r="AZ457"/>
  <c r="AZ456"/>
  <c r="AY460"/>
  <c r="AZ464"/>
  <c r="AY467"/>
  <c r="AY459"/>
  <c r="Y21" l="1"/>
  <c r="Y27"/>
  <c r="BB456"/>
  <c r="BA456"/>
  <c r="BB457"/>
  <c r="BA457"/>
  <c r="BB464"/>
  <c r="BA464"/>
  <c r="AS466"/>
  <c r="AS465"/>
  <c r="AS473"/>
  <c r="Z17"/>
  <c r="AC34"/>
  <c r="Z38"/>
  <c r="AC15"/>
  <c r="Z16"/>
  <c r="Z42"/>
  <c r="AZ467"/>
  <c r="AY470"/>
  <c r="AZ459"/>
  <c r="AY462"/>
  <c r="AY463"/>
  <c r="AZ460"/>
  <c r="Z21" l="1"/>
  <c r="Z27"/>
  <c r="BB459"/>
  <c r="BA459"/>
  <c r="BB460"/>
  <c r="BA460"/>
  <c r="BB467"/>
  <c r="BA467"/>
  <c r="AS476"/>
  <c r="AS469"/>
  <c r="AS468"/>
  <c r="AA38"/>
  <c r="AD34"/>
  <c r="AA17"/>
  <c r="AD15"/>
  <c r="AA16"/>
  <c r="AA42"/>
  <c r="AZ462"/>
  <c r="AZ463"/>
  <c r="AY466"/>
  <c r="AY465"/>
  <c r="AY473"/>
  <c r="AZ470"/>
  <c r="AA21" l="1"/>
  <c r="AA27"/>
  <c r="BB462"/>
  <c r="BA462"/>
  <c r="BB470"/>
  <c r="BA470"/>
  <c r="BB463"/>
  <c r="BA463"/>
  <c r="AS472"/>
  <c r="AS471"/>
  <c r="AS479"/>
  <c r="AB16"/>
  <c r="AB17"/>
  <c r="AB38"/>
  <c r="AE15"/>
  <c r="AB42"/>
  <c r="AE34"/>
  <c r="AY469"/>
  <c r="AZ465"/>
  <c r="AY476"/>
  <c r="AY468"/>
  <c r="AZ473"/>
  <c r="AZ466"/>
  <c r="AB21" l="1"/>
  <c r="AB27"/>
  <c r="BB473"/>
  <c r="BA473"/>
  <c r="BB466"/>
  <c r="BA466"/>
  <c r="BB465"/>
  <c r="BA465"/>
  <c r="AS474"/>
  <c r="AS482"/>
  <c r="AS475"/>
  <c r="AC38"/>
  <c r="AC42"/>
  <c r="AF34"/>
  <c r="AF15"/>
  <c r="AC16"/>
  <c r="AC17"/>
  <c r="AZ476"/>
  <c r="AY471"/>
  <c r="AZ469"/>
  <c r="AY472"/>
  <c r="AY479"/>
  <c r="AZ468"/>
  <c r="AC21" l="1"/>
  <c r="AC27"/>
  <c r="BB468"/>
  <c r="BA468"/>
  <c r="BB469"/>
  <c r="BA469"/>
  <c r="BB476"/>
  <c r="BA476"/>
  <c r="AS485"/>
  <c r="AS478"/>
  <c r="AS477"/>
  <c r="AG15"/>
  <c r="AD42"/>
  <c r="AD38"/>
  <c r="AD16"/>
  <c r="AG34"/>
  <c r="AD17"/>
  <c r="AY474"/>
  <c r="AZ471"/>
  <c r="AZ472"/>
  <c r="AY482"/>
  <c r="AZ479"/>
  <c r="AY475"/>
  <c r="AD21" l="1"/>
  <c r="AD27"/>
  <c r="BB472"/>
  <c r="BA472"/>
  <c r="BB471"/>
  <c r="BA471"/>
  <c r="BB479"/>
  <c r="BA479"/>
  <c r="AS488"/>
  <c r="AS480"/>
  <c r="AS481"/>
  <c r="AE42"/>
  <c r="AE16"/>
  <c r="AH15"/>
  <c r="AE17"/>
  <c r="AH34"/>
  <c r="AE38"/>
  <c r="AY477"/>
  <c r="AZ475"/>
  <c r="AY478"/>
  <c r="AY485"/>
  <c r="AZ474"/>
  <c r="AZ482"/>
  <c r="AE21" l="1"/>
  <c r="AE27"/>
  <c r="BB474"/>
  <c r="BA474"/>
  <c r="BB475"/>
  <c r="BA475"/>
  <c r="BB482"/>
  <c r="BA482"/>
  <c r="AS483"/>
  <c r="AS484"/>
  <c r="AS491"/>
  <c r="AF17"/>
  <c r="AI15"/>
  <c r="AI34"/>
  <c r="AF38"/>
  <c r="AF16"/>
  <c r="AF42"/>
  <c r="AY488"/>
  <c r="AZ485"/>
  <c r="AY481"/>
  <c r="AZ477"/>
  <c r="AZ478"/>
  <c r="AY480"/>
  <c r="AF21" l="1"/>
  <c r="AF27"/>
  <c r="BB478"/>
  <c r="BA478"/>
  <c r="BB477"/>
  <c r="BA477"/>
  <c r="BB485"/>
  <c r="BA485"/>
  <c r="AS487"/>
  <c r="AS494"/>
  <c r="AS486"/>
  <c r="AG17"/>
  <c r="AJ34"/>
  <c r="AJ15"/>
  <c r="AG42"/>
  <c r="AG16"/>
  <c r="AG38"/>
  <c r="AY483"/>
  <c r="AZ480"/>
  <c r="AY491"/>
  <c r="AZ481"/>
  <c r="AY484"/>
  <c r="AZ488"/>
  <c r="AG21" l="1"/>
  <c r="AG27"/>
  <c r="BB480"/>
  <c r="BA480"/>
  <c r="BB481"/>
  <c r="BA481"/>
  <c r="BB488"/>
  <c r="BA488"/>
  <c r="AS489"/>
  <c r="AS490"/>
  <c r="AS497"/>
  <c r="AH38"/>
  <c r="AH42"/>
  <c r="AH17"/>
  <c r="AK34"/>
  <c r="AH16"/>
  <c r="AK15"/>
  <c r="AZ491"/>
  <c r="AY486"/>
  <c r="AY494"/>
  <c r="AZ483"/>
  <c r="AY487"/>
  <c r="AZ484"/>
  <c r="AH21" l="1"/>
  <c r="AH27"/>
  <c r="BB484"/>
  <c r="BA484"/>
  <c r="BB483"/>
  <c r="BA483"/>
  <c r="BB491"/>
  <c r="BA491"/>
  <c r="AS493"/>
  <c r="AS500"/>
  <c r="AS492"/>
  <c r="AI38"/>
  <c r="AI42"/>
  <c r="AI16"/>
  <c r="AI17"/>
  <c r="AL34"/>
  <c r="AL15"/>
  <c r="AZ487"/>
  <c r="AZ486"/>
  <c r="AY490"/>
  <c r="AY489"/>
  <c r="AY497"/>
  <c r="AZ494"/>
  <c r="AI21" l="1"/>
  <c r="AI27"/>
  <c r="BB487"/>
  <c r="BA487"/>
  <c r="BB486"/>
  <c r="BA486"/>
  <c r="BB494"/>
  <c r="BA494"/>
  <c r="AS495"/>
  <c r="AS496"/>
  <c r="AJ42"/>
  <c r="AJ17"/>
  <c r="AM15"/>
  <c r="AJ16"/>
  <c r="AJ38"/>
  <c r="AM34"/>
  <c r="AZ489"/>
  <c r="AY500"/>
  <c r="AY492"/>
  <c r="AY493"/>
  <c r="AZ490"/>
  <c r="AZ497"/>
  <c r="AJ21" l="1"/>
  <c r="AJ27"/>
  <c r="BB489"/>
  <c r="BA489"/>
  <c r="BB490"/>
  <c r="BA490"/>
  <c r="BB497"/>
  <c r="BA497"/>
  <c r="AS499"/>
  <c r="AS498"/>
  <c r="AK17"/>
  <c r="AK16"/>
  <c r="AK38"/>
  <c r="AK42"/>
  <c r="AN15"/>
  <c r="AN34"/>
  <c r="AZ500"/>
  <c r="AY496"/>
  <c r="AY495"/>
  <c r="AZ493"/>
  <c r="AZ492"/>
  <c r="AK21" l="1"/>
  <c r="AK27"/>
  <c r="BB493"/>
  <c r="BA493"/>
  <c r="BB492"/>
  <c r="BA492"/>
  <c r="BB500"/>
  <c r="BA500"/>
  <c r="AS501"/>
  <c r="AS502"/>
  <c r="AL16"/>
  <c r="AL17"/>
  <c r="AO15"/>
  <c r="AO34"/>
  <c r="AL42"/>
  <c r="AL38"/>
  <c r="AY498"/>
  <c r="AY499"/>
  <c r="AZ496"/>
  <c r="AZ495"/>
  <c r="G44" l="1"/>
  <c r="F44"/>
  <c r="E44"/>
  <c r="L12" i="1" s="1"/>
  <c r="D44" i="6"/>
  <c r="AL21"/>
  <c r="F34"/>
  <c r="G34"/>
  <c r="D34"/>
  <c r="E34"/>
  <c r="G15"/>
  <c r="F15"/>
  <c r="D15"/>
  <c r="E15"/>
  <c r="AL27"/>
  <c r="BB495"/>
  <c r="BA495"/>
  <c r="BB496"/>
  <c r="BA496"/>
  <c r="AM16"/>
  <c r="AM17"/>
  <c r="AM42"/>
  <c r="AM38"/>
  <c r="AZ499"/>
  <c r="AZ498"/>
  <c r="AY502"/>
  <c r="AY501"/>
  <c r="H44" l="1"/>
  <c r="I44"/>
  <c r="H15"/>
  <c r="H34"/>
  <c r="AM21"/>
  <c r="I34"/>
  <c r="I15"/>
  <c r="AM27"/>
  <c r="BB499"/>
  <c r="BA499"/>
  <c r="BB498"/>
  <c r="BA498"/>
  <c r="AN38"/>
  <c r="AN42"/>
  <c r="AN16"/>
  <c r="AN17"/>
  <c r="AZ502"/>
  <c r="AZ501"/>
  <c r="AN21" l="1"/>
  <c r="AN27"/>
  <c r="BB501"/>
  <c r="BA501"/>
  <c r="BB502"/>
  <c r="BA502"/>
  <c r="B124" a="1"/>
  <c r="B122" a="1"/>
  <c r="B125" a="1"/>
  <c r="AO42"/>
  <c r="AO16"/>
  <c r="AO38"/>
  <c r="G48" l="1"/>
  <c r="E48"/>
  <c r="N12" i="1" s="1"/>
  <c r="D48" i="6"/>
  <c r="F48"/>
  <c r="G46"/>
  <c r="F46"/>
  <c r="E46"/>
  <c r="M12" i="1" s="1"/>
  <c r="D46" i="6"/>
  <c r="F42"/>
  <c r="G42"/>
  <c r="D42"/>
  <c r="E42"/>
  <c r="G38"/>
  <c r="F38"/>
  <c r="E38"/>
  <c r="D38"/>
  <c r="G16"/>
  <c r="F16"/>
  <c r="E16"/>
  <c r="D16"/>
  <c r="C125"/>
  <c r="A96" s="1"/>
  <c r="B125"/>
  <c r="A97" s="1"/>
  <c r="A100" s="1"/>
  <c r="A103" s="1"/>
  <c r="A106" s="1"/>
  <c r="B122"/>
  <c r="A60" s="1"/>
  <c r="C122"/>
  <c r="A59" s="1"/>
  <c r="C124"/>
  <c r="A77" s="1"/>
  <c r="I12" i="1" s="1"/>
  <c r="B124" i="6"/>
  <c r="A78" s="1"/>
  <c r="AO17"/>
  <c r="A81" l="1"/>
  <c r="J12" i="1"/>
  <c r="H46" i="6"/>
  <c r="H48"/>
  <c r="I46"/>
  <c r="I48"/>
  <c r="H42"/>
  <c r="H16"/>
  <c r="H38"/>
  <c r="AO21"/>
  <c r="I38"/>
  <c r="I42"/>
  <c r="G17"/>
  <c r="F17"/>
  <c r="E17"/>
  <c r="AO27"/>
  <c r="D17"/>
  <c r="I16"/>
  <c r="A80"/>
  <c r="A99"/>
  <c r="K12" i="1" l="1"/>
  <c r="G27" i="6"/>
  <c r="D29"/>
  <c r="G29"/>
  <c r="E29"/>
  <c r="F29"/>
  <c r="F23"/>
  <c r="G23"/>
  <c r="D23"/>
  <c r="E23"/>
  <c r="F12" i="1" s="1"/>
  <c r="H17" i="6"/>
  <c r="F21"/>
  <c r="E21"/>
  <c r="G21"/>
  <c r="D21"/>
  <c r="D27"/>
  <c r="I17"/>
  <c r="E27"/>
  <c r="F27"/>
  <c r="A102"/>
  <c r="AM97"/>
  <c r="Y101"/>
  <c r="R60"/>
  <c r="AN97"/>
  <c r="AJ81"/>
  <c r="AC82"/>
  <c r="AO98"/>
  <c r="Q101"/>
  <c r="O101"/>
  <c r="AN101"/>
  <c r="AB100"/>
  <c r="X101"/>
  <c r="Q82"/>
  <c r="Y80"/>
  <c r="AC77"/>
  <c r="O81"/>
  <c r="Q61"/>
  <c r="AM79"/>
  <c r="P77"/>
  <c r="AI82"/>
  <c r="AH80"/>
  <c r="AB99"/>
  <c r="AO78"/>
  <c r="AA96"/>
  <c r="AN98"/>
  <c r="AL81"/>
  <c r="AG100"/>
  <c r="AF61"/>
  <c r="AJ97"/>
  <c r="AL100"/>
  <c r="AH78"/>
  <c r="AI97"/>
  <c r="AD97"/>
  <c r="AJ101"/>
  <c r="AG61"/>
  <c r="T59"/>
  <c r="O77"/>
  <c r="AA78"/>
  <c r="AL98"/>
  <c r="AI101"/>
  <c r="AC96"/>
  <c r="AN60"/>
  <c r="W77"/>
  <c r="AC99"/>
  <c r="AB77"/>
  <c r="AF79"/>
  <c r="P96"/>
  <c r="AK98"/>
  <c r="AE97"/>
  <c r="V59"/>
  <c r="S79"/>
  <c r="AI98"/>
  <c r="AA79"/>
  <c r="AI99"/>
  <c r="P98"/>
  <c r="AD79"/>
  <c r="S96"/>
  <c r="P82"/>
  <c r="X82"/>
  <c r="Z96"/>
  <c r="S61"/>
  <c r="AB80"/>
  <c r="V100"/>
  <c r="AL101"/>
  <c r="W101"/>
  <c r="AH61"/>
  <c r="AK99"/>
  <c r="AO80"/>
  <c r="AD81"/>
  <c r="AD80"/>
  <c r="T78"/>
  <c r="AC59"/>
  <c r="AK60"/>
  <c r="AD82"/>
  <c r="AC60"/>
  <c r="Z98"/>
  <c r="Q80"/>
  <c r="Y79"/>
  <c r="Q79"/>
  <c r="AE78"/>
  <c r="AG60"/>
  <c r="AI81"/>
  <c r="X99"/>
  <c r="X61"/>
  <c r="P101"/>
  <c r="T80"/>
  <c r="AC79"/>
  <c r="U80"/>
  <c r="AG99"/>
  <c r="AG97"/>
  <c r="Y100"/>
  <c r="Q97"/>
  <c r="AA59"/>
  <c r="V96"/>
  <c r="AE98"/>
  <c r="R78"/>
  <c r="X96"/>
  <c r="AM82"/>
  <c r="AD96"/>
  <c r="AL77"/>
  <c r="AF60"/>
  <c r="AD59"/>
  <c r="AA81"/>
  <c r="R96"/>
  <c r="Y98"/>
  <c r="AO60"/>
  <c r="AA97"/>
  <c r="R80"/>
  <c r="AL96"/>
  <c r="V99"/>
  <c r="AH96"/>
  <c r="Z97"/>
  <c r="Y96"/>
  <c r="AN78"/>
  <c r="AO99"/>
  <c r="V61"/>
  <c r="AB60"/>
  <c r="AM100"/>
  <c r="AK80"/>
  <c r="AF77"/>
  <c r="O60"/>
  <c r="O78"/>
  <c r="U60"/>
  <c r="AJ60"/>
  <c r="W97"/>
  <c r="AH97"/>
  <c r="T97"/>
  <c r="Q99"/>
  <c r="O100"/>
  <c r="T60"/>
  <c r="AK77"/>
  <c r="X81"/>
  <c r="AA80"/>
  <c r="AA61"/>
  <c r="AM77"/>
  <c r="Y97"/>
  <c r="Z60"/>
  <c r="U78"/>
  <c r="P61"/>
  <c r="Z77"/>
  <c r="AD78"/>
  <c r="AH81"/>
  <c r="U101"/>
  <c r="U97"/>
  <c r="AA99"/>
  <c r="AK79"/>
  <c r="P78"/>
  <c r="AC100"/>
  <c r="O61"/>
  <c r="AH101"/>
  <c r="AJ78"/>
  <c r="W98"/>
  <c r="Z81"/>
  <c r="AF99"/>
  <c r="AM60"/>
  <c r="AM80"/>
  <c r="AH59"/>
  <c r="X97"/>
  <c r="AI61"/>
  <c r="AF100"/>
  <c r="O59"/>
  <c r="AH77"/>
  <c r="W96"/>
  <c r="Z59"/>
  <c r="Z61"/>
  <c r="S78"/>
  <c r="V97"/>
  <c r="AJ100"/>
  <c r="Q98"/>
  <c r="AC97"/>
  <c r="AO77"/>
  <c r="AK82"/>
  <c r="AG98"/>
  <c r="AF82"/>
  <c r="AL80"/>
  <c r="O79"/>
  <c r="P79"/>
  <c r="AM81"/>
  <c r="AL99"/>
  <c r="AA82"/>
  <c r="Q60"/>
  <c r="AE60"/>
  <c r="O96"/>
  <c r="S77"/>
  <c r="AE99"/>
  <c r="AA100"/>
  <c r="AH82"/>
  <c r="AG80"/>
  <c r="AI59"/>
  <c r="AF101"/>
  <c r="AF78"/>
  <c r="AF80"/>
  <c r="AM78"/>
  <c r="R77"/>
  <c r="AM59"/>
  <c r="Z82"/>
  <c r="AF81"/>
  <c r="AM99"/>
  <c r="X77"/>
  <c r="S98"/>
  <c r="AG78"/>
  <c r="AK59"/>
  <c r="V60"/>
  <c r="AM61"/>
  <c r="AI77"/>
  <c r="R59"/>
  <c r="U98"/>
  <c r="U79"/>
  <c r="T77"/>
  <c r="AJ77"/>
  <c r="AG101"/>
  <c r="Z100"/>
  <c r="U61"/>
  <c r="V77"/>
  <c r="AB101"/>
  <c r="R79"/>
  <c r="AJ99"/>
  <c r="AL82"/>
  <c r="T81"/>
  <c r="AB81"/>
  <c r="AN81"/>
  <c r="Y82"/>
  <c r="S81"/>
  <c r="S60"/>
  <c r="Y59"/>
  <c r="AK101"/>
  <c r="Z99"/>
  <c r="AG82"/>
  <c r="Y77"/>
  <c r="T99"/>
  <c r="U100"/>
  <c r="AJ61"/>
  <c r="AI80"/>
  <c r="AN96"/>
  <c r="AK97"/>
  <c r="V80"/>
  <c r="AE59"/>
  <c r="Q77"/>
  <c r="V98"/>
  <c r="AE96"/>
  <c r="AB98"/>
  <c r="U59"/>
  <c r="AB78"/>
  <c r="O98"/>
  <c r="W80"/>
  <c r="P100"/>
  <c r="T61"/>
  <c r="X79"/>
  <c r="AA101"/>
  <c r="AC61"/>
  <c r="AI79"/>
  <c r="AD60"/>
  <c r="Q96"/>
  <c r="AB82"/>
  <c r="O82"/>
  <c r="AD98"/>
  <c r="AC101"/>
  <c r="AB59"/>
  <c r="U82"/>
  <c r="W59"/>
  <c r="AO79"/>
  <c r="W82"/>
  <c r="W78"/>
  <c r="AG96"/>
  <c r="P80"/>
  <c r="S59"/>
  <c r="AC81"/>
  <c r="Y78"/>
  <c r="AL61"/>
  <c r="O97"/>
  <c r="AN79"/>
  <c r="Z78"/>
  <c r="Y99"/>
  <c r="AE100"/>
  <c r="V81"/>
  <c r="AC80"/>
  <c r="AE80"/>
  <c r="AD101"/>
  <c r="W99"/>
  <c r="AM101"/>
  <c r="AJ80"/>
  <c r="T96"/>
  <c r="AE101"/>
  <c r="AD77"/>
  <c r="AL59"/>
  <c r="AH79"/>
  <c r="AM98"/>
  <c r="AA60"/>
  <c r="R81"/>
  <c r="AB97"/>
  <c r="AK96"/>
  <c r="Q81"/>
  <c r="R82"/>
  <c r="AO101"/>
  <c r="AC78"/>
  <c r="AA77"/>
  <c r="AJ98"/>
  <c r="AD61"/>
  <c r="R98"/>
  <c r="AL79"/>
  <c r="AF59"/>
  <c r="S99"/>
  <c r="P97"/>
  <c r="Q100"/>
  <c r="V79"/>
  <c r="AI60"/>
  <c r="AF96"/>
  <c r="AG77"/>
  <c r="AN99"/>
  <c r="AN80"/>
  <c r="AO97"/>
  <c r="X78"/>
  <c r="U96"/>
  <c r="AM96"/>
  <c r="AF97"/>
  <c r="AB79"/>
  <c r="X60"/>
  <c r="AK61"/>
  <c r="R101"/>
  <c r="S101"/>
  <c r="AO100"/>
  <c r="W60"/>
  <c r="AG59"/>
  <c r="Z80"/>
  <c r="O99"/>
  <c r="R97"/>
  <c r="P81"/>
  <c r="AD99"/>
  <c r="AO61"/>
  <c r="T79"/>
  <c r="U77"/>
  <c r="X100"/>
  <c r="V82"/>
  <c r="AN61"/>
  <c r="AC98"/>
  <c r="AE79"/>
  <c r="T100"/>
  <c r="X98"/>
  <c r="AH98"/>
  <c r="Y81"/>
  <c r="AI78"/>
  <c r="AH60"/>
  <c r="P60"/>
  <c r="X80"/>
  <c r="S100"/>
  <c r="AK100"/>
  <c r="T101"/>
  <c r="V101"/>
  <c r="AJ79"/>
  <c r="Q78"/>
  <c r="Z79"/>
  <c r="AB61"/>
  <c r="Y60"/>
  <c r="S80"/>
  <c r="Z101"/>
  <c r="AB96"/>
  <c r="P59"/>
  <c r="AE82"/>
  <c r="S82"/>
  <c r="AE81"/>
  <c r="AH99"/>
  <c r="AL97"/>
  <c r="AD100"/>
  <c r="AN82"/>
  <c r="AE77"/>
  <c r="P99"/>
  <c r="AF98"/>
  <c r="U81"/>
  <c r="AI96"/>
  <c r="W61"/>
  <c r="AJ96"/>
  <c r="O80"/>
  <c r="T98"/>
  <c r="W81"/>
  <c r="T82"/>
  <c r="AE61"/>
  <c r="AL60"/>
  <c r="AH100"/>
  <c r="AO82"/>
  <c r="AK78"/>
  <c r="Q59"/>
  <c r="R100"/>
  <c r="X59"/>
  <c r="S97"/>
  <c r="AJ82"/>
  <c r="R61"/>
  <c r="AG81"/>
  <c r="Y61"/>
  <c r="AO81"/>
  <c r="AA98"/>
  <c r="AL78"/>
  <c r="AN59"/>
  <c r="V78"/>
  <c r="AK81"/>
  <c r="U99"/>
  <c r="AO59"/>
  <c r="AG79"/>
  <c r="R99"/>
  <c r="W79"/>
  <c r="AO96"/>
  <c r="W100"/>
  <c r="AJ59"/>
  <c r="AN77"/>
  <c r="AI100"/>
  <c r="AN100"/>
  <c r="L101"/>
  <c r="L98"/>
  <c r="L77"/>
  <c r="L80"/>
  <c r="L99"/>
  <c r="L79"/>
  <c r="L100"/>
  <c r="L59"/>
  <c r="L60"/>
  <c r="L82"/>
  <c r="L96"/>
  <c r="L81"/>
  <c r="L97"/>
  <c r="L61"/>
  <c r="L78"/>
  <c r="K60"/>
  <c r="N61"/>
  <c r="N101"/>
  <c r="N77"/>
  <c r="N78"/>
  <c r="N98"/>
  <c r="M99"/>
  <c r="M101"/>
  <c r="M80"/>
  <c r="M79"/>
  <c r="J97"/>
  <c r="K61"/>
  <c r="K98"/>
  <c r="K79"/>
  <c r="J80"/>
  <c r="J79"/>
  <c r="K99"/>
  <c r="J98"/>
  <c r="K81"/>
  <c r="K97"/>
  <c r="N79"/>
  <c r="N59"/>
  <c r="N60"/>
  <c r="N81"/>
  <c r="M98"/>
  <c r="M82"/>
  <c r="M60"/>
  <c r="M81"/>
  <c r="M97"/>
  <c r="N100"/>
  <c r="J77"/>
  <c r="M77"/>
  <c r="K96"/>
  <c r="J78"/>
  <c r="K59"/>
  <c r="J61"/>
  <c r="J99"/>
  <c r="J82"/>
  <c r="J60"/>
  <c r="J59"/>
  <c r="K82"/>
  <c r="N97"/>
  <c r="N82"/>
  <c r="N80"/>
  <c r="N96"/>
  <c r="N99"/>
  <c r="M59"/>
  <c r="M100"/>
  <c r="M96"/>
  <c r="M61"/>
  <c r="M78"/>
  <c r="K80"/>
  <c r="J101"/>
  <c r="K78"/>
  <c r="J96"/>
  <c r="K101"/>
  <c r="K77"/>
  <c r="K100"/>
  <c r="J100"/>
  <c r="J81"/>
  <c r="H23" l="1"/>
  <c r="AR25"/>
  <c r="AS25" s="1"/>
  <c r="AR26"/>
  <c r="C27"/>
  <c r="H24" s="1"/>
  <c r="I29"/>
  <c r="H29"/>
  <c r="E12" i="1" s="1"/>
  <c r="I23" i="6"/>
  <c r="AI109"/>
  <c r="L109"/>
  <c r="AL109"/>
  <c r="V109"/>
  <c r="AD109"/>
  <c r="AM109"/>
  <c r="T109"/>
  <c r="AE108"/>
  <c r="AK108"/>
  <c r="AN108"/>
  <c r="Y108"/>
  <c r="AB108"/>
  <c r="U108"/>
  <c r="AO109"/>
  <c r="K109"/>
  <c r="AA109"/>
  <c r="M109"/>
  <c r="W109"/>
  <c r="Q109"/>
  <c r="AD108"/>
  <c r="Q108"/>
  <c r="K108"/>
  <c r="AC108"/>
  <c r="X108"/>
  <c r="AI108"/>
  <c r="R108"/>
  <c r="AB109"/>
  <c r="AF109"/>
  <c r="AC109"/>
  <c r="AN109"/>
  <c r="X109"/>
  <c r="N109"/>
  <c r="AJ109"/>
  <c r="R109"/>
  <c r="O109"/>
  <c r="S108"/>
  <c r="AM108"/>
  <c r="V108"/>
  <c r="N108"/>
  <c r="AF108"/>
  <c r="AG108"/>
  <c r="M108"/>
  <c r="AA108"/>
  <c r="AJ108"/>
  <c r="P108"/>
  <c r="O108"/>
  <c r="J109"/>
  <c r="Z109"/>
  <c r="S109"/>
  <c r="AG109"/>
  <c r="AK109"/>
  <c r="U109"/>
  <c r="P109"/>
  <c r="Y109"/>
  <c r="AE109"/>
  <c r="AH109"/>
  <c r="L108"/>
  <c r="T108"/>
  <c r="W108"/>
  <c r="AL108"/>
  <c r="J108"/>
  <c r="Z108"/>
  <c r="AH108"/>
  <c r="AO108"/>
  <c r="AL86"/>
  <c r="AI86"/>
  <c r="R86"/>
  <c r="AC86"/>
  <c r="Q86"/>
  <c r="AD86"/>
  <c r="U85"/>
  <c r="AG85"/>
  <c r="AI85"/>
  <c r="J85"/>
  <c r="AE85"/>
  <c r="O85"/>
  <c r="L85"/>
  <c r="P85"/>
  <c r="AD85"/>
  <c r="M85"/>
  <c r="AB85"/>
  <c r="V86"/>
  <c r="P86"/>
  <c r="Z86"/>
  <c r="AM86"/>
  <c r="L86"/>
  <c r="AB86"/>
  <c r="U86"/>
  <c r="M86"/>
  <c r="O86"/>
  <c r="S86"/>
  <c r="AJ86"/>
  <c r="AF85"/>
  <c r="Y85"/>
  <c r="K85"/>
  <c r="AN85"/>
  <c r="AA85"/>
  <c r="Z85"/>
  <c r="N85"/>
  <c r="J86"/>
  <c r="Y86"/>
  <c r="X86"/>
  <c r="AH86"/>
  <c r="AE86"/>
  <c r="AK86"/>
  <c r="AO86"/>
  <c r="AA86"/>
  <c r="AN86"/>
  <c r="AO85"/>
  <c r="Q85"/>
  <c r="W85"/>
  <c r="AM85"/>
  <c r="S85"/>
  <c r="AL85"/>
  <c r="T85"/>
  <c r="K86"/>
  <c r="T86"/>
  <c r="AF86"/>
  <c r="N86"/>
  <c r="W86"/>
  <c r="AG86"/>
  <c r="R85"/>
  <c r="AH85"/>
  <c r="AJ85"/>
  <c r="V85"/>
  <c r="X85"/>
  <c r="AC85"/>
  <c r="AK85"/>
  <c r="K65"/>
  <c r="R65"/>
  <c r="J65"/>
  <c r="L65"/>
  <c r="Q65"/>
  <c r="AJ65"/>
  <c r="Z65"/>
  <c r="M65"/>
  <c r="T65"/>
  <c r="AD65"/>
  <c r="V65"/>
  <c r="AL65"/>
  <c r="AK65"/>
  <c r="Y65"/>
  <c r="U65"/>
  <c r="O65"/>
  <c r="N65"/>
  <c r="AC65"/>
  <c r="AN65"/>
  <c r="AG65"/>
  <c r="AM65"/>
  <c r="AO65"/>
  <c r="S65"/>
  <c r="P65"/>
  <c r="AI65"/>
  <c r="AH65"/>
  <c r="X65"/>
  <c r="AA65"/>
  <c r="AB65"/>
  <c r="AF65"/>
  <c r="W65"/>
  <c r="AE65"/>
  <c r="I21"/>
  <c r="C21"/>
  <c r="H18" s="1"/>
  <c r="I27"/>
  <c r="S112"/>
  <c r="L112"/>
  <c r="AE112"/>
  <c r="AK112"/>
  <c r="T112"/>
  <c r="AM112"/>
  <c r="AN112"/>
  <c r="W112"/>
  <c r="V112"/>
  <c r="AD112"/>
  <c r="N112"/>
  <c r="Q112"/>
  <c r="Y112"/>
  <c r="K112"/>
  <c r="R91"/>
  <c r="AH91"/>
  <c r="AF91"/>
  <c r="U91"/>
  <c r="X69"/>
  <c r="G60"/>
  <c r="D60"/>
  <c r="F60"/>
  <c r="E60"/>
  <c r="AA69"/>
  <c r="U69"/>
  <c r="AB69"/>
  <c r="O69"/>
  <c r="N69"/>
  <c r="AF112"/>
  <c r="AB112"/>
  <c r="AL112"/>
  <c r="AG112"/>
  <c r="AC112"/>
  <c r="M112"/>
  <c r="AA112"/>
  <c r="G96"/>
  <c r="F96"/>
  <c r="E96"/>
  <c r="J112"/>
  <c r="D96"/>
  <c r="X112"/>
  <c r="AJ91"/>
  <c r="AO91"/>
  <c r="AG91"/>
  <c r="V91"/>
  <c r="Q91"/>
  <c r="Y91"/>
  <c r="AI91"/>
  <c r="K91"/>
  <c r="F77"/>
  <c r="J91"/>
  <c r="D77"/>
  <c r="E77"/>
  <c r="G77"/>
  <c r="X91"/>
  <c r="AN91"/>
  <c r="AC69"/>
  <c r="AJ69"/>
  <c r="K69"/>
  <c r="AF69"/>
  <c r="R69"/>
  <c r="AN69"/>
  <c r="Z69"/>
  <c r="W69"/>
  <c r="W91"/>
  <c r="AC91"/>
  <c r="AM91"/>
  <c r="AE91"/>
  <c r="AK91"/>
  <c r="S91"/>
  <c r="AA91"/>
  <c r="F79"/>
  <c r="E79"/>
  <c r="D79"/>
  <c r="G79"/>
  <c r="F78"/>
  <c r="E78"/>
  <c r="D78"/>
  <c r="G78"/>
  <c r="AG69"/>
  <c r="M69"/>
  <c r="T69"/>
  <c r="J69"/>
  <c r="E59"/>
  <c r="D59"/>
  <c r="F59"/>
  <c r="G59"/>
  <c r="AM69"/>
  <c r="E61"/>
  <c r="F61"/>
  <c r="D61"/>
  <c r="G61"/>
  <c r="AD69"/>
  <c r="L69"/>
  <c r="AO69"/>
  <c r="V69"/>
  <c r="Z112"/>
  <c r="AH112"/>
  <c r="U112"/>
  <c r="F98"/>
  <c r="E98"/>
  <c r="D98"/>
  <c r="G98"/>
  <c r="AO112"/>
  <c r="AJ112"/>
  <c r="AI112"/>
  <c r="P112"/>
  <c r="R112"/>
  <c r="D97"/>
  <c r="G97"/>
  <c r="E97"/>
  <c r="F97"/>
  <c r="O112"/>
  <c r="O91"/>
  <c r="Z91"/>
  <c r="L91"/>
  <c r="N91"/>
  <c r="P91"/>
  <c r="AL91"/>
  <c r="AD91"/>
  <c r="T91"/>
  <c r="M91"/>
  <c r="AB91"/>
  <c r="S69"/>
  <c r="AL69"/>
  <c r="Q69"/>
  <c r="AE69"/>
  <c r="AK69"/>
  <c r="P69"/>
  <c r="AI69"/>
  <c r="Y69"/>
  <c r="AH69"/>
  <c r="Y92"/>
  <c r="AK92"/>
  <c r="AM92"/>
  <c r="R92"/>
  <c r="N92"/>
  <c r="L92"/>
  <c r="G81"/>
  <c r="E81"/>
  <c r="F81"/>
  <c r="D81"/>
  <c r="W92"/>
  <c r="X92"/>
  <c r="AB92"/>
  <c r="AL92"/>
  <c r="AC92"/>
  <c r="K92"/>
  <c r="AH92"/>
  <c r="V92"/>
  <c r="D80"/>
  <c r="E80"/>
  <c r="F80"/>
  <c r="G80"/>
  <c r="J92"/>
  <c r="T92"/>
  <c r="AE92"/>
  <c r="U92"/>
  <c r="Q92"/>
  <c r="AO113"/>
  <c r="AI113"/>
  <c r="AB113"/>
  <c r="AC113"/>
  <c r="K113"/>
  <c r="F99"/>
  <c r="D99"/>
  <c r="J113"/>
  <c r="E99"/>
  <c r="G99"/>
  <c r="Z113"/>
  <c r="AF113"/>
  <c r="L113"/>
  <c r="G101"/>
  <c r="F101"/>
  <c r="E101"/>
  <c r="D101"/>
  <c r="AA113"/>
  <c r="S113"/>
  <c r="P92"/>
  <c r="M92"/>
  <c r="AO92"/>
  <c r="O92"/>
  <c r="AI92"/>
  <c r="AF92"/>
  <c r="AA92"/>
  <c r="Z92"/>
  <c r="S92"/>
  <c r="AD92"/>
  <c r="AG92"/>
  <c r="AN92"/>
  <c r="F82"/>
  <c r="E82"/>
  <c r="D82"/>
  <c r="G82"/>
  <c r="AJ92"/>
  <c r="AH113"/>
  <c r="AG113"/>
  <c r="AJ113"/>
  <c r="AL113"/>
  <c r="AK113"/>
  <c r="AN113"/>
  <c r="V113"/>
  <c r="U113"/>
  <c r="X113"/>
  <c r="AM113"/>
  <c r="P113"/>
  <c r="E100"/>
  <c r="G100"/>
  <c r="D100"/>
  <c r="F100"/>
  <c r="N113"/>
  <c r="M113"/>
  <c r="Y113"/>
  <c r="R113"/>
  <c r="Q113"/>
  <c r="T113"/>
  <c r="AD113"/>
  <c r="AE113"/>
  <c r="O113"/>
  <c r="W113"/>
  <c r="A105"/>
  <c r="AD102"/>
  <c r="R103"/>
  <c r="AE103"/>
  <c r="U103"/>
  <c r="P104"/>
  <c r="AH104"/>
  <c r="AF104"/>
  <c r="AK104"/>
  <c r="AH102"/>
  <c r="AD103"/>
  <c r="W103"/>
  <c r="AG102"/>
  <c r="AF102"/>
  <c r="AK103"/>
  <c r="AN103"/>
  <c r="X103"/>
  <c r="AM104"/>
  <c r="AK102"/>
  <c r="Y102"/>
  <c r="AA102"/>
  <c r="T103"/>
  <c r="R102"/>
  <c r="AI104"/>
  <c r="S102"/>
  <c r="AO104"/>
  <c r="X104"/>
  <c r="AG103"/>
  <c r="V102"/>
  <c r="Z103"/>
  <c r="AM102"/>
  <c r="AJ104"/>
  <c r="Q103"/>
  <c r="AB102"/>
  <c r="Z102"/>
  <c r="AN102"/>
  <c r="X102"/>
  <c r="W104"/>
  <c r="O104"/>
  <c r="U102"/>
  <c r="AC103"/>
  <c r="AA104"/>
  <c r="Y104"/>
  <c r="AB104"/>
  <c r="S104"/>
  <c r="AF103"/>
  <c r="T102"/>
  <c r="V104"/>
  <c r="W102"/>
  <c r="R104"/>
  <c r="P103"/>
  <c r="AH103"/>
  <c r="U104"/>
  <c r="AB103"/>
  <c r="AJ103"/>
  <c r="O102"/>
  <c r="S103"/>
  <c r="AN104"/>
  <c r="AC104"/>
  <c r="AI102"/>
  <c r="Y103"/>
  <c r="AL103"/>
  <c r="AO102"/>
  <c r="AG104"/>
  <c r="AM103"/>
  <c r="O103"/>
  <c r="AI103"/>
  <c r="AL102"/>
  <c r="V103"/>
  <c r="AJ102"/>
  <c r="AO103"/>
  <c r="Z104"/>
  <c r="Q102"/>
  <c r="AA103"/>
  <c r="AC102"/>
  <c r="AL104"/>
  <c r="AE102"/>
  <c r="P102"/>
  <c r="AD104"/>
  <c r="AE104"/>
  <c r="Q104"/>
  <c r="T104"/>
  <c r="L103"/>
  <c r="L104"/>
  <c r="L102"/>
  <c r="M103"/>
  <c r="J102"/>
  <c r="N102"/>
  <c r="N104"/>
  <c r="J103"/>
  <c r="J104"/>
  <c r="K104"/>
  <c r="K102"/>
  <c r="M102"/>
  <c r="N103"/>
  <c r="M104"/>
  <c r="K103"/>
  <c r="AR27" l="1"/>
  <c r="AR28" s="1"/>
  <c r="AR29" s="1"/>
  <c r="AR30" s="1"/>
  <c r="AR31" s="1"/>
  <c r="AR32" s="1"/>
  <c r="AR33" s="1"/>
  <c r="AR34" s="1"/>
  <c r="AR35" s="1"/>
  <c r="AR36" s="1"/>
  <c r="F94"/>
  <c r="G94"/>
  <c r="E94"/>
  <c r="D94"/>
  <c r="D88"/>
  <c r="G88"/>
  <c r="E88"/>
  <c r="F88"/>
  <c r="H79"/>
  <c r="D10" i="1"/>
  <c r="A24" i="6"/>
  <c r="C10" i="1"/>
  <c r="H98" i="6"/>
  <c r="H78"/>
  <c r="H82"/>
  <c r="H80"/>
  <c r="H96"/>
  <c r="H99"/>
  <c r="H81"/>
  <c r="H59"/>
  <c r="H100"/>
  <c r="H61"/>
  <c r="H60"/>
  <c r="H101"/>
  <c r="H97"/>
  <c r="H77"/>
  <c r="AN110"/>
  <c r="AK110"/>
  <c r="X110"/>
  <c r="N110"/>
  <c r="T110"/>
  <c r="AC110"/>
  <c r="J110"/>
  <c r="AO110"/>
  <c r="AA110"/>
  <c r="P110"/>
  <c r="Z110"/>
  <c r="U110"/>
  <c r="AI110"/>
  <c r="AH110"/>
  <c r="AM110"/>
  <c r="AL110"/>
  <c r="AE110"/>
  <c r="R110"/>
  <c r="V110"/>
  <c r="S110"/>
  <c r="Q110"/>
  <c r="AJ110"/>
  <c r="Y110"/>
  <c r="L110"/>
  <c r="W110"/>
  <c r="AF110"/>
  <c r="K110"/>
  <c r="O110"/>
  <c r="AD110"/>
  <c r="AG110"/>
  <c r="AB110"/>
  <c r="M110"/>
  <c r="F108"/>
  <c r="G108"/>
  <c r="E108"/>
  <c r="D108"/>
  <c r="G109"/>
  <c r="D109"/>
  <c r="E109"/>
  <c r="F109"/>
  <c r="E85"/>
  <c r="F85"/>
  <c r="D85"/>
  <c r="G85"/>
  <c r="F86"/>
  <c r="G86"/>
  <c r="D86"/>
  <c r="E86"/>
  <c r="E65"/>
  <c r="F65"/>
  <c r="D65"/>
  <c r="G65"/>
  <c r="E69"/>
  <c r="E112"/>
  <c r="I59"/>
  <c r="D91"/>
  <c r="I61"/>
  <c r="F91"/>
  <c r="G69"/>
  <c r="I79"/>
  <c r="I77"/>
  <c r="I96"/>
  <c r="I60"/>
  <c r="F112"/>
  <c r="G91"/>
  <c r="I97"/>
  <c r="G112"/>
  <c r="D69"/>
  <c r="I78"/>
  <c r="F69"/>
  <c r="E91"/>
  <c r="D112"/>
  <c r="I98"/>
  <c r="I81"/>
  <c r="I100"/>
  <c r="K114"/>
  <c r="U114"/>
  <c r="Q114"/>
  <c r="T114"/>
  <c r="L114"/>
  <c r="AC114"/>
  <c r="AI114"/>
  <c r="R114"/>
  <c r="AD114"/>
  <c r="AN114"/>
  <c r="AG114"/>
  <c r="V114"/>
  <c r="AB114"/>
  <c r="AK114"/>
  <c r="J114"/>
  <c r="G102"/>
  <c r="D102"/>
  <c r="E102"/>
  <c r="F102"/>
  <c r="AJ114"/>
  <c r="AO114"/>
  <c r="E103"/>
  <c r="D103"/>
  <c r="G103"/>
  <c r="F103"/>
  <c r="W114"/>
  <c r="AM114"/>
  <c r="Y114"/>
  <c r="AA114"/>
  <c r="O114"/>
  <c r="AL114"/>
  <c r="P114"/>
  <c r="E104"/>
  <c r="G104"/>
  <c r="D104"/>
  <c r="F104"/>
  <c r="M114"/>
  <c r="X114"/>
  <c r="AF114"/>
  <c r="AH114"/>
  <c r="AE114"/>
  <c r="Z114"/>
  <c r="S114"/>
  <c r="N114"/>
  <c r="I101"/>
  <c r="I82"/>
  <c r="D113"/>
  <c r="G113"/>
  <c r="E113"/>
  <c r="F113"/>
  <c r="I99"/>
  <c r="F92"/>
  <c r="E92"/>
  <c r="G92"/>
  <c r="D92"/>
  <c r="I80"/>
  <c r="AN106"/>
  <c r="AF107"/>
  <c r="S105"/>
  <c r="AD105"/>
  <c r="P105"/>
  <c r="AI106"/>
  <c r="T106"/>
  <c r="R105"/>
  <c r="AF105"/>
  <c r="Q105"/>
  <c r="AI105"/>
  <c r="AO107"/>
  <c r="O107"/>
  <c r="S107"/>
  <c r="AJ105"/>
  <c r="AO106"/>
  <c r="AK106"/>
  <c r="AM105"/>
  <c r="W107"/>
  <c r="AN107"/>
  <c r="S106"/>
  <c r="AL107"/>
  <c r="Z106"/>
  <c r="AN105"/>
  <c r="AK105"/>
  <c r="AA106"/>
  <c r="X105"/>
  <c r="P106"/>
  <c r="T105"/>
  <c r="AD106"/>
  <c r="AE107"/>
  <c r="O106"/>
  <c r="AJ106"/>
  <c r="AC106"/>
  <c r="Y105"/>
  <c r="AM106"/>
  <c r="AJ107"/>
  <c r="AE105"/>
  <c r="AH106"/>
  <c r="Z107"/>
  <c r="U107"/>
  <c r="O105"/>
  <c r="V107"/>
  <c r="V105"/>
  <c r="R106"/>
  <c r="V106"/>
  <c r="AC107"/>
  <c r="AL105"/>
  <c r="AG106"/>
  <c r="AK107"/>
  <c r="AC105"/>
  <c r="AA105"/>
  <c r="R107"/>
  <c r="AH107"/>
  <c r="W105"/>
  <c r="U105"/>
  <c r="Y107"/>
  <c r="AH105"/>
  <c r="Q107"/>
  <c r="AG107"/>
  <c r="AB105"/>
  <c r="AI107"/>
  <c r="AF106"/>
  <c r="AB107"/>
  <c r="AG105"/>
  <c r="Z105"/>
  <c r="AL106"/>
  <c r="Y106"/>
  <c r="AD107"/>
  <c r="X107"/>
  <c r="W106"/>
  <c r="AB106"/>
  <c r="X106"/>
  <c r="U106"/>
  <c r="AM107"/>
  <c r="AE106"/>
  <c r="AA107"/>
  <c r="P107"/>
  <c r="AO105"/>
  <c r="T107"/>
  <c r="Q106"/>
  <c r="L106"/>
  <c r="L107"/>
  <c r="L105"/>
  <c r="N105"/>
  <c r="N106"/>
  <c r="AS30"/>
  <c r="K105"/>
  <c r="AS32"/>
  <c r="K107"/>
  <c r="J106"/>
  <c r="AS35"/>
  <c r="AS28"/>
  <c r="J107"/>
  <c r="AS33"/>
  <c r="J105"/>
  <c r="AS34"/>
  <c r="M105"/>
  <c r="AS26"/>
  <c r="N107"/>
  <c r="K106"/>
  <c r="AS31"/>
  <c r="AS27"/>
  <c r="AS29"/>
  <c r="AS36"/>
  <c r="M106"/>
  <c r="M107"/>
  <c r="H88" l="1"/>
  <c r="H12" i="1" s="1"/>
  <c r="AR90" i="6"/>
  <c r="AS90"/>
  <c r="H94"/>
  <c r="G12" i="1" s="1"/>
  <c r="I88" i="6"/>
  <c r="I94"/>
  <c r="A18"/>
  <c r="H104"/>
  <c r="H103"/>
  <c r="H102"/>
  <c r="C109"/>
  <c r="C108"/>
  <c r="I109"/>
  <c r="L111"/>
  <c r="N111"/>
  <c r="R111"/>
  <c r="T111"/>
  <c r="S111"/>
  <c r="X111"/>
  <c r="U111"/>
  <c r="AG111"/>
  <c r="AA111"/>
  <c r="AD111"/>
  <c r="M111"/>
  <c r="AM111"/>
  <c r="Y111"/>
  <c r="AO111"/>
  <c r="Q111"/>
  <c r="AL111"/>
  <c r="V111"/>
  <c r="AK111"/>
  <c r="AH111"/>
  <c r="AJ111"/>
  <c r="AF111"/>
  <c r="AI111"/>
  <c r="W111"/>
  <c r="AN111"/>
  <c r="AB111"/>
  <c r="Z111"/>
  <c r="AE111"/>
  <c r="AC111"/>
  <c r="J111"/>
  <c r="K111"/>
  <c r="O111"/>
  <c r="P111"/>
  <c r="I108"/>
  <c r="D110"/>
  <c r="E110"/>
  <c r="F110"/>
  <c r="G110"/>
  <c r="I85"/>
  <c r="I86"/>
  <c r="C85"/>
  <c r="C86"/>
  <c r="C65"/>
  <c r="I65"/>
  <c r="C112"/>
  <c r="I69"/>
  <c r="C69"/>
  <c r="C91"/>
  <c r="I91"/>
  <c r="I112"/>
  <c r="I104"/>
  <c r="I113"/>
  <c r="I102"/>
  <c r="Y115"/>
  <c r="V115"/>
  <c r="D107"/>
  <c r="E107"/>
  <c r="G107"/>
  <c r="F107"/>
  <c r="W115"/>
  <c r="AN115"/>
  <c r="AA115"/>
  <c r="AD115"/>
  <c r="AK115"/>
  <c r="L115"/>
  <c r="AB115"/>
  <c r="AH115"/>
  <c r="Z115"/>
  <c r="X115"/>
  <c r="AO115"/>
  <c r="AE115"/>
  <c r="N115"/>
  <c r="Q115"/>
  <c r="O115"/>
  <c r="P115"/>
  <c r="R115"/>
  <c r="M115"/>
  <c r="AJ115"/>
  <c r="U115"/>
  <c r="T115"/>
  <c r="AC115"/>
  <c r="AF115"/>
  <c r="AG115"/>
  <c r="AL115"/>
  <c r="S115"/>
  <c r="K115"/>
  <c r="AM115"/>
  <c r="AI115"/>
  <c r="E106"/>
  <c r="G106"/>
  <c r="D106"/>
  <c r="F106"/>
  <c r="J115"/>
  <c r="F105"/>
  <c r="G105"/>
  <c r="D105"/>
  <c r="E105"/>
  <c r="I92"/>
  <c r="C92"/>
  <c r="C113"/>
  <c r="I103"/>
  <c r="E114"/>
  <c r="F114"/>
  <c r="G114"/>
  <c r="D114"/>
  <c r="AR91" l="1"/>
  <c r="AR92" s="1"/>
  <c r="AR93" s="1"/>
  <c r="AR94" s="1"/>
  <c r="AR95" s="1"/>
  <c r="AR96" s="1"/>
  <c r="AR97" s="1"/>
  <c r="AR98" s="1"/>
  <c r="AR99" s="1"/>
  <c r="AR100" s="1"/>
  <c r="H89"/>
  <c r="H83"/>
  <c r="H66"/>
  <c r="H62"/>
  <c r="H105"/>
  <c r="H106"/>
  <c r="H107"/>
  <c r="E111"/>
  <c r="F111"/>
  <c r="G111"/>
  <c r="D111"/>
  <c r="C110"/>
  <c r="I110"/>
  <c r="I106"/>
  <c r="I114"/>
  <c r="E115"/>
  <c r="F115"/>
  <c r="D115"/>
  <c r="G115"/>
  <c r="I107"/>
  <c r="C114"/>
  <c r="I105"/>
  <c r="AR101" l="1"/>
  <c r="A83"/>
  <c r="D12" i="1"/>
  <c r="A89" i="6"/>
  <c r="C12" i="1"/>
  <c r="A62" i="6"/>
  <c r="D11" i="1"/>
  <c r="A66" i="6"/>
  <c r="C11" i="1"/>
  <c r="C111" i="6"/>
  <c r="I111"/>
  <c r="C115"/>
  <c r="I115"/>
  <c r="AS97"/>
  <c r="AS93"/>
  <c r="AS91"/>
  <c r="AS96"/>
  <c r="AS101"/>
  <c r="AS94"/>
  <c r="AS100"/>
  <c r="AS99"/>
  <c r="AS92"/>
  <c r="AS98"/>
  <c r="AS95"/>
  <c r="H112" l="1"/>
  <c r="H108"/>
  <c r="A108" l="1"/>
  <c r="D13" i="1"/>
  <c r="A112" i="6"/>
  <c r="C13" i="1"/>
</calcChain>
</file>

<file path=xl/sharedStrings.xml><?xml version="1.0" encoding="utf-8"?>
<sst xmlns="http://schemas.openxmlformats.org/spreadsheetml/2006/main" count="117" uniqueCount="55">
  <si>
    <r>
      <t>R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LO</t>
    </r>
  </si>
  <si>
    <r>
      <t>R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HI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</si>
  <si>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LO</t>
    </r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</si>
  <si>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HI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</si>
  <si>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LO</t>
    </r>
  </si>
  <si>
    <r>
      <t>R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HI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</si>
  <si>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LO</t>
    </r>
  </si>
  <si>
    <r>
      <t>R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Cmp</t>
    </r>
    <r>
      <rPr>
        <vertAlign val="subscript"/>
        <sz val="11"/>
        <color theme="1"/>
        <rFont val="Calibri"/>
        <family val="2"/>
        <scheme val="minor"/>
      </rPr>
      <t>HI</t>
    </r>
  </si>
  <si>
    <t>A</t>
  </si>
  <si>
    <t>CWF</t>
  </si>
  <si>
    <t>D65</t>
  </si>
  <si>
    <t>Cal</t>
  </si>
  <si>
    <t>D1</t>
  </si>
  <si>
    <t>D2</t>
  </si>
  <si>
    <t>AVERAGE</t>
  </si>
  <si>
    <t>STDEV</t>
  </si>
  <si>
    <t>DUT</t>
  </si>
  <si>
    <t>Range</t>
  </si>
  <si>
    <t>Source</t>
  </si>
  <si>
    <t>LO</t>
  </si>
  <si>
    <t>HI</t>
  </si>
  <si>
    <t>Item</t>
  </si>
  <si>
    <t>Comp</t>
  </si>
  <si>
    <t>Enable</t>
  </si>
  <si>
    <t>UseEnable</t>
  </si>
  <si>
    <t>LUX</t>
  </si>
  <si>
    <t>Actual Flag</t>
  </si>
  <si>
    <t>Data Present</t>
  </si>
  <si>
    <t>MEAN</t>
  </si>
  <si>
    <t>MIN</t>
  </si>
  <si>
    <t>MAX</t>
  </si>
  <si>
    <r>
      <t>PP/</t>
    </r>
    <r>
      <rPr>
        <sz val="11"/>
        <color theme="1"/>
        <rFont val="Calibri"/>
        <family val="2"/>
      </rPr>
      <t>σ</t>
    </r>
  </si>
  <si>
    <t>Start</t>
  </si>
  <si>
    <t>Stop</t>
  </si>
  <si>
    <t>Value</t>
  </si>
  <si>
    <t>Scale</t>
  </si>
  <si>
    <t>D1-D2</t>
  </si>
  <si>
    <t>D2/D1</t>
  </si>
  <si>
    <t>Uncorrected</t>
  </si>
  <si>
    <t>%/value</t>
  </si>
  <si>
    <t>Normalize</t>
  </si>
  <si>
    <t>Calibration</t>
  </si>
  <si>
    <t>LINEST</t>
  </si>
  <si>
    <t>%/val</t>
  </si>
  <si>
    <t>LS2LS</t>
  </si>
  <si>
    <t>Gain</t>
  </si>
  <si>
    <t>Rng/Coeff</t>
  </si>
  <si>
    <t>0 (none)</t>
  </si>
  <si>
    <r>
      <t>C</t>
    </r>
    <r>
      <rPr>
        <vertAlign val="subscript"/>
        <sz val="14"/>
        <color theme="1"/>
        <rFont val="Calibri"/>
        <family val="2"/>
        <scheme val="minor"/>
      </rPr>
      <t>1</t>
    </r>
  </si>
  <si>
    <t>%/diode</t>
  </si>
  <si>
    <t>Diode (%)</t>
  </si>
  <si>
    <t>Mean: D2/D1</t>
  </si>
  <si>
    <r>
      <t>2 Ranges/Coeff (3</t>
    </r>
    <r>
      <rPr>
        <sz val="11"/>
        <color theme="1"/>
        <rFont val="Calibri"/>
        <family val="2"/>
      </rPr>
      <t>σ)</t>
    </r>
  </si>
  <si>
    <r>
      <t xml:space="preserve">`34C </t>
    </r>
    <r>
      <rPr>
        <sz val="11"/>
        <color theme="1"/>
        <rFont val="Calibri"/>
        <family val="2"/>
      </rPr>
      <t>±</t>
    </r>
    <r>
      <rPr>
        <sz val="11"/>
        <color theme="1"/>
        <rFont val="Calibri"/>
        <family val="2"/>
        <scheme val="minor"/>
      </rPr>
      <t>35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, Diffused</t>
    </r>
  </si>
  <si>
    <r>
      <t>C</t>
    </r>
    <r>
      <rPr>
        <vertAlign val="subscript"/>
        <sz val="14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</si>
</sst>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0.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1"/>
      <name val="Calibri"/>
      <family val="2"/>
    </font>
    <font>
      <sz val="28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 textRotation="90"/>
    </xf>
    <xf numFmtId="165" fontId="0" fillId="0" borderId="0" xfId="0" applyNumberForma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6" fontId="0" fillId="3" borderId="9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5" fillId="0" borderId="0" xfId="0" applyNumberFormat="1" applyFont="1" applyAlignment="1">
      <alignment horizontal="center" vertical="center" textRotation="90"/>
    </xf>
    <xf numFmtId="0" fontId="0" fillId="0" borderId="0" xfId="0" applyBorder="1" applyAlignment="1">
      <alignment horizontal="center" vertical="center"/>
    </xf>
    <xf numFmtId="0" fontId="5" fillId="0" borderId="0" xfId="0" applyFont="1" applyAlignment="1">
      <alignment horizontal="center" vertical="center" textRotation="90"/>
    </xf>
  </cellXfs>
  <cellStyles count="1">
    <cellStyle name="Normal" xfId="0" builtinId="0"/>
  </cellStyles>
  <dxfs count="106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Calculations!$AR$24</c:f>
          <c:strCache>
            <c:ptCount val="1"/>
            <c:pt idx="0">
              <c:v>`34C ±35°, Diffused: LS2LS Uncorrected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Calculations!$AR$26:$AR$36</c:f>
              <c:numCache>
                <c:formatCode>0.0%</c:formatCode>
                <c:ptCount val="11"/>
                <c:pt idx="0">
                  <c:v>0.27135843390302999</c:v>
                </c:pt>
                <c:pt idx="1">
                  <c:v>0.29041220383708083</c:v>
                </c:pt>
                <c:pt idx="2">
                  <c:v>0.30946597377113166</c:v>
                </c:pt>
                <c:pt idx="3">
                  <c:v>0.3285197437051825</c:v>
                </c:pt>
                <c:pt idx="4">
                  <c:v>0.34757351363923333</c:v>
                </c:pt>
                <c:pt idx="5">
                  <c:v>0.36662728357328417</c:v>
                </c:pt>
                <c:pt idx="6">
                  <c:v>0.385681053507335</c:v>
                </c:pt>
                <c:pt idx="7">
                  <c:v>0.40473482344138584</c:v>
                </c:pt>
                <c:pt idx="8">
                  <c:v>0.42378859337543667</c:v>
                </c:pt>
                <c:pt idx="9">
                  <c:v>0.44284236330948751</c:v>
                </c:pt>
                <c:pt idx="10">
                  <c:v>0.46189613324353834</c:v>
                </c:pt>
              </c:numCache>
            </c:numRef>
          </c:cat>
          <c:val>
            <c:numRef>
              <c:f>Calculations!$AS$26:$AS$36</c:f>
              <c:numCache>
                <c:formatCode>0.0%</c:formatCode>
                <c:ptCount val="11"/>
                <c:pt idx="0">
                  <c:v>0.25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</c:numCache>
            </c:numRef>
          </c:val>
        </c:ser>
        <c:axId val="193745280"/>
        <c:axId val="193747584"/>
      </c:barChart>
      <c:catAx>
        <c:axId val="1937452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±LS2LS</a:t>
                </a:r>
              </a:p>
            </c:rich>
          </c:tx>
          <c:layout/>
        </c:title>
        <c:numFmt formatCode="0.0%" sourceLinked="1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93747584"/>
        <c:crosses val="autoZero"/>
        <c:auto val="1"/>
        <c:lblAlgn val="ctr"/>
        <c:lblOffset val="100"/>
      </c:catAx>
      <c:valAx>
        <c:axId val="1937475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Population</a:t>
                </a:r>
              </a:p>
            </c:rich>
          </c:tx>
          <c:layout/>
        </c:title>
        <c:numFmt formatCode="0%" sourceLinked="0"/>
        <c:tickLblPos val="nextTo"/>
        <c:crossAx val="193745280"/>
        <c:crosses val="autoZero"/>
        <c:crossBetween val="between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Calculations!$AR$89</c:f>
          <c:strCache>
            <c:ptCount val="1"/>
            <c:pt idx="0">
              <c:v>`34C ±35°, Diffused: LS2LS Corrected</c:v>
            </c:pt>
          </c:strCache>
        </c:strRef>
      </c:tx>
      <c:layout/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Calculations!$AR$91:$AR$101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Calculations!$AS$91:$AS$101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axId val="194826624"/>
        <c:axId val="194829312"/>
      </c:barChart>
      <c:catAx>
        <c:axId val="1948266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±LS2LS</a:t>
                </a:r>
              </a:p>
            </c:rich>
          </c:tx>
          <c:layout/>
        </c:title>
        <c:numFmt formatCode="0.0%" sourceLinked="1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94829312"/>
        <c:crosses val="autoZero"/>
        <c:auto val="1"/>
        <c:lblAlgn val="ctr"/>
        <c:lblOffset val="100"/>
      </c:catAx>
      <c:valAx>
        <c:axId val="1948293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Population</a:t>
                </a:r>
              </a:p>
            </c:rich>
          </c:tx>
          <c:layout/>
        </c:title>
        <c:numFmt formatCode="0%" sourceLinked="0"/>
        <c:tickLblPos val="nextTo"/>
        <c:crossAx val="194826624"/>
        <c:crosses val="autoZero"/>
        <c:crossBetween val="between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Calculations!$AR$24</c:f>
          <c:strCache>
            <c:ptCount val="1"/>
            <c:pt idx="0">
              <c:v>`34C ±35°, Diffused: LS2LS Uncorrected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Calculations!$AR$26:$AR$36</c:f>
              <c:numCache>
                <c:formatCode>0.0%</c:formatCode>
                <c:ptCount val="11"/>
                <c:pt idx="0">
                  <c:v>0.27135843390302999</c:v>
                </c:pt>
                <c:pt idx="1">
                  <c:v>0.29041220383708083</c:v>
                </c:pt>
                <c:pt idx="2">
                  <c:v>0.30946597377113166</c:v>
                </c:pt>
                <c:pt idx="3">
                  <c:v>0.3285197437051825</c:v>
                </c:pt>
                <c:pt idx="4">
                  <c:v>0.34757351363923333</c:v>
                </c:pt>
                <c:pt idx="5">
                  <c:v>0.36662728357328417</c:v>
                </c:pt>
                <c:pt idx="6">
                  <c:v>0.385681053507335</c:v>
                </c:pt>
                <c:pt idx="7">
                  <c:v>0.40473482344138584</c:v>
                </c:pt>
                <c:pt idx="8">
                  <c:v>0.42378859337543667</c:v>
                </c:pt>
                <c:pt idx="9">
                  <c:v>0.44284236330948751</c:v>
                </c:pt>
                <c:pt idx="10">
                  <c:v>0.46189613324353834</c:v>
                </c:pt>
              </c:numCache>
            </c:numRef>
          </c:cat>
          <c:val>
            <c:numRef>
              <c:f>Calculations!$AS$26:$AS$36</c:f>
              <c:numCache>
                <c:formatCode>0.0%</c:formatCode>
                <c:ptCount val="11"/>
                <c:pt idx="0">
                  <c:v>0.25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</c:v>
                </c:pt>
              </c:numCache>
            </c:numRef>
          </c:val>
        </c:ser>
        <c:axId val="190532992"/>
        <c:axId val="190539264"/>
      </c:barChart>
      <c:catAx>
        <c:axId val="190532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±LS2LS</a:t>
                </a:r>
              </a:p>
            </c:rich>
          </c:tx>
        </c:title>
        <c:numFmt formatCode="0.0%" sourceLinked="1"/>
        <c:tickLblPos val="nextTo"/>
        <c:crossAx val="190539264"/>
        <c:crosses val="autoZero"/>
        <c:auto val="1"/>
        <c:lblAlgn val="ctr"/>
        <c:lblOffset val="100"/>
      </c:catAx>
      <c:valAx>
        <c:axId val="1905392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Population</a:t>
                </a:r>
              </a:p>
            </c:rich>
          </c:tx>
        </c:title>
        <c:numFmt formatCode="0%" sourceLinked="0"/>
        <c:tickLblPos val="nextTo"/>
        <c:crossAx val="190532992"/>
        <c:crosses val="autoZero"/>
        <c:crossBetween val="between"/>
      </c:valAx>
    </c:plotArea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Calculations!$AR$89</c:f>
          <c:strCache>
            <c:ptCount val="1"/>
            <c:pt idx="0">
              <c:v>`34C ±35°, Diffused: LS2LS Corrected</c:v>
            </c:pt>
          </c:strCache>
        </c:strRef>
      </c:tx>
      <c:txPr>
        <a:bodyPr/>
        <a:lstStyle/>
        <a:p>
          <a:pPr>
            <a:defRPr sz="1200"/>
          </a:pPr>
          <a:endParaRPr lang="en-US"/>
        </a:p>
      </c:txPr>
    </c:title>
    <c:plotArea>
      <c:layout/>
      <c:barChart>
        <c:barDir val="col"/>
        <c:grouping val="clustered"/>
        <c:ser>
          <c:idx val="0"/>
          <c:order val="0"/>
          <c:spPr>
            <a:ln w="28575">
              <a:noFill/>
            </a:ln>
          </c:spPr>
          <c:cat>
            <c:numRef>
              <c:f>Calculations!$AR$91:$AR$101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Calculations!$AS$91:$AS$101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axId val="190547072"/>
        <c:axId val="190548992"/>
      </c:barChart>
      <c:catAx>
        <c:axId val="1905470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±LS2LS</a:t>
                </a:r>
              </a:p>
            </c:rich>
          </c:tx>
        </c:title>
        <c:numFmt formatCode="0.0%" sourceLinked="1"/>
        <c:tickLblPos val="nextTo"/>
        <c:crossAx val="190548992"/>
        <c:crosses val="autoZero"/>
        <c:auto val="1"/>
        <c:lblAlgn val="ctr"/>
        <c:lblOffset val="100"/>
      </c:catAx>
      <c:valAx>
        <c:axId val="1905489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Population</a:t>
                </a:r>
              </a:p>
            </c:rich>
          </c:tx>
        </c:title>
        <c:numFmt formatCode="0%" sourceLinked="0"/>
        <c:tickLblPos val="nextTo"/>
        <c:crossAx val="190547072"/>
        <c:crosses val="autoZero"/>
        <c:crossBetween val="between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148166</xdr:colOff>
      <xdr:row>28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14</xdr:row>
      <xdr:rowOff>0</xdr:rowOff>
    </xdr:from>
    <xdr:to>
      <xdr:col>16</xdr:col>
      <xdr:colOff>275167</xdr:colOff>
      <xdr:row>28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15876</xdr:colOff>
      <xdr:row>24</xdr:row>
      <xdr:rowOff>26458</xdr:rowOff>
    </xdr:from>
    <xdr:to>
      <xdr:col>52</xdr:col>
      <xdr:colOff>291042</xdr:colOff>
      <xdr:row>38</xdr:row>
      <xdr:rowOff>102658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597959</xdr:colOff>
      <xdr:row>89</xdr:row>
      <xdr:rowOff>5290</xdr:rowOff>
    </xdr:from>
    <xdr:to>
      <xdr:col>52</xdr:col>
      <xdr:colOff>259292</xdr:colOff>
      <xdr:row>103</xdr:row>
      <xdr:rowOff>70907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13"/>
  <sheetViews>
    <sheetView tabSelected="1" workbookViewId="0">
      <selection activeCell="I5" sqref="I5"/>
    </sheetView>
  </sheetViews>
  <sheetFormatPr defaultRowHeight="15"/>
  <cols>
    <col min="1" max="1" width="9.140625" style="2"/>
    <col min="2" max="2" width="10.140625" style="2" bestFit="1" customWidth="1"/>
    <col min="3" max="4" width="9.140625" style="2"/>
    <col min="5" max="5" width="10.140625" style="2" bestFit="1" customWidth="1"/>
    <col min="6" max="16384" width="9.140625" style="2"/>
  </cols>
  <sheetData>
    <row r="1" spans="2:14" ht="15.75" thickBot="1"/>
    <row r="2" spans="2:14">
      <c r="B2" s="39" t="s">
        <v>40</v>
      </c>
      <c r="C2" s="63" t="s">
        <v>41</v>
      </c>
      <c r="D2" s="64"/>
      <c r="E2" s="64"/>
      <c r="F2" s="65"/>
      <c r="H2" s="72" t="s">
        <v>53</v>
      </c>
      <c r="I2" s="72"/>
      <c r="J2" s="72"/>
      <c r="K2" s="72"/>
      <c r="L2" s="72"/>
      <c r="M2" s="72"/>
      <c r="N2" s="72"/>
    </row>
    <row r="3" spans="2:14" ht="15.75" thickBot="1">
      <c r="B3" s="40">
        <v>300</v>
      </c>
      <c r="C3" s="37" t="s">
        <v>32</v>
      </c>
      <c r="D3" s="46" t="s">
        <v>33</v>
      </c>
      <c r="E3" s="46" t="s">
        <v>34</v>
      </c>
      <c r="F3" s="48" t="s">
        <v>35</v>
      </c>
    </row>
    <row r="4" spans="2:14">
      <c r="B4" s="38" t="s">
        <v>8</v>
      </c>
      <c r="C4" s="33">
        <v>2065</v>
      </c>
      <c r="D4" s="33">
        <f>C4</f>
        <v>2065</v>
      </c>
      <c r="E4" s="46">
        <f>AVERAGE(C4:D4)</f>
        <v>2065</v>
      </c>
      <c r="F4" s="34">
        <f>B$3/E4</f>
        <v>0.14527845036319612</v>
      </c>
    </row>
    <row r="5" spans="2:14">
      <c r="B5" s="47" t="s">
        <v>9</v>
      </c>
      <c r="C5" s="33">
        <v>1265</v>
      </c>
      <c r="D5" s="33">
        <f>C5</f>
        <v>1265</v>
      </c>
      <c r="E5" s="46">
        <f t="shared" ref="E5:E6" si="0">AVERAGE(C5:D5)</f>
        <v>1265</v>
      </c>
      <c r="F5" s="34">
        <f>B$3/E5</f>
        <v>0.23715415019762845</v>
      </c>
    </row>
    <row r="6" spans="2:14" ht="15.75" thickBot="1">
      <c r="B6" s="49" t="s">
        <v>10</v>
      </c>
      <c r="C6" s="35">
        <v>1405</v>
      </c>
      <c r="D6" s="35">
        <f>C6</f>
        <v>1405</v>
      </c>
      <c r="E6" s="50">
        <f t="shared" si="0"/>
        <v>1405</v>
      </c>
      <c r="F6" s="36">
        <f>B$3/E6</f>
        <v>0.21352313167259787</v>
      </c>
    </row>
    <row r="7" spans="2:14" ht="15.75" thickBot="1"/>
    <row r="8" spans="2:14">
      <c r="B8" s="29" t="s">
        <v>50</v>
      </c>
      <c r="C8" s="29">
        <v>4.8</v>
      </c>
      <c r="D8" s="29"/>
      <c r="E8" s="71" t="s">
        <v>38</v>
      </c>
      <c r="F8" s="64"/>
      <c r="G8" s="64" t="s">
        <v>52</v>
      </c>
      <c r="H8" s="64"/>
      <c r="I8" s="64"/>
      <c r="J8" s="64"/>
      <c r="K8" s="64"/>
      <c r="L8" s="64" t="s">
        <v>51</v>
      </c>
      <c r="M8" s="64"/>
      <c r="N8" s="65"/>
    </row>
    <row r="9" spans="2:14" ht="20.25">
      <c r="B9" s="29" t="s">
        <v>46</v>
      </c>
      <c r="C9" s="29" t="s">
        <v>44</v>
      </c>
      <c r="D9" s="29" t="s">
        <v>45</v>
      </c>
      <c r="E9" s="47" t="str">
        <f>C9</f>
        <v>LS2LS</v>
      </c>
      <c r="F9" s="46" t="str">
        <f t="shared" ref="F9:H9" si="1">D9</f>
        <v>Gain</v>
      </c>
      <c r="G9" s="46" t="str">
        <f t="shared" si="1"/>
        <v>LS2LS</v>
      </c>
      <c r="H9" s="46" t="str">
        <f t="shared" si="1"/>
        <v>Gain</v>
      </c>
      <c r="I9" s="54" t="s">
        <v>54</v>
      </c>
      <c r="J9" s="54" t="s">
        <v>48</v>
      </c>
      <c r="K9" s="46" t="s">
        <v>49</v>
      </c>
      <c r="L9" s="46" t="s">
        <v>8</v>
      </c>
      <c r="M9" s="46" t="s">
        <v>9</v>
      </c>
      <c r="N9" s="48" t="s">
        <v>10</v>
      </c>
    </row>
    <row r="10" spans="2:14">
      <c r="B10" s="29" t="s">
        <v>47</v>
      </c>
      <c r="C10" s="32" t="e">
        <f ca="1">Calculations!H24</f>
        <v>#DIV/0!</v>
      </c>
      <c r="D10" s="20" t="e">
        <f ca="1">1+Calculations!H18</f>
        <v>#DIV/0!</v>
      </c>
      <c r="E10" s="69">
        <f ca="1">Calculations!H28</f>
        <v>0.27440002545622683</v>
      </c>
      <c r="F10" s="68">
        <f ca="1">1/(1+Calculations!E22)</f>
        <v>9.3152426001388893</v>
      </c>
      <c r="G10" s="59">
        <f ca="1">Calculations!H93</f>
        <v>0.2164164536124375</v>
      </c>
      <c r="H10" s="59">
        <f ca="1">Calculations!H87</f>
        <v>2.3775425146690551E-2</v>
      </c>
      <c r="I10" s="66">
        <f ca="1">Calculations!A71</f>
        <v>10.320483483355199</v>
      </c>
      <c r="J10" s="66">
        <f ca="1">Calculations!A72/I10</f>
        <v>-1.2747367818427013</v>
      </c>
      <c r="K10" s="61">
        <f ca="1">-$C$8*J10</f>
        <v>6.1187365528449664</v>
      </c>
      <c r="L10" s="59">
        <f ca="1">Calculations!E43</f>
        <v>0.54607603634897828</v>
      </c>
      <c r="M10" s="59">
        <f ca="1">Calculations!E45</f>
        <v>9.8674186882936027E-2</v>
      </c>
      <c r="N10" s="57">
        <f ca="1">Calculations!E47</f>
        <v>0.34049181182926652</v>
      </c>
    </row>
    <row r="11" spans="2:14">
      <c r="B11" s="2">
        <v>1</v>
      </c>
      <c r="C11" s="32" t="e">
        <f ca="1">Calculations!H66</f>
        <v>#DIV/0!</v>
      </c>
      <c r="D11" s="32" t="e">
        <f ca="1">Calculations!H62</f>
        <v>#DIV/0!</v>
      </c>
      <c r="E11" s="69"/>
      <c r="F11" s="68"/>
      <c r="G11" s="59"/>
      <c r="H11" s="59"/>
      <c r="I11" s="66"/>
      <c r="J11" s="66"/>
      <c r="K11" s="61"/>
      <c r="L11" s="59"/>
      <c r="M11" s="59"/>
      <c r="N11" s="57"/>
    </row>
    <row r="12" spans="2:14">
      <c r="B12" s="2">
        <v>2</v>
      </c>
      <c r="C12" s="55" t="e">
        <f ca="1">Calculations!H89</f>
        <v>#DIV/0!</v>
      </c>
      <c r="D12" s="55" t="e">
        <f ca="1">Calculations!H83</f>
        <v>#DIV/0!</v>
      </c>
      <c r="E12" s="69">
        <f ca="1">Calculations!H29</f>
        <v>0.46343447438336982</v>
      </c>
      <c r="F12" s="68">
        <f ca="1">1/(1+Calculations!E23)</f>
        <v>11.140632602643766</v>
      </c>
      <c r="G12" s="59">
        <f ca="1">Calculations!H94</f>
        <v>0.19442617897365125</v>
      </c>
      <c r="H12" s="59">
        <f ca="1">Calculations!H88</f>
        <v>4.3141746522629726E-2</v>
      </c>
      <c r="I12" s="66">
        <f ca="1">Calculations!A77</f>
        <v>9.2347856951568001</v>
      </c>
      <c r="J12" s="66">
        <f ca="1">Calculations!A78/I12</f>
        <v>-0.77756309275500923</v>
      </c>
      <c r="K12" s="61">
        <f ca="1">-$C$8*J12</f>
        <v>3.7323028452240443</v>
      </c>
      <c r="L12" s="59">
        <f ca="1">Calculations!E44</f>
        <v>0.87919532534292122</v>
      </c>
      <c r="M12" s="59">
        <f ca="1">Calculations!E46</f>
        <v>4.1719094054734167E-2</v>
      </c>
      <c r="N12" s="57">
        <f ca="1">Calculations!E48</f>
        <v>0.5289026593118118</v>
      </c>
    </row>
    <row r="13" spans="2:14" ht="15.75" thickBot="1">
      <c r="B13" s="2">
        <v>4</v>
      </c>
      <c r="C13" s="32" t="e">
        <f ca="1">Calculations!H112</f>
        <v>#DIV/0!</v>
      </c>
      <c r="D13" s="32" t="e">
        <f ca="1">Calculations!H108</f>
        <v>#DIV/0!</v>
      </c>
      <c r="E13" s="70"/>
      <c r="F13" s="73"/>
      <c r="G13" s="60"/>
      <c r="H13" s="60"/>
      <c r="I13" s="67"/>
      <c r="J13" s="67"/>
      <c r="K13" s="62"/>
      <c r="L13" s="60"/>
      <c r="M13" s="60"/>
      <c r="N13" s="58"/>
    </row>
  </sheetData>
  <mergeCells count="25">
    <mergeCell ref="C2:F2"/>
    <mergeCell ref="I10:I11"/>
    <mergeCell ref="I12:I13"/>
    <mergeCell ref="J10:J11"/>
    <mergeCell ref="J12:J13"/>
    <mergeCell ref="H10:H11"/>
    <mergeCell ref="F10:F11"/>
    <mergeCell ref="E10:E11"/>
    <mergeCell ref="E12:E13"/>
    <mergeCell ref="E8:F8"/>
    <mergeCell ref="G8:K8"/>
    <mergeCell ref="H2:N2"/>
    <mergeCell ref="H12:H13"/>
    <mergeCell ref="F12:F13"/>
    <mergeCell ref="L8:N8"/>
    <mergeCell ref="L10:L11"/>
    <mergeCell ref="N10:N11"/>
    <mergeCell ref="N12:N13"/>
    <mergeCell ref="G10:G11"/>
    <mergeCell ref="G12:G13"/>
    <mergeCell ref="M12:M13"/>
    <mergeCell ref="K10:K11"/>
    <mergeCell ref="K12:K13"/>
    <mergeCell ref="L12:L13"/>
    <mergeCell ref="M10:M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B502"/>
  <sheetViews>
    <sheetView workbookViewId="0">
      <selection sqref="A1:B2"/>
    </sheetView>
  </sheetViews>
  <sheetFormatPr defaultRowHeight="15"/>
  <cols>
    <col min="1" max="1" width="19.7109375" style="2" customWidth="1"/>
    <col min="2" max="2" width="9.140625" style="2"/>
    <col min="3" max="3" width="13.28515625" style="2" bestFit="1" customWidth="1"/>
    <col min="4" max="5" width="9.140625" style="2"/>
    <col min="6" max="6" width="9.140625" style="1"/>
    <col min="7" max="7" width="9.140625" style="2"/>
    <col min="8" max="8" width="9.7109375" style="29" bestFit="1" customWidth="1"/>
    <col min="9" max="9" width="9.140625" style="2"/>
    <col min="10" max="11" width="12.85546875" style="2" bestFit="1" customWidth="1"/>
    <col min="12" max="12" width="10.85546875" style="2" customWidth="1"/>
    <col min="13" max="43" width="9.140625" style="2"/>
    <col min="44" max="44" width="9.140625" style="2" customWidth="1"/>
    <col min="45" max="16384" width="9.140625" style="2"/>
  </cols>
  <sheetData>
    <row r="1" spans="1:41">
      <c r="A1" s="76" t="s">
        <v>25</v>
      </c>
      <c r="B1" s="76"/>
    </row>
    <row r="2" spans="1:41">
      <c r="A2" s="76"/>
      <c r="B2" s="76"/>
      <c r="C2" s="2" t="s">
        <v>16</v>
      </c>
      <c r="D2" s="6" t="s">
        <v>29</v>
      </c>
      <c r="E2" s="6" t="s">
        <v>28</v>
      </c>
      <c r="F2" s="6" t="s">
        <v>30</v>
      </c>
      <c r="G2" s="6" t="s">
        <v>15</v>
      </c>
      <c r="H2" s="29" t="s">
        <v>43</v>
      </c>
      <c r="I2" s="6" t="s">
        <v>31</v>
      </c>
      <c r="J2" s="2">
        <f>data0!D20</f>
        <v>0</v>
      </c>
      <c r="K2" s="2">
        <f>data0!E20</f>
        <v>1</v>
      </c>
      <c r="L2" s="2">
        <f>data0!F20</f>
        <v>2</v>
      </c>
      <c r="M2" s="2">
        <f>data0!G20</f>
        <v>3</v>
      </c>
      <c r="N2" s="2">
        <f>data0!H20</f>
        <v>4</v>
      </c>
      <c r="O2" s="2">
        <f>data0!I20</f>
        <v>5</v>
      </c>
      <c r="P2" s="2">
        <f>data0!J20</f>
        <v>6</v>
      </c>
      <c r="Q2" s="2">
        <f>data0!K20</f>
        <v>7</v>
      </c>
      <c r="R2" s="2">
        <f>data0!L20</f>
        <v>8</v>
      </c>
      <c r="S2" s="2">
        <f>data0!M20</f>
        <v>9</v>
      </c>
      <c r="T2" s="2">
        <f>data0!N20</f>
        <v>10</v>
      </c>
      <c r="U2" s="2">
        <f>data0!O20</f>
        <v>11</v>
      </c>
      <c r="V2" s="2">
        <f>data0!P20</f>
        <v>12</v>
      </c>
      <c r="W2" s="2">
        <f>data0!Q20</f>
        <v>13</v>
      </c>
      <c r="X2" s="2">
        <f>data0!R20</f>
        <v>14</v>
      </c>
      <c r="Y2" s="2">
        <f>data0!S20</f>
        <v>15</v>
      </c>
      <c r="Z2" s="2">
        <f>data0!T20</f>
        <v>16</v>
      </c>
      <c r="AA2" s="2">
        <f>data0!U20</f>
        <v>17</v>
      </c>
      <c r="AB2" s="2">
        <f>data0!V20</f>
        <v>18</v>
      </c>
      <c r="AC2" s="2">
        <f>data0!W20</f>
        <v>19</v>
      </c>
      <c r="AD2" s="2">
        <f>data0!X20</f>
        <v>20</v>
      </c>
      <c r="AE2" s="2">
        <f>data0!Y20</f>
        <v>21</v>
      </c>
      <c r="AF2" s="2">
        <f>data0!Z20</f>
        <v>22</v>
      </c>
      <c r="AG2" s="2">
        <f>data0!AA20</f>
        <v>23</v>
      </c>
      <c r="AH2" s="2">
        <f>data0!AB20</f>
        <v>24</v>
      </c>
      <c r="AI2" s="2">
        <f>data0!AC20</f>
        <v>25</v>
      </c>
      <c r="AJ2" s="2">
        <f>data0!AD20</f>
        <v>26</v>
      </c>
      <c r="AK2" s="2">
        <f>data0!AE20</f>
        <v>27</v>
      </c>
      <c r="AL2" s="2">
        <f>data0!AF20</f>
        <v>28</v>
      </c>
      <c r="AM2" s="2">
        <f>data0!AG20</f>
        <v>29</v>
      </c>
      <c r="AN2" s="2">
        <f>data0!AH20</f>
        <v>30</v>
      </c>
      <c r="AO2" s="2">
        <f>data0!AI20</f>
        <v>31</v>
      </c>
    </row>
    <row r="3" spans="1:41" s="6" customFormat="1" ht="15" hidden="1" customHeight="1">
      <c r="A3" s="72" t="s">
        <v>27</v>
      </c>
      <c r="B3" s="72"/>
      <c r="C3" s="72"/>
      <c r="H3" s="29"/>
      <c r="J3" s="6">
        <f>INT(AND(data0!B18&lt;&gt;"",data1!B18&lt;&gt;"",data2!B18&lt;&gt;""))</f>
        <v>0</v>
      </c>
      <c r="K3" s="6">
        <f>INT(AND(data0!C18&lt;&gt;"",data1!C18&lt;&gt;"",data2!C18&lt;&gt;""))</f>
        <v>0</v>
      </c>
      <c r="L3" s="6">
        <f>INT(AND(data0!D18&lt;&gt;"",data1!D18&lt;&gt;"",data2!D18&lt;&gt;""))</f>
        <v>0</v>
      </c>
      <c r="M3" s="6">
        <f>INT(AND(data0!E18&lt;&gt;"",data1!E18&lt;&gt;"",data2!E18&lt;&gt;""))</f>
        <v>0</v>
      </c>
      <c r="N3" s="6">
        <f>INT(AND(data0!F18&lt;&gt;"",data1!F18&lt;&gt;"",data2!F18&lt;&gt;""))</f>
        <v>1</v>
      </c>
      <c r="O3" s="6">
        <f>INT(AND(data0!G18&lt;&gt;"",data1!G18&lt;&gt;"",data2!G18&lt;&gt;""))</f>
        <v>0</v>
      </c>
      <c r="P3" s="6">
        <f>INT(AND(data0!H18&lt;&gt;"",data1!H18&lt;&gt;"",data2!H18&lt;&gt;""))</f>
        <v>0</v>
      </c>
      <c r="Q3" s="6">
        <f>INT(AND(data0!I18&lt;&gt;"",data1!I18&lt;&gt;"",data2!I18&lt;&gt;""))</f>
        <v>0</v>
      </c>
      <c r="R3" s="6">
        <f>INT(AND(data0!J18&lt;&gt;"",data1!J18&lt;&gt;"",data2!J18&lt;&gt;""))</f>
        <v>0</v>
      </c>
      <c r="S3" s="6">
        <f>INT(AND(data0!K18&lt;&gt;"",data1!K18&lt;&gt;"",data2!K18&lt;&gt;""))</f>
        <v>0</v>
      </c>
      <c r="T3" s="6">
        <f>INT(AND(data0!L18&lt;&gt;"",data1!L18&lt;&gt;"",data2!L18&lt;&gt;""))</f>
        <v>0</v>
      </c>
      <c r="U3" s="6">
        <f>INT(AND(data0!M18&lt;&gt;"",data1!M18&lt;&gt;"",data2!M18&lt;&gt;""))</f>
        <v>0</v>
      </c>
      <c r="V3" s="6">
        <f>INT(AND(data0!N18&lt;&gt;"",data1!N18&lt;&gt;"",data2!N18&lt;&gt;""))</f>
        <v>0</v>
      </c>
      <c r="W3" s="6">
        <f>INT(AND(data0!O18&lt;&gt;"",data1!O18&lt;&gt;"",data2!O18&lt;&gt;""))</f>
        <v>0</v>
      </c>
      <c r="X3" s="6">
        <f>INT(AND(data0!P18&lt;&gt;"",data1!P18&lt;&gt;"",data2!P18&lt;&gt;""))</f>
        <v>0</v>
      </c>
      <c r="Y3" s="6">
        <f>INT(AND(data0!Q18&lt;&gt;"",data1!Q18&lt;&gt;"",data2!Q18&lt;&gt;""))</f>
        <v>0</v>
      </c>
      <c r="Z3" s="6">
        <f>INT(AND(data0!R18&lt;&gt;"",data1!R18&lt;&gt;"",data2!R18&lt;&gt;""))</f>
        <v>0</v>
      </c>
      <c r="AA3" s="6">
        <f>INT(AND(data0!S18&lt;&gt;"",data1!S18&lt;&gt;"",data2!S18&lt;&gt;""))</f>
        <v>0</v>
      </c>
      <c r="AB3" s="6">
        <f>INT(AND(data0!T18&lt;&gt;"",data1!T18&lt;&gt;"",data2!T18&lt;&gt;""))</f>
        <v>0</v>
      </c>
      <c r="AC3" s="6">
        <f>INT(AND(data0!U18&lt;&gt;"",data1!U18&lt;&gt;"",data2!U18&lt;&gt;""))</f>
        <v>0</v>
      </c>
      <c r="AD3" s="6">
        <f>INT(AND(data0!V18&lt;&gt;"",data1!V18&lt;&gt;"",data2!V18&lt;&gt;""))</f>
        <v>0</v>
      </c>
      <c r="AE3" s="6">
        <f>INT(AND(data0!W18&lt;&gt;"",data1!W18&lt;&gt;"",data2!W18&lt;&gt;""))</f>
        <v>0</v>
      </c>
      <c r="AF3" s="6">
        <f>INT(AND(data0!X18&lt;&gt;"",data1!X18&lt;&gt;"",data2!X18&lt;&gt;""))</f>
        <v>0</v>
      </c>
      <c r="AG3" s="6">
        <f>INT(AND(data0!Y18&lt;&gt;"",data1!Y18&lt;&gt;"",data2!Y18&lt;&gt;""))</f>
        <v>0</v>
      </c>
      <c r="AH3" s="6">
        <f>INT(AND(data0!Z18&lt;&gt;"",data1!Z18&lt;&gt;"",data2!Z18&lt;&gt;""))</f>
        <v>0</v>
      </c>
      <c r="AI3" s="6">
        <f>INT(AND(data0!AA18&lt;&gt;"",data1!AA18&lt;&gt;"",data2!AA18&lt;&gt;""))</f>
        <v>0</v>
      </c>
      <c r="AJ3" s="6">
        <f>INT(AND(data0!AB18&lt;&gt;"",data1!AB18&lt;&gt;"",data2!AB18&lt;&gt;""))</f>
        <v>0</v>
      </c>
      <c r="AK3" s="6">
        <f>INT(AND(data0!AC18&lt;&gt;"",data1!AC18&lt;&gt;"",data2!AC18&lt;&gt;""))</f>
        <v>0</v>
      </c>
      <c r="AL3" s="6">
        <f>INT(AND(data0!AD18&lt;&gt;"",data1!AD18&lt;&gt;"",data2!AD18&lt;&gt;""))</f>
        <v>0</v>
      </c>
      <c r="AM3" s="6">
        <f>INT(AND(data0!AE18&lt;&gt;"",data1!AE18&lt;&gt;"",data2!AE18&lt;&gt;""))</f>
        <v>0</v>
      </c>
      <c r="AN3" s="6">
        <f>INT(AND(data0!AF18&lt;&gt;"",data1!AF18&lt;&gt;"",data2!AF18&lt;&gt;""))</f>
        <v>0</v>
      </c>
      <c r="AO3" s="6">
        <f>INT(AND(data0!AG18&lt;&gt;"",data1!AG18&lt;&gt;"",data2!AG18&lt;&gt;""))</f>
        <v>0</v>
      </c>
    </row>
    <row r="4" spans="1:41" hidden="1">
      <c r="A4" s="72" t="s">
        <v>26</v>
      </c>
      <c r="B4" s="72"/>
      <c r="C4" s="72"/>
      <c r="F4" s="2"/>
      <c r="J4" s="2">
        <f t="shared" ref="J4:AO4" si="0">IF($B5=0,1,J5)</f>
        <v>1</v>
      </c>
      <c r="K4" s="2">
        <f t="shared" si="0"/>
        <v>1</v>
      </c>
      <c r="L4" s="2">
        <f t="shared" si="0"/>
        <v>0</v>
      </c>
      <c r="M4" s="2">
        <f t="shared" si="0"/>
        <v>1</v>
      </c>
      <c r="N4" s="2">
        <f t="shared" si="0"/>
        <v>1</v>
      </c>
      <c r="O4" s="2">
        <f t="shared" si="0"/>
        <v>1</v>
      </c>
      <c r="P4" s="2">
        <f t="shared" si="0"/>
        <v>1</v>
      </c>
      <c r="Q4" s="2">
        <f t="shared" si="0"/>
        <v>1</v>
      </c>
      <c r="R4" s="2">
        <f t="shared" si="0"/>
        <v>1</v>
      </c>
      <c r="S4" s="2">
        <f t="shared" si="0"/>
        <v>1</v>
      </c>
      <c r="T4" s="2">
        <f t="shared" si="0"/>
        <v>1</v>
      </c>
      <c r="U4" s="2">
        <f t="shared" si="0"/>
        <v>1</v>
      </c>
      <c r="V4" s="2">
        <f t="shared" si="0"/>
        <v>1</v>
      </c>
      <c r="W4" s="2">
        <f t="shared" si="0"/>
        <v>1</v>
      </c>
      <c r="X4" s="2">
        <f t="shared" si="0"/>
        <v>1</v>
      </c>
      <c r="Y4" s="2">
        <f t="shared" si="0"/>
        <v>1</v>
      </c>
      <c r="Z4" s="2">
        <f t="shared" si="0"/>
        <v>1</v>
      </c>
      <c r="AA4" s="2">
        <f t="shared" si="0"/>
        <v>1</v>
      </c>
      <c r="AB4" s="2">
        <f t="shared" si="0"/>
        <v>1</v>
      </c>
      <c r="AC4" s="2">
        <f t="shared" si="0"/>
        <v>1</v>
      </c>
      <c r="AD4" s="2">
        <f t="shared" si="0"/>
        <v>1</v>
      </c>
      <c r="AE4" s="2">
        <f t="shared" si="0"/>
        <v>1</v>
      </c>
      <c r="AF4" s="2">
        <f t="shared" si="0"/>
        <v>1</v>
      </c>
      <c r="AG4" s="2">
        <f t="shared" si="0"/>
        <v>1</v>
      </c>
      <c r="AH4" s="2">
        <f t="shared" si="0"/>
        <v>1</v>
      </c>
      <c r="AI4" s="2">
        <f t="shared" si="0"/>
        <v>1</v>
      </c>
      <c r="AJ4" s="2">
        <f t="shared" si="0"/>
        <v>1</v>
      </c>
      <c r="AK4" s="2">
        <f t="shared" si="0"/>
        <v>1</v>
      </c>
      <c r="AL4" s="2">
        <f t="shared" si="0"/>
        <v>1</v>
      </c>
      <c r="AM4" s="2">
        <f t="shared" si="0"/>
        <v>1</v>
      </c>
      <c r="AN4" s="2">
        <f t="shared" si="0"/>
        <v>1</v>
      </c>
      <c r="AO4" s="2">
        <f t="shared" si="0"/>
        <v>1</v>
      </c>
    </row>
    <row r="5" spans="1:41">
      <c r="A5" s="2" t="s">
        <v>24</v>
      </c>
      <c r="B5" s="2">
        <v>1</v>
      </c>
      <c r="C5" s="2" t="s">
        <v>23</v>
      </c>
      <c r="F5" s="2"/>
      <c r="J5" s="2">
        <v>1</v>
      </c>
      <c r="K5" s="6">
        <v>1</v>
      </c>
      <c r="L5" s="6">
        <v>0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6">
        <v>1</v>
      </c>
      <c r="V5" s="6">
        <v>1</v>
      </c>
      <c r="W5" s="6">
        <v>1</v>
      </c>
      <c r="X5" s="6">
        <v>1</v>
      </c>
      <c r="Y5" s="6">
        <v>1</v>
      </c>
      <c r="Z5" s="6">
        <v>1</v>
      </c>
      <c r="AA5" s="6">
        <v>1</v>
      </c>
      <c r="AB5" s="6">
        <v>1</v>
      </c>
      <c r="AC5" s="6">
        <v>1</v>
      </c>
      <c r="AD5" s="6">
        <v>1</v>
      </c>
      <c r="AE5" s="6">
        <v>1</v>
      </c>
      <c r="AF5" s="6">
        <v>1</v>
      </c>
      <c r="AG5" s="6">
        <v>1</v>
      </c>
      <c r="AH5" s="6">
        <v>1</v>
      </c>
      <c r="AI5" s="6">
        <v>1</v>
      </c>
      <c r="AJ5" s="6">
        <v>1</v>
      </c>
      <c r="AK5" s="6">
        <v>1</v>
      </c>
      <c r="AL5" s="6">
        <v>1</v>
      </c>
      <c r="AM5" s="6">
        <v>1</v>
      </c>
      <c r="AN5" s="6">
        <v>1</v>
      </c>
      <c r="AO5" s="6">
        <v>1</v>
      </c>
    </row>
    <row r="6" spans="1:41" s="27" customFormat="1">
      <c r="A6" s="83" t="s">
        <v>38</v>
      </c>
      <c r="B6" s="82">
        <v>0</v>
      </c>
      <c r="C6" s="27" t="str">
        <f>C50</f>
        <v>A</v>
      </c>
      <c r="D6" s="27">
        <f ca="1">MIN(J6:AO6)</f>
        <v>40.677966101694913</v>
      </c>
      <c r="E6" s="20">
        <f t="shared" ref="E6:E20" ca="1" si="1">AVERAGE(J6:AO6)</f>
        <v>40.677966101694913</v>
      </c>
      <c r="F6" s="27">
        <f ca="1">MAX(J6:AO6)</f>
        <v>40.677966101694913</v>
      </c>
      <c r="G6" s="20" t="e">
        <f t="shared" ref="G6:G20" ca="1" si="2">STDEV(J6:AO6)</f>
        <v>#DIV/0!</v>
      </c>
      <c r="H6" s="32" t="e">
        <f ca="1">ABS(G6/E6)</f>
        <v>#DIV/0!</v>
      </c>
      <c r="I6" s="20" t="e">
        <f ca="1">(F6-D6)/G6</f>
        <v>#DIV/0!</v>
      </c>
      <c r="J6" s="26" t="str">
        <f t="shared" ref="J6:AO6" ca="1" si="3">IF(J$3*J$4,INDIRECT("R"&amp;($B$118+0+3*J$2+96*$B6)&amp;"C"&amp;($C$118+2),FALSE),"")</f>
        <v/>
      </c>
      <c r="K6" s="26" t="str">
        <f t="shared" ca="1" si="3"/>
        <v/>
      </c>
      <c r="L6" s="26" t="str">
        <f t="shared" ca="1" si="3"/>
        <v/>
      </c>
      <c r="M6" s="26" t="str">
        <f t="shared" ca="1" si="3"/>
        <v/>
      </c>
      <c r="N6" s="26">
        <f t="shared" ca="1" si="3"/>
        <v>40.677966101694913</v>
      </c>
      <c r="O6" s="26" t="str">
        <f t="shared" ca="1" si="3"/>
        <v/>
      </c>
      <c r="P6" s="26" t="str">
        <f t="shared" ca="1" si="3"/>
        <v/>
      </c>
      <c r="Q6" s="26" t="str">
        <f t="shared" ca="1" si="3"/>
        <v/>
      </c>
      <c r="R6" s="26" t="str">
        <f t="shared" ca="1" si="3"/>
        <v/>
      </c>
      <c r="S6" s="26" t="str">
        <f t="shared" ca="1" si="3"/>
        <v/>
      </c>
      <c r="T6" s="26" t="str">
        <f t="shared" ca="1" si="3"/>
        <v/>
      </c>
      <c r="U6" s="26" t="str">
        <f t="shared" ca="1" si="3"/>
        <v/>
      </c>
      <c r="V6" s="26" t="str">
        <f t="shared" ca="1" si="3"/>
        <v/>
      </c>
      <c r="W6" s="26" t="str">
        <f t="shared" ca="1" si="3"/>
        <v/>
      </c>
      <c r="X6" s="26" t="str">
        <f t="shared" ca="1" si="3"/>
        <v/>
      </c>
      <c r="Y6" s="26" t="str">
        <f t="shared" ca="1" si="3"/>
        <v/>
      </c>
      <c r="Z6" s="26" t="str">
        <f t="shared" ca="1" si="3"/>
        <v/>
      </c>
      <c r="AA6" s="26" t="str">
        <f t="shared" ca="1" si="3"/>
        <v/>
      </c>
      <c r="AB6" s="26" t="str">
        <f t="shared" ca="1" si="3"/>
        <v/>
      </c>
      <c r="AC6" s="26" t="str">
        <f t="shared" ca="1" si="3"/>
        <v/>
      </c>
      <c r="AD6" s="26" t="str">
        <f t="shared" ca="1" si="3"/>
        <v/>
      </c>
      <c r="AE6" s="26" t="str">
        <f t="shared" ca="1" si="3"/>
        <v/>
      </c>
      <c r="AF6" s="26" t="str">
        <f t="shared" ca="1" si="3"/>
        <v/>
      </c>
      <c r="AG6" s="26" t="str">
        <f t="shared" ca="1" si="3"/>
        <v/>
      </c>
      <c r="AH6" s="26" t="str">
        <f t="shared" ca="1" si="3"/>
        <v/>
      </c>
      <c r="AI6" s="26" t="str">
        <f t="shared" ca="1" si="3"/>
        <v/>
      </c>
      <c r="AJ6" s="26" t="str">
        <f t="shared" ca="1" si="3"/>
        <v/>
      </c>
      <c r="AK6" s="26" t="str">
        <f t="shared" ca="1" si="3"/>
        <v/>
      </c>
      <c r="AL6" s="26" t="str">
        <f t="shared" ca="1" si="3"/>
        <v/>
      </c>
      <c r="AM6" s="26" t="str">
        <f t="shared" ca="1" si="3"/>
        <v/>
      </c>
      <c r="AN6" s="26" t="str">
        <f t="shared" ca="1" si="3"/>
        <v/>
      </c>
      <c r="AO6" s="26" t="str">
        <f t="shared" ca="1" si="3"/>
        <v/>
      </c>
    </row>
    <row r="7" spans="1:41" s="27" customFormat="1">
      <c r="A7" s="83"/>
      <c r="B7" s="82"/>
      <c r="C7" s="27" t="str">
        <f>C51</f>
        <v>CWF</v>
      </c>
      <c r="D7" s="27">
        <f t="shared" ref="D7:D20" ca="1" si="4">MIN(J7:AO7)</f>
        <v>23.691699604743082</v>
      </c>
      <c r="E7" s="20">
        <f t="shared" ca="1" si="1"/>
        <v>23.691699604743082</v>
      </c>
      <c r="F7" s="27">
        <f t="shared" ref="F7:F20" ca="1" si="5">MAX(J7:AO7)</f>
        <v>23.691699604743082</v>
      </c>
      <c r="G7" s="20" t="e">
        <f t="shared" ca="1" si="2"/>
        <v>#DIV/0!</v>
      </c>
      <c r="H7" s="32" t="e">
        <f t="shared" ref="H7:H80" ca="1" si="6">ABS(G7/E7)</f>
        <v>#DIV/0!</v>
      </c>
      <c r="I7" s="20" t="e">
        <f t="shared" ref="I7:I22" ca="1" si="7">(F7-D7)/G7</f>
        <v>#DIV/0!</v>
      </c>
      <c r="J7" s="26" t="str">
        <f t="shared" ref="J7:AO7" ca="1" si="8">IF(J$3*J$4,INDIRECT("R"&amp;($B$118+1+3*J$2+96*$B6)&amp;"C"&amp;($C$118+2),FALSE),"")</f>
        <v/>
      </c>
      <c r="K7" s="26" t="str">
        <f t="shared" ca="1" si="8"/>
        <v/>
      </c>
      <c r="L7" s="26" t="str">
        <f t="shared" ca="1" si="8"/>
        <v/>
      </c>
      <c r="M7" s="26" t="str">
        <f t="shared" ca="1" si="8"/>
        <v/>
      </c>
      <c r="N7" s="26">
        <f t="shared" ca="1" si="8"/>
        <v>23.691699604743082</v>
      </c>
      <c r="O7" s="26" t="str">
        <f t="shared" ca="1" si="8"/>
        <v/>
      </c>
      <c r="P7" s="26" t="str">
        <f t="shared" ca="1" si="8"/>
        <v/>
      </c>
      <c r="Q7" s="26" t="str">
        <f t="shared" ca="1" si="8"/>
        <v/>
      </c>
      <c r="R7" s="26" t="str">
        <f t="shared" ca="1" si="8"/>
        <v/>
      </c>
      <c r="S7" s="26" t="str">
        <f t="shared" ca="1" si="8"/>
        <v/>
      </c>
      <c r="T7" s="26" t="str">
        <f t="shared" ca="1" si="8"/>
        <v/>
      </c>
      <c r="U7" s="26" t="str">
        <f t="shared" ca="1" si="8"/>
        <v/>
      </c>
      <c r="V7" s="26" t="str">
        <f t="shared" ca="1" si="8"/>
        <v/>
      </c>
      <c r="W7" s="26" t="str">
        <f t="shared" ca="1" si="8"/>
        <v/>
      </c>
      <c r="X7" s="26" t="str">
        <f t="shared" ca="1" si="8"/>
        <v/>
      </c>
      <c r="Y7" s="26" t="str">
        <f t="shared" ca="1" si="8"/>
        <v/>
      </c>
      <c r="Z7" s="26" t="str">
        <f t="shared" ca="1" si="8"/>
        <v/>
      </c>
      <c r="AA7" s="26" t="str">
        <f t="shared" ca="1" si="8"/>
        <v/>
      </c>
      <c r="AB7" s="26" t="str">
        <f t="shared" ca="1" si="8"/>
        <v/>
      </c>
      <c r="AC7" s="26" t="str">
        <f t="shared" ca="1" si="8"/>
        <v/>
      </c>
      <c r="AD7" s="26" t="str">
        <f t="shared" ca="1" si="8"/>
        <v/>
      </c>
      <c r="AE7" s="26" t="str">
        <f t="shared" ca="1" si="8"/>
        <v/>
      </c>
      <c r="AF7" s="26" t="str">
        <f t="shared" ca="1" si="8"/>
        <v/>
      </c>
      <c r="AG7" s="26" t="str">
        <f t="shared" ca="1" si="8"/>
        <v/>
      </c>
      <c r="AH7" s="26" t="str">
        <f t="shared" ca="1" si="8"/>
        <v/>
      </c>
      <c r="AI7" s="26" t="str">
        <f t="shared" ca="1" si="8"/>
        <v/>
      </c>
      <c r="AJ7" s="26" t="str">
        <f t="shared" ca="1" si="8"/>
        <v/>
      </c>
      <c r="AK7" s="26" t="str">
        <f t="shared" ca="1" si="8"/>
        <v/>
      </c>
      <c r="AL7" s="26" t="str">
        <f t="shared" ca="1" si="8"/>
        <v/>
      </c>
      <c r="AM7" s="26" t="str">
        <f t="shared" ca="1" si="8"/>
        <v/>
      </c>
      <c r="AN7" s="26" t="str">
        <f t="shared" ca="1" si="8"/>
        <v/>
      </c>
      <c r="AO7" s="26" t="str">
        <f t="shared" ca="1" si="8"/>
        <v/>
      </c>
    </row>
    <row r="8" spans="1:41" s="27" customFormat="1">
      <c r="A8" s="83"/>
      <c r="B8" s="82"/>
      <c r="C8" s="27" t="str">
        <f>C52</f>
        <v>D65</v>
      </c>
      <c r="D8" s="27">
        <f t="shared" ca="1" si="4"/>
        <v>41.338078291814945</v>
      </c>
      <c r="E8" s="20">
        <f t="shared" ca="1" si="1"/>
        <v>41.338078291814945</v>
      </c>
      <c r="F8" s="27">
        <f t="shared" ca="1" si="5"/>
        <v>41.338078291814945</v>
      </c>
      <c r="G8" s="20" t="e">
        <f t="shared" ca="1" si="2"/>
        <v>#DIV/0!</v>
      </c>
      <c r="H8" s="32" t="e">
        <f t="shared" ca="1" si="6"/>
        <v>#DIV/0!</v>
      </c>
      <c r="I8" s="20" t="e">
        <f t="shared" ca="1" si="7"/>
        <v>#DIV/0!</v>
      </c>
      <c r="J8" s="26" t="str">
        <f t="shared" ref="J8:AO8" ca="1" si="9">IF(J$3*J$4,INDIRECT("R"&amp;($B$118+2+3*J$2+96*$B6)&amp;"C"&amp;($C$118+2),FALSE),"")</f>
        <v/>
      </c>
      <c r="K8" s="26" t="str">
        <f t="shared" ca="1" si="9"/>
        <v/>
      </c>
      <c r="L8" s="26" t="str">
        <f t="shared" ca="1" si="9"/>
        <v/>
      </c>
      <c r="M8" s="26" t="str">
        <f t="shared" ca="1" si="9"/>
        <v/>
      </c>
      <c r="N8" s="26">
        <f t="shared" ca="1" si="9"/>
        <v>41.338078291814945</v>
      </c>
      <c r="O8" s="26" t="str">
        <f t="shared" ca="1" si="9"/>
        <v/>
      </c>
      <c r="P8" s="26" t="str">
        <f t="shared" ca="1" si="9"/>
        <v/>
      </c>
      <c r="Q8" s="26" t="str">
        <f t="shared" ca="1" si="9"/>
        <v/>
      </c>
      <c r="R8" s="26" t="str">
        <f t="shared" ca="1" si="9"/>
        <v/>
      </c>
      <c r="S8" s="26" t="str">
        <f t="shared" ca="1" si="9"/>
        <v/>
      </c>
      <c r="T8" s="26" t="str">
        <f t="shared" ca="1" si="9"/>
        <v/>
      </c>
      <c r="U8" s="26" t="str">
        <f t="shared" ca="1" si="9"/>
        <v/>
      </c>
      <c r="V8" s="26" t="str">
        <f t="shared" ca="1" si="9"/>
        <v/>
      </c>
      <c r="W8" s="26" t="str">
        <f t="shared" ca="1" si="9"/>
        <v/>
      </c>
      <c r="X8" s="26" t="str">
        <f t="shared" ca="1" si="9"/>
        <v/>
      </c>
      <c r="Y8" s="26" t="str">
        <f t="shared" ca="1" si="9"/>
        <v/>
      </c>
      <c r="Z8" s="26" t="str">
        <f t="shared" ca="1" si="9"/>
        <v/>
      </c>
      <c r="AA8" s="26" t="str">
        <f t="shared" ca="1" si="9"/>
        <v/>
      </c>
      <c r="AB8" s="26" t="str">
        <f t="shared" ca="1" si="9"/>
        <v/>
      </c>
      <c r="AC8" s="26" t="str">
        <f t="shared" ca="1" si="9"/>
        <v/>
      </c>
      <c r="AD8" s="26" t="str">
        <f t="shared" ca="1" si="9"/>
        <v/>
      </c>
      <c r="AE8" s="26" t="str">
        <f t="shared" ca="1" si="9"/>
        <v/>
      </c>
      <c r="AF8" s="26" t="str">
        <f t="shared" ca="1" si="9"/>
        <v/>
      </c>
      <c r="AG8" s="26" t="str">
        <f t="shared" ca="1" si="9"/>
        <v/>
      </c>
      <c r="AH8" s="26" t="str">
        <f t="shared" ca="1" si="9"/>
        <v/>
      </c>
      <c r="AI8" s="26" t="str">
        <f t="shared" ca="1" si="9"/>
        <v/>
      </c>
      <c r="AJ8" s="26" t="str">
        <f t="shared" ca="1" si="9"/>
        <v/>
      </c>
      <c r="AK8" s="26" t="str">
        <f t="shared" ca="1" si="9"/>
        <v/>
      </c>
      <c r="AL8" s="26" t="str">
        <f t="shared" ca="1" si="9"/>
        <v/>
      </c>
      <c r="AM8" s="26" t="str">
        <f t="shared" ca="1" si="9"/>
        <v/>
      </c>
      <c r="AN8" s="26" t="str">
        <f t="shared" ca="1" si="9"/>
        <v/>
      </c>
      <c r="AO8" s="26" t="str">
        <f t="shared" ca="1" si="9"/>
        <v/>
      </c>
    </row>
    <row r="9" spans="1:41" s="27" customFormat="1">
      <c r="A9" s="83"/>
      <c r="B9" s="82">
        <f>B6+1</f>
        <v>1</v>
      </c>
      <c r="C9" s="27" t="str">
        <f t="shared" ref="C9:C17" si="10">C53</f>
        <v>A</v>
      </c>
      <c r="D9" s="27">
        <f t="shared" ca="1" si="4"/>
        <v>39.515738498789347</v>
      </c>
      <c r="E9" s="20">
        <f t="shared" ca="1" si="1"/>
        <v>39.515738498789347</v>
      </c>
      <c r="F9" s="27">
        <f t="shared" ca="1" si="5"/>
        <v>39.515738498789347</v>
      </c>
      <c r="G9" s="20" t="e">
        <f t="shared" ca="1" si="2"/>
        <v>#DIV/0!</v>
      </c>
      <c r="H9" s="32" t="e">
        <f t="shared" ca="1" si="6"/>
        <v>#DIV/0!</v>
      </c>
      <c r="I9" s="20" t="e">
        <f t="shared" ca="1" si="7"/>
        <v>#DIV/0!</v>
      </c>
      <c r="J9" s="26" t="str">
        <f t="shared" ref="J9:AO9" ca="1" si="11">IF(J$3*J$4,INDIRECT("R"&amp;($B$118+0+3*J$2+96*$B9)&amp;"C"&amp;($C$118+2),FALSE),"")</f>
        <v/>
      </c>
      <c r="K9" s="26" t="str">
        <f t="shared" ca="1" si="11"/>
        <v/>
      </c>
      <c r="L9" s="26" t="str">
        <f t="shared" ca="1" si="11"/>
        <v/>
      </c>
      <c r="M9" s="26" t="str">
        <f t="shared" ca="1" si="11"/>
        <v/>
      </c>
      <c r="N9" s="26">
        <f t="shared" ca="1" si="11"/>
        <v>39.515738498789347</v>
      </c>
      <c r="O9" s="26" t="str">
        <f t="shared" ca="1" si="11"/>
        <v/>
      </c>
      <c r="P9" s="26" t="str">
        <f t="shared" ca="1" si="11"/>
        <v/>
      </c>
      <c r="Q9" s="26" t="str">
        <f t="shared" ca="1" si="11"/>
        <v/>
      </c>
      <c r="R9" s="26" t="str">
        <f t="shared" ca="1" si="11"/>
        <v/>
      </c>
      <c r="S9" s="26" t="str">
        <f t="shared" ca="1" si="11"/>
        <v/>
      </c>
      <c r="T9" s="26" t="str">
        <f t="shared" ca="1" si="11"/>
        <v/>
      </c>
      <c r="U9" s="26" t="str">
        <f t="shared" ca="1" si="11"/>
        <v/>
      </c>
      <c r="V9" s="26" t="str">
        <f t="shared" ca="1" si="11"/>
        <v/>
      </c>
      <c r="W9" s="26" t="str">
        <f t="shared" ca="1" si="11"/>
        <v/>
      </c>
      <c r="X9" s="26" t="str">
        <f t="shared" ca="1" si="11"/>
        <v/>
      </c>
      <c r="Y9" s="26" t="str">
        <f t="shared" ca="1" si="11"/>
        <v/>
      </c>
      <c r="Z9" s="26" t="str">
        <f t="shared" ca="1" si="11"/>
        <v/>
      </c>
      <c r="AA9" s="26" t="str">
        <f t="shared" ca="1" si="11"/>
        <v/>
      </c>
      <c r="AB9" s="26" t="str">
        <f t="shared" ca="1" si="11"/>
        <v/>
      </c>
      <c r="AC9" s="26" t="str">
        <f t="shared" ca="1" si="11"/>
        <v/>
      </c>
      <c r="AD9" s="26" t="str">
        <f t="shared" ca="1" si="11"/>
        <v/>
      </c>
      <c r="AE9" s="26" t="str">
        <f t="shared" ca="1" si="11"/>
        <v/>
      </c>
      <c r="AF9" s="26" t="str">
        <f t="shared" ca="1" si="11"/>
        <v/>
      </c>
      <c r="AG9" s="26" t="str">
        <f t="shared" ca="1" si="11"/>
        <v/>
      </c>
      <c r="AH9" s="26" t="str">
        <f t="shared" ca="1" si="11"/>
        <v/>
      </c>
      <c r="AI9" s="26" t="str">
        <f t="shared" ca="1" si="11"/>
        <v/>
      </c>
      <c r="AJ9" s="26" t="str">
        <f t="shared" ca="1" si="11"/>
        <v/>
      </c>
      <c r="AK9" s="26" t="str">
        <f t="shared" ca="1" si="11"/>
        <v/>
      </c>
      <c r="AL9" s="26" t="str">
        <f t="shared" ca="1" si="11"/>
        <v/>
      </c>
      <c r="AM9" s="26" t="str">
        <f t="shared" ca="1" si="11"/>
        <v/>
      </c>
      <c r="AN9" s="26" t="str">
        <f t="shared" ca="1" si="11"/>
        <v/>
      </c>
      <c r="AO9" s="26" t="str">
        <f t="shared" ca="1" si="11"/>
        <v/>
      </c>
    </row>
    <row r="10" spans="1:41" s="27" customFormat="1">
      <c r="A10" s="83"/>
      <c r="B10" s="82"/>
      <c r="C10" s="27" t="str">
        <f t="shared" si="10"/>
        <v>CWF</v>
      </c>
      <c r="D10" s="27">
        <f t="shared" ca="1" si="4"/>
        <v>22.885375494071145</v>
      </c>
      <c r="E10" s="20">
        <f t="shared" ca="1" si="1"/>
        <v>22.885375494071145</v>
      </c>
      <c r="F10" s="27">
        <f t="shared" ca="1" si="5"/>
        <v>22.885375494071145</v>
      </c>
      <c r="G10" s="20" t="e">
        <f t="shared" ca="1" si="2"/>
        <v>#DIV/0!</v>
      </c>
      <c r="H10" s="32" t="e">
        <f t="shared" ca="1" si="6"/>
        <v>#DIV/0!</v>
      </c>
      <c r="I10" s="20" t="e">
        <f t="shared" ca="1" si="7"/>
        <v>#DIV/0!</v>
      </c>
      <c r="J10" s="26" t="str">
        <f t="shared" ref="J10:AO10" ca="1" si="12">IF(J$3*J$4,INDIRECT("R"&amp;($B$118+1+3*J$2+96*$B9)&amp;"C"&amp;($C$118+2),FALSE),"")</f>
        <v/>
      </c>
      <c r="K10" s="26" t="str">
        <f t="shared" ca="1" si="12"/>
        <v/>
      </c>
      <c r="L10" s="26" t="str">
        <f t="shared" ca="1" si="12"/>
        <v/>
      </c>
      <c r="M10" s="26" t="str">
        <f t="shared" ca="1" si="12"/>
        <v/>
      </c>
      <c r="N10" s="26">
        <f t="shared" ca="1" si="12"/>
        <v>22.885375494071145</v>
      </c>
      <c r="O10" s="26" t="str">
        <f t="shared" ca="1" si="12"/>
        <v/>
      </c>
      <c r="P10" s="26" t="str">
        <f t="shared" ca="1" si="12"/>
        <v/>
      </c>
      <c r="Q10" s="26" t="str">
        <f t="shared" ca="1" si="12"/>
        <v/>
      </c>
      <c r="R10" s="26" t="str">
        <f t="shared" ca="1" si="12"/>
        <v/>
      </c>
      <c r="S10" s="26" t="str">
        <f t="shared" ca="1" si="12"/>
        <v/>
      </c>
      <c r="T10" s="26" t="str">
        <f t="shared" ca="1" si="12"/>
        <v/>
      </c>
      <c r="U10" s="26" t="str">
        <f t="shared" ca="1" si="12"/>
        <v/>
      </c>
      <c r="V10" s="26" t="str">
        <f t="shared" ca="1" si="12"/>
        <v/>
      </c>
      <c r="W10" s="26" t="str">
        <f t="shared" ca="1" si="12"/>
        <v/>
      </c>
      <c r="X10" s="26" t="str">
        <f t="shared" ca="1" si="12"/>
        <v/>
      </c>
      <c r="Y10" s="26" t="str">
        <f t="shared" ca="1" si="12"/>
        <v/>
      </c>
      <c r="Z10" s="26" t="str">
        <f t="shared" ca="1" si="12"/>
        <v/>
      </c>
      <c r="AA10" s="26" t="str">
        <f t="shared" ca="1" si="12"/>
        <v/>
      </c>
      <c r="AB10" s="26" t="str">
        <f t="shared" ca="1" si="12"/>
        <v/>
      </c>
      <c r="AC10" s="26" t="str">
        <f t="shared" ca="1" si="12"/>
        <v/>
      </c>
      <c r="AD10" s="26" t="str">
        <f t="shared" ca="1" si="12"/>
        <v/>
      </c>
      <c r="AE10" s="26" t="str">
        <f t="shared" ca="1" si="12"/>
        <v/>
      </c>
      <c r="AF10" s="26" t="str">
        <f t="shared" ca="1" si="12"/>
        <v/>
      </c>
      <c r="AG10" s="26" t="str">
        <f t="shared" ca="1" si="12"/>
        <v/>
      </c>
      <c r="AH10" s="26" t="str">
        <f t="shared" ca="1" si="12"/>
        <v/>
      </c>
      <c r="AI10" s="26" t="str">
        <f t="shared" ca="1" si="12"/>
        <v/>
      </c>
      <c r="AJ10" s="26" t="str">
        <f t="shared" ca="1" si="12"/>
        <v/>
      </c>
      <c r="AK10" s="26" t="str">
        <f t="shared" ca="1" si="12"/>
        <v/>
      </c>
      <c r="AL10" s="26" t="str">
        <f t="shared" ca="1" si="12"/>
        <v/>
      </c>
      <c r="AM10" s="26" t="str">
        <f t="shared" ca="1" si="12"/>
        <v/>
      </c>
      <c r="AN10" s="26" t="str">
        <f t="shared" ca="1" si="12"/>
        <v/>
      </c>
      <c r="AO10" s="26" t="str">
        <f t="shared" ca="1" si="12"/>
        <v/>
      </c>
    </row>
    <row r="11" spans="1:41" s="27" customFormat="1">
      <c r="A11" s="83"/>
      <c r="B11" s="82"/>
      <c r="C11" s="27" t="str">
        <f t="shared" si="10"/>
        <v>D65</v>
      </c>
      <c r="D11" s="27">
        <f t="shared" ca="1" si="4"/>
        <v>40.09964412811388</v>
      </c>
      <c r="E11" s="20">
        <f t="shared" ca="1" si="1"/>
        <v>40.09964412811388</v>
      </c>
      <c r="F11" s="27">
        <f t="shared" ca="1" si="5"/>
        <v>40.09964412811388</v>
      </c>
      <c r="G11" s="20" t="e">
        <f t="shared" ca="1" si="2"/>
        <v>#DIV/0!</v>
      </c>
      <c r="H11" s="32" t="e">
        <f t="shared" ca="1" si="6"/>
        <v>#DIV/0!</v>
      </c>
      <c r="I11" s="20" t="e">
        <f t="shared" ca="1" si="7"/>
        <v>#DIV/0!</v>
      </c>
      <c r="J11" s="26" t="str">
        <f t="shared" ref="J11:AO11" ca="1" si="13">IF(J$3*J$4,INDIRECT("R"&amp;($B$118+2+3*J$2+96*$B9)&amp;"C"&amp;($C$118+2),FALSE),"")</f>
        <v/>
      </c>
      <c r="K11" s="26" t="str">
        <f t="shared" ca="1" si="13"/>
        <v/>
      </c>
      <c r="L11" s="26" t="str">
        <f t="shared" ca="1" si="13"/>
        <v/>
      </c>
      <c r="M11" s="26" t="str">
        <f t="shared" ca="1" si="13"/>
        <v/>
      </c>
      <c r="N11" s="26">
        <f t="shared" ca="1" si="13"/>
        <v>40.09964412811388</v>
      </c>
      <c r="O11" s="26" t="str">
        <f t="shared" ca="1" si="13"/>
        <v/>
      </c>
      <c r="P11" s="26" t="str">
        <f t="shared" ca="1" si="13"/>
        <v/>
      </c>
      <c r="Q11" s="26" t="str">
        <f t="shared" ca="1" si="13"/>
        <v/>
      </c>
      <c r="R11" s="26" t="str">
        <f t="shared" ca="1" si="13"/>
        <v/>
      </c>
      <c r="S11" s="26" t="str">
        <f t="shared" ca="1" si="13"/>
        <v/>
      </c>
      <c r="T11" s="26" t="str">
        <f t="shared" ca="1" si="13"/>
        <v/>
      </c>
      <c r="U11" s="26" t="str">
        <f t="shared" ca="1" si="13"/>
        <v/>
      </c>
      <c r="V11" s="26" t="str">
        <f t="shared" ca="1" si="13"/>
        <v/>
      </c>
      <c r="W11" s="26" t="str">
        <f t="shared" ca="1" si="13"/>
        <v/>
      </c>
      <c r="X11" s="26" t="str">
        <f t="shared" ca="1" si="13"/>
        <v/>
      </c>
      <c r="Y11" s="26" t="str">
        <f t="shared" ca="1" si="13"/>
        <v/>
      </c>
      <c r="Z11" s="26" t="str">
        <f t="shared" ca="1" si="13"/>
        <v/>
      </c>
      <c r="AA11" s="26" t="str">
        <f t="shared" ca="1" si="13"/>
        <v/>
      </c>
      <c r="AB11" s="26" t="str">
        <f t="shared" ca="1" si="13"/>
        <v/>
      </c>
      <c r="AC11" s="26" t="str">
        <f t="shared" ca="1" si="13"/>
        <v/>
      </c>
      <c r="AD11" s="26" t="str">
        <f t="shared" ca="1" si="13"/>
        <v/>
      </c>
      <c r="AE11" s="26" t="str">
        <f t="shared" ca="1" si="13"/>
        <v/>
      </c>
      <c r="AF11" s="26" t="str">
        <f t="shared" ca="1" si="13"/>
        <v/>
      </c>
      <c r="AG11" s="26" t="str">
        <f t="shared" ca="1" si="13"/>
        <v/>
      </c>
      <c r="AH11" s="26" t="str">
        <f t="shared" ca="1" si="13"/>
        <v/>
      </c>
      <c r="AI11" s="26" t="str">
        <f t="shared" ca="1" si="13"/>
        <v/>
      </c>
      <c r="AJ11" s="26" t="str">
        <f t="shared" ca="1" si="13"/>
        <v/>
      </c>
      <c r="AK11" s="26" t="str">
        <f t="shared" ca="1" si="13"/>
        <v/>
      </c>
      <c r="AL11" s="26" t="str">
        <f t="shared" ca="1" si="13"/>
        <v/>
      </c>
      <c r="AM11" s="26" t="str">
        <f t="shared" ca="1" si="13"/>
        <v/>
      </c>
      <c r="AN11" s="26" t="str">
        <f t="shared" ca="1" si="13"/>
        <v/>
      </c>
      <c r="AO11" s="26" t="str">
        <f t="shared" ca="1" si="13"/>
        <v/>
      </c>
    </row>
    <row r="12" spans="1:41" s="27" customFormat="1">
      <c r="A12" s="83"/>
      <c r="B12" s="82">
        <f>B9+1</f>
        <v>2</v>
      </c>
      <c r="C12" s="27" t="str">
        <f t="shared" si="10"/>
        <v>A</v>
      </c>
      <c r="D12" s="27">
        <f t="shared" ca="1" si="4"/>
        <v>11.665859564164649</v>
      </c>
      <c r="E12" s="20">
        <f t="shared" ca="1" si="1"/>
        <v>11.665859564164649</v>
      </c>
      <c r="F12" s="27">
        <f t="shared" ca="1" si="5"/>
        <v>11.665859564164649</v>
      </c>
      <c r="G12" s="20" t="e">
        <f t="shared" ca="1" si="2"/>
        <v>#DIV/0!</v>
      </c>
      <c r="H12" s="32" t="e">
        <f t="shared" ca="1" si="6"/>
        <v>#DIV/0!</v>
      </c>
      <c r="I12" s="20" t="e">
        <f t="shared" ca="1" si="7"/>
        <v>#DIV/0!</v>
      </c>
      <c r="J12" s="26" t="str">
        <f t="shared" ref="J12:AO12" ca="1" si="14">IF(J$3*J$4,INDIRECT("R"&amp;($B$118+0+3*J$2+96*$B12)&amp;"C"&amp;($C$118+2),FALSE),"")</f>
        <v/>
      </c>
      <c r="K12" s="26" t="str">
        <f t="shared" ca="1" si="14"/>
        <v/>
      </c>
      <c r="L12" s="26" t="str">
        <f t="shared" ca="1" si="14"/>
        <v/>
      </c>
      <c r="M12" s="26" t="str">
        <f t="shared" ca="1" si="14"/>
        <v/>
      </c>
      <c r="N12" s="26">
        <f t="shared" ca="1" si="14"/>
        <v>11.665859564164649</v>
      </c>
      <c r="O12" s="26" t="str">
        <f t="shared" ca="1" si="14"/>
        <v/>
      </c>
      <c r="P12" s="26" t="str">
        <f t="shared" ca="1" si="14"/>
        <v/>
      </c>
      <c r="Q12" s="26" t="str">
        <f t="shared" ca="1" si="14"/>
        <v/>
      </c>
      <c r="R12" s="26" t="str">
        <f t="shared" ca="1" si="14"/>
        <v/>
      </c>
      <c r="S12" s="26" t="str">
        <f t="shared" ca="1" si="14"/>
        <v/>
      </c>
      <c r="T12" s="26" t="str">
        <f t="shared" ca="1" si="14"/>
        <v/>
      </c>
      <c r="U12" s="26" t="str">
        <f t="shared" ca="1" si="14"/>
        <v/>
      </c>
      <c r="V12" s="26" t="str">
        <f t="shared" ca="1" si="14"/>
        <v/>
      </c>
      <c r="W12" s="26" t="str">
        <f t="shared" ca="1" si="14"/>
        <v/>
      </c>
      <c r="X12" s="26" t="str">
        <f t="shared" ca="1" si="14"/>
        <v/>
      </c>
      <c r="Y12" s="26" t="str">
        <f t="shared" ca="1" si="14"/>
        <v/>
      </c>
      <c r="Z12" s="26" t="str">
        <f t="shared" ca="1" si="14"/>
        <v/>
      </c>
      <c r="AA12" s="26" t="str">
        <f t="shared" ca="1" si="14"/>
        <v/>
      </c>
      <c r="AB12" s="26" t="str">
        <f t="shared" ca="1" si="14"/>
        <v/>
      </c>
      <c r="AC12" s="26" t="str">
        <f t="shared" ca="1" si="14"/>
        <v/>
      </c>
      <c r="AD12" s="26" t="str">
        <f t="shared" ca="1" si="14"/>
        <v/>
      </c>
      <c r="AE12" s="26" t="str">
        <f t="shared" ca="1" si="14"/>
        <v/>
      </c>
      <c r="AF12" s="26" t="str">
        <f t="shared" ca="1" si="14"/>
        <v/>
      </c>
      <c r="AG12" s="26" t="str">
        <f t="shared" ca="1" si="14"/>
        <v/>
      </c>
      <c r="AH12" s="26" t="str">
        <f t="shared" ca="1" si="14"/>
        <v/>
      </c>
      <c r="AI12" s="26" t="str">
        <f t="shared" ca="1" si="14"/>
        <v/>
      </c>
      <c r="AJ12" s="26" t="str">
        <f t="shared" ca="1" si="14"/>
        <v/>
      </c>
      <c r="AK12" s="26" t="str">
        <f t="shared" ca="1" si="14"/>
        <v/>
      </c>
      <c r="AL12" s="26" t="str">
        <f t="shared" ca="1" si="14"/>
        <v/>
      </c>
      <c r="AM12" s="26" t="str">
        <f t="shared" ca="1" si="14"/>
        <v/>
      </c>
      <c r="AN12" s="26" t="str">
        <f t="shared" ca="1" si="14"/>
        <v/>
      </c>
      <c r="AO12" s="26" t="str">
        <f t="shared" ca="1" si="14"/>
        <v/>
      </c>
    </row>
    <row r="13" spans="1:41" s="27" customFormat="1">
      <c r="A13" s="83"/>
      <c r="B13" s="82"/>
      <c r="C13" s="27" t="str">
        <f t="shared" si="10"/>
        <v>CWF</v>
      </c>
      <c r="D13" s="27">
        <f t="shared" ca="1" si="4"/>
        <v>26.300395256916996</v>
      </c>
      <c r="E13" s="20">
        <f t="shared" ca="1" si="1"/>
        <v>26.300395256916996</v>
      </c>
      <c r="F13" s="27">
        <f t="shared" ca="1" si="5"/>
        <v>26.300395256916996</v>
      </c>
      <c r="G13" s="20" t="e">
        <f t="shared" ca="1" si="2"/>
        <v>#DIV/0!</v>
      </c>
      <c r="H13" s="32" t="e">
        <f t="shared" ca="1" si="6"/>
        <v>#DIV/0!</v>
      </c>
      <c r="I13" s="20" t="e">
        <f t="shared" ca="1" si="7"/>
        <v>#DIV/0!</v>
      </c>
      <c r="J13" s="26" t="str">
        <f t="shared" ref="J13:AO13" ca="1" si="15">IF(J$3*J$4,INDIRECT("R"&amp;($B$118+1+3*J$2+96*$B12)&amp;"C"&amp;($C$118+2),FALSE),"")</f>
        <v/>
      </c>
      <c r="K13" s="26" t="str">
        <f t="shared" ca="1" si="15"/>
        <v/>
      </c>
      <c r="L13" s="26" t="str">
        <f t="shared" ca="1" si="15"/>
        <v/>
      </c>
      <c r="M13" s="26" t="str">
        <f t="shared" ca="1" si="15"/>
        <v/>
      </c>
      <c r="N13" s="26">
        <f t="shared" ca="1" si="15"/>
        <v>26.300395256916996</v>
      </c>
      <c r="O13" s="26" t="str">
        <f t="shared" ca="1" si="15"/>
        <v/>
      </c>
      <c r="P13" s="26" t="str">
        <f t="shared" ca="1" si="15"/>
        <v/>
      </c>
      <c r="Q13" s="26" t="str">
        <f t="shared" ca="1" si="15"/>
        <v/>
      </c>
      <c r="R13" s="26" t="str">
        <f t="shared" ca="1" si="15"/>
        <v/>
      </c>
      <c r="S13" s="26" t="str">
        <f t="shared" ca="1" si="15"/>
        <v/>
      </c>
      <c r="T13" s="26" t="str">
        <f t="shared" ca="1" si="15"/>
        <v/>
      </c>
      <c r="U13" s="26" t="str">
        <f t="shared" ca="1" si="15"/>
        <v/>
      </c>
      <c r="V13" s="26" t="str">
        <f t="shared" ca="1" si="15"/>
        <v/>
      </c>
      <c r="W13" s="26" t="str">
        <f t="shared" ca="1" si="15"/>
        <v/>
      </c>
      <c r="X13" s="26" t="str">
        <f t="shared" ca="1" si="15"/>
        <v/>
      </c>
      <c r="Y13" s="26" t="str">
        <f t="shared" ca="1" si="15"/>
        <v/>
      </c>
      <c r="Z13" s="26" t="str">
        <f t="shared" ca="1" si="15"/>
        <v/>
      </c>
      <c r="AA13" s="26" t="str">
        <f t="shared" ca="1" si="15"/>
        <v/>
      </c>
      <c r="AB13" s="26" t="str">
        <f t="shared" ca="1" si="15"/>
        <v/>
      </c>
      <c r="AC13" s="26" t="str">
        <f t="shared" ca="1" si="15"/>
        <v/>
      </c>
      <c r="AD13" s="26" t="str">
        <f t="shared" ca="1" si="15"/>
        <v/>
      </c>
      <c r="AE13" s="26" t="str">
        <f t="shared" ca="1" si="15"/>
        <v/>
      </c>
      <c r="AF13" s="26" t="str">
        <f t="shared" ca="1" si="15"/>
        <v/>
      </c>
      <c r="AG13" s="26" t="str">
        <f t="shared" ca="1" si="15"/>
        <v/>
      </c>
      <c r="AH13" s="26" t="str">
        <f t="shared" ca="1" si="15"/>
        <v/>
      </c>
      <c r="AI13" s="26" t="str">
        <f t="shared" ca="1" si="15"/>
        <v/>
      </c>
      <c r="AJ13" s="26" t="str">
        <f t="shared" ca="1" si="15"/>
        <v/>
      </c>
      <c r="AK13" s="26" t="str">
        <f t="shared" ca="1" si="15"/>
        <v/>
      </c>
      <c r="AL13" s="26" t="str">
        <f t="shared" ca="1" si="15"/>
        <v/>
      </c>
      <c r="AM13" s="26" t="str">
        <f t="shared" ca="1" si="15"/>
        <v/>
      </c>
      <c r="AN13" s="26" t="str">
        <f t="shared" ca="1" si="15"/>
        <v/>
      </c>
      <c r="AO13" s="26" t="str">
        <f t="shared" ca="1" si="15"/>
        <v/>
      </c>
    </row>
    <row r="14" spans="1:41" s="27" customFormat="1">
      <c r="A14" s="83"/>
      <c r="B14" s="82"/>
      <c r="C14" s="27" t="str">
        <f t="shared" si="10"/>
        <v>D65</v>
      </c>
      <c r="D14" s="27">
        <f t="shared" ca="1" si="4"/>
        <v>31.47330960854093</v>
      </c>
      <c r="E14" s="20">
        <f t="shared" ca="1" si="1"/>
        <v>31.47330960854093</v>
      </c>
      <c r="F14" s="27">
        <f t="shared" ca="1" si="5"/>
        <v>31.47330960854093</v>
      </c>
      <c r="G14" s="20" t="e">
        <f t="shared" ca="1" si="2"/>
        <v>#DIV/0!</v>
      </c>
      <c r="H14" s="32" t="e">
        <f t="shared" ca="1" si="6"/>
        <v>#DIV/0!</v>
      </c>
      <c r="I14" s="20" t="e">
        <f t="shared" ca="1" si="7"/>
        <v>#DIV/0!</v>
      </c>
      <c r="J14" s="26" t="str">
        <f t="shared" ref="J14:AO14" ca="1" si="16">IF(J$3*J$4,INDIRECT("R"&amp;($B$118+2+3*J$2+96*$B12)&amp;"C"&amp;($C$118+2),FALSE),"")</f>
        <v/>
      </c>
      <c r="K14" s="26" t="str">
        <f t="shared" ca="1" si="16"/>
        <v/>
      </c>
      <c r="L14" s="26" t="str">
        <f t="shared" ca="1" si="16"/>
        <v/>
      </c>
      <c r="M14" s="26" t="str">
        <f t="shared" ca="1" si="16"/>
        <v/>
      </c>
      <c r="N14" s="26">
        <f t="shared" ca="1" si="16"/>
        <v>31.47330960854093</v>
      </c>
      <c r="O14" s="26" t="str">
        <f t="shared" ca="1" si="16"/>
        <v/>
      </c>
      <c r="P14" s="26" t="str">
        <f t="shared" ca="1" si="16"/>
        <v/>
      </c>
      <c r="Q14" s="26" t="str">
        <f t="shared" ca="1" si="16"/>
        <v/>
      </c>
      <c r="R14" s="26" t="str">
        <f t="shared" ca="1" si="16"/>
        <v/>
      </c>
      <c r="S14" s="26" t="str">
        <f t="shared" ca="1" si="16"/>
        <v/>
      </c>
      <c r="T14" s="26" t="str">
        <f t="shared" ca="1" si="16"/>
        <v/>
      </c>
      <c r="U14" s="26" t="str">
        <f t="shared" ca="1" si="16"/>
        <v/>
      </c>
      <c r="V14" s="26" t="str">
        <f t="shared" ca="1" si="16"/>
        <v/>
      </c>
      <c r="W14" s="26" t="str">
        <f t="shared" ca="1" si="16"/>
        <v/>
      </c>
      <c r="X14" s="26" t="str">
        <f t="shared" ca="1" si="16"/>
        <v/>
      </c>
      <c r="Y14" s="26" t="str">
        <f t="shared" ca="1" si="16"/>
        <v/>
      </c>
      <c r="Z14" s="26" t="str">
        <f t="shared" ca="1" si="16"/>
        <v/>
      </c>
      <c r="AA14" s="26" t="str">
        <f t="shared" ca="1" si="16"/>
        <v/>
      </c>
      <c r="AB14" s="26" t="str">
        <f t="shared" ca="1" si="16"/>
        <v/>
      </c>
      <c r="AC14" s="26" t="str">
        <f t="shared" ca="1" si="16"/>
        <v/>
      </c>
      <c r="AD14" s="26" t="str">
        <f t="shared" ca="1" si="16"/>
        <v/>
      </c>
      <c r="AE14" s="26" t="str">
        <f t="shared" ca="1" si="16"/>
        <v/>
      </c>
      <c r="AF14" s="26" t="str">
        <f t="shared" ca="1" si="16"/>
        <v/>
      </c>
      <c r="AG14" s="26" t="str">
        <f t="shared" ca="1" si="16"/>
        <v/>
      </c>
      <c r="AH14" s="26" t="str">
        <f t="shared" ca="1" si="16"/>
        <v/>
      </c>
      <c r="AI14" s="26" t="str">
        <f t="shared" ca="1" si="16"/>
        <v/>
      </c>
      <c r="AJ14" s="26" t="str">
        <f t="shared" ca="1" si="16"/>
        <v/>
      </c>
      <c r="AK14" s="26" t="str">
        <f t="shared" ca="1" si="16"/>
        <v/>
      </c>
      <c r="AL14" s="26" t="str">
        <f t="shared" ca="1" si="16"/>
        <v/>
      </c>
      <c r="AM14" s="26" t="str">
        <f t="shared" ca="1" si="16"/>
        <v/>
      </c>
      <c r="AN14" s="26" t="str">
        <f t="shared" ca="1" si="16"/>
        <v/>
      </c>
      <c r="AO14" s="26" t="str">
        <f t="shared" ca="1" si="16"/>
        <v/>
      </c>
    </row>
    <row r="15" spans="1:41" s="27" customFormat="1">
      <c r="A15" s="83"/>
      <c r="B15" s="82">
        <f>B12+1</f>
        <v>3</v>
      </c>
      <c r="C15" s="27" t="str">
        <f t="shared" si="10"/>
        <v>A</v>
      </c>
      <c r="D15" s="27">
        <f t="shared" ca="1" si="4"/>
        <v>11.215496368038743</v>
      </c>
      <c r="E15" s="20">
        <f t="shared" ca="1" si="1"/>
        <v>11.215496368038743</v>
      </c>
      <c r="F15" s="27">
        <f t="shared" ca="1" si="5"/>
        <v>11.215496368038743</v>
      </c>
      <c r="G15" s="20" t="e">
        <f t="shared" ca="1" si="2"/>
        <v>#DIV/0!</v>
      </c>
      <c r="H15" s="32" t="e">
        <f t="shared" ca="1" si="6"/>
        <v>#DIV/0!</v>
      </c>
      <c r="I15" s="20" t="e">
        <f t="shared" ca="1" si="7"/>
        <v>#DIV/0!</v>
      </c>
      <c r="J15" s="26" t="str">
        <f t="shared" ref="J15:AO15" ca="1" si="17">IF(J$3*J$4,INDIRECT("R"&amp;($B$118+0+3*J$2+96*$B15)&amp;"C"&amp;($C$118+2),FALSE),"")</f>
        <v/>
      </c>
      <c r="K15" s="26" t="str">
        <f t="shared" ca="1" si="17"/>
        <v/>
      </c>
      <c r="L15" s="26" t="str">
        <f t="shared" ca="1" si="17"/>
        <v/>
      </c>
      <c r="M15" s="26" t="str">
        <f t="shared" ca="1" si="17"/>
        <v/>
      </c>
      <c r="N15" s="26">
        <f t="shared" ca="1" si="17"/>
        <v>11.215496368038743</v>
      </c>
      <c r="O15" s="26" t="str">
        <f t="shared" ca="1" si="17"/>
        <v/>
      </c>
      <c r="P15" s="26" t="str">
        <f t="shared" ca="1" si="17"/>
        <v/>
      </c>
      <c r="Q15" s="26" t="str">
        <f t="shared" ca="1" si="17"/>
        <v/>
      </c>
      <c r="R15" s="26" t="str">
        <f t="shared" ca="1" si="17"/>
        <v/>
      </c>
      <c r="S15" s="26" t="str">
        <f t="shared" ca="1" si="17"/>
        <v/>
      </c>
      <c r="T15" s="26" t="str">
        <f t="shared" ca="1" si="17"/>
        <v/>
      </c>
      <c r="U15" s="26" t="str">
        <f t="shared" ca="1" si="17"/>
        <v/>
      </c>
      <c r="V15" s="26" t="str">
        <f t="shared" ca="1" si="17"/>
        <v/>
      </c>
      <c r="W15" s="26" t="str">
        <f t="shared" ca="1" si="17"/>
        <v/>
      </c>
      <c r="X15" s="26" t="str">
        <f t="shared" ca="1" si="17"/>
        <v/>
      </c>
      <c r="Y15" s="26" t="str">
        <f t="shared" ca="1" si="17"/>
        <v/>
      </c>
      <c r="Z15" s="26" t="str">
        <f t="shared" ca="1" si="17"/>
        <v/>
      </c>
      <c r="AA15" s="26" t="str">
        <f t="shared" ca="1" si="17"/>
        <v/>
      </c>
      <c r="AB15" s="26" t="str">
        <f t="shared" ca="1" si="17"/>
        <v/>
      </c>
      <c r="AC15" s="26" t="str">
        <f t="shared" ca="1" si="17"/>
        <v/>
      </c>
      <c r="AD15" s="26" t="str">
        <f t="shared" ca="1" si="17"/>
        <v/>
      </c>
      <c r="AE15" s="26" t="str">
        <f t="shared" ca="1" si="17"/>
        <v/>
      </c>
      <c r="AF15" s="26" t="str">
        <f t="shared" ca="1" si="17"/>
        <v/>
      </c>
      <c r="AG15" s="26" t="str">
        <f t="shared" ca="1" si="17"/>
        <v/>
      </c>
      <c r="AH15" s="26" t="str">
        <f t="shared" ca="1" si="17"/>
        <v/>
      </c>
      <c r="AI15" s="26" t="str">
        <f t="shared" ca="1" si="17"/>
        <v/>
      </c>
      <c r="AJ15" s="26" t="str">
        <f t="shared" ca="1" si="17"/>
        <v/>
      </c>
      <c r="AK15" s="26" t="str">
        <f t="shared" ca="1" si="17"/>
        <v/>
      </c>
      <c r="AL15" s="26" t="str">
        <f t="shared" ca="1" si="17"/>
        <v/>
      </c>
      <c r="AM15" s="26" t="str">
        <f t="shared" ca="1" si="17"/>
        <v/>
      </c>
      <c r="AN15" s="26" t="str">
        <f t="shared" ca="1" si="17"/>
        <v/>
      </c>
      <c r="AO15" s="26" t="str">
        <f t="shared" ca="1" si="17"/>
        <v/>
      </c>
    </row>
    <row r="16" spans="1:41" s="27" customFormat="1">
      <c r="A16" s="83"/>
      <c r="B16" s="82"/>
      <c r="C16" s="27" t="str">
        <f t="shared" si="10"/>
        <v>CWF</v>
      </c>
      <c r="D16" s="27">
        <f t="shared" ca="1" si="4"/>
        <v>25.470355731225297</v>
      </c>
      <c r="E16" s="20">
        <f t="shared" ca="1" si="1"/>
        <v>25.470355731225297</v>
      </c>
      <c r="F16" s="27">
        <f t="shared" ca="1" si="5"/>
        <v>25.470355731225297</v>
      </c>
      <c r="G16" s="20" t="e">
        <f t="shared" ca="1" si="2"/>
        <v>#DIV/0!</v>
      </c>
      <c r="H16" s="32" t="e">
        <f t="shared" ca="1" si="6"/>
        <v>#DIV/0!</v>
      </c>
      <c r="I16" s="20" t="e">
        <f t="shared" ca="1" si="7"/>
        <v>#DIV/0!</v>
      </c>
      <c r="J16" s="26" t="str">
        <f t="shared" ref="J16:AO16" ca="1" si="18">IF(J$3*J$4,INDIRECT("R"&amp;($B$118+1+3*J$2+96*$B15)&amp;"C"&amp;($C$118+2),FALSE),"")</f>
        <v/>
      </c>
      <c r="K16" s="26" t="str">
        <f t="shared" ca="1" si="18"/>
        <v/>
      </c>
      <c r="L16" s="26" t="str">
        <f t="shared" ca="1" si="18"/>
        <v/>
      </c>
      <c r="M16" s="26" t="str">
        <f t="shared" ca="1" si="18"/>
        <v/>
      </c>
      <c r="N16" s="26">
        <f t="shared" ca="1" si="18"/>
        <v>25.470355731225297</v>
      </c>
      <c r="O16" s="26" t="str">
        <f t="shared" ca="1" si="18"/>
        <v/>
      </c>
      <c r="P16" s="26" t="str">
        <f t="shared" ca="1" si="18"/>
        <v/>
      </c>
      <c r="Q16" s="26" t="str">
        <f t="shared" ca="1" si="18"/>
        <v/>
      </c>
      <c r="R16" s="26" t="str">
        <f t="shared" ca="1" si="18"/>
        <v/>
      </c>
      <c r="S16" s="26" t="str">
        <f t="shared" ca="1" si="18"/>
        <v/>
      </c>
      <c r="T16" s="26" t="str">
        <f t="shared" ca="1" si="18"/>
        <v/>
      </c>
      <c r="U16" s="26" t="str">
        <f t="shared" ca="1" si="18"/>
        <v/>
      </c>
      <c r="V16" s="26" t="str">
        <f t="shared" ca="1" si="18"/>
        <v/>
      </c>
      <c r="W16" s="26" t="str">
        <f t="shared" ca="1" si="18"/>
        <v/>
      </c>
      <c r="X16" s="26" t="str">
        <f t="shared" ca="1" si="18"/>
        <v/>
      </c>
      <c r="Y16" s="26" t="str">
        <f t="shared" ca="1" si="18"/>
        <v/>
      </c>
      <c r="Z16" s="26" t="str">
        <f t="shared" ca="1" si="18"/>
        <v/>
      </c>
      <c r="AA16" s="26" t="str">
        <f t="shared" ca="1" si="18"/>
        <v/>
      </c>
      <c r="AB16" s="26" t="str">
        <f t="shared" ca="1" si="18"/>
        <v/>
      </c>
      <c r="AC16" s="26" t="str">
        <f t="shared" ca="1" si="18"/>
        <v/>
      </c>
      <c r="AD16" s="26" t="str">
        <f t="shared" ca="1" si="18"/>
        <v/>
      </c>
      <c r="AE16" s="26" t="str">
        <f t="shared" ca="1" si="18"/>
        <v/>
      </c>
      <c r="AF16" s="26" t="str">
        <f t="shared" ca="1" si="18"/>
        <v/>
      </c>
      <c r="AG16" s="26" t="str">
        <f t="shared" ca="1" si="18"/>
        <v/>
      </c>
      <c r="AH16" s="26" t="str">
        <f t="shared" ca="1" si="18"/>
        <v/>
      </c>
      <c r="AI16" s="26" t="str">
        <f t="shared" ca="1" si="18"/>
        <v/>
      </c>
      <c r="AJ16" s="26" t="str">
        <f t="shared" ca="1" si="18"/>
        <v/>
      </c>
      <c r="AK16" s="26" t="str">
        <f t="shared" ca="1" si="18"/>
        <v/>
      </c>
      <c r="AL16" s="26" t="str">
        <f t="shared" ca="1" si="18"/>
        <v/>
      </c>
      <c r="AM16" s="26" t="str">
        <f t="shared" ca="1" si="18"/>
        <v/>
      </c>
      <c r="AN16" s="26" t="str">
        <f t="shared" ca="1" si="18"/>
        <v/>
      </c>
      <c r="AO16" s="26" t="str">
        <f t="shared" ca="1" si="18"/>
        <v/>
      </c>
    </row>
    <row r="17" spans="1:49" s="27" customFormat="1">
      <c r="A17" s="83"/>
      <c r="B17" s="82"/>
      <c r="C17" s="27" t="str">
        <f t="shared" si="10"/>
        <v>D65</v>
      </c>
      <c r="D17" s="27">
        <f t="shared" ca="1" si="4"/>
        <v>30.469750889679716</v>
      </c>
      <c r="E17" s="20">
        <f t="shared" ca="1" si="1"/>
        <v>30.469750889679716</v>
      </c>
      <c r="F17" s="27">
        <f t="shared" ca="1" si="5"/>
        <v>30.469750889679716</v>
      </c>
      <c r="G17" s="20" t="e">
        <f t="shared" ca="1" si="2"/>
        <v>#DIV/0!</v>
      </c>
      <c r="H17" s="32" t="e">
        <f t="shared" ca="1" si="6"/>
        <v>#DIV/0!</v>
      </c>
      <c r="I17" s="20" t="e">
        <f t="shared" ca="1" si="7"/>
        <v>#DIV/0!</v>
      </c>
      <c r="J17" s="26" t="str">
        <f t="shared" ref="J17:AO17" ca="1" si="19">IF(J$3*J$4,INDIRECT("R"&amp;($B$118+2+3*J$2+96*$B15)&amp;"C"&amp;($C$118+2),FALSE),"")</f>
        <v/>
      </c>
      <c r="K17" s="26" t="str">
        <f t="shared" ca="1" si="19"/>
        <v/>
      </c>
      <c r="L17" s="26" t="str">
        <f t="shared" ca="1" si="19"/>
        <v/>
      </c>
      <c r="M17" s="26" t="str">
        <f t="shared" ca="1" si="19"/>
        <v/>
      </c>
      <c r="N17" s="26">
        <f t="shared" ca="1" si="19"/>
        <v>30.469750889679716</v>
      </c>
      <c r="O17" s="26" t="str">
        <f t="shared" ca="1" si="19"/>
        <v/>
      </c>
      <c r="P17" s="26" t="str">
        <f t="shared" ca="1" si="19"/>
        <v/>
      </c>
      <c r="Q17" s="26" t="str">
        <f t="shared" ca="1" si="19"/>
        <v/>
      </c>
      <c r="R17" s="26" t="str">
        <f t="shared" ca="1" si="19"/>
        <v/>
      </c>
      <c r="S17" s="26" t="str">
        <f t="shared" ca="1" si="19"/>
        <v/>
      </c>
      <c r="T17" s="26" t="str">
        <f t="shared" ca="1" si="19"/>
        <v/>
      </c>
      <c r="U17" s="26" t="str">
        <f t="shared" ca="1" si="19"/>
        <v/>
      </c>
      <c r="V17" s="26" t="str">
        <f t="shared" ca="1" si="19"/>
        <v/>
      </c>
      <c r="W17" s="26" t="str">
        <f t="shared" ca="1" si="19"/>
        <v/>
      </c>
      <c r="X17" s="26" t="str">
        <f t="shared" ca="1" si="19"/>
        <v/>
      </c>
      <c r="Y17" s="26" t="str">
        <f t="shared" ca="1" si="19"/>
        <v/>
      </c>
      <c r="Z17" s="26" t="str">
        <f t="shared" ca="1" si="19"/>
        <v/>
      </c>
      <c r="AA17" s="26" t="str">
        <f t="shared" ca="1" si="19"/>
        <v/>
      </c>
      <c r="AB17" s="26" t="str">
        <f t="shared" ca="1" si="19"/>
        <v/>
      </c>
      <c r="AC17" s="26" t="str">
        <f t="shared" ca="1" si="19"/>
        <v/>
      </c>
      <c r="AD17" s="26" t="str">
        <f t="shared" ca="1" si="19"/>
        <v/>
      </c>
      <c r="AE17" s="26" t="str">
        <f t="shared" ca="1" si="19"/>
        <v/>
      </c>
      <c r="AF17" s="26" t="str">
        <f t="shared" ca="1" si="19"/>
        <v/>
      </c>
      <c r="AG17" s="26" t="str">
        <f t="shared" ca="1" si="19"/>
        <v/>
      </c>
      <c r="AH17" s="26" t="str">
        <f t="shared" ca="1" si="19"/>
        <v/>
      </c>
      <c r="AI17" s="26" t="str">
        <f t="shared" ca="1" si="19"/>
        <v/>
      </c>
      <c r="AJ17" s="26" t="str">
        <f t="shared" ca="1" si="19"/>
        <v/>
      </c>
      <c r="AK17" s="26" t="str">
        <f t="shared" ca="1" si="19"/>
        <v/>
      </c>
      <c r="AL17" s="26" t="str">
        <f t="shared" ca="1" si="19"/>
        <v/>
      </c>
      <c r="AM17" s="26" t="str">
        <f t="shared" ca="1" si="19"/>
        <v/>
      </c>
      <c r="AN17" s="26" t="str">
        <f t="shared" ca="1" si="19"/>
        <v/>
      </c>
      <c r="AO17" s="26" t="str">
        <f t="shared" ca="1" si="19"/>
        <v/>
      </c>
    </row>
    <row r="18" spans="1:49" s="29" customFormat="1">
      <c r="A18" s="80" t="e">
        <f ca="1">"Gain Error=±"&amp;INT(H18*1000)/10&amp;"%"</f>
        <v>#DIV/0!</v>
      </c>
      <c r="B18" s="30">
        <f>B6</f>
        <v>0</v>
      </c>
      <c r="C18" s="32" t="e">
        <f ca="1">E18+1.5*G18</f>
        <v>#DIV/0!</v>
      </c>
      <c r="D18" s="32">
        <f t="shared" ca="1" si="4"/>
        <v>-0.8916170368390699</v>
      </c>
      <c r="E18" s="32">
        <f t="shared" ca="1" si="1"/>
        <v>-0.8916170368390699</v>
      </c>
      <c r="F18" s="32">
        <f t="shared" ca="1" si="5"/>
        <v>-0.8916170368390699</v>
      </c>
      <c r="G18" s="32" t="e">
        <f t="shared" ca="1" si="2"/>
        <v>#DIV/0!</v>
      </c>
      <c r="H18" s="74" t="e">
        <f ca="1" xml:space="preserve">  MAX( ABS(MAX(C18:C21)), ABS(MIN(C18:C21)) )</f>
        <v>#DIV/0!</v>
      </c>
      <c r="I18" s="20" t="e">
        <f t="shared" ca="1" si="7"/>
        <v>#DIV/0!</v>
      </c>
      <c r="J18" s="32" t="str">
        <f>IF(J$3*J$4,(MAX(J6:J8)+MIN(J6:J8))/2/Summary!$B$3-1,"")</f>
        <v/>
      </c>
      <c r="K18" s="32" t="str">
        <f>IF(K$3*K$4,(MAX(K6:K8)+MIN(K6:K8))/2/Summary!$B$3-1,"")</f>
        <v/>
      </c>
      <c r="L18" s="32" t="str">
        <f>IF(L$3*L$4,(MAX(L6:L8)+MIN(L6:L8))/2/Summary!$B$3-1,"")</f>
        <v/>
      </c>
      <c r="M18" s="32" t="str">
        <f>IF(M$3*M$4,(MAX(M6:M8)+MIN(M6:M8))/2/Summary!$B$3-1,"")</f>
        <v/>
      </c>
      <c r="N18" s="32">
        <f ca="1">IF(N$3*N$4,(MAX(N6:N8)+MIN(N6:N8))/2/Summary!$B$3-1,"")</f>
        <v>-0.8916170368390699</v>
      </c>
      <c r="O18" s="32" t="str">
        <f>IF(O$3*O$4,(MAX(O6:O8)+MIN(O6:O8))/2/Summary!$B$3-1,"")</f>
        <v/>
      </c>
      <c r="P18" s="32" t="str">
        <f>IF(P$3*P$4,(MAX(P6:P8)+MIN(P6:P8))/2/Summary!$B$3-1,"")</f>
        <v/>
      </c>
      <c r="Q18" s="32" t="str">
        <f>IF(Q$3*Q$4,(MAX(Q6:Q8)+MIN(Q6:Q8))/2/Summary!$B$3-1,"")</f>
        <v/>
      </c>
      <c r="R18" s="32" t="str">
        <f>IF(R$3*R$4,(MAX(R6:R8)+MIN(R6:R8))/2/Summary!$B$3-1,"")</f>
        <v/>
      </c>
      <c r="S18" s="32" t="str">
        <f>IF(S$3*S$4,(MAX(S6:S8)+MIN(S6:S8))/2/Summary!$B$3-1,"")</f>
        <v/>
      </c>
      <c r="T18" s="32" t="str">
        <f>IF(T$3*T$4,(MAX(T6:T8)+MIN(T6:T8))/2/Summary!$B$3-1,"")</f>
        <v/>
      </c>
      <c r="U18" s="32" t="str">
        <f>IF(U$3*U$4,(MAX(U6:U8)+MIN(U6:U8))/2/Summary!$B$3-1,"")</f>
        <v/>
      </c>
      <c r="V18" s="32" t="str">
        <f>IF(V$3*V$4,(MAX(V6:V8)+MIN(V6:V8))/2/Summary!$B$3-1,"")</f>
        <v/>
      </c>
      <c r="W18" s="32" t="str">
        <f>IF(W$3*W$4,(MAX(W6:W8)+MIN(W6:W8))/2/Summary!$B$3-1,"")</f>
        <v/>
      </c>
      <c r="X18" s="32" t="str">
        <f>IF(X$3*X$4,(MAX(X6:X8)+MIN(X6:X8))/2/Summary!$B$3-1,"")</f>
        <v/>
      </c>
      <c r="Y18" s="32" t="str">
        <f>IF(Y$3*Y$4,(MAX(Y6:Y8)+MIN(Y6:Y8))/2/Summary!$B$3-1,"")</f>
        <v/>
      </c>
      <c r="Z18" s="32" t="str">
        <f>IF(Z$3*Z$4,(MAX(Z6:Z8)+MIN(Z6:Z8))/2/Summary!$B$3-1,"")</f>
        <v/>
      </c>
      <c r="AA18" s="32" t="str">
        <f>IF(AA$3*AA$4,(MAX(AA6:AA8)+MIN(AA6:AA8))/2/Summary!$B$3-1,"")</f>
        <v/>
      </c>
      <c r="AB18" s="32" t="str">
        <f>IF(AB$3*AB$4,(MAX(AB6:AB8)+MIN(AB6:AB8))/2/Summary!$B$3-1,"")</f>
        <v/>
      </c>
      <c r="AC18" s="32" t="str">
        <f>IF(AC$3*AC$4,(MAX(AC6:AC8)+MIN(AC6:AC8))/2/Summary!$B$3-1,"")</f>
        <v/>
      </c>
      <c r="AD18" s="32" t="str">
        <f>IF(AD$3*AD$4,(MAX(AD6:AD8)+MIN(AD6:AD8))/2/Summary!$B$3-1,"")</f>
        <v/>
      </c>
      <c r="AE18" s="32" t="str">
        <f>IF(AE$3*AE$4,(MAX(AE6:AE8)+MIN(AE6:AE8))/2/Summary!$B$3-1,"")</f>
        <v/>
      </c>
      <c r="AF18" s="32" t="str">
        <f>IF(AF$3*AF$4,(MAX(AF6:AF8)+MIN(AF6:AF8))/2/Summary!$B$3-1,"")</f>
        <v/>
      </c>
      <c r="AG18" s="32" t="str">
        <f>IF(AG$3*AG$4,(MAX(AG6:AG8)+MIN(AG6:AG8))/2/Summary!$B$3-1,"")</f>
        <v/>
      </c>
      <c r="AH18" s="32" t="str">
        <f>IF(AH$3*AH$4,(MAX(AH6:AH8)+MIN(AH6:AH8))/2/Summary!$B$3-1,"")</f>
        <v/>
      </c>
      <c r="AI18" s="32" t="str">
        <f>IF(AI$3*AI$4,(MAX(AI6:AI8)+MIN(AI6:AI8))/2/Summary!$B$3-1,"")</f>
        <v/>
      </c>
      <c r="AJ18" s="32" t="str">
        <f>IF(AJ$3*AJ$4,(MAX(AJ6:AJ8)+MIN(AJ6:AJ8))/2/Summary!$B$3-1,"")</f>
        <v/>
      </c>
      <c r="AK18" s="32" t="str">
        <f>IF(AK$3*AK$4,(MAX(AK6:AK8)+MIN(AK6:AK8))/2/Summary!$B$3-1,"")</f>
        <v/>
      </c>
      <c r="AL18" s="32" t="str">
        <f>IF(AL$3*AL$4,(MAX(AL6:AL8)+MIN(AL6:AL8))/2/Summary!$B$3-1,"")</f>
        <v/>
      </c>
      <c r="AM18" s="32" t="str">
        <f>IF(AM$3*AM$4,(MAX(AM6:AM8)+MIN(AM6:AM8))/2/Summary!$B$3-1,"")</f>
        <v/>
      </c>
      <c r="AN18" s="32" t="str">
        <f>IF(AN$3*AN$4,(MAX(AN6:AN8)+MIN(AN6:AN8))/2/Summary!$B$3-1,"")</f>
        <v/>
      </c>
      <c r="AO18" s="32" t="str">
        <f>IF(AO$3*AO$4,(MAX(AO6:AO8)+MIN(AO6:AO8))/2/Summary!$B$3-1,"")</f>
        <v/>
      </c>
    </row>
    <row r="19" spans="1:49" s="29" customFormat="1">
      <c r="A19" s="80"/>
      <c r="B19" s="30">
        <f>B9</f>
        <v>1</v>
      </c>
      <c r="C19" s="32" t="e">
        <f t="shared" ref="C19:C20" ca="1" si="20">E19+1.5*G19</f>
        <v>#DIV/0!</v>
      </c>
      <c r="D19" s="32">
        <f t="shared" ca="1" si="4"/>
        <v>-0.89368109377857174</v>
      </c>
      <c r="E19" s="32">
        <f t="shared" ca="1" si="1"/>
        <v>-0.89368109377857174</v>
      </c>
      <c r="F19" s="32">
        <f t="shared" ca="1" si="5"/>
        <v>-0.89368109377857174</v>
      </c>
      <c r="G19" s="32" t="e">
        <f t="shared" ca="1" si="2"/>
        <v>#DIV/0!</v>
      </c>
      <c r="H19" s="74"/>
      <c r="I19" s="20" t="e">
        <f t="shared" ca="1" si="7"/>
        <v>#DIV/0!</v>
      </c>
      <c r="J19" s="32" t="str">
        <f>IF(J$3*J$4,(MAX(J9:J11)+MIN(J7:J9))/2/Summary!$B$3-1,"")</f>
        <v/>
      </c>
      <c r="K19" s="32" t="str">
        <f>IF(K$3*K$4,(MAX(K9:K11)+MIN(K7:K9))/2/Summary!$B$3-1,"")</f>
        <v/>
      </c>
      <c r="L19" s="32" t="str">
        <f>IF(L$3*L$4,(MAX(L9:L11)+MIN(L7:L9))/2/Summary!$B$3-1,"")</f>
        <v/>
      </c>
      <c r="M19" s="32" t="str">
        <f>IF(M$3*M$4,(MAX(M9:M11)+MIN(M7:M9))/2/Summary!$B$3-1,"")</f>
        <v/>
      </c>
      <c r="N19" s="32">
        <f ca="1">IF(N$3*N$4,(MAX(N9:N11)+MIN(N7:N9))/2/Summary!$B$3-1,"")</f>
        <v>-0.89368109377857174</v>
      </c>
      <c r="O19" s="32" t="str">
        <f>IF(O$3*O$4,(MAX(O9:O11)+MIN(O7:O9))/2/Summary!$B$3-1,"")</f>
        <v/>
      </c>
      <c r="P19" s="32" t="str">
        <f>IF(P$3*P$4,(MAX(P9:P11)+MIN(P7:P9))/2/Summary!$B$3-1,"")</f>
        <v/>
      </c>
      <c r="Q19" s="32" t="str">
        <f>IF(Q$3*Q$4,(MAX(Q9:Q11)+MIN(Q7:Q9))/2/Summary!$B$3-1,"")</f>
        <v/>
      </c>
      <c r="R19" s="32" t="str">
        <f>IF(R$3*R$4,(MAX(R9:R11)+MIN(R7:R9))/2/Summary!$B$3-1,"")</f>
        <v/>
      </c>
      <c r="S19" s="32" t="str">
        <f>IF(S$3*S$4,(MAX(S9:S11)+MIN(S7:S9))/2/Summary!$B$3-1,"")</f>
        <v/>
      </c>
      <c r="T19" s="32" t="str">
        <f>IF(T$3*T$4,(MAX(T9:T11)+MIN(T7:T9))/2/Summary!$B$3-1,"")</f>
        <v/>
      </c>
      <c r="U19" s="32" t="str">
        <f>IF(U$3*U$4,(MAX(U9:U11)+MIN(U7:U9))/2/Summary!$B$3-1,"")</f>
        <v/>
      </c>
      <c r="V19" s="32" t="str">
        <f>IF(V$3*V$4,(MAX(V9:V11)+MIN(V7:V9))/2/Summary!$B$3-1,"")</f>
        <v/>
      </c>
      <c r="W19" s="32" t="str">
        <f>IF(W$3*W$4,(MAX(W9:W11)+MIN(W7:W9))/2/Summary!$B$3-1,"")</f>
        <v/>
      </c>
      <c r="X19" s="32" t="str">
        <f>IF(X$3*X$4,(MAX(X9:X11)+MIN(X7:X9))/2/Summary!$B$3-1,"")</f>
        <v/>
      </c>
      <c r="Y19" s="32" t="str">
        <f>IF(Y$3*Y$4,(MAX(Y9:Y11)+MIN(Y7:Y9))/2/Summary!$B$3-1,"")</f>
        <v/>
      </c>
      <c r="Z19" s="32" t="str">
        <f>IF(Z$3*Z$4,(MAX(Z9:Z11)+MIN(Z7:Z9))/2/Summary!$B$3-1,"")</f>
        <v/>
      </c>
      <c r="AA19" s="32" t="str">
        <f>IF(AA$3*AA$4,(MAX(AA9:AA11)+MIN(AA7:AA9))/2/Summary!$B$3-1,"")</f>
        <v/>
      </c>
      <c r="AB19" s="32" t="str">
        <f>IF(AB$3*AB$4,(MAX(AB9:AB11)+MIN(AB7:AB9))/2/Summary!$B$3-1,"")</f>
        <v/>
      </c>
      <c r="AC19" s="32" t="str">
        <f>IF(AC$3*AC$4,(MAX(AC9:AC11)+MIN(AC7:AC9))/2/Summary!$B$3-1,"")</f>
        <v/>
      </c>
      <c r="AD19" s="32" t="str">
        <f>IF(AD$3*AD$4,(MAX(AD9:AD11)+MIN(AD7:AD9))/2/Summary!$B$3-1,"")</f>
        <v/>
      </c>
      <c r="AE19" s="32" t="str">
        <f>IF(AE$3*AE$4,(MAX(AE9:AE11)+MIN(AE7:AE9))/2/Summary!$B$3-1,"")</f>
        <v/>
      </c>
      <c r="AF19" s="32" t="str">
        <f>IF(AF$3*AF$4,(MAX(AF9:AF11)+MIN(AF7:AF9))/2/Summary!$B$3-1,"")</f>
        <v/>
      </c>
      <c r="AG19" s="32" t="str">
        <f>IF(AG$3*AG$4,(MAX(AG9:AG11)+MIN(AG7:AG9))/2/Summary!$B$3-1,"")</f>
        <v/>
      </c>
      <c r="AH19" s="32" t="str">
        <f>IF(AH$3*AH$4,(MAX(AH9:AH11)+MIN(AH7:AH9))/2/Summary!$B$3-1,"")</f>
        <v/>
      </c>
      <c r="AI19" s="32" t="str">
        <f>IF(AI$3*AI$4,(MAX(AI9:AI11)+MIN(AI7:AI9))/2/Summary!$B$3-1,"")</f>
        <v/>
      </c>
      <c r="AJ19" s="32" t="str">
        <f>IF(AJ$3*AJ$4,(MAX(AJ9:AJ11)+MIN(AJ7:AJ9))/2/Summary!$B$3-1,"")</f>
        <v/>
      </c>
      <c r="AK19" s="32" t="str">
        <f>IF(AK$3*AK$4,(MAX(AK9:AK11)+MIN(AK7:AK9))/2/Summary!$B$3-1,"")</f>
        <v/>
      </c>
      <c r="AL19" s="32" t="str">
        <f>IF(AL$3*AL$4,(MAX(AL9:AL11)+MIN(AL7:AL9))/2/Summary!$B$3-1,"")</f>
        <v/>
      </c>
      <c r="AM19" s="32" t="str">
        <f>IF(AM$3*AM$4,(MAX(AM9:AM11)+MIN(AM7:AM9))/2/Summary!$B$3-1,"")</f>
        <v/>
      </c>
      <c r="AN19" s="32" t="str">
        <f>IF(AN$3*AN$4,(MAX(AN9:AN11)+MIN(AN7:AN9))/2/Summary!$B$3-1,"")</f>
        <v/>
      </c>
      <c r="AO19" s="32" t="str">
        <f>IF(AO$3*AO$4,(MAX(AO9:AO11)+MIN(AO7:AO9))/2/Summary!$B$3-1,"")</f>
        <v/>
      </c>
    </row>
    <row r="20" spans="1:49" s="29" customFormat="1">
      <c r="A20" s="80"/>
      <c r="B20" s="30">
        <f>B12</f>
        <v>2</v>
      </c>
      <c r="C20" s="32" t="e">
        <f t="shared" ca="1" si="20"/>
        <v>#DIV/0!</v>
      </c>
      <c r="D20" s="32">
        <f t="shared" ca="1" si="4"/>
        <v>-0.90940219149564649</v>
      </c>
      <c r="E20" s="32">
        <f t="shared" ca="1" si="1"/>
        <v>-0.90940219149564649</v>
      </c>
      <c r="F20" s="32">
        <f t="shared" ca="1" si="5"/>
        <v>-0.90940219149564649</v>
      </c>
      <c r="G20" s="32" t="e">
        <f t="shared" ca="1" si="2"/>
        <v>#DIV/0!</v>
      </c>
      <c r="H20" s="74"/>
      <c r="I20" s="20" t="e">
        <f t="shared" ca="1" si="7"/>
        <v>#DIV/0!</v>
      </c>
      <c r="J20" s="32" t="str">
        <f>IF(J$3*J$4,(MAX(J12:J14)+MIN(J8:J10))/2/Summary!$B$3-1,"")</f>
        <v/>
      </c>
      <c r="K20" s="32" t="str">
        <f>IF(K$3*K$4,(MAX(K12:K14)+MIN(K8:K10))/2/Summary!$B$3-1,"")</f>
        <v/>
      </c>
      <c r="L20" s="32" t="str">
        <f>IF(L$3*L$4,(MAX(L12:L14)+MIN(L8:L10))/2/Summary!$B$3-1,"")</f>
        <v/>
      </c>
      <c r="M20" s="32" t="str">
        <f>IF(M$3*M$4,(MAX(M12:M14)+MIN(M8:M10))/2/Summary!$B$3-1,"")</f>
        <v/>
      </c>
      <c r="N20" s="32">
        <f ca="1">IF(N$3*N$4,(MAX(N12:N14)+MIN(N8:N10))/2/Summary!$B$3-1,"")</f>
        <v>-0.90940219149564649</v>
      </c>
      <c r="O20" s="32" t="str">
        <f>IF(O$3*O$4,(MAX(O12:O14)+MIN(O8:O10))/2/Summary!$B$3-1,"")</f>
        <v/>
      </c>
      <c r="P20" s="32" t="str">
        <f>IF(P$3*P$4,(MAX(P12:P14)+MIN(P8:P10))/2/Summary!$B$3-1,"")</f>
        <v/>
      </c>
      <c r="Q20" s="32" t="str">
        <f>IF(Q$3*Q$4,(MAX(Q12:Q14)+MIN(Q8:Q10))/2/Summary!$B$3-1,"")</f>
        <v/>
      </c>
      <c r="R20" s="32" t="str">
        <f>IF(R$3*R$4,(MAX(R12:R14)+MIN(R8:R10))/2/Summary!$B$3-1,"")</f>
        <v/>
      </c>
      <c r="S20" s="32" t="str">
        <f>IF(S$3*S$4,(MAX(S12:S14)+MIN(S8:S10))/2/Summary!$B$3-1,"")</f>
        <v/>
      </c>
      <c r="T20" s="32" t="str">
        <f>IF(T$3*T$4,(MAX(T12:T14)+MIN(T8:T10))/2/Summary!$B$3-1,"")</f>
        <v/>
      </c>
      <c r="U20" s="32" t="str">
        <f>IF(U$3*U$4,(MAX(U12:U14)+MIN(U8:U10))/2/Summary!$B$3-1,"")</f>
        <v/>
      </c>
      <c r="V20" s="32" t="str">
        <f>IF(V$3*V$4,(MAX(V12:V14)+MIN(V8:V10))/2/Summary!$B$3-1,"")</f>
        <v/>
      </c>
      <c r="W20" s="32" t="str">
        <f>IF(W$3*W$4,(MAX(W12:W14)+MIN(W8:W10))/2/Summary!$B$3-1,"")</f>
        <v/>
      </c>
      <c r="X20" s="32" t="str">
        <f>IF(X$3*X$4,(MAX(X12:X14)+MIN(X8:X10))/2/Summary!$B$3-1,"")</f>
        <v/>
      </c>
      <c r="Y20" s="32" t="str">
        <f>IF(Y$3*Y$4,(MAX(Y12:Y14)+MIN(Y8:Y10))/2/Summary!$B$3-1,"")</f>
        <v/>
      </c>
      <c r="Z20" s="32" t="str">
        <f>IF(Z$3*Z$4,(MAX(Z12:Z14)+MIN(Z8:Z10))/2/Summary!$B$3-1,"")</f>
        <v/>
      </c>
      <c r="AA20" s="32" t="str">
        <f>IF(AA$3*AA$4,(MAX(AA12:AA14)+MIN(AA8:AA10))/2/Summary!$B$3-1,"")</f>
        <v/>
      </c>
      <c r="AB20" s="32" t="str">
        <f>IF(AB$3*AB$4,(MAX(AB12:AB14)+MIN(AB8:AB10))/2/Summary!$B$3-1,"")</f>
        <v/>
      </c>
      <c r="AC20" s="32" t="str">
        <f>IF(AC$3*AC$4,(MAX(AC12:AC14)+MIN(AC8:AC10))/2/Summary!$B$3-1,"")</f>
        <v/>
      </c>
      <c r="AD20" s="32" t="str">
        <f>IF(AD$3*AD$4,(MAX(AD12:AD14)+MIN(AD8:AD10))/2/Summary!$B$3-1,"")</f>
        <v/>
      </c>
      <c r="AE20" s="32" t="str">
        <f>IF(AE$3*AE$4,(MAX(AE12:AE14)+MIN(AE8:AE10))/2/Summary!$B$3-1,"")</f>
        <v/>
      </c>
      <c r="AF20" s="32" t="str">
        <f>IF(AF$3*AF$4,(MAX(AF12:AF14)+MIN(AF8:AF10))/2/Summary!$B$3-1,"")</f>
        <v/>
      </c>
      <c r="AG20" s="32" t="str">
        <f>IF(AG$3*AG$4,(MAX(AG12:AG14)+MIN(AG8:AG10))/2/Summary!$B$3-1,"")</f>
        <v/>
      </c>
      <c r="AH20" s="32" t="str">
        <f>IF(AH$3*AH$4,(MAX(AH12:AH14)+MIN(AH8:AH10))/2/Summary!$B$3-1,"")</f>
        <v/>
      </c>
      <c r="AI20" s="32" t="str">
        <f>IF(AI$3*AI$4,(MAX(AI12:AI14)+MIN(AI8:AI10))/2/Summary!$B$3-1,"")</f>
        <v/>
      </c>
      <c r="AJ20" s="32" t="str">
        <f>IF(AJ$3*AJ$4,(MAX(AJ12:AJ14)+MIN(AJ8:AJ10))/2/Summary!$B$3-1,"")</f>
        <v/>
      </c>
      <c r="AK20" s="32" t="str">
        <f>IF(AK$3*AK$4,(MAX(AK12:AK14)+MIN(AK8:AK10))/2/Summary!$B$3-1,"")</f>
        <v/>
      </c>
      <c r="AL20" s="32" t="str">
        <f>IF(AL$3*AL$4,(MAX(AL12:AL14)+MIN(AL8:AL10))/2/Summary!$B$3-1,"")</f>
        <v/>
      </c>
      <c r="AM20" s="32" t="str">
        <f>IF(AM$3*AM$4,(MAX(AM12:AM14)+MIN(AM8:AM10))/2/Summary!$B$3-1,"")</f>
        <v/>
      </c>
      <c r="AN20" s="32" t="str">
        <f>IF(AN$3*AN$4,(MAX(AN12:AN14)+MIN(AN8:AN10))/2/Summary!$B$3-1,"")</f>
        <v/>
      </c>
      <c r="AO20" s="32" t="str">
        <f>IF(AO$3*AO$4,(MAX(AO12:AO14)+MIN(AO8:AO10))/2/Summary!$B$3-1,"")</f>
        <v/>
      </c>
    </row>
    <row r="21" spans="1:49" s="29" customFormat="1">
      <c r="A21" s="80"/>
      <c r="B21" s="30">
        <f>B15</f>
        <v>3</v>
      </c>
      <c r="C21" s="32" t="e">
        <f ca="1">E21+1.5*G21</f>
        <v>#DIV/0!</v>
      </c>
      <c r="D21" s="32">
        <f ca="1">MIN(J21:AO21)</f>
        <v>-0.91107478936041519</v>
      </c>
      <c r="E21" s="32">
        <f ca="1">AVERAGE(J21:AO21)</f>
        <v>-0.91107478936041519</v>
      </c>
      <c r="F21" s="32">
        <f ca="1">MAX(J21:AO21)</f>
        <v>-0.91107478936041519</v>
      </c>
      <c r="G21" s="32" t="e">
        <f ca="1">STDEV(J21:AO21)</f>
        <v>#DIV/0!</v>
      </c>
      <c r="H21" s="74"/>
      <c r="I21" s="20" t="e">
        <f ca="1">(F21-D21)/G21</f>
        <v>#DIV/0!</v>
      </c>
      <c r="J21" s="32" t="str">
        <f>IF(J$3*J$4,(MAX(J15:J17)+MIN(J9:J11))/2/Summary!$B$3-1,"")</f>
        <v/>
      </c>
      <c r="K21" s="32" t="str">
        <f>IF(K$3*K$4,(MAX(K15:K17)+MIN(K9:K11))/2/Summary!$B$3-1,"")</f>
        <v/>
      </c>
      <c r="L21" s="32" t="str">
        <f>IF(L$3*L$4,(MAX(L15:L17)+MIN(L9:L11))/2/Summary!$B$3-1,"")</f>
        <v/>
      </c>
      <c r="M21" s="32" t="str">
        <f>IF(M$3*M$4,(MAX(M15:M17)+MIN(M9:M11))/2/Summary!$B$3-1,"")</f>
        <v/>
      </c>
      <c r="N21" s="32">
        <f ca="1">IF(N$3*N$4,(MAX(N15:N17)+MIN(N9:N11))/2/Summary!$B$3-1,"")</f>
        <v>-0.91107478936041519</v>
      </c>
      <c r="O21" s="32" t="str">
        <f>IF(O$3*O$4,(MAX(O15:O17)+MIN(O9:O11))/2/Summary!$B$3-1,"")</f>
        <v/>
      </c>
      <c r="P21" s="32" t="str">
        <f>IF(P$3*P$4,(MAX(P15:P17)+MIN(P9:P11))/2/Summary!$B$3-1,"")</f>
        <v/>
      </c>
      <c r="Q21" s="32" t="str">
        <f>IF(Q$3*Q$4,(MAX(Q15:Q17)+MIN(Q9:Q11))/2/Summary!$B$3-1,"")</f>
        <v/>
      </c>
      <c r="R21" s="32" t="str">
        <f>IF(R$3*R$4,(MAX(R15:R17)+MIN(R9:R11))/2/Summary!$B$3-1,"")</f>
        <v/>
      </c>
      <c r="S21" s="32" t="str">
        <f>IF(S$3*S$4,(MAX(S15:S17)+MIN(S9:S11))/2/Summary!$B$3-1,"")</f>
        <v/>
      </c>
      <c r="T21" s="32" t="str">
        <f>IF(T$3*T$4,(MAX(T15:T17)+MIN(T9:T11))/2/Summary!$B$3-1,"")</f>
        <v/>
      </c>
      <c r="U21" s="32" t="str">
        <f>IF(U$3*U$4,(MAX(U15:U17)+MIN(U9:U11))/2/Summary!$B$3-1,"")</f>
        <v/>
      </c>
      <c r="V21" s="32" t="str">
        <f>IF(V$3*V$4,(MAX(V15:V17)+MIN(V9:V11))/2/Summary!$B$3-1,"")</f>
        <v/>
      </c>
      <c r="W21" s="32" t="str">
        <f>IF(W$3*W$4,(MAX(W15:W17)+MIN(W9:W11))/2/Summary!$B$3-1,"")</f>
        <v/>
      </c>
      <c r="X21" s="32" t="str">
        <f>IF(X$3*X$4,(MAX(X15:X17)+MIN(X9:X11))/2/Summary!$B$3-1,"")</f>
        <v/>
      </c>
      <c r="Y21" s="32" t="str">
        <f>IF(Y$3*Y$4,(MAX(Y15:Y17)+MIN(Y9:Y11))/2/Summary!$B$3-1,"")</f>
        <v/>
      </c>
      <c r="Z21" s="32" t="str">
        <f>IF(Z$3*Z$4,(MAX(Z15:Z17)+MIN(Z9:Z11))/2/Summary!$B$3-1,"")</f>
        <v/>
      </c>
      <c r="AA21" s="32" t="str">
        <f>IF(AA$3*AA$4,(MAX(AA15:AA17)+MIN(AA9:AA11))/2/Summary!$B$3-1,"")</f>
        <v/>
      </c>
      <c r="AB21" s="32" t="str">
        <f>IF(AB$3*AB$4,(MAX(AB15:AB17)+MIN(AB9:AB11))/2/Summary!$B$3-1,"")</f>
        <v/>
      </c>
      <c r="AC21" s="32" t="str">
        <f>IF(AC$3*AC$4,(MAX(AC15:AC17)+MIN(AC9:AC11))/2/Summary!$B$3-1,"")</f>
        <v/>
      </c>
      <c r="AD21" s="32" t="str">
        <f>IF(AD$3*AD$4,(MAX(AD15:AD17)+MIN(AD9:AD11))/2/Summary!$B$3-1,"")</f>
        <v/>
      </c>
      <c r="AE21" s="32" t="str">
        <f>IF(AE$3*AE$4,(MAX(AE15:AE17)+MIN(AE9:AE11))/2/Summary!$B$3-1,"")</f>
        <v/>
      </c>
      <c r="AF21" s="32" t="str">
        <f>IF(AF$3*AF$4,(MAX(AF15:AF17)+MIN(AF9:AF11))/2/Summary!$B$3-1,"")</f>
        <v/>
      </c>
      <c r="AG21" s="32" t="str">
        <f>IF(AG$3*AG$4,(MAX(AG15:AG17)+MIN(AG9:AG11))/2/Summary!$B$3-1,"")</f>
        <v/>
      </c>
      <c r="AH21" s="32" t="str">
        <f>IF(AH$3*AH$4,(MAX(AH15:AH17)+MIN(AH9:AH11))/2/Summary!$B$3-1,"")</f>
        <v/>
      </c>
      <c r="AI21" s="32" t="str">
        <f>IF(AI$3*AI$4,(MAX(AI15:AI17)+MIN(AI9:AI11))/2/Summary!$B$3-1,"")</f>
        <v/>
      </c>
      <c r="AJ21" s="32" t="str">
        <f>IF(AJ$3*AJ$4,(MAX(AJ15:AJ17)+MIN(AJ9:AJ11))/2/Summary!$B$3-1,"")</f>
        <v/>
      </c>
      <c r="AK21" s="32" t="str">
        <f>IF(AK$3*AK$4,(MAX(AK15:AK17)+MIN(AK9:AK11))/2/Summary!$B$3-1,"")</f>
        <v/>
      </c>
      <c r="AL21" s="32" t="str">
        <f>IF(AL$3*AL$4,(MAX(AL15:AL17)+MIN(AL9:AL11))/2/Summary!$B$3-1,"")</f>
        <v/>
      </c>
      <c r="AM21" s="32" t="str">
        <f>IF(AM$3*AM$4,(MAX(AM15:AM17)+MIN(AM9:AM11))/2/Summary!$B$3-1,"")</f>
        <v/>
      </c>
      <c r="AN21" s="32" t="str">
        <f>IF(AN$3*AN$4,(MAX(AN15:AN17)+MIN(AN9:AN11))/2/Summary!$B$3-1,"")</f>
        <v/>
      </c>
      <c r="AO21" s="32" t="str">
        <f>IF(AO$3*AO$4,(MAX(AO15:AO17)+MIN(AO9:AO11))/2/Summary!$B$3-1,"")</f>
        <v/>
      </c>
    </row>
    <row r="22" spans="1:49" s="29" customFormat="1">
      <c r="A22" s="80"/>
      <c r="B22" s="30" t="s">
        <v>19</v>
      </c>
      <c r="D22" s="32">
        <f ca="1">MIN(J18:AO19)</f>
        <v>-0.89368109377857174</v>
      </c>
      <c r="E22" s="32">
        <f ca="1">AVERAGE(J18:AO19)</f>
        <v>-0.89264906530882082</v>
      </c>
      <c r="F22" s="32">
        <f ca="1">MAX(J18:AO19)</f>
        <v>-0.8916170368390699</v>
      </c>
      <c r="G22" s="32">
        <f ca="1">STDEV(J18:AO19)</f>
        <v>1.4595086586769068E-3</v>
      </c>
      <c r="H22" s="32">
        <f ca="1">ABS(E22)+1.5*G22</f>
        <v>0.89483832829683618</v>
      </c>
      <c r="I22" s="20">
        <f t="shared" ca="1" si="7"/>
        <v>1.4142135623730949</v>
      </c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</row>
    <row r="23" spans="1:49" s="29" customFormat="1">
      <c r="A23" s="80"/>
      <c r="B23" s="29" t="s">
        <v>20</v>
      </c>
      <c r="D23" s="32">
        <f ca="1">MIN(J20:AO21)</f>
        <v>-0.91107478936041519</v>
      </c>
      <c r="E23" s="32">
        <f ca="1">AVERAGE(J20:AO21)</f>
        <v>-0.91023849042803084</v>
      </c>
      <c r="F23" s="32">
        <f ca="1">MAX(J20:AO21)</f>
        <v>-0.90940219149564649</v>
      </c>
      <c r="G23" s="32">
        <f ca="1">STDEV(J20:AO21)</f>
        <v>1.1827052923760869E-3</v>
      </c>
      <c r="H23" s="32">
        <f ca="1">ABS(E23)+1.5*G23</f>
        <v>0.91201254836659496</v>
      </c>
      <c r="I23" s="20">
        <f t="shared" ref="I23" ca="1" si="21">(F23-D23)/G23</f>
        <v>1.4142135623730951</v>
      </c>
    </row>
    <row r="24" spans="1:49" s="27" customFormat="1">
      <c r="A24" s="80" t="e">
        <f ca="1">"LS2LS=±"&amp;INT(H24*1000)/10&amp;"%"</f>
        <v>#DIV/0!</v>
      </c>
      <c r="B24" s="27">
        <f>B6</f>
        <v>0</v>
      </c>
      <c r="C24" s="21" t="e">
        <f ca="1">E24+1.5*G24</f>
        <v>#DIV/0!</v>
      </c>
      <c r="D24" s="21">
        <f t="shared" ref="D24:D26" ca="1" si="22">MIN(J24:AO24)</f>
        <v>0.27135843390302999</v>
      </c>
      <c r="E24" s="21">
        <f t="shared" ref="E24:E26" ca="1" si="23">AVERAGE(J24:AO24)</f>
        <v>0.27135843390302999</v>
      </c>
      <c r="F24" s="21">
        <f t="shared" ref="F24:F26" ca="1" si="24">MAX(J24:AO24)</f>
        <v>0.27135843390302999</v>
      </c>
      <c r="G24" s="21" t="e">
        <f t="shared" ref="G24:G26" ca="1" si="25">STDEV(J24:AO24)</f>
        <v>#DIV/0!</v>
      </c>
      <c r="H24" s="74" t="e">
        <f ca="1" xml:space="preserve">  MAX( ABS(MAX(C24:C27)), ABS(MIN(C24:C27)) )</f>
        <v>#DIV/0!</v>
      </c>
      <c r="I24" s="20" t="e">
        <f t="shared" ref="I24:I26" ca="1" si="26">(F24-D24)/G24</f>
        <v>#DIV/0!</v>
      </c>
      <c r="J24" s="21" t="str">
        <f>IF(J$3*J$4,(MAX(J6:J8)-MIN(J6:J8))/(MAX(J6:J8)+MIN(J6:J8)),"")</f>
        <v/>
      </c>
      <c r="K24" s="21" t="str">
        <f t="shared" ref="K24:AO24" si="27">IF(K$3*K$4,(MAX(K6:K8)-MIN(K6:K8))/(MAX(K6:K8)+MIN(K6:K8)),"")</f>
        <v/>
      </c>
      <c r="L24" s="21" t="str">
        <f t="shared" si="27"/>
        <v/>
      </c>
      <c r="M24" s="21" t="str">
        <f t="shared" si="27"/>
        <v/>
      </c>
      <c r="N24" s="21">
        <f t="shared" ca="1" si="27"/>
        <v>0.27135843390302999</v>
      </c>
      <c r="O24" s="21" t="str">
        <f t="shared" si="27"/>
        <v/>
      </c>
      <c r="P24" s="21" t="str">
        <f t="shared" si="27"/>
        <v/>
      </c>
      <c r="Q24" s="21" t="str">
        <f t="shared" si="27"/>
        <v/>
      </c>
      <c r="R24" s="21" t="str">
        <f t="shared" si="27"/>
        <v/>
      </c>
      <c r="S24" s="21" t="str">
        <f t="shared" si="27"/>
        <v/>
      </c>
      <c r="T24" s="21" t="str">
        <f t="shared" si="27"/>
        <v/>
      </c>
      <c r="U24" s="21" t="str">
        <f t="shared" si="27"/>
        <v/>
      </c>
      <c r="V24" s="21" t="str">
        <f t="shared" si="27"/>
        <v/>
      </c>
      <c r="W24" s="21" t="str">
        <f t="shared" si="27"/>
        <v/>
      </c>
      <c r="X24" s="21" t="str">
        <f t="shared" si="27"/>
        <v/>
      </c>
      <c r="Y24" s="21" t="str">
        <f t="shared" si="27"/>
        <v/>
      </c>
      <c r="Z24" s="21" t="str">
        <f t="shared" si="27"/>
        <v/>
      </c>
      <c r="AA24" s="21" t="str">
        <f t="shared" si="27"/>
        <v/>
      </c>
      <c r="AB24" s="21" t="str">
        <f t="shared" si="27"/>
        <v/>
      </c>
      <c r="AC24" s="21" t="str">
        <f t="shared" si="27"/>
        <v/>
      </c>
      <c r="AD24" s="21" t="str">
        <f t="shared" si="27"/>
        <v/>
      </c>
      <c r="AE24" s="21" t="str">
        <f t="shared" si="27"/>
        <v/>
      </c>
      <c r="AF24" s="21" t="str">
        <f t="shared" si="27"/>
        <v/>
      </c>
      <c r="AG24" s="21" t="str">
        <f t="shared" si="27"/>
        <v/>
      </c>
      <c r="AH24" s="21" t="str">
        <f t="shared" si="27"/>
        <v/>
      </c>
      <c r="AI24" s="21" t="str">
        <f t="shared" si="27"/>
        <v/>
      </c>
      <c r="AJ24" s="21" t="str">
        <f t="shared" si="27"/>
        <v/>
      </c>
      <c r="AK24" s="21" t="str">
        <f t="shared" si="27"/>
        <v/>
      </c>
      <c r="AL24" s="21" t="str">
        <f t="shared" si="27"/>
        <v/>
      </c>
      <c r="AM24" s="21" t="str">
        <f t="shared" si="27"/>
        <v/>
      </c>
      <c r="AN24" s="21" t="str">
        <f t="shared" si="27"/>
        <v/>
      </c>
      <c r="AO24" s="21" t="str">
        <f t="shared" si="27"/>
        <v/>
      </c>
      <c r="AR24" s="72" t="str">
        <f>Summary!H2&amp;": LS2LS Uncorrected"</f>
        <v>`34C ±35°, Diffused: LS2LS Uncorrected</v>
      </c>
      <c r="AS24" s="72"/>
      <c r="AT24" s="72"/>
      <c r="AU24" s="72"/>
      <c r="AV24" s="72"/>
      <c r="AW24" s="72"/>
    </row>
    <row r="25" spans="1:49" s="27" customFormat="1">
      <c r="A25" s="80"/>
      <c r="B25" s="27">
        <f>B9</f>
        <v>1</v>
      </c>
      <c r="C25" s="21" t="e">
        <f t="shared" ref="C25:C26" ca="1" si="28">E25+1.5*G25</f>
        <v>#DIV/0!</v>
      </c>
      <c r="D25" s="21">
        <f t="shared" ca="1" si="22"/>
        <v>0.2733073473232579</v>
      </c>
      <c r="E25" s="21">
        <f t="shared" ca="1" si="23"/>
        <v>0.2733073473232579</v>
      </c>
      <c r="F25" s="21">
        <f t="shared" ca="1" si="24"/>
        <v>0.2733073473232579</v>
      </c>
      <c r="G25" s="21" t="e">
        <f t="shared" ca="1" si="25"/>
        <v>#DIV/0!</v>
      </c>
      <c r="H25" s="74"/>
      <c r="I25" s="20" t="e">
        <f t="shared" ca="1" si="26"/>
        <v>#DIV/0!</v>
      </c>
      <c r="J25" s="21" t="str">
        <f>IF(J$3*J$4,(MAX(J9:J11)-MIN(J9:J11))/(MAX(J9:J11)+MIN(J9:J11)),"")</f>
        <v/>
      </c>
      <c r="K25" s="21" t="str">
        <f t="shared" ref="K25:AO25" si="29">IF(K$3*K$4,(MAX(K9:K11)-MIN(K9:K11))/(MAX(K9:K11)+MIN(K9:K11)),"")</f>
        <v/>
      </c>
      <c r="L25" s="21" t="str">
        <f t="shared" si="29"/>
        <v/>
      </c>
      <c r="M25" s="21" t="str">
        <f t="shared" si="29"/>
        <v/>
      </c>
      <c r="N25" s="21">
        <f t="shared" ca="1" si="29"/>
        <v>0.2733073473232579</v>
      </c>
      <c r="O25" s="21" t="str">
        <f t="shared" si="29"/>
        <v/>
      </c>
      <c r="P25" s="21" t="str">
        <f t="shared" si="29"/>
        <v/>
      </c>
      <c r="Q25" s="21" t="str">
        <f t="shared" si="29"/>
        <v/>
      </c>
      <c r="R25" s="21" t="str">
        <f t="shared" si="29"/>
        <v/>
      </c>
      <c r="S25" s="21" t="str">
        <f t="shared" si="29"/>
        <v/>
      </c>
      <c r="T25" s="21" t="str">
        <f t="shared" si="29"/>
        <v/>
      </c>
      <c r="U25" s="21" t="str">
        <f t="shared" si="29"/>
        <v/>
      </c>
      <c r="V25" s="21" t="str">
        <f t="shared" si="29"/>
        <v/>
      </c>
      <c r="W25" s="21" t="str">
        <f t="shared" si="29"/>
        <v/>
      </c>
      <c r="X25" s="21" t="str">
        <f t="shared" si="29"/>
        <v/>
      </c>
      <c r="Y25" s="21" t="str">
        <f t="shared" si="29"/>
        <v/>
      </c>
      <c r="Z25" s="21" t="str">
        <f t="shared" si="29"/>
        <v/>
      </c>
      <c r="AA25" s="21" t="str">
        <f t="shared" si="29"/>
        <v/>
      </c>
      <c r="AB25" s="21" t="str">
        <f t="shared" si="29"/>
        <v/>
      </c>
      <c r="AC25" s="21" t="str">
        <f t="shared" si="29"/>
        <v/>
      </c>
      <c r="AD25" s="21" t="str">
        <f t="shared" si="29"/>
        <v/>
      </c>
      <c r="AE25" s="21" t="str">
        <f t="shared" si="29"/>
        <v/>
      </c>
      <c r="AF25" s="21" t="str">
        <f t="shared" si="29"/>
        <v/>
      </c>
      <c r="AG25" s="21" t="str">
        <f t="shared" si="29"/>
        <v/>
      </c>
      <c r="AH25" s="21" t="str">
        <f t="shared" si="29"/>
        <v/>
      </c>
      <c r="AI25" s="21" t="str">
        <f t="shared" si="29"/>
        <v/>
      </c>
      <c r="AJ25" s="21" t="str">
        <f t="shared" si="29"/>
        <v/>
      </c>
      <c r="AK25" s="21" t="str">
        <f t="shared" si="29"/>
        <v/>
      </c>
      <c r="AL25" s="21" t="str">
        <f t="shared" si="29"/>
        <v/>
      </c>
      <c r="AM25" s="21" t="str">
        <f t="shared" si="29"/>
        <v/>
      </c>
      <c r="AN25" s="21" t="str">
        <f t="shared" si="29"/>
        <v/>
      </c>
      <c r="AO25" s="21" t="str">
        <f t="shared" si="29"/>
        <v/>
      </c>
      <c r="AR25" s="42">
        <f ca="1">MIN(D24:D27)</f>
        <v>0.27135843390302999</v>
      </c>
      <c r="AS25" s="42">
        <f ca="1">(MAX(F24:F27)-AR25)/10</f>
        <v>1.9053769934050852E-2</v>
      </c>
    </row>
    <row r="26" spans="1:49" s="27" customFormat="1">
      <c r="A26" s="80"/>
      <c r="B26" s="27">
        <f>B12</f>
        <v>2</v>
      </c>
      <c r="C26" s="21" t="e">
        <f t="shared" ca="1" si="28"/>
        <v>#DIV/0!</v>
      </c>
      <c r="D26" s="21">
        <f t="shared" ca="1" si="22"/>
        <v>0.45915233010348699</v>
      </c>
      <c r="E26" s="21">
        <f t="shared" ca="1" si="23"/>
        <v>0.45915233010348699</v>
      </c>
      <c r="F26" s="21">
        <f t="shared" ca="1" si="24"/>
        <v>0.45915233010348699</v>
      </c>
      <c r="G26" s="21" t="e">
        <f t="shared" ca="1" si="25"/>
        <v>#DIV/0!</v>
      </c>
      <c r="H26" s="74"/>
      <c r="I26" s="20" t="e">
        <f t="shared" ca="1" si="26"/>
        <v>#DIV/0!</v>
      </c>
      <c r="J26" s="21" t="str">
        <f>IF(J$3*J$4,(MAX(J12:J14)-MIN(J12:J14))/(MAX(J12:J14)+MIN(J12:J14)),"")</f>
        <v/>
      </c>
      <c r="K26" s="21" t="str">
        <f t="shared" ref="K26:AO26" si="30">IF(K$3*K$4,(MAX(K12:K14)-MIN(K12:K14))/(MAX(K12:K14)+MIN(K12:K14)),"")</f>
        <v/>
      </c>
      <c r="L26" s="21" t="str">
        <f t="shared" si="30"/>
        <v/>
      </c>
      <c r="M26" s="21" t="str">
        <f t="shared" si="30"/>
        <v/>
      </c>
      <c r="N26" s="21">
        <f t="shared" ca="1" si="30"/>
        <v>0.45915233010348699</v>
      </c>
      <c r="O26" s="21" t="str">
        <f t="shared" si="30"/>
        <v/>
      </c>
      <c r="P26" s="21" t="str">
        <f t="shared" si="30"/>
        <v/>
      </c>
      <c r="Q26" s="21" t="str">
        <f t="shared" si="30"/>
        <v/>
      </c>
      <c r="R26" s="21" t="str">
        <f t="shared" si="30"/>
        <v/>
      </c>
      <c r="S26" s="21" t="str">
        <f t="shared" si="30"/>
        <v/>
      </c>
      <c r="T26" s="21" t="str">
        <f t="shared" si="30"/>
        <v/>
      </c>
      <c r="U26" s="21" t="str">
        <f t="shared" si="30"/>
        <v/>
      </c>
      <c r="V26" s="21" t="str">
        <f t="shared" si="30"/>
        <v/>
      </c>
      <c r="W26" s="21" t="str">
        <f t="shared" si="30"/>
        <v/>
      </c>
      <c r="X26" s="21" t="str">
        <f t="shared" si="30"/>
        <v/>
      </c>
      <c r="Y26" s="21" t="str">
        <f t="shared" si="30"/>
        <v/>
      </c>
      <c r="Z26" s="21" t="str">
        <f t="shared" si="30"/>
        <v/>
      </c>
      <c r="AA26" s="21" t="str">
        <f t="shared" si="30"/>
        <v/>
      </c>
      <c r="AB26" s="21" t="str">
        <f t="shared" si="30"/>
        <v/>
      </c>
      <c r="AC26" s="21" t="str">
        <f t="shared" si="30"/>
        <v/>
      </c>
      <c r="AD26" s="21" t="str">
        <f t="shared" si="30"/>
        <v/>
      </c>
      <c r="AE26" s="21" t="str">
        <f t="shared" si="30"/>
        <v/>
      </c>
      <c r="AF26" s="21" t="str">
        <f t="shared" si="30"/>
        <v/>
      </c>
      <c r="AG26" s="21" t="str">
        <f t="shared" si="30"/>
        <v/>
      </c>
      <c r="AH26" s="21" t="str">
        <f t="shared" si="30"/>
        <v/>
      </c>
      <c r="AI26" s="21" t="str">
        <f t="shared" si="30"/>
        <v/>
      </c>
      <c r="AJ26" s="21" t="str">
        <f t="shared" si="30"/>
        <v/>
      </c>
      <c r="AK26" s="21" t="str">
        <f t="shared" si="30"/>
        <v/>
      </c>
      <c r="AL26" s="21" t="str">
        <f t="shared" si="30"/>
        <v/>
      </c>
      <c r="AM26" s="21" t="str">
        <f t="shared" si="30"/>
        <v/>
      </c>
      <c r="AN26" s="21" t="str">
        <f t="shared" si="30"/>
        <v/>
      </c>
      <c r="AO26" s="21" t="str">
        <f t="shared" si="30"/>
        <v/>
      </c>
      <c r="AR26" s="42">
        <f ca="1">MIN(D24:D27)</f>
        <v>0.27135843390302999</v>
      </c>
      <c r="AS26" s="42">
        <f ca="1">histo($J$24:$AO$27,AR$26:AR$36,AR26)/COUNT($J$24:$AO$27)</f>
        <v>0.25</v>
      </c>
    </row>
    <row r="27" spans="1:49" s="29" customFormat="1">
      <c r="A27" s="80"/>
      <c r="B27" s="27">
        <f>B15</f>
        <v>3</v>
      </c>
      <c r="C27" s="21" t="e">
        <f ca="1">E27+1.5*G27</f>
        <v>#DIV/0!</v>
      </c>
      <c r="D27" s="21">
        <f ca="1">MIN(J27:AO27)</f>
        <v>0.46189613324353851</v>
      </c>
      <c r="E27" s="21">
        <f ca="1">AVERAGE(J27:AO27)</f>
        <v>0.46189613324353851</v>
      </c>
      <c r="F27" s="21">
        <f ca="1">MAX(J27:AO27)</f>
        <v>0.46189613324353851</v>
      </c>
      <c r="G27" s="21" t="e">
        <f ca="1">STDEV(J27:AO27)</f>
        <v>#DIV/0!</v>
      </c>
      <c r="H27" s="74"/>
      <c r="I27" s="20" t="e">
        <f ca="1">(F27-D27)/G27</f>
        <v>#DIV/0!</v>
      </c>
      <c r="J27" s="21" t="str">
        <f t="shared" ref="J27:AO27" si="31">IF(J$3*J$4,(MAX(J15:J17)-MIN(J15:J17))/(MAX(J15:J17)+MIN(J15:J17)),"")</f>
        <v/>
      </c>
      <c r="K27" s="21" t="str">
        <f t="shared" si="31"/>
        <v/>
      </c>
      <c r="L27" s="21" t="str">
        <f t="shared" si="31"/>
        <v/>
      </c>
      <c r="M27" s="21" t="str">
        <f t="shared" si="31"/>
        <v/>
      </c>
      <c r="N27" s="21">
        <f t="shared" ca="1" si="31"/>
        <v>0.46189613324353851</v>
      </c>
      <c r="O27" s="21" t="str">
        <f t="shared" si="31"/>
        <v/>
      </c>
      <c r="P27" s="21" t="str">
        <f t="shared" si="31"/>
        <v/>
      </c>
      <c r="Q27" s="21" t="str">
        <f t="shared" si="31"/>
        <v/>
      </c>
      <c r="R27" s="21" t="str">
        <f t="shared" si="31"/>
        <v/>
      </c>
      <c r="S27" s="21" t="str">
        <f t="shared" si="31"/>
        <v/>
      </c>
      <c r="T27" s="21" t="str">
        <f t="shared" si="31"/>
        <v/>
      </c>
      <c r="U27" s="21" t="str">
        <f t="shared" si="31"/>
        <v/>
      </c>
      <c r="V27" s="21" t="str">
        <f t="shared" si="31"/>
        <v/>
      </c>
      <c r="W27" s="21" t="str">
        <f t="shared" si="31"/>
        <v/>
      </c>
      <c r="X27" s="21" t="str">
        <f t="shared" si="31"/>
        <v/>
      </c>
      <c r="Y27" s="21" t="str">
        <f t="shared" si="31"/>
        <v/>
      </c>
      <c r="Z27" s="21" t="str">
        <f t="shared" si="31"/>
        <v/>
      </c>
      <c r="AA27" s="21" t="str">
        <f t="shared" si="31"/>
        <v/>
      </c>
      <c r="AB27" s="21" t="str">
        <f t="shared" si="31"/>
        <v/>
      </c>
      <c r="AC27" s="21" t="str">
        <f t="shared" si="31"/>
        <v/>
      </c>
      <c r="AD27" s="21" t="str">
        <f t="shared" si="31"/>
        <v/>
      </c>
      <c r="AE27" s="21" t="str">
        <f t="shared" si="31"/>
        <v/>
      </c>
      <c r="AF27" s="21" t="str">
        <f t="shared" si="31"/>
        <v/>
      </c>
      <c r="AG27" s="21" t="str">
        <f t="shared" si="31"/>
        <v/>
      </c>
      <c r="AH27" s="21" t="str">
        <f t="shared" si="31"/>
        <v/>
      </c>
      <c r="AI27" s="21" t="str">
        <f t="shared" si="31"/>
        <v/>
      </c>
      <c r="AJ27" s="21" t="str">
        <f t="shared" si="31"/>
        <v/>
      </c>
      <c r="AK27" s="21" t="str">
        <f t="shared" si="31"/>
        <v/>
      </c>
      <c r="AL27" s="21" t="str">
        <f t="shared" si="31"/>
        <v/>
      </c>
      <c r="AM27" s="21" t="str">
        <f t="shared" si="31"/>
        <v/>
      </c>
      <c r="AN27" s="21" t="str">
        <f t="shared" si="31"/>
        <v/>
      </c>
      <c r="AO27" s="21" t="str">
        <f t="shared" si="31"/>
        <v/>
      </c>
      <c r="AR27" s="42">
        <f ca="1">AR26+AS$25</f>
        <v>0.29041220383708083</v>
      </c>
      <c r="AS27" s="42">
        <f t="shared" ref="AS27:AS36" ca="1" si="32">histo($J$24:$AO$27,AR$26:AR$36,AR27)/COUNT($J$24:$AO$27)</f>
        <v>0.25</v>
      </c>
    </row>
    <row r="28" spans="1:49" s="29" customFormat="1">
      <c r="A28" s="80"/>
      <c r="B28" s="29" t="str">
        <f>B22</f>
        <v>LO</v>
      </c>
      <c r="D28" s="32">
        <f ca="1">MIN(J24:AO25)</f>
        <v>0.27135843390302999</v>
      </c>
      <c r="E28" s="32">
        <f ca="1">AVERAGE(J24:AO25)</f>
        <v>0.27233289061314392</v>
      </c>
      <c r="F28" s="32">
        <f ca="1">MAX(J24:AO25)</f>
        <v>0.2733073473232579</v>
      </c>
      <c r="G28" s="32">
        <f ca="1">STDEV(J24:AO25)</f>
        <v>1.3780898953886188E-3</v>
      </c>
      <c r="H28" s="32">
        <f ca="1">E28+1.5*G28</f>
        <v>0.27440002545622683</v>
      </c>
      <c r="I28" s="20">
        <f t="shared" ref="I28:I29" ca="1" si="33">(F28-D28)/G28</f>
        <v>1.4142135623730951</v>
      </c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R28" s="45">
        <f t="shared" ref="AR28:AR36" ca="1" si="34">AR27+AS$25</f>
        <v>0.30946597377113166</v>
      </c>
      <c r="AS28" s="42">
        <f t="shared" ca="1" si="32"/>
        <v>0</v>
      </c>
    </row>
    <row r="29" spans="1:49" s="27" customFormat="1">
      <c r="A29" s="80"/>
      <c r="B29" s="27" t="str">
        <f>B23</f>
        <v>HI</v>
      </c>
      <c r="C29" s="29"/>
      <c r="D29" s="32">
        <f ca="1">MIN(J26:AO27)</f>
        <v>0.45915233010348699</v>
      </c>
      <c r="E29" s="32">
        <f ca="1">AVERAGE(J26:AO27)</f>
        <v>0.46052423167351275</v>
      </c>
      <c r="F29" s="32">
        <f ca="1">MAX(J26:AO27)</f>
        <v>0.46189613324353851</v>
      </c>
      <c r="G29" s="32">
        <f ca="1">STDEV(J26:AO27)</f>
        <v>1.9401618065713686E-3</v>
      </c>
      <c r="H29" s="32">
        <f ca="1">E29+1.5*G29</f>
        <v>0.46343447438336982</v>
      </c>
      <c r="I29" s="20">
        <f t="shared" ca="1" si="33"/>
        <v>1.4142135623730951</v>
      </c>
      <c r="AR29" s="45">
        <f t="shared" ca="1" si="34"/>
        <v>0.3285197437051825</v>
      </c>
      <c r="AS29" s="42">
        <f t="shared" ca="1" si="32"/>
        <v>0</v>
      </c>
    </row>
    <row r="30" spans="1:49" s="27" customFormat="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R30" s="45">
        <f t="shared" ca="1" si="34"/>
        <v>0.34757351363923333</v>
      </c>
      <c r="AS30" s="42">
        <f t="shared" ca="1" si="32"/>
        <v>0</v>
      </c>
    </row>
    <row r="31" spans="1:49" s="27" customFormat="1" ht="15" customHeight="1">
      <c r="A31" s="81" t="s">
        <v>37</v>
      </c>
      <c r="B31" s="27">
        <f>B6</f>
        <v>0</v>
      </c>
      <c r="C31" s="74" t="str">
        <f>C6</f>
        <v>A</v>
      </c>
      <c r="D31" s="21">
        <f t="shared" ref="D31:D42" ca="1" si="35">MIN(J31:AO31)</f>
        <v>0.54323001631321366</v>
      </c>
      <c r="E31" s="21">
        <f t="shared" ref="E31:E42" ca="1" si="36">AVERAGE(J31:AO31)</f>
        <v>0.54323001631321366</v>
      </c>
      <c r="F31" s="21">
        <f t="shared" ref="F31:F42" ca="1" si="37">MAX(J31:AO31)</f>
        <v>0.54323001631321366</v>
      </c>
      <c r="G31" s="21" t="e">
        <f t="shared" ref="G31:G42" ca="1" si="38">STDEV(J31:AO31)</f>
        <v>#DIV/0!</v>
      </c>
      <c r="H31" s="32" t="e">
        <f t="shared" ca="1" si="6"/>
        <v>#DIV/0!</v>
      </c>
      <c r="I31" s="20" t="e">
        <f t="shared" ref="I31:I42" ca="1" si="39">(F31-D31)/G31</f>
        <v>#DIV/0!</v>
      </c>
      <c r="J31" s="21" t="str">
        <f t="shared" ref="J31:S34" ca="1" si="40">IF(J$3*J$4,INDIRECT("R"&amp;($B$118+0+3*J$2+96*$B31)&amp;"C"&amp;($C$118+3),FALSE),"")</f>
        <v/>
      </c>
      <c r="K31" s="21" t="str">
        <f t="shared" ca="1" si="40"/>
        <v/>
      </c>
      <c r="L31" s="21" t="str">
        <f t="shared" ca="1" si="40"/>
        <v/>
      </c>
      <c r="M31" s="21" t="str">
        <f t="shared" ca="1" si="40"/>
        <v/>
      </c>
      <c r="N31" s="21">
        <f t="shared" ca="1" si="40"/>
        <v>0.54323001631321366</v>
      </c>
      <c r="O31" s="21" t="str">
        <f t="shared" ca="1" si="40"/>
        <v/>
      </c>
      <c r="P31" s="21" t="str">
        <f t="shared" ca="1" si="40"/>
        <v/>
      </c>
      <c r="Q31" s="21" t="str">
        <f t="shared" ca="1" si="40"/>
        <v/>
      </c>
      <c r="R31" s="21" t="str">
        <f t="shared" ca="1" si="40"/>
        <v/>
      </c>
      <c r="S31" s="21" t="str">
        <f t="shared" ca="1" si="40"/>
        <v/>
      </c>
      <c r="T31" s="21" t="str">
        <f t="shared" ref="T31:AC34" ca="1" si="41">IF(T$3*T$4,INDIRECT("R"&amp;($B$118+0+3*T$2+96*$B31)&amp;"C"&amp;($C$118+3),FALSE),"")</f>
        <v/>
      </c>
      <c r="U31" s="21" t="str">
        <f t="shared" ca="1" si="41"/>
        <v/>
      </c>
      <c r="V31" s="21" t="str">
        <f t="shared" ca="1" si="41"/>
        <v/>
      </c>
      <c r="W31" s="21" t="str">
        <f t="shared" ca="1" si="41"/>
        <v/>
      </c>
      <c r="X31" s="21" t="str">
        <f t="shared" ca="1" si="41"/>
        <v/>
      </c>
      <c r="Y31" s="21" t="str">
        <f t="shared" ca="1" si="41"/>
        <v/>
      </c>
      <c r="Z31" s="21" t="str">
        <f t="shared" ca="1" si="41"/>
        <v/>
      </c>
      <c r="AA31" s="21" t="str">
        <f t="shared" ca="1" si="41"/>
        <v/>
      </c>
      <c r="AB31" s="21" t="str">
        <f t="shared" ca="1" si="41"/>
        <v/>
      </c>
      <c r="AC31" s="21" t="str">
        <f t="shared" ca="1" si="41"/>
        <v/>
      </c>
      <c r="AD31" s="21" t="str">
        <f t="shared" ref="AD31:AO34" ca="1" si="42">IF(AD$3*AD$4,INDIRECT("R"&amp;($B$118+0+3*AD$2+96*$B31)&amp;"C"&amp;($C$118+3),FALSE),"")</f>
        <v/>
      </c>
      <c r="AE31" s="21" t="str">
        <f t="shared" ca="1" si="42"/>
        <v/>
      </c>
      <c r="AF31" s="21" t="str">
        <f t="shared" ca="1" si="42"/>
        <v/>
      </c>
      <c r="AG31" s="21" t="str">
        <f t="shared" ca="1" si="42"/>
        <v/>
      </c>
      <c r="AH31" s="21" t="str">
        <f t="shared" ca="1" si="42"/>
        <v/>
      </c>
      <c r="AI31" s="21" t="str">
        <f t="shared" ca="1" si="42"/>
        <v/>
      </c>
      <c r="AJ31" s="21" t="str">
        <f t="shared" ca="1" si="42"/>
        <v/>
      </c>
      <c r="AK31" s="21" t="str">
        <f t="shared" ca="1" si="42"/>
        <v/>
      </c>
      <c r="AL31" s="21" t="str">
        <f t="shared" ca="1" si="42"/>
        <v/>
      </c>
      <c r="AM31" s="21" t="str">
        <f t="shared" ca="1" si="42"/>
        <v/>
      </c>
      <c r="AN31" s="21" t="str">
        <f t="shared" ca="1" si="42"/>
        <v/>
      </c>
      <c r="AO31" s="21" t="str">
        <f t="shared" ca="1" si="42"/>
        <v/>
      </c>
      <c r="AR31" s="45">
        <f t="shared" ca="1" si="34"/>
        <v>0.36662728357328417</v>
      </c>
      <c r="AS31" s="42">
        <f t="shared" ca="1" si="32"/>
        <v>0</v>
      </c>
    </row>
    <row r="32" spans="1:49" s="27" customFormat="1">
      <c r="A32" s="81"/>
      <c r="B32" s="27">
        <f>B9</f>
        <v>1</v>
      </c>
      <c r="C32" s="74"/>
      <c r="D32" s="21">
        <f ca="1">MIN(J32:AO32)</f>
        <v>0.5489220563847429</v>
      </c>
      <c r="E32" s="21">
        <f ca="1">AVERAGE(J32:AO32)</f>
        <v>0.5489220563847429</v>
      </c>
      <c r="F32" s="21">
        <f ca="1">MAX(J32:AO32)</f>
        <v>0.5489220563847429</v>
      </c>
      <c r="G32" s="21" t="e">
        <f ca="1">STDEV(J32:AO32)</f>
        <v>#DIV/0!</v>
      </c>
      <c r="H32" s="32" t="e">
        <f t="shared" ca="1" si="6"/>
        <v>#DIV/0!</v>
      </c>
      <c r="I32" s="20" t="e">
        <f ca="1">(F32-D32)/G32</f>
        <v>#DIV/0!</v>
      </c>
      <c r="J32" s="21" t="str">
        <f t="shared" ca="1" si="40"/>
        <v/>
      </c>
      <c r="K32" s="21" t="str">
        <f t="shared" ca="1" si="40"/>
        <v/>
      </c>
      <c r="L32" s="21" t="str">
        <f t="shared" ca="1" si="40"/>
        <v/>
      </c>
      <c r="M32" s="21" t="str">
        <f t="shared" ca="1" si="40"/>
        <v/>
      </c>
      <c r="N32" s="21">
        <f t="shared" ca="1" si="40"/>
        <v>0.5489220563847429</v>
      </c>
      <c r="O32" s="21" t="str">
        <f t="shared" ca="1" si="40"/>
        <v/>
      </c>
      <c r="P32" s="21" t="str">
        <f t="shared" ca="1" si="40"/>
        <v/>
      </c>
      <c r="Q32" s="21" t="str">
        <f t="shared" ca="1" si="40"/>
        <v/>
      </c>
      <c r="R32" s="21" t="str">
        <f t="shared" ca="1" si="40"/>
        <v/>
      </c>
      <c r="S32" s="21" t="str">
        <f t="shared" ca="1" si="40"/>
        <v/>
      </c>
      <c r="T32" s="21" t="str">
        <f t="shared" ca="1" si="41"/>
        <v/>
      </c>
      <c r="U32" s="21" t="str">
        <f t="shared" ca="1" si="41"/>
        <v/>
      </c>
      <c r="V32" s="21" t="str">
        <f t="shared" ca="1" si="41"/>
        <v/>
      </c>
      <c r="W32" s="21" t="str">
        <f t="shared" ca="1" si="41"/>
        <v/>
      </c>
      <c r="X32" s="21" t="str">
        <f t="shared" ca="1" si="41"/>
        <v/>
      </c>
      <c r="Y32" s="21" t="str">
        <f t="shared" ca="1" si="41"/>
        <v/>
      </c>
      <c r="Z32" s="21" t="str">
        <f t="shared" ca="1" si="41"/>
        <v/>
      </c>
      <c r="AA32" s="21" t="str">
        <f t="shared" ca="1" si="41"/>
        <v/>
      </c>
      <c r="AB32" s="21" t="str">
        <f t="shared" ca="1" si="41"/>
        <v/>
      </c>
      <c r="AC32" s="21" t="str">
        <f t="shared" ca="1" si="41"/>
        <v/>
      </c>
      <c r="AD32" s="21" t="str">
        <f t="shared" ca="1" si="42"/>
        <v/>
      </c>
      <c r="AE32" s="21" t="str">
        <f t="shared" ca="1" si="42"/>
        <v/>
      </c>
      <c r="AF32" s="21" t="str">
        <f t="shared" ca="1" si="42"/>
        <v/>
      </c>
      <c r="AG32" s="21" t="str">
        <f t="shared" ca="1" si="42"/>
        <v/>
      </c>
      <c r="AH32" s="21" t="str">
        <f t="shared" ca="1" si="42"/>
        <v/>
      </c>
      <c r="AI32" s="21" t="str">
        <f t="shared" ca="1" si="42"/>
        <v/>
      </c>
      <c r="AJ32" s="21" t="str">
        <f t="shared" ca="1" si="42"/>
        <v/>
      </c>
      <c r="AK32" s="21" t="str">
        <f t="shared" ca="1" si="42"/>
        <v/>
      </c>
      <c r="AL32" s="21" t="str">
        <f t="shared" ca="1" si="42"/>
        <v/>
      </c>
      <c r="AM32" s="21" t="str">
        <f t="shared" ca="1" si="42"/>
        <v/>
      </c>
      <c r="AN32" s="21" t="str">
        <f t="shared" ca="1" si="42"/>
        <v/>
      </c>
      <c r="AO32" s="21" t="str">
        <f t="shared" ca="1" si="42"/>
        <v/>
      </c>
      <c r="AR32" s="45">
        <f t="shared" ca="1" si="34"/>
        <v>0.385681053507335</v>
      </c>
      <c r="AS32" s="42">
        <f t="shared" ca="1" si="32"/>
        <v>0</v>
      </c>
    </row>
    <row r="33" spans="1:45" s="27" customFormat="1">
      <c r="A33" s="81"/>
      <c r="B33" s="27">
        <f>B12</f>
        <v>2</v>
      </c>
      <c r="C33" s="74"/>
      <c r="D33" s="21">
        <f ca="1">MIN(J33:AO33)</f>
        <v>0.8788838612368024</v>
      </c>
      <c r="E33" s="21">
        <f ca="1">AVERAGE(J33:AO33)</f>
        <v>0.8788838612368024</v>
      </c>
      <c r="F33" s="21">
        <f ca="1">MAX(J33:AO33)</f>
        <v>0.8788838612368024</v>
      </c>
      <c r="G33" s="21" t="e">
        <f ca="1">STDEV(J33:AO33)</f>
        <v>#DIV/0!</v>
      </c>
      <c r="H33" s="32" t="e">
        <f t="shared" ca="1" si="6"/>
        <v>#DIV/0!</v>
      </c>
      <c r="I33" s="20" t="e">
        <f ca="1">(F33-D33)/G33</f>
        <v>#DIV/0!</v>
      </c>
      <c r="J33" s="21" t="str">
        <f t="shared" ca="1" si="40"/>
        <v/>
      </c>
      <c r="K33" s="21" t="str">
        <f t="shared" ca="1" si="40"/>
        <v/>
      </c>
      <c r="L33" s="21" t="str">
        <f t="shared" ca="1" si="40"/>
        <v/>
      </c>
      <c r="M33" s="21" t="str">
        <f t="shared" ca="1" si="40"/>
        <v/>
      </c>
      <c r="N33" s="21">
        <f t="shared" ca="1" si="40"/>
        <v>0.8788838612368024</v>
      </c>
      <c r="O33" s="21" t="str">
        <f t="shared" ca="1" si="40"/>
        <v/>
      </c>
      <c r="P33" s="21" t="str">
        <f t="shared" ca="1" si="40"/>
        <v/>
      </c>
      <c r="Q33" s="21" t="str">
        <f t="shared" ca="1" si="40"/>
        <v/>
      </c>
      <c r="R33" s="21" t="str">
        <f t="shared" ca="1" si="40"/>
        <v/>
      </c>
      <c r="S33" s="21" t="str">
        <f t="shared" ca="1" si="40"/>
        <v/>
      </c>
      <c r="T33" s="21" t="str">
        <f t="shared" ca="1" si="41"/>
        <v/>
      </c>
      <c r="U33" s="21" t="str">
        <f t="shared" ca="1" si="41"/>
        <v/>
      </c>
      <c r="V33" s="21" t="str">
        <f t="shared" ca="1" si="41"/>
        <v/>
      </c>
      <c r="W33" s="21" t="str">
        <f t="shared" ca="1" si="41"/>
        <v/>
      </c>
      <c r="X33" s="21" t="str">
        <f t="shared" ca="1" si="41"/>
        <v/>
      </c>
      <c r="Y33" s="21" t="str">
        <f t="shared" ca="1" si="41"/>
        <v/>
      </c>
      <c r="Z33" s="21" t="str">
        <f t="shared" ca="1" si="41"/>
        <v/>
      </c>
      <c r="AA33" s="21" t="str">
        <f t="shared" ca="1" si="41"/>
        <v/>
      </c>
      <c r="AB33" s="21" t="str">
        <f t="shared" ca="1" si="41"/>
        <v/>
      </c>
      <c r="AC33" s="21" t="str">
        <f t="shared" ca="1" si="41"/>
        <v/>
      </c>
      <c r="AD33" s="21" t="str">
        <f t="shared" ca="1" si="42"/>
        <v/>
      </c>
      <c r="AE33" s="21" t="str">
        <f t="shared" ca="1" si="42"/>
        <v/>
      </c>
      <c r="AF33" s="21" t="str">
        <f t="shared" ca="1" si="42"/>
        <v/>
      </c>
      <c r="AG33" s="21" t="str">
        <f t="shared" ca="1" si="42"/>
        <v/>
      </c>
      <c r="AH33" s="21" t="str">
        <f t="shared" ca="1" si="42"/>
        <v/>
      </c>
      <c r="AI33" s="21" t="str">
        <f t="shared" ca="1" si="42"/>
        <v/>
      </c>
      <c r="AJ33" s="21" t="str">
        <f t="shared" ca="1" si="42"/>
        <v/>
      </c>
      <c r="AK33" s="21" t="str">
        <f t="shared" ca="1" si="42"/>
        <v/>
      </c>
      <c r="AL33" s="21" t="str">
        <f t="shared" ca="1" si="42"/>
        <v/>
      </c>
      <c r="AM33" s="21" t="str">
        <f t="shared" ca="1" si="42"/>
        <v/>
      </c>
      <c r="AN33" s="21" t="str">
        <f t="shared" ca="1" si="42"/>
        <v/>
      </c>
      <c r="AO33" s="21" t="str">
        <f t="shared" ca="1" si="42"/>
        <v/>
      </c>
      <c r="AR33" s="45">
        <f t="shared" ca="1" si="34"/>
        <v>0.40473482344138584</v>
      </c>
      <c r="AS33" s="42">
        <f t="shared" ca="1" si="32"/>
        <v>0</v>
      </c>
    </row>
    <row r="34" spans="1:45" s="27" customFormat="1">
      <c r="A34" s="81"/>
      <c r="B34" s="27">
        <f>B15</f>
        <v>3</v>
      </c>
      <c r="C34" s="74"/>
      <c r="D34" s="21">
        <f ca="1">MIN(J34:AO34)</f>
        <v>0.87950678944904004</v>
      </c>
      <c r="E34" s="21">
        <f ca="1">AVERAGE(J34:AO34)</f>
        <v>0.87950678944904004</v>
      </c>
      <c r="F34" s="21">
        <f ca="1">MAX(J34:AO34)</f>
        <v>0.87950678944904004</v>
      </c>
      <c r="G34" s="21" t="e">
        <f ca="1">STDEV(J34:AO34)</f>
        <v>#DIV/0!</v>
      </c>
      <c r="H34" s="32" t="e">
        <f t="shared" ca="1" si="6"/>
        <v>#DIV/0!</v>
      </c>
      <c r="I34" s="20" t="e">
        <f ca="1">(F34-D34)/G34</f>
        <v>#DIV/0!</v>
      </c>
      <c r="J34" s="21" t="str">
        <f t="shared" ca="1" si="40"/>
        <v/>
      </c>
      <c r="K34" s="21" t="str">
        <f t="shared" ca="1" si="40"/>
        <v/>
      </c>
      <c r="L34" s="21" t="str">
        <f t="shared" ca="1" si="40"/>
        <v/>
      </c>
      <c r="M34" s="21" t="str">
        <f t="shared" ca="1" si="40"/>
        <v/>
      </c>
      <c r="N34" s="21">
        <f t="shared" ca="1" si="40"/>
        <v>0.87950678944904004</v>
      </c>
      <c r="O34" s="21" t="str">
        <f t="shared" ca="1" si="40"/>
        <v/>
      </c>
      <c r="P34" s="21" t="str">
        <f t="shared" ca="1" si="40"/>
        <v/>
      </c>
      <c r="Q34" s="21" t="str">
        <f t="shared" ca="1" si="40"/>
        <v/>
      </c>
      <c r="R34" s="21" t="str">
        <f t="shared" ca="1" si="40"/>
        <v/>
      </c>
      <c r="S34" s="21" t="str">
        <f t="shared" ca="1" si="40"/>
        <v/>
      </c>
      <c r="T34" s="21" t="str">
        <f t="shared" ca="1" si="41"/>
        <v/>
      </c>
      <c r="U34" s="21" t="str">
        <f t="shared" ca="1" si="41"/>
        <v/>
      </c>
      <c r="V34" s="21" t="str">
        <f t="shared" ca="1" si="41"/>
        <v/>
      </c>
      <c r="W34" s="21" t="str">
        <f t="shared" ca="1" si="41"/>
        <v/>
      </c>
      <c r="X34" s="21" t="str">
        <f t="shared" ca="1" si="41"/>
        <v/>
      </c>
      <c r="Y34" s="21" t="str">
        <f t="shared" ca="1" si="41"/>
        <v/>
      </c>
      <c r="Z34" s="21" t="str">
        <f t="shared" ca="1" si="41"/>
        <v/>
      </c>
      <c r="AA34" s="21" t="str">
        <f t="shared" ca="1" si="41"/>
        <v/>
      </c>
      <c r="AB34" s="21" t="str">
        <f t="shared" ca="1" si="41"/>
        <v/>
      </c>
      <c r="AC34" s="21" t="str">
        <f t="shared" ca="1" si="41"/>
        <v/>
      </c>
      <c r="AD34" s="21" t="str">
        <f t="shared" ca="1" si="42"/>
        <v/>
      </c>
      <c r="AE34" s="21" t="str">
        <f t="shared" ca="1" si="42"/>
        <v/>
      </c>
      <c r="AF34" s="21" t="str">
        <f t="shared" ca="1" si="42"/>
        <v/>
      </c>
      <c r="AG34" s="21" t="str">
        <f t="shared" ca="1" si="42"/>
        <v/>
      </c>
      <c r="AH34" s="21" t="str">
        <f t="shared" ca="1" si="42"/>
        <v/>
      </c>
      <c r="AI34" s="21" t="str">
        <f t="shared" ca="1" si="42"/>
        <v/>
      </c>
      <c r="AJ34" s="21" t="str">
        <f t="shared" ca="1" si="42"/>
        <v/>
      </c>
      <c r="AK34" s="21" t="str">
        <f t="shared" ca="1" si="42"/>
        <v/>
      </c>
      <c r="AL34" s="21" t="str">
        <f t="shared" ca="1" si="42"/>
        <v/>
      </c>
      <c r="AM34" s="21" t="str">
        <f t="shared" ca="1" si="42"/>
        <v/>
      </c>
      <c r="AN34" s="21" t="str">
        <f t="shared" ca="1" si="42"/>
        <v/>
      </c>
      <c r="AO34" s="21" t="str">
        <f t="shared" ca="1" si="42"/>
        <v/>
      </c>
      <c r="AR34" s="45">
        <f t="shared" ca="1" si="34"/>
        <v>0.42378859337543667</v>
      </c>
      <c r="AS34" s="42">
        <f t="shared" ca="1" si="32"/>
        <v>0</v>
      </c>
    </row>
    <row r="35" spans="1:45" s="27" customFormat="1">
      <c r="A35" s="81"/>
      <c r="B35" s="27">
        <f>B31</f>
        <v>0</v>
      </c>
      <c r="C35" s="74" t="str">
        <f t="shared" ref="C35" si="43">C7</f>
        <v>CWF</v>
      </c>
      <c r="D35" s="21">
        <f t="shared" ca="1" si="35"/>
        <v>9.8375451263537861E-2</v>
      </c>
      <c r="E35" s="21">
        <f t="shared" ca="1" si="36"/>
        <v>9.8375451263537861E-2</v>
      </c>
      <c r="F35" s="21">
        <f t="shared" ca="1" si="37"/>
        <v>9.8375451263537861E-2</v>
      </c>
      <c r="G35" s="21" t="e">
        <f t="shared" ca="1" si="38"/>
        <v>#DIV/0!</v>
      </c>
      <c r="H35" s="32" t="e">
        <f t="shared" ca="1" si="6"/>
        <v>#DIV/0!</v>
      </c>
      <c r="I35" s="20" t="e">
        <f t="shared" ca="1" si="39"/>
        <v>#DIV/0!</v>
      </c>
      <c r="J35" s="21" t="str">
        <f t="shared" ref="J35:AO35" ca="1" si="44">IF(J$3*J$4,INDIRECT("R"&amp;($B$118+1+3*J$2+96*$B31)&amp;"C"&amp;($C$118+3),FALSE),"")</f>
        <v/>
      </c>
      <c r="K35" s="21" t="str">
        <f t="shared" ca="1" si="44"/>
        <v/>
      </c>
      <c r="L35" s="21" t="str">
        <f t="shared" ca="1" si="44"/>
        <v/>
      </c>
      <c r="M35" s="21" t="str">
        <f t="shared" ca="1" si="44"/>
        <v/>
      </c>
      <c r="N35" s="21">
        <f t="shared" ca="1" si="44"/>
        <v>9.8375451263537861E-2</v>
      </c>
      <c r="O35" s="21" t="str">
        <f t="shared" ca="1" si="44"/>
        <v/>
      </c>
      <c r="P35" s="21" t="str">
        <f t="shared" ca="1" si="44"/>
        <v/>
      </c>
      <c r="Q35" s="21" t="str">
        <f t="shared" ca="1" si="44"/>
        <v/>
      </c>
      <c r="R35" s="21" t="str">
        <f t="shared" ca="1" si="44"/>
        <v/>
      </c>
      <c r="S35" s="21" t="str">
        <f t="shared" ca="1" si="44"/>
        <v/>
      </c>
      <c r="T35" s="21" t="str">
        <f t="shared" ca="1" si="44"/>
        <v/>
      </c>
      <c r="U35" s="21" t="str">
        <f t="shared" ca="1" si="44"/>
        <v/>
      </c>
      <c r="V35" s="21" t="str">
        <f t="shared" ca="1" si="44"/>
        <v/>
      </c>
      <c r="W35" s="21" t="str">
        <f t="shared" ca="1" si="44"/>
        <v/>
      </c>
      <c r="X35" s="21" t="str">
        <f t="shared" ca="1" si="44"/>
        <v/>
      </c>
      <c r="Y35" s="21" t="str">
        <f t="shared" ca="1" si="44"/>
        <v/>
      </c>
      <c r="Z35" s="21" t="str">
        <f t="shared" ca="1" si="44"/>
        <v/>
      </c>
      <c r="AA35" s="21" t="str">
        <f t="shared" ca="1" si="44"/>
        <v/>
      </c>
      <c r="AB35" s="21" t="str">
        <f t="shared" ca="1" si="44"/>
        <v/>
      </c>
      <c r="AC35" s="21" t="str">
        <f t="shared" ca="1" si="44"/>
        <v/>
      </c>
      <c r="AD35" s="21" t="str">
        <f t="shared" ca="1" si="44"/>
        <v/>
      </c>
      <c r="AE35" s="21" t="str">
        <f t="shared" ca="1" si="44"/>
        <v/>
      </c>
      <c r="AF35" s="21" t="str">
        <f t="shared" ca="1" si="44"/>
        <v/>
      </c>
      <c r="AG35" s="21" t="str">
        <f t="shared" ca="1" si="44"/>
        <v/>
      </c>
      <c r="AH35" s="21" t="str">
        <f t="shared" ca="1" si="44"/>
        <v/>
      </c>
      <c r="AI35" s="21" t="str">
        <f t="shared" ca="1" si="44"/>
        <v/>
      </c>
      <c r="AJ35" s="21" t="str">
        <f t="shared" ca="1" si="44"/>
        <v/>
      </c>
      <c r="AK35" s="21" t="str">
        <f t="shared" ca="1" si="44"/>
        <v/>
      </c>
      <c r="AL35" s="21" t="str">
        <f t="shared" ca="1" si="44"/>
        <v/>
      </c>
      <c r="AM35" s="21" t="str">
        <f t="shared" ca="1" si="44"/>
        <v/>
      </c>
      <c r="AN35" s="21" t="str">
        <f t="shared" ca="1" si="44"/>
        <v/>
      </c>
      <c r="AO35" s="21" t="str">
        <f t="shared" ca="1" si="44"/>
        <v/>
      </c>
      <c r="AR35" s="45">
        <f t="shared" ca="1" si="34"/>
        <v>0.44284236330948751</v>
      </c>
      <c r="AS35" s="42">
        <f t="shared" ca="1" si="32"/>
        <v>0</v>
      </c>
    </row>
    <row r="36" spans="1:45" s="27" customFormat="1">
      <c r="A36" s="81"/>
      <c r="B36" s="27">
        <f t="shared" ref="B36:B42" si="45">B32</f>
        <v>1</v>
      </c>
      <c r="C36" s="74"/>
      <c r="D36" s="21">
        <f ca="1">MIN(J36:AO36)</f>
        <v>9.8972922502334193E-2</v>
      </c>
      <c r="E36" s="21">
        <f ca="1">AVERAGE(J36:AO36)</f>
        <v>9.8972922502334193E-2</v>
      </c>
      <c r="F36" s="21">
        <f ca="1">MAX(J36:AO36)</f>
        <v>9.8972922502334193E-2</v>
      </c>
      <c r="G36" s="21" t="e">
        <f ca="1">STDEV(J36:AO36)</f>
        <v>#DIV/0!</v>
      </c>
      <c r="H36" s="32" t="e">
        <f t="shared" ca="1" si="6"/>
        <v>#DIV/0!</v>
      </c>
      <c r="I36" s="20" t="e">
        <f ca="1">(F36-D36)/G36</f>
        <v>#DIV/0!</v>
      </c>
      <c r="J36" s="21" t="str">
        <f t="shared" ref="J36:AO36" ca="1" si="46">IF(J$3*J$4,INDIRECT("R"&amp;($B$118+1+3*J$2+96*$B32)&amp;"C"&amp;($C$118+3),FALSE),"")</f>
        <v/>
      </c>
      <c r="K36" s="21" t="str">
        <f t="shared" ca="1" si="46"/>
        <v/>
      </c>
      <c r="L36" s="21" t="str">
        <f t="shared" ca="1" si="46"/>
        <v/>
      </c>
      <c r="M36" s="21" t="str">
        <f t="shared" ca="1" si="46"/>
        <v/>
      </c>
      <c r="N36" s="21">
        <f t="shared" ca="1" si="46"/>
        <v>9.8972922502334193E-2</v>
      </c>
      <c r="O36" s="21" t="str">
        <f t="shared" ca="1" si="46"/>
        <v/>
      </c>
      <c r="P36" s="21" t="str">
        <f t="shared" ca="1" si="46"/>
        <v/>
      </c>
      <c r="Q36" s="21" t="str">
        <f t="shared" ca="1" si="46"/>
        <v/>
      </c>
      <c r="R36" s="21" t="str">
        <f t="shared" ca="1" si="46"/>
        <v/>
      </c>
      <c r="S36" s="21" t="str">
        <f t="shared" ca="1" si="46"/>
        <v/>
      </c>
      <c r="T36" s="21" t="str">
        <f t="shared" ca="1" si="46"/>
        <v/>
      </c>
      <c r="U36" s="21" t="str">
        <f t="shared" ca="1" si="46"/>
        <v/>
      </c>
      <c r="V36" s="21" t="str">
        <f t="shared" ca="1" si="46"/>
        <v/>
      </c>
      <c r="W36" s="21" t="str">
        <f t="shared" ca="1" si="46"/>
        <v/>
      </c>
      <c r="X36" s="21" t="str">
        <f t="shared" ca="1" si="46"/>
        <v/>
      </c>
      <c r="Y36" s="21" t="str">
        <f t="shared" ca="1" si="46"/>
        <v/>
      </c>
      <c r="Z36" s="21" t="str">
        <f t="shared" ca="1" si="46"/>
        <v/>
      </c>
      <c r="AA36" s="21" t="str">
        <f t="shared" ca="1" si="46"/>
        <v/>
      </c>
      <c r="AB36" s="21" t="str">
        <f t="shared" ca="1" si="46"/>
        <v/>
      </c>
      <c r="AC36" s="21" t="str">
        <f t="shared" ca="1" si="46"/>
        <v/>
      </c>
      <c r="AD36" s="21" t="str">
        <f t="shared" ca="1" si="46"/>
        <v/>
      </c>
      <c r="AE36" s="21" t="str">
        <f t="shared" ca="1" si="46"/>
        <v/>
      </c>
      <c r="AF36" s="21" t="str">
        <f t="shared" ca="1" si="46"/>
        <v/>
      </c>
      <c r="AG36" s="21" t="str">
        <f t="shared" ca="1" si="46"/>
        <v/>
      </c>
      <c r="AH36" s="21" t="str">
        <f t="shared" ca="1" si="46"/>
        <v/>
      </c>
      <c r="AI36" s="21" t="str">
        <f t="shared" ca="1" si="46"/>
        <v/>
      </c>
      <c r="AJ36" s="21" t="str">
        <f t="shared" ca="1" si="46"/>
        <v/>
      </c>
      <c r="AK36" s="21" t="str">
        <f t="shared" ca="1" si="46"/>
        <v/>
      </c>
      <c r="AL36" s="21" t="str">
        <f t="shared" ca="1" si="46"/>
        <v/>
      </c>
      <c r="AM36" s="21" t="str">
        <f t="shared" ca="1" si="46"/>
        <v/>
      </c>
      <c r="AN36" s="21" t="str">
        <f t="shared" ca="1" si="46"/>
        <v/>
      </c>
      <c r="AO36" s="21" t="str">
        <f t="shared" ca="1" si="46"/>
        <v/>
      </c>
      <c r="AR36" s="45">
        <f t="shared" ca="1" si="34"/>
        <v>0.46189613324353834</v>
      </c>
      <c r="AS36" s="42">
        <f t="shared" ca="1" si="32"/>
        <v>0.5</v>
      </c>
    </row>
    <row r="37" spans="1:45" s="27" customFormat="1">
      <c r="A37" s="81"/>
      <c r="B37" s="27">
        <f t="shared" si="45"/>
        <v>2</v>
      </c>
      <c r="C37" s="74"/>
      <c r="D37" s="21">
        <f ca="1">MIN(J37:AO37)</f>
        <v>4.0657439446366711E-2</v>
      </c>
      <c r="E37" s="21">
        <f ca="1">AVERAGE(J37:AO37)</f>
        <v>4.0657439446366711E-2</v>
      </c>
      <c r="F37" s="21">
        <f ca="1">MAX(J37:AO37)</f>
        <v>4.0657439446366711E-2</v>
      </c>
      <c r="G37" s="21" t="e">
        <f ca="1">STDEV(J37:AO37)</f>
        <v>#DIV/0!</v>
      </c>
      <c r="H37" s="32" t="e">
        <f t="shared" ca="1" si="6"/>
        <v>#DIV/0!</v>
      </c>
      <c r="I37" s="20" t="e">
        <f ca="1">(F37-D37)/G37</f>
        <v>#DIV/0!</v>
      </c>
      <c r="J37" s="21" t="str">
        <f t="shared" ref="J37:AO37" ca="1" si="47">IF(J$3*J$4,INDIRECT("R"&amp;($B$118+1+3*J$2+96*$B33)&amp;"C"&amp;($C$118+3),FALSE),"")</f>
        <v/>
      </c>
      <c r="K37" s="21" t="str">
        <f t="shared" ca="1" si="47"/>
        <v/>
      </c>
      <c r="L37" s="21" t="str">
        <f t="shared" ca="1" si="47"/>
        <v/>
      </c>
      <c r="M37" s="21" t="str">
        <f t="shared" ca="1" si="47"/>
        <v/>
      </c>
      <c r="N37" s="21">
        <f t="shared" ca="1" si="47"/>
        <v>4.0657439446366711E-2</v>
      </c>
      <c r="O37" s="21" t="str">
        <f t="shared" ca="1" si="47"/>
        <v/>
      </c>
      <c r="P37" s="21" t="str">
        <f t="shared" ca="1" si="47"/>
        <v/>
      </c>
      <c r="Q37" s="21" t="str">
        <f t="shared" ca="1" si="47"/>
        <v/>
      </c>
      <c r="R37" s="21" t="str">
        <f t="shared" ca="1" si="47"/>
        <v/>
      </c>
      <c r="S37" s="21" t="str">
        <f t="shared" ca="1" si="47"/>
        <v/>
      </c>
      <c r="T37" s="21" t="str">
        <f t="shared" ca="1" si="47"/>
        <v/>
      </c>
      <c r="U37" s="21" t="str">
        <f t="shared" ca="1" si="47"/>
        <v/>
      </c>
      <c r="V37" s="21" t="str">
        <f t="shared" ca="1" si="47"/>
        <v/>
      </c>
      <c r="W37" s="21" t="str">
        <f t="shared" ca="1" si="47"/>
        <v/>
      </c>
      <c r="X37" s="21" t="str">
        <f t="shared" ca="1" si="47"/>
        <v/>
      </c>
      <c r="Y37" s="21" t="str">
        <f t="shared" ca="1" si="47"/>
        <v/>
      </c>
      <c r="Z37" s="21" t="str">
        <f t="shared" ca="1" si="47"/>
        <v/>
      </c>
      <c r="AA37" s="21" t="str">
        <f t="shared" ca="1" si="47"/>
        <v/>
      </c>
      <c r="AB37" s="21" t="str">
        <f t="shared" ca="1" si="47"/>
        <v/>
      </c>
      <c r="AC37" s="21" t="str">
        <f t="shared" ca="1" si="47"/>
        <v/>
      </c>
      <c r="AD37" s="21" t="str">
        <f t="shared" ca="1" si="47"/>
        <v/>
      </c>
      <c r="AE37" s="21" t="str">
        <f t="shared" ca="1" si="47"/>
        <v/>
      </c>
      <c r="AF37" s="21" t="str">
        <f t="shared" ca="1" si="47"/>
        <v/>
      </c>
      <c r="AG37" s="21" t="str">
        <f t="shared" ca="1" si="47"/>
        <v/>
      </c>
      <c r="AH37" s="21" t="str">
        <f t="shared" ca="1" si="47"/>
        <v/>
      </c>
      <c r="AI37" s="21" t="str">
        <f t="shared" ca="1" si="47"/>
        <v/>
      </c>
      <c r="AJ37" s="21" t="str">
        <f t="shared" ca="1" si="47"/>
        <v/>
      </c>
      <c r="AK37" s="21" t="str">
        <f t="shared" ca="1" si="47"/>
        <v/>
      </c>
      <c r="AL37" s="21" t="str">
        <f t="shared" ca="1" si="47"/>
        <v/>
      </c>
      <c r="AM37" s="21" t="str">
        <f t="shared" ca="1" si="47"/>
        <v/>
      </c>
      <c r="AN37" s="21" t="str">
        <f t="shared" ca="1" si="47"/>
        <v/>
      </c>
      <c r="AO37" s="21" t="str">
        <f t="shared" ca="1" si="47"/>
        <v/>
      </c>
      <c r="AR37" s="44"/>
    </row>
    <row r="38" spans="1:45" s="27" customFormat="1">
      <c r="A38" s="81"/>
      <c r="B38" s="27">
        <f t="shared" si="45"/>
        <v>3</v>
      </c>
      <c r="C38" s="74"/>
      <c r="D38" s="21">
        <f ca="1">MIN(J38:AO38)</f>
        <v>4.2780748663101623E-2</v>
      </c>
      <c r="E38" s="21">
        <f ca="1">AVERAGE(J38:AO38)</f>
        <v>4.2780748663101623E-2</v>
      </c>
      <c r="F38" s="21">
        <f ca="1">MAX(J38:AO38)</f>
        <v>4.2780748663101623E-2</v>
      </c>
      <c r="G38" s="21" t="e">
        <f ca="1">STDEV(J38:AO38)</f>
        <v>#DIV/0!</v>
      </c>
      <c r="H38" s="32" t="e">
        <f t="shared" ca="1" si="6"/>
        <v>#DIV/0!</v>
      </c>
      <c r="I38" s="20" t="e">
        <f ca="1">(F38-D38)/G38</f>
        <v>#DIV/0!</v>
      </c>
      <c r="J38" s="21" t="str">
        <f t="shared" ref="J38:AO38" ca="1" si="48">IF(J$3*J$4,INDIRECT("R"&amp;($B$118+1+3*J$2+96*$B34)&amp;"C"&amp;($C$118+3),FALSE),"")</f>
        <v/>
      </c>
      <c r="K38" s="21" t="str">
        <f t="shared" ca="1" si="48"/>
        <v/>
      </c>
      <c r="L38" s="21" t="str">
        <f t="shared" ca="1" si="48"/>
        <v/>
      </c>
      <c r="M38" s="21" t="str">
        <f t="shared" ca="1" si="48"/>
        <v/>
      </c>
      <c r="N38" s="21">
        <f t="shared" ca="1" si="48"/>
        <v>4.2780748663101623E-2</v>
      </c>
      <c r="O38" s="21" t="str">
        <f t="shared" ca="1" si="48"/>
        <v/>
      </c>
      <c r="P38" s="21" t="str">
        <f t="shared" ca="1" si="48"/>
        <v/>
      </c>
      <c r="Q38" s="21" t="str">
        <f t="shared" ca="1" si="48"/>
        <v/>
      </c>
      <c r="R38" s="21" t="str">
        <f t="shared" ca="1" si="48"/>
        <v/>
      </c>
      <c r="S38" s="21" t="str">
        <f t="shared" ca="1" si="48"/>
        <v/>
      </c>
      <c r="T38" s="21" t="str">
        <f t="shared" ca="1" si="48"/>
        <v/>
      </c>
      <c r="U38" s="21" t="str">
        <f t="shared" ca="1" si="48"/>
        <v/>
      </c>
      <c r="V38" s="21" t="str">
        <f t="shared" ca="1" si="48"/>
        <v/>
      </c>
      <c r="W38" s="21" t="str">
        <f t="shared" ca="1" si="48"/>
        <v/>
      </c>
      <c r="X38" s="21" t="str">
        <f t="shared" ca="1" si="48"/>
        <v/>
      </c>
      <c r="Y38" s="21" t="str">
        <f t="shared" ca="1" si="48"/>
        <v/>
      </c>
      <c r="Z38" s="21" t="str">
        <f t="shared" ca="1" si="48"/>
        <v/>
      </c>
      <c r="AA38" s="21" t="str">
        <f t="shared" ca="1" si="48"/>
        <v/>
      </c>
      <c r="AB38" s="21" t="str">
        <f t="shared" ca="1" si="48"/>
        <v/>
      </c>
      <c r="AC38" s="21" t="str">
        <f t="shared" ca="1" si="48"/>
        <v/>
      </c>
      <c r="AD38" s="21" t="str">
        <f t="shared" ca="1" si="48"/>
        <v/>
      </c>
      <c r="AE38" s="21" t="str">
        <f t="shared" ca="1" si="48"/>
        <v/>
      </c>
      <c r="AF38" s="21" t="str">
        <f t="shared" ca="1" si="48"/>
        <v/>
      </c>
      <c r="AG38" s="21" t="str">
        <f t="shared" ca="1" si="48"/>
        <v/>
      </c>
      <c r="AH38" s="21" t="str">
        <f t="shared" ca="1" si="48"/>
        <v/>
      </c>
      <c r="AI38" s="21" t="str">
        <f t="shared" ca="1" si="48"/>
        <v/>
      </c>
      <c r="AJ38" s="21" t="str">
        <f t="shared" ca="1" si="48"/>
        <v/>
      </c>
      <c r="AK38" s="21" t="str">
        <f t="shared" ca="1" si="48"/>
        <v/>
      </c>
      <c r="AL38" s="21" t="str">
        <f t="shared" ca="1" si="48"/>
        <v/>
      </c>
      <c r="AM38" s="21" t="str">
        <f t="shared" ca="1" si="48"/>
        <v/>
      </c>
      <c r="AN38" s="21" t="str">
        <f t="shared" ca="1" si="48"/>
        <v/>
      </c>
      <c r="AO38" s="21" t="str">
        <f t="shared" ca="1" si="48"/>
        <v/>
      </c>
      <c r="AR38" s="44"/>
    </row>
    <row r="39" spans="1:45" s="27" customFormat="1">
      <c r="A39" s="81"/>
      <c r="B39" s="27">
        <f t="shared" si="45"/>
        <v>0</v>
      </c>
      <c r="C39" s="74" t="str">
        <f>C8</f>
        <v>D65</v>
      </c>
      <c r="D39" s="21">
        <f t="shared" ca="1" si="35"/>
        <v>0.339699863574352</v>
      </c>
      <c r="E39" s="21">
        <f t="shared" ca="1" si="36"/>
        <v>0.339699863574352</v>
      </c>
      <c r="F39" s="21">
        <f t="shared" ca="1" si="37"/>
        <v>0.339699863574352</v>
      </c>
      <c r="G39" s="21" t="e">
        <f t="shared" ca="1" si="38"/>
        <v>#DIV/0!</v>
      </c>
      <c r="H39" s="32" t="e">
        <f t="shared" ca="1" si="6"/>
        <v>#DIV/0!</v>
      </c>
      <c r="I39" s="20" t="e">
        <f t="shared" ca="1" si="39"/>
        <v>#DIV/0!</v>
      </c>
      <c r="J39" s="21" t="str">
        <f t="shared" ref="J39:AO39" ca="1" si="49">IF(J$3*J$4,INDIRECT("R"&amp;($B$118+2+3*J$2+96*$B31)&amp;"C"&amp;($C$118+3),FALSE),"")</f>
        <v/>
      </c>
      <c r="K39" s="21" t="str">
        <f t="shared" ca="1" si="49"/>
        <v/>
      </c>
      <c r="L39" s="21" t="str">
        <f t="shared" ca="1" si="49"/>
        <v/>
      </c>
      <c r="M39" s="21" t="str">
        <f t="shared" ca="1" si="49"/>
        <v/>
      </c>
      <c r="N39" s="21">
        <f t="shared" ca="1" si="49"/>
        <v>0.339699863574352</v>
      </c>
      <c r="O39" s="21" t="str">
        <f t="shared" ca="1" si="49"/>
        <v/>
      </c>
      <c r="P39" s="21" t="str">
        <f t="shared" ca="1" si="49"/>
        <v/>
      </c>
      <c r="Q39" s="21" t="str">
        <f t="shared" ca="1" si="49"/>
        <v/>
      </c>
      <c r="R39" s="21" t="str">
        <f t="shared" ca="1" si="49"/>
        <v/>
      </c>
      <c r="S39" s="21" t="str">
        <f t="shared" ca="1" si="49"/>
        <v/>
      </c>
      <c r="T39" s="21" t="str">
        <f t="shared" ca="1" si="49"/>
        <v/>
      </c>
      <c r="U39" s="21" t="str">
        <f t="shared" ca="1" si="49"/>
        <v/>
      </c>
      <c r="V39" s="21" t="str">
        <f t="shared" ca="1" si="49"/>
        <v/>
      </c>
      <c r="W39" s="21" t="str">
        <f t="shared" ca="1" si="49"/>
        <v/>
      </c>
      <c r="X39" s="21" t="str">
        <f t="shared" ca="1" si="49"/>
        <v/>
      </c>
      <c r="Y39" s="21" t="str">
        <f t="shared" ca="1" si="49"/>
        <v/>
      </c>
      <c r="Z39" s="21" t="str">
        <f t="shared" ca="1" si="49"/>
        <v/>
      </c>
      <c r="AA39" s="21" t="str">
        <f t="shared" ca="1" si="49"/>
        <v/>
      </c>
      <c r="AB39" s="21" t="str">
        <f t="shared" ca="1" si="49"/>
        <v/>
      </c>
      <c r="AC39" s="21" t="str">
        <f t="shared" ca="1" si="49"/>
        <v/>
      </c>
      <c r="AD39" s="21" t="str">
        <f t="shared" ca="1" si="49"/>
        <v/>
      </c>
      <c r="AE39" s="21" t="str">
        <f t="shared" ca="1" si="49"/>
        <v/>
      </c>
      <c r="AF39" s="21" t="str">
        <f t="shared" ca="1" si="49"/>
        <v/>
      </c>
      <c r="AG39" s="21" t="str">
        <f t="shared" ca="1" si="49"/>
        <v/>
      </c>
      <c r="AH39" s="21" t="str">
        <f t="shared" ca="1" si="49"/>
        <v/>
      </c>
      <c r="AI39" s="21" t="str">
        <f t="shared" ca="1" si="49"/>
        <v/>
      </c>
      <c r="AJ39" s="21" t="str">
        <f t="shared" ca="1" si="49"/>
        <v/>
      </c>
      <c r="AK39" s="21" t="str">
        <f t="shared" ca="1" si="49"/>
        <v/>
      </c>
      <c r="AL39" s="21" t="str">
        <f t="shared" ca="1" si="49"/>
        <v/>
      </c>
      <c r="AM39" s="21" t="str">
        <f t="shared" ca="1" si="49"/>
        <v/>
      </c>
      <c r="AN39" s="21" t="str">
        <f t="shared" ca="1" si="49"/>
        <v/>
      </c>
      <c r="AO39" s="21" t="str">
        <f t="shared" ca="1" si="49"/>
        <v/>
      </c>
      <c r="AR39" s="44"/>
    </row>
    <row r="40" spans="1:45" s="27" customFormat="1">
      <c r="A40" s="81"/>
      <c r="B40" s="27">
        <f t="shared" si="45"/>
        <v>1</v>
      </c>
      <c r="C40" s="74"/>
      <c r="D40" s="21">
        <f ca="1">MIN(J40:AO40)</f>
        <v>0.34128376008418104</v>
      </c>
      <c r="E40" s="21">
        <f ca="1">AVERAGE(J40:AO40)</f>
        <v>0.34128376008418104</v>
      </c>
      <c r="F40" s="21">
        <f ca="1">MAX(J40:AO40)</f>
        <v>0.34128376008418104</v>
      </c>
      <c r="G40" s="21" t="e">
        <f ca="1">STDEV(J40:AO40)</f>
        <v>#DIV/0!</v>
      </c>
      <c r="H40" s="32" t="e">
        <f t="shared" ca="1" si="6"/>
        <v>#DIV/0!</v>
      </c>
      <c r="I40" s="20" t="e">
        <f ca="1">(F40-D40)/G40</f>
        <v>#DIV/0!</v>
      </c>
      <c r="J40" s="21" t="str">
        <f t="shared" ref="J40:AO40" ca="1" si="50">IF(J$3*J$4,INDIRECT("R"&amp;($B$118+2+3*J$2+96*$B32)&amp;"C"&amp;($C$118+3),FALSE),"")</f>
        <v/>
      </c>
      <c r="K40" s="21" t="str">
        <f t="shared" ca="1" si="50"/>
        <v/>
      </c>
      <c r="L40" s="21" t="str">
        <f t="shared" ca="1" si="50"/>
        <v/>
      </c>
      <c r="M40" s="21" t="str">
        <f t="shared" ca="1" si="50"/>
        <v/>
      </c>
      <c r="N40" s="21">
        <f t="shared" ca="1" si="50"/>
        <v>0.34128376008418104</v>
      </c>
      <c r="O40" s="21" t="str">
        <f t="shared" ca="1" si="50"/>
        <v/>
      </c>
      <c r="P40" s="21" t="str">
        <f t="shared" ca="1" si="50"/>
        <v/>
      </c>
      <c r="Q40" s="21" t="str">
        <f t="shared" ca="1" si="50"/>
        <v/>
      </c>
      <c r="R40" s="21" t="str">
        <f t="shared" ca="1" si="50"/>
        <v/>
      </c>
      <c r="S40" s="21" t="str">
        <f t="shared" ca="1" si="50"/>
        <v/>
      </c>
      <c r="T40" s="21" t="str">
        <f t="shared" ca="1" si="50"/>
        <v/>
      </c>
      <c r="U40" s="21" t="str">
        <f t="shared" ca="1" si="50"/>
        <v/>
      </c>
      <c r="V40" s="21" t="str">
        <f t="shared" ca="1" si="50"/>
        <v/>
      </c>
      <c r="W40" s="21" t="str">
        <f t="shared" ca="1" si="50"/>
        <v/>
      </c>
      <c r="X40" s="21" t="str">
        <f t="shared" ca="1" si="50"/>
        <v/>
      </c>
      <c r="Y40" s="21" t="str">
        <f t="shared" ca="1" si="50"/>
        <v/>
      </c>
      <c r="Z40" s="21" t="str">
        <f t="shared" ca="1" si="50"/>
        <v/>
      </c>
      <c r="AA40" s="21" t="str">
        <f t="shared" ca="1" si="50"/>
        <v/>
      </c>
      <c r="AB40" s="21" t="str">
        <f t="shared" ca="1" si="50"/>
        <v/>
      </c>
      <c r="AC40" s="21" t="str">
        <f t="shared" ca="1" si="50"/>
        <v/>
      </c>
      <c r="AD40" s="21" t="str">
        <f t="shared" ca="1" si="50"/>
        <v/>
      </c>
      <c r="AE40" s="21" t="str">
        <f t="shared" ca="1" si="50"/>
        <v/>
      </c>
      <c r="AF40" s="21" t="str">
        <f t="shared" ca="1" si="50"/>
        <v/>
      </c>
      <c r="AG40" s="21" t="str">
        <f t="shared" ca="1" si="50"/>
        <v/>
      </c>
      <c r="AH40" s="21" t="str">
        <f t="shared" ca="1" si="50"/>
        <v/>
      </c>
      <c r="AI40" s="21" t="str">
        <f t="shared" ca="1" si="50"/>
        <v/>
      </c>
      <c r="AJ40" s="21" t="str">
        <f t="shared" ca="1" si="50"/>
        <v/>
      </c>
      <c r="AK40" s="21" t="str">
        <f t="shared" ca="1" si="50"/>
        <v/>
      </c>
      <c r="AL40" s="21" t="str">
        <f t="shared" ca="1" si="50"/>
        <v/>
      </c>
      <c r="AM40" s="21" t="str">
        <f t="shared" ca="1" si="50"/>
        <v/>
      </c>
      <c r="AN40" s="21" t="str">
        <f t="shared" ca="1" si="50"/>
        <v/>
      </c>
      <c r="AO40" s="21" t="str">
        <f t="shared" ca="1" si="50"/>
        <v/>
      </c>
      <c r="AR40" s="44"/>
    </row>
    <row r="41" spans="1:45" s="27" customFormat="1">
      <c r="A41" s="81"/>
      <c r="B41" s="27">
        <f t="shared" si="45"/>
        <v>2</v>
      </c>
      <c r="C41" s="74"/>
      <c r="D41" s="21">
        <f t="shared" ca="1" si="35"/>
        <v>0.52907348242811503</v>
      </c>
      <c r="E41" s="21">
        <f t="shared" ca="1" si="36"/>
        <v>0.52907348242811503</v>
      </c>
      <c r="F41" s="21">
        <f t="shared" ca="1" si="37"/>
        <v>0.52907348242811503</v>
      </c>
      <c r="G41" s="21" t="e">
        <f t="shared" ca="1" si="38"/>
        <v>#DIV/0!</v>
      </c>
      <c r="H41" s="32" t="e">
        <f t="shared" ca="1" si="6"/>
        <v>#DIV/0!</v>
      </c>
      <c r="I41" s="20" t="e">
        <f t="shared" ca="1" si="39"/>
        <v>#DIV/0!</v>
      </c>
      <c r="J41" s="21" t="str">
        <f t="shared" ref="J41:AO41" ca="1" si="51">IF(J$3*J$4,INDIRECT("R"&amp;($B$118+2+3*J$2+96*$B33)&amp;"C"&amp;($C$118+3),FALSE),"")</f>
        <v/>
      </c>
      <c r="K41" s="21" t="str">
        <f t="shared" ca="1" si="51"/>
        <v/>
      </c>
      <c r="L41" s="21" t="str">
        <f t="shared" ca="1" si="51"/>
        <v/>
      </c>
      <c r="M41" s="21" t="str">
        <f t="shared" ca="1" si="51"/>
        <v/>
      </c>
      <c r="N41" s="21">
        <f t="shared" ca="1" si="51"/>
        <v>0.52907348242811503</v>
      </c>
      <c r="O41" s="21" t="str">
        <f t="shared" ca="1" si="51"/>
        <v/>
      </c>
      <c r="P41" s="21" t="str">
        <f t="shared" ca="1" si="51"/>
        <v/>
      </c>
      <c r="Q41" s="21" t="str">
        <f t="shared" ca="1" si="51"/>
        <v/>
      </c>
      <c r="R41" s="21" t="str">
        <f t="shared" ca="1" si="51"/>
        <v/>
      </c>
      <c r="S41" s="21" t="str">
        <f t="shared" ca="1" si="51"/>
        <v/>
      </c>
      <c r="T41" s="21" t="str">
        <f t="shared" ca="1" si="51"/>
        <v/>
      </c>
      <c r="U41" s="21" t="str">
        <f t="shared" ca="1" si="51"/>
        <v/>
      </c>
      <c r="V41" s="21" t="str">
        <f t="shared" ca="1" si="51"/>
        <v/>
      </c>
      <c r="W41" s="21" t="str">
        <f t="shared" ca="1" si="51"/>
        <v/>
      </c>
      <c r="X41" s="21" t="str">
        <f t="shared" ca="1" si="51"/>
        <v/>
      </c>
      <c r="Y41" s="21" t="str">
        <f t="shared" ca="1" si="51"/>
        <v/>
      </c>
      <c r="Z41" s="21" t="str">
        <f t="shared" ca="1" si="51"/>
        <v/>
      </c>
      <c r="AA41" s="21" t="str">
        <f t="shared" ca="1" si="51"/>
        <v/>
      </c>
      <c r="AB41" s="21" t="str">
        <f t="shared" ca="1" si="51"/>
        <v/>
      </c>
      <c r="AC41" s="21" t="str">
        <f t="shared" ca="1" si="51"/>
        <v/>
      </c>
      <c r="AD41" s="21" t="str">
        <f t="shared" ca="1" si="51"/>
        <v/>
      </c>
      <c r="AE41" s="21" t="str">
        <f t="shared" ca="1" si="51"/>
        <v/>
      </c>
      <c r="AF41" s="21" t="str">
        <f t="shared" ca="1" si="51"/>
        <v/>
      </c>
      <c r="AG41" s="21" t="str">
        <f t="shared" ca="1" si="51"/>
        <v/>
      </c>
      <c r="AH41" s="21" t="str">
        <f t="shared" ca="1" si="51"/>
        <v/>
      </c>
      <c r="AI41" s="21" t="str">
        <f t="shared" ca="1" si="51"/>
        <v/>
      </c>
      <c r="AJ41" s="21" t="str">
        <f t="shared" ca="1" si="51"/>
        <v/>
      </c>
      <c r="AK41" s="21" t="str">
        <f t="shared" ca="1" si="51"/>
        <v/>
      </c>
      <c r="AL41" s="21" t="str">
        <f t="shared" ca="1" si="51"/>
        <v/>
      </c>
      <c r="AM41" s="21" t="str">
        <f t="shared" ca="1" si="51"/>
        <v/>
      </c>
      <c r="AN41" s="21" t="str">
        <f t="shared" ca="1" si="51"/>
        <v/>
      </c>
      <c r="AO41" s="21" t="str">
        <f t="shared" ca="1" si="51"/>
        <v/>
      </c>
      <c r="AR41" s="44"/>
    </row>
    <row r="42" spans="1:45" s="27" customFormat="1">
      <c r="A42" s="81"/>
      <c r="B42" s="27">
        <f t="shared" si="45"/>
        <v>3</v>
      </c>
      <c r="C42" s="74"/>
      <c r="D42" s="21">
        <f t="shared" ca="1" si="35"/>
        <v>0.52873183619550856</v>
      </c>
      <c r="E42" s="21">
        <f t="shared" ca="1" si="36"/>
        <v>0.52873183619550856</v>
      </c>
      <c r="F42" s="21">
        <f t="shared" ca="1" si="37"/>
        <v>0.52873183619550856</v>
      </c>
      <c r="G42" s="21" t="e">
        <f t="shared" ca="1" si="38"/>
        <v>#DIV/0!</v>
      </c>
      <c r="H42" s="32" t="e">
        <f t="shared" ca="1" si="6"/>
        <v>#DIV/0!</v>
      </c>
      <c r="I42" s="20" t="e">
        <f t="shared" ca="1" si="39"/>
        <v>#DIV/0!</v>
      </c>
      <c r="J42" s="21" t="str">
        <f t="shared" ref="J42:AO42" ca="1" si="52">IF(J$3*J$4,INDIRECT("R"&amp;($B$118+2+3*J$2+96*$B34)&amp;"C"&amp;($C$118+3),FALSE),"")</f>
        <v/>
      </c>
      <c r="K42" s="21" t="str">
        <f t="shared" ca="1" si="52"/>
        <v/>
      </c>
      <c r="L42" s="21" t="str">
        <f t="shared" ca="1" si="52"/>
        <v/>
      </c>
      <c r="M42" s="21" t="str">
        <f t="shared" ca="1" si="52"/>
        <v/>
      </c>
      <c r="N42" s="21">
        <f t="shared" ca="1" si="52"/>
        <v>0.52873183619550856</v>
      </c>
      <c r="O42" s="21" t="str">
        <f t="shared" ca="1" si="52"/>
        <v/>
      </c>
      <c r="P42" s="21" t="str">
        <f t="shared" ca="1" si="52"/>
        <v/>
      </c>
      <c r="Q42" s="21" t="str">
        <f t="shared" ca="1" si="52"/>
        <v/>
      </c>
      <c r="R42" s="21" t="str">
        <f t="shared" ca="1" si="52"/>
        <v/>
      </c>
      <c r="S42" s="21" t="str">
        <f t="shared" ca="1" si="52"/>
        <v/>
      </c>
      <c r="T42" s="21" t="str">
        <f t="shared" ca="1" si="52"/>
        <v/>
      </c>
      <c r="U42" s="21" t="str">
        <f t="shared" ca="1" si="52"/>
        <v/>
      </c>
      <c r="V42" s="21" t="str">
        <f t="shared" ca="1" si="52"/>
        <v/>
      </c>
      <c r="W42" s="21" t="str">
        <f t="shared" ca="1" si="52"/>
        <v/>
      </c>
      <c r="X42" s="21" t="str">
        <f t="shared" ca="1" si="52"/>
        <v/>
      </c>
      <c r="Y42" s="21" t="str">
        <f t="shared" ca="1" si="52"/>
        <v/>
      </c>
      <c r="Z42" s="21" t="str">
        <f t="shared" ca="1" si="52"/>
        <v/>
      </c>
      <c r="AA42" s="21" t="str">
        <f t="shared" ca="1" si="52"/>
        <v/>
      </c>
      <c r="AB42" s="21" t="str">
        <f t="shared" ca="1" si="52"/>
        <v/>
      </c>
      <c r="AC42" s="21" t="str">
        <f t="shared" ca="1" si="52"/>
        <v/>
      </c>
      <c r="AD42" s="21" t="str">
        <f t="shared" ca="1" si="52"/>
        <v/>
      </c>
      <c r="AE42" s="21" t="str">
        <f t="shared" ca="1" si="52"/>
        <v/>
      </c>
      <c r="AF42" s="21" t="str">
        <f t="shared" ca="1" si="52"/>
        <v/>
      </c>
      <c r="AG42" s="21" t="str">
        <f t="shared" ca="1" si="52"/>
        <v/>
      </c>
      <c r="AH42" s="21" t="str">
        <f t="shared" ca="1" si="52"/>
        <v/>
      </c>
      <c r="AI42" s="21" t="str">
        <f t="shared" ca="1" si="52"/>
        <v/>
      </c>
      <c r="AJ42" s="21" t="str">
        <f t="shared" ca="1" si="52"/>
        <v/>
      </c>
      <c r="AK42" s="21" t="str">
        <f t="shared" ca="1" si="52"/>
        <v/>
      </c>
      <c r="AL42" s="21" t="str">
        <f t="shared" ca="1" si="52"/>
        <v/>
      </c>
      <c r="AM42" s="21" t="str">
        <f t="shared" ca="1" si="52"/>
        <v/>
      </c>
      <c r="AN42" s="21" t="str">
        <f t="shared" ca="1" si="52"/>
        <v/>
      </c>
      <c r="AO42" s="21" t="str">
        <f t="shared" ca="1" si="52"/>
        <v/>
      </c>
      <c r="AR42" s="44"/>
    </row>
    <row r="43" spans="1:45" s="29" customFormat="1">
      <c r="A43" s="81"/>
      <c r="B43" s="29" t="s">
        <v>19</v>
      </c>
      <c r="C43" s="74" t="str">
        <f>C31</f>
        <v>A</v>
      </c>
      <c r="D43" s="32">
        <f ca="1">MIN(J31:AO32)</f>
        <v>0.54323001631321366</v>
      </c>
      <c r="E43" s="32">
        <f ca="1">AVERAGE(J31:AO32)</f>
        <v>0.54607603634897828</v>
      </c>
      <c r="F43" s="32">
        <f ca="1">MAX(J31:AO32)</f>
        <v>0.5489220563847429</v>
      </c>
      <c r="G43" s="32">
        <f ca="1">STDEV(J31:AO32)</f>
        <v>4.0248801333638839E-3</v>
      </c>
      <c r="H43" s="32">
        <f t="shared" ref="H43" ca="1" si="53">ABS(G43/E43)</f>
        <v>7.3705489079394842E-3</v>
      </c>
      <c r="I43" s="20">
        <f t="shared" ref="I43" ca="1" si="54">(F43-D43)/G43</f>
        <v>1.4142135623730951</v>
      </c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R43" s="44"/>
    </row>
    <row r="44" spans="1:45" s="29" customFormat="1">
      <c r="A44" s="81"/>
      <c r="B44" s="29" t="s">
        <v>20</v>
      </c>
      <c r="C44" s="74"/>
      <c r="D44" s="32">
        <f ca="1">MIN(J33:AO34)</f>
        <v>0.8788838612368024</v>
      </c>
      <c r="E44" s="32">
        <f ca="1">AVERAGE(J33:AO34)</f>
        <v>0.87919532534292122</v>
      </c>
      <c r="F44" s="32">
        <f ca="1">MAX(J33:AO34)</f>
        <v>0.87950678944904004</v>
      </c>
      <c r="G44" s="32">
        <f ca="1">STDEV(J33:AO34)</f>
        <v>4.4047676306564743E-4</v>
      </c>
      <c r="H44" s="32">
        <f t="shared" ref="H44" ca="1" si="55">ABS(G44/E44)</f>
        <v>5.0099989202495349E-4</v>
      </c>
      <c r="I44" s="20">
        <f t="shared" ref="I44" ca="1" si="56">(F44-D44)/G44</f>
        <v>1.4142135623730949</v>
      </c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R44" s="44"/>
    </row>
    <row r="45" spans="1:45" s="29" customFormat="1">
      <c r="A45" s="81"/>
      <c r="B45" s="29" t="str">
        <f>B43</f>
        <v>LO</v>
      </c>
      <c r="C45" s="74" t="str">
        <f>C35</f>
        <v>CWF</v>
      </c>
      <c r="D45" s="32">
        <f t="shared" ref="D45" ca="1" si="57">MIN(J35:AO36)</f>
        <v>9.8375451263537861E-2</v>
      </c>
      <c r="E45" s="32">
        <f t="shared" ref="E45" ca="1" si="58">AVERAGE(J35:AO36)</f>
        <v>9.8674186882936027E-2</v>
      </c>
      <c r="F45" s="32">
        <f t="shared" ref="F45" ca="1" si="59">MAX(J35:AO36)</f>
        <v>9.8972922502334193E-2</v>
      </c>
      <c r="G45" s="32">
        <f t="shared" ref="G45" ca="1" si="60">STDEV(J35:AO36)</f>
        <v>4.2247596451681349E-4</v>
      </c>
      <c r="H45" s="32">
        <f t="shared" ref="H45:H46" ca="1" si="61">ABS(G45/E45)</f>
        <v>4.2815246607304279E-3</v>
      </c>
      <c r="I45" s="20">
        <f t="shared" ref="I45:I46" ca="1" si="62">(F45-D45)/G45</f>
        <v>1.4142135623730951</v>
      </c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</row>
    <row r="46" spans="1:45" s="29" customFormat="1">
      <c r="A46" s="81"/>
      <c r="B46" s="29" t="str">
        <f>B44</f>
        <v>HI</v>
      </c>
      <c r="C46" s="74"/>
      <c r="D46" s="32">
        <f t="shared" ref="D46" ca="1" si="63">MIN(J37:AO38)</f>
        <v>4.0657439446366711E-2</v>
      </c>
      <c r="E46" s="32">
        <f t="shared" ref="E46" ca="1" si="64">AVERAGE(J37:AO38)</f>
        <v>4.1719094054734167E-2</v>
      </c>
      <c r="F46" s="32">
        <f t="shared" ref="F46" ca="1" si="65">MAX(J37:AO38)</f>
        <v>4.2780748663101623E-2</v>
      </c>
      <c r="G46" s="32">
        <f t="shared" ref="G46" ca="1" si="66">STDEV(J37:AO38)</f>
        <v>1.5014063457091528E-3</v>
      </c>
      <c r="H46" s="32">
        <f t="shared" ca="1" si="61"/>
        <v>3.5988469542012437E-2</v>
      </c>
      <c r="I46" s="20">
        <f t="shared" ca="1" si="62"/>
        <v>1.4142135623730949</v>
      </c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</row>
    <row r="47" spans="1:45" s="29" customFormat="1">
      <c r="A47" s="81"/>
      <c r="B47" s="29" t="str">
        <f t="shared" ref="B47:B48" si="67">B45</f>
        <v>LO</v>
      </c>
      <c r="C47" s="74" t="str">
        <f>C39</f>
        <v>D65</v>
      </c>
      <c r="D47" s="32">
        <f ca="1">MIN(J39:AO40)</f>
        <v>0.339699863574352</v>
      </c>
      <c r="E47" s="32">
        <f ca="1">AVERAGE(J39:AO40)</f>
        <v>0.34049181182926652</v>
      </c>
      <c r="F47" s="32">
        <f ca="1">MAX(J39:AO40)</f>
        <v>0.34128376008418104</v>
      </c>
      <c r="G47" s="32">
        <f ca="1">STDEV(J39:AO40)</f>
        <v>1.1199839627978204E-3</v>
      </c>
      <c r="H47" s="32">
        <f t="shared" ref="H47:H48" ca="1" si="68">ABS(G47/E47)</f>
        <v>3.2893124706312063E-3</v>
      </c>
      <c r="I47" s="20">
        <f ca="1">(F47-D47)/G47</f>
        <v>1.4142135623730949</v>
      </c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</row>
    <row r="48" spans="1:45" s="29" customFormat="1">
      <c r="A48" s="81"/>
      <c r="B48" s="29" t="str">
        <f t="shared" si="67"/>
        <v>HI</v>
      </c>
      <c r="C48" s="74"/>
      <c r="D48" s="32">
        <f ca="1">MIN(J41:AO42)</f>
        <v>0.52873183619550856</v>
      </c>
      <c r="E48" s="32">
        <f ca="1">AVERAGE(J41:AO42)</f>
        <v>0.5289026593118118</v>
      </c>
      <c r="F48" s="32">
        <f ca="1">MAX(J41:AO42)</f>
        <v>0.52907348242811503</v>
      </c>
      <c r="G48" s="32">
        <f ca="1">STDEV(J41:AO42)</f>
        <v>2.4158036784286647E-4</v>
      </c>
      <c r="H48" s="32">
        <f t="shared" ca="1" si="68"/>
        <v>4.5675771068574649E-4</v>
      </c>
      <c r="I48" s="20">
        <f ca="1">(F48-D48)/G48</f>
        <v>1.4142135623730949</v>
      </c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</row>
    <row r="49" spans="1:41" s="29" customFormat="1" ht="15.75" thickBot="1">
      <c r="A49" s="31"/>
      <c r="C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</row>
    <row r="50" spans="1:41">
      <c r="A50" s="22">
        <f ca="1">C119</f>
        <v>10.184219576421713</v>
      </c>
      <c r="B50" s="77">
        <v>0</v>
      </c>
      <c r="C50" s="2" t="str">
        <f>AR119</f>
        <v>A</v>
      </c>
      <c r="D50" s="2">
        <f ca="1">MIN(J50:AO50)</f>
        <v>276.88914306555603</v>
      </c>
      <c r="E50" s="20">
        <f t="shared" ref="E50:E65" ca="1" si="69">AVERAGE(J50:AO50)</f>
        <v>276.88914306555603</v>
      </c>
      <c r="F50" s="2">
        <f ca="1">MAX(J50:AO50)</f>
        <v>276.88914306555603</v>
      </c>
      <c r="G50" s="20" t="e">
        <f t="shared" ref="G50:G65" ca="1" si="70">STDEV(J50:AO50)</f>
        <v>#DIV/0!</v>
      </c>
      <c r="H50" s="32" t="e">
        <f t="shared" ca="1" si="6"/>
        <v>#DIV/0!</v>
      </c>
      <c r="I50" s="20" t="e">
        <f ca="1">(F50-D50)/G50</f>
        <v>#DIV/0!</v>
      </c>
      <c r="J50" s="26" t="str">
        <f t="shared" ref="J50:AO50" ca="1" si="71">IF(J$3*J$4,$A50*INDIRECT("R"&amp;($B$118+0+3*J$2+96*$B50)&amp;"C"&amp;$C$118,FALSE)+$A51*INDIRECT("R"&amp;($B$118+0+3*J$2+96*$B50)&amp;"C"&amp;($C$118+1),FALSE),"")</f>
        <v/>
      </c>
      <c r="K50" s="26" t="str">
        <f t="shared" ca="1" si="71"/>
        <v/>
      </c>
      <c r="L50" s="26" t="str">
        <f t="shared" ca="1" si="71"/>
        <v/>
      </c>
      <c r="M50" s="26" t="str">
        <f t="shared" ca="1" si="71"/>
        <v/>
      </c>
      <c r="N50" s="26">
        <f t="shared" ca="1" si="71"/>
        <v>276.88914306555603</v>
      </c>
      <c r="O50" s="26" t="str">
        <f t="shared" ca="1" si="71"/>
        <v/>
      </c>
      <c r="P50" s="26" t="str">
        <f t="shared" ca="1" si="71"/>
        <v/>
      </c>
      <c r="Q50" s="26" t="str">
        <f t="shared" ca="1" si="71"/>
        <v/>
      </c>
      <c r="R50" s="26" t="str">
        <f t="shared" ca="1" si="71"/>
        <v/>
      </c>
      <c r="S50" s="26" t="str">
        <f t="shared" ca="1" si="71"/>
        <v/>
      </c>
      <c r="T50" s="26" t="str">
        <f t="shared" ca="1" si="71"/>
        <v/>
      </c>
      <c r="U50" s="26" t="str">
        <f t="shared" ca="1" si="71"/>
        <v/>
      </c>
      <c r="V50" s="26" t="str">
        <f t="shared" ca="1" si="71"/>
        <v/>
      </c>
      <c r="W50" s="26" t="str">
        <f t="shared" ca="1" si="71"/>
        <v/>
      </c>
      <c r="X50" s="26" t="str">
        <f t="shared" ca="1" si="71"/>
        <v/>
      </c>
      <c r="Y50" s="26" t="str">
        <f t="shared" ca="1" si="71"/>
        <v/>
      </c>
      <c r="Z50" s="26" t="str">
        <f t="shared" ca="1" si="71"/>
        <v/>
      </c>
      <c r="AA50" s="26" t="str">
        <f t="shared" ca="1" si="71"/>
        <v/>
      </c>
      <c r="AB50" s="26" t="str">
        <f t="shared" ca="1" si="71"/>
        <v/>
      </c>
      <c r="AC50" s="26" t="str">
        <f t="shared" ca="1" si="71"/>
        <v/>
      </c>
      <c r="AD50" s="26" t="str">
        <f t="shared" ca="1" si="71"/>
        <v/>
      </c>
      <c r="AE50" s="26" t="str">
        <f t="shared" ca="1" si="71"/>
        <v/>
      </c>
      <c r="AF50" s="26" t="str">
        <f t="shared" ca="1" si="71"/>
        <v/>
      </c>
      <c r="AG50" s="26" t="str">
        <f t="shared" ca="1" si="71"/>
        <v/>
      </c>
      <c r="AH50" s="26" t="str">
        <f t="shared" ca="1" si="71"/>
        <v/>
      </c>
      <c r="AI50" s="26" t="str">
        <f t="shared" ca="1" si="71"/>
        <v/>
      </c>
      <c r="AJ50" s="26" t="str">
        <f t="shared" ca="1" si="71"/>
        <v/>
      </c>
      <c r="AK50" s="26" t="str">
        <f t="shared" ca="1" si="71"/>
        <v/>
      </c>
      <c r="AL50" s="26" t="str">
        <f t="shared" ca="1" si="71"/>
        <v/>
      </c>
      <c r="AM50" s="26" t="str">
        <f t="shared" ca="1" si="71"/>
        <v/>
      </c>
      <c r="AN50" s="26" t="str">
        <f t="shared" ca="1" si="71"/>
        <v/>
      </c>
      <c r="AO50" s="26" t="str">
        <f t="shared" ca="1" si="71"/>
        <v/>
      </c>
    </row>
    <row r="51" spans="1:41">
      <c r="A51" s="23">
        <f ca="1">B119</f>
        <v>-13.024043039775574</v>
      </c>
      <c r="B51" s="78"/>
      <c r="C51" s="2" t="str">
        <f>AR120</f>
        <v>CWF</v>
      </c>
      <c r="D51" s="6">
        <f t="shared" ref="D51:D65" ca="1" si="72">MIN(J51:AO51)</f>
        <v>233.94058338355063</v>
      </c>
      <c r="E51" s="20">
        <f t="shared" ca="1" si="69"/>
        <v>233.94058338355063</v>
      </c>
      <c r="F51" s="6">
        <f t="shared" ref="F51:F65" ca="1" si="73">MAX(J51:AO51)</f>
        <v>233.94058338355063</v>
      </c>
      <c r="G51" s="20" t="e">
        <f t="shared" ca="1" si="70"/>
        <v>#DIV/0!</v>
      </c>
      <c r="H51" s="32" t="e">
        <f t="shared" ca="1" si="6"/>
        <v>#DIV/0!</v>
      </c>
      <c r="I51" s="20" t="e">
        <f t="shared" ref="I51:I65" ca="1" si="74">(F51-D51)/G51</f>
        <v>#DIV/0!</v>
      </c>
      <c r="J51" s="26" t="str">
        <f t="shared" ref="J51:AO51" ca="1" si="75">IF(J$3*J$4,$A50*INDIRECT("R"&amp;($B$118+1+3*J$2+96*$B50)&amp;"C"&amp;$C$118,FALSE)+$A51*INDIRECT("R"&amp;($B$118+1+3*J$2+96*$B50)&amp;"C"&amp;($C$118+1),FALSE),"")</f>
        <v/>
      </c>
      <c r="K51" s="26" t="str">
        <f t="shared" ca="1" si="75"/>
        <v/>
      </c>
      <c r="L51" s="26" t="str">
        <f t="shared" ca="1" si="75"/>
        <v/>
      </c>
      <c r="M51" s="26" t="str">
        <f t="shared" ca="1" si="75"/>
        <v/>
      </c>
      <c r="N51" s="26">
        <f t="shared" ca="1" si="75"/>
        <v>233.94058338355063</v>
      </c>
      <c r="O51" s="26" t="str">
        <f t="shared" ca="1" si="75"/>
        <v/>
      </c>
      <c r="P51" s="26" t="str">
        <f t="shared" ca="1" si="75"/>
        <v/>
      </c>
      <c r="Q51" s="26" t="str">
        <f t="shared" ca="1" si="75"/>
        <v/>
      </c>
      <c r="R51" s="26" t="str">
        <f t="shared" ca="1" si="75"/>
        <v/>
      </c>
      <c r="S51" s="26" t="str">
        <f t="shared" ca="1" si="75"/>
        <v/>
      </c>
      <c r="T51" s="26" t="str">
        <f t="shared" ca="1" si="75"/>
        <v/>
      </c>
      <c r="U51" s="26" t="str">
        <f t="shared" ca="1" si="75"/>
        <v/>
      </c>
      <c r="V51" s="26" t="str">
        <f t="shared" ca="1" si="75"/>
        <v/>
      </c>
      <c r="W51" s="26" t="str">
        <f t="shared" ca="1" si="75"/>
        <v/>
      </c>
      <c r="X51" s="26" t="str">
        <f t="shared" ca="1" si="75"/>
        <v/>
      </c>
      <c r="Y51" s="26" t="str">
        <f t="shared" ca="1" si="75"/>
        <v/>
      </c>
      <c r="Z51" s="26" t="str">
        <f t="shared" ca="1" si="75"/>
        <v/>
      </c>
      <c r="AA51" s="26" t="str">
        <f t="shared" ca="1" si="75"/>
        <v/>
      </c>
      <c r="AB51" s="26" t="str">
        <f t="shared" ca="1" si="75"/>
        <v/>
      </c>
      <c r="AC51" s="26" t="str">
        <f t="shared" ca="1" si="75"/>
        <v/>
      </c>
      <c r="AD51" s="26" t="str">
        <f t="shared" ca="1" si="75"/>
        <v/>
      </c>
      <c r="AE51" s="26" t="str">
        <f t="shared" ca="1" si="75"/>
        <v/>
      </c>
      <c r="AF51" s="26" t="str">
        <f t="shared" ca="1" si="75"/>
        <v/>
      </c>
      <c r="AG51" s="26" t="str">
        <f t="shared" ca="1" si="75"/>
        <v/>
      </c>
      <c r="AH51" s="26" t="str">
        <f t="shared" ca="1" si="75"/>
        <v/>
      </c>
      <c r="AI51" s="26" t="str">
        <f t="shared" ca="1" si="75"/>
        <v/>
      </c>
      <c r="AJ51" s="26" t="str">
        <f t="shared" ca="1" si="75"/>
        <v/>
      </c>
      <c r="AK51" s="26" t="str">
        <f t="shared" ca="1" si="75"/>
        <v/>
      </c>
      <c r="AL51" s="26" t="str">
        <f t="shared" ca="1" si="75"/>
        <v/>
      </c>
      <c r="AM51" s="26" t="str">
        <f t="shared" ca="1" si="75"/>
        <v/>
      </c>
      <c r="AN51" s="26" t="str">
        <f t="shared" ca="1" si="75"/>
        <v/>
      </c>
      <c r="AO51" s="26" t="str">
        <f t="shared" ca="1" si="75"/>
        <v/>
      </c>
    </row>
    <row r="52" spans="1:41" ht="15.75" thickBot="1">
      <c r="A52" s="24"/>
      <c r="B52" s="79"/>
      <c r="C52" s="2" t="str">
        <f>AR121</f>
        <v>D65</v>
      </c>
      <c r="D52" s="6">
        <f t="shared" ca="1" si="72"/>
        <v>360.60181346160834</v>
      </c>
      <c r="E52" s="20">
        <f t="shared" ca="1" si="69"/>
        <v>360.60181346160834</v>
      </c>
      <c r="F52" s="6">
        <f t="shared" ca="1" si="73"/>
        <v>360.60181346160834</v>
      </c>
      <c r="G52" s="20" t="e">
        <f t="shared" ca="1" si="70"/>
        <v>#DIV/0!</v>
      </c>
      <c r="H52" s="32" t="e">
        <f t="shared" ca="1" si="6"/>
        <v>#DIV/0!</v>
      </c>
      <c r="I52" s="20" t="e">
        <f t="shared" ca="1" si="74"/>
        <v>#DIV/0!</v>
      </c>
      <c r="J52" s="26" t="str">
        <f t="shared" ref="J52:AO52" ca="1" si="76">IF(J$3*J$4,$A50*INDIRECT("R"&amp;($B$118+2+3*J$2+96*$B50)&amp;"C"&amp;$C$118,FALSE)+$A51*INDIRECT("R"&amp;($B$118+2+3*J$2+96*$B50)&amp;"C"&amp;($C$118+1),FALSE),"")</f>
        <v/>
      </c>
      <c r="K52" s="26" t="str">
        <f t="shared" ca="1" si="76"/>
        <v/>
      </c>
      <c r="L52" s="26" t="str">
        <f t="shared" ca="1" si="76"/>
        <v/>
      </c>
      <c r="M52" s="26" t="str">
        <f t="shared" ca="1" si="76"/>
        <v/>
      </c>
      <c r="N52" s="26">
        <f t="shared" ca="1" si="76"/>
        <v>360.60181346160834</v>
      </c>
      <c r="O52" s="26" t="str">
        <f t="shared" ca="1" si="76"/>
        <v/>
      </c>
      <c r="P52" s="26" t="str">
        <f t="shared" ca="1" si="76"/>
        <v/>
      </c>
      <c r="Q52" s="26" t="str">
        <f t="shared" ca="1" si="76"/>
        <v/>
      </c>
      <c r="R52" s="26" t="str">
        <f t="shared" ca="1" si="76"/>
        <v/>
      </c>
      <c r="S52" s="26" t="str">
        <f t="shared" ca="1" si="76"/>
        <v/>
      </c>
      <c r="T52" s="26" t="str">
        <f t="shared" ca="1" si="76"/>
        <v/>
      </c>
      <c r="U52" s="26" t="str">
        <f t="shared" ca="1" si="76"/>
        <v/>
      </c>
      <c r="V52" s="26" t="str">
        <f t="shared" ca="1" si="76"/>
        <v/>
      </c>
      <c r="W52" s="26" t="str">
        <f t="shared" ca="1" si="76"/>
        <v/>
      </c>
      <c r="X52" s="26" t="str">
        <f t="shared" ca="1" si="76"/>
        <v/>
      </c>
      <c r="Y52" s="26" t="str">
        <f t="shared" ca="1" si="76"/>
        <v/>
      </c>
      <c r="Z52" s="26" t="str">
        <f t="shared" ca="1" si="76"/>
        <v/>
      </c>
      <c r="AA52" s="26" t="str">
        <f t="shared" ca="1" si="76"/>
        <v/>
      </c>
      <c r="AB52" s="26" t="str">
        <f t="shared" ca="1" si="76"/>
        <v/>
      </c>
      <c r="AC52" s="26" t="str">
        <f t="shared" ca="1" si="76"/>
        <v/>
      </c>
      <c r="AD52" s="26" t="str">
        <f t="shared" ca="1" si="76"/>
        <v/>
      </c>
      <c r="AE52" s="26" t="str">
        <f t="shared" ca="1" si="76"/>
        <v/>
      </c>
      <c r="AF52" s="26" t="str">
        <f t="shared" ca="1" si="76"/>
        <v/>
      </c>
      <c r="AG52" s="26" t="str">
        <f t="shared" ca="1" si="76"/>
        <v/>
      </c>
      <c r="AH52" s="26" t="str">
        <f t="shared" ca="1" si="76"/>
        <v/>
      </c>
      <c r="AI52" s="26" t="str">
        <f t="shared" ca="1" si="76"/>
        <v/>
      </c>
      <c r="AJ52" s="26" t="str">
        <f t="shared" ca="1" si="76"/>
        <v/>
      </c>
      <c r="AK52" s="26" t="str">
        <f t="shared" ca="1" si="76"/>
        <v/>
      </c>
      <c r="AL52" s="26" t="str">
        <f t="shared" ca="1" si="76"/>
        <v/>
      </c>
      <c r="AM52" s="26" t="str">
        <f t="shared" ca="1" si="76"/>
        <v/>
      </c>
      <c r="AN52" s="26" t="str">
        <f t="shared" ca="1" si="76"/>
        <v/>
      </c>
      <c r="AO52" s="26" t="str">
        <f t="shared" ca="1" si="76"/>
        <v/>
      </c>
    </row>
    <row r="53" spans="1:41">
      <c r="A53" s="22">
        <f ca="1">C120</f>
        <v>10.474882024580481</v>
      </c>
      <c r="B53" s="77">
        <f>B50+1</f>
        <v>1</v>
      </c>
      <c r="C53" s="2" t="str">
        <f>C50</f>
        <v>A</v>
      </c>
      <c r="D53" s="6">
        <f t="shared" ca="1" si="72"/>
        <v>277.18619276819527</v>
      </c>
      <c r="E53" s="20">
        <f t="shared" ca="1" si="69"/>
        <v>277.18619276819527</v>
      </c>
      <c r="F53" s="6">
        <f t="shared" ca="1" si="73"/>
        <v>277.18619276819527</v>
      </c>
      <c r="G53" s="20" t="e">
        <f t="shared" ca="1" si="70"/>
        <v>#DIV/0!</v>
      </c>
      <c r="H53" s="32" t="e">
        <f t="shared" ca="1" si="6"/>
        <v>#DIV/0!</v>
      </c>
      <c r="I53" s="20" t="e">
        <f t="shared" ca="1" si="74"/>
        <v>#DIV/0!</v>
      </c>
      <c r="J53" s="26" t="str">
        <f t="shared" ref="J53:AO53" ca="1" si="77">IF(J$3*J$4,$A53*INDIRECT("R"&amp;($B$118+0+3*J$2+96*$B53)&amp;"C"&amp;$C$118,FALSE)+$A54*INDIRECT("R"&amp;($B$118+0+3*J$2+96*$B53)&amp;"C"&amp;($C$118+1),FALSE),"")</f>
        <v/>
      </c>
      <c r="K53" s="26" t="str">
        <f t="shared" ca="1" si="77"/>
        <v/>
      </c>
      <c r="L53" s="26" t="str">
        <f t="shared" ca="1" si="77"/>
        <v/>
      </c>
      <c r="M53" s="26" t="str">
        <f t="shared" ca="1" si="77"/>
        <v/>
      </c>
      <c r="N53" s="26">
        <f t="shared" ca="1" si="77"/>
        <v>277.18619276819527</v>
      </c>
      <c r="O53" s="26" t="str">
        <f t="shared" ca="1" si="77"/>
        <v/>
      </c>
      <c r="P53" s="26" t="str">
        <f t="shared" ca="1" si="77"/>
        <v/>
      </c>
      <c r="Q53" s="26" t="str">
        <f t="shared" ca="1" si="77"/>
        <v/>
      </c>
      <c r="R53" s="26" t="str">
        <f t="shared" ca="1" si="77"/>
        <v/>
      </c>
      <c r="S53" s="26" t="str">
        <f t="shared" ca="1" si="77"/>
        <v/>
      </c>
      <c r="T53" s="26" t="str">
        <f t="shared" ca="1" si="77"/>
        <v/>
      </c>
      <c r="U53" s="26" t="str">
        <f t="shared" ca="1" si="77"/>
        <v/>
      </c>
      <c r="V53" s="26" t="str">
        <f t="shared" ca="1" si="77"/>
        <v/>
      </c>
      <c r="W53" s="26" t="str">
        <f t="shared" ca="1" si="77"/>
        <v/>
      </c>
      <c r="X53" s="26" t="str">
        <f t="shared" ca="1" si="77"/>
        <v/>
      </c>
      <c r="Y53" s="26" t="str">
        <f t="shared" ca="1" si="77"/>
        <v/>
      </c>
      <c r="Z53" s="26" t="str">
        <f t="shared" ca="1" si="77"/>
        <v/>
      </c>
      <c r="AA53" s="26" t="str">
        <f t="shared" ca="1" si="77"/>
        <v/>
      </c>
      <c r="AB53" s="26" t="str">
        <f t="shared" ca="1" si="77"/>
        <v/>
      </c>
      <c r="AC53" s="26" t="str">
        <f t="shared" ca="1" si="77"/>
        <v/>
      </c>
      <c r="AD53" s="26" t="str">
        <f t="shared" ca="1" si="77"/>
        <v/>
      </c>
      <c r="AE53" s="26" t="str">
        <f t="shared" ca="1" si="77"/>
        <v/>
      </c>
      <c r="AF53" s="26" t="str">
        <f t="shared" ca="1" si="77"/>
        <v/>
      </c>
      <c r="AG53" s="26" t="str">
        <f t="shared" ca="1" si="77"/>
        <v/>
      </c>
      <c r="AH53" s="26" t="str">
        <f t="shared" ca="1" si="77"/>
        <v/>
      </c>
      <c r="AI53" s="26" t="str">
        <f t="shared" ca="1" si="77"/>
        <v/>
      </c>
      <c r="AJ53" s="26" t="str">
        <f t="shared" ca="1" si="77"/>
        <v/>
      </c>
      <c r="AK53" s="26" t="str">
        <f t="shared" ca="1" si="77"/>
        <v/>
      </c>
      <c r="AL53" s="26" t="str">
        <f t="shared" ca="1" si="77"/>
        <v/>
      </c>
      <c r="AM53" s="26" t="str">
        <f t="shared" ca="1" si="77"/>
        <v/>
      </c>
      <c r="AN53" s="26" t="str">
        <f t="shared" ca="1" si="77"/>
        <v/>
      </c>
      <c r="AO53" s="26" t="str">
        <f t="shared" ca="1" si="77"/>
        <v/>
      </c>
    </row>
    <row r="54" spans="1:41">
      <c r="A54" s="23">
        <f ca="1">B120</f>
        <v>-13.318395470093513</v>
      </c>
      <c r="B54" s="78"/>
      <c r="C54" s="2" t="str">
        <f t="shared" ref="C54:C61" si="78">C51</f>
        <v>CWF</v>
      </c>
      <c r="D54" s="6">
        <f t="shared" ca="1" si="72"/>
        <v>232.57348763231104</v>
      </c>
      <c r="E54" s="20">
        <f t="shared" ca="1" si="69"/>
        <v>232.57348763231104</v>
      </c>
      <c r="F54" s="6">
        <f t="shared" ca="1" si="73"/>
        <v>232.57348763231104</v>
      </c>
      <c r="G54" s="20" t="e">
        <f t="shared" ca="1" si="70"/>
        <v>#DIV/0!</v>
      </c>
      <c r="H54" s="32" t="e">
        <f t="shared" ca="1" si="6"/>
        <v>#DIV/0!</v>
      </c>
      <c r="I54" s="20" t="e">
        <f t="shared" ca="1" si="74"/>
        <v>#DIV/0!</v>
      </c>
      <c r="J54" s="26" t="str">
        <f t="shared" ref="J54:AO54" ca="1" si="79">IF(J$3*J$4,$A53*INDIRECT("R"&amp;($B$118+1+3*J$2+96*$B53)&amp;"C"&amp;$C$118,FALSE)+$A54*INDIRECT("R"&amp;($B$118+1+3*J$2+96*$B53)&amp;"C"&amp;($C$118+1),FALSE),"")</f>
        <v/>
      </c>
      <c r="K54" s="26" t="str">
        <f t="shared" ca="1" si="79"/>
        <v/>
      </c>
      <c r="L54" s="26" t="str">
        <f t="shared" ca="1" si="79"/>
        <v/>
      </c>
      <c r="M54" s="26" t="str">
        <f t="shared" ca="1" si="79"/>
        <v/>
      </c>
      <c r="N54" s="26">
        <f t="shared" ca="1" si="79"/>
        <v>232.57348763231104</v>
      </c>
      <c r="O54" s="26" t="str">
        <f t="shared" ca="1" si="79"/>
        <v/>
      </c>
      <c r="P54" s="26" t="str">
        <f t="shared" ca="1" si="79"/>
        <v/>
      </c>
      <c r="Q54" s="26" t="str">
        <f t="shared" ca="1" si="79"/>
        <v/>
      </c>
      <c r="R54" s="26" t="str">
        <f t="shared" ca="1" si="79"/>
        <v/>
      </c>
      <c r="S54" s="26" t="str">
        <f t="shared" ca="1" si="79"/>
        <v/>
      </c>
      <c r="T54" s="26" t="str">
        <f t="shared" ca="1" si="79"/>
        <v/>
      </c>
      <c r="U54" s="26" t="str">
        <f t="shared" ca="1" si="79"/>
        <v/>
      </c>
      <c r="V54" s="26" t="str">
        <f t="shared" ca="1" si="79"/>
        <v/>
      </c>
      <c r="W54" s="26" t="str">
        <f t="shared" ca="1" si="79"/>
        <v/>
      </c>
      <c r="X54" s="26" t="str">
        <f t="shared" ca="1" si="79"/>
        <v/>
      </c>
      <c r="Y54" s="26" t="str">
        <f t="shared" ca="1" si="79"/>
        <v/>
      </c>
      <c r="Z54" s="26" t="str">
        <f t="shared" ca="1" si="79"/>
        <v/>
      </c>
      <c r="AA54" s="26" t="str">
        <f t="shared" ca="1" si="79"/>
        <v/>
      </c>
      <c r="AB54" s="26" t="str">
        <f t="shared" ca="1" si="79"/>
        <v/>
      </c>
      <c r="AC54" s="26" t="str">
        <f t="shared" ca="1" si="79"/>
        <v/>
      </c>
      <c r="AD54" s="26" t="str">
        <f t="shared" ca="1" si="79"/>
        <v/>
      </c>
      <c r="AE54" s="26" t="str">
        <f t="shared" ca="1" si="79"/>
        <v/>
      </c>
      <c r="AF54" s="26" t="str">
        <f t="shared" ca="1" si="79"/>
        <v/>
      </c>
      <c r="AG54" s="26" t="str">
        <f t="shared" ca="1" si="79"/>
        <v/>
      </c>
      <c r="AH54" s="26" t="str">
        <f t="shared" ca="1" si="79"/>
        <v/>
      </c>
      <c r="AI54" s="26" t="str">
        <f t="shared" ca="1" si="79"/>
        <v/>
      </c>
      <c r="AJ54" s="26" t="str">
        <f t="shared" ca="1" si="79"/>
        <v/>
      </c>
      <c r="AK54" s="26" t="str">
        <f t="shared" ca="1" si="79"/>
        <v/>
      </c>
      <c r="AL54" s="26" t="str">
        <f t="shared" ca="1" si="79"/>
        <v/>
      </c>
      <c r="AM54" s="26" t="str">
        <f t="shared" ca="1" si="79"/>
        <v/>
      </c>
      <c r="AN54" s="26" t="str">
        <f t="shared" ca="1" si="79"/>
        <v/>
      </c>
      <c r="AO54" s="26" t="str">
        <f t="shared" ca="1" si="79"/>
        <v/>
      </c>
    </row>
    <row r="55" spans="1:41" ht="15.75" thickBot="1">
      <c r="A55" s="24"/>
      <c r="B55" s="79"/>
      <c r="C55" s="2" t="str">
        <f t="shared" si="78"/>
        <v>D65</v>
      </c>
      <c r="D55" s="6">
        <f t="shared" ca="1" si="72"/>
        <v>360.9627728045117</v>
      </c>
      <c r="E55" s="20">
        <f t="shared" ca="1" si="69"/>
        <v>360.9627728045117</v>
      </c>
      <c r="F55" s="6">
        <f t="shared" ca="1" si="73"/>
        <v>360.9627728045117</v>
      </c>
      <c r="G55" s="20" t="e">
        <f t="shared" ca="1" si="70"/>
        <v>#DIV/0!</v>
      </c>
      <c r="H55" s="32" t="e">
        <f t="shared" ca="1" si="6"/>
        <v>#DIV/0!</v>
      </c>
      <c r="I55" s="20" t="e">
        <f t="shared" ca="1" si="74"/>
        <v>#DIV/0!</v>
      </c>
      <c r="J55" s="26" t="str">
        <f t="shared" ref="J55:AO55" ca="1" si="80">IF(J$3*J$4,$A53*INDIRECT("R"&amp;($B$118+2+3*J$2+96*$B53)&amp;"C"&amp;$C$118,FALSE)+$A54*INDIRECT("R"&amp;($B$118+2+3*J$2+96*$B53)&amp;"C"&amp;($C$118+1),FALSE),"")</f>
        <v/>
      </c>
      <c r="K55" s="26" t="str">
        <f t="shared" ca="1" si="80"/>
        <v/>
      </c>
      <c r="L55" s="26" t="str">
        <f t="shared" ca="1" si="80"/>
        <v/>
      </c>
      <c r="M55" s="26" t="str">
        <f t="shared" ca="1" si="80"/>
        <v/>
      </c>
      <c r="N55" s="26">
        <f t="shared" ca="1" si="80"/>
        <v>360.9627728045117</v>
      </c>
      <c r="O55" s="26" t="str">
        <f t="shared" ca="1" si="80"/>
        <v/>
      </c>
      <c r="P55" s="26" t="str">
        <f t="shared" ca="1" si="80"/>
        <v/>
      </c>
      <c r="Q55" s="26" t="str">
        <f t="shared" ca="1" si="80"/>
        <v/>
      </c>
      <c r="R55" s="26" t="str">
        <f t="shared" ca="1" si="80"/>
        <v/>
      </c>
      <c r="S55" s="26" t="str">
        <f t="shared" ca="1" si="80"/>
        <v/>
      </c>
      <c r="T55" s="26" t="str">
        <f t="shared" ca="1" si="80"/>
        <v/>
      </c>
      <c r="U55" s="26" t="str">
        <f t="shared" ca="1" si="80"/>
        <v/>
      </c>
      <c r="V55" s="26" t="str">
        <f t="shared" ca="1" si="80"/>
        <v/>
      </c>
      <c r="W55" s="26" t="str">
        <f t="shared" ca="1" si="80"/>
        <v/>
      </c>
      <c r="X55" s="26" t="str">
        <f t="shared" ca="1" si="80"/>
        <v/>
      </c>
      <c r="Y55" s="26" t="str">
        <f t="shared" ca="1" si="80"/>
        <v/>
      </c>
      <c r="Z55" s="26" t="str">
        <f t="shared" ca="1" si="80"/>
        <v/>
      </c>
      <c r="AA55" s="26" t="str">
        <f t="shared" ca="1" si="80"/>
        <v/>
      </c>
      <c r="AB55" s="26" t="str">
        <f t="shared" ca="1" si="80"/>
        <v/>
      </c>
      <c r="AC55" s="26" t="str">
        <f t="shared" ca="1" si="80"/>
        <v/>
      </c>
      <c r="AD55" s="26" t="str">
        <f t="shared" ca="1" si="80"/>
        <v/>
      </c>
      <c r="AE55" s="26" t="str">
        <f t="shared" ca="1" si="80"/>
        <v/>
      </c>
      <c r="AF55" s="26" t="str">
        <f t="shared" ca="1" si="80"/>
        <v/>
      </c>
      <c r="AG55" s="26" t="str">
        <f t="shared" ca="1" si="80"/>
        <v/>
      </c>
      <c r="AH55" s="26" t="str">
        <f t="shared" ca="1" si="80"/>
        <v/>
      </c>
      <c r="AI55" s="26" t="str">
        <f t="shared" ca="1" si="80"/>
        <v/>
      </c>
      <c r="AJ55" s="26" t="str">
        <f t="shared" ca="1" si="80"/>
        <v/>
      </c>
      <c r="AK55" s="26" t="str">
        <f t="shared" ca="1" si="80"/>
        <v/>
      </c>
      <c r="AL55" s="26" t="str">
        <f t="shared" ca="1" si="80"/>
        <v/>
      </c>
      <c r="AM55" s="26" t="str">
        <f t="shared" ca="1" si="80"/>
        <v/>
      </c>
      <c r="AN55" s="26" t="str">
        <f t="shared" ca="1" si="80"/>
        <v/>
      </c>
      <c r="AO55" s="26" t="str">
        <f t="shared" ca="1" si="80"/>
        <v/>
      </c>
    </row>
    <row r="56" spans="1:41">
      <c r="A56" s="22">
        <f ca="1">C121</f>
        <v>9.0955497449988165</v>
      </c>
      <c r="B56" s="77">
        <f>B53+1</f>
        <v>2</v>
      </c>
      <c r="C56" s="2" t="str">
        <f t="shared" si="78"/>
        <v>A</v>
      </c>
      <c r="D56" s="6">
        <f t="shared" ca="1" si="72"/>
        <v>276.73730974330886</v>
      </c>
      <c r="E56" s="20">
        <f t="shared" ca="1" si="69"/>
        <v>276.73730974330886</v>
      </c>
      <c r="F56" s="6">
        <f t="shared" ca="1" si="73"/>
        <v>276.73730974330886</v>
      </c>
      <c r="G56" s="20" t="e">
        <f t="shared" ca="1" si="70"/>
        <v>#DIV/0!</v>
      </c>
      <c r="H56" s="32" t="e">
        <f t="shared" ca="1" si="6"/>
        <v>#DIV/0!</v>
      </c>
      <c r="I56" s="20" t="e">
        <f t="shared" ca="1" si="74"/>
        <v>#DIV/0!</v>
      </c>
      <c r="J56" s="26" t="str">
        <f t="shared" ref="J56:AO56" ca="1" si="81">IF(J$3*J$4,$A56*INDIRECT("R"&amp;($B$118+0+3*J$2+96*$B56)&amp;"C"&amp;$C$118,FALSE)+$A57*INDIRECT("R"&amp;($B$118+0+3*J$2+96*$B56)&amp;"C"&amp;($C$118+1),FALSE),"")</f>
        <v/>
      </c>
      <c r="K56" s="26" t="str">
        <f t="shared" ca="1" si="81"/>
        <v/>
      </c>
      <c r="L56" s="26" t="str">
        <f t="shared" ca="1" si="81"/>
        <v/>
      </c>
      <c r="M56" s="26" t="str">
        <f t="shared" ca="1" si="81"/>
        <v/>
      </c>
      <c r="N56" s="26">
        <f t="shared" ca="1" si="81"/>
        <v>276.73730974330886</v>
      </c>
      <c r="O56" s="26" t="str">
        <f t="shared" ca="1" si="81"/>
        <v/>
      </c>
      <c r="P56" s="26" t="str">
        <f t="shared" ca="1" si="81"/>
        <v/>
      </c>
      <c r="Q56" s="26" t="str">
        <f t="shared" ca="1" si="81"/>
        <v/>
      </c>
      <c r="R56" s="26" t="str">
        <f t="shared" ca="1" si="81"/>
        <v/>
      </c>
      <c r="S56" s="26" t="str">
        <f t="shared" ca="1" si="81"/>
        <v/>
      </c>
      <c r="T56" s="26" t="str">
        <f t="shared" ca="1" si="81"/>
        <v/>
      </c>
      <c r="U56" s="26" t="str">
        <f t="shared" ca="1" si="81"/>
        <v/>
      </c>
      <c r="V56" s="26" t="str">
        <f t="shared" ca="1" si="81"/>
        <v/>
      </c>
      <c r="W56" s="26" t="str">
        <f t="shared" ca="1" si="81"/>
        <v/>
      </c>
      <c r="X56" s="26" t="str">
        <f t="shared" ca="1" si="81"/>
        <v/>
      </c>
      <c r="Y56" s="26" t="str">
        <f t="shared" ca="1" si="81"/>
        <v/>
      </c>
      <c r="Z56" s="26" t="str">
        <f t="shared" ca="1" si="81"/>
        <v/>
      </c>
      <c r="AA56" s="26" t="str">
        <f t="shared" ca="1" si="81"/>
        <v/>
      </c>
      <c r="AB56" s="26" t="str">
        <f t="shared" ca="1" si="81"/>
        <v/>
      </c>
      <c r="AC56" s="26" t="str">
        <f t="shared" ca="1" si="81"/>
        <v/>
      </c>
      <c r="AD56" s="26" t="str">
        <f t="shared" ca="1" si="81"/>
        <v/>
      </c>
      <c r="AE56" s="26" t="str">
        <f t="shared" ca="1" si="81"/>
        <v/>
      </c>
      <c r="AF56" s="26" t="str">
        <f t="shared" ca="1" si="81"/>
        <v/>
      </c>
      <c r="AG56" s="26" t="str">
        <f t="shared" ca="1" si="81"/>
        <v/>
      </c>
      <c r="AH56" s="26" t="str">
        <f t="shared" ca="1" si="81"/>
        <v/>
      </c>
      <c r="AI56" s="26" t="str">
        <f t="shared" ca="1" si="81"/>
        <v/>
      </c>
      <c r="AJ56" s="26" t="str">
        <f t="shared" ca="1" si="81"/>
        <v/>
      </c>
      <c r="AK56" s="26" t="str">
        <f t="shared" ca="1" si="81"/>
        <v/>
      </c>
      <c r="AL56" s="26" t="str">
        <f t="shared" ca="1" si="81"/>
        <v/>
      </c>
      <c r="AM56" s="26" t="str">
        <f t="shared" ca="1" si="81"/>
        <v/>
      </c>
      <c r="AN56" s="26" t="str">
        <f t="shared" ca="1" si="81"/>
        <v/>
      </c>
      <c r="AO56" s="26" t="str">
        <f t="shared" ca="1" si="81"/>
        <v/>
      </c>
    </row>
    <row r="57" spans="1:41">
      <c r="A57" s="23">
        <f ca="1">B121</f>
        <v>-7.0799284918501897</v>
      </c>
      <c r="B57" s="78"/>
      <c r="C57" s="2" t="str">
        <f t="shared" si="78"/>
        <v>CWF</v>
      </c>
      <c r="D57" s="6">
        <f t="shared" ca="1" si="72"/>
        <v>241.46321421584994</v>
      </c>
      <c r="E57" s="20">
        <f t="shared" ca="1" si="69"/>
        <v>241.46321421584994</v>
      </c>
      <c r="F57" s="6">
        <f t="shared" ca="1" si="73"/>
        <v>241.46321421584994</v>
      </c>
      <c r="G57" s="20" t="e">
        <f t="shared" ca="1" si="70"/>
        <v>#DIV/0!</v>
      </c>
      <c r="H57" s="32" t="e">
        <f t="shared" ca="1" si="6"/>
        <v>#DIV/0!</v>
      </c>
      <c r="I57" s="20" t="e">
        <f t="shared" ca="1" si="74"/>
        <v>#DIV/0!</v>
      </c>
      <c r="J57" s="26" t="str">
        <f t="shared" ref="J57:AO57" ca="1" si="82">IF(J$3*J$4,$A56*INDIRECT("R"&amp;($B$118+1+3*J$2+96*$B56)&amp;"C"&amp;$C$118,FALSE)+$A57*INDIRECT("R"&amp;($B$118+1+3*J$2+96*$B56)&amp;"C"&amp;($C$118+1),FALSE),"")</f>
        <v/>
      </c>
      <c r="K57" s="26" t="str">
        <f t="shared" ca="1" si="82"/>
        <v/>
      </c>
      <c r="L57" s="26" t="str">
        <f t="shared" ca="1" si="82"/>
        <v/>
      </c>
      <c r="M57" s="26" t="str">
        <f t="shared" ca="1" si="82"/>
        <v/>
      </c>
      <c r="N57" s="26">
        <f t="shared" ca="1" si="82"/>
        <v>241.46321421584994</v>
      </c>
      <c r="O57" s="26" t="str">
        <f t="shared" ca="1" si="82"/>
        <v/>
      </c>
      <c r="P57" s="26" t="str">
        <f t="shared" ca="1" si="82"/>
        <v/>
      </c>
      <c r="Q57" s="26" t="str">
        <f t="shared" ca="1" si="82"/>
        <v/>
      </c>
      <c r="R57" s="26" t="str">
        <f t="shared" ca="1" si="82"/>
        <v/>
      </c>
      <c r="S57" s="26" t="str">
        <f t="shared" ca="1" si="82"/>
        <v/>
      </c>
      <c r="T57" s="26" t="str">
        <f t="shared" ca="1" si="82"/>
        <v/>
      </c>
      <c r="U57" s="26" t="str">
        <f t="shared" ca="1" si="82"/>
        <v/>
      </c>
      <c r="V57" s="26" t="str">
        <f t="shared" ca="1" si="82"/>
        <v/>
      </c>
      <c r="W57" s="26" t="str">
        <f t="shared" ca="1" si="82"/>
        <v/>
      </c>
      <c r="X57" s="26" t="str">
        <f t="shared" ca="1" si="82"/>
        <v/>
      </c>
      <c r="Y57" s="26" t="str">
        <f t="shared" ca="1" si="82"/>
        <v/>
      </c>
      <c r="Z57" s="26" t="str">
        <f t="shared" ca="1" si="82"/>
        <v/>
      </c>
      <c r="AA57" s="26" t="str">
        <f t="shared" ca="1" si="82"/>
        <v/>
      </c>
      <c r="AB57" s="26" t="str">
        <f t="shared" ca="1" si="82"/>
        <v/>
      </c>
      <c r="AC57" s="26" t="str">
        <f t="shared" ca="1" si="82"/>
        <v/>
      </c>
      <c r="AD57" s="26" t="str">
        <f t="shared" ca="1" si="82"/>
        <v/>
      </c>
      <c r="AE57" s="26" t="str">
        <f t="shared" ca="1" si="82"/>
        <v/>
      </c>
      <c r="AF57" s="26" t="str">
        <f t="shared" ca="1" si="82"/>
        <v/>
      </c>
      <c r="AG57" s="26" t="str">
        <f t="shared" ca="1" si="82"/>
        <v/>
      </c>
      <c r="AH57" s="26" t="str">
        <f t="shared" ca="1" si="82"/>
        <v/>
      </c>
      <c r="AI57" s="26" t="str">
        <f t="shared" ca="1" si="82"/>
        <v/>
      </c>
      <c r="AJ57" s="26" t="str">
        <f t="shared" ca="1" si="82"/>
        <v/>
      </c>
      <c r="AK57" s="26" t="str">
        <f t="shared" ca="1" si="82"/>
        <v/>
      </c>
      <c r="AL57" s="26" t="str">
        <f t="shared" ca="1" si="82"/>
        <v/>
      </c>
      <c r="AM57" s="26" t="str">
        <f t="shared" ca="1" si="82"/>
        <v/>
      </c>
      <c r="AN57" s="26" t="str">
        <f t="shared" ca="1" si="82"/>
        <v/>
      </c>
      <c r="AO57" s="26" t="str">
        <f t="shared" ca="1" si="82"/>
        <v/>
      </c>
    </row>
    <row r="58" spans="1:41" ht="15.75" thickBot="1">
      <c r="A58" s="24"/>
      <c r="B58" s="79"/>
      <c r="C58" s="2" t="str">
        <f t="shared" si="78"/>
        <v>D65</v>
      </c>
      <c r="D58" s="6">
        <f t="shared" ca="1" si="72"/>
        <v>357.53827301086937</v>
      </c>
      <c r="E58" s="20">
        <f t="shared" ca="1" si="69"/>
        <v>357.53827301086937</v>
      </c>
      <c r="F58" s="6">
        <f t="shared" ca="1" si="73"/>
        <v>357.53827301086937</v>
      </c>
      <c r="G58" s="20" t="e">
        <f t="shared" ca="1" si="70"/>
        <v>#DIV/0!</v>
      </c>
      <c r="H58" s="32" t="e">
        <f t="shared" ca="1" si="6"/>
        <v>#DIV/0!</v>
      </c>
      <c r="I58" s="20" t="e">
        <f t="shared" ca="1" si="74"/>
        <v>#DIV/0!</v>
      </c>
      <c r="J58" s="26" t="str">
        <f t="shared" ref="J58:AO58" ca="1" si="83">IF(J$3*J$4,$A56*INDIRECT("R"&amp;($B$118+2+3*J$2+96*$B56)&amp;"C"&amp;$C$118,FALSE)+$A57*INDIRECT("R"&amp;($B$118+2+3*J$2+96*$B56)&amp;"C"&amp;($C$118+1),FALSE),"")</f>
        <v/>
      </c>
      <c r="K58" s="26" t="str">
        <f t="shared" ca="1" si="83"/>
        <v/>
      </c>
      <c r="L58" s="26" t="str">
        <f t="shared" ca="1" si="83"/>
        <v/>
      </c>
      <c r="M58" s="26" t="str">
        <f t="shared" ca="1" si="83"/>
        <v/>
      </c>
      <c r="N58" s="26">
        <f t="shared" ca="1" si="83"/>
        <v>357.53827301086937</v>
      </c>
      <c r="O58" s="26" t="str">
        <f t="shared" ca="1" si="83"/>
        <v/>
      </c>
      <c r="P58" s="26" t="str">
        <f t="shared" ca="1" si="83"/>
        <v/>
      </c>
      <c r="Q58" s="26" t="str">
        <f t="shared" ca="1" si="83"/>
        <v/>
      </c>
      <c r="R58" s="26" t="str">
        <f t="shared" ca="1" si="83"/>
        <v/>
      </c>
      <c r="S58" s="26" t="str">
        <f t="shared" ca="1" si="83"/>
        <v/>
      </c>
      <c r="T58" s="26" t="str">
        <f t="shared" ca="1" si="83"/>
        <v/>
      </c>
      <c r="U58" s="26" t="str">
        <f t="shared" ca="1" si="83"/>
        <v/>
      </c>
      <c r="V58" s="26" t="str">
        <f t="shared" ca="1" si="83"/>
        <v/>
      </c>
      <c r="W58" s="26" t="str">
        <f t="shared" ca="1" si="83"/>
        <v/>
      </c>
      <c r="X58" s="26" t="str">
        <f t="shared" ca="1" si="83"/>
        <v/>
      </c>
      <c r="Y58" s="26" t="str">
        <f t="shared" ca="1" si="83"/>
        <v/>
      </c>
      <c r="Z58" s="26" t="str">
        <f t="shared" ca="1" si="83"/>
        <v/>
      </c>
      <c r="AA58" s="26" t="str">
        <f t="shared" ca="1" si="83"/>
        <v/>
      </c>
      <c r="AB58" s="26" t="str">
        <f t="shared" ca="1" si="83"/>
        <v/>
      </c>
      <c r="AC58" s="26" t="str">
        <f t="shared" ca="1" si="83"/>
        <v/>
      </c>
      <c r="AD58" s="26" t="str">
        <f t="shared" ca="1" si="83"/>
        <v/>
      </c>
      <c r="AE58" s="26" t="str">
        <f t="shared" ca="1" si="83"/>
        <v/>
      </c>
      <c r="AF58" s="26" t="str">
        <f t="shared" ca="1" si="83"/>
        <v/>
      </c>
      <c r="AG58" s="26" t="str">
        <f t="shared" ca="1" si="83"/>
        <v/>
      </c>
      <c r="AH58" s="26" t="str">
        <f t="shared" ca="1" si="83"/>
        <v/>
      </c>
      <c r="AI58" s="26" t="str">
        <f t="shared" ca="1" si="83"/>
        <v/>
      </c>
      <c r="AJ58" s="26" t="str">
        <f t="shared" ca="1" si="83"/>
        <v/>
      </c>
      <c r="AK58" s="26" t="str">
        <f t="shared" ca="1" si="83"/>
        <v/>
      </c>
      <c r="AL58" s="26" t="str">
        <f t="shared" ca="1" si="83"/>
        <v/>
      </c>
      <c r="AM58" s="26" t="str">
        <f t="shared" ca="1" si="83"/>
        <v/>
      </c>
      <c r="AN58" s="26" t="str">
        <f t="shared" ca="1" si="83"/>
        <v/>
      </c>
      <c r="AO58" s="26" t="str">
        <f t="shared" ca="1" si="83"/>
        <v/>
      </c>
    </row>
    <row r="59" spans="1:41">
      <c r="A59" s="22">
        <f ca="1">C122</f>
        <v>9.3833764045360937</v>
      </c>
      <c r="B59" s="77">
        <f>B56+1</f>
        <v>3</v>
      </c>
      <c r="C59" s="2" t="str">
        <f t="shared" si="78"/>
        <v>A</v>
      </c>
      <c r="D59" s="6">
        <f t="shared" ca="1" si="72"/>
        <v>276.78584705841388</v>
      </c>
      <c r="E59" s="20">
        <f t="shared" ca="1" si="69"/>
        <v>276.78584705841388</v>
      </c>
      <c r="F59" s="6">
        <f t="shared" ca="1" si="73"/>
        <v>276.78584705841388</v>
      </c>
      <c r="G59" s="20" t="e">
        <f t="shared" ca="1" si="70"/>
        <v>#DIV/0!</v>
      </c>
      <c r="H59" s="32" t="e">
        <f t="shared" ca="1" si="6"/>
        <v>#DIV/0!</v>
      </c>
      <c r="I59" s="20" t="e">
        <f t="shared" ca="1" si="74"/>
        <v>#DIV/0!</v>
      </c>
      <c r="J59" s="26" t="str">
        <f t="shared" ref="J59:AO59" ca="1" si="84">IF(J$3*J$4,$A59*INDIRECT("R"&amp;($B$118+0+3*J$2+96*$B59)&amp;"C"&amp;$C$118,FALSE)+$A60*INDIRECT("R"&amp;($B$118+0+3*J$2+96*$B59)&amp;"C"&amp;($C$118+1),FALSE),"")</f>
        <v/>
      </c>
      <c r="K59" s="26" t="str">
        <f t="shared" ca="1" si="84"/>
        <v/>
      </c>
      <c r="L59" s="26" t="str">
        <f t="shared" ca="1" si="84"/>
        <v/>
      </c>
      <c r="M59" s="26" t="str">
        <f t="shared" ca="1" si="84"/>
        <v/>
      </c>
      <c r="N59" s="26">
        <f t="shared" ca="1" si="84"/>
        <v>276.78584705841388</v>
      </c>
      <c r="O59" s="26" t="str">
        <f t="shared" ca="1" si="84"/>
        <v/>
      </c>
      <c r="P59" s="26" t="str">
        <f t="shared" ca="1" si="84"/>
        <v/>
      </c>
      <c r="Q59" s="26" t="str">
        <f t="shared" ca="1" si="84"/>
        <v/>
      </c>
      <c r="R59" s="26" t="str">
        <f t="shared" ca="1" si="84"/>
        <v/>
      </c>
      <c r="S59" s="26" t="str">
        <f t="shared" ca="1" si="84"/>
        <v/>
      </c>
      <c r="T59" s="26" t="str">
        <f t="shared" ca="1" si="84"/>
        <v/>
      </c>
      <c r="U59" s="26" t="str">
        <f t="shared" ca="1" si="84"/>
        <v/>
      </c>
      <c r="V59" s="26" t="str">
        <f t="shared" ca="1" si="84"/>
        <v/>
      </c>
      <c r="W59" s="26" t="str">
        <f t="shared" ca="1" si="84"/>
        <v/>
      </c>
      <c r="X59" s="26" t="str">
        <f t="shared" ca="1" si="84"/>
        <v/>
      </c>
      <c r="Y59" s="26" t="str">
        <f t="shared" ca="1" si="84"/>
        <v/>
      </c>
      <c r="Z59" s="26" t="str">
        <f t="shared" ca="1" si="84"/>
        <v/>
      </c>
      <c r="AA59" s="26" t="str">
        <f t="shared" ca="1" si="84"/>
        <v/>
      </c>
      <c r="AB59" s="26" t="str">
        <f t="shared" ca="1" si="84"/>
        <v/>
      </c>
      <c r="AC59" s="26" t="str">
        <f t="shared" ca="1" si="84"/>
        <v/>
      </c>
      <c r="AD59" s="26" t="str">
        <f t="shared" ca="1" si="84"/>
        <v/>
      </c>
      <c r="AE59" s="26" t="str">
        <f t="shared" ca="1" si="84"/>
        <v/>
      </c>
      <c r="AF59" s="26" t="str">
        <f t="shared" ca="1" si="84"/>
        <v/>
      </c>
      <c r="AG59" s="26" t="str">
        <f t="shared" ca="1" si="84"/>
        <v/>
      </c>
      <c r="AH59" s="26" t="str">
        <f t="shared" ca="1" si="84"/>
        <v/>
      </c>
      <c r="AI59" s="26" t="str">
        <f t="shared" ca="1" si="84"/>
        <v/>
      </c>
      <c r="AJ59" s="26" t="str">
        <f t="shared" ca="1" si="84"/>
        <v/>
      </c>
      <c r="AK59" s="26" t="str">
        <f t="shared" ca="1" si="84"/>
        <v/>
      </c>
      <c r="AL59" s="26" t="str">
        <f t="shared" ca="1" si="84"/>
        <v/>
      </c>
      <c r="AM59" s="26" t="str">
        <f t="shared" ca="1" si="84"/>
        <v/>
      </c>
      <c r="AN59" s="26" t="str">
        <f t="shared" ca="1" si="84"/>
        <v/>
      </c>
      <c r="AO59" s="26" t="str">
        <f t="shared" ca="1" si="84"/>
        <v/>
      </c>
    </row>
    <row r="60" spans="1:41">
      <c r="A60" s="23">
        <f ca="1">B122</f>
        <v>-7.287879352500787</v>
      </c>
      <c r="B60" s="78"/>
      <c r="C60" s="2" t="str">
        <f t="shared" si="78"/>
        <v>CWF</v>
      </c>
      <c r="D60" s="6">
        <f t="shared" ca="1" si="72"/>
        <v>241.38332293208202</v>
      </c>
      <c r="E60" s="20">
        <f t="shared" ca="1" si="69"/>
        <v>241.38332293208202</v>
      </c>
      <c r="F60" s="6">
        <f t="shared" ca="1" si="73"/>
        <v>241.38332293208202</v>
      </c>
      <c r="G60" s="20" t="e">
        <f t="shared" ca="1" si="70"/>
        <v>#DIV/0!</v>
      </c>
      <c r="H60" s="32" t="e">
        <f t="shared" ca="1" si="6"/>
        <v>#DIV/0!</v>
      </c>
      <c r="I60" s="20" t="e">
        <f t="shared" ca="1" si="74"/>
        <v>#DIV/0!</v>
      </c>
      <c r="J60" s="26" t="str">
        <f t="shared" ref="J60:AO60" ca="1" si="85">IF(J$3*J$4,$A59*INDIRECT("R"&amp;($B$118+1+3*J$2+96*$B59)&amp;"C"&amp;$C$118,FALSE)+$A60*INDIRECT("R"&amp;($B$118+1+3*J$2+96*$B59)&amp;"C"&amp;($C$118+1),FALSE),"")</f>
        <v/>
      </c>
      <c r="K60" s="26" t="str">
        <f t="shared" ca="1" si="85"/>
        <v/>
      </c>
      <c r="L60" s="26" t="str">
        <f t="shared" ca="1" si="85"/>
        <v/>
      </c>
      <c r="M60" s="26" t="str">
        <f t="shared" ca="1" si="85"/>
        <v/>
      </c>
      <c r="N60" s="26">
        <f t="shared" ca="1" si="85"/>
        <v>241.38332293208202</v>
      </c>
      <c r="O60" s="26" t="str">
        <f t="shared" ca="1" si="85"/>
        <v/>
      </c>
      <c r="P60" s="26" t="str">
        <f t="shared" ca="1" si="85"/>
        <v/>
      </c>
      <c r="Q60" s="26" t="str">
        <f t="shared" ca="1" si="85"/>
        <v/>
      </c>
      <c r="R60" s="26" t="str">
        <f t="shared" ca="1" si="85"/>
        <v/>
      </c>
      <c r="S60" s="26" t="str">
        <f t="shared" ca="1" si="85"/>
        <v/>
      </c>
      <c r="T60" s="26" t="str">
        <f t="shared" ca="1" si="85"/>
        <v/>
      </c>
      <c r="U60" s="26" t="str">
        <f t="shared" ca="1" si="85"/>
        <v/>
      </c>
      <c r="V60" s="26" t="str">
        <f t="shared" ca="1" si="85"/>
        <v/>
      </c>
      <c r="W60" s="26" t="str">
        <f t="shared" ca="1" si="85"/>
        <v/>
      </c>
      <c r="X60" s="26" t="str">
        <f t="shared" ca="1" si="85"/>
        <v/>
      </c>
      <c r="Y60" s="26" t="str">
        <f t="shared" ca="1" si="85"/>
        <v/>
      </c>
      <c r="Z60" s="26" t="str">
        <f t="shared" ca="1" si="85"/>
        <v/>
      </c>
      <c r="AA60" s="26" t="str">
        <f t="shared" ca="1" si="85"/>
        <v/>
      </c>
      <c r="AB60" s="26" t="str">
        <f t="shared" ca="1" si="85"/>
        <v/>
      </c>
      <c r="AC60" s="26" t="str">
        <f t="shared" ca="1" si="85"/>
        <v/>
      </c>
      <c r="AD60" s="26" t="str">
        <f t="shared" ca="1" si="85"/>
        <v/>
      </c>
      <c r="AE60" s="26" t="str">
        <f t="shared" ca="1" si="85"/>
        <v/>
      </c>
      <c r="AF60" s="26" t="str">
        <f t="shared" ca="1" si="85"/>
        <v/>
      </c>
      <c r="AG60" s="26" t="str">
        <f t="shared" ca="1" si="85"/>
        <v/>
      </c>
      <c r="AH60" s="26" t="str">
        <f t="shared" ca="1" si="85"/>
        <v/>
      </c>
      <c r="AI60" s="26" t="str">
        <f t="shared" ca="1" si="85"/>
        <v/>
      </c>
      <c r="AJ60" s="26" t="str">
        <f t="shared" ca="1" si="85"/>
        <v/>
      </c>
      <c r="AK60" s="26" t="str">
        <f t="shared" ca="1" si="85"/>
        <v/>
      </c>
      <c r="AL60" s="26" t="str">
        <f t="shared" ca="1" si="85"/>
        <v/>
      </c>
      <c r="AM60" s="26" t="str">
        <f t="shared" ca="1" si="85"/>
        <v/>
      </c>
      <c r="AN60" s="26" t="str">
        <f t="shared" ca="1" si="85"/>
        <v/>
      </c>
      <c r="AO60" s="26" t="str">
        <f t="shared" ca="1" si="85"/>
        <v/>
      </c>
    </row>
    <row r="61" spans="1:41" ht="15.75" thickBot="1">
      <c r="A61" s="24"/>
      <c r="B61" s="79"/>
      <c r="C61" s="2" t="str">
        <f t="shared" si="78"/>
        <v>D65</v>
      </c>
      <c r="D61" s="6">
        <f t="shared" ca="1" si="72"/>
        <v>357.54382013341353</v>
      </c>
      <c r="E61" s="20">
        <f t="shared" ca="1" si="69"/>
        <v>357.54382013341353</v>
      </c>
      <c r="F61" s="6">
        <f t="shared" ca="1" si="73"/>
        <v>357.54382013341353</v>
      </c>
      <c r="G61" s="20" t="e">
        <f t="shared" ca="1" si="70"/>
        <v>#DIV/0!</v>
      </c>
      <c r="H61" s="32" t="e">
        <f t="shared" ca="1" si="6"/>
        <v>#DIV/0!</v>
      </c>
      <c r="I61" s="20" t="e">
        <f t="shared" ca="1" si="74"/>
        <v>#DIV/0!</v>
      </c>
      <c r="J61" s="26" t="str">
        <f t="shared" ref="J61:AO61" ca="1" si="86">IF(J$3*J$4,$A59*INDIRECT("R"&amp;($B$118+2+3*J$2+96*$B59)&amp;"C"&amp;$C$118,FALSE)+$A60*INDIRECT("R"&amp;($B$118+2+3*J$2+96*$B59)&amp;"C"&amp;($C$118+1),FALSE),"")</f>
        <v/>
      </c>
      <c r="K61" s="26" t="str">
        <f t="shared" ca="1" si="86"/>
        <v/>
      </c>
      <c r="L61" s="26" t="str">
        <f t="shared" ca="1" si="86"/>
        <v/>
      </c>
      <c r="M61" s="26" t="str">
        <f t="shared" ca="1" si="86"/>
        <v/>
      </c>
      <c r="N61" s="26">
        <f t="shared" ca="1" si="86"/>
        <v>357.54382013341353</v>
      </c>
      <c r="O61" s="26" t="str">
        <f t="shared" ca="1" si="86"/>
        <v/>
      </c>
      <c r="P61" s="26" t="str">
        <f t="shared" ca="1" si="86"/>
        <v/>
      </c>
      <c r="Q61" s="26" t="str">
        <f t="shared" ca="1" si="86"/>
        <v/>
      </c>
      <c r="R61" s="26" t="str">
        <f t="shared" ca="1" si="86"/>
        <v/>
      </c>
      <c r="S61" s="26" t="str">
        <f t="shared" ca="1" si="86"/>
        <v/>
      </c>
      <c r="T61" s="26" t="str">
        <f t="shared" ca="1" si="86"/>
        <v/>
      </c>
      <c r="U61" s="26" t="str">
        <f t="shared" ca="1" si="86"/>
        <v/>
      </c>
      <c r="V61" s="26" t="str">
        <f t="shared" ca="1" si="86"/>
        <v/>
      </c>
      <c r="W61" s="26" t="str">
        <f t="shared" ca="1" si="86"/>
        <v/>
      </c>
      <c r="X61" s="26" t="str">
        <f t="shared" ca="1" si="86"/>
        <v/>
      </c>
      <c r="Y61" s="26" t="str">
        <f t="shared" ca="1" si="86"/>
        <v/>
      </c>
      <c r="Z61" s="26" t="str">
        <f t="shared" ca="1" si="86"/>
        <v/>
      </c>
      <c r="AA61" s="26" t="str">
        <f t="shared" ca="1" si="86"/>
        <v/>
      </c>
      <c r="AB61" s="26" t="str">
        <f t="shared" ca="1" si="86"/>
        <v/>
      </c>
      <c r="AC61" s="26" t="str">
        <f t="shared" ca="1" si="86"/>
        <v/>
      </c>
      <c r="AD61" s="26" t="str">
        <f t="shared" ca="1" si="86"/>
        <v/>
      </c>
      <c r="AE61" s="26" t="str">
        <f t="shared" ca="1" si="86"/>
        <v/>
      </c>
      <c r="AF61" s="26" t="str">
        <f t="shared" ca="1" si="86"/>
        <v/>
      </c>
      <c r="AG61" s="26" t="str">
        <f t="shared" ca="1" si="86"/>
        <v/>
      </c>
      <c r="AH61" s="26" t="str">
        <f t="shared" ca="1" si="86"/>
        <v/>
      </c>
      <c r="AI61" s="26" t="str">
        <f t="shared" ca="1" si="86"/>
        <v/>
      </c>
      <c r="AJ61" s="26" t="str">
        <f t="shared" ca="1" si="86"/>
        <v/>
      </c>
      <c r="AK61" s="26" t="str">
        <f t="shared" ca="1" si="86"/>
        <v/>
      </c>
      <c r="AL61" s="26" t="str">
        <f t="shared" ca="1" si="86"/>
        <v/>
      </c>
      <c r="AM61" s="26" t="str">
        <f t="shared" ca="1" si="86"/>
        <v/>
      </c>
      <c r="AN61" s="26" t="str">
        <f t="shared" ca="1" si="86"/>
        <v/>
      </c>
      <c r="AO61" s="26" t="str">
        <f t="shared" ca="1" si="86"/>
        <v/>
      </c>
    </row>
    <row r="62" spans="1:41" s="29" customFormat="1">
      <c r="A62" s="80" t="e">
        <f ca="1">"Gain Error=±"&amp;INT(H62*1000)/10&amp;"%"</f>
        <v>#DIV/0!</v>
      </c>
      <c r="B62" s="30">
        <f>B50</f>
        <v>0</v>
      </c>
      <c r="C62" s="32" t="e">
        <f ca="1">E62+1.5*G62</f>
        <v>#DIV/0!</v>
      </c>
      <c r="D62" s="32">
        <f t="shared" ca="1" si="72"/>
        <v>-9.0960052580684181E-3</v>
      </c>
      <c r="E62" s="32">
        <f t="shared" ca="1" si="69"/>
        <v>-9.0960052580684181E-3</v>
      </c>
      <c r="F62" s="32">
        <f t="shared" ca="1" si="73"/>
        <v>-9.0960052580684181E-3</v>
      </c>
      <c r="G62" s="32" t="e">
        <f t="shared" ca="1" si="70"/>
        <v>#DIV/0!</v>
      </c>
      <c r="H62" s="74" t="e">
        <f ca="1" xml:space="preserve">  MAX( ABS(MAX(C62:C65)), ABS(MIN(C62:C65)) )</f>
        <v>#DIV/0!</v>
      </c>
      <c r="I62" s="20" t="e">
        <f t="shared" ca="1" si="74"/>
        <v>#DIV/0!</v>
      </c>
      <c r="J62" s="32" t="str">
        <f>IF(J$3*J$4,(MAX(J50:J52)+MIN(J50:J52))/2/Summary!$B$3-1,"")</f>
        <v/>
      </c>
      <c r="K62" s="32" t="str">
        <f>IF(K$3*K$4,(MAX(K50:K52)+MIN(K50:K52))/2/Summary!$B$3-1,"")</f>
        <v/>
      </c>
      <c r="L62" s="32" t="str">
        <f>IF(L$3*L$4,(MAX(L50:L52)+MIN(L50:L52))/2/Summary!$B$3-1,"")</f>
        <v/>
      </c>
      <c r="M62" s="32" t="str">
        <f>IF(M$3*M$4,(MAX(M50:M52)+MIN(M50:M52))/2/Summary!$B$3-1,"")</f>
        <v/>
      </c>
      <c r="N62" s="32">
        <f ca="1">IF(N$3*N$4,(MAX(N50:N52)+MIN(N50:N52))/2/Summary!$B$3-1,"")</f>
        <v>-9.0960052580684181E-3</v>
      </c>
      <c r="O62" s="32" t="str">
        <f>IF(O$3*O$4,(MAX(O50:O52)+MIN(O50:O52))/2/Summary!$B$3-1,"")</f>
        <v/>
      </c>
      <c r="P62" s="32" t="str">
        <f>IF(P$3*P$4,(MAX(P50:P52)+MIN(P50:P52))/2/Summary!$B$3-1,"")</f>
        <v/>
      </c>
      <c r="Q62" s="32" t="str">
        <f>IF(Q$3*Q$4,(MAX(Q50:Q52)+MIN(Q50:Q52))/2/Summary!$B$3-1,"")</f>
        <v/>
      </c>
      <c r="R62" s="32" t="str">
        <f>IF(R$3*R$4,(MAX(R50:R52)+MIN(R50:R52))/2/Summary!$B$3-1,"")</f>
        <v/>
      </c>
      <c r="S62" s="32" t="str">
        <f>IF(S$3*S$4,(MAX(S50:S52)+MIN(S50:S52))/2/Summary!$B$3-1,"")</f>
        <v/>
      </c>
      <c r="T62" s="32" t="str">
        <f>IF(T$3*T$4,(MAX(T50:T52)+MIN(T50:T52))/2/Summary!$B$3-1,"")</f>
        <v/>
      </c>
      <c r="U62" s="32" t="str">
        <f>IF(U$3*U$4,(MAX(U50:U52)+MIN(U50:U52))/2/Summary!$B$3-1,"")</f>
        <v/>
      </c>
      <c r="V62" s="32" t="str">
        <f>IF(V$3*V$4,(MAX(V50:V52)+MIN(V50:V52))/2/Summary!$B$3-1,"")</f>
        <v/>
      </c>
      <c r="W62" s="32" t="str">
        <f>IF(W$3*W$4,(MAX(W50:W52)+MIN(W50:W52))/2/Summary!$B$3-1,"")</f>
        <v/>
      </c>
      <c r="X62" s="32" t="str">
        <f>IF(X$3*X$4,(MAX(X50:X52)+MIN(X50:X52))/2/Summary!$B$3-1,"")</f>
        <v/>
      </c>
      <c r="Y62" s="32" t="str">
        <f>IF(Y$3*Y$4,(MAX(Y50:Y52)+MIN(Y50:Y52))/2/Summary!$B$3-1,"")</f>
        <v/>
      </c>
      <c r="Z62" s="32" t="str">
        <f>IF(Z$3*Z$4,(MAX(Z50:Z52)+MIN(Z50:Z52))/2/Summary!$B$3-1,"")</f>
        <v/>
      </c>
      <c r="AA62" s="32" t="str">
        <f>IF(AA$3*AA$4,(MAX(AA50:AA52)+MIN(AA50:AA52))/2/Summary!$B$3-1,"")</f>
        <v/>
      </c>
      <c r="AB62" s="32" t="str">
        <f>IF(AB$3*AB$4,(MAX(AB50:AB52)+MIN(AB50:AB52))/2/Summary!$B$3-1,"")</f>
        <v/>
      </c>
      <c r="AC62" s="32" t="str">
        <f>IF(AC$3*AC$4,(MAX(AC50:AC52)+MIN(AC50:AC52))/2/Summary!$B$3-1,"")</f>
        <v/>
      </c>
      <c r="AD62" s="32" t="str">
        <f>IF(AD$3*AD$4,(MAX(AD50:AD52)+MIN(AD50:AD52))/2/Summary!$B$3-1,"")</f>
        <v/>
      </c>
      <c r="AE62" s="32" t="str">
        <f>IF(AE$3*AE$4,(MAX(AE50:AE52)+MIN(AE50:AE52))/2/Summary!$B$3-1,"")</f>
        <v/>
      </c>
      <c r="AF62" s="32" t="str">
        <f>IF(AF$3*AF$4,(MAX(AF50:AF52)+MIN(AF50:AF52))/2/Summary!$B$3-1,"")</f>
        <v/>
      </c>
      <c r="AG62" s="32" t="str">
        <f>IF(AG$3*AG$4,(MAX(AG50:AG52)+MIN(AG50:AG52))/2/Summary!$B$3-1,"")</f>
        <v/>
      </c>
      <c r="AH62" s="32" t="str">
        <f>IF(AH$3*AH$4,(MAX(AH50:AH52)+MIN(AH50:AH52))/2/Summary!$B$3-1,"")</f>
        <v/>
      </c>
      <c r="AI62" s="32" t="str">
        <f>IF(AI$3*AI$4,(MAX(AI50:AI52)+MIN(AI50:AI52))/2/Summary!$B$3-1,"")</f>
        <v/>
      </c>
      <c r="AJ62" s="32" t="str">
        <f>IF(AJ$3*AJ$4,(MAX(AJ50:AJ52)+MIN(AJ50:AJ52))/2/Summary!$B$3-1,"")</f>
        <v/>
      </c>
      <c r="AK62" s="32" t="str">
        <f>IF(AK$3*AK$4,(MAX(AK50:AK52)+MIN(AK50:AK52))/2/Summary!$B$3-1,"")</f>
        <v/>
      </c>
      <c r="AL62" s="32" t="str">
        <f>IF(AL$3*AL$4,(MAX(AL50:AL52)+MIN(AL50:AL52))/2/Summary!$B$3-1,"")</f>
        <v/>
      </c>
      <c r="AM62" s="32" t="str">
        <f>IF(AM$3*AM$4,(MAX(AM50:AM52)+MIN(AM50:AM52))/2/Summary!$B$3-1,"")</f>
        <v/>
      </c>
      <c r="AN62" s="32" t="str">
        <f>IF(AN$3*AN$4,(MAX(AN50:AN52)+MIN(AN50:AN52))/2/Summary!$B$3-1,"")</f>
        <v/>
      </c>
      <c r="AO62" s="32" t="str">
        <f>IF(AO$3*AO$4,(MAX(AO50:AO52)+MIN(AO50:AO52))/2/Summary!$B$3-1,"")</f>
        <v/>
      </c>
    </row>
    <row r="63" spans="1:41" s="29" customFormat="1">
      <c r="A63" s="80"/>
      <c r="B63" s="30">
        <f>B53</f>
        <v>1</v>
      </c>
      <c r="C63" s="32" t="e">
        <f t="shared" ref="C63:C65" ca="1" si="87">E63+1.5*G63</f>
        <v>#DIV/0!</v>
      </c>
      <c r="D63" s="32">
        <f t="shared" ca="1" si="72"/>
        <v>-8.4944063532294001E-3</v>
      </c>
      <c r="E63" s="32">
        <f t="shared" ca="1" si="69"/>
        <v>-8.4944063532294001E-3</v>
      </c>
      <c r="F63" s="32">
        <f t="shared" ca="1" si="73"/>
        <v>-8.4944063532294001E-3</v>
      </c>
      <c r="G63" s="32" t="e">
        <f t="shared" ca="1" si="70"/>
        <v>#DIV/0!</v>
      </c>
      <c r="H63" s="74"/>
      <c r="I63" s="20" t="e">
        <f t="shared" ca="1" si="74"/>
        <v>#DIV/0!</v>
      </c>
      <c r="J63" s="32" t="str">
        <f>IF(J$3*J$4,(MAX(J53:J55)+MIN(J51:J53))/2/Summary!$B$3-1,"")</f>
        <v/>
      </c>
      <c r="K63" s="32" t="str">
        <f>IF(K$3*K$4,(MAX(K53:K55)+MIN(K51:K53))/2/Summary!$B$3-1,"")</f>
        <v/>
      </c>
      <c r="L63" s="32" t="str">
        <f>IF(L$3*L$4,(MAX(L53:L55)+MIN(L51:L53))/2/Summary!$B$3-1,"")</f>
        <v/>
      </c>
      <c r="M63" s="32" t="str">
        <f>IF(M$3*M$4,(MAX(M53:M55)+MIN(M51:M53))/2/Summary!$B$3-1,"")</f>
        <v/>
      </c>
      <c r="N63" s="32">
        <f ca="1">IF(N$3*N$4,(MAX(N53:N55)+MIN(N51:N53))/2/Summary!$B$3-1,"")</f>
        <v>-8.4944063532294001E-3</v>
      </c>
      <c r="O63" s="32" t="str">
        <f>IF(O$3*O$4,(MAX(O53:O55)+MIN(O51:O53))/2/Summary!$B$3-1,"")</f>
        <v/>
      </c>
      <c r="P63" s="32" t="str">
        <f>IF(P$3*P$4,(MAX(P53:P55)+MIN(P51:P53))/2/Summary!$B$3-1,"")</f>
        <v/>
      </c>
      <c r="Q63" s="32" t="str">
        <f>IF(Q$3*Q$4,(MAX(Q53:Q55)+MIN(Q51:Q53))/2/Summary!$B$3-1,"")</f>
        <v/>
      </c>
      <c r="R63" s="32" t="str">
        <f>IF(R$3*R$4,(MAX(R53:R55)+MIN(R51:R53))/2/Summary!$B$3-1,"")</f>
        <v/>
      </c>
      <c r="S63" s="32" t="str">
        <f>IF(S$3*S$4,(MAX(S53:S55)+MIN(S51:S53))/2/Summary!$B$3-1,"")</f>
        <v/>
      </c>
      <c r="T63" s="32" t="str">
        <f>IF(T$3*T$4,(MAX(T53:T55)+MIN(T51:T53))/2/Summary!$B$3-1,"")</f>
        <v/>
      </c>
      <c r="U63" s="32" t="str">
        <f>IF(U$3*U$4,(MAX(U53:U55)+MIN(U51:U53))/2/Summary!$B$3-1,"")</f>
        <v/>
      </c>
      <c r="V63" s="32" t="str">
        <f>IF(V$3*V$4,(MAX(V53:V55)+MIN(V51:V53))/2/Summary!$B$3-1,"")</f>
        <v/>
      </c>
      <c r="W63" s="32" t="str">
        <f>IF(W$3*W$4,(MAX(W53:W55)+MIN(W51:W53))/2/Summary!$B$3-1,"")</f>
        <v/>
      </c>
      <c r="X63" s="32" t="str">
        <f>IF(X$3*X$4,(MAX(X53:X55)+MIN(X51:X53))/2/Summary!$B$3-1,"")</f>
        <v/>
      </c>
      <c r="Y63" s="32" t="str">
        <f>IF(Y$3*Y$4,(MAX(Y53:Y55)+MIN(Y51:Y53))/2/Summary!$B$3-1,"")</f>
        <v/>
      </c>
      <c r="Z63" s="32" t="str">
        <f>IF(Z$3*Z$4,(MAX(Z53:Z55)+MIN(Z51:Z53))/2/Summary!$B$3-1,"")</f>
        <v/>
      </c>
      <c r="AA63" s="32" t="str">
        <f>IF(AA$3*AA$4,(MAX(AA53:AA55)+MIN(AA51:AA53))/2/Summary!$B$3-1,"")</f>
        <v/>
      </c>
      <c r="AB63" s="32" t="str">
        <f>IF(AB$3*AB$4,(MAX(AB53:AB55)+MIN(AB51:AB53))/2/Summary!$B$3-1,"")</f>
        <v/>
      </c>
      <c r="AC63" s="32" t="str">
        <f>IF(AC$3*AC$4,(MAX(AC53:AC55)+MIN(AC51:AC53))/2/Summary!$B$3-1,"")</f>
        <v/>
      </c>
      <c r="AD63" s="32" t="str">
        <f>IF(AD$3*AD$4,(MAX(AD53:AD55)+MIN(AD51:AD53))/2/Summary!$B$3-1,"")</f>
        <v/>
      </c>
      <c r="AE63" s="32" t="str">
        <f>IF(AE$3*AE$4,(MAX(AE53:AE55)+MIN(AE51:AE53))/2/Summary!$B$3-1,"")</f>
        <v/>
      </c>
      <c r="AF63" s="32" t="str">
        <f>IF(AF$3*AF$4,(MAX(AF53:AF55)+MIN(AF51:AF53))/2/Summary!$B$3-1,"")</f>
        <v/>
      </c>
      <c r="AG63" s="32" t="str">
        <f>IF(AG$3*AG$4,(MAX(AG53:AG55)+MIN(AG51:AG53))/2/Summary!$B$3-1,"")</f>
        <v/>
      </c>
      <c r="AH63" s="32" t="str">
        <f>IF(AH$3*AH$4,(MAX(AH53:AH55)+MIN(AH51:AH53))/2/Summary!$B$3-1,"")</f>
        <v/>
      </c>
      <c r="AI63" s="32" t="str">
        <f>IF(AI$3*AI$4,(MAX(AI53:AI55)+MIN(AI51:AI53))/2/Summary!$B$3-1,"")</f>
        <v/>
      </c>
      <c r="AJ63" s="32" t="str">
        <f>IF(AJ$3*AJ$4,(MAX(AJ53:AJ55)+MIN(AJ51:AJ53))/2/Summary!$B$3-1,"")</f>
        <v/>
      </c>
      <c r="AK63" s="32" t="str">
        <f>IF(AK$3*AK$4,(MAX(AK53:AK55)+MIN(AK51:AK53))/2/Summary!$B$3-1,"")</f>
        <v/>
      </c>
      <c r="AL63" s="32" t="str">
        <f>IF(AL$3*AL$4,(MAX(AL53:AL55)+MIN(AL51:AL53))/2/Summary!$B$3-1,"")</f>
        <v/>
      </c>
      <c r="AM63" s="32" t="str">
        <f>IF(AM$3*AM$4,(MAX(AM53:AM55)+MIN(AM51:AM53))/2/Summary!$B$3-1,"")</f>
        <v/>
      </c>
      <c r="AN63" s="32" t="str">
        <f>IF(AN$3*AN$4,(MAX(AN53:AN55)+MIN(AN51:AN53))/2/Summary!$B$3-1,"")</f>
        <v/>
      </c>
      <c r="AO63" s="32" t="str">
        <f>IF(AO$3*AO$4,(MAX(AO53:AO55)+MIN(AO51:AO53))/2/Summary!$B$3-1,"")</f>
        <v/>
      </c>
    </row>
    <row r="64" spans="1:41" s="29" customFormat="1">
      <c r="A64" s="80"/>
      <c r="B64" s="30">
        <f>B56</f>
        <v>2</v>
      </c>
      <c r="C64" s="32" t="e">
        <f t="shared" ca="1" si="87"/>
        <v>#DIV/0!</v>
      </c>
      <c r="D64" s="32">
        <f t="shared" ca="1" si="72"/>
        <v>-1.6480398928032547E-2</v>
      </c>
      <c r="E64" s="32">
        <f t="shared" ca="1" si="69"/>
        <v>-1.6480398928032547E-2</v>
      </c>
      <c r="F64" s="32">
        <f t="shared" ca="1" si="73"/>
        <v>-1.6480398928032547E-2</v>
      </c>
      <c r="G64" s="32" t="e">
        <f t="shared" ca="1" si="70"/>
        <v>#DIV/0!</v>
      </c>
      <c r="H64" s="74"/>
      <c r="I64" s="20" t="e">
        <f t="shared" ca="1" si="74"/>
        <v>#DIV/0!</v>
      </c>
      <c r="J64" s="32" t="str">
        <f>IF(J$3*J$4,(MAX(J56:J58)+MIN(J52:J54))/2/Summary!$B$3-1,"")</f>
        <v/>
      </c>
      <c r="K64" s="32" t="str">
        <f>IF(K$3*K$4,(MAX(K56:K58)+MIN(K52:K54))/2/Summary!$B$3-1,"")</f>
        <v/>
      </c>
      <c r="L64" s="32" t="str">
        <f>IF(L$3*L$4,(MAX(L56:L58)+MIN(L52:L54))/2/Summary!$B$3-1,"")</f>
        <v/>
      </c>
      <c r="M64" s="32" t="str">
        <f>IF(M$3*M$4,(MAX(M56:M58)+MIN(M52:M54))/2/Summary!$B$3-1,"")</f>
        <v/>
      </c>
      <c r="N64" s="32">
        <f ca="1">IF(N$3*N$4,(MAX(N56:N58)+MIN(N52:N54))/2/Summary!$B$3-1,"")</f>
        <v>-1.6480398928032547E-2</v>
      </c>
      <c r="O64" s="32" t="str">
        <f>IF(O$3*O$4,(MAX(O56:O58)+MIN(O52:O54))/2/Summary!$B$3-1,"")</f>
        <v/>
      </c>
      <c r="P64" s="32" t="str">
        <f>IF(P$3*P$4,(MAX(P56:P58)+MIN(P52:P54))/2/Summary!$B$3-1,"")</f>
        <v/>
      </c>
      <c r="Q64" s="32" t="str">
        <f>IF(Q$3*Q$4,(MAX(Q56:Q58)+MIN(Q52:Q54))/2/Summary!$B$3-1,"")</f>
        <v/>
      </c>
      <c r="R64" s="32" t="str">
        <f>IF(R$3*R$4,(MAX(R56:R58)+MIN(R52:R54))/2/Summary!$B$3-1,"")</f>
        <v/>
      </c>
      <c r="S64" s="32" t="str">
        <f>IF(S$3*S$4,(MAX(S56:S58)+MIN(S52:S54))/2/Summary!$B$3-1,"")</f>
        <v/>
      </c>
      <c r="T64" s="32" t="str">
        <f>IF(T$3*T$4,(MAX(T56:T58)+MIN(T52:T54))/2/Summary!$B$3-1,"")</f>
        <v/>
      </c>
      <c r="U64" s="32" t="str">
        <f>IF(U$3*U$4,(MAX(U56:U58)+MIN(U52:U54))/2/Summary!$B$3-1,"")</f>
        <v/>
      </c>
      <c r="V64" s="32" t="str">
        <f>IF(V$3*V$4,(MAX(V56:V58)+MIN(V52:V54))/2/Summary!$B$3-1,"")</f>
        <v/>
      </c>
      <c r="W64" s="32" t="str">
        <f>IF(W$3*W$4,(MAX(W56:W58)+MIN(W52:W54))/2/Summary!$B$3-1,"")</f>
        <v/>
      </c>
      <c r="X64" s="32" t="str">
        <f>IF(X$3*X$4,(MAX(X56:X58)+MIN(X52:X54))/2/Summary!$B$3-1,"")</f>
        <v/>
      </c>
      <c r="Y64" s="32" t="str">
        <f>IF(Y$3*Y$4,(MAX(Y56:Y58)+MIN(Y52:Y54))/2/Summary!$B$3-1,"")</f>
        <v/>
      </c>
      <c r="Z64" s="32" t="str">
        <f>IF(Z$3*Z$4,(MAX(Z56:Z58)+MIN(Z52:Z54))/2/Summary!$B$3-1,"")</f>
        <v/>
      </c>
      <c r="AA64" s="32" t="str">
        <f>IF(AA$3*AA$4,(MAX(AA56:AA58)+MIN(AA52:AA54))/2/Summary!$B$3-1,"")</f>
        <v/>
      </c>
      <c r="AB64" s="32" t="str">
        <f>IF(AB$3*AB$4,(MAX(AB56:AB58)+MIN(AB52:AB54))/2/Summary!$B$3-1,"")</f>
        <v/>
      </c>
      <c r="AC64" s="32" t="str">
        <f>IF(AC$3*AC$4,(MAX(AC56:AC58)+MIN(AC52:AC54))/2/Summary!$B$3-1,"")</f>
        <v/>
      </c>
      <c r="AD64" s="32" t="str">
        <f>IF(AD$3*AD$4,(MAX(AD56:AD58)+MIN(AD52:AD54))/2/Summary!$B$3-1,"")</f>
        <v/>
      </c>
      <c r="AE64" s="32" t="str">
        <f>IF(AE$3*AE$4,(MAX(AE56:AE58)+MIN(AE52:AE54))/2/Summary!$B$3-1,"")</f>
        <v/>
      </c>
      <c r="AF64" s="32" t="str">
        <f>IF(AF$3*AF$4,(MAX(AF56:AF58)+MIN(AF52:AF54))/2/Summary!$B$3-1,"")</f>
        <v/>
      </c>
      <c r="AG64" s="32" t="str">
        <f>IF(AG$3*AG$4,(MAX(AG56:AG58)+MIN(AG52:AG54))/2/Summary!$B$3-1,"")</f>
        <v/>
      </c>
      <c r="AH64" s="32" t="str">
        <f>IF(AH$3*AH$4,(MAX(AH56:AH58)+MIN(AH52:AH54))/2/Summary!$B$3-1,"")</f>
        <v/>
      </c>
      <c r="AI64" s="32" t="str">
        <f>IF(AI$3*AI$4,(MAX(AI56:AI58)+MIN(AI52:AI54))/2/Summary!$B$3-1,"")</f>
        <v/>
      </c>
      <c r="AJ64" s="32" t="str">
        <f>IF(AJ$3*AJ$4,(MAX(AJ56:AJ58)+MIN(AJ52:AJ54))/2/Summary!$B$3-1,"")</f>
        <v/>
      </c>
      <c r="AK64" s="32" t="str">
        <f>IF(AK$3*AK$4,(MAX(AK56:AK58)+MIN(AK52:AK54))/2/Summary!$B$3-1,"")</f>
        <v/>
      </c>
      <c r="AL64" s="32" t="str">
        <f>IF(AL$3*AL$4,(MAX(AL56:AL58)+MIN(AL52:AL54))/2/Summary!$B$3-1,"")</f>
        <v/>
      </c>
      <c r="AM64" s="32" t="str">
        <f>IF(AM$3*AM$4,(MAX(AM56:AM58)+MIN(AM52:AM54))/2/Summary!$B$3-1,"")</f>
        <v/>
      </c>
      <c r="AN64" s="32" t="str">
        <f>IF(AN$3*AN$4,(MAX(AN56:AN58)+MIN(AN52:AN54))/2/Summary!$B$3-1,"")</f>
        <v/>
      </c>
      <c r="AO64" s="32" t="str">
        <f>IF(AO$3*AO$4,(MAX(AO56:AO58)+MIN(AO52:AO54))/2/Summary!$B$3-1,"")</f>
        <v/>
      </c>
    </row>
    <row r="65" spans="1:41" s="29" customFormat="1">
      <c r="A65" s="80"/>
      <c r="B65" s="30">
        <f>B59</f>
        <v>3</v>
      </c>
      <c r="C65" s="32" t="e">
        <f t="shared" ca="1" si="87"/>
        <v>#DIV/0!</v>
      </c>
      <c r="D65" s="32">
        <f t="shared" ca="1" si="72"/>
        <v>-1.6471153723792376E-2</v>
      </c>
      <c r="E65" s="32">
        <f t="shared" ca="1" si="69"/>
        <v>-1.6471153723792376E-2</v>
      </c>
      <c r="F65" s="32">
        <f t="shared" ca="1" si="73"/>
        <v>-1.6471153723792376E-2</v>
      </c>
      <c r="G65" s="32" t="e">
        <f t="shared" ca="1" si="70"/>
        <v>#DIV/0!</v>
      </c>
      <c r="H65" s="74"/>
      <c r="I65" s="20" t="e">
        <f t="shared" ca="1" si="74"/>
        <v>#DIV/0!</v>
      </c>
      <c r="J65" s="32" t="str">
        <f>IF(J$3*J$4,(MAX(J59:J61)+MIN(J53:J55))/2/Summary!$B$3-1,"")</f>
        <v/>
      </c>
      <c r="K65" s="32" t="str">
        <f>IF(K$3*K$4,(MAX(K59:K61)+MIN(K53:K55))/2/Summary!$B$3-1,"")</f>
        <v/>
      </c>
      <c r="L65" s="32" t="str">
        <f>IF(L$3*L$4,(MAX(L59:L61)+MIN(L53:L55))/2/Summary!$B$3-1,"")</f>
        <v/>
      </c>
      <c r="M65" s="32" t="str">
        <f>IF(M$3*M$4,(MAX(M59:M61)+MIN(M53:M55))/2/Summary!$B$3-1,"")</f>
        <v/>
      </c>
      <c r="N65" s="32">
        <f ca="1">IF(N$3*N$4,(MAX(N59:N61)+MIN(N53:N55))/2/Summary!$B$3-1,"")</f>
        <v>-1.6471153723792376E-2</v>
      </c>
      <c r="O65" s="32" t="str">
        <f>IF(O$3*O$4,(MAX(O59:O61)+MIN(O53:O55))/2/Summary!$B$3-1,"")</f>
        <v/>
      </c>
      <c r="P65" s="32" t="str">
        <f>IF(P$3*P$4,(MAX(P59:P61)+MIN(P53:P55))/2/Summary!$B$3-1,"")</f>
        <v/>
      </c>
      <c r="Q65" s="32" t="str">
        <f>IF(Q$3*Q$4,(MAX(Q59:Q61)+MIN(Q53:Q55))/2/Summary!$B$3-1,"")</f>
        <v/>
      </c>
      <c r="R65" s="32" t="str">
        <f>IF(R$3*R$4,(MAX(R59:R61)+MIN(R53:R55))/2/Summary!$B$3-1,"")</f>
        <v/>
      </c>
      <c r="S65" s="32" t="str">
        <f>IF(S$3*S$4,(MAX(S59:S61)+MIN(S53:S55))/2/Summary!$B$3-1,"")</f>
        <v/>
      </c>
      <c r="T65" s="32" t="str">
        <f>IF(T$3*T$4,(MAX(T59:T61)+MIN(T53:T55))/2/Summary!$B$3-1,"")</f>
        <v/>
      </c>
      <c r="U65" s="32" t="str">
        <f>IF(U$3*U$4,(MAX(U59:U61)+MIN(U53:U55))/2/Summary!$B$3-1,"")</f>
        <v/>
      </c>
      <c r="V65" s="32" t="str">
        <f>IF(V$3*V$4,(MAX(V59:V61)+MIN(V53:V55))/2/Summary!$B$3-1,"")</f>
        <v/>
      </c>
      <c r="W65" s="32" t="str">
        <f>IF(W$3*W$4,(MAX(W59:W61)+MIN(W53:W55))/2/Summary!$B$3-1,"")</f>
        <v/>
      </c>
      <c r="X65" s="32" t="str">
        <f>IF(X$3*X$4,(MAX(X59:X61)+MIN(X53:X55))/2/Summary!$B$3-1,"")</f>
        <v/>
      </c>
      <c r="Y65" s="32" t="str">
        <f>IF(Y$3*Y$4,(MAX(Y59:Y61)+MIN(Y53:Y55))/2/Summary!$B$3-1,"")</f>
        <v/>
      </c>
      <c r="Z65" s="32" t="str">
        <f>IF(Z$3*Z$4,(MAX(Z59:Z61)+MIN(Z53:Z55))/2/Summary!$B$3-1,"")</f>
        <v/>
      </c>
      <c r="AA65" s="32" t="str">
        <f>IF(AA$3*AA$4,(MAX(AA59:AA61)+MIN(AA53:AA55))/2/Summary!$B$3-1,"")</f>
        <v/>
      </c>
      <c r="AB65" s="32" t="str">
        <f>IF(AB$3*AB$4,(MAX(AB59:AB61)+MIN(AB53:AB55))/2/Summary!$B$3-1,"")</f>
        <v/>
      </c>
      <c r="AC65" s="32" t="str">
        <f>IF(AC$3*AC$4,(MAX(AC59:AC61)+MIN(AC53:AC55))/2/Summary!$B$3-1,"")</f>
        <v/>
      </c>
      <c r="AD65" s="32" t="str">
        <f>IF(AD$3*AD$4,(MAX(AD59:AD61)+MIN(AD53:AD55))/2/Summary!$B$3-1,"")</f>
        <v/>
      </c>
      <c r="AE65" s="32" t="str">
        <f>IF(AE$3*AE$4,(MAX(AE59:AE61)+MIN(AE53:AE55))/2/Summary!$B$3-1,"")</f>
        <v/>
      </c>
      <c r="AF65" s="32" t="str">
        <f>IF(AF$3*AF$4,(MAX(AF59:AF61)+MIN(AF53:AF55))/2/Summary!$B$3-1,"")</f>
        <v/>
      </c>
      <c r="AG65" s="32" t="str">
        <f>IF(AG$3*AG$4,(MAX(AG59:AG61)+MIN(AG53:AG55))/2/Summary!$B$3-1,"")</f>
        <v/>
      </c>
      <c r="AH65" s="32" t="str">
        <f>IF(AH$3*AH$4,(MAX(AH59:AH61)+MIN(AH53:AH55))/2/Summary!$B$3-1,"")</f>
        <v/>
      </c>
      <c r="AI65" s="32" t="str">
        <f>IF(AI$3*AI$4,(MAX(AI59:AI61)+MIN(AI53:AI55))/2/Summary!$B$3-1,"")</f>
        <v/>
      </c>
      <c r="AJ65" s="32" t="str">
        <f>IF(AJ$3*AJ$4,(MAX(AJ59:AJ61)+MIN(AJ53:AJ55))/2/Summary!$B$3-1,"")</f>
        <v/>
      </c>
      <c r="AK65" s="32" t="str">
        <f>IF(AK$3*AK$4,(MAX(AK59:AK61)+MIN(AK53:AK55))/2/Summary!$B$3-1,"")</f>
        <v/>
      </c>
      <c r="AL65" s="32" t="str">
        <f>IF(AL$3*AL$4,(MAX(AL59:AL61)+MIN(AL53:AL55))/2/Summary!$B$3-1,"")</f>
        <v/>
      </c>
      <c r="AM65" s="32" t="str">
        <f>IF(AM$3*AM$4,(MAX(AM59:AM61)+MIN(AM53:AM55))/2/Summary!$B$3-1,"")</f>
        <v/>
      </c>
      <c r="AN65" s="32" t="str">
        <f>IF(AN$3*AN$4,(MAX(AN59:AN61)+MIN(AN53:AN55))/2/Summary!$B$3-1,"")</f>
        <v/>
      </c>
      <c r="AO65" s="32" t="str">
        <f>IF(AO$3*AO$4,(MAX(AO59:AO61)+MIN(AO53:AO55))/2/Summary!$B$3-1,"")</f>
        <v/>
      </c>
    </row>
    <row r="66" spans="1:41">
      <c r="A66" s="80" t="e">
        <f ca="1">"LS2LS=±"&amp;INT(H66*1000)/10&amp;"%"</f>
        <v>#DIV/0!</v>
      </c>
      <c r="B66" s="2">
        <f>B50</f>
        <v>0</v>
      </c>
      <c r="C66" s="21" t="e">
        <f ca="1">E66+1.5*G66</f>
        <v>#DIV/0!</v>
      </c>
      <c r="D66" s="21">
        <f t="shared" ref="D66:D69" ca="1" si="88">MIN(J66:AO66)</f>
        <v>0.21303986183351201</v>
      </c>
      <c r="E66" s="21">
        <f t="shared" ref="E66:E69" ca="1" si="89">AVERAGE(J66:AO66)</f>
        <v>0.21303986183351201</v>
      </c>
      <c r="F66" s="21">
        <f t="shared" ref="F66:F69" ca="1" si="90">MAX(J66:AO66)</f>
        <v>0.21303986183351201</v>
      </c>
      <c r="G66" s="21" t="e">
        <f t="shared" ref="G66:G69" ca="1" si="91">STDEV(J66:AO66)</f>
        <v>#DIV/0!</v>
      </c>
      <c r="H66" s="74" t="e">
        <f ca="1" xml:space="preserve">  MAX( ABS(MAX(C66:C69)), ABS(MIN(C66:C69)) )</f>
        <v>#DIV/0!</v>
      </c>
      <c r="I66" s="20" t="e">
        <f t="shared" ref="I66:I69" ca="1" si="92">(F66-D66)/G66</f>
        <v>#DIV/0!</v>
      </c>
      <c r="J66" s="21" t="str">
        <f>IF(J$3*J$4,(MAX(J50:J52)-MIN(J50:J52))/(MAX(J50:J52)+MIN(J50:J52)),"")</f>
        <v/>
      </c>
      <c r="K66" s="21" t="str">
        <f t="shared" ref="K66:AO66" si="93">IF(K$3*K$4,(MAX(K50:K52)-MIN(K50:K52))/(MAX(K50:K52)+MIN(K50:K52)),"")</f>
        <v/>
      </c>
      <c r="L66" s="21" t="str">
        <f t="shared" si="93"/>
        <v/>
      </c>
      <c r="M66" s="21" t="str">
        <f t="shared" si="93"/>
        <v/>
      </c>
      <c r="N66" s="21">
        <f t="shared" ca="1" si="93"/>
        <v>0.21303986183351201</v>
      </c>
      <c r="O66" s="21" t="str">
        <f t="shared" si="93"/>
        <v/>
      </c>
      <c r="P66" s="21" t="str">
        <f t="shared" si="93"/>
        <v/>
      </c>
      <c r="Q66" s="21" t="str">
        <f t="shared" si="93"/>
        <v/>
      </c>
      <c r="R66" s="21" t="str">
        <f t="shared" si="93"/>
        <v/>
      </c>
      <c r="S66" s="21" t="str">
        <f t="shared" si="93"/>
        <v/>
      </c>
      <c r="T66" s="21" t="str">
        <f t="shared" si="93"/>
        <v/>
      </c>
      <c r="U66" s="21" t="str">
        <f t="shared" si="93"/>
        <v/>
      </c>
      <c r="V66" s="21" t="str">
        <f t="shared" si="93"/>
        <v/>
      </c>
      <c r="W66" s="21" t="str">
        <f t="shared" si="93"/>
        <v/>
      </c>
      <c r="X66" s="21" t="str">
        <f t="shared" si="93"/>
        <v/>
      </c>
      <c r="Y66" s="21" t="str">
        <f t="shared" si="93"/>
        <v/>
      </c>
      <c r="Z66" s="21" t="str">
        <f t="shared" si="93"/>
        <v/>
      </c>
      <c r="AA66" s="21" t="str">
        <f t="shared" si="93"/>
        <v/>
      </c>
      <c r="AB66" s="21" t="str">
        <f t="shared" si="93"/>
        <v/>
      </c>
      <c r="AC66" s="21" t="str">
        <f t="shared" si="93"/>
        <v/>
      </c>
      <c r="AD66" s="21" t="str">
        <f t="shared" si="93"/>
        <v/>
      </c>
      <c r="AE66" s="21" t="str">
        <f t="shared" si="93"/>
        <v/>
      </c>
      <c r="AF66" s="21" t="str">
        <f t="shared" si="93"/>
        <v/>
      </c>
      <c r="AG66" s="21" t="str">
        <f t="shared" si="93"/>
        <v/>
      </c>
      <c r="AH66" s="21" t="str">
        <f t="shared" si="93"/>
        <v/>
      </c>
      <c r="AI66" s="21" t="str">
        <f t="shared" si="93"/>
        <v/>
      </c>
      <c r="AJ66" s="21" t="str">
        <f t="shared" si="93"/>
        <v/>
      </c>
      <c r="AK66" s="21" t="str">
        <f t="shared" si="93"/>
        <v/>
      </c>
      <c r="AL66" s="21" t="str">
        <f t="shared" si="93"/>
        <v/>
      </c>
      <c r="AM66" s="21" t="str">
        <f t="shared" si="93"/>
        <v/>
      </c>
      <c r="AN66" s="21" t="str">
        <f t="shared" si="93"/>
        <v/>
      </c>
      <c r="AO66" s="21" t="str">
        <f t="shared" si="93"/>
        <v/>
      </c>
    </row>
    <row r="67" spans="1:41">
      <c r="A67" s="80"/>
      <c r="B67" s="2">
        <f>B53</f>
        <v>1</v>
      </c>
      <c r="C67" s="21" t="e">
        <f t="shared" ref="C67:C69" ca="1" si="94">E67+1.5*G67</f>
        <v>#DIV/0!</v>
      </c>
      <c r="D67" s="21">
        <f t="shared" ca="1" si="88"/>
        <v>0.21631245423440593</v>
      </c>
      <c r="E67" s="21">
        <f t="shared" ca="1" si="89"/>
        <v>0.21631245423440593</v>
      </c>
      <c r="F67" s="21">
        <f t="shared" ca="1" si="90"/>
        <v>0.21631245423440593</v>
      </c>
      <c r="G67" s="21" t="e">
        <f t="shared" ca="1" si="91"/>
        <v>#DIV/0!</v>
      </c>
      <c r="H67" s="74"/>
      <c r="I67" s="20" t="e">
        <f t="shared" ca="1" si="92"/>
        <v>#DIV/0!</v>
      </c>
      <c r="J67" s="21" t="str">
        <f>IF(J$3*J$4,(MAX(J53:J55)-MIN(J53:J55))/(MAX(J53:J55)+MIN(J53:J55)),"")</f>
        <v/>
      </c>
      <c r="K67" s="21" t="str">
        <f t="shared" ref="K67:AO67" si="95">IF(K$3*K$4,(MAX(K53:K55)-MIN(K53:K55))/(MAX(K53:K55)+MIN(K53:K55)),"")</f>
        <v/>
      </c>
      <c r="L67" s="21" t="str">
        <f t="shared" si="95"/>
        <v/>
      </c>
      <c r="M67" s="21" t="str">
        <f t="shared" si="95"/>
        <v/>
      </c>
      <c r="N67" s="21">
        <f t="shared" ca="1" si="95"/>
        <v>0.21631245423440593</v>
      </c>
      <c r="O67" s="21" t="str">
        <f t="shared" si="95"/>
        <v/>
      </c>
      <c r="P67" s="21" t="str">
        <f t="shared" si="95"/>
        <v/>
      </c>
      <c r="Q67" s="21" t="str">
        <f t="shared" si="95"/>
        <v/>
      </c>
      <c r="R67" s="21" t="str">
        <f t="shared" si="95"/>
        <v/>
      </c>
      <c r="S67" s="21" t="str">
        <f t="shared" si="95"/>
        <v/>
      </c>
      <c r="T67" s="21" t="str">
        <f t="shared" si="95"/>
        <v/>
      </c>
      <c r="U67" s="21" t="str">
        <f t="shared" si="95"/>
        <v/>
      </c>
      <c r="V67" s="21" t="str">
        <f t="shared" si="95"/>
        <v/>
      </c>
      <c r="W67" s="21" t="str">
        <f t="shared" si="95"/>
        <v/>
      </c>
      <c r="X67" s="21" t="str">
        <f t="shared" si="95"/>
        <v/>
      </c>
      <c r="Y67" s="21" t="str">
        <f t="shared" si="95"/>
        <v/>
      </c>
      <c r="Z67" s="21" t="str">
        <f t="shared" si="95"/>
        <v/>
      </c>
      <c r="AA67" s="21" t="str">
        <f t="shared" si="95"/>
        <v/>
      </c>
      <c r="AB67" s="21" t="str">
        <f t="shared" si="95"/>
        <v/>
      </c>
      <c r="AC67" s="21" t="str">
        <f t="shared" si="95"/>
        <v/>
      </c>
      <c r="AD67" s="21" t="str">
        <f t="shared" si="95"/>
        <v/>
      </c>
      <c r="AE67" s="21" t="str">
        <f t="shared" si="95"/>
        <v/>
      </c>
      <c r="AF67" s="21" t="str">
        <f t="shared" si="95"/>
        <v/>
      </c>
      <c r="AG67" s="21" t="str">
        <f t="shared" si="95"/>
        <v/>
      </c>
      <c r="AH67" s="21" t="str">
        <f t="shared" si="95"/>
        <v/>
      </c>
      <c r="AI67" s="21" t="str">
        <f t="shared" si="95"/>
        <v/>
      </c>
      <c r="AJ67" s="21" t="str">
        <f t="shared" si="95"/>
        <v/>
      </c>
      <c r="AK67" s="21" t="str">
        <f t="shared" si="95"/>
        <v/>
      </c>
      <c r="AL67" s="21" t="str">
        <f t="shared" si="95"/>
        <v/>
      </c>
      <c r="AM67" s="21" t="str">
        <f t="shared" si="95"/>
        <v/>
      </c>
      <c r="AN67" s="21" t="str">
        <f t="shared" si="95"/>
        <v/>
      </c>
      <c r="AO67" s="21" t="str">
        <f t="shared" si="95"/>
        <v/>
      </c>
    </row>
    <row r="68" spans="1:41">
      <c r="A68" s="80"/>
      <c r="B68" s="2">
        <f>B56</f>
        <v>2</v>
      </c>
      <c r="C68" s="21" t="e">
        <f t="shared" ca="1" si="94"/>
        <v>#DIV/0!</v>
      </c>
      <c r="D68" s="21">
        <f t="shared" ca="1" si="88"/>
        <v>0.1937809191967591</v>
      </c>
      <c r="E68" s="21">
        <f t="shared" ca="1" si="89"/>
        <v>0.1937809191967591</v>
      </c>
      <c r="F68" s="21">
        <f t="shared" ca="1" si="90"/>
        <v>0.1937809191967591</v>
      </c>
      <c r="G68" s="21" t="e">
        <f t="shared" ca="1" si="91"/>
        <v>#DIV/0!</v>
      </c>
      <c r="H68" s="74"/>
      <c r="I68" s="20" t="e">
        <f t="shared" ca="1" si="92"/>
        <v>#DIV/0!</v>
      </c>
      <c r="J68" s="21" t="str">
        <f>IF(J$3*J$4,(MAX(J56:J58)-MIN(J56:J58))/(MAX(J56:J58)+MIN(J56:J58)),"")</f>
        <v/>
      </c>
      <c r="K68" s="21" t="str">
        <f t="shared" ref="K68:AO68" si="96">IF(K$3*K$4,(MAX(K56:K58)-MIN(K56:K58))/(MAX(K56:K58)+MIN(K56:K58)),"")</f>
        <v/>
      </c>
      <c r="L68" s="21" t="str">
        <f t="shared" si="96"/>
        <v/>
      </c>
      <c r="M68" s="21" t="str">
        <f t="shared" si="96"/>
        <v/>
      </c>
      <c r="N68" s="21">
        <f t="shared" ca="1" si="96"/>
        <v>0.1937809191967591</v>
      </c>
      <c r="O68" s="21" t="str">
        <f t="shared" si="96"/>
        <v/>
      </c>
      <c r="P68" s="21" t="str">
        <f t="shared" si="96"/>
        <v/>
      </c>
      <c r="Q68" s="21" t="str">
        <f t="shared" si="96"/>
        <v/>
      </c>
      <c r="R68" s="21" t="str">
        <f t="shared" si="96"/>
        <v/>
      </c>
      <c r="S68" s="21" t="str">
        <f t="shared" si="96"/>
        <v/>
      </c>
      <c r="T68" s="21" t="str">
        <f t="shared" si="96"/>
        <v/>
      </c>
      <c r="U68" s="21" t="str">
        <f t="shared" si="96"/>
        <v/>
      </c>
      <c r="V68" s="21" t="str">
        <f t="shared" si="96"/>
        <v/>
      </c>
      <c r="W68" s="21" t="str">
        <f t="shared" si="96"/>
        <v/>
      </c>
      <c r="X68" s="21" t="str">
        <f t="shared" si="96"/>
        <v/>
      </c>
      <c r="Y68" s="21" t="str">
        <f t="shared" si="96"/>
        <v/>
      </c>
      <c r="Z68" s="21" t="str">
        <f t="shared" si="96"/>
        <v/>
      </c>
      <c r="AA68" s="21" t="str">
        <f t="shared" si="96"/>
        <v/>
      </c>
      <c r="AB68" s="21" t="str">
        <f t="shared" si="96"/>
        <v/>
      </c>
      <c r="AC68" s="21" t="str">
        <f t="shared" si="96"/>
        <v/>
      </c>
      <c r="AD68" s="21" t="str">
        <f t="shared" si="96"/>
        <v/>
      </c>
      <c r="AE68" s="21" t="str">
        <f t="shared" si="96"/>
        <v/>
      </c>
      <c r="AF68" s="21" t="str">
        <f t="shared" si="96"/>
        <v/>
      </c>
      <c r="AG68" s="21" t="str">
        <f t="shared" si="96"/>
        <v/>
      </c>
      <c r="AH68" s="21" t="str">
        <f t="shared" si="96"/>
        <v/>
      </c>
      <c r="AI68" s="21" t="str">
        <f t="shared" si="96"/>
        <v/>
      </c>
      <c r="AJ68" s="21" t="str">
        <f t="shared" si="96"/>
        <v/>
      </c>
      <c r="AK68" s="21" t="str">
        <f t="shared" si="96"/>
        <v/>
      </c>
      <c r="AL68" s="21" t="str">
        <f t="shared" si="96"/>
        <v/>
      </c>
      <c r="AM68" s="21" t="str">
        <f t="shared" si="96"/>
        <v/>
      </c>
      <c r="AN68" s="21" t="str">
        <f t="shared" si="96"/>
        <v/>
      </c>
      <c r="AO68" s="21" t="str">
        <f t="shared" si="96"/>
        <v/>
      </c>
    </row>
    <row r="69" spans="1:41">
      <c r="A69" s="80"/>
      <c r="B69" s="2">
        <f>B59</f>
        <v>3</v>
      </c>
      <c r="C69" s="21" t="e">
        <f t="shared" ca="1" si="94"/>
        <v>#DIV/0!</v>
      </c>
      <c r="D69" s="21">
        <f t="shared" ca="1" si="88"/>
        <v>0.19394762542700256</v>
      </c>
      <c r="E69" s="21">
        <f t="shared" ca="1" si="89"/>
        <v>0.19394762542700256</v>
      </c>
      <c r="F69" s="21">
        <f t="shared" ca="1" si="90"/>
        <v>0.19394762542700256</v>
      </c>
      <c r="G69" s="21" t="e">
        <f t="shared" ca="1" si="91"/>
        <v>#DIV/0!</v>
      </c>
      <c r="H69" s="74"/>
      <c r="I69" s="20" t="e">
        <f t="shared" ca="1" si="92"/>
        <v>#DIV/0!</v>
      </c>
      <c r="J69" s="21" t="str">
        <f>IF(J$3*J$4,(MAX(J59:J61)-MIN(J59:J61))/(MAX(J59:J61)+MIN(J59:J61)),"")</f>
        <v/>
      </c>
      <c r="K69" s="21" t="str">
        <f t="shared" ref="K69:AO69" si="97">IF(K$3*K$4,(MAX(K59:K61)-MIN(K59:K61))/(MAX(K59:K61)+MIN(K59:K61)),"")</f>
        <v/>
      </c>
      <c r="L69" s="21" t="str">
        <f t="shared" si="97"/>
        <v/>
      </c>
      <c r="M69" s="21" t="str">
        <f t="shared" si="97"/>
        <v/>
      </c>
      <c r="N69" s="21">
        <f t="shared" ca="1" si="97"/>
        <v>0.19394762542700256</v>
      </c>
      <c r="O69" s="21" t="str">
        <f t="shared" si="97"/>
        <v/>
      </c>
      <c r="P69" s="21" t="str">
        <f t="shared" si="97"/>
        <v/>
      </c>
      <c r="Q69" s="21" t="str">
        <f t="shared" si="97"/>
        <v/>
      </c>
      <c r="R69" s="21" t="str">
        <f t="shared" si="97"/>
        <v/>
      </c>
      <c r="S69" s="21" t="str">
        <f t="shared" si="97"/>
        <v/>
      </c>
      <c r="T69" s="21" t="str">
        <f t="shared" si="97"/>
        <v/>
      </c>
      <c r="U69" s="21" t="str">
        <f t="shared" si="97"/>
        <v/>
      </c>
      <c r="V69" s="21" t="str">
        <f t="shared" si="97"/>
        <v/>
      </c>
      <c r="W69" s="21" t="str">
        <f t="shared" si="97"/>
        <v/>
      </c>
      <c r="X69" s="21" t="str">
        <f t="shared" si="97"/>
        <v/>
      </c>
      <c r="Y69" s="21" t="str">
        <f t="shared" si="97"/>
        <v/>
      </c>
      <c r="Z69" s="21" t="str">
        <f t="shared" si="97"/>
        <v/>
      </c>
      <c r="AA69" s="21" t="str">
        <f t="shared" si="97"/>
        <v/>
      </c>
      <c r="AB69" s="21" t="str">
        <f t="shared" si="97"/>
        <v/>
      </c>
      <c r="AC69" s="21" t="str">
        <f t="shared" si="97"/>
        <v/>
      </c>
      <c r="AD69" s="21" t="str">
        <f t="shared" si="97"/>
        <v/>
      </c>
      <c r="AE69" s="21" t="str">
        <f t="shared" si="97"/>
        <v/>
      </c>
      <c r="AF69" s="21" t="str">
        <f t="shared" si="97"/>
        <v/>
      </c>
      <c r="AG69" s="21" t="str">
        <f t="shared" si="97"/>
        <v/>
      </c>
      <c r="AH69" s="21" t="str">
        <f t="shared" si="97"/>
        <v/>
      </c>
      <c r="AI69" s="21" t="str">
        <f t="shared" si="97"/>
        <v/>
      </c>
      <c r="AJ69" s="21" t="str">
        <f t="shared" si="97"/>
        <v/>
      </c>
      <c r="AK69" s="21" t="str">
        <f t="shared" si="97"/>
        <v/>
      </c>
      <c r="AL69" s="21" t="str">
        <f t="shared" si="97"/>
        <v/>
      </c>
      <c r="AM69" s="21" t="str">
        <f t="shared" si="97"/>
        <v/>
      </c>
      <c r="AN69" s="21" t="str">
        <f t="shared" si="97"/>
        <v/>
      </c>
      <c r="AO69" s="21" t="str">
        <f t="shared" si="97"/>
        <v/>
      </c>
    </row>
    <row r="70" spans="1:41" ht="15.75" thickBot="1">
      <c r="B70" s="6"/>
      <c r="H70" s="32"/>
    </row>
    <row r="71" spans="1:41" s="6" customFormat="1">
      <c r="A71" s="22">
        <f ca="1">C123</f>
        <v>10.320483483355199</v>
      </c>
      <c r="B71" s="77">
        <v>0</v>
      </c>
      <c r="C71" s="6" t="str">
        <f>AR136</f>
        <v>D65</v>
      </c>
      <c r="D71" s="6">
        <f ca="1">MIN(J71:AO71)</f>
        <v>282.64528441452228</v>
      </c>
      <c r="E71" s="20">
        <f t="shared" ref="E71:E85" ca="1" si="98">AVERAGE(J71:AO71)</f>
        <v>282.64528441452228</v>
      </c>
      <c r="F71" s="6">
        <f ca="1">MAX(J71:AO71)</f>
        <v>282.64528441452228</v>
      </c>
      <c r="G71" s="20" t="e">
        <f t="shared" ref="G71:G85" ca="1" si="99">STDEV(J71:AO71)</f>
        <v>#DIV/0!</v>
      </c>
      <c r="H71" s="32" t="e">
        <f t="shared" ca="1" si="6"/>
        <v>#DIV/0!</v>
      </c>
      <c r="I71" s="20" t="e">
        <f ca="1">(F71-D71)/G71</f>
        <v>#DIV/0!</v>
      </c>
      <c r="J71" s="3" t="str">
        <f t="shared" ref="J71:AO71" ca="1" si="100">IF(J$3*J$4,$A71*INDIRECT("R"&amp;($B$118+0+3*J$2+96*$B71)&amp;"C"&amp;$C$118,FALSE)+$A72*INDIRECT("R"&amp;($B$118+0+3*J$2+96*$B71)&amp;"C"&amp;($C$118+1),FALSE),"")</f>
        <v/>
      </c>
      <c r="K71" s="3" t="str">
        <f t="shared" ca="1" si="100"/>
        <v/>
      </c>
      <c r="L71" s="3" t="str">
        <f t="shared" ca="1" si="100"/>
        <v/>
      </c>
      <c r="M71" s="3" t="str">
        <f t="shared" ca="1" si="100"/>
        <v/>
      </c>
      <c r="N71" s="3">
        <f t="shared" ca="1" si="100"/>
        <v>282.64528441452228</v>
      </c>
      <c r="O71" s="3" t="str">
        <f t="shared" ca="1" si="100"/>
        <v/>
      </c>
      <c r="P71" s="3" t="str">
        <f t="shared" ca="1" si="100"/>
        <v/>
      </c>
      <c r="Q71" s="3" t="str">
        <f t="shared" ca="1" si="100"/>
        <v/>
      </c>
      <c r="R71" s="3" t="str">
        <f t="shared" ca="1" si="100"/>
        <v/>
      </c>
      <c r="S71" s="3" t="str">
        <f t="shared" ca="1" si="100"/>
        <v/>
      </c>
      <c r="T71" s="3" t="str">
        <f t="shared" ca="1" si="100"/>
        <v/>
      </c>
      <c r="U71" s="3" t="str">
        <f t="shared" ca="1" si="100"/>
        <v/>
      </c>
      <c r="V71" s="3" t="str">
        <f t="shared" ca="1" si="100"/>
        <v/>
      </c>
      <c r="W71" s="3" t="str">
        <f t="shared" ca="1" si="100"/>
        <v/>
      </c>
      <c r="X71" s="3" t="str">
        <f t="shared" ca="1" si="100"/>
        <v/>
      </c>
      <c r="Y71" s="3" t="str">
        <f t="shared" ca="1" si="100"/>
        <v/>
      </c>
      <c r="Z71" s="3" t="str">
        <f t="shared" ca="1" si="100"/>
        <v/>
      </c>
      <c r="AA71" s="3" t="str">
        <f t="shared" ca="1" si="100"/>
        <v/>
      </c>
      <c r="AB71" s="3" t="str">
        <f t="shared" ca="1" si="100"/>
        <v/>
      </c>
      <c r="AC71" s="3" t="str">
        <f t="shared" ca="1" si="100"/>
        <v/>
      </c>
      <c r="AD71" s="3" t="str">
        <f t="shared" ca="1" si="100"/>
        <v/>
      </c>
      <c r="AE71" s="3" t="str">
        <f t="shared" ca="1" si="100"/>
        <v/>
      </c>
      <c r="AF71" s="3" t="str">
        <f t="shared" ca="1" si="100"/>
        <v/>
      </c>
      <c r="AG71" s="3" t="str">
        <f t="shared" ca="1" si="100"/>
        <v/>
      </c>
      <c r="AH71" s="3" t="str">
        <f t="shared" ca="1" si="100"/>
        <v/>
      </c>
      <c r="AI71" s="3" t="str">
        <f t="shared" ca="1" si="100"/>
        <v/>
      </c>
      <c r="AJ71" s="3" t="str">
        <f t="shared" ca="1" si="100"/>
        <v/>
      </c>
      <c r="AK71" s="3" t="str">
        <f t="shared" ca="1" si="100"/>
        <v/>
      </c>
      <c r="AL71" s="3" t="str">
        <f t="shared" ca="1" si="100"/>
        <v/>
      </c>
      <c r="AM71" s="3" t="str">
        <f t="shared" ca="1" si="100"/>
        <v/>
      </c>
      <c r="AN71" s="3" t="str">
        <f t="shared" ca="1" si="100"/>
        <v/>
      </c>
      <c r="AO71" s="3" t="str">
        <f t="shared" ca="1" si="100"/>
        <v/>
      </c>
    </row>
    <row r="72" spans="1:41" s="6" customFormat="1">
      <c r="A72" s="23">
        <f ca="1">B123</f>
        <v>-13.155899902632958</v>
      </c>
      <c r="B72" s="78"/>
      <c r="C72" s="6" t="str">
        <f>AR137</f>
        <v>A</v>
      </c>
      <c r="D72" s="6">
        <f t="shared" ref="D72:D91" ca="1" si="101">MIN(J72:AO72)</f>
        <v>237.18029905542852</v>
      </c>
      <c r="E72" s="20">
        <f t="shared" ca="1" si="98"/>
        <v>237.18029905542852</v>
      </c>
      <c r="F72" s="6">
        <f t="shared" ref="F72:F91" ca="1" si="102">MAX(J72:AO72)</f>
        <v>237.18029905542852</v>
      </c>
      <c r="G72" s="20" t="e">
        <f t="shared" ca="1" si="99"/>
        <v>#DIV/0!</v>
      </c>
      <c r="H72" s="32" t="e">
        <f t="shared" ca="1" si="6"/>
        <v>#DIV/0!</v>
      </c>
      <c r="I72" s="20" t="e">
        <f t="shared" ref="I72:I91" ca="1" si="103">(F72-D72)/G72</f>
        <v>#DIV/0!</v>
      </c>
      <c r="J72" s="3" t="str">
        <f t="shared" ref="J72:AO72" ca="1" si="104">IF(J$3*J$4,$A71*INDIRECT("R"&amp;($B$118+1+3*J$2+96*$B71)&amp;"C"&amp;$C$118,FALSE)+$A72*INDIRECT("R"&amp;($B$118+1+3*J$2+96*$B71)&amp;"C"&amp;($C$118+1),FALSE),"")</f>
        <v/>
      </c>
      <c r="K72" s="3" t="str">
        <f t="shared" ca="1" si="104"/>
        <v/>
      </c>
      <c r="L72" s="3" t="str">
        <f t="shared" ca="1" si="104"/>
        <v/>
      </c>
      <c r="M72" s="3" t="str">
        <f t="shared" ca="1" si="104"/>
        <v/>
      </c>
      <c r="N72" s="3">
        <f t="shared" ca="1" si="104"/>
        <v>237.18029905542852</v>
      </c>
      <c r="O72" s="3" t="str">
        <f t="shared" ca="1" si="104"/>
        <v/>
      </c>
      <c r="P72" s="3" t="str">
        <f t="shared" ca="1" si="104"/>
        <v/>
      </c>
      <c r="Q72" s="3" t="str">
        <f t="shared" ca="1" si="104"/>
        <v/>
      </c>
      <c r="R72" s="3" t="str">
        <f t="shared" ca="1" si="104"/>
        <v/>
      </c>
      <c r="S72" s="3" t="str">
        <f t="shared" ca="1" si="104"/>
        <v/>
      </c>
      <c r="T72" s="3" t="str">
        <f t="shared" ca="1" si="104"/>
        <v/>
      </c>
      <c r="U72" s="3" t="str">
        <f t="shared" ca="1" si="104"/>
        <v/>
      </c>
      <c r="V72" s="3" t="str">
        <f t="shared" ca="1" si="104"/>
        <v/>
      </c>
      <c r="W72" s="3" t="str">
        <f t="shared" ca="1" si="104"/>
        <v/>
      </c>
      <c r="X72" s="3" t="str">
        <f t="shared" ca="1" si="104"/>
        <v/>
      </c>
      <c r="Y72" s="3" t="str">
        <f t="shared" ca="1" si="104"/>
        <v/>
      </c>
      <c r="Z72" s="3" t="str">
        <f t="shared" ca="1" si="104"/>
        <v/>
      </c>
      <c r="AA72" s="3" t="str">
        <f t="shared" ca="1" si="104"/>
        <v/>
      </c>
      <c r="AB72" s="3" t="str">
        <f t="shared" ca="1" si="104"/>
        <v/>
      </c>
      <c r="AC72" s="3" t="str">
        <f t="shared" ca="1" si="104"/>
        <v/>
      </c>
      <c r="AD72" s="3" t="str">
        <f t="shared" ca="1" si="104"/>
        <v/>
      </c>
      <c r="AE72" s="3" t="str">
        <f t="shared" ca="1" si="104"/>
        <v/>
      </c>
      <c r="AF72" s="3" t="str">
        <f t="shared" ca="1" si="104"/>
        <v/>
      </c>
      <c r="AG72" s="3" t="str">
        <f t="shared" ca="1" si="104"/>
        <v/>
      </c>
      <c r="AH72" s="3" t="str">
        <f t="shared" ca="1" si="104"/>
        <v/>
      </c>
      <c r="AI72" s="3" t="str">
        <f t="shared" ca="1" si="104"/>
        <v/>
      </c>
      <c r="AJ72" s="3" t="str">
        <f t="shared" ca="1" si="104"/>
        <v/>
      </c>
      <c r="AK72" s="3" t="str">
        <f t="shared" ca="1" si="104"/>
        <v/>
      </c>
      <c r="AL72" s="3" t="str">
        <f t="shared" ca="1" si="104"/>
        <v/>
      </c>
      <c r="AM72" s="3" t="str">
        <f t="shared" ca="1" si="104"/>
        <v/>
      </c>
      <c r="AN72" s="3" t="str">
        <f t="shared" ca="1" si="104"/>
        <v/>
      </c>
      <c r="AO72" s="3" t="str">
        <f t="shared" ca="1" si="104"/>
        <v/>
      </c>
    </row>
    <row r="73" spans="1:41" s="6" customFormat="1">
      <c r="A73" s="23"/>
      <c r="B73" s="78"/>
      <c r="C73" s="6" t="str">
        <f>AR138</f>
        <v>CWF</v>
      </c>
      <c r="D73" s="6">
        <f t="shared" ca="1" si="101"/>
        <v>366.32842569768712</v>
      </c>
      <c r="E73" s="20">
        <f t="shared" ca="1" si="98"/>
        <v>366.32842569768712</v>
      </c>
      <c r="F73" s="6">
        <f t="shared" ca="1" si="102"/>
        <v>366.32842569768712</v>
      </c>
      <c r="G73" s="20" t="e">
        <f t="shared" ca="1" si="99"/>
        <v>#DIV/0!</v>
      </c>
      <c r="H73" s="32" t="e">
        <f t="shared" ca="1" si="6"/>
        <v>#DIV/0!</v>
      </c>
      <c r="I73" s="20" t="e">
        <f t="shared" ca="1" si="103"/>
        <v>#DIV/0!</v>
      </c>
      <c r="J73" s="3" t="str">
        <f t="shared" ref="J73:AO73" ca="1" si="105">IF(J$3*J$4,$A71*INDIRECT("R"&amp;($B$118+2+3*J$2+96*$B71)&amp;"C"&amp;$C$118,FALSE)+$A72*INDIRECT("R"&amp;($B$118+2+3*J$2+96*$B71)&amp;"C"&amp;($C$118+1),FALSE),"")</f>
        <v/>
      </c>
      <c r="K73" s="3" t="str">
        <f t="shared" ca="1" si="105"/>
        <v/>
      </c>
      <c r="L73" s="3" t="str">
        <f t="shared" ca="1" si="105"/>
        <v/>
      </c>
      <c r="M73" s="3" t="str">
        <f t="shared" ca="1" si="105"/>
        <v/>
      </c>
      <c r="N73" s="3">
        <f t="shared" ca="1" si="105"/>
        <v>366.32842569768712</v>
      </c>
      <c r="O73" s="3" t="str">
        <f t="shared" ca="1" si="105"/>
        <v/>
      </c>
      <c r="P73" s="3" t="str">
        <f t="shared" ca="1" si="105"/>
        <v/>
      </c>
      <c r="Q73" s="3" t="str">
        <f t="shared" ca="1" si="105"/>
        <v/>
      </c>
      <c r="R73" s="3" t="str">
        <f t="shared" ca="1" si="105"/>
        <v/>
      </c>
      <c r="S73" s="3" t="str">
        <f t="shared" ca="1" si="105"/>
        <v/>
      </c>
      <c r="T73" s="3" t="str">
        <f t="shared" ca="1" si="105"/>
        <v/>
      </c>
      <c r="U73" s="3" t="str">
        <f t="shared" ca="1" si="105"/>
        <v/>
      </c>
      <c r="V73" s="3" t="str">
        <f t="shared" ca="1" si="105"/>
        <v/>
      </c>
      <c r="W73" s="3" t="str">
        <f t="shared" ca="1" si="105"/>
        <v/>
      </c>
      <c r="X73" s="3" t="str">
        <f t="shared" ca="1" si="105"/>
        <v/>
      </c>
      <c r="Y73" s="3" t="str">
        <f t="shared" ca="1" si="105"/>
        <v/>
      </c>
      <c r="Z73" s="3" t="str">
        <f t="shared" ca="1" si="105"/>
        <v/>
      </c>
      <c r="AA73" s="3" t="str">
        <f t="shared" ca="1" si="105"/>
        <v/>
      </c>
      <c r="AB73" s="3" t="str">
        <f t="shared" ca="1" si="105"/>
        <v/>
      </c>
      <c r="AC73" s="3" t="str">
        <f t="shared" ca="1" si="105"/>
        <v/>
      </c>
      <c r="AD73" s="3" t="str">
        <f t="shared" ca="1" si="105"/>
        <v/>
      </c>
      <c r="AE73" s="3" t="str">
        <f t="shared" ca="1" si="105"/>
        <v/>
      </c>
      <c r="AF73" s="3" t="str">
        <f t="shared" ca="1" si="105"/>
        <v/>
      </c>
      <c r="AG73" s="3" t="str">
        <f t="shared" ca="1" si="105"/>
        <v/>
      </c>
      <c r="AH73" s="3" t="str">
        <f t="shared" ca="1" si="105"/>
        <v/>
      </c>
      <c r="AI73" s="3" t="str">
        <f t="shared" ca="1" si="105"/>
        <v/>
      </c>
      <c r="AJ73" s="3" t="str">
        <f t="shared" ca="1" si="105"/>
        <v/>
      </c>
      <c r="AK73" s="3" t="str">
        <f t="shared" ca="1" si="105"/>
        <v/>
      </c>
      <c r="AL73" s="3" t="str">
        <f t="shared" ca="1" si="105"/>
        <v/>
      </c>
      <c r="AM73" s="3" t="str">
        <f t="shared" ca="1" si="105"/>
        <v/>
      </c>
      <c r="AN73" s="3" t="str">
        <f t="shared" ca="1" si="105"/>
        <v/>
      </c>
      <c r="AO73" s="3" t="str">
        <f t="shared" ca="1" si="105"/>
        <v/>
      </c>
    </row>
    <row r="74" spans="1:41" s="6" customFormat="1">
      <c r="A74" s="23">
        <f ca="1">A71</f>
        <v>10.320483483355199</v>
      </c>
      <c r="B74" s="78">
        <f>B71+1</f>
        <v>1</v>
      </c>
      <c r="C74" s="6" t="str">
        <f>C71</f>
        <v>D65</v>
      </c>
      <c r="D74" s="6">
        <f t="shared" ca="1" si="101"/>
        <v>271.47438344188993</v>
      </c>
      <c r="E74" s="20">
        <f t="shared" ca="1" si="98"/>
        <v>271.47438344188993</v>
      </c>
      <c r="F74" s="6">
        <f t="shared" ca="1" si="102"/>
        <v>271.47438344188993</v>
      </c>
      <c r="G74" s="20" t="e">
        <f t="shared" ca="1" si="99"/>
        <v>#DIV/0!</v>
      </c>
      <c r="H74" s="32" t="e">
        <f t="shared" ca="1" si="6"/>
        <v>#DIV/0!</v>
      </c>
      <c r="I74" s="20" t="e">
        <f t="shared" ca="1" si="103"/>
        <v>#DIV/0!</v>
      </c>
      <c r="J74" s="3" t="str">
        <f t="shared" ref="J74:AO74" ca="1" si="106">IF(J$3*J$4,$A74*INDIRECT("R"&amp;($B$118+0+3*J$2+96*$B74)&amp;"C"&amp;$C$118,FALSE)+$A75*INDIRECT("R"&amp;($B$118+0+3*J$2+96*$B74)&amp;"C"&amp;($C$118+1),FALSE),"")</f>
        <v/>
      </c>
      <c r="K74" s="3" t="str">
        <f t="shared" ca="1" si="106"/>
        <v/>
      </c>
      <c r="L74" s="3" t="str">
        <f t="shared" ca="1" si="106"/>
        <v/>
      </c>
      <c r="M74" s="3" t="str">
        <f t="shared" ca="1" si="106"/>
        <v/>
      </c>
      <c r="N74" s="3">
        <f t="shared" ca="1" si="106"/>
        <v>271.47438344188993</v>
      </c>
      <c r="O74" s="3" t="str">
        <f t="shared" ca="1" si="106"/>
        <v/>
      </c>
      <c r="P74" s="3" t="str">
        <f t="shared" ca="1" si="106"/>
        <v/>
      </c>
      <c r="Q74" s="3" t="str">
        <f t="shared" ca="1" si="106"/>
        <v/>
      </c>
      <c r="R74" s="3" t="str">
        <f t="shared" ca="1" si="106"/>
        <v/>
      </c>
      <c r="S74" s="3" t="str">
        <f t="shared" ca="1" si="106"/>
        <v/>
      </c>
      <c r="T74" s="3" t="str">
        <f t="shared" ca="1" si="106"/>
        <v/>
      </c>
      <c r="U74" s="3" t="str">
        <f t="shared" ca="1" si="106"/>
        <v/>
      </c>
      <c r="V74" s="3" t="str">
        <f t="shared" ca="1" si="106"/>
        <v/>
      </c>
      <c r="W74" s="3" t="str">
        <f t="shared" ca="1" si="106"/>
        <v/>
      </c>
      <c r="X74" s="3" t="str">
        <f t="shared" ca="1" si="106"/>
        <v/>
      </c>
      <c r="Y74" s="3" t="str">
        <f t="shared" ca="1" si="106"/>
        <v/>
      </c>
      <c r="Z74" s="3" t="str">
        <f t="shared" ca="1" si="106"/>
        <v/>
      </c>
      <c r="AA74" s="3" t="str">
        <f t="shared" ca="1" si="106"/>
        <v/>
      </c>
      <c r="AB74" s="3" t="str">
        <f t="shared" ca="1" si="106"/>
        <v/>
      </c>
      <c r="AC74" s="3" t="str">
        <f t="shared" ca="1" si="106"/>
        <v/>
      </c>
      <c r="AD74" s="3" t="str">
        <f t="shared" ca="1" si="106"/>
        <v/>
      </c>
      <c r="AE74" s="3" t="str">
        <f t="shared" ca="1" si="106"/>
        <v/>
      </c>
      <c r="AF74" s="3" t="str">
        <f t="shared" ca="1" si="106"/>
        <v/>
      </c>
      <c r="AG74" s="3" t="str">
        <f t="shared" ca="1" si="106"/>
        <v/>
      </c>
      <c r="AH74" s="3" t="str">
        <f t="shared" ca="1" si="106"/>
        <v/>
      </c>
      <c r="AI74" s="3" t="str">
        <f t="shared" ca="1" si="106"/>
        <v/>
      </c>
      <c r="AJ74" s="3" t="str">
        <f t="shared" ca="1" si="106"/>
        <v/>
      </c>
      <c r="AK74" s="3" t="str">
        <f t="shared" ca="1" si="106"/>
        <v/>
      </c>
      <c r="AL74" s="3" t="str">
        <f t="shared" ca="1" si="106"/>
        <v/>
      </c>
      <c r="AM74" s="3" t="str">
        <f t="shared" ca="1" si="106"/>
        <v/>
      </c>
      <c r="AN74" s="3" t="str">
        <f t="shared" ca="1" si="106"/>
        <v/>
      </c>
      <c r="AO74" s="3" t="str">
        <f t="shared" ca="1" si="106"/>
        <v/>
      </c>
    </row>
    <row r="75" spans="1:41" s="6" customFormat="1">
      <c r="A75" s="23">
        <f ca="1">A72</f>
        <v>-13.155899902632958</v>
      </c>
      <c r="B75" s="78"/>
      <c r="C75" s="6" t="str">
        <f t="shared" ref="C75:C82" si="107">C72</f>
        <v>A</v>
      </c>
      <c r="D75" s="6">
        <f t="shared" ca="1" si="101"/>
        <v>229.06037362041877</v>
      </c>
      <c r="E75" s="20">
        <f t="shared" ca="1" si="98"/>
        <v>229.06037362041877</v>
      </c>
      <c r="F75" s="6">
        <f t="shared" ca="1" si="102"/>
        <v>229.06037362041877</v>
      </c>
      <c r="G75" s="20" t="e">
        <f t="shared" ca="1" si="99"/>
        <v>#DIV/0!</v>
      </c>
      <c r="H75" s="32" t="e">
        <f t="shared" ca="1" si="6"/>
        <v>#DIV/0!</v>
      </c>
      <c r="I75" s="20" t="e">
        <f t="shared" ca="1" si="103"/>
        <v>#DIV/0!</v>
      </c>
      <c r="J75" s="3" t="str">
        <f t="shared" ref="J75:AO75" ca="1" si="108">IF(J$3*J$4,$A74*INDIRECT("R"&amp;($B$118+1+3*J$2+96*$B74)&amp;"C"&amp;$C$118,FALSE)+$A75*INDIRECT("R"&amp;($B$118+1+3*J$2+96*$B74)&amp;"C"&amp;($C$118+1),FALSE),"")</f>
        <v/>
      </c>
      <c r="K75" s="3" t="str">
        <f t="shared" ca="1" si="108"/>
        <v/>
      </c>
      <c r="L75" s="3" t="str">
        <f t="shared" ca="1" si="108"/>
        <v/>
      </c>
      <c r="M75" s="3" t="str">
        <f t="shared" ca="1" si="108"/>
        <v/>
      </c>
      <c r="N75" s="3">
        <f t="shared" ca="1" si="108"/>
        <v>229.06037362041877</v>
      </c>
      <c r="O75" s="3" t="str">
        <f t="shared" ca="1" si="108"/>
        <v/>
      </c>
      <c r="P75" s="3" t="str">
        <f t="shared" ca="1" si="108"/>
        <v/>
      </c>
      <c r="Q75" s="3" t="str">
        <f t="shared" ca="1" si="108"/>
        <v/>
      </c>
      <c r="R75" s="3" t="str">
        <f t="shared" ca="1" si="108"/>
        <v/>
      </c>
      <c r="S75" s="3" t="str">
        <f t="shared" ca="1" si="108"/>
        <v/>
      </c>
      <c r="T75" s="3" t="str">
        <f t="shared" ca="1" si="108"/>
        <v/>
      </c>
      <c r="U75" s="3" t="str">
        <f t="shared" ca="1" si="108"/>
        <v/>
      </c>
      <c r="V75" s="3" t="str">
        <f t="shared" ca="1" si="108"/>
        <v/>
      </c>
      <c r="W75" s="3" t="str">
        <f t="shared" ca="1" si="108"/>
        <v/>
      </c>
      <c r="X75" s="3" t="str">
        <f t="shared" ca="1" si="108"/>
        <v/>
      </c>
      <c r="Y75" s="3" t="str">
        <f t="shared" ca="1" si="108"/>
        <v/>
      </c>
      <c r="Z75" s="3" t="str">
        <f t="shared" ca="1" si="108"/>
        <v/>
      </c>
      <c r="AA75" s="3" t="str">
        <f t="shared" ca="1" si="108"/>
        <v/>
      </c>
      <c r="AB75" s="3" t="str">
        <f t="shared" ca="1" si="108"/>
        <v/>
      </c>
      <c r="AC75" s="3" t="str">
        <f t="shared" ca="1" si="108"/>
        <v/>
      </c>
      <c r="AD75" s="3" t="str">
        <f t="shared" ca="1" si="108"/>
        <v/>
      </c>
      <c r="AE75" s="3" t="str">
        <f t="shared" ca="1" si="108"/>
        <v/>
      </c>
      <c r="AF75" s="3" t="str">
        <f t="shared" ca="1" si="108"/>
        <v/>
      </c>
      <c r="AG75" s="3" t="str">
        <f t="shared" ca="1" si="108"/>
        <v/>
      </c>
      <c r="AH75" s="3" t="str">
        <f t="shared" ca="1" si="108"/>
        <v/>
      </c>
      <c r="AI75" s="3" t="str">
        <f t="shared" ca="1" si="108"/>
        <v/>
      </c>
      <c r="AJ75" s="3" t="str">
        <f t="shared" ca="1" si="108"/>
        <v/>
      </c>
      <c r="AK75" s="3" t="str">
        <f t="shared" ca="1" si="108"/>
        <v/>
      </c>
      <c r="AL75" s="3" t="str">
        <f t="shared" ca="1" si="108"/>
        <v/>
      </c>
      <c r="AM75" s="3" t="str">
        <f t="shared" ca="1" si="108"/>
        <v/>
      </c>
      <c r="AN75" s="3" t="str">
        <f t="shared" ca="1" si="108"/>
        <v/>
      </c>
      <c r="AO75" s="3" t="str">
        <f t="shared" ca="1" si="108"/>
        <v/>
      </c>
    </row>
    <row r="76" spans="1:41" s="6" customFormat="1" ht="15.75" thickBot="1">
      <c r="A76" s="24"/>
      <c r="B76" s="79"/>
      <c r="C76" s="6" t="str">
        <f t="shared" si="107"/>
        <v>CWF</v>
      </c>
      <c r="D76" s="6">
        <f t="shared" ca="1" si="101"/>
        <v>354.93966845089966</v>
      </c>
      <c r="E76" s="20">
        <f t="shared" ca="1" si="98"/>
        <v>354.93966845089966</v>
      </c>
      <c r="F76" s="6">
        <f t="shared" ca="1" si="102"/>
        <v>354.93966845089966</v>
      </c>
      <c r="G76" s="20" t="e">
        <f t="shared" ca="1" si="99"/>
        <v>#DIV/0!</v>
      </c>
      <c r="H76" s="32" t="e">
        <f t="shared" ca="1" si="6"/>
        <v>#DIV/0!</v>
      </c>
      <c r="I76" s="20" t="e">
        <f t="shared" ca="1" si="103"/>
        <v>#DIV/0!</v>
      </c>
      <c r="J76" s="3" t="str">
        <f t="shared" ref="J76:AO76" ca="1" si="109">IF(J$3*J$4,$A74*INDIRECT("R"&amp;($B$118+2+3*J$2+96*$B74)&amp;"C"&amp;$C$118,FALSE)+$A75*INDIRECT("R"&amp;($B$118+2+3*J$2+96*$B74)&amp;"C"&amp;($C$118+1),FALSE),"")</f>
        <v/>
      </c>
      <c r="K76" s="3" t="str">
        <f t="shared" ca="1" si="109"/>
        <v/>
      </c>
      <c r="L76" s="3" t="str">
        <f t="shared" ca="1" si="109"/>
        <v/>
      </c>
      <c r="M76" s="3" t="str">
        <f t="shared" ca="1" si="109"/>
        <v/>
      </c>
      <c r="N76" s="3">
        <f t="shared" ca="1" si="109"/>
        <v>354.93966845089966</v>
      </c>
      <c r="O76" s="3" t="str">
        <f t="shared" ca="1" si="109"/>
        <v/>
      </c>
      <c r="P76" s="3" t="str">
        <f t="shared" ca="1" si="109"/>
        <v/>
      </c>
      <c r="Q76" s="3" t="str">
        <f t="shared" ca="1" si="109"/>
        <v/>
      </c>
      <c r="R76" s="3" t="str">
        <f t="shared" ca="1" si="109"/>
        <v/>
      </c>
      <c r="S76" s="3" t="str">
        <f t="shared" ca="1" si="109"/>
        <v/>
      </c>
      <c r="T76" s="3" t="str">
        <f t="shared" ca="1" si="109"/>
        <v/>
      </c>
      <c r="U76" s="3" t="str">
        <f t="shared" ca="1" si="109"/>
        <v/>
      </c>
      <c r="V76" s="3" t="str">
        <f t="shared" ca="1" si="109"/>
        <v/>
      </c>
      <c r="W76" s="3" t="str">
        <f t="shared" ca="1" si="109"/>
        <v/>
      </c>
      <c r="X76" s="3" t="str">
        <f t="shared" ca="1" si="109"/>
        <v/>
      </c>
      <c r="Y76" s="3" t="str">
        <f t="shared" ca="1" si="109"/>
        <v/>
      </c>
      <c r="Z76" s="3" t="str">
        <f t="shared" ca="1" si="109"/>
        <v/>
      </c>
      <c r="AA76" s="3" t="str">
        <f t="shared" ca="1" si="109"/>
        <v/>
      </c>
      <c r="AB76" s="3" t="str">
        <f t="shared" ca="1" si="109"/>
        <v/>
      </c>
      <c r="AC76" s="3" t="str">
        <f t="shared" ca="1" si="109"/>
        <v/>
      </c>
      <c r="AD76" s="3" t="str">
        <f t="shared" ca="1" si="109"/>
        <v/>
      </c>
      <c r="AE76" s="3" t="str">
        <f t="shared" ca="1" si="109"/>
        <v/>
      </c>
      <c r="AF76" s="3" t="str">
        <f t="shared" ca="1" si="109"/>
        <v/>
      </c>
      <c r="AG76" s="3" t="str">
        <f t="shared" ca="1" si="109"/>
        <v/>
      </c>
      <c r="AH76" s="3" t="str">
        <f t="shared" ca="1" si="109"/>
        <v/>
      </c>
      <c r="AI76" s="3" t="str">
        <f t="shared" ca="1" si="109"/>
        <v/>
      </c>
      <c r="AJ76" s="3" t="str">
        <f t="shared" ca="1" si="109"/>
        <v/>
      </c>
      <c r="AK76" s="3" t="str">
        <f t="shared" ca="1" si="109"/>
        <v/>
      </c>
      <c r="AL76" s="3" t="str">
        <f t="shared" ca="1" si="109"/>
        <v/>
      </c>
      <c r="AM76" s="3" t="str">
        <f t="shared" ca="1" si="109"/>
        <v/>
      </c>
      <c r="AN76" s="3" t="str">
        <f t="shared" ca="1" si="109"/>
        <v/>
      </c>
      <c r="AO76" s="3" t="str">
        <f t="shared" ca="1" si="109"/>
        <v/>
      </c>
    </row>
    <row r="77" spans="1:41" s="6" customFormat="1">
      <c r="A77" s="22">
        <f ca="1">C124</f>
        <v>9.2347856951568001</v>
      </c>
      <c r="B77" s="77">
        <f>B74+1</f>
        <v>2</v>
      </c>
      <c r="C77" s="6" t="str">
        <f t="shared" si="107"/>
        <v>D65</v>
      </c>
      <c r="D77" s="6">
        <f t="shared" ca="1" si="101"/>
        <v>281.62382669581893</v>
      </c>
      <c r="E77" s="20">
        <f t="shared" ca="1" si="98"/>
        <v>281.62382669581893</v>
      </c>
      <c r="F77" s="6">
        <f t="shared" ca="1" si="102"/>
        <v>281.62382669581893</v>
      </c>
      <c r="G77" s="20" t="e">
        <f t="shared" ca="1" si="99"/>
        <v>#DIV/0!</v>
      </c>
      <c r="H77" s="32" t="e">
        <f t="shared" ca="1" si="6"/>
        <v>#DIV/0!</v>
      </c>
      <c r="I77" s="20" t="e">
        <f t="shared" ca="1" si="103"/>
        <v>#DIV/0!</v>
      </c>
      <c r="J77" s="3" t="str">
        <f t="shared" ref="J77:AO77" ca="1" si="110">IF(J$3*J$4,$A77*INDIRECT("R"&amp;($B$118+0+3*J$2+96*$B77)&amp;"C"&amp;$C$118,FALSE)+$A78*INDIRECT("R"&amp;($B$118+0+3*J$2+96*$B77)&amp;"C"&amp;($C$118+1),FALSE),"")</f>
        <v/>
      </c>
      <c r="K77" s="3" t="str">
        <f t="shared" ca="1" si="110"/>
        <v/>
      </c>
      <c r="L77" s="3" t="str">
        <f t="shared" ca="1" si="110"/>
        <v/>
      </c>
      <c r="M77" s="3" t="str">
        <f t="shared" ca="1" si="110"/>
        <v/>
      </c>
      <c r="N77" s="3">
        <f t="shared" ca="1" si="110"/>
        <v>281.62382669581893</v>
      </c>
      <c r="O77" s="3" t="str">
        <f t="shared" ca="1" si="110"/>
        <v/>
      </c>
      <c r="P77" s="3" t="str">
        <f t="shared" ca="1" si="110"/>
        <v/>
      </c>
      <c r="Q77" s="3" t="str">
        <f t="shared" ca="1" si="110"/>
        <v/>
      </c>
      <c r="R77" s="3" t="str">
        <f t="shared" ca="1" si="110"/>
        <v/>
      </c>
      <c r="S77" s="3" t="str">
        <f t="shared" ca="1" si="110"/>
        <v/>
      </c>
      <c r="T77" s="3" t="str">
        <f t="shared" ca="1" si="110"/>
        <v/>
      </c>
      <c r="U77" s="3" t="str">
        <f t="shared" ca="1" si="110"/>
        <v/>
      </c>
      <c r="V77" s="3" t="str">
        <f t="shared" ca="1" si="110"/>
        <v/>
      </c>
      <c r="W77" s="3" t="str">
        <f t="shared" ca="1" si="110"/>
        <v/>
      </c>
      <c r="X77" s="3" t="str">
        <f t="shared" ca="1" si="110"/>
        <v/>
      </c>
      <c r="Y77" s="3" t="str">
        <f t="shared" ca="1" si="110"/>
        <v/>
      </c>
      <c r="Z77" s="3" t="str">
        <f t="shared" ca="1" si="110"/>
        <v/>
      </c>
      <c r="AA77" s="3" t="str">
        <f t="shared" ca="1" si="110"/>
        <v/>
      </c>
      <c r="AB77" s="3" t="str">
        <f t="shared" ca="1" si="110"/>
        <v/>
      </c>
      <c r="AC77" s="3" t="str">
        <f t="shared" ca="1" si="110"/>
        <v/>
      </c>
      <c r="AD77" s="3" t="str">
        <f t="shared" ca="1" si="110"/>
        <v/>
      </c>
      <c r="AE77" s="3" t="str">
        <f t="shared" ca="1" si="110"/>
        <v/>
      </c>
      <c r="AF77" s="3" t="str">
        <f t="shared" ca="1" si="110"/>
        <v/>
      </c>
      <c r="AG77" s="3" t="str">
        <f t="shared" ca="1" si="110"/>
        <v/>
      </c>
      <c r="AH77" s="3" t="str">
        <f t="shared" ca="1" si="110"/>
        <v/>
      </c>
      <c r="AI77" s="3" t="str">
        <f t="shared" ca="1" si="110"/>
        <v/>
      </c>
      <c r="AJ77" s="3" t="str">
        <f t="shared" ca="1" si="110"/>
        <v/>
      </c>
      <c r="AK77" s="3" t="str">
        <f t="shared" ca="1" si="110"/>
        <v/>
      </c>
      <c r="AL77" s="3" t="str">
        <f t="shared" ca="1" si="110"/>
        <v/>
      </c>
      <c r="AM77" s="3" t="str">
        <f t="shared" ca="1" si="110"/>
        <v/>
      </c>
      <c r="AN77" s="3" t="str">
        <f t="shared" ca="1" si="110"/>
        <v/>
      </c>
      <c r="AO77" s="3" t="str">
        <f t="shared" ca="1" si="110"/>
        <v/>
      </c>
    </row>
    <row r="78" spans="1:41" s="6" customFormat="1">
      <c r="A78" s="23">
        <f ca="1">B124</f>
        <v>-7.1806285260558393</v>
      </c>
      <c r="B78" s="78"/>
      <c r="C78" s="6" t="str">
        <f t="shared" si="107"/>
        <v>A</v>
      </c>
      <c r="D78" s="6">
        <f t="shared" ca="1" si="101"/>
        <v>245.16812781525618</v>
      </c>
      <c r="E78" s="20">
        <f t="shared" ca="1" si="98"/>
        <v>245.16812781525618</v>
      </c>
      <c r="F78" s="6">
        <f t="shared" ca="1" si="102"/>
        <v>245.16812781525618</v>
      </c>
      <c r="G78" s="20" t="e">
        <f t="shared" ca="1" si="99"/>
        <v>#DIV/0!</v>
      </c>
      <c r="H78" s="32" t="e">
        <f t="shared" ca="1" si="6"/>
        <v>#DIV/0!</v>
      </c>
      <c r="I78" s="20" t="e">
        <f t="shared" ca="1" si="103"/>
        <v>#DIV/0!</v>
      </c>
      <c r="J78" s="3" t="str">
        <f t="shared" ref="J78:AO78" ca="1" si="111">IF(J$3*J$4,$A77*INDIRECT("R"&amp;($B$118+1+3*J$2+96*$B77)&amp;"C"&amp;$C$118,FALSE)+$A78*INDIRECT("R"&amp;($B$118+1+3*J$2+96*$B77)&amp;"C"&amp;($C$118+1),FALSE),"")</f>
        <v/>
      </c>
      <c r="K78" s="3" t="str">
        <f t="shared" ca="1" si="111"/>
        <v/>
      </c>
      <c r="L78" s="3" t="str">
        <f t="shared" ca="1" si="111"/>
        <v/>
      </c>
      <c r="M78" s="3" t="str">
        <f t="shared" ca="1" si="111"/>
        <v/>
      </c>
      <c r="N78" s="3">
        <f t="shared" ca="1" si="111"/>
        <v>245.16812781525618</v>
      </c>
      <c r="O78" s="3" t="str">
        <f t="shared" ca="1" si="111"/>
        <v/>
      </c>
      <c r="P78" s="3" t="str">
        <f t="shared" ca="1" si="111"/>
        <v/>
      </c>
      <c r="Q78" s="3" t="str">
        <f t="shared" ca="1" si="111"/>
        <v/>
      </c>
      <c r="R78" s="3" t="str">
        <f t="shared" ca="1" si="111"/>
        <v/>
      </c>
      <c r="S78" s="3" t="str">
        <f t="shared" ca="1" si="111"/>
        <v/>
      </c>
      <c r="T78" s="3" t="str">
        <f t="shared" ca="1" si="111"/>
        <v/>
      </c>
      <c r="U78" s="3" t="str">
        <f t="shared" ca="1" si="111"/>
        <v/>
      </c>
      <c r="V78" s="3" t="str">
        <f t="shared" ca="1" si="111"/>
        <v/>
      </c>
      <c r="W78" s="3" t="str">
        <f t="shared" ca="1" si="111"/>
        <v/>
      </c>
      <c r="X78" s="3" t="str">
        <f t="shared" ca="1" si="111"/>
        <v/>
      </c>
      <c r="Y78" s="3" t="str">
        <f t="shared" ca="1" si="111"/>
        <v/>
      </c>
      <c r="Z78" s="3" t="str">
        <f t="shared" ca="1" si="111"/>
        <v/>
      </c>
      <c r="AA78" s="3" t="str">
        <f t="shared" ca="1" si="111"/>
        <v/>
      </c>
      <c r="AB78" s="3" t="str">
        <f t="shared" ca="1" si="111"/>
        <v/>
      </c>
      <c r="AC78" s="3" t="str">
        <f t="shared" ca="1" si="111"/>
        <v/>
      </c>
      <c r="AD78" s="3" t="str">
        <f t="shared" ca="1" si="111"/>
        <v/>
      </c>
      <c r="AE78" s="3" t="str">
        <f t="shared" ca="1" si="111"/>
        <v/>
      </c>
      <c r="AF78" s="3" t="str">
        <f t="shared" ca="1" si="111"/>
        <v/>
      </c>
      <c r="AG78" s="3" t="str">
        <f t="shared" ca="1" si="111"/>
        <v/>
      </c>
      <c r="AH78" s="3" t="str">
        <f t="shared" ca="1" si="111"/>
        <v/>
      </c>
      <c r="AI78" s="3" t="str">
        <f t="shared" ca="1" si="111"/>
        <v/>
      </c>
      <c r="AJ78" s="3" t="str">
        <f t="shared" ca="1" si="111"/>
        <v/>
      </c>
      <c r="AK78" s="3" t="str">
        <f t="shared" ca="1" si="111"/>
        <v/>
      </c>
      <c r="AL78" s="3" t="str">
        <f t="shared" ca="1" si="111"/>
        <v/>
      </c>
      <c r="AM78" s="3" t="str">
        <f t="shared" ca="1" si="111"/>
        <v/>
      </c>
      <c r="AN78" s="3" t="str">
        <f t="shared" ca="1" si="111"/>
        <v/>
      </c>
      <c r="AO78" s="3" t="str">
        <f t="shared" ca="1" si="111"/>
        <v/>
      </c>
    </row>
    <row r="79" spans="1:41" s="6" customFormat="1">
      <c r="A79" s="23"/>
      <c r="B79" s="78"/>
      <c r="C79" s="6" t="str">
        <f t="shared" si="107"/>
        <v>CWF</v>
      </c>
      <c r="D79" s="6">
        <f t="shared" ca="1" si="101"/>
        <v>363.283097224747</v>
      </c>
      <c r="E79" s="20">
        <f t="shared" ca="1" si="98"/>
        <v>363.283097224747</v>
      </c>
      <c r="F79" s="6">
        <f t="shared" ca="1" si="102"/>
        <v>363.283097224747</v>
      </c>
      <c r="G79" s="20" t="e">
        <f t="shared" ca="1" si="99"/>
        <v>#DIV/0!</v>
      </c>
      <c r="H79" s="32" t="e">
        <f t="shared" ca="1" si="6"/>
        <v>#DIV/0!</v>
      </c>
      <c r="I79" s="20" t="e">
        <f t="shared" ca="1" si="103"/>
        <v>#DIV/0!</v>
      </c>
      <c r="J79" s="3" t="str">
        <f t="shared" ref="J79:AO79" ca="1" si="112">IF(J$3*J$4,$A77*INDIRECT("R"&amp;($B$118+2+3*J$2+96*$B77)&amp;"C"&amp;$C$118,FALSE)+$A78*INDIRECT("R"&amp;($B$118+2+3*J$2+96*$B77)&amp;"C"&amp;($C$118+1),FALSE),"")</f>
        <v/>
      </c>
      <c r="K79" s="3" t="str">
        <f t="shared" ca="1" si="112"/>
        <v/>
      </c>
      <c r="L79" s="3" t="str">
        <f t="shared" ca="1" si="112"/>
        <v/>
      </c>
      <c r="M79" s="3" t="str">
        <f t="shared" ca="1" si="112"/>
        <v/>
      </c>
      <c r="N79" s="3">
        <f t="shared" ca="1" si="112"/>
        <v>363.283097224747</v>
      </c>
      <c r="O79" s="3" t="str">
        <f t="shared" ca="1" si="112"/>
        <v/>
      </c>
      <c r="P79" s="3" t="str">
        <f t="shared" ca="1" si="112"/>
        <v/>
      </c>
      <c r="Q79" s="3" t="str">
        <f t="shared" ca="1" si="112"/>
        <v/>
      </c>
      <c r="R79" s="3" t="str">
        <f t="shared" ca="1" si="112"/>
        <v/>
      </c>
      <c r="S79" s="3" t="str">
        <f t="shared" ca="1" si="112"/>
        <v/>
      </c>
      <c r="T79" s="3" t="str">
        <f t="shared" ca="1" si="112"/>
        <v/>
      </c>
      <c r="U79" s="3" t="str">
        <f t="shared" ca="1" si="112"/>
        <v/>
      </c>
      <c r="V79" s="3" t="str">
        <f t="shared" ca="1" si="112"/>
        <v/>
      </c>
      <c r="W79" s="3" t="str">
        <f t="shared" ca="1" si="112"/>
        <v/>
      </c>
      <c r="X79" s="3" t="str">
        <f t="shared" ca="1" si="112"/>
        <v/>
      </c>
      <c r="Y79" s="3" t="str">
        <f t="shared" ca="1" si="112"/>
        <v/>
      </c>
      <c r="Z79" s="3" t="str">
        <f t="shared" ca="1" si="112"/>
        <v/>
      </c>
      <c r="AA79" s="3" t="str">
        <f t="shared" ca="1" si="112"/>
        <v/>
      </c>
      <c r="AB79" s="3" t="str">
        <f t="shared" ca="1" si="112"/>
        <v/>
      </c>
      <c r="AC79" s="3" t="str">
        <f t="shared" ca="1" si="112"/>
        <v/>
      </c>
      <c r="AD79" s="3" t="str">
        <f t="shared" ca="1" si="112"/>
        <v/>
      </c>
      <c r="AE79" s="3" t="str">
        <f t="shared" ca="1" si="112"/>
        <v/>
      </c>
      <c r="AF79" s="3" t="str">
        <f t="shared" ca="1" si="112"/>
        <v/>
      </c>
      <c r="AG79" s="3" t="str">
        <f t="shared" ca="1" si="112"/>
        <v/>
      </c>
      <c r="AH79" s="3" t="str">
        <f t="shared" ca="1" si="112"/>
        <v/>
      </c>
      <c r="AI79" s="3" t="str">
        <f t="shared" ca="1" si="112"/>
        <v/>
      </c>
      <c r="AJ79" s="3" t="str">
        <f t="shared" ca="1" si="112"/>
        <v/>
      </c>
      <c r="AK79" s="3" t="str">
        <f t="shared" ca="1" si="112"/>
        <v/>
      </c>
      <c r="AL79" s="3" t="str">
        <f t="shared" ca="1" si="112"/>
        <v/>
      </c>
      <c r="AM79" s="3" t="str">
        <f t="shared" ca="1" si="112"/>
        <v/>
      </c>
      <c r="AN79" s="3" t="str">
        <f t="shared" ca="1" si="112"/>
        <v/>
      </c>
      <c r="AO79" s="3" t="str">
        <f t="shared" ca="1" si="112"/>
        <v/>
      </c>
    </row>
    <row r="80" spans="1:41" s="6" customFormat="1">
      <c r="A80" s="23">
        <f ca="1">A77</f>
        <v>9.2347856951568001</v>
      </c>
      <c r="B80" s="78">
        <f>B77+1</f>
        <v>3</v>
      </c>
      <c r="C80" s="6" t="str">
        <f t="shared" si="107"/>
        <v>D65</v>
      </c>
      <c r="D80" s="6">
        <f t="shared" ca="1" si="101"/>
        <v>271.73506350428511</v>
      </c>
      <c r="E80" s="20">
        <f t="shared" ca="1" si="98"/>
        <v>271.73506350428511</v>
      </c>
      <c r="F80" s="6">
        <f t="shared" ca="1" si="102"/>
        <v>271.73506350428511</v>
      </c>
      <c r="G80" s="20" t="e">
        <f t="shared" ca="1" si="99"/>
        <v>#DIV/0!</v>
      </c>
      <c r="H80" s="32" t="e">
        <f t="shared" ca="1" si="6"/>
        <v>#DIV/0!</v>
      </c>
      <c r="I80" s="20" t="e">
        <f t="shared" ca="1" si="103"/>
        <v>#DIV/0!</v>
      </c>
      <c r="J80" s="3" t="str">
        <f t="shared" ref="J80:AO80" ca="1" si="113">IF(J$3*J$4,$A80*INDIRECT("R"&amp;($B$118+0+3*J$2+96*$B80)&amp;"C"&amp;$C$118,FALSE)+$A81*INDIRECT("R"&amp;($B$118+0+3*J$2+96*$B80)&amp;"C"&amp;($C$118+1),FALSE),"")</f>
        <v/>
      </c>
      <c r="K80" s="3" t="str">
        <f t="shared" ca="1" si="113"/>
        <v/>
      </c>
      <c r="L80" s="3" t="str">
        <f t="shared" ca="1" si="113"/>
        <v/>
      </c>
      <c r="M80" s="3" t="str">
        <f t="shared" ca="1" si="113"/>
        <v/>
      </c>
      <c r="N80" s="3">
        <f t="shared" ca="1" si="113"/>
        <v>271.73506350428511</v>
      </c>
      <c r="O80" s="3" t="str">
        <f t="shared" ca="1" si="113"/>
        <v/>
      </c>
      <c r="P80" s="3" t="str">
        <f t="shared" ca="1" si="113"/>
        <v/>
      </c>
      <c r="Q80" s="3" t="str">
        <f t="shared" ca="1" si="113"/>
        <v/>
      </c>
      <c r="R80" s="3" t="str">
        <f t="shared" ca="1" si="113"/>
        <v/>
      </c>
      <c r="S80" s="3" t="str">
        <f t="shared" ca="1" si="113"/>
        <v/>
      </c>
      <c r="T80" s="3" t="str">
        <f t="shared" ca="1" si="113"/>
        <v/>
      </c>
      <c r="U80" s="3" t="str">
        <f t="shared" ca="1" si="113"/>
        <v/>
      </c>
      <c r="V80" s="3" t="str">
        <f t="shared" ca="1" si="113"/>
        <v/>
      </c>
      <c r="W80" s="3" t="str">
        <f t="shared" ca="1" si="113"/>
        <v/>
      </c>
      <c r="X80" s="3" t="str">
        <f t="shared" ca="1" si="113"/>
        <v/>
      </c>
      <c r="Y80" s="3" t="str">
        <f t="shared" ca="1" si="113"/>
        <v/>
      </c>
      <c r="Z80" s="3" t="str">
        <f t="shared" ca="1" si="113"/>
        <v/>
      </c>
      <c r="AA80" s="3" t="str">
        <f t="shared" ca="1" si="113"/>
        <v/>
      </c>
      <c r="AB80" s="3" t="str">
        <f t="shared" ca="1" si="113"/>
        <v/>
      </c>
      <c r="AC80" s="3" t="str">
        <f t="shared" ca="1" si="113"/>
        <v/>
      </c>
      <c r="AD80" s="3" t="str">
        <f t="shared" ca="1" si="113"/>
        <v/>
      </c>
      <c r="AE80" s="3" t="str">
        <f t="shared" ca="1" si="113"/>
        <v/>
      </c>
      <c r="AF80" s="3" t="str">
        <f t="shared" ca="1" si="113"/>
        <v/>
      </c>
      <c r="AG80" s="3" t="str">
        <f t="shared" ca="1" si="113"/>
        <v/>
      </c>
      <c r="AH80" s="3" t="str">
        <f t="shared" ca="1" si="113"/>
        <v/>
      </c>
      <c r="AI80" s="3" t="str">
        <f t="shared" ca="1" si="113"/>
        <v/>
      </c>
      <c r="AJ80" s="3" t="str">
        <f t="shared" ca="1" si="113"/>
        <v/>
      </c>
      <c r="AK80" s="3" t="str">
        <f t="shared" ca="1" si="113"/>
        <v/>
      </c>
      <c r="AL80" s="3" t="str">
        <f t="shared" ca="1" si="113"/>
        <v/>
      </c>
      <c r="AM80" s="3" t="str">
        <f t="shared" ca="1" si="113"/>
        <v/>
      </c>
      <c r="AN80" s="3" t="str">
        <f t="shared" ca="1" si="113"/>
        <v/>
      </c>
      <c r="AO80" s="3" t="str">
        <f t="shared" ca="1" si="113"/>
        <v/>
      </c>
    </row>
    <row r="81" spans="1:54" s="6" customFormat="1">
      <c r="A81" s="23">
        <f ca="1">A78</f>
        <v>-7.1806285260558393</v>
      </c>
      <c r="B81" s="78"/>
      <c r="C81" s="6" t="str">
        <f t="shared" si="107"/>
        <v>A</v>
      </c>
      <c r="D81" s="6">
        <f t="shared" ca="1" si="101"/>
        <v>237.55160586676482</v>
      </c>
      <c r="E81" s="20">
        <f t="shared" ca="1" si="98"/>
        <v>237.55160586676482</v>
      </c>
      <c r="F81" s="6">
        <f t="shared" ca="1" si="102"/>
        <v>237.55160586676482</v>
      </c>
      <c r="G81" s="20" t="e">
        <f t="shared" ca="1" si="99"/>
        <v>#DIV/0!</v>
      </c>
      <c r="H81" s="32" t="e">
        <f t="shared" ref="H81:H107" ca="1" si="114">ABS(G81/E81)</f>
        <v>#DIV/0!</v>
      </c>
      <c r="I81" s="20" t="e">
        <f t="shared" ca="1" si="103"/>
        <v>#DIV/0!</v>
      </c>
      <c r="J81" s="3" t="str">
        <f t="shared" ref="J81:AO81" ca="1" si="115">IF(J$3*J$4,$A80*INDIRECT("R"&amp;($B$118+1+3*J$2+96*$B80)&amp;"C"&amp;$C$118,FALSE)+$A81*INDIRECT("R"&amp;($B$118+1+3*J$2+96*$B80)&amp;"C"&amp;($C$118+1),FALSE),"")</f>
        <v/>
      </c>
      <c r="K81" s="3" t="str">
        <f t="shared" ca="1" si="115"/>
        <v/>
      </c>
      <c r="L81" s="3" t="str">
        <f t="shared" ca="1" si="115"/>
        <v/>
      </c>
      <c r="M81" s="3" t="str">
        <f t="shared" ca="1" si="115"/>
        <v/>
      </c>
      <c r="N81" s="3">
        <f t="shared" ca="1" si="115"/>
        <v>237.55160586676482</v>
      </c>
      <c r="O81" s="3" t="str">
        <f t="shared" ca="1" si="115"/>
        <v/>
      </c>
      <c r="P81" s="3" t="str">
        <f t="shared" ca="1" si="115"/>
        <v/>
      </c>
      <c r="Q81" s="3" t="str">
        <f t="shared" ca="1" si="115"/>
        <v/>
      </c>
      <c r="R81" s="3" t="str">
        <f t="shared" ca="1" si="115"/>
        <v/>
      </c>
      <c r="S81" s="3" t="str">
        <f t="shared" ca="1" si="115"/>
        <v/>
      </c>
      <c r="T81" s="3" t="str">
        <f t="shared" ca="1" si="115"/>
        <v/>
      </c>
      <c r="U81" s="3" t="str">
        <f t="shared" ca="1" si="115"/>
        <v/>
      </c>
      <c r="V81" s="3" t="str">
        <f t="shared" ca="1" si="115"/>
        <v/>
      </c>
      <c r="W81" s="3" t="str">
        <f t="shared" ca="1" si="115"/>
        <v/>
      </c>
      <c r="X81" s="3" t="str">
        <f t="shared" ca="1" si="115"/>
        <v/>
      </c>
      <c r="Y81" s="3" t="str">
        <f t="shared" ca="1" si="115"/>
        <v/>
      </c>
      <c r="Z81" s="3" t="str">
        <f t="shared" ca="1" si="115"/>
        <v/>
      </c>
      <c r="AA81" s="3" t="str">
        <f t="shared" ca="1" si="115"/>
        <v/>
      </c>
      <c r="AB81" s="3" t="str">
        <f t="shared" ca="1" si="115"/>
        <v/>
      </c>
      <c r="AC81" s="3" t="str">
        <f t="shared" ca="1" si="115"/>
        <v/>
      </c>
      <c r="AD81" s="3" t="str">
        <f t="shared" ca="1" si="115"/>
        <v/>
      </c>
      <c r="AE81" s="3" t="str">
        <f t="shared" ca="1" si="115"/>
        <v/>
      </c>
      <c r="AF81" s="3" t="str">
        <f t="shared" ca="1" si="115"/>
        <v/>
      </c>
      <c r="AG81" s="3" t="str">
        <f t="shared" ca="1" si="115"/>
        <v/>
      </c>
      <c r="AH81" s="3" t="str">
        <f t="shared" ca="1" si="115"/>
        <v/>
      </c>
      <c r="AI81" s="3" t="str">
        <f t="shared" ca="1" si="115"/>
        <v/>
      </c>
      <c r="AJ81" s="3" t="str">
        <f t="shared" ca="1" si="115"/>
        <v/>
      </c>
      <c r="AK81" s="3" t="str">
        <f t="shared" ca="1" si="115"/>
        <v/>
      </c>
      <c r="AL81" s="3" t="str">
        <f t="shared" ca="1" si="115"/>
        <v/>
      </c>
      <c r="AM81" s="3" t="str">
        <f t="shared" ca="1" si="115"/>
        <v/>
      </c>
      <c r="AN81" s="3" t="str">
        <f t="shared" ca="1" si="115"/>
        <v/>
      </c>
      <c r="AO81" s="3" t="str">
        <f t="shared" ca="1" si="115"/>
        <v/>
      </c>
    </row>
    <row r="82" spans="1:54" s="6" customFormat="1" ht="15.75" thickBot="1">
      <c r="A82" s="24"/>
      <c r="B82" s="79"/>
      <c r="C82" s="6" t="str">
        <f t="shared" si="107"/>
        <v>CWF</v>
      </c>
      <c r="D82" s="6">
        <f t="shared" ca="1" si="101"/>
        <v>351.60309212923971</v>
      </c>
      <c r="E82" s="20">
        <f t="shared" ca="1" si="98"/>
        <v>351.60309212923971</v>
      </c>
      <c r="F82" s="6">
        <f t="shared" ca="1" si="102"/>
        <v>351.60309212923971</v>
      </c>
      <c r="G82" s="20" t="e">
        <f t="shared" ca="1" si="99"/>
        <v>#DIV/0!</v>
      </c>
      <c r="H82" s="32" t="e">
        <f t="shared" ca="1" si="114"/>
        <v>#DIV/0!</v>
      </c>
      <c r="I82" s="20" t="e">
        <f t="shared" ca="1" si="103"/>
        <v>#DIV/0!</v>
      </c>
      <c r="J82" s="3" t="str">
        <f t="shared" ref="J82:AO82" ca="1" si="116">IF(J$3*J$4,$A80*INDIRECT("R"&amp;($B$118+2+3*J$2+96*$B80)&amp;"C"&amp;$C$118,FALSE)+$A81*INDIRECT("R"&amp;($B$118+2+3*J$2+96*$B80)&amp;"C"&amp;($C$118+1),FALSE),"")</f>
        <v/>
      </c>
      <c r="K82" s="3" t="str">
        <f t="shared" ca="1" si="116"/>
        <v/>
      </c>
      <c r="L82" s="3" t="str">
        <f t="shared" ca="1" si="116"/>
        <v/>
      </c>
      <c r="M82" s="3" t="str">
        <f t="shared" ca="1" si="116"/>
        <v/>
      </c>
      <c r="N82" s="3">
        <f t="shared" ca="1" si="116"/>
        <v>351.60309212923971</v>
      </c>
      <c r="O82" s="3" t="str">
        <f t="shared" ca="1" si="116"/>
        <v/>
      </c>
      <c r="P82" s="3" t="str">
        <f t="shared" ca="1" si="116"/>
        <v/>
      </c>
      <c r="Q82" s="3" t="str">
        <f t="shared" ca="1" si="116"/>
        <v/>
      </c>
      <c r="R82" s="3" t="str">
        <f t="shared" ca="1" si="116"/>
        <v/>
      </c>
      <c r="S82" s="3" t="str">
        <f t="shared" ca="1" si="116"/>
        <v/>
      </c>
      <c r="T82" s="3" t="str">
        <f t="shared" ca="1" si="116"/>
        <v/>
      </c>
      <c r="U82" s="3" t="str">
        <f t="shared" ca="1" si="116"/>
        <v/>
      </c>
      <c r="V82" s="3" t="str">
        <f t="shared" ca="1" si="116"/>
        <v/>
      </c>
      <c r="W82" s="3" t="str">
        <f t="shared" ca="1" si="116"/>
        <v/>
      </c>
      <c r="X82" s="3" t="str">
        <f t="shared" ca="1" si="116"/>
        <v/>
      </c>
      <c r="Y82" s="3" t="str">
        <f t="shared" ca="1" si="116"/>
        <v/>
      </c>
      <c r="Z82" s="3" t="str">
        <f t="shared" ca="1" si="116"/>
        <v/>
      </c>
      <c r="AA82" s="3" t="str">
        <f t="shared" ca="1" si="116"/>
        <v/>
      </c>
      <c r="AB82" s="3" t="str">
        <f t="shared" ca="1" si="116"/>
        <v/>
      </c>
      <c r="AC82" s="3" t="str">
        <f t="shared" ca="1" si="116"/>
        <v/>
      </c>
      <c r="AD82" s="3" t="str">
        <f t="shared" ca="1" si="116"/>
        <v/>
      </c>
      <c r="AE82" s="3" t="str">
        <f t="shared" ca="1" si="116"/>
        <v/>
      </c>
      <c r="AF82" s="3" t="str">
        <f t="shared" ca="1" si="116"/>
        <v/>
      </c>
      <c r="AG82" s="3" t="str">
        <f t="shared" ca="1" si="116"/>
        <v/>
      </c>
      <c r="AH82" s="3" t="str">
        <f t="shared" ca="1" si="116"/>
        <v/>
      </c>
      <c r="AI82" s="3" t="str">
        <f t="shared" ca="1" si="116"/>
        <v/>
      </c>
      <c r="AJ82" s="3" t="str">
        <f t="shared" ca="1" si="116"/>
        <v/>
      </c>
      <c r="AK82" s="3" t="str">
        <f t="shared" ca="1" si="116"/>
        <v/>
      </c>
      <c r="AL82" s="3" t="str">
        <f t="shared" ca="1" si="116"/>
        <v/>
      </c>
      <c r="AM82" s="3" t="str">
        <f t="shared" ca="1" si="116"/>
        <v/>
      </c>
      <c r="AN82" s="3" t="str">
        <f t="shared" ca="1" si="116"/>
        <v/>
      </c>
      <c r="AO82" s="3" t="str">
        <f t="shared" ca="1" si="116"/>
        <v/>
      </c>
    </row>
    <row r="83" spans="1:54" s="29" customFormat="1">
      <c r="A83" s="80" t="e">
        <f ca="1">"Gain Error=±"&amp;INT(H83*1000)/10&amp;"%"</f>
        <v>#DIV/0!</v>
      </c>
      <c r="B83" s="30">
        <f>B71</f>
        <v>0</v>
      </c>
      <c r="C83" s="32" t="e">
        <f ca="1">E83+1.5*G83</f>
        <v>#DIV/0!</v>
      </c>
      <c r="D83" s="32">
        <f t="shared" ca="1" si="101"/>
        <v>5.8478745885259809E-3</v>
      </c>
      <c r="E83" s="32">
        <f t="shared" ca="1" si="98"/>
        <v>5.8478745885259809E-3</v>
      </c>
      <c r="F83" s="32">
        <f t="shared" ca="1" si="102"/>
        <v>5.8478745885259809E-3</v>
      </c>
      <c r="G83" s="32" t="e">
        <f t="shared" ca="1" si="99"/>
        <v>#DIV/0!</v>
      </c>
      <c r="H83" s="74" t="e">
        <f ca="1" xml:space="preserve">  MAX( ABS(MAX(C83:C86)), ABS(MIN(C83:C86)) )</f>
        <v>#DIV/0!</v>
      </c>
      <c r="I83" s="20" t="e">
        <f t="shared" ca="1" si="103"/>
        <v>#DIV/0!</v>
      </c>
      <c r="J83" s="32" t="str">
        <f>IF(J$3*J$4,(MAX(J71:J73)+MIN(J71:J73))/2/Summary!$B$3-1,"")</f>
        <v/>
      </c>
      <c r="K83" s="32" t="str">
        <f>IF(K$3*K$4,(MAX(K71:K73)+MIN(K71:K73))/2/Summary!$B$3-1,"")</f>
        <v/>
      </c>
      <c r="L83" s="32" t="str">
        <f>IF(L$3*L$4,(MAX(L71:L73)+MIN(L71:L73))/2/Summary!$B$3-1,"")</f>
        <v/>
      </c>
      <c r="M83" s="32" t="str">
        <f>IF(M$3*M$4,(MAX(M71:M73)+MIN(M71:M73))/2/Summary!$B$3-1,"")</f>
        <v/>
      </c>
      <c r="N83" s="32">
        <f ca="1">IF(N$3*N$4,(MAX(N71:N73)+MIN(N71:N73))/2/Summary!$B$3-1,"")</f>
        <v>5.8478745885259809E-3</v>
      </c>
      <c r="O83" s="32" t="str">
        <f>IF(O$3*O$4,(MAX(O71:O73)+MIN(O71:O73))/2/Summary!$B$3-1,"")</f>
        <v/>
      </c>
      <c r="P83" s="32" t="str">
        <f>IF(P$3*P$4,(MAX(P71:P73)+MIN(P71:P73))/2/Summary!$B$3-1,"")</f>
        <v/>
      </c>
      <c r="Q83" s="32" t="str">
        <f>IF(Q$3*Q$4,(MAX(Q71:Q73)+MIN(Q71:Q73))/2/Summary!$B$3-1,"")</f>
        <v/>
      </c>
      <c r="R83" s="32" t="str">
        <f>IF(R$3*R$4,(MAX(R71:R73)+MIN(R71:R73))/2/Summary!$B$3-1,"")</f>
        <v/>
      </c>
      <c r="S83" s="32" t="str">
        <f>IF(S$3*S$4,(MAX(S71:S73)+MIN(S71:S73))/2/Summary!$B$3-1,"")</f>
        <v/>
      </c>
      <c r="T83" s="32" t="str">
        <f>IF(T$3*T$4,(MAX(T71:T73)+MIN(T71:T73))/2/Summary!$B$3-1,"")</f>
        <v/>
      </c>
      <c r="U83" s="32" t="str">
        <f>IF(U$3*U$4,(MAX(U71:U73)+MIN(U71:U73))/2/Summary!$B$3-1,"")</f>
        <v/>
      </c>
      <c r="V83" s="32" t="str">
        <f>IF(V$3*V$4,(MAX(V71:V73)+MIN(V71:V73))/2/Summary!$B$3-1,"")</f>
        <v/>
      </c>
      <c r="W83" s="32" t="str">
        <f>IF(W$3*W$4,(MAX(W71:W73)+MIN(W71:W73))/2/Summary!$B$3-1,"")</f>
        <v/>
      </c>
      <c r="X83" s="32" t="str">
        <f>IF(X$3*X$4,(MAX(X71:X73)+MIN(X71:X73))/2/Summary!$B$3-1,"")</f>
        <v/>
      </c>
      <c r="Y83" s="32" t="str">
        <f>IF(Y$3*Y$4,(MAX(Y71:Y73)+MIN(Y71:Y73))/2/Summary!$B$3-1,"")</f>
        <v/>
      </c>
      <c r="Z83" s="32" t="str">
        <f>IF(Z$3*Z$4,(MAX(Z71:Z73)+MIN(Z71:Z73))/2/Summary!$B$3-1,"")</f>
        <v/>
      </c>
      <c r="AA83" s="32" t="str">
        <f>IF(AA$3*AA$4,(MAX(AA71:AA73)+MIN(AA71:AA73))/2/Summary!$B$3-1,"")</f>
        <v/>
      </c>
      <c r="AB83" s="32" t="str">
        <f>IF(AB$3*AB$4,(MAX(AB71:AB73)+MIN(AB71:AB73))/2/Summary!$B$3-1,"")</f>
        <v/>
      </c>
      <c r="AC83" s="32" t="str">
        <f>IF(AC$3*AC$4,(MAX(AC71:AC73)+MIN(AC71:AC73))/2/Summary!$B$3-1,"")</f>
        <v/>
      </c>
      <c r="AD83" s="32" t="str">
        <f>IF(AD$3*AD$4,(MAX(AD71:AD73)+MIN(AD71:AD73))/2/Summary!$B$3-1,"")</f>
        <v/>
      </c>
      <c r="AE83" s="32" t="str">
        <f>IF(AE$3*AE$4,(MAX(AE71:AE73)+MIN(AE71:AE73))/2/Summary!$B$3-1,"")</f>
        <v/>
      </c>
      <c r="AF83" s="32" t="str">
        <f>IF(AF$3*AF$4,(MAX(AF71:AF73)+MIN(AF71:AF73))/2/Summary!$B$3-1,"")</f>
        <v/>
      </c>
      <c r="AG83" s="32" t="str">
        <f>IF(AG$3*AG$4,(MAX(AG71:AG73)+MIN(AG71:AG73))/2/Summary!$B$3-1,"")</f>
        <v/>
      </c>
      <c r="AH83" s="32" t="str">
        <f>IF(AH$3*AH$4,(MAX(AH71:AH73)+MIN(AH71:AH73))/2/Summary!$B$3-1,"")</f>
        <v/>
      </c>
      <c r="AI83" s="32" t="str">
        <f>IF(AI$3*AI$4,(MAX(AI71:AI73)+MIN(AI71:AI73))/2/Summary!$B$3-1,"")</f>
        <v/>
      </c>
      <c r="AJ83" s="32" t="str">
        <f>IF(AJ$3*AJ$4,(MAX(AJ71:AJ73)+MIN(AJ71:AJ73))/2/Summary!$B$3-1,"")</f>
        <v/>
      </c>
      <c r="AK83" s="32" t="str">
        <f>IF(AK$3*AK$4,(MAX(AK71:AK73)+MIN(AK71:AK73))/2/Summary!$B$3-1,"")</f>
        <v/>
      </c>
      <c r="AL83" s="32" t="str">
        <f>IF(AL$3*AL$4,(MAX(AL71:AL73)+MIN(AL71:AL73))/2/Summary!$B$3-1,"")</f>
        <v/>
      </c>
      <c r="AM83" s="32" t="str">
        <f>IF(AM$3*AM$4,(MAX(AM71:AM73)+MIN(AM71:AM73))/2/Summary!$B$3-1,"")</f>
        <v/>
      </c>
      <c r="AN83" s="32" t="str">
        <f>IF(AN$3*AN$4,(MAX(AN71:AN73)+MIN(AN71:AN73))/2/Summary!$B$3-1,"")</f>
        <v/>
      </c>
      <c r="AO83" s="32" t="str">
        <f>IF(AO$3*AO$4,(MAX(AO71:AO73)+MIN(AO71:AO73))/2/Summary!$B$3-1,"")</f>
        <v/>
      </c>
    </row>
    <row r="84" spans="1:54" s="29" customFormat="1">
      <c r="A84" s="80"/>
      <c r="B84" s="30">
        <f>B74</f>
        <v>1</v>
      </c>
      <c r="C84" s="32" t="e">
        <f t="shared" ref="C84:C85" ca="1" si="117">E84+1.5*G84</f>
        <v>#DIV/0!</v>
      </c>
      <c r="D84" s="32">
        <f t="shared" ca="1" si="101"/>
        <v>-1.313338748945303E-2</v>
      </c>
      <c r="E84" s="32">
        <f t="shared" ca="1" si="98"/>
        <v>-1.313338748945303E-2</v>
      </c>
      <c r="F84" s="32">
        <f t="shared" ca="1" si="102"/>
        <v>-1.313338748945303E-2</v>
      </c>
      <c r="G84" s="32" t="e">
        <f t="shared" ca="1" si="99"/>
        <v>#DIV/0!</v>
      </c>
      <c r="H84" s="74"/>
      <c r="I84" s="20" t="e">
        <f t="shared" ca="1" si="103"/>
        <v>#DIV/0!</v>
      </c>
      <c r="J84" s="32" t="str">
        <f>IF(J$3*J$4,(MAX(J74:J76)+MIN(J72:J74))/2/Summary!$B$3-1,"")</f>
        <v/>
      </c>
      <c r="K84" s="32" t="str">
        <f>IF(K$3*K$4,(MAX(K74:K76)+MIN(K72:K74))/2/Summary!$B$3-1,"")</f>
        <v/>
      </c>
      <c r="L84" s="32" t="str">
        <f>IF(L$3*L$4,(MAX(L74:L76)+MIN(L72:L74))/2/Summary!$B$3-1,"")</f>
        <v/>
      </c>
      <c r="M84" s="32" t="str">
        <f>IF(M$3*M$4,(MAX(M74:M76)+MIN(M72:M74))/2/Summary!$B$3-1,"")</f>
        <v/>
      </c>
      <c r="N84" s="32">
        <f ca="1">IF(N$3*N$4,(MAX(N74:N76)+MIN(N72:N74))/2/Summary!$B$3-1,"")</f>
        <v>-1.313338748945303E-2</v>
      </c>
      <c r="O84" s="32" t="str">
        <f>IF(O$3*O$4,(MAX(O74:O76)+MIN(O72:O74))/2/Summary!$B$3-1,"")</f>
        <v/>
      </c>
      <c r="P84" s="32" t="str">
        <f>IF(P$3*P$4,(MAX(P74:P76)+MIN(P72:P74))/2/Summary!$B$3-1,"")</f>
        <v/>
      </c>
      <c r="Q84" s="32" t="str">
        <f>IF(Q$3*Q$4,(MAX(Q74:Q76)+MIN(Q72:Q74))/2/Summary!$B$3-1,"")</f>
        <v/>
      </c>
      <c r="R84" s="32" t="str">
        <f>IF(R$3*R$4,(MAX(R74:R76)+MIN(R72:R74))/2/Summary!$B$3-1,"")</f>
        <v/>
      </c>
      <c r="S84" s="32" t="str">
        <f>IF(S$3*S$4,(MAX(S74:S76)+MIN(S72:S74))/2/Summary!$B$3-1,"")</f>
        <v/>
      </c>
      <c r="T84" s="32" t="str">
        <f>IF(T$3*T$4,(MAX(T74:T76)+MIN(T72:T74))/2/Summary!$B$3-1,"")</f>
        <v/>
      </c>
      <c r="U84" s="32" t="str">
        <f>IF(U$3*U$4,(MAX(U74:U76)+MIN(U72:U74))/2/Summary!$B$3-1,"")</f>
        <v/>
      </c>
      <c r="V84" s="32" t="str">
        <f>IF(V$3*V$4,(MAX(V74:V76)+MIN(V72:V74))/2/Summary!$B$3-1,"")</f>
        <v/>
      </c>
      <c r="W84" s="32" t="str">
        <f>IF(W$3*W$4,(MAX(W74:W76)+MIN(W72:W74))/2/Summary!$B$3-1,"")</f>
        <v/>
      </c>
      <c r="X84" s="32" t="str">
        <f>IF(X$3*X$4,(MAX(X74:X76)+MIN(X72:X74))/2/Summary!$B$3-1,"")</f>
        <v/>
      </c>
      <c r="Y84" s="32" t="str">
        <f>IF(Y$3*Y$4,(MAX(Y74:Y76)+MIN(Y72:Y74))/2/Summary!$B$3-1,"")</f>
        <v/>
      </c>
      <c r="Z84" s="32" t="str">
        <f>IF(Z$3*Z$4,(MAX(Z74:Z76)+MIN(Z72:Z74))/2/Summary!$B$3-1,"")</f>
        <v/>
      </c>
      <c r="AA84" s="32" t="str">
        <f>IF(AA$3*AA$4,(MAX(AA74:AA76)+MIN(AA72:AA74))/2/Summary!$B$3-1,"")</f>
        <v/>
      </c>
      <c r="AB84" s="32" t="str">
        <f>IF(AB$3*AB$4,(MAX(AB74:AB76)+MIN(AB72:AB74))/2/Summary!$B$3-1,"")</f>
        <v/>
      </c>
      <c r="AC84" s="32" t="str">
        <f>IF(AC$3*AC$4,(MAX(AC74:AC76)+MIN(AC72:AC74))/2/Summary!$B$3-1,"")</f>
        <v/>
      </c>
      <c r="AD84" s="32" t="str">
        <f>IF(AD$3*AD$4,(MAX(AD74:AD76)+MIN(AD72:AD74))/2/Summary!$B$3-1,"")</f>
        <v/>
      </c>
      <c r="AE84" s="32" t="str">
        <f>IF(AE$3*AE$4,(MAX(AE74:AE76)+MIN(AE72:AE74))/2/Summary!$B$3-1,"")</f>
        <v/>
      </c>
      <c r="AF84" s="32" t="str">
        <f>IF(AF$3*AF$4,(MAX(AF74:AF76)+MIN(AF72:AF74))/2/Summary!$B$3-1,"")</f>
        <v/>
      </c>
      <c r="AG84" s="32" t="str">
        <f>IF(AG$3*AG$4,(MAX(AG74:AG76)+MIN(AG72:AG74))/2/Summary!$B$3-1,"")</f>
        <v/>
      </c>
      <c r="AH84" s="32" t="str">
        <f>IF(AH$3*AH$4,(MAX(AH74:AH76)+MIN(AH72:AH74))/2/Summary!$B$3-1,"")</f>
        <v/>
      </c>
      <c r="AI84" s="32" t="str">
        <f>IF(AI$3*AI$4,(MAX(AI74:AI76)+MIN(AI72:AI74))/2/Summary!$B$3-1,"")</f>
        <v/>
      </c>
      <c r="AJ84" s="32" t="str">
        <f>IF(AJ$3*AJ$4,(MAX(AJ74:AJ76)+MIN(AJ72:AJ74))/2/Summary!$B$3-1,"")</f>
        <v/>
      </c>
      <c r="AK84" s="32" t="str">
        <f>IF(AK$3*AK$4,(MAX(AK74:AK76)+MIN(AK72:AK74))/2/Summary!$B$3-1,"")</f>
        <v/>
      </c>
      <c r="AL84" s="32" t="str">
        <f>IF(AL$3*AL$4,(MAX(AL74:AL76)+MIN(AL72:AL74))/2/Summary!$B$3-1,"")</f>
        <v/>
      </c>
      <c r="AM84" s="32" t="str">
        <f>IF(AM$3*AM$4,(MAX(AM74:AM76)+MIN(AM72:AM74))/2/Summary!$B$3-1,"")</f>
        <v/>
      </c>
      <c r="AN84" s="32" t="str">
        <f>IF(AN$3*AN$4,(MAX(AN74:AN76)+MIN(AN72:AN74))/2/Summary!$B$3-1,"")</f>
        <v/>
      </c>
      <c r="AO84" s="32" t="str">
        <f>IF(AO$3*AO$4,(MAX(AO74:AO76)+MIN(AO72:AO74))/2/Summary!$B$3-1,"")</f>
        <v/>
      </c>
    </row>
    <row r="85" spans="1:54" s="29" customFormat="1">
      <c r="A85" s="80"/>
      <c r="B85" s="30">
        <f>B77</f>
        <v>2</v>
      </c>
      <c r="C85" s="32" t="e">
        <f t="shared" ca="1" si="117"/>
        <v>#DIV/0!</v>
      </c>
      <c r="D85" s="32">
        <f t="shared" ca="1" si="101"/>
        <v>-1.2760881924723799E-2</v>
      </c>
      <c r="E85" s="32">
        <f t="shared" ca="1" si="98"/>
        <v>-1.2760881924723799E-2</v>
      </c>
      <c r="F85" s="32">
        <f t="shared" ca="1" si="102"/>
        <v>-1.2760881924723799E-2</v>
      </c>
      <c r="G85" s="32" t="e">
        <f t="shared" ca="1" si="99"/>
        <v>#DIV/0!</v>
      </c>
      <c r="H85" s="74"/>
      <c r="I85" s="20" t="e">
        <f t="shared" ca="1" si="103"/>
        <v>#DIV/0!</v>
      </c>
      <c r="J85" s="32" t="str">
        <f>IF(J$3*J$4,(MAX(J77:J79)+MIN(J73:J75))/2/Summary!$B$3-1,"")</f>
        <v/>
      </c>
      <c r="K85" s="32" t="str">
        <f>IF(K$3*K$4,(MAX(K77:K79)+MIN(K73:K75))/2/Summary!$B$3-1,"")</f>
        <v/>
      </c>
      <c r="L85" s="32" t="str">
        <f>IF(L$3*L$4,(MAX(L77:L79)+MIN(L73:L75))/2/Summary!$B$3-1,"")</f>
        <v/>
      </c>
      <c r="M85" s="32" t="str">
        <f>IF(M$3*M$4,(MAX(M77:M79)+MIN(M73:M75))/2/Summary!$B$3-1,"")</f>
        <v/>
      </c>
      <c r="N85" s="32">
        <f ca="1">IF(N$3*N$4,(MAX(N77:N79)+MIN(N73:N75))/2/Summary!$B$3-1,"")</f>
        <v>-1.2760881924723799E-2</v>
      </c>
      <c r="O85" s="32" t="str">
        <f>IF(O$3*O$4,(MAX(O77:O79)+MIN(O73:O75))/2/Summary!$B$3-1,"")</f>
        <v/>
      </c>
      <c r="P85" s="32" t="str">
        <f>IF(P$3*P$4,(MAX(P77:P79)+MIN(P73:P75))/2/Summary!$B$3-1,"")</f>
        <v/>
      </c>
      <c r="Q85" s="32" t="str">
        <f>IF(Q$3*Q$4,(MAX(Q77:Q79)+MIN(Q73:Q75))/2/Summary!$B$3-1,"")</f>
        <v/>
      </c>
      <c r="R85" s="32" t="str">
        <f>IF(R$3*R$4,(MAX(R77:R79)+MIN(R73:R75))/2/Summary!$B$3-1,"")</f>
        <v/>
      </c>
      <c r="S85" s="32" t="str">
        <f>IF(S$3*S$4,(MAX(S77:S79)+MIN(S73:S75))/2/Summary!$B$3-1,"")</f>
        <v/>
      </c>
      <c r="T85" s="32" t="str">
        <f>IF(T$3*T$4,(MAX(T77:T79)+MIN(T73:T75))/2/Summary!$B$3-1,"")</f>
        <v/>
      </c>
      <c r="U85" s="32" t="str">
        <f>IF(U$3*U$4,(MAX(U77:U79)+MIN(U73:U75))/2/Summary!$B$3-1,"")</f>
        <v/>
      </c>
      <c r="V85" s="32" t="str">
        <f>IF(V$3*V$4,(MAX(V77:V79)+MIN(V73:V75))/2/Summary!$B$3-1,"")</f>
        <v/>
      </c>
      <c r="W85" s="32" t="str">
        <f>IF(W$3*W$4,(MAX(W77:W79)+MIN(W73:W75))/2/Summary!$B$3-1,"")</f>
        <v/>
      </c>
      <c r="X85" s="32" t="str">
        <f>IF(X$3*X$4,(MAX(X77:X79)+MIN(X73:X75))/2/Summary!$B$3-1,"")</f>
        <v/>
      </c>
      <c r="Y85" s="32" t="str">
        <f>IF(Y$3*Y$4,(MAX(Y77:Y79)+MIN(Y73:Y75))/2/Summary!$B$3-1,"")</f>
        <v/>
      </c>
      <c r="Z85" s="32" t="str">
        <f>IF(Z$3*Z$4,(MAX(Z77:Z79)+MIN(Z73:Z75))/2/Summary!$B$3-1,"")</f>
        <v/>
      </c>
      <c r="AA85" s="32" t="str">
        <f>IF(AA$3*AA$4,(MAX(AA77:AA79)+MIN(AA73:AA75))/2/Summary!$B$3-1,"")</f>
        <v/>
      </c>
      <c r="AB85" s="32" t="str">
        <f>IF(AB$3*AB$4,(MAX(AB77:AB79)+MIN(AB73:AB75))/2/Summary!$B$3-1,"")</f>
        <v/>
      </c>
      <c r="AC85" s="32" t="str">
        <f>IF(AC$3*AC$4,(MAX(AC77:AC79)+MIN(AC73:AC75))/2/Summary!$B$3-1,"")</f>
        <v/>
      </c>
      <c r="AD85" s="32" t="str">
        <f>IF(AD$3*AD$4,(MAX(AD77:AD79)+MIN(AD73:AD75))/2/Summary!$B$3-1,"")</f>
        <v/>
      </c>
      <c r="AE85" s="32" t="str">
        <f>IF(AE$3*AE$4,(MAX(AE77:AE79)+MIN(AE73:AE75))/2/Summary!$B$3-1,"")</f>
        <v/>
      </c>
      <c r="AF85" s="32" t="str">
        <f>IF(AF$3*AF$4,(MAX(AF77:AF79)+MIN(AF73:AF75))/2/Summary!$B$3-1,"")</f>
        <v/>
      </c>
      <c r="AG85" s="32" t="str">
        <f>IF(AG$3*AG$4,(MAX(AG77:AG79)+MIN(AG73:AG75))/2/Summary!$B$3-1,"")</f>
        <v/>
      </c>
      <c r="AH85" s="32" t="str">
        <f>IF(AH$3*AH$4,(MAX(AH77:AH79)+MIN(AH73:AH75))/2/Summary!$B$3-1,"")</f>
        <v/>
      </c>
      <c r="AI85" s="32" t="str">
        <f>IF(AI$3*AI$4,(MAX(AI77:AI79)+MIN(AI73:AI75))/2/Summary!$B$3-1,"")</f>
        <v/>
      </c>
      <c r="AJ85" s="32" t="str">
        <f>IF(AJ$3*AJ$4,(MAX(AJ77:AJ79)+MIN(AJ73:AJ75))/2/Summary!$B$3-1,"")</f>
        <v/>
      </c>
      <c r="AK85" s="32" t="str">
        <f>IF(AK$3*AK$4,(MAX(AK77:AK79)+MIN(AK73:AK75))/2/Summary!$B$3-1,"")</f>
        <v/>
      </c>
      <c r="AL85" s="32" t="str">
        <f>IF(AL$3*AL$4,(MAX(AL77:AL79)+MIN(AL73:AL75))/2/Summary!$B$3-1,"")</f>
        <v/>
      </c>
      <c r="AM85" s="32" t="str">
        <f>IF(AM$3*AM$4,(MAX(AM77:AM79)+MIN(AM73:AM75))/2/Summary!$B$3-1,"")</f>
        <v/>
      </c>
      <c r="AN85" s="32" t="str">
        <f>IF(AN$3*AN$4,(MAX(AN77:AN79)+MIN(AN73:AN75))/2/Summary!$B$3-1,"")</f>
        <v/>
      </c>
      <c r="AO85" s="32" t="str">
        <f>IF(AO$3*AO$4,(MAX(AO77:AO79)+MIN(AO73:AO75))/2/Summary!$B$3-1,"")</f>
        <v/>
      </c>
    </row>
    <row r="86" spans="1:54" s="29" customFormat="1">
      <c r="A86" s="80"/>
      <c r="B86" s="30">
        <f>B80</f>
        <v>3</v>
      </c>
      <c r="C86" s="32" t="e">
        <f ca="1">E86+1.5*G86</f>
        <v>#DIV/0!</v>
      </c>
      <c r="D86" s="32">
        <f ca="1">MIN(J86:AO86)</f>
        <v>-3.2227557083902569E-2</v>
      </c>
      <c r="E86" s="32">
        <f ca="1">AVERAGE(J86:AO86)</f>
        <v>-3.2227557083902569E-2</v>
      </c>
      <c r="F86" s="32">
        <f ca="1">MAX(J86:AO86)</f>
        <v>-3.2227557083902569E-2</v>
      </c>
      <c r="G86" s="32" t="e">
        <f ca="1">STDEV(J86:AO86)</f>
        <v>#DIV/0!</v>
      </c>
      <c r="H86" s="74"/>
      <c r="I86" s="20" t="e">
        <f ca="1">(F86-D86)/G86</f>
        <v>#DIV/0!</v>
      </c>
      <c r="J86" s="32" t="str">
        <f>IF(J$3*J$4,(MAX(J80:J82)+MIN(J74:J76))/2/Summary!$B$3-1,"")</f>
        <v/>
      </c>
      <c r="K86" s="32" t="str">
        <f>IF(K$3*K$4,(MAX(K80:K82)+MIN(K74:K76))/2/Summary!$B$3-1,"")</f>
        <v/>
      </c>
      <c r="L86" s="32" t="str">
        <f>IF(L$3*L$4,(MAX(L80:L82)+MIN(L74:L76))/2/Summary!$B$3-1,"")</f>
        <v/>
      </c>
      <c r="M86" s="32" t="str">
        <f>IF(M$3*M$4,(MAX(M80:M82)+MIN(M74:M76))/2/Summary!$B$3-1,"")</f>
        <v/>
      </c>
      <c r="N86" s="32">
        <f ca="1">IF(N$3*N$4,(MAX(N80:N82)+MIN(N74:N76))/2/Summary!$B$3-1,"")</f>
        <v>-3.2227557083902569E-2</v>
      </c>
      <c r="O86" s="32" t="str">
        <f>IF(O$3*O$4,(MAX(O80:O82)+MIN(O74:O76))/2/Summary!$B$3-1,"")</f>
        <v/>
      </c>
      <c r="P86" s="32" t="str">
        <f>IF(P$3*P$4,(MAX(P80:P82)+MIN(P74:P76))/2/Summary!$B$3-1,"")</f>
        <v/>
      </c>
      <c r="Q86" s="32" t="str">
        <f>IF(Q$3*Q$4,(MAX(Q80:Q82)+MIN(Q74:Q76))/2/Summary!$B$3-1,"")</f>
        <v/>
      </c>
      <c r="R86" s="32" t="str">
        <f>IF(R$3*R$4,(MAX(R80:R82)+MIN(R74:R76))/2/Summary!$B$3-1,"")</f>
        <v/>
      </c>
      <c r="S86" s="32" t="str">
        <f>IF(S$3*S$4,(MAX(S80:S82)+MIN(S74:S76))/2/Summary!$B$3-1,"")</f>
        <v/>
      </c>
      <c r="T86" s="32" t="str">
        <f>IF(T$3*T$4,(MAX(T80:T82)+MIN(T74:T76))/2/Summary!$B$3-1,"")</f>
        <v/>
      </c>
      <c r="U86" s="32" t="str">
        <f>IF(U$3*U$4,(MAX(U80:U82)+MIN(U74:U76))/2/Summary!$B$3-1,"")</f>
        <v/>
      </c>
      <c r="V86" s="32" t="str">
        <f>IF(V$3*V$4,(MAX(V80:V82)+MIN(V74:V76))/2/Summary!$B$3-1,"")</f>
        <v/>
      </c>
      <c r="W86" s="32" t="str">
        <f>IF(W$3*W$4,(MAX(W80:W82)+MIN(W74:W76))/2/Summary!$B$3-1,"")</f>
        <v/>
      </c>
      <c r="X86" s="32" t="str">
        <f>IF(X$3*X$4,(MAX(X80:X82)+MIN(X74:X76))/2/Summary!$B$3-1,"")</f>
        <v/>
      </c>
      <c r="Y86" s="32" t="str">
        <f>IF(Y$3*Y$4,(MAX(Y80:Y82)+MIN(Y74:Y76))/2/Summary!$B$3-1,"")</f>
        <v/>
      </c>
      <c r="Z86" s="32" t="str">
        <f>IF(Z$3*Z$4,(MAX(Z80:Z82)+MIN(Z74:Z76))/2/Summary!$B$3-1,"")</f>
        <v/>
      </c>
      <c r="AA86" s="32" t="str">
        <f>IF(AA$3*AA$4,(MAX(AA80:AA82)+MIN(AA74:AA76))/2/Summary!$B$3-1,"")</f>
        <v/>
      </c>
      <c r="AB86" s="32" t="str">
        <f>IF(AB$3*AB$4,(MAX(AB80:AB82)+MIN(AB74:AB76))/2/Summary!$B$3-1,"")</f>
        <v/>
      </c>
      <c r="AC86" s="32" t="str">
        <f>IF(AC$3*AC$4,(MAX(AC80:AC82)+MIN(AC74:AC76))/2/Summary!$B$3-1,"")</f>
        <v/>
      </c>
      <c r="AD86" s="32" t="str">
        <f>IF(AD$3*AD$4,(MAX(AD80:AD82)+MIN(AD74:AD76))/2/Summary!$B$3-1,"")</f>
        <v/>
      </c>
      <c r="AE86" s="32" t="str">
        <f>IF(AE$3*AE$4,(MAX(AE80:AE82)+MIN(AE74:AE76))/2/Summary!$B$3-1,"")</f>
        <v/>
      </c>
      <c r="AF86" s="32" t="str">
        <f>IF(AF$3*AF$4,(MAX(AF80:AF82)+MIN(AF74:AF76))/2/Summary!$B$3-1,"")</f>
        <v/>
      </c>
      <c r="AG86" s="32" t="str">
        <f>IF(AG$3*AG$4,(MAX(AG80:AG82)+MIN(AG74:AG76))/2/Summary!$B$3-1,"")</f>
        <v/>
      </c>
      <c r="AH86" s="32" t="str">
        <f>IF(AH$3*AH$4,(MAX(AH80:AH82)+MIN(AH74:AH76))/2/Summary!$B$3-1,"")</f>
        <v/>
      </c>
      <c r="AI86" s="32" t="str">
        <f>IF(AI$3*AI$4,(MAX(AI80:AI82)+MIN(AI74:AI76))/2/Summary!$B$3-1,"")</f>
        <v/>
      </c>
      <c r="AJ86" s="32" t="str">
        <f>IF(AJ$3*AJ$4,(MAX(AJ80:AJ82)+MIN(AJ74:AJ76))/2/Summary!$B$3-1,"")</f>
        <v/>
      </c>
      <c r="AK86" s="32" t="str">
        <f>IF(AK$3*AK$4,(MAX(AK80:AK82)+MIN(AK74:AK76))/2/Summary!$B$3-1,"")</f>
        <v/>
      </c>
      <c r="AL86" s="32" t="str">
        <f>IF(AL$3*AL$4,(MAX(AL80:AL82)+MIN(AL74:AL76))/2/Summary!$B$3-1,"")</f>
        <v/>
      </c>
      <c r="AM86" s="32" t="str">
        <f>IF(AM$3*AM$4,(MAX(AM80:AM82)+MIN(AM74:AM76))/2/Summary!$B$3-1,"")</f>
        <v/>
      </c>
      <c r="AN86" s="32" t="str">
        <f>IF(AN$3*AN$4,(MAX(AN80:AN82)+MIN(AN74:AN76))/2/Summary!$B$3-1,"")</f>
        <v/>
      </c>
      <c r="AO86" s="32" t="str">
        <f>IF(AO$3*AO$4,(MAX(AO80:AO82)+MIN(AO74:AO76))/2/Summary!$B$3-1,"")</f>
        <v/>
      </c>
    </row>
    <row r="87" spans="1:54" s="29" customFormat="1">
      <c r="A87" s="80"/>
      <c r="B87" s="30" t="str">
        <f>B22</f>
        <v>LO</v>
      </c>
      <c r="C87" s="32"/>
      <c r="D87" s="32">
        <f ca="1">MIN(J83:AO84)</f>
        <v>-1.313338748945303E-2</v>
      </c>
      <c r="E87" s="32">
        <f ca="1">AVERAGE(J83:AO84)</f>
        <v>-3.6427564504635246E-3</v>
      </c>
      <c r="F87" s="32">
        <f ca="1">MAX(J83:AO84)</f>
        <v>5.8478745885259809E-3</v>
      </c>
      <c r="G87" s="32">
        <f ca="1">STDEV(J83:AO84)</f>
        <v>1.3421779130818018E-2</v>
      </c>
      <c r="H87" s="32">
        <f ca="1">ABS(E87)+1.5*G87</f>
        <v>2.3775425146690551E-2</v>
      </c>
      <c r="I87" s="20">
        <f t="shared" ref="I87:I88" ca="1" si="118">(F87-D87)/G87</f>
        <v>1.4142135623730949</v>
      </c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</row>
    <row r="88" spans="1:54" s="29" customFormat="1">
      <c r="A88" s="80"/>
      <c r="B88" s="30" t="str">
        <f>B23</f>
        <v>HI</v>
      </c>
      <c r="D88" s="32">
        <f ca="1">MIN(J85:AO86)</f>
        <v>-3.2227557083902569E-2</v>
      </c>
      <c r="E88" s="32">
        <f ca="1">AVERAGE(J85:AO86)</f>
        <v>-2.2494219504313184E-2</v>
      </c>
      <c r="F88" s="32">
        <f ca="1">MAX(J85:AO86)</f>
        <v>-1.2760881924723799E-2</v>
      </c>
      <c r="G88" s="32">
        <f ca="1">STDEV(J85:AO86)</f>
        <v>1.3765018012211029E-2</v>
      </c>
      <c r="H88" s="32">
        <f ca="1">ABS(E88)+1.5*G88</f>
        <v>4.3141746522629726E-2</v>
      </c>
      <c r="I88" s="20">
        <f t="shared" ca="1" si="118"/>
        <v>1.4142135623730943</v>
      </c>
    </row>
    <row r="89" spans="1:54" s="6" customFormat="1">
      <c r="A89" s="80" t="e">
        <f ca="1">"LS2LS=±"&amp;INT(H89*1000)/10&amp;"%"</f>
        <v>#DIV/0!</v>
      </c>
      <c r="B89" s="6">
        <f>B71</f>
        <v>0</v>
      </c>
      <c r="C89" s="21" t="e">
        <f ca="1">E89+1.5*G89</f>
        <v>#DIV/0!</v>
      </c>
      <c r="D89" s="21">
        <f t="shared" ca="1" si="101"/>
        <v>0.21399545912959375</v>
      </c>
      <c r="E89" s="21">
        <f t="shared" ref="E89:E91" ca="1" si="119">AVERAGE(J89:AO89)</f>
        <v>0.21399545912959375</v>
      </c>
      <c r="F89" s="21">
        <f t="shared" ca="1" si="102"/>
        <v>0.21399545912959375</v>
      </c>
      <c r="G89" s="21" t="e">
        <f t="shared" ref="G89:G91" ca="1" si="120">STDEV(J89:AO89)</f>
        <v>#DIV/0!</v>
      </c>
      <c r="H89" s="74" t="e">
        <f ca="1" xml:space="preserve">  MAX( ABS(MAX(C89:C92)), ABS(MIN(C89:C92)) )</f>
        <v>#DIV/0!</v>
      </c>
      <c r="I89" s="20" t="e">
        <f t="shared" ca="1" si="103"/>
        <v>#DIV/0!</v>
      </c>
      <c r="J89" s="21" t="str">
        <f>IF(J$3*J$4,(MAX(J71:J73)-MIN(J71:J73))/(MAX(J71:J73)+MIN(J71:J73)),"")</f>
        <v/>
      </c>
      <c r="K89" s="21" t="str">
        <f t="shared" ref="K89:AO89" si="121">IF(K$3*K$4,(MAX(K71:K73)-MIN(K71:K73))/(MAX(K71:K73)+MIN(K71:K73)),"")</f>
        <v/>
      </c>
      <c r="L89" s="21" t="str">
        <f t="shared" si="121"/>
        <v/>
      </c>
      <c r="M89" s="21" t="str">
        <f t="shared" si="121"/>
        <v/>
      </c>
      <c r="N89" s="21">
        <f t="shared" ca="1" si="121"/>
        <v>0.21399545912959375</v>
      </c>
      <c r="O89" s="21" t="str">
        <f t="shared" si="121"/>
        <v/>
      </c>
      <c r="P89" s="21" t="str">
        <f t="shared" si="121"/>
        <v/>
      </c>
      <c r="Q89" s="21" t="str">
        <f t="shared" si="121"/>
        <v/>
      </c>
      <c r="R89" s="21" t="str">
        <f t="shared" si="121"/>
        <v/>
      </c>
      <c r="S89" s="21" t="str">
        <f t="shared" si="121"/>
        <v/>
      </c>
      <c r="T89" s="21" t="str">
        <f t="shared" si="121"/>
        <v/>
      </c>
      <c r="U89" s="21" t="str">
        <f t="shared" si="121"/>
        <v/>
      </c>
      <c r="V89" s="21" t="str">
        <f t="shared" si="121"/>
        <v/>
      </c>
      <c r="W89" s="21" t="str">
        <f t="shared" si="121"/>
        <v/>
      </c>
      <c r="X89" s="21" t="str">
        <f t="shared" si="121"/>
        <v/>
      </c>
      <c r="Y89" s="21" t="str">
        <f t="shared" si="121"/>
        <v/>
      </c>
      <c r="Z89" s="21" t="str">
        <f t="shared" si="121"/>
        <v/>
      </c>
      <c r="AA89" s="21" t="str">
        <f t="shared" si="121"/>
        <v/>
      </c>
      <c r="AB89" s="21" t="str">
        <f t="shared" si="121"/>
        <v/>
      </c>
      <c r="AC89" s="21" t="str">
        <f t="shared" si="121"/>
        <v/>
      </c>
      <c r="AD89" s="21" t="str">
        <f t="shared" si="121"/>
        <v/>
      </c>
      <c r="AE89" s="21" t="str">
        <f t="shared" si="121"/>
        <v/>
      </c>
      <c r="AF89" s="21" t="str">
        <f t="shared" si="121"/>
        <v/>
      </c>
      <c r="AG89" s="21" t="str">
        <f t="shared" si="121"/>
        <v/>
      </c>
      <c r="AH89" s="21" t="str">
        <f t="shared" si="121"/>
        <v/>
      </c>
      <c r="AI89" s="21" t="str">
        <f t="shared" si="121"/>
        <v/>
      </c>
      <c r="AJ89" s="21" t="str">
        <f t="shared" si="121"/>
        <v/>
      </c>
      <c r="AK89" s="21" t="str">
        <f t="shared" si="121"/>
        <v/>
      </c>
      <c r="AL89" s="21" t="str">
        <f t="shared" si="121"/>
        <v/>
      </c>
      <c r="AM89" s="21" t="str">
        <f t="shared" si="121"/>
        <v/>
      </c>
      <c r="AN89" s="21" t="str">
        <f t="shared" si="121"/>
        <v/>
      </c>
      <c r="AO89" s="21" t="str">
        <f t="shared" si="121"/>
        <v/>
      </c>
      <c r="AR89" s="72" t="str">
        <f>Summary!H2&amp;": LS2LS Corrected"</f>
        <v>`34C ±35°, Diffused: LS2LS Corrected</v>
      </c>
      <c r="AS89" s="72"/>
      <c r="AT89" s="72"/>
      <c r="AU89" s="72"/>
      <c r="AV89" s="72"/>
      <c r="AW89" s="72"/>
      <c r="AX89" s="43"/>
      <c r="AY89" s="43"/>
      <c r="AZ89" s="43"/>
      <c r="BA89" s="43"/>
      <c r="BB89" s="43"/>
    </row>
    <row r="90" spans="1:54" s="6" customFormat="1">
      <c r="A90" s="80"/>
      <c r="B90" s="6">
        <f>B74</f>
        <v>1</v>
      </c>
      <c r="C90" s="21" t="e">
        <f t="shared" ref="C90:C91" ca="1" si="122">E90+1.5*G90</f>
        <v>#DIV/0!</v>
      </c>
      <c r="D90" s="21">
        <f t="shared" ca="1" si="101"/>
        <v>0.21554672219545568</v>
      </c>
      <c r="E90" s="21">
        <f t="shared" ca="1" si="119"/>
        <v>0.21554672219545568</v>
      </c>
      <c r="F90" s="21">
        <f t="shared" ca="1" si="102"/>
        <v>0.21554672219545568</v>
      </c>
      <c r="G90" s="21" t="e">
        <f t="shared" ca="1" si="120"/>
        <v>#DIV/0!</v>
      </c>
      <c r="H90" s="74"/>
      <c r="I90" s="20" t="e">
        <f t="shared" ca="1" si="103"/>
        <v>#DIV/0!</v>
      </c>
      <c r="J90" s="21" t="str">
        <f>IF(J$3*J$4,(MAX(J74:J76)-MIN(J74:J76))/(MAX(J74:J76)+MIN(J74:J76)),"")</f>
        <v/>
      </c>
      <c r="K90" s="21" t="str">
        <f t="shared" ref="K90:AO90" si="123">IF(K$3*K$4,(MAX(K74:K76)-MIN(K74:K76))/(MAX(K74:K76)+MIN(K74:K76)),"")</f>
        <v/>
      </c>
      <c r="L90" s="21" t="str">
        <f t="shared" si="123"/>
        <v/>
      </c>
      <c r="M90" s="21" t="str">
        <f t="shared" si="123"/>
        <v/>
      </c>
      <c r="N90" s="21">
        <f t="shared" ca="1" si="123"/>
        <v>0.21554672219545568</v>
      </c>
      <c r="O90" s="21" t="str">
        <f t="shared" si="123"/>
        <v/>
      </c>
      <c r="P90" s="21" t="str">
        <f t="shared" si="123"/>
        <v/>
      </c>
      <c r="Q90" s="21" t="str">
        <f t="shared" si="123"/>
        <v/>
      </c>
      <c r="R90" s="21" t="str">
        <f t="shared" si="123"/>
        <v/>
      </c>
      <c r="S90" s="21" t="str">
        <f t="shared" si="123"/>
        <v/>
      </c>
      <c r="T90" s="21" t="str">
        <f t="shared" si="123"/>
        <v/>
      </c>
      <c r="U90" s="21" t="str">
        <f t="shared" si="123"/>
        <v/>
      </c>
      <c r="V90" s="21" t="str">
        <f t="shared" si="123"/>
        <v/>
      </c>
      <c r="W90" s="21" t="str">
        <f t="shared" si="123"/>
        <v/>
      </c>
      <c r="X90" s="21" t="str">
        <f t="shared" si="123"/>
        <v/>
      </c>
      <c r="Y90" s="21" t="str">
        <f t="shared" si="123"/>
        <v/>
      </c>
      <c r="Z90" s="21" t="str">
        <f t="shared" si="123"/>
        <v/>
      </c>
      <c r="AA90" s="21" t="str">
        <f t="shared" si="123"/>
        <v/>
      </c>
      <c r="AB90" s="21" t="str">
        <f t="shared" si="123"/>
        <v/>
      </c>
      <c r="AC90" s="21" t="str">
        <f t="shared" si="123"/>
        <v/>
      </c>
      <c r="AD90" s="21" t="str">
        <f t="shared" si="123"/>
        <v/>
      </c>
      <c r="AE90" s="21" t="str">
        <f t="shared" si="123"/>
        <v/>
      </c>
      <c r="AF90" s="21" t="str">
        <f t="shared" si="123"/>
        <v/>
      </c>
      <c r="AG90" s="21" t="str">
        <f t="shared" si="123"/>
        <v/>
      </c>
      <c r="AH90" s="21" t="str">
        <f t="shared" si="123"/>
        <v/>
      </c>
      <c r="AI90" s="21" t="str">
        <f t="shared" si="123"/>
        <v/>
      </c>
      <c r="AJ90" s="21" t="str">
        <f t="shared" si="123"/>
        <v/>
      </c>
      <c r="AK90" s="21" t="str">
        <f t="shared" si="123"/>
        <v/>
      </c>
      <c r="AL90" s="21" t="str">
        <f t="shared" si="123"/>
        <v/>
      </c>
      <c r="AM90" s="21" t="str">
        <f t="shared" si="123"/>
        <v/>
      </c>
      <c r="AN90" s="21" t="str">
        <f t="shared" si="123"/>
        <v/>
      </c>
      <c r="AO90" s="21" t="str">
        <f t="shared" si="123"/>
        <v/>
      </c>
      <c r="AR90" s="42">
        <f ca="1">AVERAGE(E89:E92)</f>
        <v>0.2043127776637968</v>
      </c>
      <c r="AS90" s="42" t="e">
        <f ca="1">AVERAGE(G89:G92)</f>
        <v>#DIV/0!</v>
      </c>
      <c r="AT90" s="43"/>
      <c r="AU90" s="43"/>
      <c r="AV90" s="43"/>
      <c r="AW90" s="43"/>
      <c r="AX90" s="43"/>
      <c r="AY90" s="43"/>
      <c r="AZ90" s="43"/>
      <c r="BA90" s="43"/>
      <c r="BB90" s="43"/>
    </row>
    <row r="91" spans="1:54" s="6" customFormat="1">
      <c r="A91" s="80"/>
      <c r="B91" s="6">
        <f>B77</f>
        <v>2</v>
      </c>
      <c r="C91" s="21" t="e">
        <f t="shared" ca="1" si="122"/>
        <v>#DIV/0!</v>
      </c>
      <c r="D91" s="21">
        <f t="shared" ca="1" si="101"/>
        <v>0.19412397337473555</v>
      </c>
      <c r="E91" s="21">
        <f t="shared" ca="1" si="119"/>
        <v>0.19412397337473555</v>
      </c>
      <c r="F91" s="21">
        <f t="shared" ca="1" si="102"/>
        <v>0.19412397337473555</v>
      </c>
      <c r="G91" s="21" t="e">
        <f t="shared" ca="1" si="120"/>
        <v>#DIV/0!</v>
      </c>
      <c r="H91" s="74"/>
      <c r="I91" s="20" t="e">
        <f t="shared" ca="1" si="103"/>
        <v>#DIV/0!</v>
      </c>
      <c r="J91" s="21" t="str">
        <f>IF(J$3*J$4,(MAX(J77:J79)-MIN(J77:J79))/(MAX(J77:J79)+MIN(J77:J79)),"")</f>
        <v/>
      </c>
      <c r="K91" s="21" t="str">
        <f t="shared" ref="K91:AO91" si="124">IF(K$3*K$4,(MAX(K77:K79)-MIN(K77:K79))/(MAX(K77:K79)+MIN(K77:K79)),"")</f>
        <v/>
      </c>
      <c r="L91" s="21" t="str">
        <f t="shared" si="124"/>
        <v/>
      </c>
      <c r="M91" s="21" t="str">
        <f t="shared" si="124"/>
        <v/>
      </c>
      <c r="N91" s="21">
        <f t="shared" ca="1" si="124"/>
        <v>0.19412397337473555</v>
      </c>
      <c r="O91" s="21" t="str">
        <f t="shared" si="124"/>
        <v/>
      </c>
      <c r="P91" s="21" t="str">
        <f t="shared" si="124"/>
        <v/>
      </c>
      <c r="Q91" s="21" t="str">
        <f t="shared" si="124"/>
        <v/>
      </c>
      <c r="R91" s="21" t="str">
        <f t="shared" si="124"/>
        <v/>
      </c>
      <c r="S91" s="21" t="str">
        <f t="shared" si="124"/>
        <v/>
      </c>
      <c r="T91" s="21" t="str">
        <f t="shared" si="124"/>
        <v/>
      </c>
      <c r="U91" s="21" t="str">
        <f t="shared" si="124"/>
        <v/>
      </c>
      <c r="V91" s="21" t="str">
        <f t="shared" si="124"/>
        <v/>
      </c>
      <c r="W91" s="21" t="str">
        <f t="shared" si="124"/>
        <v/>
      </c>
      <c r="X91" s="21" t="str">
        <f t="shared" si="124"/>
        <v/>
      </c>
      <c r="Y91" s="21" t="str">
        <f t="shared" si="124"/>
        <v/>
      </c>
      <c r="Z91" s="21" t="str">
        <f t="shared" si="124"/>
        <v/>
      </c>
      <c r="AA91" s="21" t="str">
        <f t="shared" si="124"/>
        <v/>
      </c>
      <c r="AB91" s="21" t="str">
        <f t="shared" si="124"/>
        <v/>
      </c>
      <c r="AC91" s="21" t="str">
        <f t="shared" si="124"/>
        <v/>
      </c>
      <c r="AD91" s="21" t="str">
        <f t="shared" si="124"/>
        <v/>
      </c>
      <c r="AE91" s="21" t="str">
        <f t="shared" si="124"/>
        <v/>
      </c>
      <c r="AF91" s="21" t="str">
        <f t="shared" si="124"/>
        <v/>
      </c>
      <c r="AG91" s="21" t="str">
        <f t="shared" si="124"/>
        <v/>
      </c>
      <c r="AH91" s="21" t="str">
        <f t="shared" si="124"/>
        <v/>
      </c>
      <c r="AI91" s="21" t="str">
        <f t="shared" si="124"/>
        <v/>
      </c>
      <c r="AJ91" s="21" t="str">
        <f t="shared" si="124"/>
        <v/>
      </c>
      <c r="AK91" s="21" t="str">
        <f t="shared" si="124"/>
        <v/>
      </c>
      <c r="AL91" s="21" t="str">
        <f t="shared" si="124"/>
        <v/>
      </c>
      <c r="AM91" s="21" t="str">
        <f t="shared" si="124"/>
        <v/>
      </c>
      <c r="AN91" s="21" t="str">
        <f t="shared" si="124"/>
        <v/>
      </c>
      <c r="AO91" s="21" t="str">
        <f t="shared" si="124"/>
        <v/>
      </c>
      <c r="AR91" s="42" t="e">
        <f ca="1">AR90-2.5*AS90</f>
        <v>#DIV/0!</v>
      </c>
      <c r="AS91" s="42" t="e">
        <f ca="1">histo($J$89:$AO$92,AR$91:AR$101,AR91)/COUNT($J$89:$AO$92)</f>
        <v>#VALUE!</v>
      </c>
      <c r="AT91" s="43"/>
      <c r="AU91" s="43"/>
      <c r="AV91" s="43"/>
      <c r="AW91" s="43"/>
      <c r="AX91" s="43"/>
      <c r="AY91" s="43"/>
      <c r="AZ91" s="43"/>
      <c r="BA91" s="43"/>
      <c r="BB91" s="43"/>
    </row>
    <row r="92" spans="1:54" s="29" customFormat="1">
      <c r="A92" s="80"/>
      <c r="B92" s="6">
        <f>B80</f>
        <v>3</v>
      </c>
      <c r="C92" s="21" t="e">
        <f ca="1">E92+1.5*G92</f>
        <v>#DIV/0!</v>
      </c>
      <c r="D92" s="21">
        <f ca="1">MIN(J92:AO92)</f>
        <v>0.19358495595540232</v>
      </c>
      <c r="E92" s="21">
        <f ca="1">AVERAGE(J92:AO92)</f>
        <v>0.19358495595540232</v>
      </c>
      <c r="F92" s="21">
        <f ca="1">MAX(J92:AO92)</f>
        <v>0.19358495595540232</v>
      </c>
      <c r="G92" s="21" t="e">
        <f ca="1">STDEV(J92:AO92)</f>
        <v>#DIV/0!</v>
      </c>
      <c r="H92" s="74"/>
      <c r="I92" s="20" t="e">
        <f ca="1">(F92-D92)/G92</f>
        <v>#DIV/0!</v>
      </c>
      <c r="J92" s="21" t="str">
        <f t="shared" ref="J92:AO92" si="125">IF(J$3*J$4,(MAX(J80:J82)-MIN(J80:J82))/(MAX(J80:J82)+MIN(J80:J82)),"")</f>
        <v/>
      </c>
      <c r="K92" s="21" t="str">
        <f t="shared" si="125"/>
        <v/>
      </c>
      <c r="L92" s="21" t="str">
        <f t="shared" si="125"/>
        <v/>
      </c>
      <c r="M92" s="21" t="str">
        <f t="shared" si="125"/>
        <v/>
      </c>
      <c r="N92" s="21">
        <f t="shared" ca="1" si="125"/>
        <v>0.19358495595540232</v>
      </c>
      <c r="O92" s="21" t="str">
        <f t="shared" si="125"/>
        <v/>
      </c>
      <c r="P92" s="21" t="str">
        <f t="shared" si="125"/>
        <v/>
      </c>
      <c r="Q92" s="21" t="str">
        <f t="shared" si="125"/>
        <v/>
      </c>
      <c r="R92" s="21" t="str">
        <f t="shared" si="125"/>
        <v/>
      </c>
      <c r="S92" s="21" t="str">
        <f t="shared" si="125"/>
        <v/>
      </c>
      <c r="T92" s="21" t="str">
        <f t="shared" si="125"/>
        <v/>
      </c>
      <c r="U92" s="21" t="str">
        <f t="shared" si="125"/>
        <v/>
      </c>
      <c r="V92" s="21" t="str">
        <f t="shared" si="125"/>
        <v/>
      </c>
      <c r="W92" s="21" t="str">
        <f t="shared" si="125"/>
        <v/>
      </c>
      <c r="X92" s="21" t="str">
        <f t="shared" si="125"/>
        <v/>
      </c>
      <c r="Y92" s="21" t="str">
        <f t="shared" si="125"/>
        <v/>
      </c>
      <c r="Z92" s="21" t="str">
        <f t="shared" si="125"/>
        <v/>
      </c>
      <c r="AA92" s="21" t="str">
        <f t="shared" si="125"/>
        <v/>
      </c>
      <c r="AB92" s="21" t="str">
        <f t="shared" si="125"/>
        <v/>
      </c>
      <c r="AC92" s="21" t="str">
        <f t="shared" si="125"/>
        <v/>
      </c>
      <c r="AD92" s="21" t="str">
        <f t="shared" si="125"/>
        <v/>
      </c>
      <c r="AE92" s="21" t="str">
        <f t="shared" si="125"/>
        <v/>
      </c>
      <c r="AF92" s="21" t="str">
        <f t="shared" si="125"/>
        <v/>
      </c>
      <c r="AG92" s="21" t="str">
        <f t="shared" si="125"/>
        <v/>
      </c>
      <c r="AH92" s="21" t="str">
        <f t="shared" si="125"/>
        <v/>
      </c>
      <c r="AI92" s="21" t="str">
        <f t="shared" si="125"/>
        <v/>
      </c>
      <c r="AJ92" s="21" t="str">
        <f t="shared" si="125"/>
        <v/>
      </c>
      <c r="AK92" s="21" t="str">
        <f t="shared" si="125"/>
        <v/>
      </c>
      <c r="AL92" s="21" t="str">
        <f t="shared" si="125"/>
        <v/>
      </c>
      <c r="AM92" s="21" t="str">
        <f t="shared" si="125"/>
        <v/>
      </c>
      <c r="AN92" s="21" t="str">
        <f t="shared" si="125"/>
        <v/>
      </c>
      <c r="AO92" s="21" t="str">
        <f t="shared" si="125"/>
        <v/>
      </c>
      <c r="AR92" s="42" t="e">
        <f ca="1">AR91+AS$90/2</f>
        <v>#DIV/0!</v>
      </c>
      <c r="AS92" s="42" t="e">
        <f t="shared" ref="AS92:AS101" ca="1" si="126">histo($J$89:$AO$92,AR$91:AR$101,AR92)/COUNT($J$89:$AO$92)</f>
        <v>#VALUE!</v>
      </c>
      <c r="AT92" s="43"/>
      <c r="AU92" s="43"/>
      <c r="AV92" s="43"/>
      <c r="AW92" s="43"/>
      <c r="AX92" s="43"/>
      <c r="AY92" s="43"/>
      <c r="AZ92" s="43"/>
      <c r="BA92" s="43"/>
      <c r="BB92" s="43"/>
    </row>
    <row r="93" spans="1:54" s="29" customFormat="1">
      <c r="A93" s="80"/>
      <c r="B93" s="29" t="str">
        <f>B87</f>
        <v>LO</v>
      </c>
      <c r="C93" s="32"/>
      <c r="D93" s="32">
        <f ca="1">MIN(J89:AO90)</f>
        <v>0.21399545912959375</v>
      </c>
      <c r="E93" s="32">
        <f ca="1">AVERAGE(J89:AO90)</f>
        <v>0.2147710906625247</v>
      </c>
      <c r="F93" s="32">
        <f ca="1">MAX(J89:AO90)</f>
        <v>0.21554672219545568</v>
      </c>
      <c r="G93" s="32">
        <f ca="1">STDEV(J89:AO90)</f>
        <v>1.0969086332752005E-3</v>
      </c>
      <c r="H93" s="32">
        <f ca="1">E93+1.5*G93</f>
        <v>0.2164164536124375</v>
      </c>
      <c r="I93" s="20">
        <f t="shared" ref="I93:I94" ca="1" si="127">(F93-D93)/G93</f>
        <v>1.4142135623730951</v>
      </c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R93" s="42" t="e">
        <f t="shared" ref="AR93:AR101" ca="1" si="128">AR92+AS$90/2</f>
        <v>#DIV/0!</v>
      </c>
      <c r="AS93" s="42" t="e">
        <f t="shared" ca="1" si="126"/>
        <v>#VALUE!</v>
      </c>
      <c r="AT93" s="43"/>
      <c r="AU93" s="43"/>
      <c r="AV93" s="43"/>
      <c r="AW93" s="43"/>
      <c r="AX93" s="43"/>
      <c r="AY93" s="43"/>
      <c r="AZ93" s="43"/>
      <c r="BA93" s="43"/>
      <c r="BB93" s="43"/>
    </row>
    <row r="94" spans="1:54" s="6" customFormat="1">
      <c r="A94" s="80"/>
      <c r="B94" s="29" t="str">
        <f>B88</f>
        <v>HI</v>
      </c>
      <c r="D94" s="32">
        <f ca="1">MIN(J91:AO92)</f>
        <v>0.19358495595540232</v>
      </c>
      <c r="E94" s="32">
        <f ca="1">AVERAGE(J91:AO92)</f>
        <v>0.19385446466506895</v>
      </c>
      <c r="F94" s="32">
        <f ca="1">MAX(J91:AO92)</f>
        <v>0.19412397337473555</v>
      </c>
      <c r="G94" s="32">
        <f ca="1">STDEV(J91:AO92)</f>
        <v>3.8114287238820514E-4</v>
      </c>
      <c r="H94" s="32">
        <f ca="1">E94+1.5*G94</f>
        <v>0.19442617897365125</v>
      </c>
      <c r="I94" s="20">
        <f t="shared" ca="1" si="127"/>
        <v>1.4142135623730951</v>
      </c>
      <c r="AR94" s="42" t="e">
        <f t="shared" ca="1" si="128"/>
        <v>#DIV/0!</v>
      </c>
      <c r="AS94" s="42" t="e">
        <f t="shared" ca="1" si="126"/>
        <v>#VALUE!</v>
      </c>
      <c r="AT94" s="43"/>
      <c r="AU94" s="43"/>
      <c r="AV94" s="43"/>
      <c r="AW94" s="43"/>
      <c r="AX94" s="43"/>
      <c r="AY94" s="43"/>
      <c r="AZ94" s="43"/>
      <c r="BA94" s="43"/>
      <c r="BB94" s="43"/>
    </row>
    <row r="95" spans="1:54" s="6" customFormat="1" ht="15.75" thickBot="1">
      <c r="F95" s="5"/>
      <c r="H95" s="32"/>
      <c r="AR95" s="42" t="e">
        <f t="shared" ca="1" si="128"/>
        <v>#DIV/0!</v>
      </c>
      <c r="AS95" s="42" t="e">
        <f t="shared" ca="1" si="126"/>
        <v>#VALUE!</v>
      </c>
      <c r="AT95" s="43"/>
      <c r="AU95" s="43"/>
      <c r="AV95" s="43"/>
      <c r="AW95" s="43"/>
      <c r="AX95" s="43"/>
      <c r="AY95" s="43"/>
      <c r="AZ95" s="43"/>
      <c r="BA95" s="43"/>
      <c r="BB95" s="43"/>
    </row>
    <row r="96" spans="1:54" s="6" customFormat="1">
      <c r="A96" s="22">
        <f ca="1">C125</f>
        <v>7.7214925490331723</v>
      </c>
      <c r="B96" s="77">
        <v>0</v>
      </c>
      <c r="C96" s="6" t="str">
        <f>AR153</f>
        <v>CWF</v>
      </c>
      <c r="D96" s="6">
        <f ca="1">MIN(J96:AO96)</f>
        <v>399.97696886717381</v>
      </c>
      <c r="E96" s="20">
        <f t="shared" ref="E96:E111" ca="1" si="129">AVERAGE(J96:AO96)</f>
        <v>399.97696886717381</v>
      </c>
      <c r="F96" s="6">
        <f ca="1">MAX(J96:AO96)</f>
        <v>399.97696886717381</v>
      </c>
      <c r="G96" s="20" t="e">
        <f t="shared" ref="G96:G111" ca="1" si="130">STDEV(J96:AO96)</f>
        <v>#DIV/0!</v>
      </c>
      <c r="H96" s="32" t="e">
        <f t="shared" ca="1" si="114"/>
        <v>#DIV/0!</v>
      </c>
      <c r="I96" s="20" t="e">
        <f ca="1">(F96-D96)/G96</f>
        <v>#DIV/0!</v>
      </c>
      <c r="J96" s="3" t="str">
        <f t="shared" ref="J96:AO96" ca="1" si="131">IF(J$3*J$4,$A96*INDIRECT("R"&amp;($B$118+0+3*J$2+96*$B96)&amp;"C"&amp;$C$118,FALSE)+$A97*INDIRECT("R"&amp;($B$118+0+3*J$2+96*$B96)&amp;"C"&amp;($C$118+1),FALSE),"")</f>
        <v/>
      </c>
      <c r="K96" s="3" t="str">
        <f t="shared" ca="1" si="131"/>
        <v/>
      </c>
      <c r="L96" s="3" t="str">
        <f t="shared" ca="1" si="131"/>
        <v/>
      </c>
      <c r="M96" s="3" t="str">
        <f t="shared" ca="1" si="131"/>
        <v/>
      </c>
      <c r="N96" s="3">
        <f t="shared" ca="1" si="131"/>
        <v>399.97696886717381</v>
      </c>
      <c r="O96" s="3" t="str">
        <f t="shared" ca="1" si="131"/>
        <v/>
      </c>
      <c r="P96" s="3" t="str">
        <f t="shared" ca="1" si="131"/>
        <v/>
      </c>
      <c r="Q96" s="3" t="str">
        <f t="shared" ca="1" si="131"/>
        <v/>
      </c>
      <c r="R96" s="3" t="str">
        <f t="shared" ca="1" si="131"/>
        <v/>
      </c>
      <c r="S96" s="3" t="str">
        <f t="shared" ca="1" si="131"/>
        <v/>
      </c>
      <c r="T96" s="3" t="str">
        <f t="shared" ca="1" si="131"/>
        <v/>
      </c>
      <c r="U96" s="3" t="str">
        <f t="shared" ca="1" si="131"/>
        <v/>
      </c>
      <c r="V96" s="3" t="str">
        <f t="shared" ca="1" si="131"/>
        <v/>
      </c>
      <c r="W96" s="3" t="str">
        <f t="shared" ca="1" si="131"/>
        <v/>
      </c>
      <c r="X96" s="3" t="str">
        <f t="shared" ca="1" si="131"/>
        <v/>
      </c>
      <c r="Y96" s="3" t="str">
        <f t="shared" ca="1" si="131"/>
        <v/>
      </c>
      <c r="Z96" s="3" t="str">
        <f t="shared" ca="1" si="131"/>
        <v/>
      </c>
      <c r="AA96" s="3" t="str">
        <f t="shared" ca="1" si="131"/>
        <v/>
      </c>
      <c r="AB96" s="3" t="str">
        <f t="shared" ca="1" si="131"/>
        <v/>
      </c>
      <c r="AC96" s="3" t="str">
        <f t="shared" ca="1" si="131"/>
        <v/>
      </c>
      <c r="AD96" s="3" t="str">
        <f t="shared" ca="1" si="131"/>
        <v/>
      </c>
      <c r="AE96" s="3" t="str">
        <f t="shared" ca="1" si="131"/>
        <v/>
      </c>
      <c r="AF96" s="3" t="str">
        <f t="shared" ca="1" si="131"/>
        <v/>
      </c>
      <c r="AG96" s="3" t="str">
        <f t="shared" ca="1" si="131"/>
        <v/>
      </c>
      <c r="AH96" s="3" t="str">
        <f t="shared" ca="1" si="131"/>
        <v/>
      </c>
      <c r="AI96" s="3" t="str">
        <f t="shared" ca="1" si="131"/>
        <v/>
      </c>
      <c r="AJ96" s="3" t="str">
        <f t="shared" ca="1" si="131"/>
        <v/>
      </c>
      <c r="AK96" s="3" t="str">
        <f t="shared" ca="1" si="131"/>
        <v/>
      </c>
      <c r="AL96" s="3" t="str">
        <f t="shared" ca="1" si="131"/>
        <v/>
      </c>
      <c r="AM96" s="3" t="str">
        <f t="shared" ca="1" si="131"/>
        <v/>
      </c>
      <c r="AN96" s="3" t="str">
        <f t="shared" ca="1" si="131"/>
        <v/>
      </c>
      <c r="AO96" s="3" t="str">
        <f t="shared" ca="1" si="131"/>
        <v/>
      </c>
      <c r="AR96" s="42" t="e">
        <f t="shared" ca="1" si="128"/>
        <v>#DIV/0!</v>
      </c>
      <c r="AS96" s="42" t="e">
        <f t="shared" ca="1" si="126"/>
        <v>#VALUE!</v>
      </c>
      <c r="AT96" s="43"/>
      <c r="AU96" s="43"/>
      <c r="AV96" s="43"/>
      <c r="AW96" s="43"/>
      <c r="AX96" s="43"/>
      <c r="AY96" s="43"/>
      <c r="AZ96" s="43"/>
      <c r="BA96" s="43"/>
      <c r="BB96" s="43"/>
    </row>
    <row r="97" spans="1:54" s="6" customFormat="1">
      <c r="A97" s="23">
        <f ca="1">B125</f>
        <v>-5.9462466372020648</v>
      </c>
      <c r="B97" s="78"/>
      <c r="C97" s="6" t="str">
        <f>AR154</f>
        <v>D65</v>
      </c>
      <c r="D97" s="6">
        <f t="shared" ref="D97:D115" ca="1" si="132">MIN(J97:AO97)</f>
        <v>187.52425757012796</v>
      </c>
      <c r="E97" s="20">
        <f t="shared" ca="1" si="129"/>
        <v>187.52425757012796</v>
      </c>
      <c r="F97" s="6">
        <f t="shared" ref="F97:F115" ca="1" si="133">MAX(J97:AO97)</f>
        <v>187.52425757012796</v>
      </c>
      <c r="G97" s="20" t="e">
        <f t="shared" ca="1" si="130"/>
        <v>#DIV/0!</v>
      </c>
      <c r="H97" s="32" t="e">
        <f t="shared" ca="1" si="114"/>
        <v>#DIV/0!</v>
      </c>
      <c r="I97" s="20" t="e">
        <f t="shared" ref="I97:I115" ca="1" si="134">(F97-D97)/G97</f>
        <v>#DIV/0!</v>
      </c>
      <c r="J97" s="3" t="str">
        <f t="shared" ref="J97:AO97" ca="1" si="135">IF(J$3*J$4,$A96*INDIRECT("R"&amp;($B$118+1+3*J$2+96*$B96)&amp;"C"&amp;$C$118,FALSE)+$A97*INDIRECT("R"&amp;($B$118+1+3*J$2+96*$B96)&amp;"C"&amp;($C$118+1),FALSE),"")</f>
        <v/>
      </c>
      <c r="K97" s="3" t="str">
        <f t="shared" ca="1" si="135"/>
        <v/>
      </c>
      <c r="L97" s="3" t="str">
        <f t="shared" ca="1" si="135"/>
        <v/>
      </c>
      <c r="M97" s="3" t="str">
        <f t="shared" ca="1" si="135"/>
        <v/>
      </c>
      <c r="N97" s="3">
        <f t="shared" ca="1" si="135"/>
        <v>187.52425757012796</v>
      </c>
      <c r="O97" s="3" t="str">
        <f t="shared" ca="1" si="135"/>
        <v/>
      </c>
      <c r="P97" s="3" t="str">
        <f t="shared" ca="1" si="135"/>
        <v/>
      </c>
      <c r="Q97" s="3" t="str">
        <f t="shared" ca="1" si="135"/>
        <v/>
      </c>
      <c r="R97" s="3" t="str">
        <f t="shared" ca="1" si="135"/>
        <v/>
      </c>
      <c r="S97" s="3" t="str">
        <f t="shared" ca="1" si="135"/>
        <v/>
      </c>
      <c r="T97" s="3" t="str">
        <f t="shared" ca="1" si="135"/>
        <v/>
      </c>
      <c r="U97" s="3" t="str">
        <f t="shared" ca="1" si="135"/>
        <v/>
      </c>
      <c r="V97" s="3" t="str">
        <f t="shared" ca="1" si="135"/>
        <v/>
      </c>
      <c r="W97" s="3" t="str">
        <f t="shared" ca="1" si="135"/>
        <v/>
      </c>
      <c r="X97" s="3" t="str">
        <f t="shared" ca="1" si="135"/>
        <v/>
      </c>
      <c r="Y97" s="3" t="str">
        <f t="shared" ca="1" si="135"/>
        <v/>
      </c>
      <c r="Z97" s="3" t="str">
        <f t="shared" ca="1" si="135"/>
        <v/>
      </c>
      <c r="AA97" s="3" t="str">
        <f t="shared" ca="1" si="135"/>
        <v/>
      </c>
      <c r="AB97" s="3" t="str">
        <f t="shared" ca="1" si="135"/>
        <v/>
      </c>
      <c r="AC97" s="3" t="str">
        <f t="shared" ca="1" si="135"/>
        <v/>
      </c>
      <c r="AD97" s="3" t="str">
        <f t="shared" ca="1" si="135"/>
        <v/>
      </c>
      <c r="AE97" s="3" t="str">
        <f t="shared" ca="1" si="135"/>
        <v/>
      </c>
      <c r="AF97" s="3" t="str">
        <f t="shared" ca="1" si="135"/>
        <v/>
      </c>
      <c r="AG97" s="3" t="str">
        <f t="shared" ca="1" si="135"/>
        <v/>
      </c>
      <c r="AH97" s="3" t="str">
        <f t="shared" ca="1" si="135"/>
        <v/>
      </c>
      <c r="AI97" s="3" t="str">
        <f t="shared" ca="1" si="135"/>
        <v/>
      </c>
      <c r="AJ97" s="3" t="str">
        <f t="shared" ca="1" si="135"/>
        <v/>
      </c>
      <c r="AK97" s="3" t="str">
        <f t="shared" ca="1" si="135"/>
        <v/>
      </c>
      <c r="AL97" s="3" t="str">
        <f t="shared" ca="1" si="135"/>
        <v/>
      </c>
      <c r="AM97" s="3" t="str">
        <f t="shared" ca="1" si="135"/>
        <v/>
      </c>
      <c r="AN97" s="3" t="str">
        <f t="shared" ca="1" si="135"/>
        <v/>
      </c>
      <c r="AO97" s="3" t="str">
        <f t="shared" ca="1" si="135"/>
        <v/>
      </c>
      <c r="AR97" s="42" t="e">
        <f t="shared" ca="1" si="128"/>
        <v>#DIV/0!</v>
      </c>
      <c r="AS97" s="42" t="e">
        <f t="shared" ca="1" si="126"/>
        <v>#VALUE!</v>
      </c>
      <c r="AT97" s="43"/>
      <c r="AU97" s="43"/>
      <c r="AV97" s="43"/>
      <c r="AW97" s="43"/>
      <c r="AX97" s="43"/>
      <c r="AY97" s="43"/>
      <c r="AZ97" s="43"/>
      <c r="BA97" s="43"/>
      <c r="BB97" s="43"/>
    </row>
    <row r="98" spans="1:54" s="6" customFormat="1">
      <c r="A98" s="23"/>
      <c r="B98" s="78"/>
      <c r="C98" s="6" t="str">
        <f>AR155</f>
        <v>A</v>
      </c>
      <c r="D98" s="6">
        <f t="shared" ca="1" si="132"/>
        <v>356.94564775328126</v>
      </c>
      <c r="E98" s="20">
        <f t="shared" ca="1" si="129"/>
        <v>356.94564775328126</v>
      </c>
      <c r="F98" s="6">
        <f t="shared" ca="1" si="133"/>
        <v>356.94564775328126</v>
      </c>
      <c r="G98" s="20" t="e">
        <f t="shared" ca="1" si="130"/>
        <v>#DIV/0!</v>
      </c>
      <c r="H98" s="32" t="e">
        <f t="shared" ca="1" si="114"/>
        <v>#DIV/0!</v>
      </c>
      <c r="I98" s="20" t="e">
        <f t="shared" ca="1" si="134"/>
        <v>#DIV/0!</v>
      </c>
      <c r="J98" s="3" t="str">
        <f t="shared" ref="J98:AO98" ca="1" si="136">IF(J$3*J$4,$A96*INDIRECT("R"&amp;($B$118+2+3*J$2+96*$B96)&amp;"C"&amp;$C$118,FALSE)+$A97*INDIRECT("R"&amp;($B$118+2+3*J$2+96*$B96)&amp;"C"&amp;($C$118+1),FALSE),"")</f>
        <v/>
      </c>
      <c r="K98" s="3" t="str">
        <f t="shared" ca="1" si="136"/>
        <v/>
      </c>
      <c r="L98" s="3" t="str">
        <f t="shared" ca="1" si="136"/>
        <v/>
      </c>
      <c r="M98" s="3" t="str">
        <f t="shared" ca="1" si="136"/>
        <v/>
      </c>
      <c r="N98" s="3">
        <f t="shared" ca="1" si="136"/>
        <v>356.94564775328126</v>
      </c>
      <c r="O98" s="3" t="str">
        <f t="shared" ca="1" si="136"/>
        <v/>
      </c>
      <c r="P98" s="3" t="str">
        <f t="shared" ca="1" si="136"/>
        <v/>
      </c>
      <c r="Q98" s="3" t="str">
        <f t="shared" ca="1" si="136"/>
        <v/>
      </c>
      <c r="R98" s="3" t="str">
        <f t="shared" ca="1" si="136"/>
        <v/>
      </c>
      <c r="S98" s="3" t="str">
        <f t="shared" ca="1" si="136"/>
        <v/>
      </c>
      <c r="T98" s="3" t="str">
        <f t="shared" ca="1" si="136"/>
        <v/>
      </c>
      <c r="U98" s="3" t="str">
        <f t="shared" ca="1" si="136"/>
        <v/>
      </c>
      <c r="V98" s="3" t="str">
        <f t="shared" ca="1" si="136"/>
        <v/>
      </c>
      <c r="W98" s="3" t="str">
        <f t="shared" ca="1" si="136"/>
        <v/>
      </c>
      <c r="X98" s="3" t="str">
        <f t="shared" ca="1" si="136"/>
        <v/>
      </c>
      <c r="Y98" s="3" t="str">
        <f t="shared" ca="1" si="136"/>
        <v/>
      </c>
      <c r="Z98" s="3" t="str">
        <f t="shared" ca="1" si="136"/>
        <v/>
      </c>
      <c r="AA98" s="3" t="str">
        <f t="shared" ca="1" si="136"/>
        <v/>
      </c>
      <c r="AB98" s="3" t="str">
        <f t="shared" ca="1" si="136"/>
        <v/>
      </c>
      <c r="AC98" s="3" t="str">
        <f t="shared" ca="1" si="136"/>
        <v/>
      </c>
      <c r="AD98" s="3" t="str">
        <f t="shared" ca="1" si="136"/>
        <v/>
      </c>
      <c r="AE98" s="3" t="str">
        <f t="shared" ca="1" si="136"/>
        <v/>
      </c>
      <c r="AF98" s="3" t="str">
        <f t="shared" ca="1" si="136"/>
        <v/>
      </c>
      <c r="AG98" s="3" t="str">
        <f t="shared" ca="1" si="136"/>
        <v/>
      </c>
      <c r="AH98" s="3" t="str">
        <f t="shared" ca="1" si="136"/>
        <v/>
      </c>
      <c r="AI98" s="3" t="str">
        <f t="shared" ca="1" si="136"/>
        <v/>
      </c>
      <c r="AJ98" s="3" t="str">
        <f t="shared" ca="1" si="136"/>
        <v/>
      </c>
      <c r="AK98" s="3" t="str">
        <f t="shared" ca="1" si="136"/>
        <v/>
      </c>
      <c r="AL98" s="3" t="str">
        <f t="shared" ca="1" si="136"/>
        <v/>
      </c>
      <c r="AM98" s="3" t="str">
        <f t="shared" ca="1" si="136"/>
        <v/>
      </c>
      <c r="AN98" s="3" t="str">
        <f t="shared" ca="1" si="136"/>
        <v/>
      </c>
      <c r="AO98" s="3" t="str">
        <f t="shared" ca="1" si="136"/>
        <v/>
      </c>
      <c r="AR98" s="42" t="e">
        <f t="shared" ca="1" si="128"/>
        <v>#DIV/0!</v>
      </c>
      <c r="AS98" s="42" t="e">
        <f t="shared" ca="1" si="126"/>
        <v>#VALUE!</v>
      </c>
      <c r="AT98" s="43"/>
      <c r="AU98" s="43"/>
      <c r="AV98" s="43"/>
      <c r="AW98" s="43"/>
      <c r="AX98" s="43"/>
      <c r="AY98" s="43"/>
      <c r="AZ98" s="43"/>
      <c r="BA98" s="43"/>
      <c r="BB98" s="43"/>
    </row>
    <row r="99" spans="1:54" s="6" customFormat="1">
      <c r="A99" s="23">
        <f ca="1">A96</f>
        <v>7.7214925490331723</v>
      </c>
      <c r="B99" s="78">
        <f>B96+1</f>
        <v>1</v>
      </c>
      <c r="C99" s="6" t="str">
        <f>C96</f>
        <v>CWF</v>
      </c>
      <c r="D99" s="6">
        <f t="shared" ca="1" si="132"/>
        <v>390.48702714088904</v>
      </c>
      <c r="E99" s="20">
        <f t="shared" ca="1" si="129"/>
        <v>390.48702714088904</v>
      </c>
      <c r="F99" s="6">
        <f t="shared" ca="1" si="133"/>
        <v>390.48702714088904</v>
      </c>
      <c r="G99" s="20" t="e">
        <f t="shared" ca="1" si="130"/>
        <v>#DIV/0!</v>
      </c>
      <c r="H99" s="32" t="e">
        <f t="shared" ca="1" si="114"/>
        <v>#DIV/0!</v>
      </c>
      <c r="I99" s="20" t="e">
        <f t="shared" ca="1" si="134"/>
        <v>#DIV/0!</v>
      </c>
      <c r="J99" s="3" t="str">
        <f t="shared" ref="J99:AO99" ca="1" si="137">IF(J$3*J$4,$A99*INDIRECT("R"&amp;($B$118+0+3*J$2+96*$B99)&amp;"C"&amp;$C$118,FALSE)+$A100*INDIRECT("R"&amp;($B$118+0+3*J$2+96*$B99)&amp;"C"&amp;($C$118+1),FALSE),"")</f>
        <v/>
      </c>
      <c r="K99" s="3" t="str">
        <f t="shared" ca="1" si="137"/>
        <v/>
      </c>
      <c r="L99" s="3" t="str">
        <f t="shared" ca="1" si="137"/>
        <v/>
      </c>
      <c r="M99" s="3" t="str">
        <f t="shared" ca="1" si="137"/>
        <v/>
      </c>
      <c r="N99" s="3">
        <f t="shared" ca="1" si="137"/>
        <v>390.48702714088904</v>
      </c>
      <c r="O99" s="3" t="str">
        <f t="shared" ca="1" si="137"/>
        <v/>
      </c>
      <c r="P99" s="3" t="str">
        <f t="shared" ca="1" si="137"/>
        <v/>
      </c>
      <c r="Q99" s="3" t="str">
        <f t="shared" ca="1" si="137"/>
        <v/>
      </c>
      <c r="R99" s="3" t="str">
        <f t="shared" ca="1" si="137"/>
        <v/>
      </c>
      <c r="S99" s="3" t="str">
        <f t="shared" ca="1" si="137"/>
        <v/>
      </c>
      <c r="T99" s="3" t="str">
        <f t="shared" ca="1" si="137"/>
        <v/>
      </c>
      <c r="U99" s="3" t="str">
        <f t="shared" ca="1" si="137"/>
        <v/>
      </c>
      <c r="V99" s="3" t="str">
        <f t="shared" ca="1" si="137"/>
        <v/>
      </c>
      <c r="W99" s="3" t="str">
        <f t="shared" ca="1" si="137"/>
        <v/>
      </c>
      <c r="X99" s="3" t="str">
        <f t="shared" ca="1" si="137"/>
        <v/>
      </c>
      <c r="Y99" s="3" t="str">
        <f t="shared" ca="1" si="137"/>
        <v/>
      </c>
      <c r="Z99" s="3" t="str">
        <f t="shared" ca="1" si="137"/>
        <v/>
      </c>
      <c r="AA99" s="3" t="str">
        <f t="shared" ca="1" si="137"/>
        <v/>
      </c>
      <c r="AB99" s="3" t="str">
        <f t="shared" ca="1" si="137"/>
        <v/>
      </c>
      <c r="AC99" s="3" t="str">
        <f t="shared" ca="1" si="137"/>
        <v/>
      </c>
      <c r="AD99" s="3" t="str">
        <f t="shared" ca="1" si="137"/>
        <v/>
      </c>
      <c r="AE99" s="3" t="str">
        <f t="shared" ca="1" si="137"/>
        <v/>
      </c>
      <c r="AF99" s="3" t="str">
        <f t="shared" ca="1" si="137"/>
        <v/>
      </c>
      <c r="AG99" s="3" t="str">
        <f t="shared" ca="1" si="137"/>
        <v/>
      </c>
      <c r="AH99" s="3" t="str">
        <f t="shared" ca="1" si="137"/>
        <v/>
      </c>
      <c r="AI99" s="3" t="str">
        <f t="shared" ca="1" si="137"/>
        <v/>
      </c>
      <c r="AJ99" s="3" t="str">
        <f t="shared" ca="1" si="137"/>
        <v/>
      </c>
      <c r="AK99" s="3" t="str">
        <f t="shared" ca="1" si="137"/>
        <v/>
      </c>
      <c r="AL99" s="3" t="str">
        <f t="shared" ca="1" si="137"/>
        <v/>
      </c>
      <c r="AM99" s="3" t="str">
        <f t="shared" ca="1" si="137"/>
        <v/>
      </c>
      <c r="AN99" s="3" t="str">
        <f t="shared" ca="1" si="137"/>
        <v/>
      </c>
      <c r="AO99" s="3" t="str">
        <f t="shared" ca="1" si="137"/>
        <v/>
      </c>
      <c r="AR99" s="42" t="e">
        <f t="shared" ca="1" si="128"/>
        <v>#DIV/0!</v>
      </c>
      <c r="AS99" s="42" t="e">
        <f t="shared" ca="1" si="126"/>
        <v>#VALUE!</v>
      </c>
      <c r="AT99" s="43"/>
      <c r="AU99" s="43"/>
      <c r="AV99" s="43"/>
      <c r="AW99" s="43"/>
      <c r="AX99" s="43"/>
      <c r="AY99" s="43"/>
      <c r="AZ99" s="43"/>
      <c r="BA99" s="43"/>
      <c r="BB99" s="43"/>
    </row>
    <row r="100" spans="1:54" s="6" customFormat="1">
      <c r="A100" s="23">
        <f ca="1">A97</f>
        <v>-5.9462466372020648</v>
      </c>
      <c r="B100" s="78"/>
      <c r="C100" s="6" t="str">
        <f t="shared" ref="C100:C107" si="138">C97</f>
        <v>D65</v>
      </c>
      <c r="D100" s="6">
        <f t="shared" ca="1" si="132"/>
        <v>181.17192987678519</v>
      </c>
      <c r="E100" s="20">
        <f t="shared" ca="1" si="129"/>
        <v>181.17192987678519</v>
      </c>
      <c r="F100" s="6">
        <f t="shared" ca="1" si="133"/>
        <v>181.17192987678519</v>
      </c>
      <c r="G100" s="20" t="e">
        <f t="shared" ca="1" si="130"/>
        <v>#DIV/0!</v>
      </c>
      <c r="H100" s="32" t="e">
        <f t="shared" ca="1" si="114"/>
        <v>#DIV/0!</v>
      </c>
      <c r="I100" s="20" t="e">
        <f t="shared" ca="1" si="134"/>
        <v>#DIV/0!</v>
      </c>
      <c r="J100" s="3" t="str">
        <f t="shared" ref="J100:AO100" ca="1" si="139">IF(J$3*J$4,$A99*INDIRECT("R"&amp;($B$118+1+3*J$2+96*$B99)&amp;"C"&amp;$C$118,FALSE)+$A100*INDIRECT("R"&amp;($B$118+1+3*J$2+96*$B99)&amp;"C"&amp;($C$118+1),FALSE),"")</f>
        <v/>
      </c>
      <c r="K100" s="3" t="str">
        <f t="shared" ca="1" si="139"/>
        <v/>
      </c>
      <c r="L100" s="3" t="str">
        <f t="shared" ca="1" si="139"/>
        <v/>
      </c>
      <c r="M100" s="3" t="str">
        <f t="shared" ca="1" si="139"/>
        <v/>
      </c>
      <c r="N100" s="3">
        <f t="shared" ca="1" si="139"/>
        <v>181.17192987678519</v>
      </c>
      <c r="O100" s="3" t="str">
        <f t="shared" ca="1" si="139"/>
        <v/>
      </c>
      <c r="P100" s="3" t="str">
        <f t="shared" ca="1" si="139"/>
        <v/>
      </c>
      <c r="Q100" s="3" t="str">
        <f t="shared" ca="1" si="139"/>
        <v/>
      </c>
      <c r="R100" s="3" t="str">
        <f t="shared" ca="1" si="139"/>
        <v/>
      </c>
      <c r="S100" s="3" t="str">
        <f t="shared" ca="1" si="139"/>
        <v/>
      </c>
      <c r="T100" s="3" t="str">
        <f t="shared" ca="1" si="139"/>
        <v/>
      </c>
      <c r="U100" s="3" t="str">
        <f t="shared" ca="1" si="139"/>
        <v/>
      </c>
      <c r="V100" s="3" t="str">
        <f t="shared" ca="1" si="139"/>
        <v/>
      </c>
      <c r="W100" s="3" t="str">
        <f t="shared" ca="1" si="139"/>
        <v/>
      </c>
      <c r="X100" s="3" t="str">
        <f t="shared" ca="1" si="139"/>
        <v/>
      </c>
      <c r="Y100" s="3" t="str">
        <f t="shared" ca="1" si="139"/>
        <v/>
      </c>
      <c r="Z100" s="3" t="str">
        <f t="shared" ca="1" si="139"/>
        <v/>
      </c>
      <c r="AA100" s="3" t="str">
        <f t="shared" ca="1" si="139"/>
        <v/>
      </c>
      <c r="AB100" s="3" t="str">
        <f t="shared" ca="1" si="139"/>
        <v/>
      </c>
      <c r="AC100" s="3" t="str">
        <f t="shared" ca="1" si="139"/>
        <v/>
      </c>
      <c r="AD100" s="3" t="str">
        <f t="shared" ca="1" si="139"/>
        <v/>
      </c>
      <c r="AE100" s="3" t="str">
        <f t="shared" ca="1" si="139"/>
        <v/>
      </c>
      <c r="AF100" s="3" t="str">
        <f t="shared" ca="1" si="139"/>
        <v/>
      </c>
      <c r="AG100" s="3" t="str">
        <f t="shared" ca="1" si="139"/>
        <v/>
      </c>
      <c r="AH100" s="3" t="str">
        <f t="shared" ca="1" si="139"/>
        <v/>
      </c>
      <c r="AI100" s="3" t="str">
        <f t="shared" ca="1" si="139"/>
        <v/>
      </c>
      <c r="AJ100" s="3" t="str">
        <f t="shared" ca="1" si="139"/>
        <v/>
      </c>
      <c r="AK100" s="3" t="str">
        <f t="shared" ca="1" si="139"/>
        <v/>
      </c>
      <c r="AL100" s="3" t="str">
        <f t="shared" ca="1" si="139"/>
        <v/>
      </c>
      <c r="AM100" s="3" t="str">
        <f t="shared" ca="1" si="139"/>
        <v/>
      </c>
      <c r="AN100" s="3" t="str">
        <f t="shared" ca="1" si="139"/>
        <v/>
      </c>
      <c r="AO100" s="3" t="str">
        <f t="shared" ca="1" si="139"/>
        <v/>
      </c>
      <c r="AR100" s="42" t="e">
        <f t="shared" ca="1" si="128"/>
        <v>#DIV/0!</v>
      </c>
      <c r="AS100" s="42" t="e">
        <f t="shared" ca="1" si="126"/>
        <v>#VALUE!</v>
      </c>
      <c r="AT100" s="43"/>
      <c r="AU100" s="43"/>
      <c r="AV100" s="43"/>
      <c r="AW100" s="43"/>
      <c r="AX100" s="43"/>
      <c r="AY100" s="43"/>
      <c r="AZ100" s="43"/>
      <c r="BA100" s="43"/>
      <c r="BB100" s="43"/>
    </row>
    <row r="101" spans="1:54" s="6" customFormat="1">
      <c r="A101" s="23"/>
      <c r="B101" s="78"/>
      <c r="C101" s="6" t="str">
        <f t="shared" si="138"/>
        <v>A</v>
      </c>
      <c r="D101" s="6">
        <f t="shared" ca="1" si="132"/>
        <v>346.51125863265406</v>
      </c>
      <c r="E101" s="20">
        <f t="shared" ca="1" si="129"/>
        <v>346.51125863265406</v>
      </c>
      <c r="F101" s="6">
        <f t="shared" ca="1" si="133"/>
        <v>346.51125863265406</v>
      </c>
      <c r="G101" s="20" t="e">
        <f t="shared" ca="1" si="130"/>
        <v>#DIV/0!</v>
      </c>
      <c r="H101" s="32" t="e">
        <f t="shared" ca="1" si="114"/>
        <v>#DIV/0!</v>
      </c>
      <c r="I101" s="20" t="e">
        <f t="shared" ca="1" si="134"/>
        <v>#DIV/0!</v>
      </c>
      <c r="J101" s="3" t="str">
        <f t="shared" ref="J101:AO101" ca="1" si="140">IF(J$3*J$4,$A99*INDIRECT("R"&amp;($B$118+2+3*J$2+96*$B99)&amp;"C"&amp;$C$118,FALSE)+$A100*INDIRECT("R"&amp;($B$118+2+3*J$2+96*$B99)&amp;"C"&amp;($C$118+1),FALSE),"")</f>
        <v/>
      </c>
      <c r="K101" s="3" t="str">
        <f t="shared" ca="1" si="140"/>
        <v/>
      </c>
      <c r="L101" s="3" t="str">
        <f t="shared" ca="1" si="140"/>
        <v/>
      </c>
      <c r="M101" s="3" t="str">
        <f t="shared" ca="1" si="140"/>
        <v/>
      </c>
      <c r="N101" s="3">
        <f t="shared" ca="1" si="140"/>
        <v>346.51125863265406</v>
      </c>
      <c r="O101" s="3" t="str">
        <f t="shared" ca="1" si="140"/>
        <v/>
      </c>
      <c r="P101" s="3" t="str">
        <f t="shared" ca="1" si="140"/>
        <v/>
      </c>
      <c r="Q101" s="3" t="str">
        <f t="shared" ca="1" si="140"/>
        <v/>
      </c>
      <c r="R101" s="3" t="str">
        <f t="shared" ca="1" si="140"/>
        <v/>
      </c>
      <c r="S101" s="3" t="str">
        <f t="shared" ca="1" si="140"/>
        <v/>
      </c>
      <c r="T101" s="3" t="str">
        <f t="shared" ca="1" si="140"/>
        <v/>
      </c>
      <c r="U101" s="3" t="str">
        <f t="shared" ca="1" si="140"/>
        <v/>
      </c>
      <c r="V101" s="3" t="str">
        <f t="shared" ca="1" si="140"/>
        <v/>
      </c>
      <c r="W101" s="3" t="str">
        <f t="shared" ca="1" si="140"/>
        <v/>
      </c>
      <c r="X101" s="3" t="str">
        <f t="shared" ca="1" si="140"/>
        <v/>
      </c>
      <c r="Y101" s="3" t="str">
        <f t="shared" ca="1" si="140"/>
        <v/>
      </c>
      <c r="Z101" s="3" t="str">
        <f t="shared" ca="1" si="140"/>
        <v/>
      </c>
      <c r="AA101" s="3" t="str">
        <f t="shared" ca="1" si="140"/>
        <v/>
      </c>
      <c r="AB101" s="3" t="str">
        <f t="shared" ca="1" si="140"/>
        <v/>
      </c>
      <c r="AC101" s="3" t="str">
        <f t="shared" ca="1" si="140"/>
        <v/>
      </c>
      <c r="AD101" s="3" t="str">
        <f t="shared" ca="1" si="140"/>
        <v/>
      </c>
      <c r="AE101" s="3" t="str">
        <f t="shared" ca="1" si="140"/>
        <v/>
      </c>
      <c r="AF101" s="3" t="str">
        <f t="shared" ca="1" si="140"/>
        <v/>
      </c>
      <c r="AG101" s="3" t="str">
        <f t="shared" ca="1" si="140"/>
        <v/>
      </c>
      <c r="AH101" s="3" t="str">
        <f t="shared" ca="1" si="140"/>
        <v/>
      </c>
      <c r="AI101" s="3" t="str">
        <f t="shared" ca="1" si="140"/>
        <v/>
      </c>
      <c r="AJ101" s="3" t="str">
        <f t="shared" ca="1" si="140"/>
        <v/>
      </c>
      <c r="AK101" s="3" t="str">
        <f t="shared" ca="1" si="140"/>
        <v/>
      </c>
      <c r="AL101" s="3" t="str">
        <f t="shared" ca="1" si="140"/>
        <v/>
      </c>
      <c r="AM101" s="3" t="str">
        <f t="shared" ca="1" si="140"/>
        <v/>
      </c>
      <c r="AN101" s="3" t="str">
        <f t="shared" ca="1" si="140"/>
        <v/>
      </c>
      <c r="AO101" s="3" t="str">
        <f t="shared" ca="1" si="140"/>
        <v/>
      </c>
      <c r="AR101" s="42" t="e">
        <f t="shared" ca="1" si="128"/>
        <v>#DIV/0!</v>
      </c>
      <c r="AS101" s="42" t="e">
        <f t="shared" ca="1" si="126"/>
        <v>#VALUE!</v>
      </c>
      <c r="AT101" s="43"/>
      <c r="AU101" s="43"/>
      <c r="AV101" s="43"/>
      <c r="AW101" s="43"/>
      <c r="AX101" s="43"/>
      <c r="AY101" s="43"/>
      <c r="AZ101" s="43"/>
      <c r="BA101" s="43"/>
      <c r="BB101" s="43"/>
    </row>
    <row r="102" spans="1:54" s="6" customFormat="1">
      <c r="A102" s="23">
        <f ca="1">A99</f>
        <v>7.7214925490331723</v>
      </c>
      <c r="B102" s="78">
        <f>B99+1</f>
        <v>2</v>
      </c>
      <c r="C102" s="6" t="str">
        <f t="shared" si="138"/>
        <v>CWF</v>
      </c>
      <c r="D102" s="6">
        <f t="shared" ca="1" si="132"/>
        <v>240.35907668445765</v>
      </c>
      <c r="E102" s="20">
        <f t="shared" ca="1" si="129"/>
        <v>240.35907668445765</v>
      </c>
      <c r="F102" s="6">
        <f t="shared" ca="1" si="133"/>
        <v>240.35907668445765</v>
      </c>
      <c r="G102" s="20" t="e">
        <f t="shared" ca="1" si="130"/>
        <v>#DIV/0!</v>
      </c>
      <c r="H102" s="32" t="e">
        <f t="shared" ca="1" si="114"/>
        <v>#DIV/0!</v>
      </c>
      <c r="I102" s="20" t="e">
        <f t="shared" ca="1" si="134"/>
        <v>#DIV/0!</v>
      </c>
      <c r="J102" s="3" t="str">
        <f t="shared" ref="J102:AO102" ca="1" si="141">IF(J$3*J$4,$A102*INDIRECT("R"&amp;($B$118+0+3*J$2+96*$B102)&amp;"C"&amp;$C$118,FALSE)+$A103*INDIRECT("R"&amp;($B$118+0+3*J$2+96*$B102)&amp;"C"&amp;($C$118+1),FALSE),"")</f>
        <v/>
      </c>
      <c r="K102" s="3" t="str">
        <f t="shared" ca="1" si="141"/>
        <v/>
      </c>
      <c r="L102" s="3" t="str">
        <f t="shared" ca="1" si="141"/>
        <v/>
      </c>
      <c r="M102" s="3" t="str">
        <f t="shared" ca="1" si="141"/>
        <v/>
      </c>
      <c r="N102" s="3">
        <f t="shared" ca="1" si="141"/>
        <v>240.35907668445765</v>
      </c>
      <c r="O102" s="3" t="str">
        <f t="shared" ca="1" si="141"/>
        <v/>
      </c>
      <c r="P102" s="3" t="str">
        <f t="shared" ca="1" si="141"/>
        <v/>
      </c>
      <c r="Q102" s="3" t="str">
        <f t="shared" ca="1" si="141"/>
        <v/>
      </c>
      <c r="R102" s="3" t="str">
        <f t="shared" ca="1" si="141"/>
        <v/>
      </c>
      <c r="S102" s="3" t="str">
        <f t="shared" ca="1" si="141"/>
        <v/>
      </c>
      <c r="T102" s="3" t="str">
        <f t="shared" ca="1" si="141"/>
        <v/>
      </c>
      <c r="U102" s="3" t="str">
        <f t="shared" ca="1" si="141"/>
        <v/>
      </c>
      <c r="V102" s="3" t="str">
        <f t="shared" ca="1" si="141"/>
        <v/>
      </c>
      <c r="W102" s="3" t="str">
        <f t="shared" ca="1" si="141"/>
        <v/>
      </c>
      <c r="X102" s="3" t="str">
        <f t="shared" ca="1" si="141"/>
        <v/>
      </c>
      <c r="Y102" s="3" t="str">
        <f t="shared" ca="1" si="141"/>
        <v/>
      </c>
      <c r="Z102" s="3" t="str">
        <f t="shared" ca="1" si="141"/>
        <v/>
      </c>
      <c r="AA102" s="3" t="str">
        <f t="shared" ca="1" si="141"/>
        <v/>
      </c>
      <c r="AB102" s="3" t="str">
        <f t="shared" ca="1" si="141"/>
        <v/>
      </c>
      <c r="AC102" s="3" t="str">
        <f t="shared" ca="1" si="141"/>
        <v/>
      </c>
      <c r="AD102" s="3" t="str">
        <f t="shared" ca="1" si="141"/>
        <v/>
      </c>
      <c r="AE102" s="3" t="str">
        <f t="shared" ca="1" si="141"/>
        <v/>
      </c>
      <c r="AF102" s="3" t="str">
        <f t="shared" ca="1" si="141"/>
        <v/>
      </c>
      <c r="AG102" s="3" t="str">
        <f t="shared" ca="1" si="141"/>
        <v/>
      </c>
      <c r="AH102" s="3" t="str">
        <f t="shared" ca="1" si="141"/>
        <v/>
      </c>
      <c r="AI102" s="3" t="str">
        <f t="shared" ca="1" si="141"/>
        <v/>
      </c>
      <c r="AJ102" s="3" t="str">
        <f t="shared" ca="1" si="141"/>
        <v/>
      </c>
      <c r="AK102" s="3" t="str">
        <f t="shared" ca="1" si="141"/>
        <v/>
      </c>
      <c r="AL102" s="3" t="str">
        <f t="shared" ca="1" si="141"/>
        <v/>
      </c>
      <c r="AM102" s="3" t="str">
        <f t="shared" ca="1" si="141"/>
        <v/>
      </c>
      <c r="AN102" s="3" t="str">
        <f t="shared" ca="1" si="141"/>
        <v/>
      </c>
      <c r="AO102" s="3" t="str">
        <f t="shared" ca="1" si="141"/>
        <v/>
      </c>
      <c r="AR102" s="44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</row>
    <row r="103" spans="1:54" s="6" customFormat="1">
      <c r="A103" s="23">
        <f ca="1">A100</f>
        <v>-5.9462466372020648</v>
      </c>
      <c r="B103" s="78"/>
      <c r="C103" s="6" t="str">
        <f t="shared" si="138"/>
        <v>D65</v>
      </c>
      <c r="D103" s="6">
        <f t="shared" ca="1" si="132"/>
        <v>205.05703861028891</v>
      </c>
      <c r="E103" s="20">
        <f t="shared" ca="1" si="129"/>
        <v>205.05703861028891</v>
      </c>
      <c r="F103" s="6">
        <f t="shared" ca="1" si="133"/>
        <v>205.05703861028891</v>
      </c>
      <c r="G103" s="20" t="e">
        <f t="shared" ca="1" si="130"/>
        <v>#DIV/0!</v>
      </c>
      <c r="H103" s="32" t="e">
        <f t="shared" ca="1" si="114"/>
        <v>#DIV/0!</v>
      </c>
      <c r="I103" s="20" t="e">
        <f t="shared" ca="1" si="134"/>
        <v>#DIV/0!</v>
      </c>
      <c r="J103" s="3" t="str">
        <f t="shared" ref="J103:AO103" ca="1" si="142">IF(J$3*J$4,$A102*INDIRECT("R"&amp;($B$118+1+3*J$2+96*$B102)&amp;"C"&amp;$C$118,FALSE)+$A103*INDIRECT("R"&amp;($B$118+1+3*J$2+96*$B102)&amp;"C"&amp;($C$118+1),FALSE),"")</f>
        <v/>
      </c>
      <c r="K103" s="3" t="str">
        <f t="shared" ca="1" si="142"/>
        <v/>
      </c>
      <c r="L103" s="3" t="str">
        <f t="shared" ca="1" si="142"/>
        <v/>
      </c>
      <c r="M103" s="3" t="str">
        <f t="shared" ca="1" si="142"/>
        <v/>
      </c>
      <c r="N103" s="3">
        <f t="shared" ca="1" si="142"/>
        <v>205.05703861028891</v>
      </c>
      <c r="O103" s="3" t="str">
        <f t="shared" ca="1" si="142"/>
        <v/>
      </c>
      <c r="P103" s="3" t="str">
        <f t="shared" ca="1" si="142"/>
        <v/>
      </c>
      <c r="Q103" s="3" t="str">
        <f t="shared" ca="1" si="142"/>
        <v/>
      </c>
      <c r="R103" s="3" t="str">
        <f t="shared" ca="1" si="142"/>
        <v/>
      </c>
      <c r="S103" s="3" t="str">
        <f t="shared" ca="1" si="142"/>
        <v/>
      </c>
      <c r="T103" s="3" t="str">
        <f t="shared" ca="1" si="142"/>
        <v/>
      </c>
      <c r="U103" s="3" t="str">
        <f t="shared" ca="1" si="142"/>
        <v/>
      </c>
      <c r="V103" s="3" t="str">
        <f t="shared" ca="1" si="142"/>
        <v/>
      </c>
      <c r="W103" s="3" t="str">
        <f t="shared" ca="1" si="142"/>
        <v/>
      </c>
      <c r="X103" s="3" t="str">
        <f t="shared" ca="1" si="142"/>
        <v/>
      </c>
      <c r="Y103" s="3" t="str">
        <f t="shared" ca="1" si="142"/>
        <v/>
      </c>
      <c r="Z103" s="3" t="str">
        <f t="shared" ca="1" si="142"/>
        <v/>
      </c>
      <c r="AA103" s="3" t="str">
        <f t="shared" ca="1" si="142"/>
        <v/>
      </c>
      <c r="AB103" s="3" t="str">
        <f t="shared" ca="1" si="142"/>
        <v/>
      </c>
      <c r="AC103" s="3" t="str">
        <f t="shared" ca="1" si="142"/>
        <v/>
      </c>
      <c r="AD103" s="3" t="str">
        <f t="shared" ca="1" si="142"/>
        <v/>
      </c>
      <c r="AE103" s="3" t="str">
        <f t="shared" ca="1" si="142"/>
        <v/>
      </c>
      <c r="AF103" s="3" t="str">
        <f t="shared" ca="1" si="142"/>
        <v/>
      </c>
      <c r="AG103" s="3" t="str">
        <f t="shared" ca="1" si="142"/>
        <v/>
      </c>
      <c r="AH103" s="3" t="str">
        <f t="shared" ca="1" si="142"/>
        <v/>
      </c>
      <c r="AI103" s="3" t="str">
        <f t="shared" ca="1" si="142"/>
        <v/>
      </c>
      <c r="AJ103" s="3" t="str">
        <f t="shared" ca="1" si="142"/>
        <v/>
      </c>
      <c r="AK103" s="3" t="str">
        <f t="shared" ca="1" si="142"/>
        <v/>
      </c>
      <c r="AL103" s="3" t="str">
        <f t="shared" ca="1" si="142"/>
        <v/>
      </c>
      <c r="AM103" s="3" t="str">
        <f t="shared" ca="1" si="142"/>
        <v/>
      </c>
      <c r="AN103" s="3" t="str">
        <f t="shared" ca="1" si="142"/>
        <v/>
      </c>
      <c r="AO103" s="3" t="str">
        <f t="shared" ca="1" si="142"/>
        <v/>
      </c>
      <c r="AR103" s="44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</row>
    <row r="104" spans="1:54" s="6" customFormat="1">
      <c r="A104" s="23"/>
      <c r="B104" s="78"/>
      <c r="C104" s="6" t="str">
        <f t="shared" si="138"/>
        <v>A</v>
      </c>
      <c r="D104" s="6">
        <f t="shared" ca="1" si="132"/>
        <v>305.79261026193336</v>
      </c>
      <c r="E104" s="20">
        <f t="shared" ca="1" si="129"/>
        <v>305.79261026193336</v>
      </c>
      <c r="F104" s="6">
        <f t="shared" ca="1" si="133"/>
        <v>305.79261026193336</v>
      </c>
      <c r="G104" s="20" t="e">
        <f t="shared" ca="1" si="130"/>
        <v>#DIV/0!</v>
      </c>
      <c r="H104" s="32" t="e">
        <f t="shared" ca="1" si="114"/>
        <v>#DIV/0!</v>
      </c>
      <c r="I104" s="20" t="e">
        <f t="shared" ca="1" si="134"/>
        <v>#DIV/0!</v>
      </c>
      <c r="J104" s="3" t="str">
        <f t="shared" ref="J104:AO104" ca="1" si="143">IF(J$3*J$4,$A102*INDIRECT("R"&amp;($B$118+2+3*J$2+96*$B102)&amp;"C"&amp;$C$118,FALSE)+$A103*INDIRECT("R"&amp;($B$118+2+3*J$2+96*$B102)&amp;"C"&amp;($C$118+1),FALSE),"")</f>
        <v/>
      </c>
      <c r="K104" s="3" t="str">
        <f t="shared" ca="1" si="143"/>
        <v/>
      </c>
      <c r="L104" s="3" t="str">
        <f t="shared" ca="1" si="143"/>
        <v/>
      </c>
      <c r="M104" s="3" t="str">
        <f t="shared" ca="1" si="143"/>
        <v/>
      </c>
      <c r="N104" s="3">
        <f t="shared" ca="1" si="143"/>
        <v>305.79261026193336</v>
      </c>
      <c r="O104" s="3" t="str">
        <f t="shared" ca="1" si="143"/>
        <v/>
      </c>
      <c r="P104" s="3" t="str">
        <f t="shared" ca="1" si="143"/>
        <v/>
      </c>
      <c r="Q104" s="3" t="str">
        <f t="shared" ca="1" si="143"/>
        <v/>
      </c>
      <c r="R104" s="3" t="str">
        <f t="shared" ca="1" si="143"/>
        <v/>
      </c>
      <c r="S104" s="3" t="str">
        <f t="shared" ca="1" si="143"/>
        <v/>
      </c>
      <c r="T104" s="3" t="str">
        <f t="shared" ca="1" si="143"/>
        <v/>
      </c>
      <c r="U104" s="3" t="str">
        <f t="shared" ca="1" si="143"/>
        <v/>
      </c>
      <c r="V104" s="3" t="str">
        <f t="shared" ca="1" si="143"/>
        <v/>
      </c>
      <c r="W104" s="3" t="str">
        <f t="shared" ca="1" si="143"/>
        <v/>
      </c>
      <c r="X104" s="3" t="str">
        <f t="shared" ca="1" si="143"/>
        <v/>
      </c>
      <c r="Y104" s="3" t="str">
        <f t="shared" ca="1" si="143"/>
        <v/>
      </c>
      <c r="Z104" s="3" t="str">
        <f t="shared" ca="1" si="143"/>
        <v/>
      </c>
      <c r="AA104" s="3" t="str">
        <f t="shared" ca="1" si="143"/>
        <v/>
      </c>
      <c r="AB104" s="3" t="str">
        <f t="shared" ca="1" si="143"/>
        <v/>
      </c>
      <c r="AC104" s="3" t="str">
        <f t="shared" ca="1" si="143"/>
        <v/>
      </c>
      <c r="AD104" s="3" t="str">
        <f t="shared" ca="1" si="143"/>
        <v/>
      </c>
      <c r="AE104" s="3" t="str">
        <f t="shared" ca="1" si="143"/>
        <v/>
      </c>
      <c r="AF104" s="3" t="str">
        <f t="shared" ca="1" si="143"/>
        <v/>
      </c>
      <c r="AG104" s="3" t="str">
        <f t="shared" ca="1" si="143"/>
        <v/>
      </c>
      <c r="AH104" s="3" t="str">
        <f t="shared" ca="1" si="143"/>
        <v/>
      </c>
      <c r="AI104" s="3" t="str">
        <f t="shared" ca="1" si="143"/>
        <v/>
      </c>
      <c r="AJ104" s="3" t="str">
        <f t="shared" ca="1" si="143"/>
        <v/>
      </c>
      <c r="AK104" s="3" t="str">
        <f t="shared" ca="1" si="143"/>
        <v/>
      </c>
      <c r="AL104" s="3" t="str">
        <f t="shared" ca="1" si="143"/>
        <v/>
      </c>
      <c r="AM104" s="3" t="str">
        <f t="shared" ca="1" si="143"/>
        <v/>
      </c>
      <c r="AN104" s="3" t="str">
        <f t="shared" ca="1" si="143"/>
        <v/>
      </c>
      <c r="AO104" s="3" t="str">
        <f t="shared" ca="1" si="143"/>
        <v/>
      </c>
      <c r="AR104" s="44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</row>
    <row r="105" spans="1:54" s="6" customFormat="1">
      <c r="A105" s="23">
        <f ca="1">A102</f>
        <v>7.7214925490331723</v>
      </c>
      <c r="B105" s="78">
        <f>B102+1</f>
        <v>3</v>
      </c>
      <c r="C105" s="6" t="str">
        <f t="shared" si="138"/>
        <v>CWF</v>
      </c>
      <c r="D105" s="6">
        <f t="shared" ca="1" si="132"/>
        <v>231.92982509959177</v>
      </c>
      <c r="E105" s="20">
        <f t="shared" ca="1" si="129"/>
        <v>231.92982509959177</v>
      </c>
      <c r="F105" s="6">
        <f t="shared" ca="1" si="133"/>
        <v>231.92982509959177</v>
      </c>
      <c r="G105" s="20" t="e">
        <f t="shared" ca="1" si="130"/>
        <v>#DIV/0!</v>
      </c>
      <c r="H105" s="32" t="e">
        <f t="shared" ca="1" si="114"/>
        <v>#DIV/0!</v>
      </c>
      <c r="I105" s="20" t="e">
        <f t="shared" ca="1" si="134"/>
        <v>#DIV/0!</v>
      </c>
      <c r="J105" s="3" t="str">
        <f t="shared" ref="J105:AO105" ca="1" si="144">IF(J$3*J$4,$A105*INDIRECT("R"&amp;($B$118+0+3*J$2+96*$B105)&amp;"C"&amp;$C$118,FALSE)+$A106*INDIRECT("R"&amp;($B$118+0+3*J$2+96*$B105)&amp;"C"&amp;($C$118+1),FALSE),"")</f>
        <v/>
      </c>
      <c r="K105" s="3" t="str">
        <f t="shared" ca="1" si="144"/>
        <v/>
      </c>
      <c r="L105" s="3" t="str">
        <f t="shared" ca="1" si="144"/>
        <v/>
      </c>
      <c r="M105" s="3" t="str">
        <f t="shared" ca="1" si="144"/>
        <v/>
      </c>
      <c r="N105" s="3">
        <f t="shared" ca="1" si="144"/>
        <v>231.92982509959177</v>
      </c>
      <c r="O105" s="3" t="str">
        <f t="shared" ca="1" si="144"/>
        <v/>
      </c>
      <c r="P105" s="3" t="str">
        <f t="shared" ca="1" si="144"/>
        <v/>
      </c>
      <c r="Q105" s="3" t="str">
        <f t="shared" ca="1" si="144"/>
        <v/>
      </c>
      <c r="R105" s="3" t="str">
        <f t="shared" ca="1" si="144"/>
        <v/>
      </c>
      <c r="S105" s="3" t="str">
        <f t="shared" ca="1" si="144"/>
        <v/>
      </c>
      <c r="T105" s="3" t="str">
        <f t="shared" ca="1" si="144"/>
        <v/>
      </c>
      <c r="U105" s="3" t="str">
        <f t="shared" ca="1" si="144"/>
        <v/>
      </c>
      <c r="V105" s="3" t="str">
        <f t="shared" ca="1" si="144"/>
        <v/>
      </c>
      <c r="W105" s="3" t="str">
        <f t="shared" ca="1" si="144"/>
        <v/>
      </c>
      <c r="X105" s="3" t="str">
        <f t="shared" ca="1" si="144"/>
        <v/>
      </c>
      <c r="Y105" s="3" t="str">
        <f t="shared" ca="1" si="144"/>
        <v/>
      </c>
      <c r="Z105" s="3" t="str">
        <f t="shared" ca="1" si="144"/>
        <v/>
      </c>
      <c r="AA105" s="3" t="str">
        <f t="shared" ca="1" si="144"/>
        <v/>
      </c>
      <c r="AB105" s="3" t="str">
        <f t="shared" ca="1" si="144"/>
        <v/>
      </c>
      <c r="AC105" s="3" t="str">
        <f t="shared" ca="1" si="144"/>
        <v/>
      </c>
      <c r="AD105" s="3" t="str">
        <f t="shared" ca="1" si="144"/>
        <v/>
      </c>
      <c r="AE105" s="3" t="str">
        <f t="shared" ca="1" si="144"/>
        <v/>
      </c>
      <c r="AF105" s="3" t="str">
        <f t="shared" ca="1" si="144"/>
        <v/>
      </c>
      <c r="AG105" s="3" t="str">
        <f t="shared" ca="1" si="144"/>
        <v/>
      </c>
      <c r="AH105" s="3" t="str">
        <f t="shared" ca="1" si="144"/>
        <v/>
      </c>
      <c r="AI105" s="3" t="str">
        <f t="shared" ca="1" si="144"/>
        <v/>
      </c>
      <c r="AJ105" s="3" t="str">
        <f t="shared" ca="1" si="144"/>
        <v/>
      </c>
      <c r="AK105" s="3" t="str">
        <f t="shared" ca="1" si="144"/>
        <v/>
      </c>
      <c r="AL105" s="3" t="str">
        <f t="shared" ca="1" si="144"/>
        <v/>
      </c>
      <c r="AM105" s="3" t="str">
        <f t="shared" ca="1" si="144"/>
        <v/>
      </c>
      <c r="AN105" s="3" t="str">
        <f t="shared" ca="1" si="144"/>
        <v/>
      </c>
      <c r="AO105" s="3" t="str">
        <f t="shared" ca="1" si="144"/>
        <v/>
      </c>
      <c r="AR105" s="44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</row>
    <row r="106" spans="1:54" s="6" customFormat="1">
      <c r="A106" s="23">
        <f ca="1">A103</f>
        <v>-5.9462466372020648</v>
      </c>
      <c r="B106" s="78"/>
      <c r="C106" s="6" t="str">
        <f t="shared" si="138"/>
        <v>D65</v>
      </c>
      <c r="D106" s="6">
        <f t="shared" ca="1" si="132"/>
        <v>198.68999529081867</v>
      </c>
      <c r="E106" s="20">
        <f t="shared" ca="1" si="129"/>
        <v>198.68999529081867</v>
      </c>
      <c r="F106" s="6">
        <f t="shared" ca="1" si="133"/>
        <v>198.68999529081867</v>
      </c>
      <c r="G106" s="20" t="e">
        <f t="shared" ca="1" si="130"/>
        <v>#DIV/0!</v>
      </c>
      <c r="H106" s="32" t="e">
        <f t="shared" ca="1" si="114"/>
        <v>#DIV/0!</v>
      </c>
      <c r="I106" s="20" t="e">
        <f t="shared" ca="1" si="134"/>
        <v>#DIV/0!</v>
      </c>
      <c r="J106" s="3" t="str">
        <f t="shared" ref="J106:AO106" ca="1" si="145">IF(J$3*J$4,$A105*INDIRECT("R"&amp;($B$118+1+3*J$2+96*$B105)&amp;"C"&amp;$C$118,FALSE)+$A106*INDIRECT("R"&amp;($B$118+1+3*J$2+96*$B105)&amp;"C"&amp;($C$118+1),FALSE),"")</f>
        <v/>
      </c>
      <c r="K106" s="3" t="str">
        <f t="shared" ca="1" si="145"/>
        <v/>
      </c>
      <c r="L106" s="3" t="str">
        <f t="shared" ca="1" si="145"/>
        <v/>
      </c>
      <c r="M106" s="3" t="str">
        <f t="shared" ca="1" si="145"/>
        <v/>
      </c>
      <c r="N106" s="3">
        <f t="shared" ca="1" si="145"/>
        <v>198.68999529081867</v>
      </c>
      <c r="O106" s="3" t="str">
        <f t="shared" ca="1" si="145"/>
        <v/>
      </c>
      <c r="P106" s="3" t="str">
        <f t="shared" ca="1" si="145"/>
        <v/>
      </c>
      <c r="Q106" s="3" t="str">
        <f t="shared" ca="1" si="145"/>
        <v/>
      </c>
      <c r="R106" s="3" t="str">
        <f t="shared" ca="1" si="145"/>
        <v/>
      </c>
      <c r="S106" s="3" t="str">
        <f t="shared" ca="1" si="145"/>
        <v/>
      </c>
      <c r="T106" s="3" t="str">
        <f t="shared" ca="1" si="145"/>
        <v/>
      </c>
      <c r="U106" s="3" t="str">
        <f t="shared" ca="1" si="145"/>
        <v/>
      </c>
      <c r="V106" s="3" t="str">
        <f t="shared" ca="1" si="145"/>
        <v/>
      </c>
      <c r="W106" s="3" t="str">
        <f t="shared" ca="1" si="145"/>
        <v/>
      </c>
      <c r="X106" s="3" t="str">
        <f t="shared" ca="1" si="145"/>
        <v/>
      </c>
      <c r="Y106" s="3" t="str">
        <f t="shared" ca="1" si="145"/>
        <v/>
      </c>
      <c r="Z106" s="3" t="str">
        <f t="shared" ca="1" si="145"/>
        <v/>
      </c>
      <c r="AA106" s="3" t="str">
        <f t="shared" ca="1" si="145"/>
        <v/>
      </c>
      <c r="AB106" s="3" t="str">
        <f t="shared" ca="1" si="145"/>
        <v/>
      </c>
      <c r="AC106" s="3" t="str">
        <f t="shared" ca="1" si="145"/>
        <v/>
      </c>
      <c r="AD106" s="3" t="str">
        <f t="shared" ca="1" si="145"/>
        <v/>
      </c>
      <c r="AE106" s="3" t="str">
        <f t="shared" ca="1" si="145"/>
        <v/>
      </c>
      <c r="AF106" s="3" t="str">
        <f t="shared" ca="1" si="145"/>
        <v/>
      </c>
      <c r="AG106" s="3" t="str">
        <f t="shared" ca="1" si="145"/>
        <v/>
      </c>
      <c r="AH106" s="3" t="str">
        <f t="shared" ca="1" si="145"/>
        <v/>
      </c>
      <c r="AI106" s="3" t="str">
        <f t="shared" ca="1" si="145"/>
        <v/>
      </c>
      <c r="AJ106" s="3" t="str">
        <f t="shared" ca="1" si="145"/>
        <v/>
      </c>
      <c r="AK106" s="3" t="str">
        <f t="shared" ca="1" si="145"/>
        <v/>
      </c>
      <c r="AL106" s="3" t="str">
        <f t="shared" ca="1" si="145"/>
        <v/>
      </c>
      <c r="AM106" s="3" t="str">
        <f t="shared" ca="1" si="145"/>
        <v/>
      </c>
      <c r="AN106" s="3" t="str">
        <f t="shared" ca="1" si="145"/>
        <v/>
      </c>
      <c r="AO106" s="3" t="str">
        <f t="shared" ca="1" si="145"/>
        <v/>
      </c>
    </row>
    <row r="107" spans="1:54" s="6" customFormat="1" ht="15.75" thickBot="1">
      <c r="A107" s="24"/>
      <c r="B107" s="79"/>
      <c r="C107" s="6" t="str">
        <f t="shared" si="138"/>
        <v>A</v>
      </c>
      <c r="D107" s="6">
        <f t="shared" ca="1" si="132"/>
        <v>295.95883072552186</v>
      </c>
      <c r="E107" s="20">
        <f t="shared" ca="1" si="129"/>
        <v>295.95883072552186</v>
      </c>
      <c r="F107" s="6">
        <f t="shared" ca="1" si="133"/>
        <v>295.95883072552186</v>
      </c>
      <c r="G107" s="20" t="e">
        <f t="shared" ca="1" si="130"/>
        <v>#DIV/0!</v>
      </c>
      <c r="H107" s="32" t="e">
        <f t="shared" ca="1" si="114"/>
        <v>#DIV/0!</v>
      </c>
      <c r="I107" s="20" t="e">
        <f t="shared" ca="1" si="134"/>
        <v>#DIV/0!</v>
      </c>
      <c r="J107" s="3" t="str">
        <f t="shared" ref="J107:AO107" ca="1" si="146">IF(J$3*J$4,$A105*INDIRECT("R"&amp;($B$118+2+3*J$2+96*$B105)&amp;"C"&amp;$C$118,FALSE)+$A106*INDIRECT("R"&amp;($B$118+2+3*J$2+96*$B105)&amp;"C"&amp;($C$118+1),FALSE),"")</f>
        <v/>
      </c>
      <c r="K107" s="3" t="str">
        <f t="shared" ca="1" si="146"/>
        <v/>
      </c>
      <c r="L107" s="3" t="str">
        <f t="shared" ca="1" si="146"/>
        <v/>
      </c>
      <c r="M107" s="3" t="str">
        <f t="shared" ca="1" si="146"/>
        <v/>
      </c>
      <c r="N107" s="3">
        <f t="shared" ca="1" si="146"/>
        <v>295.95883072552186</v>
      </c>
      <c r="O107" s="3" t="str">
        <f t="shared" ca="1" si="146"/>
        <v/>
      </c>
      <c r="P107" s="3" t="str">
        <f t="shared" ca="1" si="146"/>
        <v/>
      </c>
      <c r="Q107" s="3" t="str">
        <f t="shared" ca="1" si="146"/>
        <v/>
      </c>
      <c r="R107" s="3" t="str">
        <f t="shared" ca="1" si="146"/>
        <v/>
      </c>
      <c r="S107" s="3" t="str">
        <f t="shared" ca="1" si="146"/>
        <v/>
      </c>
      <c r="T107" s="3" t="str">
        <f t="shared" ca="1" si="146"/>
        <v/>
      </c>
      <c r="U107" s="3" t="str">
        <f t="shared" ca="1" si="146"/>
        <v/>
      </c>
      <c r="V107" s="3" t="str">
        <f t="shared" ca="1" si="146"/>
        <v/>
      </c>
      <c r="W107" s="3" t="str">
        <f t="shared" ca="1" si="146"/>
        <v/>
      </c>
      <c r="X107" s="3" t="str">
        <f t="shared" ca="1" si="146"/>
        <v/>
      </c>
      <c r="Y107" s="3" t="str">
        <f t="shared" ca="1" si="146"/>
        <v/>
      </c>
      <c r="Z107" s="3" t="str">
        <f t="shared" ca="1" si="146"/>
        <v/>
      </c>
      <c r="AA107" s="3" t="str">
        <f t="shared" ca="1" si="146"/>
        <v/>
      </c>
      <c r="AB107" s="3" t="str">
        <f t="shared" ca="1" si="146"/>
        <v/>
      </c>
      <c r="AC107" s="3" t="str">
        <f t="shared" ca="1" si="146"/>
        <v/>
      </c>
      <c r="AD107" s="3" t="str">
        <f t="shared" ca="1" si="146"/>
        <v/>
      </c>
      <c r="AE107" s="3" t="str">
        <f t="shared" ca="1" si="146"/>
        <v/>
      </c>
      <c r="AF107" s="3" t="str">
        <f t="shared" ca="1" si="146"/>
        <v/>
      </c>
      <c r="AG107" s="3" t="str">
        <f t="shared" ca="1" si="146"/>
        <v/>
      </c>
      <c r="AH107" s="3" t="str">
        <f t="shared" ca="1" si="146"/>
        <v/>
      </c>
      <c r="AI107" s="3" t="str">
        <f t="shared" ca="1" si="146"/>
        <v/>
      </c>
      <c r="AJ107" s="3" t="str">
        <f t="shared" ca="1" si="146"/>
        <v/>
      </c>
      <c r="AK107" s="3" t="str">
        <f t="shared" ca="1" si="146"/>
        <v/>
      </c>
      <c r="AL107" s="3" t="str">
        <f t="shared" ca="1" si="146"/>
        <v/>
      </c>
      <c r="AM107" s="3" t="str">
        <f t="shared" ca="1" si="146"/>
        <v/>
      </c>
      <c r="AN107" s="3" t="str">
        <f t="shared" ca="1" si="146"/>
        <v/>
      </c>
      <c r="AO107" s="3" t="str">
        <f t="shared" ca="1" si="146"/>
        <v/>
      </c>
    </row>
    <row r="108" spans="1:54" s="29" customFormat="1">
      <c r="A108" s="80" t="e">
        <f ca="1">"Gain Error=±"&amp;INT(H108*1000)/10&amp;"%"</f>
        <v>#DIV/0!</v>
      </c>
      <c r="B108" s="30">
        <f>B96</f>
        <v>0</v>
      </c>
      <c r="C108" s="32" t="e">
        <f ca="1">E108+1.5*G108</f>
        <v>#DIV/0!</v>
      </c>
      <c r="D108" s="32">
        <f t="shared" ca="1" si="132"/>
        <v>-2.0831289271163733E-2</v>
      </c>
      <c r="E108" s="32">
        <f t="shared" ca="1" si="129"/>
        <v>-2.0831289271163733E-2</v>
      </c>
      <c r="F108" s="32">
        <f t="shared" ca="1" si="133"/>
        <v>-2.0831289271163733E-2</v>
      </c>
      <c r="G108" s="32" t="e">
        <f t="shared" ca="1" si="130"/>
        <v>#DIV/0!</v>
      </c>
      <c r="H108" s="74" t="e">
        <f ca="1" xml:space="preserve">  MAX( ABS(MAX(C108:C111)), ABS(MIN(C108:C111)) )</f>
        <v>#DIV/0!</v>
      </c>
      <c r="I108" s="20" t="e">
        <f t="shared" ca="1" si="134"/>
        <v>#DIV/0!</v>
      </c>
      <c r="J108" s="32" t="str">
        <f>IF(J$3*J$4,(MAX(J96:J98)+MIN(J96:J98))/2/Summary!$B$3-1,"")</f>
        <v/>
      </c>
      <c r="K108" s="32" t="str">
        <f>IF(K$3*K$4,(MAX(K96:K98)+MIN(K96:K98))/2/Summary!$B$3-1,"")</f>
        <v/>
      </c>
      <c r="L108" s="32" t="str">
        <f>IF(L$3*L$4,(MAX(L96:L98)+MIN(L96:L98))/2/Summary!$B$3-1,"")</f>
        <v/>
      </c>
      <c r="M108" s="32" t="str">
        <f>IF(M$3*M$4,(MAX(M96:M98)+MIN(M96:M98))/2/Summary!$B$3-1,"")</f>
        <v/>
      </c>
      <c r="N108" s="32">
        <f ca="1">IF(N$3*N$4,(MAX(N96:N98)+MIN(N96:N98))/2/Summary!$B$3-1,"")</f>
        <v>-2.0831289271163733E-2</v>
      </c>
      <c r="O108" s="32" t="str">
        <f>IF(O$3*O$4,(MAX(O96:O98)+MIN(O96:O98))/2/Summary!$B$3-1,"")</f>
        <v/>
      </c>
      <c r="P108" s="32" t="str">
        <f>IF(P$3*P$4,(MAX(P96:P98)+MIN(P96:P98))/2/Summary!$B$3-1,"")</f>
        <v/>
      </c>
      <c r="Q108" s="32" t="str">
        <f>IF(Q$3*Q$4,(MAX(Q96:Q98)+MIN(Q96:Q98))/2/Summary!$B$3-1,"")</f>
        <v/>
      </c>
      <c r="R108" s="32" t="str">
        <f>IF(R$3*R$4,(MAX(R96:R98)+MIN(R96:R98))/2/Summary!$B$3-1,"")</f>
        <v/>
      </c>
      <c r="S108" s="32" t="str">
        <f>IF(S$3*S$4,(MAX(S96:S98)+MIN(S96:S98))/2/Summary!$B$3-1,"")</f>
        <v/>
      </c>
      <c r="T108" s="32" t="str">
        <f>IF(T$3*T$4,(MAX(T96:T98)+MIN(T96:T98))/2/Summary!$B$3-1,"")</f>
        <v/>
      </c>
      <c r="U108" s="32" t="str">
        <f>IF(U$3*U$4,(MAX(U96:U98)+MIN(U96:U98))/2/Summary!$B$3-1,"")</f>
        <v/>
      </c>
      <c r="V108" s="32" t="str">
        <f>IF(V$3*V$4,(MAX(V96:V98)+MIN(V96:V98))/2/Summary!$B$3-1,"")</f>
        <v/>
      </c>
      <c r="W108" s="32" t="str">
        <f>IF(W$3*W$4,(MAX(W96:W98)+MIN(W96:W98))/2/Summary!$B$3-1,"")</f>
        <v/>
      </c>
      <c r="X108" s="32" t="str">
        <f>IF(X$3*X$4,(MAX(X96:X98)+MIN(X96:X98))/2/Summary!$B$3-1,"")</f>
        <v/>
      </c>
      <c r="Y108" s="32" t="str">
        <f>IF(Y$3*Y$4,(MAX(Y96:Y98)+MIN(Y96:Y98))/2/Summary!$B$3-1,"")</f>
        <v/>
      </c>
      <c r="Z108" s="32" t="str">
        <f>IF(Z$3*Z$4,(MAX(Z96:Z98)+MIN(Z96:Z98))/2/Summary!$B$3-1,"")</f>
        <v/>
      </c>
      <c r="AA108" s="32" t="str">
        <f>IF(AA$3*AA$4,(MAX(AA96:AA98)+MIN(AA96:AA98))/2/Summary!$B$3-1,"")</f>
        <v/>
      </c>
      <c r="AB108" s="32" t="str">
        <f>IF(AB$3*AB$4,(MAX(AB96:AB98)+MIN(AB96:AB98))/2/Summary!$B$3-1,"")</f>
        <v/>
      </c>
      <c r="AC108" s="32" t="str">
        <f>IF(AC$3*AC$4,(MAX(AC96:AC98)+MIN(AC96:AC98))/2/Summary!$B$3-1,"")</f>
        <v/>
      </c>
      <c r="AD108" s="32" t="str">
        <f>IF(AD$3*AD$4,(MAX(AD96:AD98)+MIN(AD96:AD98))/2/Summary!$B$3-1,"")</f>
        <v/>
      </c>
      <c r="AE108" s="32" t="str">
        <f>IF(AE$3*AE$4,(MAX(AE96:AE98)+MIN(AE96:AE98))/2/Summary!$B$3-1,"")</f>
        <v/>
      </c>
      <c r="AF108" s="32" t="str">
        <f>IF(AF$3*AF$4,(MAX(AF96:AF98)+MIN(AF96:AF98))/2/Summary!$B$3-1,"")</f>
        <v/>
      </c>
      <c r="AG108" s="32" t="str">
        <f>IF(AG$3*AG$4,(MAX(AG96:AG98)+MIN(AG96:AG98))/2/Summary!$B$3-1,"")</f>
        <v/>
      </c>
      <c r="AH108" s="32" t="str">
        <f>IF(AH$3*AH$4,(MAX(AH96:AH98)+MIN(AH96:AH98))/2/Summary!$B$3-1,"")</f>
        <v/>
      </c>
      <c r="AI108" s="32" t="str">
        <f>IF(AI$3*AI$4,(MAX(AI96:AI98)+MIN(AI96:AI98))/2/Summary!$B$3-1,"")</f>
        <v/>
      </c>
      <c r="AJ108" s="32" t="str">
        <f>IF(AJ$3*AJ$4,(MAX(AJ96:AJ98)+MIN(AJ96:AJ98))/2/Summary!$B$3-1,"")</f>
        <v/>
      </c>
      <c r="AK108" s="32" t="str">
        <f>IF(AK$3*AK$4,(MAX(AK96:AK98)+MIN(AK96:AK98))/2/Summary!$B$3-1,"")</f>
        <v/>
      </c>
      <c r="AL108" s="32" t="str">
        <f>IF(AL$3*AL$4,(MAX(AL96:AL98)+MIN(AL96:AL98))/2/Summary!$B$3-1,"")</f>
        <v/>
      </c>
      <c r="AM108" s="32" t="str">
        <f>IF(AM$3*AM$4,(MAX(AM96:AM98)+MIN(AM96:AM98))/2/Summary!$B$3-1,"")</f>
        <v/>
      </c>
      <c r="AN108" s="32" t="str">
        <f>IF(AN$3*AN$4,(MAX(AN96:AN98)+MIN(AN96:AN98))/2/Summary!$B$3-1,"")</f>
        <v/>
      </c>
      <c r="AO108" s="32" t="str">
        <f>IF(AO$3*AO$4,(MAX(AO96:AO98)+MIN(AO96:AO98))/2/Summary!$B$3-1,"")</f>
        <v/>
      </c>
    </row>
    <row r="109" spans="1:54" s="29" customFormat="1">
      <c r="A109" s="80"/>
      <c r="B109" s="30">
        <f>B99</f>
        <v>1</v>
      </c>
      <c r="C109" s="32" t="e">
        <f t="shared" ref="C109:C111" ca="1" si="147">E109+1.5*G109</f>
        <v>#DIV/0!</v>
      </c>
      <c r="D109" s="32">
        <f t="shared" ca="1" si="132"/>
        <v>-3.6647858814971679E-2</v>
      </c>
      <c r="E109" s="32">
        <f t="shared" ca="1" si="129"/>
        <v>-3.6647858814971679E-2</v>
      </c>
      <c r="F109" s="32">
        <f t="shared" ca="1" si="133"/>
        <v>-3.6647858814971679E-2</v>
      </c>
      <c r="G109" s="32" t="e">
        <f t="shared" ca="1" si="130"/>
        <v>#DIV/0!</v>
      </c>
      <c r="H109" s="74"/>
      <c r="I109" s="20" t="e">
        <f t="shared" ca="1" si="134"/>
        <v>#DIV/0!</v>
      </c>
      <c r="J109" s="32" t="str">
        <f>IF(J$3*J$4,(MAX(J99:J101)+MIN(J97:J99))/2/Summary!$B$3-1,"")</f>
        <v/>
      </c>
      <c r="K109" s="32" t="str">
        <f>IF(K$3*K$4,(MAX(K99:K101)+MIN(K97:K99))/2/Summary!$B$3-1,"")</f>
        <v/>
      </c>
      <c r="L109" s="32" t="str">
        <f>IF(L$3*L$4,(MAX(L99:L101)+MIN(L97:L99))/2/Summary!$B$3-1,"")</f>
        <v/>
      </c>
      <c r="M109" s="32" t="str">
        <f>IF(M$3*M$4,(MAX(M99:M101)+MIN(M97:M99))/2/Summary!$B$3-1,"")</f>
        <v/>
      </c>
      <c r="N109" s="32">
        <f ca="1">IF(N$3*N$4,(MAX(N99:N101)+MIN(N97:N99))/2/Summary!$B$3-1,"")</f>
        <v>-3.6647858814971679E-2</v>
      </c>
      <c r="O109" s="32" t="str">
        <f>IF(O$3*O$4,(MAX(O99:O101)+MIN(O97:O99))/2/Summary!$B$3-1,"")</f>
        <v/>
      </c>
      <c r="P109" s="32" t="str">
        <f>IF(P$3*P$4,(MAX(P99:P101)+MIN(P97:P99))/2/Summary!$B$3-1,"")</f>
        <v/>
      </c>
      <c r="Q109" s="32" t="str">
        <f>IF(Q$3*Q$4,(MAX(Q99:Q101)+MIN(Q97:Q99))/2/Summary!$B$3-1,"")</f>
        <v/>
      </c>
      <c r="R109" s="32" t="str">
        <f>IF(R$3*R$4,(MAX(R99:R101)+MIN(R97:R99))/2/Summary!$B$3-1,"")</f>
        <v/>
      </c>
      <c r="S109" s="32" t="str">
        <f>IF(S$3*S$4,(MAX(S99:S101)+MIN(S97:S99))/2/Summary!$B$3-1,"")</f>
        <v/>
      </c>
      <c r="T109" s="32" t="str">
        <f>IF(T$3*T$4,(MAX(T99:T101)+MIN(T97:T99))/2/Summary!$B$3-1,"")</f>
        <v/>
      </c>
      <c r="U109" s="32" t="str">
        <f>IF(U$3*U$4,(MAX(U99:U101)+MIN(U97:U99))/2/Summary!$B$3-1,"")</f>
        <v/>
      </c>
      <c r="V109" s="32" t="str">
        <f>IF(V$3*V$4,(MAX(V99:V101)+MIN(V97:V99))/2/Summary!$B$3-1,"")</f>
        <v/>
      </c>
      <c r="W109" s="32" t="str">
        <f>IF(W$3*W$4,(MAX(W99:W101)+MIN(W97:W99))/2/Summary!$B$3-1,"")</f>
        <v/>
      </c>
      <c r="X109" s="32" t="str">
        <f>IF(X$3*X$4,(MAX(X99:X101)+MIN(X97:X99))/2/Summary!$B$3-1,"")</f>
        <v/>
      </c>
      <c r="Y109" s="32" t="str">
        <f>IF(Y$3*Y$4,(MAX(Y99:Y101)+MIN(Y97:Y99))/2/Summary!$B$3-1,"")</f>
        <v/>
      </c>
      <c r="Z109" s="32" t="str">
        <f>IF(Z$3*Z$4,(MAX(Z99:Z101)+MIN(Z97:Z99))/2/Summary!$B$3-1,"")</f>
        <v/>
      </c>
      <c r="AA109" s="32" t="str">
        <f>IF(AA$3*AA$4,(MAX(AA99:AA101)+MIN(AA97:AA99))/2/Summary!$B$3-1,"")</f>
        <v/>
      </c>
      <c r="AB109" s="32" t="str">
        <f>IF(AB$3*AB$4,(MAX(AB99:AB101)+MIN(AB97:AB99))/2/Summary!$B$3-1,"")</f>
        <v/>
      </c>
      <c r="AC109" s="32" t="str">
        <f>IF(AC$3*AC$4,(MAX(AC99:AC101)+MIN(AC97:AC99))/2/Summary!$B$3-1,"")</f>
        <v/>
      </c>
      <c r="AD109" s="32" t="str">
        <f>IF(AD$3*AD$4,(MAX(AD99:AD101)+MIN(AD97:AD99))/2/Summary!$B$3-1,"")</f>
        <v/>
      </c>
      <c r="AE109" s="32" t="str">
        <f>IF(AE$3*AE$4,(MAX(AE99:AE101)+MIN(AE97:AE99))/2/Summary!$B$3-1,"")</f>
        <v/>
      </c>
      <c r="AF109" s="32" t="str">
        <f>IF(AF$3*AF$4,(MAX(AF99:AF101)+MIN(AF97:AF99))/2/Summary!$B$3-1,"")</f>
        <v/>
      </c>
      <c r="AG109" s="32" t="str">
        <f>IF(AG$3*AG$4,(MAX(AG99:AG101)+MIN(AG97:AG99))/2/Summary!$B$3-1,"")</f>
        <v/>
      </c>
      <c r="AH109" s="32" t="str">
        <f>IF(AH$3*AH$4,(MAX(AH99:AH101)+MIN(AH97:AH99))/2/Summary!$B$3-1,"")</f>
        <v/>
      </c>
      <c r="AI109" s="32" t="str">
        <f>IF(AI$3*AI$4,(MAX(AI99:AI101)+MIN(AI97:AI99))/2/Summary!$B$3-1,"")</f>
        <v/>
      </c>
      <c r="AJ109" s="32" t="str">
        <f>IF(AJ$3*AJ$4,(MAX(AJ99:AJ101)+MIN(AJ97:AJ99))/2/Summary!$B$3-1,"")</f>
        <v/>
      </c>
      <c r="AK109" s="32" t="str">
        <f>IF(AK$3*AK$4,(MAX(AK99:AK101)+MIN(AK97:AK99))/2/Summary!$B$3-1,"")</f>
        <v/>
      </c>
      <c r="AL109" s="32" t="str">
        <f>IF(AL$3*AL$4,(MAX(AL99:AL101)+MIN(AL97:AL99))/2/Summary!$B$3-1,"")</f>
        <v/>
      </c>
      <c r="AM109" s="32" t="str">
        <f>IF(AM$3*AM$4,(MAX(AM99:AM101)+MIN(AM97:AM99))/2/Summary!$B$3-1,"")</f>
        <v/>
      </c>
      <c r="AN109" s="32" t="str">
        <f>IF(AN$3*AN$4,(MAX(AN99:AN101)+MIN(AN97:AN99))/2/Summary!$B$3-1,"")</f>
        <v/>
      </c>
      <c r="AO109" s="32" t="str">
        <f>IF(AO$3*AO$4,(MAX(AO99:AO101)+MIN(AO97:AO99))/2/Summary!$B$3-1,"")</f>
        <v/>
      </c>
    </row>
    <row r="110" spans="1:54" s="29" customFormat="1">
      <c r="A110" s="80"/>
      <c r="B110" s="30">
        <f>B102</f>
        <v>2</v>
      </c>
      <c r="C110" s="32" t="e">
        <f t="shared" ca="1" si="147"/>
        <v>#DIV/0!</v>
      </c>
      <c r="D110" s="32">
        <f t="shared" ca="1" si="132"/>
        <v>-0.18839243310213571</v>
      </c>
      <c r="E110" s="32">
        <f t="shared" ca="1" si="129"/>
        <v>-0.18839243310213571</v>
      </c>
      <c r="F110" s="32">
        <f t="shared" ca="1" si="133"/>
        <v>-0.18839243310213571</v>
      </c>
      <c r="G110" s="32" t="e">
        <f t="shared" ca="1" si="130"/>
        <v>#DIV/0!</v>
      </c>
      <c r="H110" s="74"/>
      <c r="I110" s="20" t="e">
        <f t="shared" ca="1" si="134"/>
        <v>#DIV/0!</v>
      </c>
      <c r="J110" s="32" t="str">
        <f>IF(J$3*J$4,(MAX(J102:J104)+MIN(J98:J100))/2/Summary!$B$3-1,"")</f>
        <v/>
      </c>
      <c r="K110" s="32" t="str">
        <f>IF(K$3*K$4,(MAX(K102:K104)+MIN(K98:K100))/2/Summary!$B$3-1,"")</f>
        <v/>
      </c>
      <c r="L110" s="32" t="str">
        <f>IF(L$3*L$4,(MAX(L102:L104)+MIN(L98:L100))/2/Summary!$B$3-1,"")</f>
        <v/>
      </c>
      <c r="M110" s="32" t="str">
        <f>IF(M$3*M$4,(MAX(M102:M104)+MIN(M98:M100))/2/Summary!$B$3-1,"")</f>
        <v/>
      </c>
      <c r="N110" s="32">
        <f ca="1">IF(N$3*N$4,(MAX(N102:N104)+MIN(N98:N100))/2/Summary!$B$3-1,"")</f>
        <v>-0.18839243310213571</v>
      </c>
      <c r="O110" s="32" t="str">
        <f>IF(O$3*O$4,(MAX(O102:O104)+MIN(O98:O100))/2/Summary!$B$3-1,"")</f>
        <v/>
      </c>
      <c r="P110" s="32" t="str">
        <f>IF(P$3*P$4,(MAX(P102:P104)+MIN(P98:P100))/2/Summary!$B$3-1,"")</f>
        <v/>
      </c>
      <c r="Q110" s="32" t="str">
        <f>IF(Q$3*Q$4,(MAX(Q102:Q104)+MIN(Q98:Q100))/2/Summary!$B$3-1,"")</f>
        <v/>
      </c>
      <c r="R110" s="32" t="str">
        <f>IF(R$3*R$4,(MAX(R102:R104)+MIN(R98:R100))/2/Summary!$B$3-1,"")</f>
        <v/>
      </c>
      <c r="S110" s="32" t="str">
        <f>IF(S$3*S$4,(MAX(S102:S104)+MIN(S98:S100))/2/Summary!$B$3-1,"")</f>
        <v/>
      </c>
      <c r="T110" s="32" t="str">
        <f>IF(T$3*T$4,(MAX(T102:T104)+MIN(T98:T100))/2/Summary!$B$3-1,"")</f>
        <v/>
      </c>
      <c r="U110" s="32" t="str">
        <f>IF(U$3*U$4,(MAX(U102:U104)+MIN(U98:U100))/2/Summary!$B$3-1,"")</f>
        <v/>
      </c>
      <c r="V110" s="32" t="str">
        <f>IF(V$3*V$4,(MAX(V102:V104)+MIN(V98:V100))/2/Summary!$B$3-1,"")</f>
        <v/>
      </c>
      <c r="W110" s="32" t="str">
        <f>IF(W$3*W$4,(MAX(W102:W104)+MIN(W98:W100))/2/Summary!$B$3-1,"")</f>
        <v/>
      </c>
      <c r="X110" s="32" t="str">
        <f>IF(X$3*X$4,(MAX(X102:X104)+MIN(X98:X100))/2/Summary!$B$3-1,"")</f>
        <v/>
      </c>
      <c r="Y110" s="32" t="str">
        <f>IF(Y$3*Y$4,(MAX(Y102:Y104)+MIN(Y98:Y100))/2/Summary!$B$3-1,"")</f>
        <v/>
      </c>
      <c r="Z110" s="32" t="str">
        <f>IF(Z$3*Z$4,(MAX(Z102:Z104)+MIN(Z98:Z100))/2/Summary!$B$3-1,"")</f>
        <v/>
      </c>
      <c r="AA110" s="32" t="str">
        <f>IF(AA$3*AA$4,(MAX(AA102:AA104)+MIN(AA98:AA100))/2/Summary!$B$3-1,"")</f>
        <v/>
      </c>
      <c r="AB110" s="32" t="str">
        <f>IF(AB$3*AB$4,(MAX(AB102:AB104)+MIN(AB98:AB100))/2/Summary!$B$3-1,"")</f>
        <v/>
      </c>
      <c r="AC110" s="32" t="str">
        <f>IF(AC$3*AC$4,(MAX(AC102:AC104)+MIN(AC98:AC100))/2/Summary!$B$3-1,"")</f>
        <v/>
      </c>
      <c r="AD110" s="32" t="str">
        <f>IF(AD$3*AD$4,(MAX(AD102:AD104)+MIN(AD98:AD100))/2/Summary!$B$3-1,"")</f>
        <v/>
      </c>
      <c r="AE110" s="32" t="str">
        <f>IF(AE$3*AE$4,(MAX(AE102:AE104)+MIN(AE98:AE100))/2/Summary!$B$3-1,"")</f>
        <v/>
      </c>
      <c r="AF110" s="32" t="str">
        <f>IF(AF$3*AF$4,(MAX(AF102:AF104)+MIN(AF98:AF100))/2/Summary!$B$3-1,"")</f>
        <v/>
      </c>
      <c r="AG110" s="32" t="str">
        <f>IF(AG$3*AG$4,(MAX(AG102:AG104)+MIN(AG98:AG100))/2/Summary!$B$3-1,"")</f>
        <v/>
      </c>
      <c r="AH110" s="32" t="str">
        <f>IF(AH$3*AH$4,(MAX(AH102:AH104)+MIN(AH98:AH100))/2/Summary!$B$3-1,"")</f>
        <v/>
      </c>
      <c r="AI110" s="32" t="str">
        <f>IF(AI$3*AI$4,(MAX(AI102:AI104)+MIN(AI98:AI100))/2/Summary!$B$3-1,"")</f>
        <v/>
      </c>
      <c r="AJ110" s="32" t="str">
        <f>IF(AJ$3*AJ$4,(MAX(AJ102:AJ104)+MIN(AJ98:AJ100))/2/Summary!$B$3-1,"")</f>
        <v/>
      </c>
      <c r="AK110" s="32" t="str">
        <f>IF(AK$3*AK$4,(MAX(AK102:AK104)+MIN(AK98:AK100))/2/Summary!$B$3-1,"")</f>
        <v/>
      </c>
      <c r="AL110" s="32" t="str">
        <f>IF(AL$3*AL$4,(MAX(AL102:AL104)+MIN(AL98:AL100))/2/Summary!$B$3-1,"")</f>
        <v/>
      </c>
      <c r="AM110" s="32" t="str">
        <f>IF(AM$3*AM$4,(MAX(AM102:AM104)+MIN(AM98:AM100))/2/Summary!$B$3-1,"")</f>
        <v/>
      </c>
      <c r="AN110" s="32" t="str">
        <f>IF(AN$3*AN$4,(MAX(AN102:AN104)+MIN(AN98:AN100))/2/Summary!$B$3-1,"")</f>
        <v/>
      </c>
      <c r="AO110" s="32" t="str">
        <f>IF(AO$3*AO$4,(MAX(AO102:AO104)+MIN(AO98:AO100))/2/Summary!$B$3-1,"")</f>
        <v/>
      </c>
    </row>
    <row r="111" spans="1:54" s="29" customFormat="1">
      <c r="A111" s="80"/>
      <c r="B111" s="30">
        <f>B105</f>
        <v>3</v>
      </c>
      <c r="C111" s="32" t="e">
        <f t="shared" ca="1" si="147"/>
        <v>#DIV/0!</v>
      </c>
      <c r="D111" s="32">
        <f t="shared" ca="1" si="132"/>
        <v>-0.20478206566282153</v>
      </c>
      <c r="E111" s="32">
        <f t="shared" ca="1" si="129"/>
        <v>-0.20478206566282153</v>
      </c>
      <c r="F111" s="32">
        <f t="shared" ca="1" si="133"/>
        <v>-0.20478206566282153</v>
      </c>
      <c r="G111" s="32" t="e">
        <f t="shared" ca="1" si="130"/>
        <v>#DIV/0!</v>
      </c>
      <c r="H111" s="74"/>
      <c r="I111" s="20" t="e">
        <f t="shared" ca="1" si="134"/>
        <v>#DIV/0!</v>
      </c>
      <c r="J111" s="32" t="str">
        <f>IF(J$3*J$4,(MAX(J105:J107)+MIN(J99:J101))/2/Summary!$B$3-1,"")</f>
        <v/>
      </c>
      <c r="K111" s="32" t="str">
        <f>IF(K$3*K$4,(MAX(K105:K107)+MIN(K99:K101))/2/Summary!$B$3-1,"")</f>
        <v/>
      </c>
      <c r="L111" s="32" t="str">
        <f>IF(L$3*L$4,(MAX(L105:L107)+MIN(L99:L101))/2/Summary!$B$3-1,"")</f>
        <v/>
      </c>
      <c r="M111" s="32" t="str">
        <f>IF(M$3*M$4,(MAX(M105:M107)+MIN(M99:M101))/2/Summary!$B$3-1,"")</f>
        <v/>
      </c>
      <c r="N111" s="32">
        <f ca="1">IF(N$3*N$4,(MAX(N105:N107)+MIN(N99:N101))/2/Summary!$B$3-1,"")</f>
        <v>-0.20478206566282153</v>
      </c>
      <c r="O111" s="32" t="str">
        <f>IF(O$3*O$4,(MAX(O105:O107)+MIN(O99:O101))/2/Summary!$B$3-1,"")</f>
        <v/>
      </c>
      <c r="P111" s="32" t="str">
        <f>IF(P$3*P$4,(MAX(P105:P107)+MIN(P99:P101))/2/Summary!$B$3-1,"")</f>
        <v/>
      </c>
      <c r="Q111" s="32" t="str">
        <f>IF(Q$3*Q$4,(MAX(Q105:Q107)+MIN(Q99:Q101))/2/Summary!$B$3-1,"")</f>
        <v/>
      </c>
      <c r="R111" s="32" t="str">
        <f>IF(R$3*R$4,(MAX(R105:R107)+MIN(R99:R101))/2/Summary!$B$3-1,"")</f>
        <v/>
      </c>
      <c r="S111" s="32" t="str">
        <f>IF(S$3*S$4,(MAX(S105:S107)+MIN(S99:S101))/2/Summary!$B$3-1,"")</f>
        <v/>
      </c>
      <c r="T111" s="32" t="str">
        <f>IF(T$3*T$4,(MAX(T105:T107)+MIN(T99:T101))/2/Summary!$B$3-1,"")</f>
        <v/>
      </c>
      <c r="U111" s="32" t="str">
        <f>IF(U$3*U$4,(MAX(U105:U107)+MIN(U99:U101))/2/Summary!$B$3-1,"")</f>
        <v/>
      </c>
      <c r="V111" s="32" t="str">
        <f>IF(V$3*V$4,(MAX(V105:V107)+MIN(V99:V101))/2/Summary!$B$3-1,"")</f>
        <v/>
      </c>
      <c r="W111" s="32" t="str">
        <f>IF(W$3*W$4,(MAX(W105:W107)+MIN(W99:W101))/2/Summary!$B$3-1,"")</f>
        <v/>
      </c>
      <c r="X111" s="32" t="str">
        <f>IF(X$3*X$4,(MAX(X105:X107)+MIN(X99:X101))/2/Summary!$B$3-1,"")</f>
        <v/>
      </c>
      <c r="Y111" s="32" t="str">
        <f>IF(Y$3*Y$4,(MAX(Y105:Y107)+MIN(Y99:Y101))/2/Summary!$B$3-1,"")</f>
        <v/>
      </c>
      <c r="Z111" s="32" t="str">
        <f>IF(Z$3*Z$4,(MAX(Z105:Z107)+MIN(Z99:Z101))/2/Summary!$B$3-1,"")</f>
        <v/>
      </c>
      <c r="AA111" s="32" t="str">
        <f>IF(AA$3*AA$4,(MAX(AA105:AA107)+MIN(AA99:AA101))/2/Summary!$B$3-1,"")</f>
        <v/>
      </c>
      <c r="AB111" s="32" t="str">
        <f>IF(AB$3*AB$4,(MAX(AB105:AB107)+MIN(AB99:AB101))/2/Summary!$B$3-1,"")</f>
        <v/>
      </c>
      <c r="AC111" s="32" t="str">
        <f>IF(AC$3*AC$4,(MAX(AC105:AC107)+MIN(AC99:AC101))/2/Summary!$B$3-1,"")</f>
        <v/>
      </c>
      <c r="AD111" s="32" t="str">
        <f>IF(AD$3*AD$4,(MAX(AD105:AD107)+MIN(AD99:AD101))/2/Summary!$B$3-1,"")</f>
        <v/>
      </c>
      <c r="AE111" s="32" t="str">
        <f>IF(AE$3*AE$4,(MAX(AE105:AE107)+MIN(AE99:AE101))/2/Summary!$B$3-1,"")</f>
        <v/>
      </c>
      <c r="AF111" s="32" t="str">
        <f>IF(AF$3*AF$4,(MAX(AF105:AF107)+MIN(AF99:AF101))/2/Summary!$B$3-1,"")</f>
        <v/>
      </c>
      <c r="AG111" s="32" t="str">
        <f>IF(AG$3*AG$4,(MAX(AG105:AG107)+MIN(AG99:AG101))/2/Summary!$B$3-1,"")</f>
        <v/>
      </c>
      <c r="AH111" s="32" t="str">
        <f>IF(AH$3*AH$4,(MAX(AH105:AH107)+MIN(AH99:AH101))/2/Summary!$B$3-1,"")</f>
        <v/>
      </c>
      <c r="AI111" s="32" t="str">
        <f>IF(AI$3*AI$4,(MAX(AI105:AI107)+MIN(AI99:AI101))/2/Summary!$B$3-1,"")</f>
        <v/>
      </c>
      <c r="AJ111" s="32" t="str">
        <f>IF(AJ$3*AJ$4,(MAX(AJ105:AJ107)+MIN(AJ99:AJ101))/2/Summary!$B$3-1,"")</f>
        <v/>
      </c>
      <c r="AK111" s="32" t="str">
        <f>IF(AK$3*AK$4,(MAX(AK105:AK107)+MIN(AK99:AK101))/2/Summary!$B$3-1,"")</f>
        <v/>
      </c>
      <c r="AL111" s="32" t="str">
        <f>IF(AL$3*AL$4,(MAX(AL105:AL107)+MIN(AL99:AL101))/2/Summary!$B$3-1,"")</f>
        <v/>
      </c>
      <c r="AM111" s="32" t="str">
        <f>IF(AM$3*AM$4,(MAX(AM105:AM107)+MIN(AM99:AM101))/2/Summary!$B$3-1,"")</f>
        <v/>
      </c>
      <c r="AN111" s="32" t="str">
        <f>IF(AN$3*AN$4,(MAX(AN105:AN107)+MIN(AN99:AN101))/2/Summary!$B$3-1,"")</f>
        <v/>
      </c>
      <c r="AO111" s="32" t="str">
        <f>IF(AO$3*AO$4,(MAX(AO105:AO107)+MIN(AO99:AO101))/2/Summary!$B$3-1,"")</f>
        <v/>
      </c>
    </row>
    <row r="112" spans="1:54" s="6" customFormat="1">
      <c r="A112" s="80" t="e">
        <f ca="1">"LS2LS=±"&amp;INT(H112*1000)/10&amp;"%"</f>
        <v>#DIV/0!</v>
      </c>
      <c r="B112" s="6">
        <f>B96</f>
        <v>0</v>
      </c>
      <c r="C112" s="21" t="e">
        <f ca="1">E112+1.5*G112</f>
        <v>#DIV/0!</v>
      </c>
      <c r="D112" s="21">
        <f t="shared" ca="1" si="132"/>
        <v>0.36162088134758785</v>
      </c>
      <c r="E112" s="21">
        <f t="shared" ref="E112:E115" ca="1" si="148">AVERAGE(J112:AO112)</f>
        <v>0.36162088134758785</v>
      </c>
      <c r="F112" s="21">
        <f t="shared" ca="1" si="133"/>
        <v>0.36162088134758785</v>
      </c>
      <c r="G112" s="21" t="e">
        <f t="shared" ref="G112:G115" ca="1" si="149">STDEV(J112:AO112)</f>
        <v>#DIV/0!</v>
      </c>
      <c r="H112" s="74" t="e">
        <f ca="1" xml:space="preserve">  MAX( ABS(MAX(C112:C115)), ABS(MIN(C112:C115)) )</f>
        <v>#DIV/0!</v>
      </c>
      <c r="I112" s="20" t="e">
        <f t="shared" ca="1" si="134"/>
        <v>#DIV/0!</v>
      </c>
      <c r="J112" s="21" t="str">
        <f>IF(J$3*J$4,(MAX(J96:J98)-MIN(J96:J98))/(MAX(J96:J98)+MIN(J96:J98)),"")</f>
        <v/>
      </c>
      <c r="K112" s="21" t="str">
        <f t="shared" ref="K112:AO112" si="150">IF(K$3*K$4,(MAX(K96:K98)-MIN(K96:K98))/(MAX(K96:K98)+MIN(K96:K98)),"")</f>
        <v/>
      </c>
      <c r="L112" s="21" t="str">
        <f t="shared" si="150"/>
        <v/>
      </c>
      <c r="M112" s="21" t="str">
        <f t="shared" si="150"/>
        <v/>
      </c>
      <c r="N112" s="21">
        <f t="shared" ca="1" si="150"/>
        <v>0.36162088134758785</v>
      </c>
      <c r="O112" s="21" t="str">
        <f t="shared" si="150"/>
        <v/>
      </c>
      <c r="P112" s="21" t="str">
        <f t="shared" si="150"/>
        <v/>
      </c>
      <c r="Q112" s="21" t="str">
        <f t="shared" si="150"/>
        <v/>
      </c>
      <c r="R112" s="21" t="str">
        <f t="shared" si="150"/>
        <v/>
      </c>
      <c r="S112" s="21" t="str">
        <f t="shared" si="150"/>
        <v/>
      </c>
      <c r="T112" s="21" t="str">
        <f t="shared" si="150"/>
        <v/>
      </c>
      <c r="U112" s="21" t="str">
        <f t="shared" si="150"/>
        <v/>
      </c>
      <c r="V112" s="21" t="str">
        <f t="shared" si="150"/>
        <v/>
      </c>
      <c r="W112" s="21" t="str">
        <f t="shared" si="150"/>
        <v/>
      </c>
      <c r="X112" s="21" t="str">
        <f t="shared" si="150"/>
        <v/>
      </c>
      <c r="Y112" s="21" t="str">
        <f t="shared" si="150"/>
        <v/>
      </c>
      <c r="Z112" s="21" t="str">
        <f t="shared" si="150"/>
        <v/>
      </c>
      <c r="AA112" s="21" t="str">
        <f t="shared" si="150"/>
        <v/>
      </c>
      <c r="AB112" s="21" t="str">
        <f t="shared" si="150"/>
        <v/>
      </c>
      <c r="AC112" s="21" t="str">
        <f t="shared" si="150"/>
        <v/>
      </c>
      <c r="AD112" s="21" t="str">
        <f t="shared" si="150"/>
        <v/>
      </c>
      <c r="AE112" s="21" t="str">
        <f t="shared" si="150"/>
        <v/>
      </c>
      <c r="AF112" s="21" t="str">
        <f t="shared" si="150"/>
        <v/>
      </c>
      <c r="AG112" s="21" t="str">
        <f t="shared" si="150"/>
        <v/>
      </c>
      <c r="AH112" s="21" t="str">
        <f t="shared" si="150"/>
        <v/>
      </c>
      <c r="AI112" s="21" t="str">
        <f t="shared" si="150"/>
        <v/>
      </c>
      <c r="AJ112" s="21" t="str">
        <f t="shared" si="150"/>
        <v/>
      </c>
      <c r="AK112" s="21" t="str">
        <f t="shared" si="150"/>
        <v/>
      </c>
      <c r="AL112" s="21" t="str">
        <f t="shared" si="150"/>
        <v/>
      </c>
      <c r="AM112" s="21" t="str">
        <f t="shared" si="150"/>
        <v/>
      </c>
      <c r="AN112" s="21" t="str">
        <f t="shared" si="150"/>
        <v/>
      </c>
      <c r="AO112" s="21" t="str">
        <f t="shared" si="150"/>
        <v/>
      </c>
    </row>
    <row r="113" spans="1:54" s="6" customFormat="1">
      <c r="A113" s="80"/>
      <c r="B113" s="6">
        <f>B99</f>
        <v>1</v>
      </c>
      <c r="C113" s="21" t="e">
        <f t="shared" ref="C113:C115" ca="1" si="151">E113+1.5*G113</f>
        <v>#DIV/0!</v>
      </c>
      <c r="D113" s="21">
        <f t="shared" ca="1" si="132"/>
        <v>0.36615379623559785</v>
      </c>
      <c r="E113" s="21">
        <f t="shared" ca="1" si="148"/>
        <v>0.36615379623559785</v>
      </c>
      <c r="F113" s="21">
        <f t="shared" ca="1" si="133"/>
        <v>0.36615379623559785</v>
      </c>
      <c r="G113" s="21" t="e">
        <f t="shared" ca="1" si="149"/>
        <v>#DIV/0!</v>
      </c>
      <c r="H113" s="74"/>
      <c r="I113" s="20" t="e">
        <f t="shared" ca="1" si="134"/>
        <v>#DIV/0!</v>
      </c>
      <c r="J113" s="21" t="str">
        <f>IF(J$3*J$4,(MAX(J99:J101)-MIN(J99:J101))/(MAX(J99:J101)+MIN(J99:J101)),"")</f>
        <v/>
      </c>
      <c r="K113" s="21" t="str">
        <f t="shared" ref="K113:AO113" si="152">IF(K$3*K$4,(MAX(K99:K101)-MIN(K99:K101))/(MAX(K99:K101)+MIN(K99:K101)),"")</f>
        <v/>
      </c>
      <c r="L113" s="21" t="str">
        <f t="shared" si="152"/>
        <v/>
      </c>
      <c r="M113" s="21" t="str">
        <f t="shared" si="152"/>
        <v/>
      </c>
      <c r="N113" s="21">
        <f t="shared" ca="1" si="152"/>
        <v>0.36615379623559785</v>
      </c>
      <c r="O113" s="21" t="str">
        <f t="shared" si="152"/>
        <v/>
      </c>
      <c r="P113" s="21" t="str">
        <f t="shared" si="152"/>
        <v/>
      </c>
      <c r="Q113" s="21" t="str">
        <f t="shared" si="152"/>
        <v/>
      </c>
      <c r="R113" s="21" t="str">
        <f t="shared" si="152"/>
        <v/>
      </c>
      <c r="S113" s="21" t="str">
        <f t="shared" si="152"/>
        <v/>
      </c>
      <c r="T113" s="21" t="str">
        <f t="shared" si="152"/>
        <v/>
      </c>
      <c r="U113" s="21" t="str">
        <f t="shared" si="152"/>
        <v/>
      </c>
      <c r="V113" s="21" t="str">
        <f t="shared" si="152"/>
        <v/>
      </c>
      <c r="W113" s="21" t="str">
        <f t="shared" si="152"/>
        <v/>
      </c>
      <c r="X113" s="21" t="str">
        <f t="shared" si="152"/>
        <v/>
      </c>
      <c r="Y113" s="21" t="str">
        <f t="shared" si="152"/>
        <v/>
      </c>
      <c r="Z113" s="21" t="str">
        <f t="shared" si="152"/>
        <v/>
      </c>
      <c r="AA113" s="21" t="str">
        <f t="shared" si="152"/>
        <v/>
      </c>
      <c r="AB113" s="21" t="str">
        <f t="shared" si="152"/>
        <v/>
      </c>
      <c r="AC113" s="21" t="str">
        <f t="shared" si="152"/>
        <v/>
      </c>
      <c r="AD113" s="21" t="str">
        <f t="shared" si="152"/>
        <v/>
      </c>
      <c r="AE113" s="21" t="str">
        <f t="shared" si="152"/>
        <v/>
      </c>
      <c r="AF113" s="21" t="str">
        <f t="shared" si="152"/>
        <v/>
      </c>
      <c r="AG113" s="21" t="str">
        <f t="shared" si="152"/>
        <v/>
      </c>
      <c r="AH113" s="21" t="str">
        <f t="shared" si="152"/>
        <v/>
      </c>
      <c r="AI113" s="21" t="str">
        <f t="shared" si="152"/>
        <v/>
      </c>
      <c r="AJ113" s="21" t="str">
        <f t="shared" si="152"/>
        <v/>
      </c>
      <c r="AK113" s="21" t="str">
        <f t="shared" si="152"/>
        <v/>
      </c>
      <c r="AL113" s="21" t="str">
        <f t="shared" si="152"/>
        <v/>
      </c>
      <c r="AM113" s="21" t="str">
        <f t="shared" si="152"/>
        <v/>
      </c>
      <c r="AN113" s="21" t="str">
        <f t="shared" si="152"/>
        <v/>
      </c>
      <c r="AO113" s="21" t="str">
        <f t="shared" si="152"/>
        <v/>
      </c>
    </row>
    <row r="114" spans="1:54" s="6" customFormat="1">
      <c r="A114" s="80"/>
      <c r="B114" s="6">
        <f>B102</f>
        <v>2</v>
      </c>
      <c r="C114" s="21" t="e">
        <f t="shared" ca="1" si="151"/>
        <v>#DIV/0!</v>
      </c>
      <c r="D114" s="21">
        <f t="shared" ca="1" si="132"/>
        <v>0.19719221080807911</v>
      </c>
      <c r="E114" s="21">
        <f t="shared" ca="1" si="148"/>
        <v>0.19719221080807911</v>
      </c>
      <c r="F114" s="21">
        <f t="shared" ca="1" si="133"/>
        <v>0.19719221080807911</v>
      </c>
      <c r="G114" s="21" t="e">
        <f t="shared" ca="1" si="149"/>
        <v>#DIV/0!</v>
      </c>
      <c r="H114" s="74"/>
      <c r="I114" s="20" t="e">
        <f t="shared" ca="1" si="134"/>
        <v>#DIV/0!</v>
      </c>
      <c r="J114" s="21" t="str">
        <f>IF(J$3*J$4,(MAX(J102:J104)-MIN(J102:J104))/(MAX(J102:J104)+MIN(J102:J104)),"")</f>
        <v/>
      </c>
      <c r="K114" s="21" t="str">
        <f t="shared" ref="K114:AO114" si="153">IF(K$3*K$4,(MAX(K102:K104)-MIN(K102:K104))/(MAX(K102:K104)+MIN(K102:K104)),"")</f>
        <v/>
      </c>
      <c r="L114" s="21" t="str">
        <f t="shared" si="153"/>
        <v/>
      </c>
      <c r="M114" s="21" t="str">
        <f t="shared" si="153"/>
        <v/>
      </c>
      <c r="N114" s="21">
        <f t="shared" ca="1" si="153"/>
        <v>0.19719221080807911</v>
      </c>
      <c r="O114" s="21" t="str">
        <f t="shared" si="153"/>
        <v/>
      </c>
      <c r="P114" s="21" t="str">
        <f t="shared" si="153"/>
        <v/>
      </c>
      <c r="Q114" s="21" t="str">
        <f t="shared" si="153"/>
        <v/>
      </c>
      <c r="R114" s="21" t="str">
        <f t="shared" si="153"/>
        <v/>
      </c>
      <c r="S114" s="21" t="str">
        <f t="shared" si="153"/>
        <v/>
      </c>
      <c r="T114" s="21" t="str">
        <f t="shared" si="153"/>
        <v/>
      </c>
      <c r="U114" s="21" t="str">
        <f t="shared" si="153"/>
        <v/>
      </c>
      <c r="V114" s="21" t="str">
        <f t="shared" si="153"/>
        <v/>
      </c>
      <c r="W114" s="21" t="str">
        <f t="shared" si="153"/>
        <v/>
      </c>
      <c r="X114" s="21" t="str">
        <f t="shared" si="153"/>
        <v/>
      </c>
      <c r="Y114" s="21" t="str">
        <f t="shared" si="153"/>
        <v/>
      </c>
      <c r="Z114" s="21" t="str">
        <f t="shared" si="153"/>
        <v/>
      </c>
      <c r="AA114" s="21" t="str">
        <f t="shared" si="153"/>
        <v/>
      </c>
      <c r="AB114" s="21" t="str">
        <f t="shared" si="153"/>
        <v/>
      </c>
      <c r="AC114" s="21" t="str">
        <f t="shared" si="153"/>
        <v/>
      </c>
      <c r="AD114" s="21" t="str">
        <f t="shared" si="153"/>
        <v/>
      </c>
      <c r="AE114" s="21" t="str">
        <f t="shared" si="153"/>
        <v/>
      </c>
      <c r="AF114" s="21" t="str">
        <f t="shared" si="153"/>
        <v/>
      </c>
      <c r="AG114" s="21" t="str">
        <f t="shared" si="153"/>
        <v/>
      </c>
      <c r="AH114" s="21" t="str">
        <f t="shared" si="153"/>
        <v/>
      </c>
      <c r="AI114" s="21" t="str">
        <f t="shared" si="153"/>
        <v/>
      </c>
      <c r="AJ114" s="21" t="str">
        <f t="shared" si="153"/>
        <v/>
      </c>
      <c r="AK114" s="21" t="str">
        <f t="shared" si="153"/>
        <v/>
      </c>
      <c r="AL114" s="21" t="str">
        <f t="shared" si="153"/>
        <v/>
      </c>
      <c r="AM114" s="21" t="str">
        <f t="shared" si="153"/>
        <v/>
      </c>
      <c r="AN114" s="21" t="str">
        <f t="shared" si="153"/>
        <v/>
      </c>
      <c r="AO114" s="21" t="str">
        <f t="shared" si="153"/>
        <v/>
      </c>
    </row>
    <row r="115" spans="1:54" s="6" customFormat="1">
      <c r="A115" s="80"/>
      <c r="B115" s="6">
        <f>B105</f>
        <v>3</v>
      </c>
      <c r="C115" s="21" t="e">
        <f t="shared" ca="1" si="151"/>
        <v>#DIV/0!</v>
      </c>
      <c r="D115" s="21">
        <f t="shared" ca="1" si="132"/>
        <v>0.19664220416342393</v>
      </c>
      <c r="E115" s="21">
        <f t="shared" ca="1" si="148"/>
        <v>0.19664220416342393</v>
      </c>
      <c r="F115" s="21">
        <f t="shared" ca="1" si="133"/>
        <v>0.19664220416342393</v>
      </c>
      <c r="G115" s="21" t="e">
        <f t="shared" ca="1" si="149"/>
        <v>#DIV/0!</v>
      </c>
      <c r="H115" s="74"/>
      <c r="I115" s="20" t="e">
        <f t="shared" ca="1" si="134"/>
        <v>#DIV/0!</v>
      </c>
      <c r="J115" s="21" t="str">
        <f>IF(J$3*J$4,(MAX(J105:J107)-MIN(J105:J107))/(MAX(J105:J107)+MIN(J105:J107)),"")</f>
        <v/>
      </c>
      <c r="K115" s="21" t="str">
        <f t="shared" ref="K115:AO115" si="154">IF(K$3*K$4,(MAX(K105:K107)-MIN(K105:K107))/(MAX(K105:K107)+MIN(K105:K107)),"")</f>
        <v/>
      </c>
      <c r="L115" s="21" t="str">
        <f t="shared" si="154"/>
        <v/>
      </c>
      <c r="M115" s="21" t="str">
        <f t="shared" si="154"/>
        <v/>
      </c>
      <c r="N115" s="21">
        <f t="shared" ca="1" si="154"/>
        <v>0.19664220416342393</v>
      </c>
      <c r="O115" s="21" t="str">
        <f t="shared" si="154"/>
        <v/>
      </c>
      <c r="P115" s="21" t="str">
        <f t="shared" si="154"/>
        <v/>
      </c>
      <c r="Q115" s="21" t="str">
        <f t="shared" si="154"/>
        <v/>
      </c>
      <c r="R115" s="21" t="str">
        <f t="shared" si="154"/>
        <v/>
      </c>
      <c r="S115" s="21" t="str">
        <f t="shared" si="154"/>
        <v/>
      </c>
      <c r="T115" s="21" t="str">
        <f t="shared" si="154"/>
        <v/>
      </c>
      <c r="U115" s="21" t="str">
        <f t="shared" si="154"/>
        <v/>
      </c>
      <c r="V115" s="21" t="str">
        <f t="shared" si="154"/>
        <v/>
      </c>
      <c r="W115" s="21" t="str">
        <f t="shared" si="154"/>
        <v/>
      </c>
      <c r="X115" s="21" t="str">
        <f t="shared" si="154"/>
        <v/>
      </c>
      <c r="Y115" s="21" t="str">
        <f t="shared" si="154"/>
        <v/>
      </c>
      <c r="Z115" s="21" t="str">
        <f t="shared" si="154"/>
        <v/>
      </c>
      <c r="AA115" s="21" t="str">
        <f t="shared" si="154"/>
        <v/>
      </c>
      <c r="AB115" s="21" t="str">
        <f t="shared" si="154"/>
        <v/>
      </c>
      <c r="AC115" s="21" t="str">
        <f t="shared" si="154"/>
        <v/>
      </c>
      <c r="AD115" s="21" t="str">
        <f t="shared" si="154"/>
        <v/>
      </c>
      <c r="AE115" s="21" t="str">
        <f t="shared" si="154"/>
        <v/>
      </c>
      <c r="AF115" s="21" t="str">
        <f t="shared" si="154"/>
        <v/>
      </c>
      <c r="AG115" s="21" t="str">
        <f t="shared" si="154"/>
        <v/>
      </c>
      <c r="AH115" s="21" t="str">
        <f t="shared" si="154"/>
        <v/>
      </c>
      <c r="AI115" s="21" t="str">
        <f t="shared" si="154"/>
        <v/>
      </c>
      <c r="AJ115" s="21" t="str">
        <f t="shared" si="154"/>
        <v/>
      </c>
      <c r="AK115" s="21" t="str">
        <f t="shared" si="154"/>
        <v/>
      </c>
      <c r="AL115" s="21" t="str">
        <f t="shared" si="154"/>
        <v/>
      </c>
      <c r="AM115" s="21" t="str">
        <f t="shared" si="154"/>
        <v/>
      </c>
      <c r="AN115" s="21" t="str">
        <f t="shared" si="154"/>
        <v/>
      </c>
      <c r="AO115" s="21" t="str">
        <f t="shared" si="154"/>
        <v/>
      </c>
    </row>
    <row r="116" spans="1:54" s="29" customFormat="1">
      <c r="A116" s="28"/>
      <c r="C116" s="32"/>
      <c r="D116" s="32"/>
      <c r="E116" s="32"/>
      <c r="F116" s="32"/>
      <c r="G116" s="32"/>
      <c r="H116" s="32"/>
      <c r="I116" s="20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</row>
    <row r="117" spans="1:54" s="6" customFormat="1">
      <c r="A117" s="72" t="s">
        <v>42</v>
      </c>
      <c r="B117" s="72"/>
      <c r="C117" s="72"/>
      <c r="F117" s="5"/>
      <c r="H117" s="29"/>
      <c r="AV117" s="6">
        <f>ROW(data0!D21)</f>
        <v>21</v>
      </c>
      <c r="AW117" s="6">
        <f>COLUMN(data0!D21)</f>
        <v>4</v>
      </c>
    </row>
    <row r="118" spans="1:54" ht="15.75" thickBot="1">
      <c r="B118" s="2">
        <f>ROW(AY119)</f>
        <v>119</v>
      </c>
      <c r="C118" s="2">
        <f>COLUMN(AY119)</f>
        <v>51</v>
      </c>
      <c r="F118" s="2"/>
      <c r="AQ118" s="2" t="s">
        <v>21</v>
      </c>
      <c r="AR118" s="75" t="s">
        <v>18</v>
      </c>
      <c r="AS118" s="75"/>
      <c r="AT118" s="2" t="s">
        <v>16</v>
      </c>
      <c r="AU118" s="2" t="s">
        <v>17</v>
      </c>
      <c r="AV118" s="2" t="s">
        <v>19</v>
      </c>
      <c r="AW118" s="2" t="s">
        <v>20</v>
      </c>
      <c r="AX118" s="2" t="s">
        <v>11</v>
      </c>
      <c r="AY118" s="2" t="s">
        <v>12</v>
      </c>
      <c r="AZ118" s="2" t="s">
        <v>13</v>
      </c>
      <c r="BA118" s="2" t="s">
        <v>36</v>
      </c>
      <c r="BB118" s="2" t="s">
        <v>37</v>
      </c>
    </row>
    <row r="119" spans="1:54" ht="15.75" thickBot="1">
      <c r="A119" s="8">
        <f>AU119</f>
        <v>0</v>
      </c>
      <c r="B119" s="9">
        <f t="array" aca="1" ref="B119:C119" ca="1">LINEST(AX119:AX214,AY119:AZ214,FALSE)</f>
        <v>-13.024043039775574</v>
      </c>
      <c r="C119" s="10">
        <f ca="1"/>
        <v>10.184219576421713</v>
      </c>
      <c r="F119" s="2"/>
      <c r="Y119" s="4"/>
      <c r="AQ119" s="2">
        <v>0</v>
      </c>
      <c r="AR119" s="2" t="str">
        <f>data0!A1</f>
        <v>A</v>
      </c>
      <c r="AS119" s="1">
        <v>0</v>
      </c>
      <c r="AT119" s="2">
        <v>0</v>
      </c>
      <c r="AU119" s="2">
        <v>0</v>
      </c>
      <c r="AV119" s="2" t="str">
        <f>"data"&amp;AS119&amp;"!R"&amp;($AV$117+2*AU119)&amp;"C"&amp;($AW$117+AT119)</f>
        <v>data0!R21C4</v>
      </c>
      <c r="AW119" s="2" t="str">
        <f>"data"&amp;AS119&amp;"!R"&amp;(1+$AV$117+2*AU119)&amp;"C"&amp;($AW$117+AT119)</f>
        <v>data0!R22C4</v>
      </c>
      <c r="AX119" s="2">
        <f>Summary!B3</f>
        <v>300</v>
      </c>
      <c r="AY119" s="19">
        <f ca="1">INDIRECT(AV119,FALSE)</f>
        <v>89.055690072639223</v>
      </c>
      <c r="AZ119" s="2">
        <f ca="1">AY119-INDIRECT(AW119,FALSE)</f>
        <v>48.377723970944309</v>
      </c>
      <c r="BA119" s="2">
        <f ca="1">AY119-AZ119</f>
        <v>40.677966101694913</v>
      </c>
      <c r="BB119" s="21">
        <f ca="1">AZ119/AY119</f>
        <v>0.54323001631321366</v>
      </c>
    </row>
    <row r="120" spans="1:54">
      <c r="A120" s="11">
        <f>AU215</f>
        <v>1</v>
      </c>
      <c r="B120" s="7">
        <f t="array" aca="1" ref="B120:C120" ca="1">LINEST(AX215:AX310,AY215:AZ310,FALSE)</f>
        <v>-13.318395470093513</v>
      </c>
      <c r="C120" s="12">
        <f ca="1"/>
        <v>10.474882024580481</v>
      </c>
      <c r="F120" s="2"/>
      <c r="Y120" s="4"/>
      <c r="AQ120" s="2">
        <f>AQ119+1</f>
        <v>1</v>
      </c>
      <c r="AR120" s="2" t="str">
        <f>data1!A1</f>
        <v>CWF</v>
      </c>
      <c r="AS120" s="1">
        <f>AS119+1</f>
        <v>1</v>
      </c>
      <c r="AT120" s="2">
        <f>AT119</f>
        <v>0</v>
      </c>
      <c r="AU120" s="2">
        <f>AU119</f>
        <v>0</v>
      </c>
      <c r="AV120" s="52" t="str">
        <f t="shared" ref="AV120:AV183" si="155">"data"&amp;AS120&amp;"!R"&amp;($AV$117+2*AU120)&amp;"C"&amp;($AW$117+AT120)</f>
        <v>data1!R21C4</v>
      </c>
      <c r="AW120" s="52" t="str">
        <f t="shared" ref="AW120:AW183" si="156">"data"&amp;AS120&amp;"!R"&amp;(1+$AV$117+2*AU120)&amp;"C"&amp;($AW$117+AT120)</f>
        <v>data1!R22C4</v>
      </c>
      <c r="AX120" s="2">
        <f>AX119</f>
        <v>300</v>
      </c>
      <c r="AY120" s="25">
        <f t="shared" ref="AY120:AY183" ca="1" si="157">INDIRECT(AV120,FALSE)</f>
        <v>26.276679841897231</v>
      </c>
      <c r="AZ120" s="6">
        <f t="shared" ref="AZ120:AZ183" ca="1" si="158">AY120-INDIRECT(AW120,FALSE)</f>
        <v>2.5849802371541486</v>
      </c>
      <c r="BA120" s="27">
        <f t="shared" ref="BA120:BA183" ca="1" si="159">AY120-AZ120</f>
        <v>23.691699604743082</v>
      </c>
      <c r="BB120" s="21">
        <f t="shared" ref="BB120:BB183" ca="1" si="160">AZ120/AY120</f>
        <v>9.8375451263537861E-2</v>
      </c>
    </row>
    <row r="121" spans="1:54">
      <c r="A121" s="11">
        <f>AU311</f>
        <v>2</v>
      </c>
      <c r="B121" s="7">
        <f t="array" aca="1" ref="B121:C121" ca="1">LINEST(AX311:AX406,AY311:AZ406,FALSE)</f>
        <v>-7.0799284918501897</v>
      </c>
      <c r="C121" s="12">
        <f ca="1"/>
        <v>9.0955497449988165</v>
      </c>
      <c r="F121" s="2"/>
      <c r="Y121" s="4"/>
      <c r="AQ121" s="2">
        <f t="shared" ref="AQ121:AQ137" si="161">AQ120+1</f>
        <v>2</v>
      </c>
      <c r="AR121" s="2" t="str">
        <f>data2!A1</f>
        <v>D65</v>
      </c>
      <c r="AS121" s="1">
        <f>AS120+1</f>
        <v>2</v>
      </c>
      <c r="AT121" s="2">
        <f>AT120</f>
        <v>0</v>
      </c>
      <c r="AU121" s="2">
        <f t="shared" ref="AU121:AU122" si="162">AU120</f>
        <v>0</v>
      </c>
      <c r="AV121" s="52" t="str">
        <f t="shared" si="155"/>
        <v>data2!R21C4</v>
      </c>
      <c r="AW121" s="52" t="str">
        <f t="shared" si="156"/>
        <v>data2!R22C4</v>
      </c>
      <c r="AX121" s="6">
        <f t="shared" ref="AX121:AX123" si="163">AX120</f>
        <v>300</v>
      </c>
      <c r="AY121" s="25">
        <f t="shared" ca="1" si="157"/>
        <v>62.604982206405694</v>
      </c>
      <c r="AZ121" s="6">
        <f t="shared" ca="1" si="158"/>
        <v>21.266903914590749</v>
      </c>
      <c r="BA121" s="27">
        <f t="shared" ca="1" si="159"/>
        <v>41.338078291814945</v>
      </c>
      <c r="BB121" s="21">
        <f t="shared" ca="1" si="160"/>
        <v>0.339699863574352</v>
      </c>
    </row>
    <row r="122" spans="1:54" ht="15.75" thickBot="1">
      <c r="A122" s="13">
        <f>AU407</f>
        <v>3</v>
      </c>
      <c r="B122" s="14">
        <f t="array" aca="1" ref="B122:C122" ca="1">LINEST(AX407:AX502,AY407:AZ502,FALSE)</f>
        <v>-7.287879352500787</v>
      </c>
      <c r="C122" s="15">
        <f ca="1"/>
        <v>9.3833764045360937</v>
      </c>
      <c r="F122" s="2"/>
      <c r="Y122" s="4"/>
      <c r="AQ122" s="2">
        <f t="shared" si="161"/>
        <v>3</v>
      </c>
      <c r="AR122" s="2" t="str">
        <f>AR119</f>
        <v>A</v>
      </c>
      <c r="AS122" s="1">
        <f>AS119</f>
        <v>0</v>
      </c>
      <c r="AT122" s="2">
        <f>AT119+1</f>
        <v>1</v>
      </c>
      <c r="AU122" s="2">
        <f t="shared" si="162"/>
        <v>0</v>
      </c>
      <c r="AV122" s="52" t="str">
        <f t="shared" si="155"/>
        <v>data0!R21C5</v>
      </c>
      <c r="AW122" s="52" t="str">
        <f t="shared" si="156"/>
        <v>data0!R22C5</v>
      </c>
      <c r="AX122" s="6">
        <f t="shared" si="163"/>
        <v>300</v>
      </c>
      <c r="AY122" s="25">
        <f t="shared" ca="1" si="157"/>
        <v>89.055690072639223</v>
      </c>
      <c r="AZ122" s="6">
        <f t="shared" ca="1" si="158"/>
        <v>48.377723970944309</v>
      </c>
      <c r="BA122" s="27">
        <f t="shared" ca="1" si="159"/>
        <v>40.677966101694913</v>
      </c>
      <c r="BB122" s="21">
        <f t="shared" ca="1" si="160"/>
        <v>0.54323001631321366</v>
      </c>
    </row>
    <row r="123" spans="1:54">
      <c r="A123" s="8">
        <f>AU119</f>
        <v>0</v>
      </c>
      <c r="B123" s="9">
        <f t="array" aca="1" ref="B123:C123" ca="1">LINEST(AX119:AX310,AY119:AZ310,FALSE)</f>
        <v>-13.155899902632958</v>
      </c>
      <c r="C123" s="10">
        <f ca="1"/>
        <v>10.320483483355199</v>
      </c>
      <c r="F123" s="2"/>
      <c r="Y123" s="4"/>
      <c r="AQ123" s="2">
        <f t="shared" si="161"/>
        <v>4</v>
      </c>
      <c r="AR123" s="2" t="str">
        <f t="shared" ref="AR123:AS123" si="164">AR120</f>
        <v>CWF</v>
      </c>
      <c r="AS123" s="1">
        <f t="shared" si="164"/>
        <v>1</v>
      </c>
      <c r="AT123" s="2">
        <f t="shared" ref="AT123:AT186" si="165">AT120+1</f>
        <v>1</v>
      </c>
      <c r="AU123" s="2">
        <f t="shared" ref="AU123:AU137" si="166">AU122</f>
        <v>0</v>
      </c>
      <c r="AV123" s="52" t="str">
        <f t="shared" si="155"/>
        <v>data1!R21C5</v>
      </c>
      <c r="AW123" s="52" t="str">
        <f t="shared" si="156"/>
        <v>data1!R22C5</v>
      </c>
      <c r="AX123" s="6">
        <f t="shared" si="163"/>
        <v>300</v>
      </c>
      <c r="AY123" s="25">
        <f t="shared" ca="1" si="157"/>
        <v>26.276679841897231</v>
      </c>
      <c r="AZ123" s="6">
        <f t="shared" ca="1" si="158"/>
        <v>2.5849802371541486</v>
      </c>
      <c r="BA123" s="27">
        <f t="shared" ca="1" si="159"/>
        <v>23.691699604743082</v>
      </c>
      <c r="BB123" s="21">
        <f t="shared" ca="1" si="160"/>
        <v>9.8375451263537861E-2</v>
      </c>
    </row>
    <row r="124" spans="1:54" ht="15.75" thickBot="1">
      <c r="A124" s="13">
        <f>AU311</f>
        <v>2</v>
      </c>
      <c r="B124" s="14">
        <f t="array" aca="1" ref="B124:C124" ca="1">LINEST(AX311:AX502,AY311:AZ502,FALSE)</f>
        <v>-7.1806285260558393</v>
      </c>
      <c r="C124" s="15">
        <f ca="1"/>
        <v>9.2347856951568001</v>
      </c>
      <c r="F124" s="2"/>
      <c r="Y124" s="4"/>
      <c r="AQ124" s="2">
        <f t="shared" si="161"/>
        <v>5</v>
      </c>
      <c r="AR124" s="2" t="str">
        <f t="shared" ref="AR124:AS124" si="167">AR121</f>
        <v>D65</v>
      </c>
      <c r="AS124" s="1">
        <f t="shared" si="167"/>
        <v>2</v>
      </c>
      <c r="AT124" s="2">
        <f t="shared" si="165"/>
        <v>1</v>
      </c>
      <c r="AU124" s="2">
        <f t="shared" si="166"/>
        <v>0</v>
      </c>
      <c r="AV124" s="52" t="str">
        <f t="shared" si="155"/>
        <v>data2!R21C5</v>
      </c>
      <c r="AW124" s="52" t="str">
        <f t="shared" si="156"/>
        <v>data2!R22C5</v>
      </c>
      <c r="AX124" s="2">
        <f t="shared" ref="AX124:AX137" si="168">AX121</f>
        <v>300</v>
      </c>
      <c r="AY124" s="25">
        <f t="shared" ca="1" si="157"/>
        <v>62.604982206405694</v>
      </c>
      <c r="AZ124" s="6">
        <f t="shared" ca="1" si="158"/>
        <v>21.266903914590749</v>
      </c>
      <c r="BA124" s="27">
        <f t="shared" ca="1" si="159"/>
        <v>41.338078291814945</v>
      </c>
      <c r="BB124" s="21">
        <f t="shared" ca="1" si="160"/>
        <v>0.339699863574352</v>
      </c>
    </row>
    <row r="125" spans="1:54" ht="15.75" thickBot="1">
      <c r="A125" s="16">
        <f>AU119</f>
        <v>0</v>
      </c>
      <c r="B125" s="17">
        <f t="array" aca="1" ref="B125:C125" ca="1">LINEST(AX119:AX502,AY119:AZ502,FALSE)</f>
        <v>-5.9462466372020648</v>
      </c>
      <c r="C125" s="18">
        <f ca="1"/>
        <v>7.7214925490331723</v>
      </c>
      <c r="F125" s="2"/>
      <c r="AQ125" s="2">
        <f t="shared" si="161"/>
        <v>6</v>
      </c>
      <c r="AR125" s="2" t="str">
        <f t="shared" ref="AR125:AS125" si="169">AR122</f>
        <v>A</v>
      </c>
      <c r="AS125" s="1">
        <f t="shared" si="169"/>
        <v>0</v>
      </c>
      <c r="AT125" s="2">
        <f t="shared" si="165"/>
        <v>2</v>
      </c>
      <c r="AU125" s="2">
        <f t="shared" si="166"/>
        <v>0</v>
      </c>
      <c r="AV125" s="52" t="str">
        <f t="shared" si="155"/>
        <v>data0!R21C6</v>
      </c>
      <c r="AW125" s="52" t="str">
        <f t="shared" si="156"/>
        <v>data0!R22C6</v>
      </c>
      <c r="AX125" s="2">
        <f t="shared" si="168"/>
        <v>300</v>
      </c>
      <c r="AY125" s="25">
        <f t="shared" ca="1" si="157"/>
        <v>89.055690072639223</v>
      </c>
      <c r="AZ125" s="6">
        <f t="shared" ca="1" si="158"/>
        <v>48.377723970944309</v>
      </c>
      <c r="BA125" s="27">
        <f t="shared" ca="1" si="159"/>
        <v>40.677966101694913</v>
      </c>
      <c r="BB125" s="21">
        <f t="shared" ca="1" si="160"/>
        <v>0.54323001631321366</v>
      </c>
    </row>
    <row r="126" spans="1:54">
      <c r="F126" s="2"/>
      <c r="AQ126" s="2">
        <f t="shared" si="161"/>
        <v>7</v>
      </c>
      <c r="AR126" s="2" t="str">
        <f t="shared" ref="AR126:AS126" si="170">AR123</f>
        <v>CWF</v>
      </c>
      <c r="AS126" s="1">
        <f t="shared" si="170"/>
        <v>1</v>
      </c>
      <c r="AT126" s="2">
        <f t="shared" si="165"/>
        <v>2</v>
      </c>
      <c r="AU126" s="2">
        <f t="shared" si="166"/>
        <v>0</v>
      </c>
      <c r="AV126" s="52" t="str">
        <f t="shared" si="155"/>
        <v>data1!R21C6</v>
      </c>
      <c r="AW126" s="52" t="str">
        <f t="shared" si="156"/>
        <v>data1!R22C6</v>
      </c>
      <c r="AX126" s="2">
        <f t="shared" si="168"/>
        <v>300</v>
      </c>
      <c r="AY126" s="25">
        <f t="shared" ca="1" si="157"/>
        <v>26.276679841897231</v>
      </c>
      <c r="AZ126" s="6">
        <f t="shared" ca="1" si="158"/>
        <v>2.5849802371541486</v>
      </c>
      <c r="BA126" s="27">
        <f t="shared" ca="1" si="159"/>
        <v>23.691699604743082</v>
      </c>
      <c r="BB126" s="21">
        <f t="shared" ca="1" si="160"/>
        <v>9.8375451263537861E-2</v>
      </c>
    </row>
    <row r="127" spans="1:54">
      <c r="F127" s="2"/>
      <c r="AQ127" s="2">
        <f t="shared" si="161"/>
        <v>8</v>
      </c>
      <c r="AR127" s="2" t="str">
        <f t="shared" ref="AR127:AS127" si="171">AR124</f>
        <v>D65</v>
      </c>
      <c r="AS127" s="1">
        <f t="shared" si="171"/>
        <v>2</v>
      </c>
      <c r="AT127" s="2">
        <f t="shared" si="165"/>
        <v>2</v>
      </c>
      <c r="AU127" s="2">
        <f t="shared" si="166"/>
        <v>0</v>
      </c>
      <c r="AV127" s="52" t="str">
        <f t="shared" si="155"/>
        <v>data2!R21C6</v>
      </c>
      <c r="AW127" s="52" t="str">
        <f t="shared" si="156"/>
        <v>data2!R22C6</v>
      </c>
      <c r="AX127" s="2">
        <f t="shared" si="168"/>
        <v>300</v>
      </c>
      <c r="AY127" s="25">
        <f t="shared" ca="1" si="157"/>
        <v>62.604982206405694</v>
      </c>
      <c r="AZ127" s="6">
        <f t="shared" ca="1" si="158"/>
        <v>21.266903914590749</v>
      </c>
      <c r="BA127" s="27">
        <f t="shared" ca="1" si="159"/>
        <v>41.338078291814945</v>
      </c>
      <c r="BB127" s="21">
        <f t="shared" ca="1" si="160"/>
        <v>0.339699863574352</v>
      </c>
    </row>
    <row r="128" spans="1:54">
      <c r="F128" s="2"/>
      <c r="AQ128" s="2">
        <f t="shared" si="161"/>
        <v>9</v>
      </c>
      <c r="AR128" s="2" t="str">
        <f t="shared" ref="AR128:AS128" si="172">AR125</f>
        <v>A</v>
      </c>
      <c r="AS128" s="1">
        <f t="shared" si="172"/>
        <v>0</v>
      </c>
      <c r="AT128" s="2">
        <f t="shared" si="165"/>
        <v>3</v>
      </c>
      <c r="AU128" s="2">
        <f t="shared" si="166"/>
        <v>0</v>
      </c>
      <c r="AV128" s="52" t="str">
        <f t="shared" si="155"/>
        <v>data0!R21C7</v>
      </c>
      <c r="AW128" s="52" t="str">
        <f t="shared" si="156"/>
        <v>data0!R22C7</v>
      </c>
      <c r="AX128" s="2">
        <f t="shared" si="168"/>
        <v>300</v>
      </c>
      <c r="AY128" s="25">
        <f t="shared" ca="1" si="157"/>
        <v>89.055690072639223</v>
      </c>
      <c r="AZ128" s="6">
        <f t="shared" ca="1" si="158"/>
        <v>48.377723970944309</v>
      </c>
      <c r="BA128" s="27">
        <f t="shared" ca="1" si="159"/>
        <v>40.677966101694913</v>
      </c>
      <c r="BB128" s="21">
        <f t="shared" ca="1" si="160"/>
        <v>0.54323001631321366</v>
      </c>
    </row>
    <row r="129" spans="6:54">
      <c r="F129" s="2"/>
      <c r="AQ129" s="2">
        <f t="shared" si="161"/>
        <v>10</v>
      </c>
      <c r="AR129" s="2" t="str">
        <f t="shared" ref="AR129:AS129" si="173">AR126</f>
        <v>CWF</v>
      </c>
      <c r="AS129" s="1">
        <f t="shared" si="173"/>
        <v>1</v>
      </c>
      <c r="AT129" s="2">
        <f t="shared" si="165"/>
        <v>3</v>
      </c>
      <c r="AU129" s="2">
        <f t="shared" si="166"/>
        <v>0</v>
      </c>
      <c r="AV129" s="52" t="str">
        <f t="shared" si="155"/>
        <v>data1!R21C7</v>
      </c>
      <c r="AW129" s="52" t="str">
        <f t="shared" si="156"/>
        <v>data1!R22C7</v>
      </c>
      <c r="AX129" s="2">
        <f t="shared" si="168"/>
        <v>300</v>
      </c>
      <c r="AY129" s="25">
        <f t="shared" ca="1" si="157"/>
        <v>26.276679841897231</v>
      </c>
      <c r="AZ129" s="6">
        <f t="shared" ca="1" si="158"/>
        <v>2.5849802371541486</v>
      </c>
      <c r="BA129" s="27">
        <f t="shared" ca="1" si="159"/>
        <v>23.691699604743082</v>
      </c>
      <c r="BB129" s="21">
        <f t="shared" ca="1" si="160"/>
        <v>9.8375451263537861E-2</v>
      </c>
    </row>
    <row r="130" spans="6:54">
      <c r="F130" s="2"/>
      <c r="AQ130" s="2">
        <f t="shared" si="161"/>
        <v>11</v>
      </c>
      <c r="AR130" s="2" t="str">
        <f t="shared" ref="AR130:AS130" si="174">AR127</f>
        <v>D65</v>
      </c>
      <c r="AS130" s="1">
        <f t="shared" si="174"/>
        <v>2</v>
      </c>
      <c r="AT130" s="2">
        <f t="shared" si="165"/>
        <v>3</v>
      </c>
      <c r="AU130" s="2">
        <f t="shared" si="166"/>
        <v>0</v>
      </c>
      <c r="AV130" s="52" t="str">
        <f t="shared" si="155"/>
        <v>data2!R21C7</v>
      </c>
      <c r="AW130" s="52" t="str">
        <f t="shared" si="156"/>
        <v>data2!R22C7</v>
      </c>
      <c r="AX130" s="2">
        <f t="shared" si="168"/>
        <v>300</v>
      </c>
      <c r="AY130" s="25">
        <f t="shared" ca="1" si="157"/>
        <v>62.604982206405694</v>
      </c>
      <c r="AZ130" s="6">
        <f t="shared" ca="1" si="158"/>
        <v>21.266903914590749</v>
      </c>
      <c r="BA130" s="27">
        <f t="shared" ca="1" si="159"/>
        <v>41.338078291814945</v>
      </c>
      <c r="BB130" s="21">
        <f t="shared" ca="1" si="160"/>
        <v>0.339699863574352</v>
      </c>
    </row>
    <row r="131" spans="6:54">
      <c r="F131" s="2"/>
      <c r="AQ131" s="2">
        <f t="shared" si="161"/>
        <v>12</v>
      </c>
      <c r="AR131" s="2" t="str">
        <f t="shared" ref="AR131:AS131" si="175">AR128</f>
        <v>A</v>
      </c>
      <c r="AS131" s="1">
        <f t="shared" si="175"/>
        <v>0</v>
      </c>
      <c r="AT131" s="2">
        <f t="shared" si="165"/>
        <v>4</v>
      </c>
      <c r="AU131" s="2">
        <f t="shared" si="166"/>
        <v>0</v>
      </c>
      <c r="AV131" s="52" t="str">
        <f t="shared" si="155"/>
        <v>data0!R21C8</v>
      </c>
      <c r="AW131" s="52" t="str">
        <f t="shared" si="156"/>
        <v>data0!R22C8</v>
      </c>
      <c r="AX131" s="2">
        <f t="shared" si="168"/>
        <v>300</v>
      </c>
      <c r="AY131" s="25">
        <f t="shared" ca="1" si="157"/>
        <v>89.055690072639223</v>
      </c>
      <c r="AZ131" s="6">
        <f t="shared" ca="1" si="158"/>
        <v>48.377723970944309</v>
      </c>
      <c r="BA131" s="27">
        <f t="shared" ca="1" si="159"/>
        <v>40.677966101694913</v>
      </c>
      <c r="BB131" s="21">
        <f t="shared" ca="1" si="160"/>
        <v>0.54323001631321366</v>
      </c>
    </row>
    <row r="132" spans="6:54">
      <c r="F132" s="2"/>
      <c r="AQ132" s="2">
        <f t="shared" si="161"/>
        <v>13</v>
      </c>
      <c r="AR132" s="2" t="str">
        <f t="shared" ref="AR132:AS132" si="176">AR129</f>
        <v>CWF</v>
      </c>
      <c r="AS132" s="1">
        <f t="shared" si="176"/>
        <v>1</v>
      </c>
      <c r="AT132" s="2">
        <f t="shared" si="165"/>
        <v>4</v>
      </c>
      <c r="AU132" s="2">
        <f t="shared" si="166"/>
        <v>0</v>
      </c>
      <c r="AV132" s="52" t="str">
        <f t="shared" si="155"/>
        <v>data1!R21C8</v>
      </c>
      <c r="AW132" s="52" t="str">
        <f t="shared" si="156"/>
        <v>data1!R22C8</v>
      </c>
      <c r="AX132" s="2">
        <f t="shared" si="168"/>
        <v>300</v>
      </c>
      <c r="AY132" s="25">
        <f t="shared" ca="1" si="157"/>
        <v>26.276679841897231</v>
      </c>
      <c r="AZ132" s="6">
        <f t="shared" ca="1" si="158"/>
        <v>2.5849802371541486</v>
      </c>
      <c r="BA132" s="27">
        <f t="shared" ca="1" si="159"/>
        <v>23.691699604743082</v>
      </c>
      <c r="BB132" s="21">
        <f t="shared" ca="1" si="160"/>
        <v>9.8375451263537861E-2</v>
      </c>
    </row>
    <row r="133" spans="6:54">
      <c r="F133" s="2"/>
      <c r="AQ133" s="2">
        <f t="shared" si="161"/>
        <v>14</v>
      </c>
      <c r="AR133" s="2" t="str">
        <f t="shared" ref="AR133:AS133" si="177">AR130</f>
        <v>D65</v>
      </c>
      <c r="AS133" s="1">
        <f t="shared" si="177"/>
        <v>2</v>
      </c>
      <c r="AT133" s="2">
        <f t="shared" si="165"/>
        <v>4</v>
      </c>
      <c r="AU133" s="2">
        <f t="shared" si="166"/>
        <v>0</v>
      </c>
      <c r="AV133" s="52" t="str">
        <f t="shared" si="155"/>
        <v>data2!R21C8</v>
      </c>
      <c r="AW133" s="52" t="str">
        <f t="shared" si="156"/>
        <v>data2!R22C8</v>
      </c>
      <c r="AX133" s="2">
        <f t="shared" si="168"/>
        <v>300</v>
      </c>
      <c r="AY133" s="25">
        <f t="shared" ca="1" si="157"/>
        <v>62.604982206405694</v>
      </c>
      <c r="AZ133" s="6">
        <f t="shared" ca="1" si="158"/>
        <v>21.266903914590749</v>
      </c>
      <c r="BA133" s="27">
        <f t="shared" ca="1" si="159"/>
        <v>41.338078291814945</v>
      </c>
      <c r="BB133" s="21">
        <f t="shared" ca="1" si="160"/>
        <v>0.339699863574352</v>
      </c>
    </row>
    <row r="134" spans="6:54">
      <c r="F134" s="2"/>
      <c r="AQ134" s="2">
        <f t="shared" si="161"/>
        <v>15</v>
      </c>
      <c r="AR134" s="2" t="str">
        <f t="shared" ref="AR134:AS134" si="178">AR131</f>
        <v>A</v>
      </c>
      <c r="AS134" s="1">
        <f t="shared" si="178"/>
        <v>0</v>
      </c>
      <c r="AT134" s="2">
        <f t="shared" si="165"/>
        <v>5</v>
      </c>
      <c r="AU134" s="2">
        <f t="shared" si="166"/>
        <v>0</v>
      </c>
      <c r="AV134" s="52" t="str">
        <f t="shared" si="155"/>
        <v>data0!R21C9</v>
      </c>
      <c r="AW134" s="52" t="str">
        <f t="shared" si="156"/>
        <v>data0!R22C9</v>
      </c>
      <c r="AX134" s="2">
        <f t="shared" si="168"/>
        <v>300</v>
      </c>
      <c r="AY134" s="25">
        <f t="shared" ca="1" si="157"/>
        <v>89.055690072639223</v>
      </c>
      <c r="AZ134" s="6">
        <f t="shared" ca="1" si="158"/>
        <v>48.377723970944309</v>
      </c>
      <c r="BA134" s="27">
        <f t="shared" ca="1" si="159"/>
        <v>40.677966101694913</v>
      </c>
      <c r="BB134" s="21">
        <f t="shared" ca="1" si="160"/>
        <v>0.54323001631321366</v>
      </c>
    </row>
    <row r="135" spans="6:54">
      <c r="F135" s="2"/>
      <c r="AQ135" s="2">
        <f t="shared" si="161"/>
        <v>16</v>
      </c>
      <c r="AR135" s="2" t="str">
        <f t="shared" ref="AR135:AS135" si="179">AR132</f>
        <v>CWF</v>
      </c>
      <c r="AS135" s="1">
        <f t="shared" si="179"/>
        <v>1</v>
      </c>
      <c r="AT135" s="2">
        <f t="shared" si="165"/>
        <v>5</v>
      </c>
      <c r="AU135" s="2">
        <f t="shared" si="166"/>
        <v>0</v>
      </c>
      <c r="AV135" s="52" t="str">
        <f t="shared" si="155"/>
        <v>data1!R21C9</v>
      </c>
      <c r="AW135" s="52" t="str">
        <f t="shared" si="156"/>
        <v>data1!R22C9</v>
      </c>
      <c r="AX135" s="2">
        <f t="shared" si="168"/>
        <v>300</v>
      </c>
      <c r="AY135" s="25">
        <f t="shared" ca="1" si="157"/>
        <v>26.276679841897231</v>
      </c>
      <c r="AZ135" s="6">
        <f t="shared" ca="1" si="158"/>
        <v>2.5849802371541486</v>
      </c>
      <c r="BA135" s="27">
        <f t="shared" ca="1" si="159"/>
        <v>23.691699604743082</v>
      </c>
      <c r="BB135" s="21">
        <f t="shared" ca="1" si="160"/>
        <v>9.8375451263537861E-2</v>
      </c>
    </row>
    <row r="136" spans="6:54">
      <c r="F136" s="2"/>
      <c r="AQ136" s="2">
        <f t="shared" si="161"/>
        <v>17</v>
      </c>
      <c r="AR136" s="2" t="str">
        <f t="shared" ref="AR136:AS136" si="180">AR133</f>
        <v>D65</v>
      </c>
      <c r="AS136" s="1">
        <f t="shared" si="180"/>
        <v>2</v>
      </c>
      <c r="AT136" s="2">
        <f t="shared" si="165"/>
        <v>5</v>
      </c>
      <c r="AU136" s="2">
        <f t="shared" si="166"/>
        <v>0</v>
      </c>
      <c r="AV136" s="52" t="str">
        <f t="shared" si="155"/>
        <v>data2!R21C9</v>
      </c>
      <c r="AW136" s="52" t="str">
        <f t="shared" si="156"/>
        <v>data2!R22C9</v>
      </c>
      <c r="AX136" s="2">
        <f t="shared" si="168"/>
        <v>300</v>
      </c>
      <c r="AY136" s="25">
        <f t="shared" ca="1" si="157"/>
        <v>62.604982206405694</v>
      </c>
      <c r="AZ136" s="6">
        <f t="shared" ca="1" si="158"/>
        <v>21.266903914590749</v>
      </c>
      <c r="BA136" s="27">
        <f t="shared" ca="1" si="159"/>
        <v>41.338078291814945</v>
      </c>
      <c r="BB136" s="21">
        <f t="shared" ca="1" si="160"/>
        <v>0.339699863574352</v>
      </c>
    </row>
    <row r="137" spans="6:54">
      <c r="F137" s="2"/>
      <c r="AQ137" s="2">
        <f t="shared" si="161"/>
        <v>18</v>
      </c>
      <c r="AR137" s="2" t="str">
        <f t="shared" ref="AR137:AS137" si="181">AR134</f>
        <v>A</v>
      </c>
      <c r="AS137" s="1">
        <f t="shared" si="181"/>
        <v>0</v>
      </c>
      <c r="AT137" s="2">
        <f t="shared" si="165"/>
        <v>6</v>
      </c>
      <c r="AU137" s="2">
        <f t="shared" si="166"/>
        <v>0</v>
      </c>
      <c r="AV137" s="52" t="str">
        <f t="shared" si="155"/>
        <v>data0!R21C10</v>
      </c>
      <c r="AW137" s="52" t="str">
        <f t="shared" si="156"/>
        <v>data0!R22C10</v>
      </c>
      <c r="AX137" s="2">
        <f t="shared" si="168"/>
        <v>300</v>
      </c>
      <c r="AY137" s="25">
        <f t="shared" ca="1" si="157"/>
        <v>89.055690072639223</v>
      </c>
      <c r="AZ137" s="6">
        <f t="shared" ca="1" si="158"/>
        <v>48.377723970944309</v>
      </c>
      <c r="BA137" s="27">
        <f t="shared" ca="1" si="159"/>
        <v>40.677966101694913</v>
      </c>
      <c r="BB137" s="21">
        <f t="shared" ca="1" si="160"/>
        <v>0.54323001631321366</v>
      </c>
    </row>
    <row r="138" spans="6:54">
      <c r="F138" s="2"/>
      <c r="AQ138" s="2">
        <f t="shared" ref="AQ138:AQ201" si="182">AQ137+1</f>
        <v>19</v>
      </c>
      <c r="AR138" s="2" t="str">
        <f t="shared" ref="AR138:AS138" si="183">AR135</f>
        <v>CWF</v>
      </c>
      <c r="AS138" s="1">
        <f t="shared" si="183"/>
        <v>1</v>
      </c>
      <c r="AT138" s="2">
        <f t="shared" si="165"/>
        <v>6</v>
      </c>
      <c r="AU138" s="2">
        <f t="shared" ref="AU138:AU201" si="184">AU137</f>
        <v>0</v>
      </c>
      <c r="AV138" s="52" t="str">
        <f t="shared" si="155"/>
        <v>data1!R21C10</v>
      </c>
      <c r="AW138" s="52" t="str">
        <f t="shared" si="156"/>
        <v>data1!R22C10</v>
      </c>
      <c r="AX138" s="2">
        <f t="shared" ref="AX138:AX201" si="185">AX135</f>
        <v>300</v>
      </c>
      <c r="AY138" s="25">
        <f t="shared" ca="1" si="157"/>
        <v>26.276679841897231</v>
      </c>
      <c r="AZ138" s="6">
        <f t="shared" ca="1" si="158"/>
        <v>2.5849802371541486</v>
      </c>
      <c r="BA138" s="27">
        <f t="shared" ca="1" si="159"/>
        <v>23.691699604743082</v>
      </c>
      <c r="BB138" s="21">
        <f t="shared" ca="1" si="160"/>
        <v>9.8375451263537861E-2</v>
      </c>
    </row>
    <row r="139" spans="6:54">
      <c r="F139" s="2"/>
      <c r="AQ139" s="2">
        <f t="shared" si="182"/>
        <v>20</v>
      </c>
      <c r="AR139" s="2" t="str">
        <f t="shared" ref="AR139:AS139" si="186">AR136</f>
        <v>D65</v>
      </c>
      <c r="AS139" s="1">
        <f t="shared" si="186"/>
        <v>2</v>
      </c>
      <c r="AT139" s="2">
        <f t="shared" si="165"/>
        <v>6</v>
      </c>
      <c r="AU139" s="2">
        <f t="shared" si="184"/>
        <v>0</v>
      </c>
      <c r="AV139" s="52" t="str">
        <f t="shared" si="155"/>
        <v>data2!R21C10</v>
      </c>
      <c r="AW139" s="52" t="str">
        <f t="shared" si="156"/>
        <v>data2!R22C10</v>
      </c>
      <c r="AX139" s="2">
        <f t="shared" si="185"/>
        <v>300</v>
      </c>
      <c r="AY139" s="25">
        <f t="shared" ca="1" si="157"/>
        <v>62.604982206405694</v>
      </c>
      <c r="AZ139" s="6">
        <f t="shared" ca="1" si="158"/>
        <v>21.266903914590749</v>
      </c>
      <c r="BA139" s="27">
        <f t="shared" ca="1" si="159"/>
        <v>41.338078291814945</v>
      </c>
      <c r="BB139" s="21">
        <f t="shared" ca="1" si="160"/>
        <v>0.339699863574352</v>
      </c>
    </row>
    <row r="140" spans="6:54">
      <c r="F140" s="2"/>
      <c r="AQ140" s="2">
        <f t="shared" si="182"/>
        <v>21</v>
      </c>
      <c r="AR140" s="2" t="str">
        <f t="shared" ref="AR140:AS140" si="187">AR137</f>
        <v>A</v>
      </c>
      <c r="AS140" s="1">
        <f t="shared" si="187"/>
        <v>0</v>
      </c>
      <c r="AT140" s="2">
        <f t="shared" si="165"/>
        <v>7</v>
      </c>
      <c r="AU140" s="2">
        <f t="shared" si="184"/>
        <v>0</v>
      </c>
      <c r="AV140" s="52" t="str">
        <f t="shared" si="155"/>
        <v>data0!R21C11</v>
      </c>
      <c r="AW140" s="52" t="str">
        <f t="shared" si="156"/>
        <v>data0!R22C11</v>
      </c>
      <c r="AX140" s="2">
        <f t="shared" si="185"/>
        <v>300</v>
      </c>
      <c r="AY140" s="25">
        <f t="shared" ca="1" si="157"/>
        <v>89.055690072639223</v>
      </c>
      <c r="AZ140" s="6">
        <f t="shared" ca="1" si="158"/>
        <v>48.377723970944309</v>
      </c>
      <c r="BA140" s="27">
        <f t="shared" ca="1" si="159"/>
        <v>40.677966101694913</v>
      </c>
      <c r="BB140" s="21">
        <f t="shared" ca="1" si="160"/>
        <v>0.54323001631321366</v>
      </c>
    </row>
    <row r="141" spans="6:54">
      <c r="F141" s="2"/>
      <c r="AQ141" s="2">
        <f t="shared" si="182"/>
        <v>22</v>
      </c>
      <c r="AR141" s="2" t="str">
        <f t="shared" ref="AR141:AS141" si="188">AR138</f>
        <v>CWF</v>
      </c>
      <c r="AS141" s="1">
        <f t="shared" si="188"/>
        <v>1</v>
      </c>
      <c r="AT141" s="2">
        <f t="shared" si="165"/>
        <v>7</v>
      </c>
      <c r="AU141" s="2">
        <f t="shared" si="184"/>
        <v>0</v>
      </c>
      <c r="AV141" s="52" t="str">
        <f t="shared" si="155"/>
        <v>data1!R21C11</v>
      </c>
      <c r="AW141" s="52" t="str">
        <f t="shared" si="156"/>
        <v>data1!R22C11</v>
      </c>
      <c r="AX141" s="2">
        <f t="shared" si="185"/>
        <v>300</v>
      </c>
      <c r="AY141" s="25">
        <f t="shared" ca="1" si="157"/>
        <v>26.276679841897231</v>
      </c>
      <c r="AZ141" s="6">
        <f t="shared" ca="1" si="158"/>
        <v>2.5849802371541486</v>
      </c>
      <c r="BA141" s="27">
        <f t="shared" ca="1" si="159"/>
        <v>23.691699604743082</v>
      </c>
      <c r="BB141" s="21">
        <f t="shared" ca="1" si="160"/>
        <v>9.8375451263537861E-2</v>
      </c>
    </row>
    <row r="142" spans="6:54">
      <c r="F142" s="2"/>
      <c r="AQ142" s="2">
        <f t="shared" si="182"/>
        <v>23</v>
      </c>
      <c r="AR142" s="2" t="str">
        <f t="shared" ref="AR142:AS142" si="189">AR139</f>
        <v>D65</v>
      </c>
      <c r="AS142" s="1">
        <f t="shared" si="189"/>
        <v>2</v>
      </c>
      <c r="AT142" s="2">
        <f t="shared" si="165"/>
        <v>7</v>
      </c>
      <c r="AU142" s="2">
        <f t="shared" si="184"/>
        <v>0</v>
      </c>
      <c r="AV142" s="52" t="str">
        <f t="shared" si="155"/>
        <v>data2!R21C11</v>
      </c>
      <c r="AW142" s="52" t="str">
        <f t="shared" si="156"/>
        <v>data2!R22C11</v>
      </c>
      <c r="AX142" s="2">
        <f t="shared" si="185"/>
        <v>300</v>
      </c>
      <c r="AY142" s="25">
        <f t="shared" ca="1" si="157"/>
        <v>62.604982206405694</v>
      </c>
      <c r="AZ142" s="6">
        <f t="shared" ca="1" si="158"/>
        <v>21.266903914590749</v>
      </c>
      <c r="BA142" s="27">
        <f t="shared" ca="1" si="159"/>
        <v>41.338078291814945</v>
      </c>
      <c r="BB142" s="21">
        <f t="shared" ca="1" si="160"/>
        <v>0.339699863574352</v>
      </c>
    </row>
    <row r="143" spans="6:54">
      <c r="F143" s="2"/>
      <c r="AQ143" s="2">
        <f t="shared" si="182"/>
        <v>24</v>
      </c>
      <c r="AR143" s="2" t="str">
        <f t="shared" ref="AR143:AS143" si="190">AR140</f>
        <v>A</v>
      </c>
      <c r="AS143" s="1">
        <f t="shared" si="190"/>
        <v>0</v>
      </c>
      <c r="AT143" s="2">
        <f t="shared" si="165"/>
        <v>8</v>
      </c>
      <c r="AU143" s="2">
        <f t="shared" si="184"/>
        <v>0</v>
      </c>
      <c r="AV143" s="52" t="str">
        <f t="shared" si="155"/>
        <v>data0!R21C12</v>
      </c>
      <c r="AW143" s="52" t="str">
        <f t="shared" si="156"/>
        <v>data0!R22C12</v>
      </c>
      <c r="AX143" s="2">
        <f t="shared" si="185"/>
        <v>300</v>
      </c>
      <c r="AY143" s="25">
        <f t="shared" ca="1" si="157"/>
        <v>89.055690072639223</v>
      </c>
      <c r="AZ143" s="6">
        <f t="shared" ca="1" si="158"/>
        <v>48.377723970944309</v>
      </c>
      <c r="BA143" s="27">
        <f t="shared" ca="1" si="159"/>
        <v>40.677966101694913</v>
      </c>
      <c r="BB143" s="21">
        <f t="shared" ca="1" si="160"/>
        <v>0.54323001631321366</v>
      </c>
    </row>
    <row r="144" spans="6:54">
      <c r="F144" s="2"/>
      <c r="AQ144" s="2">
        <f t="shared" si="182"/>
        <v>25</v>
      </c>
      <c r="AR144" s="2" t="str">
        <f t="shared" ref="AR144:AS144" si="191">AR141</f>
        <v>CWF</v>
      </c>
      <c r="AS144" s="1">
        <f t="shared" si="191"/>
        <v>1</v>
      </c>
      <c r="AT144" s="2">
        <f t="shared" si="165"/>
        <v>8</v>
      </c>
      <c r="AU144" s="2">
        <f t="shared" si="184"/>
        <v>0</v>
      </c>
      <c r="AV144" s="52" t="str">
        <f t="shared" si="155"/>
        <v>data1!R21C12</v>
      </c>
      <c r="AW144" s="52" t="str">
        <f t="shared" si="156"/>
        <v>data1!R22C12</v>
      </c>
      <c r="AX144" s="2">
        <f t="shared" si="185"/>
        <v>300</v>
      </c>
      <c r="AY144" s="25">
        <f t="shared" ca="1" si="157"/>
        <v>26.276679841897231</v>
      </c>
      <c r="AZ144" s="6">
        <f t="shared" ca="1" si="158"/>
        <v>2.5849802371541486</v>
      </c>
      <c r="BA144" s="27">
        <f t="shared" ca="1" si="159"/>
        <v>23.691699604743082</v>
      </c>
      <c r="BB144" s="21">
        <f t="shared" ca="1" si="160"/>
        <v>9.8375451263537861E-2</v>
      </c>
    </row>
    <row r="145" spans="6:54">
      <c r="F145" s="2"/>
      <c r="AQ145" s="2">
        <f t="shared" si="182"/>
        <v>26</v>
      </c>
      <c r="AR145" s="2" t="str">
        <f t="shared" ref="AR145:AS145" si="192">AR142</f>
        <v>D65</v>
      </c>
      <c r="AS145" s="1">
        <f t="shared" si="192"/>
        <v>2</v>
      </c>
      <c r="AT145" s="2">
        <f t="shared" si="165"/>
        <v>8</v>
      </c>
      <c r="AU145" s="2">
        <f t="shared" si="184"/>
        <v>0</v>
      </c>
      <c r="AV145" s="52" t="str">
        <f t="shared" si="155"/>
        <v>data2!R21C12</v>
      </c>
      <c r="AW145" s="52" t="str">
        <f t="shared" si="156"/>
        <v>data2!R22C12</v>
      </c>
      <c r="AX145" s="2">
        <f t="shared" si="185"/>
        <v>300</v>
      </c>
      <c r="AY145" s="25">
        <f t="shared" ca="1" si="157"/>
        <v>62.604982206405694</v>
      </c>
      <c r="AZ145" s="6">
        <f t="shared" ca="1" si="158"/>
        <v>21.266903914590749</v>
      </c>
      <c r="BA145" s="27">
        <f t="shared" ca="1" si="159"/>
        <v>41.338078291814945</v>
      </c>
      <c r="BB145" s="21">
        <f t="shared" ca="1" si="160"/>
        <v>0.339699863574352</v>
      </c>
    </row>
    <row r="146" spans="6:54">
      <c r="F146" s="2"/>
      <c r="AQ146" s="2">
        <f t="shared" si="182"/>
        <v>27</v>
      </c>
      <c r="AR146" s="2" t="str">
        <f t="shared" ref="AR146:AS146" si="193">AR143</f>
        <v>A</v>
      </c>
      <c r="AS146" s="1">
        <f t="shared" si="193"/>
        <v>0</v>
      </c>
      <c r="AT146" s="2">
        <f t="shared" si="165"/>
        <v>9</v>
      </c>
      <c r="AU146" s="2">
        <f t="shared" si="184"/>
        <v>0</v>
      </c>
      <c r="AV146" s="52" t="str">
        <f t="shared" si="155"/>
        <v>data0!R21C13</v>
      </c>
      <c r="AW146" s="52" t="str">
        <f t="shared" si="156"/>
        <v>data0!R22C13</v>
      </c>
      <c r="AX146" s="2">
        <f t="shared" si="185"/>
        <v>300</v>
      </c>
      <c r="AY146" s="25">
        <f t="shared" ca="1" si="157"/>
        <v>89.055690072639223</v>
      </c>
      <c r="AZ146" s="6">
        <f t="shared" ca="1" si="158"/>
        <v>48.377723970944309</v>
      </c>
      <c r="BA146" s="27">
        <f t="shared" ca="1" si="159"/>
        <v>40.677966101694913</v>
      </c>
      <c r="BB146" s="21">
        <f t="shared" ca="1" si="160"/>
        <v>0.54323001631321366</v>
      </c>
    </row>
    <row r="147" spans="6:54">
      <c r="F147" s="2"/>
      <c r="AQ147" s="2">
        <f t="shared" si="182"/>
        <v>28</v>
      </c>
      <c r="AR147" s="2" t="str">
        <f t="shared" ref="AR147:AS147" si="194">AR144</f>
        <v>CWF</v>
      </c>
      <c r="AS147" s="1">
        <f t="shared" si="194"/>
        <v>1</v>
      </c>
      <c r="AT147" s="2">
        <f t="shared" si="165"/>
        <v>9</v>
      </c>
      <c r="AU147" s="2">
        <f t="shared" si="184"/>
        <v>0</v>
      </c>
      <c r="AV147" s="52" t="str">
        <f t="shared" si="155"/>
        <v>data1!R21C13</v>
      </c>
      <c r="AW147" s="52" t="str">
        <f t="shared" si="156"/>
        <v>data1!R22C13</v>
      </c>
      <c r="AX147" s="2">
        <f t="shared" si="185"/>
        <v>300</v>
      </c>
      <c r="AY147" s="25">
        <f t="shared" ca="1" si="157"/>
        <v>26.276679841897231</v>
      </c>
      <c r="AZ147" s="6">
        <f t="shared" ca="1" si="158"/>
        <v>2.5849802371541486</v>
      </c>
      <c r="BA147" s="27">
        <f t="shared" ca="1" si="159"/>
        <v>23.691699604743082</v>
      </c>
      <c r="BB147" s="21">
        <f t="shared" ca="1" si="160"/>
        <v>9.8375451263537861E-2</v>
      </c>
    </row>
    <row r="148" spans="6:54">
      <c r="F148" s="2"/>
      <c r="AQ148" s="2">
        <f t="shared" si="182"/>
        <v>29</v>
      </c>
      <c r="AR148" s="2" t="str">
        <f t="shared" ref="AR148:AS148" si="195">AR145</f>
        <v>D65</v>
      </c>
      <c r="AS148" s="1">
        <f t="shared" si="195"/>
        <v>2</v>
      </c>
      <c r="AT148" s="2">
        <f t="shared" si="165"/>
        <v>9</v>
      </c>
      <c r="AU148" s="2">
        <f t="shared" si="184"/>
        <v>0</v>
      </c>
      <c r="AV148" s="52" t="str">
        <f t="shared" si="155"/>
        <v>data2!R21C13</v>
      </c>
      <c r="AW148" s="52" t="str">
        <f t="shared" si="156"/>
        <v>data2!R22C13</v>
      </c>
      <c r="AX148" s="2">
        <f t="shared" si="185"/>
        <v>300</v>
      </c>
      <c r="AY148" s="25">
        <f t="shared" ca="1" si="157"/>
        <v>62.604982206405694</v>
      </c>
      <c r="AZ148" s="6">
        <f t="shared" ca="1" si="158"/>
        <v>21.266903914590749</v>
      </c>
      <c r="BA148" s="27">
        <f t="shared" ca="1" si="159"/>
        <v>41.338078291814945</v>
      </c>
      <c r="BB148" s="21">
        <f t="shared" ca="1" si="160"/>
        <v>0.339699863574352</v>
      </c>
    </row>
    <row r="149" spans="6:54">
      <c r="F149" s="2"/>
      <c r="AQ149" s="2">
        <f t="shared" si="182"/>
        <v>30</v>
      </c>
      <c r="AR149" s="2" t="str">
        <f t="shared" ref="AR149:AS149" si="196">AR146</f>
        <v>A</v>
      </c>
      <c r="AS149" s="1">
        <f t="shared" si="196"/>
        <v>0</v>
      </c>
      <c r="AT149" s="2">
        <f t="shared" si="165"/>
        <v>10</v>
      </c>
      <c r="AU149" s="2">
        <f t="shared" si="184"/>
        <v>0</v>
      </c>
      <c r="AV149" s="52" t="str">
        <f t="shared" si="155"/>
        <v>data0!R21C14</v>
      </c>
      <c r="AW149" s="52" t="str">
        <f t="shared" si="156"/>
        <v>data0!R22C14</v>
      </c>
      <c r="AX149" s="2">
        <f t="shared" si="185"/>
        <v>300</v>
      </c>
      <c r="AY149" s="25">
        <f t="shared" ca="1" si="157"/>
        <v>89.055690072639223</v>
      </c>
      <c r="AZ149" s="6">
        <f t="shared" ca="1" si="158"/>
        <v>48.377723970944309</v>
      </c>
      <c r="BA149" s="27">
        <f t="shared" ca="1" si="159"/>
        <v>40.677966101694913</v>
      </c>
      <c r="BB149" s="21">
        <f t="shared" ca="1" si="160"/>
        <v>0.54323001631321366</v>
      </c>
    </row>
    <row r="150" spans="6:54">
      <c r="F150" s="2"/>
      <c r="AQ150" s="2">
        <f t="shared" si="182"/>
        <v>31</v>
      </c>
      <c r="AR150" s="2" t="str">
        <f t="shared" ref="AR150:AS150" si="197">AR147</f>
        <v>CWF</v>
      </c>
      <c r="AS150" s="1">
        <f t="shared" si="197"/>
        <v>1</v>
      </c>
      <c r="AT150" s="2">
        <f t="shared" si="165"/>
        <v>10</v>
      </c>
      <c r="AU150" s="2">
        <f t="shared" si="184"/>
        <v>0</v>
      </c>
      <c r="AV150" s="52" t="str">
        <f t="shared" si="155"/>
        <v>data1!R21C14</v>
      </c>
      <c r="AW150" s="52" t="str">
        <f t="shared" si="156"/>
        <v>data1!R22C14</v>
      </c>
      <c r="AX150" s="2">
        <f t="shared" si="185"/>
        <v>300</v>
      </c>
      <c r="AY150" s="25">
        <f t="shared" ca="1" si="157"/>
        <v>26.276679841897231</v>
      </c>
      <c r="AZ150" s="6">
        <f t="shared" ca="1" si="158"/>
        <v>2.5849802371541486</v>
      </c>
      <c r="BA150" s="27">
        <f t="shared" ca="1" si="159"/>
        <v>23.691699604743082</v>
      </c>
      <c r="BB150" s="21">
        <f t="shared" ca="1" si="160"/>
        <v>9.8375451263537861E-2</v>
      </c>
    </row>
    <row r="151" spans="6:54">
      <c r="F151" s="2"/>
      <c r="AQ151" s="2">
        <f t="shared" si="182"/>
        <v>32</v>
      </c>
      <c r="AR151" s="2" t="str">
        <f t="shared" ref="AR151:AS151" si="198">AR148</f>
        <v>D65</v>
      </c>
      <c r="AS151" s="1">
        <f t="shared" si="198"/>
        <v>2</v>
      </c>
      <c r="AT151" s="2">
        <f t="shared" si="165"/>
        <v>10</v>
      </c>
      <c r="AU151" s="2">
        <f t="shared" si="184"/>
        <v>0</v>
      </c>
      <c r="AV151" s="52" t="str">
        <f t="shared" si="155"/>
        <v>data2!R21C14</v>
      </c>
      <c r="AW151" s="52" t="str">
        <f t="shared" si="156"/>
        <v>data2!R22C14</v>
      </c>
      <c r="AX151" s="2">
        <f t="shared" si="185"/>
        <v>300</v>
      </c>
      <c r="AY151" s="25">
        <f t="shared" ca="1" si="157"/>
        <v>62.604982206405694</v>
      </c>
      <c r="AZ151" s="6">
        <f t="shared" ca="1" si="158"/>
        <v>21.266903914590749</v>
      </c>
      <c r="BA151" s="27">
        <f t="shared" ca="1" si="159"/>
        <v>41.338078291814945</v>
      </c>
      <c r="BB151" s="21">
        <f t="shared" ca="1" si="160"/>
        <v>0.339699863574352</v>
      </c>
    </row>
    <row r="152" spans="6:54">
      <c r="F152" s="2"/>
      <c r="AQ152" s="2">
        <f t="shared" si="182"/>
        <v>33</v>
      </c>
      <c r="AR152" s="2" t="str">
        <f t="shared" ref="AR152:AS152" si="199">AR149</f>
        <v>A</v>
      </c>
      <c r="AS152" s="1">
        <f t="shared" si="199"/>
        <v>0</v>
      </c>
      <c r="AT152" s="2">
        <f t="shared" si="165"/>
        <v>11</v>
      </c>
      <c r="AU152" s="2">
        <f t="shared" si="184"/>
        <v>0</v>
      </c>
      <c r="AV152" s="52" t="str">
        <f t="shared" si="155"/>
        <v>data0!R21C15</v>
      </c>
      <c r="AW152" s="52" t="str">
        <f t="shared" si="156"/>
        <v>data0!R22C15</v>
      </c>
      <c r="AX152" s="2">
        <f t="shared" si="185"/>
        <v>300</v>
      </c>
      <c r="AY152" s="25">
        <f t="shared" ca="1" si="157"/>
        <v>89.055690072639223</v>
      </c>
      <c r="AZ152" s="6">
        <f t="shared" ca="1" si="158"/>
        <v>48.377723970944309</v>
      </c>
      <c r="BA152" s="27">
        <f t="shared" ca="1" si="159"/>
        <v>40.677966101694913</v>
      </c>
      <c r="BB152" s="21">
        <f t="shared" ca="1" si="160"/>
        <v>0.54323001631321366</v>
      </c>
    </row>
    <row r="153" spans="6:54">
      <c r="F153" s="2"/>
      <c r="AQ153" s="2">
        <f t="shared" si="182"/>
        <v>34</v>
      </c>
      <c r="AR153" s="2" t="str">
        <f t="shared" ref="AR153:AS153" si="200">AR150</f>
        <v>CWF</v>
      </c>
      <c r="AS153" s="1">
        <f t="shared" si="200"/>
        <v>1</v>
      </c>
      <c r="AT153" s="2">
        <f t="shared" si="165"/>
        <v>11</v>
      </c>
      <c r="AU153" s="2">
        <f t="shared" si="184"/>
        <v>0</v>
      </c>
      <c r="AV153" s="52" t="str">
        <f t="shared" si="155"/>
        <v>data1!R21C15</v>
      </c>
      <c r="AW153" s="52" t="str">
        <f t="shared" si="156"/>
        <v>data1!R22C15</v>
      </c>
      <c r="AX153" s="2">
        <f t="shared" si="185"/>
        <v>300</v>
      </c>
      <c r="AY153" s="25">
        <f t="shared" ca="1" si="157"/>
        <v>26.276679841897231</v>
      </c>
      <c r="AZ153" s="6">
        <f t="shared" ca="1" si="158"/>
        <v>2.5849802371541486</v>
      </c>
      <c r="BA153" s="27">
        <f t="shared" ca="1" si="159"/>
        <v>23.691699604743082</v>
      </c>
      <c r="BB153" s="21">
        <f t="shared" ca="1" si="160"/>
        <v>9.8375451263537861E-2</v>
      </c>
    </row>
    <row r="154" spans="6:54">
      <c r="F154" s="2"/>
      <c r="AQ154" s="2">
        <f t="shared" si="182"/>
        <v>35</v>
      </c>
      <c r="AR154" s="2" t="str">
        <f t="shared" ref="AR154:AS154" si="201">AR151</f>
        <v>D65</v>
      </c>
      <c r="AS154" s="1">
        <f t="shared" si="201"/>
        <v>2</v>
      </c>
      <c r="AT154" s="2">
        <f t="shared" si="165"/>
        <v>11</v>
      </c>
      <c r="AU154" s="2">
        <f t="shared" si="184"/>
        <v>0</v>
      </c>
      <c r="AV154" s="52" t="str">
        <f t="shared" si="155"/>
        <v>data2!R21C15</v>
      </c>
      <c r="AW154" s="52" t="str">
        <f t="shared" si="156"/>
        <v>data2!R22C15</v>
      </c>
      <c r="AX154" s="2">
        <f t="shared" si="185"/>
        <v>300</v>
      </c>
      <c r="AY154" s="25">
        <f t="shared" ca="1" si="157"/>
        <v>62.604982206405694</v>
      </c>
      <c r="AZ154" s="6">
        <f t="shared" ca="1" si="158"/>
        <v>21.266903914590749</v>
      </c>
      <c r="BA154" s="27">
        <f t="shared" ca="1" si="159"/>
        <v>41.338078291814945</v>
      </c>
      <c r="BB154" s="21">
        <f t="shared" ca="1" si="160"/>
        <v>0.339699863574352</v>
      </c>
    </row>
    <row r="155" spans="6:54">
      <c r="F155" s="2"/>
      <c r="AQ155" s="2">
        <f t="shared" si="182"/>
        <v>36</v>
      </c>
      <c r="AR155" s="2" t="str">
        <f t="shared" ref="AR155:AS155" si="202">AR152</f>
        <v>A</v>
      </c>
      <c r="AS155" s="1">
        <f t="shared" si="202"/>
        <v>0</v>
      </c>
      <c r="AT155" s="2">
        <f t="shared" si="165"/>
        <v>12</v>
      </c>
      <c r="AU155" s="2">
        <f t="shared" si="184"/>
        <v>0</v>
      </c>
      <c r="AV155" s="52" t="str">
        <f t="shared" si="155"/>
        <v>data0!R21C16</v>
      </c>
      <c r="AW155" s="52" t="str">
        <f t="shared" si="156"/>
        <v>data0!R22C16</v>
      </c>
      <c r="AX155" s="2">
        <f t="shared" si="185"/>
        <v>300</v>
      </c>
      <c r="AY155" s="25">
        <f t="shared" ca="1" si="157"/>
        <v>89.055690072639223</v>
      </c>
      <c r="AZ155" s="6">
        <f t="shared" ca="1" si="158"/>
        <v>48.377723970944309</v>
      </c>
      <c r="BA155" s="27">
        <f t="shared" ca="1" si="159"/>
        <v>40.677966101694913</v>
      </c>
      <c r="BB155" s="21">
        <f t="shared" ca="1" si="160"/>
        <v>0.54323001631321366</v>
      </c>
    </row>
    <row r="156" spans="6:54">
      <c r="F156" s="2"/>
      <c r="AQ156" s="2">
        <f t="shared" si="182"/>
        <v>37</v>
      </c>
      <c r="AR156" s="2" t="str">
        <f t="shared" ref="AR156:AS156" si="203">AR153</f>
        <v>CWF</v>
      </c>
      <c r="AS156" s="1">
        <f t="shared" si="203"/>
        <v>1</v>
      </c>
      <c r="AT156" s="2">
        <f t="shared" si="165"/>
        <v>12</v>
      </c>
      <c r="AU156" s="2">
        <f t="shared" si="184"/>
        <v>0</v>
      </c>
      <c r="AV156" s="52" t="str">
        <f t="shared" si="155"/>
        <v>data1!R21C16</v>
      </c>
      <c r="AW156" s="52" t="str">
        <f t="shared" si="156"/>
        <v>data1!R22C16</v>
      </c>
      <c r="AX156" s="2">
        <f t="shared" si="185"/>
        <v>300</v>
      </c>
      <c r="AY156" s="25">
        <f t="shared" ca="1" si="157"/>
        <v>26.276679841897231</v>
      </c>
      <c r="AZ156" s="6">
        <f t="shared" ca="1" si="158"/>
        <v>2.5849802371541486</v>
      </c>
      <c r="BA156" s="27">
        <f t="shared" ca="1" si="159"/>
        <v>23.691699604743082</v>
      </c>
      <c r="BB156" s="21">
        <f t="shared" ca="1" si="160"/>
        <v>9.8375451263537861E-2</v>
      </c>
    </row>
    <row r="157" spans="6:54">
      <c r="F157" s="2"/>
      <c r="AQ157" s="2">
        <f t="shared" si="182"/>
        <v>38</v>
      </c>
      <c r="AR157" s="2" t="str">
        <f t="shared" ref="AR157:AS157" si="204">AR154</f>
        <v>D65</v>
      </c>
      <c r="AS157" s="1">
        <f t="shared" si="204"/>
        <v>2</v>
      </c>
      <c r="AT157" s="2">
        <f t="shared" si="165"/>
        <v>12</v>
      </c>
      <c r="AU157" s="2">
        <f t="shared" si="184"/>
        <v>0</v>
      </c>
      <c r="AV157" s="52" t="str">
        <f t="shared" si="155"/>
        <v>data2!R21C16</v>
      </c>
      <c r="AW157" s="52" t="str">
        <f t="shared" si="156"/>
        <v>data2!R22C16</v>
      </c>
      <c r="AX157" s="2">
        <f t="shared" si="185"/>
        <v>300</v>
      </c>
      <c r="AY157" s="25">
        <f t="shared" ca="1" si="157"/>
        <v>62.604982206405694</v>
      </c>
      <c r="AZ157" s="6">
        <f t="shared" ca="1" si="158"/>
        <v>21.266903914590749</v>
      </c>
      <c r="BA157" s="27">
        <f t="shared" ca="1" si="159"/>
        <v>41.338078291814945</v>
      </c>
      <c r="BB157" s="21">
        <f t="shared" ca="1" si="160"/>
        <v>0.339699863574352</v>
      </c>
    </row>
    <row r="158" spans="6:54">
      <c r="F158" s="2"/>
      <c r="AQ158" s="2">
        <f t="shared" si="182"/>
        <v>39</v>
      </c>
      <c r="AR158" s="2" t="str">
        <f t="shared" ref="AR158:AS158" si="205">AR155</f>
        <v>A</v>
      </c>
      <c r="AS158" s="1">
        <f t="shared" si="205"/>
        <v>0</v>
      </c>
      <c r="AT158" s="2">
        <f t="shared" si="165"/>
        <v>13</v>
      </c>
      <c r="AU158" s="2">
        <f t="shared" si="184"/>
        <v>0</v>
      </c>
      <c r="AV158" s="52" t="str">
        <f t="shared" si="155"/>
        <v>data0!R21C17</v>
      </c>
      <c r="AW158" s="52" t="str">
        <f t="shared" si="156"/>
        <v>data0!R22C17</v>
      </c>
      <c r="AX158" s="2">
        <f t="shared" si="185"/>
        <v>300</v>
      </c>
      <c r="AY158" s="25">
        <f t="shared" ca="1" si="157"/>
        <v>89.055690072639223</v>
      </c>
      <c r="AZ158" s="6">
        <f t="shared" ca="1" si="158"/>
        <v>48.377723970944309</v>
      </c>
      <c r="BA158" s="27">
        <f t="shared" ca="1" si="159"/>
        <v>40.677966101694913</v>
      </c>
      <c r="BB158" s="21">
        <f t="shared" ca="1" si="160"/>
        <v>0.54323001631321366</v>
      </c>
    </row>
    <row r="159" spans="6:54">
      <c r="F159" s="2"/>
      <c r="AQ159" s="2">
        <f t="shared" si="182"/>
        <v>40</v>
      </c>
      <c r="AR159" s="2" t="str">
        <f t="shared" ref="AR159:AS159" si="206">AR156</f>
        <v>CWF</v>
      </c>
      <c r="AS159" s="1">
        <f t="shared" si="206"/>
        <v>1</v>
      </c>
      <c r="AT159" s="2">
        <f t="shared" si="165"/>
        <v>13</v>
      </c>
      <c r="AU159" s="2">
        <f t="shared" si="184"/>
        <v>0</v>
      </c>
      <c r="AV159" s="52" t="str">
        <f t="shared" si="155"/>
        <v>data1!R21C17</v>
      </c>
      <c r="AW159" s="52" t="str">
        <f t="shared" si="156"/>
        <v>data1!R22C17</v>
      </c>
      <c r="AX159" s="2">
        <f t="shared" si="185"/>
        <v>300</v>
      </c>
      <c r="AY159" s="25">
        <f t="shared" ca="1" si="157"/>
        <v>26.276679841897231</v>
      </c>
      <c r="AZ159" s="6">
        <f t="shared" ca="1" si="158"/>
        <v>2.5849802371541486</v>
      </c>
      <c r="BA159" s="27">
        <f t="shared" ca="1" si="159"/>
        <v>23.691699604743082</v>
      </c>
      <c r="BB159" s="21">
        <f t="shared" ca="1" si="160"/>
        <v>9.8375451263537861E-2</v>
      </c>
    </row>
    <row r="160" spans="6:54">
      <c r="F160" s="2"/>
      <c r="AQ160" s="2">
        <f t="shared" si="182"/>
        <v>41</v>
      </c>
      <c r="AR160" s="2" t="str">
        <f t="shared" ref="AR160:AS160" si="207">AR157</f>
        <v>D65</v>
      </c>
      <c r="AS160" s="1">
        <f t="shared" si="207"/>
        <v>2</v>
      </c>
      <c r="AT160" s="2">
        <f t="shared" si="165"/>
        <v>13</v>
      </c>
      <c r="AU160" s="2">
        <f t="shared" si="184"/>
        <v>0</v>
      </c>
      <c r="AV160" s="52" t="str">
        <f t="shared" si="155"/>
        <v>data2!R21C17</v>
      </c>
      <c r="AW160" s="52" t="str">
        <f t="shared" si="156"/>
        <v>data2!R22C17</v>
      </c>
      <c r="AX160" s="2">
        <f t="shared" si="185"/>
        <v>300</v>
      </c>
      <c r="AY160" s="25">
        <f t="shared" ca="1" si="157"/>
        <v>62.604982206405694</v>
      </c>
      <c r="AZ160" s="6">
        <f t="shared" ca="1" si="158"/>
        <v>21.266903914590749</v>
      </c>
      <c r="BA160" s="27">
        <f t="shared" ca="1" si="159"/>
        <v>41.338078291814945</v>
      </c>
      <c r="BB160" s="21">
        <f t="shared" ca="1" si="160"/>
        <v>0.339699863574352</v>
      </c>
    </row>
    <row r="161" spans="6:54">
      <c r="F161" s="2"/>
      <c r="AQ161" s="2">
        <f t="shared" si="182"/>
        <v>42</v>
      </c>
      <c r="AR161" s="2" t="str">
        <f t="shared" ref="AR161:AS161" si="208">AR158</f>
        <v>A</v>
      </c>
      <c r="AS161" s="1">
        <f t="shared" si="208"/>
        <v>0</v>
      </c>
      <c r="AT161" s="2">
        <f t="shared" si="165"/>
        <v>14</v>
      </c>
      <c r="AU161" s="2">
        <f t="shared" si="184"/>
        <v>0</v>
      </c>
      <c r="AV161" s="52" t="str">
        <f t="shared" si="155"/>
        <v>data0!R21C18</v>
      </c>
      <c r="AW161" s="52" t="str">
        <f t="shared" si="156"/>
        <v>data0!R22C18</v>
      </c>
      <c r="AX161" s="2">
        <f t="shared" si="185"/>
        <v>300</v>
      </c>
      <c r="AY161" s="25">
        <f t="shared" ca="1" si="157"/>
        <v>89.055690072639223</v>
      </c>
      <c r="AZ161" s="6">
        <f t="shared" ca="1" si="158"/>
        <v>48.377723970944309</v>
      </c>
      <c r="BA161" s="27">
        <f t="shared" ca="1" si="159"/>
        <v>40.677966101694913</v>
      </c>
      <c r="BB161" s="21">
        <f t="shared" ca="1" si="160"/>
        <v>0.54323001631321366</v>
      </c>
    </row>
    <row r="162" spans="6:54">
      <c r="F162" s="2"/>
      <c r="AQ162" s="2">
        <f t="shared" si="182"/>
        <v>43</v>
      </c>
      <c r="AR162" s="2" t="str">
        <f t="shared" ref="AR162:AS162" si="209">AR159</f>
        <v>CWF</v>
      </c>
      <c r="AS162" s="1">
        <f t="shared" si="209"/>
        <v>1</v>
      </c>
      <c r="AT162" s="2">
        <f t="shared" si="165"/>
        <v>14</v>
      </c>
      <c r="AU162" s="2">
        <f t="shared" si="184"/>
        <v>0</v>
      </c>
      <c r="AV162" s="52" t="str">
        <f t="shared" si="155"/>
        <v>data1!R21C18</v>
      </c>
      <c r="AW162" s="52" t="str">
        <f t="shared" si="156"/>
        <v>data1!R22C18</v>
      </c>
      <c r="AX162" s="2">
        <f t="shared" si="185"/>
        <v>300</v>
      </c>
      <c r="AY162" s="25">
        <f t="shared" ca="1" si="157"/>
        <v>26.276679841897231</v>
      </c>
      <c r="AZ162" s="6">
        <f t="shared" ca="1" si="158"/>
        <v>2.5849802371541486</v>
      </c>
      <c r="BA162" s="27">
        <f t="shared" ca="1" si="159"/>
        <v>23.691699604743082</v>
      </c>
      <c r="BB162" s="21">
        <f t="shared" ca="1" si="160"/>
        <v>9.8375451263537861E-2</v>
      </c>
    </row>
    <row r="163" spans="6:54">
      <c r="F163" s="2"/>
      <c r="AQ163" s="2">
        <f t="shared" si="182"/>
        <v>44</v>
      </c>
      <c r="AR163" s="2" t="str">
        <f t="shared" ref="AR163:AS163" si="210">AR160</f>
        <v>D65</v>
      </c>
      <c r="AS163" s="1">
        <f t="shared" si="210"/>
        <v>2</v>
      </c>
      <c r="AT163" s="2">
        <f t="shared" si="165"/>
        <v>14</v>
      </c>
      <c r="AU163" s="2">
        <f t="shared" si="184"/>
        <v>0</v>
      </c>
      <c r="AV163" s="52" t="str">
        <f t="shared" si="155"/>
        <v>data2!R21C18</v>
      </c>
      <c r="AW163" s="52" t="str">
        <f t="shared" si="156"/>
        <v>data2!R22C18</v>
      </c>
      <c r="AX163" s="2">
        <f t="shared" si="185"/>
        <v>300</v>
      </c>
      <c r="AY163" s="25">
        <f t="shared" ca="1" si="157"/>
        <v>62.604982206405694</v>
      </c>
      <c r="AZ163" s="6">
        <f t="shared" ca="1" si="158"/>
        <v>21.266903914590749</v>
      </c>
      <c r="BA163" s="27">
        <f t="shared" ca="1" si="159"/>
        <v>41.338078291814945</v>
      </c>
      <c r="BB163" s="21">
        <f t="shared" ca="1" si="160"/>
        <v>0.339699863574352</v>
      </c>
    </row>
    <row r="164" spans="6:54">
      <c r="F164" s="2"/>
      <c r="AQ164" s="2">
        <f t="shared" si="182"/>
        <v>45</v>
      </c>
      <c r="AR164" s="2" t="str">
        <f t="shared" ref="AR164:AS164" si="211">AR161</f>
        <v>A</v>
      </c>
      <c r="AS164" s="1">
        <f t="shared" si="211"/>
        <v>0</v>
      </c>
      <c r="AT164" s="2">
        <f t="shared" si="165"/>
        <v>15</v>
      </c>
      <c r="AU164" s="2">
        <f t="shared" si="184"/>
        <v>0</v>
      </c>
      <c r="AV164" s="52" t="str">
        <f t="shared" si="155"/>
        <v>data0!R21C19</v>
      </c>
      <c r="AW164" s="52" t="str">
        <f t="shared" si="156"/>
        <v>data0!R22C19</v>
      </c>
      <c r="AX164" s="2">
        <f t="shared" si="185"/>
        <v>300</v>
      </c>
      <c r="AY164" s="25">
        <f t="shared" ca="1" si="157"/>
        <v>89.055690072639223</v>
      </c>
      <c r="AZ164" s="6">
        <f t="shared" ca="1" si="158"/>
        <v>48.377723970944309</v>
      </c>
      <c r="BA164" s="27">
        <f t="shared" ca="1" si="159"/>
        <v>40.677966101694913</v>
      </c>
      <c r="BB164" s="21">
        <f t="shared" ca="1" si="160"/>
        <v>0.54323001631321366</v>
      </c>
    </row>
    <row r="165" spans="6:54">
      <c r="F165" s="2"/>
      <c r="AQ165" s="2">
        <f t="shared" si="182"/>
        <v>46</v>
      </c>
      <c r="AR165" s="2" t="str">
        <f t="shared" ref="AR165:AS165" si="212">AR162</f>
        <v>CWF</v>
      </c>
      <c r="AS165" s="1">
        <f t="shared" si="212"/>
        <v>1</v>
      </c>
      <c r="AT165" s="2">
        <f t="shared" si="165"/>
        <v>15</v>
      </c>
      <c r="AU165" s="2">
        <f t="shared" si="184"/>
        <v>0</v>
      </c>
      <c r="AV165" s="52" t="str">
        <f t="shared" si="155"/>
        <v>data1!R21C19</v>
      </c>
      <c r="AW165" s="52" t="str">
        <f t="shared" si="156"/>
        <v>data1!R22C19</v>
      </c>
      <c r="AX165" s="2">
        <f t="shared" si="185"/>
        <v>300</v>
      </c>
      <c r="AY165" s="25">
        <f t="shared" ca="1" si="157"/>
        <v>26.276679841897231</v>
      </c>
      <c r="AZ165" s="6">
        <f t="shared" ca="1" si="158"/>
        <v>2.5849802371541486</v>
      </c>
      <c r="BA165" s="27">
        <f t="shared" ca="1" si="159"/>
        <v>23.691699604743082</v>
      </c>
      <c r="BB165" s="21">
        <f t="shared" ca="1" si="160"/>
        <v>9.8375451263537861E-2</v>
      </c>
    </row>
    <row r="166" spans="6:54">
      <c r="F166" s="2"/>
      <c r="AQ166" s="2">
        <f t="shared" si="182"/>
        <v>47</v>
      </c>
      <c r="AR166" s="2" t="str">
        <f t="shared" ref="AR166:AS166" si="213">AR163</f>
        <v>D65</v>
      </c>
      <c r="AS166" s="1">
        <f t="shared" si="213"/>
        <v>2</v>
      </c>
      <c r="AT166" s="2">
        <f t="shared" si="165"/>
        <v>15</v>
      </c>
      <c r="AU166" s="2">
        <f t="shared" si="184"/>
        <v>0</v>
      </c>
      <c r="AV166" s="52" t="str">
        <f t="shared" si="155"/>
        <v>data2!R21C19</v>
      </c>
      <c r="AW166" s="52" t="str">
        <f t="shared" si="156"/>
        <v>data2!R22C19</v>
      </c>
      <c r="AX166" s="2">
        <f t="shared" si="185"/>
        <v>300</v>
      </c>
      <c r="AY166" s="25">
        <f t="shared" ca="1" si="157"/>
        <v>62.604982206405694</v>
      </c>
      <c r="AZ166" s="6">
        <f t="shared" ca="1" si="158"/>
        <v>21.266903914590749</v>
      </c>
      <c r="BA166" s="27">
        <f t="shared" ca="1" si="159"/>
        <v>41.338078291814945</v>
      </c>
      <c r="BB166" s="21">
        <f t="shared" ca="1" si="160"/>
        <v>0.339699863574352</v>
      </c>
    </row>
    <row r="167" spans="6:54">
      <c r="F167" s="2"/>
      <c r="AQ167" s="2">
        <f t="shared" si="182"/>
        <v>48</v>
      </c>
      <c r="AR167" s="2" t="str">
        <f t="shared" ref="AR167:AS167" si="214">AR164</f>
        <v>A</v>
      </c>
      <c r="AS167" s="1">
        <f t="shared" si="214"/>
        <v>0</v>
      </c>
      <c r="AT167" s="2">
        <f t="shared" si="165"/>
        <v>16</v>
      </c>
      <c r="AU167" s="2">
        <f t="shared" si="184"/>
        <v>0</v>
      </c>
      <c r="AV167" s="52" t="str">
        <f t="shared" si="155"/>
        <v>data0!R21C20</v>
      </c>
      <c r="AW167" s="52" t="str">
        <f t="shared" si="156"/>
        <v>data0!R22C20</v>
      </c>
      <c r="AX167" s="2">
        <f t="shared" si="185"/>
        <v>300</v>
      </c>
      <c r="AY167" s="25">
        <f t="shared" ca="1" si="157"/>
        <v>89.055690072639223</v>
      </c>
      <c r="AZ167" s="6">
        <f t="shared" ca="1" si="158"/>
        <v>48.377723970944309</v>
      </c>
      <c r="BA167" s="27">
        <f t="shared" ca="1" si="159"/>
        <v>40.677966101694913</v>
      </c>
      <c r="BB167" s="21">
        <f t="shared" ca="1" si="160"/>
        <v>0.54323001631321366</v>
      </c>
    </row>
    <row r="168" spans="6:54">
      <c r="F168" s="2"/>
      <c r="AQ168" s="2">
        <f t="shared" si="182"/>
        <v>49</v>
      </c>
      <c r="AR168" s="2" t="str">
        <f t="shared" ref="AR168:AS168" si="215">AR165</f>
        <v>CWF</v>
      </c>
      <c r="AS168" s="1">
        <f t="shared" si="215"/>
        <v>1</v>
      </c>
      <c r="AT168" s="2">
        <f t="shared" si="165"/>
        <v>16</v>
      </c>
      <c r="AU168" s="2">
        <f t="shared" si="184"/>
        <v>0</v>
      </c>
      <c r="AV168" s="52" t="str">
        <f t="shared" si="155"/>
        <v>data1!R21C20</v>
      </c>
      <c r="AW168" s="52" t="str">
        <f t="shared" si="156"/>
        <v>data1!R22C20</v>
      </c>
      <c r="AX168" s="2">
        <f t="shared" si="185"/>
        <v>300</v>
      </c>
      <c r="AY168" s="25">
        <f t="shared" ca="1" si="157"/>
        <v>26.276679841897231</v>
      </c>
      <c r="AZ168" s="6">
        <f t="shared" ca="1" si="158"/>
        <v>2.5849802371541486</v>
      </c>
      <c r="BA168" s="27">
        <f t="shared" ca="1" si="159"/>
        <v>23.691699604743082</v>
      </c>
      <c r="BB168" s="21">
        <f t="shared" ca="1" si="160"/>
        <v>9.8375451263537861E-2</v>
      </c>
    </row>
    <row r="169" spans="6:54">
      <c r="F169" s="2"/>
      <c r="AQ169" s="2">
        <f t="shared" si="182"/>
        <v>50</v>
      </c>
      <c r="AR169" s="2" t="str">
        <f t="shared" ref="AR169:AS169" si="216">AR166</f>
        <v>D65</v>
      </c>
      <c r="AS169" s="1">
        <f t="shared" si="216"/>
        <v>2</v>
      </c>
      <c r="AT169" s="2">
        <f t="shared" si="165"/>
        <v>16</v>
      </c>
      <c r="AU169" s="2">
        <f t="shared" si="184"/>
        <v>0</v>
      </c>
      <c r="AV169" s="52" t="str">
        <f t="shared" si="155"/>
        <v>data2!R21C20</v>
      </c>
      <c r="AW169" s="52" t="str">
        <f t="shared" si="156"/>
        <v>data2!R22C20</v>
      </c>
      <c r="AX169" s="2">
        <f t="shared" si="185"/>
        <v>300</v>
      </c>
      <c r="AY169" s="25">
        <f t="shared" ca="1" si="157"/>
        <v>62.604982206405694</v>
      </c>
      <c r="AZ169" s="6">
        <f t="shared" ca="1" si="158"/>
        <v>21.266903914590749</v>
      </c>
      <c r="BA169" s="27">
        <f t="shared" ca="1" si="159"/>
        <v>41.338078291814945</v>
      </c>
      <c r="BB169" s="21">
        <f t="shared" ca="1" si="160"/>
        <v>0.339699863574352</v>
      </c>
    </row>
    <row r="170" spans="6:54">
      <c r="F170" s="2"/>
      <c r="AQ170" s="2">
        <f t="shared" si="182"/>
        <v>51</v>
      </c>
      <c r="AR170" s="2" t="str">
        <f t="shared" ref="AR170:AS170" si="217">AR167</f>
        <v>A</v>
      </c>
      <c r="AS170" s="1">
        <f t="shared" si="217"/>
        <v>0</v>
      </c>
      <c r="AT170" s="2">
        <f t="shared" si="165"/>
        <v>17</v>
      </c>
      <c r="AU170" s="2">
        <f t="shared" si="184"/>
        <v>0</v>
      </c>
      <c r="AV170" s="52" t="str">
        <f t="shared" si="155"/>
        <v>data0!R21C21</v>
      </c>
      <c r="AW170" s="52" t="str">
        <f t="shared" si="156"/>
        <v>data0!R22C21</v>
      </c>
      <c r="AX170" s="2">
        <f t="shared" si="185"/>
        <v>300</v>
      </c>
      <c r="AY170" s="25">
        <f t="shared" ca="1" si="157"/>
        <v>89.055690072639223</v>
      </c>
      <c r="AZ170" s="6">
        <f t="shared" ca="1" si="158"/>
        <v>48.377723970944309</v>
      </c>
      <c r="BA170" s="27">
        <f t="shared" ca="1" si="159"/>
        <v>40.677966101694913</v>
      </c>
      <c r="BB170" s="21">
        <f t="shared" ca="1" si="160"/>
        <v>0.54323001631321366</v>
      </c>
    </row>
    <row r="171" spans="6:54">
      <c r="F171" s="2"/>
      <c r="AQ171" s="2">
        <f t="shared" si="182"/>
        <v>52</v>
      </c>
      <c r="AR171" s="2" t="str">
        <f t="shared" ref="AR171:AS171" si="218">AR168</f>
        <v>CWF</v>
      </c>
      <c r="AS171" s="1">
        <f t="shared" si="218"/>
        <v>1</v>
      </c>
      <c r="AT171" s="2">
        <f t="shared" si="165"/>
        <v>17</v>
      </c>
      <c r="AU171" s="2">
        <f t="shared" si="184"/>
        <v>0</v>
      </c>
      <c r="AV171" s="52" t="str">
        <f t="shared" si="155"/>
        <v>data1!R21C21</v>
      </c>
      <c r="AW171" s="52" t="str">
        <f t="shared" si="156"/>
        <v>data1!R22C21</v>
      </c>
      <c r="AX171" s="2">
        <f t="shared" si="185"/>
        <v>300</v>
      </c>
      <c r="AY171" s="25">
        <f t="shared" ca="1" si="157"/>
        <v>26.276679841897231</v>
      </c>
      <c r="AZ171" s="6">
        <f t="shared" ca="1" si="158"/>
        <v>2.5849802371541486</v>
      </c>
      <c r="BA171" s="27">
        <f t="shared" ca="1" si="159"/>
        <v>23.691699604743082</v>
      </c>
      <c r="BB171" s="21">
        <f t="shared" ca="1" si="160"/>
        <v>9.8375451263537861E-2</v>
      </c>
    </row>
    <row r="172" spans="6:54">
      <c r="F172" s="2"/>
      <c r="AQ172" s="2">
        <f t="shared" si="182"/>
        <v>53</v>
      </c>
      <c r="AR172" s="2" t="str">
        <f t="shared" ref="AR172:AS172" si="219">AR169</f>
        <v>D65</v>
      </c>
      <c r="AS172" s="1">
        <f t="shared" si="219"/>
        <v>2</v>
      </c>
      <c r="AT172" s="2">
        <f t="shared" si="165"/>
        <v>17</v>
      </c>
      <c r="AU172" s="2">
        <f t="shared" si="184"/>
        <v>0</v>
      </c>
      <c r="AV172" s="52" t="str">
        <f t="shared" si="155"/>
        <v>data2!R21C21</v>
      </c>
      <c r="AW172" s="52" t="str">
        <f t="shared" si="156"/>
        <v>data2!R22C21</v>
      </c>
      <c r="AX172" s="2">
        <f t="shared" si="185"/>
        <v>300</v>
      </c>
      <c r="AY172" s="25">
        <f t="shared" ca="1" si="157"/>
        <v>62.604982206405694</v>
      </c>
      <c r="AZ172" s="6">
        <f t="shared" ca="1" si="158"/>
        <v>21.266903914590749</v>
      </c>
      <c r="BA172" s="27">
        <f t="shared" ca="1" si="159"/>
        <v>41.338078291814945</v>
      </c>
      <c r="BB172" s="21">
        <f t="shared" ca="1" si="160"/>
        <v>0.339699863574352</v>
      </c>
    </row>
    <row r="173" spans="6:54">
      <c r="F173" s="2"/>
      <c r="AQ173" s="2">
        <f t="shared" si="182"/>
        <v>54</v>
      </c>
      <c r="AR173" s="2" t="str">
        <f t="shared" ref="AR173:AS173" si="220">AR170</f>
        <v>A</v>
      </c>
      <c r="AS173" s="1">
        <f t="shared" si="220"/>
        <v>0</v>
      </c>
      <c r="AT173" s="2">
        <f t="shared" si="165"/>
        <v>18</v>
      </c>
      <c r="AU173" s="2">
        <f t="shared" si="184"/>
        <v>0</v>
      </c>
      <c r="AV173" s="52" t="str">
        <f t="shared" si="155"/>
        <v>data0!R21C22</v>
      </c>
      <c r="AW173" s="52" t="str">
        <f t="shared" si="156"/>
        <v>data0!R22C22</v>
      </c>
      <c r="AX173" s="2">
        <f t="shared" si="185"/>
        <v>300</v>
      </c>
      <c r="AY173" s="25">
        <f t="shared" ca="1" si="157"/>
        <v>89.055690072639223</v>
      </c>
      <c r="AZ173" s="6">
        <f t="shared" ca="1" si="158"/>
        <v>48.377723970944309</v>
      </c>
      <c r="BA173" s="27">
        <f t="shared" ca="1" si="159"/>
        <v>40.677966101694913</v>
      </c>
      <c r="BB173" s="21">
        <f t="shared" ca="1" si="160"/>
        <v>0.54323001631321366</v>
      </c>
    </row>
    <row r="174" spans="6:54">
      <c r="F174" s="2"/>
      <c r="AQ174" s="2">
        <f t="shared" si="182"/>
        <v>55</v>
      </c>
      <c r="AR174" s="2" t="str">
        <f t="shared" ref="AR174:AS174" si="221">AR171</f>
        <v>CWF</v>
      </c>
      <c r="AS174" s="1">
        <f t="shared" si="221"/>
        <v>1</v>
      </c>
      <c r="AT174" s="2">
        <f t="shared" si="165"/>
        <v>18</v>
      </c>
      <c r="AU174" s="2">
        <f t="shared" si="184"/>
        <v>0</v>
      </c>
      <c r="AV174" s="52" t="str">
        <f t="shared" si="155"/>
        <v>data1!R21C22</v>
      </c>
      <c r="AW174" s="52" t="str">
        <f t="shared" si="156"/>
        <v>data1!R22C22</v>
      </c>
      <c r="AX174" s="2">
        <f t="shared" si="185"/>
        <v>300</v>
      </c>
      <c r="AY174" s="25">
        <f t="shared" ca="1" si="157"/>
        <v>26.276679841897231</v>
      </c>
      <c r="AZ174" s="6">
        <f t="shared" ca="1" si="158"/>
        <v>2.5849802371541486</v>
      </c>
      <c r="BA174" s="27">
        <f t="shared" ca="1" si="159"/>
        <v>23.691699604743082</v>
      </c>
      <c r="BB174" s="21">
        <f t="shared" ca="1" si="160"/>
        <v>9.8375451263537861E-2</v>
      </c>
    </row>
    <row r="175" spans="6:54">
      <c r="F175" s="2"/>
      <c r="AQ175" s="2">
        <f t="shared" si="182"/>
        <v>56</v>
      </c>
      <c r="AR175" s="2" t="str">
        <f t="shared" ref="AR175:AS175" si="222">AR172</f>
        <v>D65</v>
      </c>
      <c r="AS175" s="1">
        <f t="shared" si="222"/>
        <v>2</v>
      </c>
      <c r="AT175" s="2">
        <f t="shared" si="165"/>
        <v>18</v>
      </c>
      <c r="AU175" s="2">
        <f t="shared" si="184"/>
        <v>0</v>
      </c>
      <c r="AV175" s="52" t="str">
        <f t="shared" si="155"/>
        <v>data2!R21C22</v>
      </c>
      <c r="AW175" s="52" t="str">
        <f t="shared" si="156"/>
        <v>data2!R22C22</v>
      </c>
      <c r="AX175" s="2">
        <f t="shared" si="185"/>
        <v>300</v>
      </c>
      <c r="AY175" s="25">
        <f t="shared" ca="1" si="157"/>
        <v>62.604982206405694</v>
      </c>
      <c r="AZ175" s="6">
        <f t="shared" ca="1" si="158"/>
        <v>21.266903914590749</v>
      </c>
      <c r="BA175" s="27">
        <f t="shared" ca="1" si="159"/>
        <v>41.338078291814945</v>
      </c>
      <c r="BB175" s="21">
        <f t="shared" ca="1" si="160"/>
        <v>0.339699863574352</v>
      </c>
    </row>
    <row r="176" spans="6:54">
      <c r="F176" s="2"/>
      <c r="AQ176" s="2">
        <f t="shared" si="182"/>
        <v>57</v>
      </c>
      <c r="AR176" s="2" t="str">
        <f t="shared" ref="AR176:AS176" si="223">AR173</f>
        <v>A</v>
      </c>
      <c r="AS176" s="1">
        <f t="shared" si="223"/>
        <v>0</v>
      </c>
      <c r="AT176" s="2">
        <f t="shared" si="165"/>
        <v>19</v>
      </c>
      <c r="AU176" s="2">
        <f t="shared" si="184"/>
        <v>0</v>
      </c>
      <c r="AV176" s="52" t="str">
        <f t="shared" si="155"/>
        <v>data0!R21C23</v>
      </c>
      <c r="AW176" s="52" t="str">
        <f t="shared" si="156"/>
        <v>data0!R22C23</v>
      </c>
      <c r="AX176" s="2">
        <f t="shared" si="185"/>
        <v>300</v>
      </c>
      <c r="AY176" s="25">
        <f t="shared" ca="1" si="157"/>
        <v>89.055690072639223</v>
      </c>
      <c r="AZ176" s="6">
        <f t="shared" ca="1" si="158"/>
        <v>48.377723970944309</v>
      </c>
      <c r="BA176" s="27">
        <f t="shared" ca="1" si="159"/>
        <v>40.677966101694913</v>
      </c>
      <c r="BB176" s="21">
        <f t="shared" ca="1" si="160"/>
        <v>0.54323001631321366</v>
      </c>
    </row>
    <row r="177" spans="6:54">
      <c r="F177" s="2"/>
      <c r="AQ177" s="2">
        <f t="shared" si="182"/>
        <v>58</v>
      </c>
      <c r="AR177" s="2" t="str">
        <f t="shared" ref="AR177:AS177" si="224">AR174</f>
        <v>CWF</v>
      </c>
      <c r="AS177" s="1">
        <f t="shared" si="224"/>
        <v>1</v>
      </c>
      <c r="AT177" s="2">
        <f t="shared" si="165"/>
        <v>19</v>
      </c>
      <c r="AU177" s="2">
        <f t="shared" si="184"/>
        <v>0</v>
      </c>
      <c r="AV177" s="52" t="str">
        <f t="shared" si="155"/>
        <v>data1!R21C23</v>
      </c>
      <c r="AW177" s="52" t="str">
        <f t="shared" si="156"/>
        <v>data1!R22C23</v>
      </c>
      <c r="AX177" s="2">
        <f t="shared" si="185"/>
        <v>300</v>
      </c>
      <c r="AY177" s="25">
        <f t="shared" ca="1" si="157"/>
        <v>26.276679841897231</v>
      </c>
      <c r="AZ177" s="6">
        <f t="shared" ca="1" si="158"/>
        <v>2.5849802371541486</v>
      </c>
      <c r="BA177" s="27">
        <f t="shared" ca="1" si="159"/>
        <v>23.691699604743082</v>
      </c>
      <c r="BB177" s="21">
        <f t="shared" ca="1" si="160"/>
        <v>9.8375451263537861E-2</v>
      </c>
    </row>
    <row r="178" spans="6:54">
      <c r="F178" s="2"/>
      <c r="AQ178" s="2">
        <f t="shared" si="182"/>
        <v>59</v>
      </c>
      <c r="AR178" s="2" t="str">
        <f t="shared" ref="AR178:AS178" si="225">AR175</f>
        <v>D65</v>
      </c>
      <c r="AS178" s="1">
        <f t="shared" si="225"/>
        <v>2</v>
      </c>
      <c r="AT178" s="2">
        <f t="shared" si="165"/>
        <v>19</v>
      </c>
      <c r="AU178" s="2">
        <f t="shared" si="184"/>
        <v>0</v>
      </c>
      <c r="AV178" s="52" t="str">
        <f t="shared" si="155"/>
        <v>data2!R21C23</v>
      </c>
      <c r="AW178" s="52" t="str">
        <f t="shared" si="156"/>
        <v>data2!R22C23</v>
      </c>
      <c r="AX178" s="2">
        <f t="shared" si="185"/>
        <v>300</v>
      </c>
      <c r="AY178" s="25">
        <f t="shared" ca="1" si="157"/>
        <v>62.604982206405694</v>
      </c>
      <c r="AZ178" s="6">
        <f t="shared" ca="1" si="158"/>
        <v>21.266903914590749</v>
      </c>
      <c r="BA178" s="27">
        <f t="shared" ca="1" si="159"/>
        <v>41.338078291814945</v>
      </c>
      <c r="BB178" s="21">
        <f t="shared" ca="1" si="160"/>
        <v>0.339699863574352</v>
      </c>
    </row>
    <row r="179" spans="6:54">
      <c r="F179" s="2"/>
      <c r="AQ179" s="2">
        <f t="shared" si="182"/>
        <v>60</v>
      </c>
      <c r="AR179" s="2" t="str">
        <f t="shared" ref="AR179:AS179" si="226">AR176</f>
        <v>A</v>
      </c>
      <c r="AS179" s="1">
        <f t="shared" si="226"/>
        <v>0</v>
      </c>
      <c r="AT179" s="2">
        <f t="shared" si="165"/>
        <v>20</v>
      </c>
      <c r="AU179" s="2">
        <f t="shared" si="184"/>
        <v>0</v>
      </c>
      <c r="AV179" s="52" t="str">
        <f t="shared" si="155"/>
        <v>data0!R21C24</v>
      </c>
      <c r="AW179" s="52" t="str">
        <f t="shared" si="156"/>
        <v>data0!R22C24</v>
      </c>
      <c r="AX179" s="2">
        <f t="shared" si="185"/>
        <v>300</v>
      </c>
      <c r="AY179" s="25">
        <f t="shared" ca="1" si="157"/>
        <v>89.055690072639223</v>
      </c>
      <c r="AZ179" s="6">
        <f t="shared" ca="1" si="158"/>
        <v>48.377723970944309</v>
      </c>
      <c r="BA179" s="27">
        <f t="shared" ca="1" si="159"/>
        <v>40.677966101694913</v>
      </c>
      <c r="BB179" s="21">
        <f t="shared" ca="1" si="160"/>
        <v>0.54323001631321366</v>
      </c>
    </row>
    <row r="180" spans="6:54">
      <c r="F180" s="2"/>
      <c r="AQ180" s="2">
        <f t="shared" si="182"/>
        <v>61</v>
      </c>
      <c r="AR180" s="2" t="str">
        <f t="shared" ref="AR180:AS180" si="227">AR177</f>
        <v>CWF</v>
      </c>
      <c r="AS180" s="1">
        <f t="shared" si="227"/>
        <v>1</v>
      </c>
      <c r="AT180" s="2">
        <f t="shared" si="165"/>
        <v>20</v>
      </c>
      <c r="AU180" s="2">
        <f t="shared" si="184"/>
        <v>0</v>
      </c>
      <c r="AV180" s="52" t="str">
        <f t="shared" si="155"/>
        <v>data1!R21C24</v>
      </c>
      <c r="AW180" s="52" t="str">
        <f t="shared" si="156"/>
        <v>data1!R22C24</v>
      </c>
      <c r="AX180" s="2">
        <f t="shared" si="185"/>
        <v>300</v>
      </c>
      <c r="AY180" s="25">
        <f t="shared" ca="1" si="157"/>
        <v>26.276679841897231</v>
      </c>
      <c r="AZ180" s="6">
        <f t="shared" ca="1" si="158"/>
        <v>2.5849802371541486</v>
      </c>
      <c r="BA180" s="27">
        <f t="shared" ca="1" si="159"/>
        <v>23.691699604743082</v>
      </c>
      <c r="BB180" s="21">
        <f t="shared" ca="1" si="160"/>
        <v>9.8375451263537861E-2</v>
      </c>
    </row>
    <row r="181" spans="6:54">
      <c r="F181" s="2"/>
      <c r="AQ181" s="2">
        <f t="shared" si="182"/>
        <v>62</v>
      </c>
      <c r="AR181" s="2" t="str">
        <f t="shared" ref="AR181:AS181" si="228">AR178</f>
        <v>D65</v>
      </c>
      <c r="AS181" s="1">
        <f t="shared" si="228"/>
        <v>2</v>
      </c>
      <c r="AT181" s="2">
        <f t="shared" si="165"/>
        <v>20</v>
      </c>
      <c r="AU181" s="2">
        <f t="shared" si="184"/>
        <v>0</v>
      </c>
      <c r="AV181" s="52" t="str">
        <f t="shared" si="155"/>
        <v>data2!R21C24</v>
      </c>
      <c r="AW181" s="52" t="str">
        <f t="shared" si="156"/>
        <v>data2!R22C24</v>
      </c>
      <c r="AX181" s="2">
        <f t="shared" si="185"/>
        <v>300</v>
      </c>
      <c r="AY181" s="25">
        <f t="shared" ca="1" si="157"/>
        <v>62.604982206405694</v>
      </c>
      <c r="AZ181" s="6">
        <f t="shared" ca="1" si="158"/>
        <v>21.266903914590749</v>
      </c>
      <c r="BA181" s="27">
        <f t="shared" ca="1" si="159"/>
        <v>41.338078291814945</v>
      </c>
      <c r="BB181" s="21">
        <f t="shared" ca="1" si="160"/>
        <v>0.339699863574352</v>
      </c>
    </row>
    <row r="182" spans="6:54">
      <c r="F182" s="2"/>
      <c r="AQ182" s="2">
        <f t="shared" si="182"/>
        <v>63</v>
      </c>
      <c r="AR182" s="2" t="str">
        <f t="shared" ref="AR182:AS182" si="229">AR179</f>
        <v>A</v>
      </c>
      <c r="AS182" s="1">
        <f t="shared" si="229"/>
        <v>0</v>
      </c>
      <c r="AT182" s="2">
        <f t="shared" si="165"/>
        <v>21</v>
      </c>
      <c r="AU182" s="2">
        <f t="shared" si="184"/>
        <v>0</v>
      </c>
      <c r="AV182" s="52" t="str">
        <f t="shared" si="155"/>
        <v>data0!R21C25</v>
      </c>
      <c r="AW182" s="52" t="str">
        <f t="shared" si="156"/>
        <v>data0!R22C25</v>
      </c>
      <c r="AX182" s="2">
        <f t="shared" si="185"/>
        <v>300</v>
      </c>
      <c r="AY182" s="25">
        <f t="shared" ca="1" si="157"/>
        <v>89.055690072639223</v>
      </c>
      <c r="AZ182" s="6">
        <f t="shared" ca="1" si="158"/>
        <v>48.377723970944309</v>
      </c>
      <c r="BA182" s="27">
        <f t="shared" ca="1" si="159"/>
        <v>40.677966101694913</v>
      </c>
      <c r="BB182" s="21">
        <f t="shared" ca="1" si="160"/>
        <v>0.54323001631321366</v>
      </c>
    </row>
    <row r="183" spans="6:54">
      <c r="F183" s="2"/>
      <c r="AQ183" s="2">
        <f t="shared" si="182"/>
        <v>64</v>
      </c>
      <c r="AR183" s="2" t="str">
        <f t="shared" ref="AR183:AS183" si="230">AR180</f>
        <v>CWF</v>
      </c>
      <c r="AS183" s="1">
        <f t="shared" si="230"/>
        <v>1</v>
      </c>
      <c r="AT183" s="2">
        <f t="shared" si="165"/>
        <v>21</v>
      </c>
      <c r="AU183" s="2">
        <f t="shared" si="184"/>
        <v>0</v>
      </c>
      <c r="AV183" s="52" t="str">
        <f t="shared" si="155"/>
        <v>data1!R21C25</v>
      </c>
      <c r="AW183" s="52" t="str">
        <f t="shared" si="156"/>
        <v>data1!R22C25</v>
      </c>
      <c r="AX183" s="2">
        <f t="shared" si="185"/>
        <v>300</v>
      </c>
      <c r="AY183" s="25">
        <f t="shared" ca="1" si="157"/>
        <v>26.276679841897231</v>
      </c>
      <c r="AZ183" s="6">
        <f t="shared" ca="1" si="158"/>
        <v>2.5849802371541486</v>
      </c>
      <c r="BA183" s="27">
        <f t="shared" ca="1" si="159"/>
        <v>23.691699604743082</v>
      </c>
      <c r="BB183" s="21">
        <f t="shared" ca="1" si="160"/>
        <v>9.8375451263537861E-2</v>
      </c>
    </row>
    <row r="184" spans="6:54">
      <c r="F184" s="2"/>
      <c r="AQ184" s="2">
        <f t="shared" si="182"/>
        <v>65</v>
      </c>
      <c r="AR184" s="2" t="str">
        <f t="shared" ref="AR184:AS184" si="231">AR181</f>
        <v>D65</v>
      </c>
      <c r="AS184" s="1">
        <f t="shared" si="231"/>
        <v>2</v>
      </c>
      <c r="AT184" s="2">
        <f t="shared" si="165"/>
        <v>21</v>
      </c>
      <c r="AU184" s="2">
        <f t="shared" si="184"/>
        <v>0</v>
      </c>
      <c r="AV184" s="52" t="str">
        <f t="shared" ref="AV184:AV247" si="232">"data"&amp;AS184&amp;"!R"&amp;($AV$117+2*AU184)&amp;"C"&amp;($AW$117+AT184)</f>
        <v>data2!R21C25</v>
      </c>
      <c r="AW184" s="52" t="str">
        <f t="shared" ref="AW184:AW247" si="233">"data"&amp;AS184&amp;"!R"&amp;(1+$AV$117+2*AU184)&amp;"C"&amp;($AW$117+AT184)</f>
        <v>data2!R22C25</v>
      </c>
      <c r="AX184" s="2">
        <f t="shared" si="185"/>
        <v>300</v>
      </c>
      <c r="AY184" s="25">
        <f t="shared" ref="AY184:AY247" ca="1" si="234">INDIRECT(AV184,FALSE)</f>
        <v>62.604982206405694</v>
      </c>
      <c r="AZ184" s="6">
        <f t="shared" ref="AZ184:AZ247" ca="1" si="235">AY184-INDIRECT(AW184,FALSE)</f>
        <v>21.266903914590749</v>
      </c>
      <c r="BA184" s="27">
        <f t="shared" ref="BA184:BA247" ca="1" si="236">AY184-AZ184</f>
        <v>41.338078291814945</v>
      </c>
      <c r="BB184" s="21">
        <f t="shared" ref="BB184:BB247" ca="1" si="237">AZ184/AY184</f>
        <v>0.339699863574352</v>
      </c>
    </row>
    <row r="185" spans="6:54">
      <c r="F185" s="2"/>
      <c r="AQ185" s="2">
        <f t="shared" si="182"/>
        <v>66</v>
      </c>
      <c r="AR185" s="2" t="str">
        <f t="shared" ref="AR185:AS185" si="238">AR182</f>
        <v>A</v>
      </c>
      <c r="AS185" s="1">
        <f t="shared" si="238"/>
        <v>0</v>
      </c>
      <c r="AT185" s="2">
        <f t="shared" si="165"/>
        <v>22</v>
      </c>
      <c r="AU185" s="2">
        <f t="shared" si="184"/>
        <v>0</v>
      </c>
      <c r="AV185" s="52" t="str">
        <f t="shared" si="232"/>
        <v>data0!R21C26</v>
      </c>
      <c r="AW185" s="52" t="str">
        <f t="shared" si="233"/>
        <v>data0!R22C26</v>
      </c>
      <c r="AX185" s="2">
        <f t="shared" si="185"/>
        <v>300</v>
      </c>
      <c r="AY185" s="25">
        <f t="shared" ca="1" si="234"/>
        <v>89.055690072639223</v>
      </c>
      <c r="AZ185" s="6">
        <f t="shared" ca="1" si="235"/>
        <v>48.377723970944309</v>
      </c>
      <c r="BA185" s="27">
        <f t="shared" ca="1" si="236"/>
        <v>40.677966101694913</v>
      </c>
      <c r="BB185" s="21">
        <f t="shared" ca="1" si="237"/>
        <v>0.54323001631321366</v>
      </c>
    </row>
    <row r="186" spans="6:54">
      <c r="F186" s="2"/>
      <c r="AQ186" s="2">
        <f t="shared" si="182"/>
        <v>67</v>
      </c>
      <c r="AR186" s="2" t="str">
        <f t="shared" ref="AR186:AS186" si="239">AR183</f>
        <v>CWF</v>
      </c>
      <c r="AS186" s="1">
        <f t="shared" si="239"/>
        <v>1</v>
      </c>
      <c r="AT186" s="2">
        <f t="shared" si="165"/>
        <v>22</v>
      </c>
      <c r="AU186" s="2">
        <f t="shared" si="184"/>
        <v>0</v>
      </c>
      <c r="AV186" s="52" t="str">
        <f t="shared" si="232"/>
        <v>data1!R21C26</v>
      </c>
      <c r="AW186" s="52" t="str">
        <f t="shared" si="233"/>
        <v>data1!R22C26</v>
      </c>
      <c r="AX186" s="2">
        <f t="shared" si="185"/>
        <v>300</v>
      </c>
      <c r="AY186" s="25">
        <f t="shared" ca="1" si="234"/>
        <v>26.276679841897231</v>
      </c>
      <c r="AZ186" s="6">
        <f t="shared" ca="1" si="235"/>
        <v>2.5849802371541486</v>
      </c>
      <c r="BA186" s="27">
        <f t="shared" ca="1" si="236"/>
        <v>23.691699604743082</v>
      </c>
      <c r="BB186" s="21">
        <f t="shared" ca="1" si="237"/>
        <v>9.8375451263537861E-2</v>
      </c>
    </row>
    <row r="187" spans="6:54">
      <c r="F187" s="2"/>
      <c r="AQ187" s="2">
        <f t="shared" si="182"/>
        <v>68</v>
      </c>
      <c r="AR187" s="2" t="str">
        <f t="shared" ref="AR187:AS187" si="240">AR184</f>
        <v>D65</v>
      </c>
      <c r="AS187" s="1">
        <f t="shared" si="240"/>
        <v>2</v>
      </c>
      <c r="AT187" s="2">
        <f t="shared" ref="AT187:AT214" si="241">AT184+1</f>
        <v>22</v>
      </c>
      <c r="AU187" s="2">
        <f t="shared" si="184"/>
        <v>0</v>
      </c>
      <c r="AV187" s="52" t="str">
        <f t="shared" si="232"/>
        <v>data2!R21C26</v>
      </c>
      <c r="AW187" s="52" t="str">
        <f t="shared" si="233"/>
        <v>data2!R22C26</v>
      </c>
      <c r="AX187" s="2">
        <f t="shared" si="185"/>
        <v>300</v>
      </c>
      <c r="AY187" s="25">
        <f t="shared" ca="1" si="234"/>
        <v>62.604982206405694</v>
      </c>
      <c r="AZ187" s="6">
        <f t="shared" ca="1" si="235"/>
        <v>21.266903914590749</v>
      </c>
      <c r="BA187" s="27">
        <f t="shared" ca="1" si="236"/>
        <v>41.338078291814945</v>
      </c>
      <c r="BB187" s="21">
        <f t="shared" ca="1" si="237"/>
        <v>0.339699863574352</v>
      </c>
    </row>
    <row r="188" spans="6:54">
      <c r="F188" s="2"/>
      <c r="AQ188" s="2">
        <f t="shared" si="182"/>
        <v>69</v>
      </c>
      <c r="AR188" s="2" t="str">
        <f t="shared" ref="AR188:AS188" si="242">AR185</f>
        <v>A</v>
      </c>
      <c r="AS188" s="1">
        <f t="shared" si="242"/>
        <v>0</v>
      </c>
      <c r="AT188" s="2">
        <f t="shared" si="241"/>
        <v>23</v>
      </c>
      <c r="AU188" s="2">
        <f t="shared" si="184"/>
        <v>0</v>
      </c>
      <c r="AV188" s="52" t="str">
        <f t="shared" si="232"/>
        <v>data0!R21C27</v>
      </c>
      <c r="AW188" s="52" t="str">
        <f t="shared" si="233"/>
        <v>data0!R22C27</v>
      </c>
      <c r="AX188" s="2">
        <f t="shared" si="185"/>
        <v>300</v>
      </c>
      <c r="AY188" s="25">
        <f t="shared" ca="1" si="234"/>
        <v>89.055690072639223</v>
      </c>
      <c r="AZ188" s="6">
        <f t="shared" ca="1" si="235"/>
        <v>48.377723970944309</v>
      </c>
      <c r="BA188" s="27">
        <f t="shared" ca="1" si="236"/>
        <v>40.677966101694913</v>
      </c>
      <c r="BB188" s="21">
        <f t="shared" ca="1" si="237"/>
        <v>0.54323001631321366</v>
      </c>
    </row>
    <row r="189" spans="6:54">
      <c r="F189" s="2"/>
      <c r="AQ189" s="2">
        <f t="shared" si="182"/>
        <v>70</v>
      </c>
      <c r="AR189" s="2" t="str">
        <f t="shared" ref="AR189:AS189" si="243">AR186</f>
        <v>CWF</v>
      </c>
      <c r="AS189" s="1">
        <f t="shared" si="243"/>
        <v>1</v>
      </c>
      <c r="AT189" s="2">
        <f t="shared" si="241"/>
        <v>23</v>
      </c>
      <c r="AU189" s="2">
        <f t="shared" si="184"/>
        <v>0</v>
      </c>
      <c r="AV189" s="52" t="str">
        <f t="shared" si="232"/>
        <v>data1!R21C27</v>
      </c>
      <c r="AW189" s="52" t="str">
        <f t="shared" si="233"/>
        <v>data1!R22C27</v>
      </c>
      <c r="AX189" s="2">
        <f t="shared" si="185"/>
        <v>300</v>
      </c>
      <c r="AY189" s="25">
        <f t="shared" ca="1" si="234"/>
        <v>26.276679841897231</v>
      </c>
      <c r="AZ189" s="6">
        <f t="shared" ca="1" si="235"/>
        <v>2.5849802371541486</v>
      </c>
      <c r="BA189" s="27">
        <f t="shared" ca="1" si="236"/>
        <v>23.691699604743082</v>
      </c>
      <c r="BB189" s="21">
        <f t="shared" ca="1" si="237"/>
        <v>9.8375451263537861E-2</v>
      </c>
    </row>
    <row r="190" spans="6:54">
      <c r="F190" s="2"/>
      <c r="AQ190" s="2">
        <f t="shared" si="182"/>
        <v>71</v>
      </c>
      <c r="AR190" s="2" t="str">
        <f t="shared" ref="AR190:AS190" si="244">AR187</f>
        <v>D65</v>
      </c>
      <c r="AS190" s="1">
        <f t="shared" si="244"/>
        <v>2</v>
      </c>
      <c r="AT190" s="2">
        <f t="shared" si="241"/>
        <v>23</v>
      </c>
      <c r="AU190" s="2">
        <f t="shared" si="184"/>
        <v>0</v>
      </c>
      <c r="AV190" s="52" t="str">
        <f t="shared" si="232"/>
        <v>data2!R21C27</v>
      </c>
      <c r="AW190" s="52" t="str">
        <f t="shared" si="233"/>
        <v>data2!R22C27</v>
      </c>
      <c r="AX190" s="2">
        <f t="shared" si="185"/>
        <v>300</v>
      </c>
      <c r="AY190" s="25">
        <f t="shared" ca="1" si="234"/>
        <v>62.604982206405694</v>
      </c>
      <c r="AZ190" s="6">
        <f t="shared" ca="1" si="235"/>
        <v>21.266903914590749</v>
      </c>
      <c r="BA190" s="27">
        <f t="shared" ca="1" si="236"/>
        <v>41.338078291814945</v>
      </c>
      <c r="BB190" s="21">
        <f t="shared" ca="1" si="237"/>
        <v>0.339699863574352</v>
      </c>
    </row>
    <row r="191" spans="6:54">
      <c r="F191" s="2"/>
      <c r="AQ191" s="2">
        <f t="shared" si="182"/>
        <v>72</v>
      </c>
      <c r="AR191" s="2" t="str">
        <f t="shared" ref="AR191:AS191" si="245">AR188</f>
        <v>A</v>
      </c>
      <c r="AS191" s="1">
        <f t="shared" si="245"/>
        <v>0</v>
      </c>
      <c r="AT191" s="2">
        <f t="shared" si="241"/>
        <v>24</v>
      </c>
      <c r="AU191" s="2">
        <f t="shared" si="184"/>
        <v>0</v>
      </c>
      <c r="AV191" s="52" t="str">
        <f t="shared" si="232"/>
        <v>data0!R21C28</v>
      </c>
      <c r="AW191" s="52" t="str">
        <f t="shared" si="233"/>
        <v>data0!R22C28</v>
      </c>
      <c r="AX191" s="2">
        <f t="shared" si="185"/>
        <v>300</v>
      </c>
      <c r="AY191" s="25">
        <f t="shared" ca="1" si="234"/>
        <v>89.055690072639223</v>
      </c>
      <c r="AZ191" s="6">
        <f t="shared" ca="1" si="235"/>
        <v>48.377723970944309</v>
      </c>
      <c r="BA191" s="27">
        <f t="shared" ca="1" si="236"/>
        <v>40.677966101694913</v>
      </c>
      <c r="BB191" s="21">
        <f t="shared" ca="1" si="237"/>
        <v>0.54323001631321366</v>
      </c>
    </row>
    <row r="192" spans="6:54">
      <c r="F192" s="2"/>
      <c r="AQ192" s="2">
        <f t="shared" si="182"/>
        <v>73</v>
      </c>
      <c r="AR192" s="2" t="str">
        <f t="shared" ref="AR192:AS192" si="246">AR189</f>
        <v>CWF</v>
      </c>
      <c r="AS192" s="1">
        <f t="shared" si="246"/>
        <v>1</v>
      </c>
      <c r="AT192" s="2">
        <f t="shared" si="241"/>
        <v>24</v>
      </c>
      <c r="AU192" s="2">
        <f t="shared" si="184"/>
        <v>0</v>
      </c>
      <c r="AV192" s="52" t="str">
        <f t="shared" si="232"/>
        <v>data1!R21C28</v>
      </c>
      <c r="AW192" s="52" t="str">
        <f t="shared" si="233"/>
        <v>data1!R22C28</v>
      </c>
      <c r="AX192" s="2">
        <f t="shared" si="185"/>
        <v>300</v>
      </c>
      <c r="AY192" s="25">
        <f t="shared" ca="1" si="234"/>
        <v>26.276679841897231</v>
      </c>
      <c r="AZ192" s="6">
        <f t="shared" ca="1" si="235"/>
        <v>2.5849802371541486</v>
      </c>
      <c r="BA192" s="27">
        <f t="shared" ca="1" si="236"/>
        <v>23.691699604743082</v>
      </c>
      <c r="BB192" s="21">
        <f t="shared" ca="1" si="237"/>
        <v>9.8375451263537861E-2</v>
      </c>
    </row>
    <row r="193" spans="6:54">
      <c r="F193" s="2"/>
      <c r="AQ193" s="2">
        <f t="shared" si="182"/>
        <v>74</v>
      </c>
      <c r="AR193" s="2" t="str">
        <f t="shared" ref="AR193:AS193" si="247">AR190</f>
        <v>D65</v>
      </c>
      <c r="AS193" s="1">
        <f t="shared" si="247"/>
        <v>2</v>
      </c>
      <c r="AT193" s="2">
        <f t="shared" si="241"/>
        <v>24</v>
      </c>
      <c r="AU193" s="2">
        <f t="shared" si="184"/>
        <v>0</v>
      </c>
      <c r="AV193" s="52" t="str">
        <f t="shared" si="232"/>
        <v>data2!R21C28</v>
      </c>
      <c r="AW193" s="52" t="str">
        <f t="shared" si="233"/>
        <v>data2!R22C28</v>
      </c>
      <c r="AX193" s="2">
        <f t="shared" si="185"/>
        <v>300</v>
      </c>
      <c r="AY193" s="25">
        <f t="shared" ca="1" si="234"/>
        <v>62.604982206405694</v>
      </c>
      <c r="AZ193" s="6">
        <f t="shared" ca="1" si="235"/>
        <v>21.266903914590749</v>
      </c>
      <c r="BA193" s="27">
        <f t="shared" ca="1" si="236"/>
        <v>41.338078291814945</v>
      </c>
      <c r="BB193" s="21">
        <f t="shared" ca="1" si="237"/>
        <v>0.339699863574352</v>
      </c>
    </row>
    <row r="194" spans="6:54">
      <c r="F194" s="2"/>
      <c r="AQ194" s="2">
        <f t="shared" si="182"/>
        <v>75</v>
      </c>
      <c r="AR194" s="2" t="str">
        <f t="shared" ref="AR194:AS194" si="248">AR191</f>
        <v>A</v>
      </c>
      <c r="AS194" s="1">
        <f t="shared" si="248"/>
        <v>0</v>
      </c>
      <c r="AT194" s="2">
        <f t="shared" si="241"/>
        <v>25</v>
      </c>
      <c r="AU194" s="2">
        <f t="shared" si="184"/>
        <v>0</v>
      </c>
      <c r="AV194" s="52" t="str">
        <f t="shared" si="232"/>
        <v>data0!R21C29</v>
      </c>
      <c r="AW194" s="52" t="str">
        <f t="shared" si="233"/>
        <v>data0!R22C29</v>
      </c>
      <c r="AX194" s="2">
        <f t="shared" si="185"/>
        <v>300</v>
      </c>
      <c r="AY194" s="25">
        <f t="shared" ca="1" si="234"/>
        <v>89.055690072639223</v>
      </c>
      <c r="AZ194" s="6">
        <f t="shared" ca="1" si="235"/>
        <v>48.377723970944309</v>
      </c>
      <c r="BA194" s="27">
        <f t="shared" ca="1" si="236"/>
        <v>40.677966101694913</v>
      </c>
      <c r="BB194" s="21">
        <f t="shared" ca="1" si="237"/>
        <v>0.54323001631321366</v>
      </c>
    </row>
    <row r="195" spans="6:54">
      <c r="F195" s="2"/>
      <c r="AQ195" s="2">
        <f t="shared" si="182"/>
        <v>76</v>
      </c>
      <c r="AR195" s="2" t="str">
        <f t="shared" ref="AR195:AS195" si="249">AR192</f>
        <v>CWF</v>
      </c>
      <c r="AS195" s="1">
        <f t="shared" si="249"/>
        <v>1</v>
      </c>
      <c r="AT195" s="2">
        <f t="shared" si="241"/>
        <v>25</v>
      </c>
      <c r="AU195" s="2">
        <f t="shared" si="184"/>
        <v>0</v>
      </c>
      <c r="AV195" s="52" t="str">
        <f t="shared" si="232"/>
        <v>data1!R21C29</v>
      </c>
      <c r="AW195" s="52" t="str">
        <f t="shared" si="233"/>
        <v>data1!R22C29</v>
      </c>
      <c r="AX195" s="2">
        <f t="shared" si="185"/>
        <v>300</v>
      </c>
      <c r="AY195" s="25">
        <f t="shared" ca="1" si="234"/>
        <v>26.276679841897231</v>
      </c>
      <c r="AZ195" s="6">
        <f t="shared" ca="1" si="235"/>
        <v>2.5849802371541486</v>
      </c>
      <c r="BA195" s="27">
        <f t="shared" ca="1" si="236"/>
        <v>23.691699604743082</v>
      </c>
      <c r="BB195" s="21">
        <f t="shared" ca="1" si="237"/>
        <v>9.8375451263537861E-2</v>
      </c>
    </row>
    <row r="196" spans="6:54">
      <c r="F196" s="2"/>
      <c r="AQ196" s="2">
        <f t="shared" si="182"/>
        <v>77</v>
      </c>
      <c r="AR196" s="2" t="str">
        <f t="shared" ref="AR196:AS196" si="250">AR193</f>
        <v>D65</v>
      </c>
      <c r="AS196" s="1">
        <f t="shared" si="250"/>
        <v>2</v>
      </c>
      <c r="AT196" s="2">
        <f t="shared" si="241"/>
        <v>25</v>
      </c>
      <c r="AU196" s="2">
        <f t="shared" si="184"/>
        <v>0</v>
      </c>
      <c r="AV196" s="52" t="str">
        <f t="shared" si="232"/>
        <v>data2!R21C29</v>
      </c>
      <c r="AW196" s="52" t="str">
        <f t="shared" si="233"/>
        <v>data2!R22C29</v>
      </c>
      <c r="AX196" s="2">
        <f t="shared" si="185"/>
        <v>300</v>
      </c>
      <c r="AY196" s="25">
        <f t="shared" ca="1" si="234"/>
        <v>62.604982206405694</v>
      </c>
      <c r="AZ196" s="6">
        <f t="shared" ca="1" si="235"/>
        <v>21.266903914590749</v>
      </c>
      <c r="BA196" s="27">
        <f t="shared" ca="1" si="236"/>
        <v>41.338078291814945</v>
      </c>
      <c r="BB196" s="21">
        <f t="shared" ca="1" si="237"/>
        <v>0.339699863574352</v>
      </c>
    </row>
    <row r="197" spans="6:54">
      <c r="F197" s="2"/>
      <c r="AQ197" s="2">
        <f t="shared" si="182"/>
        <v>78</v>
      </c>
      <c r="AR197" s="2" t="str">
        <f t="shared" ref="AR197:AS197" si="251">AR194</f>
        <v>A</v>
      </c>
      <c r="AS197" s="1">
        <f t="shared" si="251"/>
        <v>0</v>
      </c>
      <c r="AT197" s="2">
        <f t="shared" si="241"/>
        <v>26</v>
      </c>
      <c r="AU197" s="2">
        <f t="shared" si="184"/>
        <v>0</v>
      </c>
      <c r="AV197" s="52" t="str">
        <f t="shared" si="232"/>
        <v>data0!R21C30</v>
      </c>
      <c r="AW197" s="52" t="str">
        <f t="shared" si="233"/>
        <v>data0!R22C30</v>
      </c>
      <c r="AX197" s="2">
        <f t="shared" si="185"/>
        <v>300</v>
      </c>
      <c r="AY197" s="25">
        <f t="shared" ca="1" si="234"/>
        <v>89.055690072639223</v>
      </c>
      <c r="AZ197" s="6">
        <f t="shared" ca="1" si="235"/>
        <v>48.377723970944309</v>
      </c>
      <c r="BA197" s="27">
        <f t="shared" ca="1" si="236"/>
        <v>40.677966101694913</v>
      </c>
      <c r="BB197" s="21">
        <f t="shared" ca="1" si="237"/>
        <v>0.54323001631321366</v>
      </c>
    </row>
    <row r="198" spans="6:54">
      <c r="F198" s="2"/>
      <c r="AQ198" s="2">
        <f t="shared" si="182"/>
        <v>79</v>
      </c>
      <c r="AR198" s="2" t="str">
        <f t="shared" ref="AR198:AS198" si="252">AR195</f>
        <v>CWF</v>
      </c>
      <c r="AS198" s="1">
        <f t="shared" si="252"/>
        <v>1</v>
      </c>
      <c r="AT198" s="2">
        <f t="shared" si="241"/>
        <v>26</v>
      </c>
      <c r="AU198" s="2">
        <f t="shared" si="184"/>
        <v>0</v>
      </c>
      <c r="AV198" s="52" t="str">
        <f t="shared" si="232"/>
        <v>data1!R21C30</v>
      </c>
      <c r="AW198" s="52" t="str">
        <f t="shared" si="233"/>
        <v>data1!R22C30</v>
      </c>
      <c r="AX198" s="2">
        <f t="shared" si="185"/>
        <v>300</v>
      </c>
      <c r="AY198" s="25">
        <f t="shared" ca="1" si="234"/>
        <v>26.276679841897231</v>
      </c>
      <c r="AZ198" s="6">
        <f t="shared" ca="1" si="235"/>
        <v>2.5849802371541486</v>
      </c>
      <c r="BA198" s="27">
        <f t="shared" ca="1" si="236"/>
        <v>23.691699604743082</v>
      </c>
      <c r="BB198" s="21">
        <f t="shared" ca="1" si="237"/>
        <v>9.8375451263537861E-2</v>
      </c>
    </row>
    <row r="199" spans="6:54">
      <c r="F199" s="2"/>
      <c r="AQ199" s="2">
        <f t="shared" si="182"/>
        <v>80</v>
      </c>
      <c r="AR199" s="2" t="str">
        <f t="shared" ref="AR199:AS199" si="253">AR196</f>
        <v>D65</v>
      </c>
      <c r="AS199" s="1">
        <f t="shared" si="253"/>
        <v>2</v>
      </c>
      <c r="AT199" s="2">
        <f t="shared" si="241"/>
        <v>26</v>
      </c>
      <c r="AU199" s="2">
        <f t="shared" si="184"/>
        <v>0</v>
      </c>
      <c r="AV199" s="52" t="str">
        <f t="shared" si="232"/>
        <v>data2!R21C30</v>
      </c>
      <c r="AW199" s="52" t="str">
        <f t="shared" si="233"/>
        <v>data2!R22C30</v>
      </c>
      <c r="AX199" s="2">
        <f t="shared" si="185"/>
        <v>300</v>
      </c>
      <c r="AY199" s="25">
        <f t="shared" ca="1" si="234"/>
        <v>62.604982206405694</v>
      </c>
      <c r="AZ199" s="6">
        <f t="shared" ca="1" si="235"/>
        <v>21.266903914590749</v>
      </c>
      <c r="BA199" s="27">
        <f t="shared" ca="1" si="236"/>
        <v>41.338078291814945</v>
      </c>
      <c r="BB199" s="21">
        <f t="shared" ca="1" si="237"/>
        <v>0.339699863574352</v>
      </c>
    </row>
    <row r="200" spans="6:54">
      <c r="F200" s="2"/>
      <c r="AQ200" s="2">
        <f t="shared" si="182"/>
        <v>81</v>
      </c>
      <c r="AR200" s="2" t="str">
        <f t="shared" ref="AR200:AS200" si="254">AR197</f>
        <v>A</v>
      </c>
      <c r="AS200" s="1">
        <f t="shared" si="254"/>
        <v>0</v>
      </c>
      <c r="AT200" s="2">
        <f t="shared" si="241"/>
        <v>27</v>
      </c>
      <c r="AU200" s="2">
        <f t="shared" si="184"/>
        <v>0</v>
      </c>
      <c r="AV200" s="52" t="str">
        <f t="shared" si="232"/>
        <v>data0!R21C31</v>
      </c>
      <c r="AW200" s="52" t="str">
        <f t="shared" si="233"/>
        <v>data0!R22C31</v>
      </c>
      <c r="AX200" s="2">
        <f t="shared" si="185"/>
        <v>300</v>
      </c>
      <c r="AY200" s="25">
        <f t="shared" ca="1" si="234"/>
        <v>89.055690072639223</v>
      </c>
      <c r="AZ200" s="6">
        <f t="shared" ca="1" si="235"/>
        <v>48.377723970944309</v>
      </c>
      <c r="BA200" s="27">
        <f t="shared" ca="1" si="236"/>
        <v>40.677966101694913</v>
      </c>
      <c r="BB200" s="21">
        <f t="shared" ca="1" si="237"/>
        <v>0.54323001631321366</v>
      </c>
    </row>
    <row r="201" spans="6:54">
      <c r="F201" s="2"/>
      <c r="AQ201" s="2">
        <f t="shared" si="182"/>
        <v>82</v>
      </c>
      <c r="AR201" s="2" t="str">
        <f t="shared" ref="AR201:AS201" si="255">AR198</f>
        <v>CWF</v>
      </c>
      <c r="AS201" s="1">
        <f t="shared" si="255"/>
        <v>1</v>
      </c>
      <c r="AT201" s="2">
        <f t="shared" si="241"/>
        <v>27</v>
      </c>
      <c r="AU201" s="2">
        <f t="shared" si="184"/>
        <v>0</v>
      </c>
      <c r="AV201" s="52" t="str">
        <f t="shared" si="232"/>
        <v>data1!R21C31</v>
      </c>
      <c r="AW201" s="52" t="str">
        <f t="shared" si="233"/>
        <v>data1!R22C31</v>
      </c>
      <c r="AX201" s="2">
        <f t="shared" si="185"/>
        <v>300</v>
      </c>
      <c r="AY201" s="25">
        <f t="shared" ca="1" si="234"/>
        <v>26.276679841897231</v>
      </c>
      <c r="AZ201" s="6">
        <f t="shared" ca="1" si="235"/>
        <v>2.5849802371541486</v>
      </c>
      <c r="BA201" s="27">
        <f t="shared" ca="1" si="236"/>
        <v>23.691699604743082</v>
      </c>
      <c r="BB201" s="21">
        <f t="shared" ca="1" si="237"/>
        <v>9.8375451263537861E-2</v>
      </c>
    </row>
    <row r="202" spans="6:54">
      <c r="F202" s="2"/>
      <c r="AQ202" s="2">
        <f t="shared" ref="AQ202:AQ215" si="256">AQ201+1</f>
        <v>83</v>
      </c>
      <c r="AR202" s="2" t="str">
        <f t="shared" ref="AR202:AS202" si="257">AR199</f>
        <v>D65</v>
      </c>
      <c r="AS202" s="1">
        <f t="shared" si="257"/>
        <v>2</v>
      </c>
      <c r="AT202" s="2">
        <f t="shared" si="241"/>
        <v>27</v>
      </c>
      <c r="AU202" s="2">
        <f t="shared" ref="AU202:AU214" si="258">AU201</f>
        <v>0</v>
      </c>
      <c r="AV202" s="52" t="str">
        <f t="shared" si="232"/>
        <v>data2!R21C31</v>
      </c>
      <c r="AW202" s="52" t="str">
        <f t="shared" si="233"/>
        <v>data2!R22C31</v>
      </c>
      <c r="AX202" s="2">
        <f t="shared" ref="AX202:AX265" si="259">AX199</f>
        <v>300</v>
      </c>
      <c r="AY202" s="25">
        <f t="shared" ca="1" si="234"/>
        <v>62.604982206405694</v>
      </c>
      <c r="AZ202" s="6">
        <f t="shared" ca="1" si="235"/>
        <v>21.266903914590749</v>
      </c>
      <c r="BA202" s="27">
        <f t="shared" ca="1" si="236"/>
        <v>41.338078291814945</v>
      </c>
      <c r="BB202" s="21">
        <f t="shared" ca="1" si="237"/>
        <v>0.339699863574352</v>
      </c>
    </row>
    <row r="203" spans="6:54">
      <c r="F203" s="2"/>
      <c r="AQ203" s="2">
        <f t="shared" si="256"/>
        <v>84</v>
      </c>
      <c r="AR203" s="2" t="str">
        <f t="shared" ref="AR203:AS203" si="260">AR200</f>
        <v>A</v>
      </c>
      <c r="AS203" s="1">
        <f t="shared" si="260"/>
        <v>0</v>
      </c>
      <c r="AT203" s="2">
        <f t="shared" si="241"/>
        <v>28</v>
      </c>
      <c r="AU203" s="2">
        <f t="shared" si="258"/>
        <v>0</v>
      </c>
      <c r="AV203" s="52" t="str">
        <f t="shared" si="232"/>
        <v>data0!R21C32</v>
      </c>
      <c r="AW203" s="52" t="str">
        <f t="shared" si="233"/>
        <v>data0!R22C32</v>
      </c>
      <c r="AX203" s="2">
        <f t="shared" si="259"/>
        <v>300</v>
      </c>
      <c r="AY203" s="25">
        <f t="shared" ca="1" si="234"/>
        <v>89.055690072639223</v>
      </c>
      <c r="AZ203" s="6">
        <f t="shared" ca="1" si="235"/>
        <v>48.377723970944309</v>
      </c>
      <c r="BA203" s="27">
        <f t="shared" ca="1" si="236"/>
        <v>40.677966101694913</v>
      </c>
      <c r="BB203" s="21">
        <f t="shared" ca="1" si="237"/>
        <v>0.54323001631321366</v>
      </c>
    </row>
    <row r="204" spans="6:54">
      <c r="F204" s="2"/>
      <c r="AQ204" s="2">
        <f t="shared" si="256"/>
        <v>85</v>
      </c>
      <c r="AR204" s="2" t="str">
        <f t="shared" ref="AR204:AS204" si="261">AR201</f>
        <v>CWF</v>
      </c>
      <c r="AS204" s="1">
        <f t="shared" si="261"/>
        <v>1</v>
      </c>
      <c r="AT204" s="2">
        <f t="shared" si="241"/>
        <v>28</v>
      </c>
      <c r="AU204" s="2">
        <f t="shared" si="258"/>
        <v>0</v>
      </c>
      <c r="AV204" s="52" t="str">
        <f t="shared" si="232"/>
        <v>data1!R21C32</v>
      </c>
      <c r="AW204" s="52" t="str">
        <f t="shared" si="233"/>
        <v>data1!R22C32</v>
      </c>
      <c r="AX204" s="2">
        <f t="shared" si="259"/>
        <v>300</v>
      </c>
      <c r="AY204" s="25">
        <f t="shared" ca="1" si="234"/>
        <v>26.276679841897231</v>
      </c>
      <c r="AZ204" s="6">
        <f t="shared" ca="1" si="235"/>
        <v>2.5849802371541486</v>
      </c>
      <c r="BA204" s="27">
        <f t="shared" ca="1" si="236"/>
        <v>23.691699604743082</v>
      </c>
      <c r="BB204" s="21">
        <f t="shared" ca="1" si="237"/>
        <v>9.8375451263537861E-2</v>
      </c>
    </row>
    <row r="205" spans="6:54">
      <c r="F205" s="2"/>
      <c r="AQ205" s="2">
        <f t="shared" si="256"/>
        <v>86</v>
      </c>
      <c r="AR205" s="2" t="str">
        <f t="shared" ref="AR205:AS205" si="262">AR202</f>
        <v>D65</v>
      </c>
      <c r="AS205" s="1">
        <f t="shared" si="262"/>
        <v>2</v>
      </c>
      <c r="AT205" s="2">
        <f t="shared" si="241"/>
        <v>28</v>
      </c>
      <c r="AU205" s="2">
        <f t="shared" si="258"/>
        <v>0</v>
      </c>
      <c r="AV205" s="52" t="str">
        <f t="shared" si="232"/>
        <v>data2!R21C32</v>
      </c>
      <c r="AW205" s="52" t="str">
        <f t="shared" si="233"/>
        <v>data2!R22C32</v>
      </c>
      <c r="AX205" s="2">
        <f t="shared" si="259"/>
        <v>300</v>
      </c>
      <c r="AY205" s="25">
        <f t="shared" ca="1" si="234"/>
        <v>62.604982206405694</v>
      </c>
      <c r="AZ205" s="6">
        <f t="shared" ca="1" si="235"/>
        <v>21.266903914590749</v>
      </c>
      <c r="BA205" s="27">
        <f t="shared" ca="1" si="236"/>
        <v>41.338078291814945</v>
      </c>
      <c r="BB205" s="21">
        <f t="shared" ca="1" si="237"/>
        <v>0.339699863574352</v>
      </c>
    </row>
    <row r="206" spans="6:54">
      <c r="F206" s="2"/>
      <c r="AQ206" s="2">
        <f t="shared" si="256"/>
        <v>87</v>
      </c>
      <c r="AR206" s="2" t="str">
        <f t="shared" ref="AR206:AS206" si="263">AR203</f>
        <v>A</v>
      </c>
      <c r="AS206" s="1">
        <f t="shared" si="263"/>
        <v>0</v>
      </c>
      <c r="AT206" s="2">
        <f t="shared" si="241"/>
        <v>29</v>
      </c>
      <c r="AU206" s="2">
        <f t="shared" si="258"/>
        <v>0</v>
      </c>
      <c r="AV206" s="52" t="str">
        <f t="shared" si="232"/>
        <v>data0!R21C33</v>
      </c>
      <c r="AW206" s="52" t="str">
        <f t="shared" si="233"/>
        <v>data0!R22C33</v>
      </c>
      <c r="AX206" s="2">
        <f t="shared" si="259"/>
        <v>300</v>
      </c>
      <c r="AY206" s="25">
        <f t="shared" ca="1" si="234"/>
        <v>89.055690072639223</v>
      </c>
      <c r="AZ206" s="6">
        <f t="shared" ca="1" si="235"/>
        <v>48.377723970944309</v>
      </c>
      <c r="BA206" s="27">
        <f t="shared" ca="1" si="236"/>
        <v>40.677966101694913</v>
      </c>
      <c r="BB206" s="21">
        <f t="shared" ca="1" si="237"/>
        <v>0.54323001631321366</v>
      </c>
    </row>
    <row r="207" spans="6:54">
      <c r="F207" s="2"/>
      <c r="AQ207" s="2">
        <f t="shared" si="256"/>
        <v>88</v>
      </c>
      <c r="AR207" s="2" t="str">
        <f t="shared" ref="AR207:AS207" si="264">AR204</f>
        <v>CWF</v>
      </c>
      <c r="AS207" s="1">
        <f t="shared" si="264"/>
        <v>1</v>
      </c>
      <c r="AT207" s="2">
        <f t="shared" si="241"/>
        <v>29</v>
      </c>
      <c r="AU207" s="2">
        <f t="shared" si="258"/>
        <v>0</v>
      </c>
      <c r="AV207" s="52" t="str">
        <f t="shared" si="232"/>
        <v>data1!R21C33</v>
      </c>
      <c r="AW207" s="52" t="str">
        <f t="shared" si="233"/>
        <v>data1!R22C33</v>
      </c>
      <c r="AX207" s="2">
        <f t="shared" si="259"/>
        <v>300</v>
      </c>
      <c r="AY207" s="25">
        <f t="shared" ca="1" si="234"/>
        <v>26.276679841897231</v>
      </c>
      <c r="AZ207" s="6">
        <f t="shared" ca="1" si="235"/>
        <v>2.5849802371541486</v>
      </c>
      <c r="BA207" s="27">
        <f t="shared" ca="1" si="236"/>
        <v>23.691699604743082</v>
      </c>
      <c r="BB207" s="21">
        <f t="shared" ca="1" si="237"/>
        <v>9.8375451263537861E-2</v>
      </c>
    </row>
    <row r="208" spans="6:54">
      <c r="F208" s="2"/>
      <c r="AQ208" s="2">
        <f t="shared" si="256"/>
        <v>89</v>
      </c>
      <c r="AR208" s="2" t="str">
        <f t="shared" ref="AR208:AS208" si="265">AR205</f>
        <v>D65</v>
      </c>
      <c r="AS208" s="1">
        <f t="shared" si="265"/>
        <v>2</v>
      </c>
      <c r="AT208" s="2">
        <f t="shared" si="241"/>
        <v>29</v>
      </c>
      <c r="AU208" s="2">
        <f t="shared" si="258"/>
        <v>0</v>
      </c>
      <c r="AV208" s="52" t="str">
        <f t="shared" si="232"/>
        <v>data2!R21C33</v>
      </c>
      <c r="AW208" s="52" t="str">
        <f t="shared" si="233"/>
        <v>data2!R22C33</v>
      </c>
      <c r="AX208" s="2">
        <f t="shared" si="259"/>
        <v>300</v>
      </c>
      <c r="AY208" s="25">
        <f t="shared" ca="1" si="234"/>
        <v>62.604982206405694</v>
      </c>
      <c r="AZ208" s="6">
        <f t="shared" ca="1" si="235"/>
        <v>21.266903914590749</v>
      </c>
      <c r="BA208" s="27">
        <f t="shared" ca="1" si="236"/>
        <v>41.338078291814945</v>
      </c>
      <c r="BB208" s="21">
        <f t="shared" ca="1" si="237"/>
        <v>0.339699863574352</v>
      </c>
    </row>
    <row r="209" spans="6:54">
      <c r="F209" s="2"/>
      <c r="AQ209" s="2">
        <f t="shared" si="256"/>
        <v>90</v>
      </c>
      <c r="AR209" s="2" t="str">
        <f t="shared" ref="AR209:AS209" si="266">AR206</f>
        <v>A</v>
      </c>
      <c r="AS209" s="1">
        <f t="shared" si="266"/>
        <v>0</v>
      </c>
      <c r="AT209" s="2">
        <f t="shared" si="241"/>
        <v>30</v>
      </c>
      <c r="AU209" s="2">
        <f t="shared" si="258"/>
        <v>0</v>
      </c>
      <c r="AV209" s="52" t="str">
        <f t="shared" si="232"/>
        <v>data0!R21C34</v>
      </c>
      <c r="AW209" s="52" t="str">
        <f t="shared" si="233"/>
        <v>data0!R22C34</v>
      </c>
      <c r="AX209" s="2">
        <f t="shared" si="259"/>
        <v>300</v>
      </c>
      <c r="AY209" s="25">
        <f t="shared" ca="1" si="234"/>
        <v>89.055690072639223</v>
      </c>
      <c r="AZ209" s="6">
        <f t="shared" ca="1" si="235"/>
        <v>48.377723970944309</v>
      </c>
      <c r="BA209" s="27">
        <f t="shared" ca="1" si="236"/>
        <v>40.677966101694913</v>
      </c>
      <c r="BB209" s="21">
        <f t="shared" ca="1" si="237"/>
        <v>0.54323001631321366</v>
      </c>
    </row>
    <row r="210" spans="6:54">
      <c r="F210" s="2"/>
      <c r="AQ210" s="2">
        <f t="shared" si="256"/>
        <v>91</v>
      </c>
      <c r="AR210" s="2" t="str">
        <f t="shared" ref="AR210:AS210" si="267">AR207</f>
        <v>CWF</v>
      </c>
      <c r="AS210" s="1">
        <f t="shared" si="267"/>
        <v>1</v>
      </c>
      <c r="AT210" s="2">
        <f t="shared" si="241"/>
        <v>30</v>
      </c>
      <c r="AU210" s="2">
        <f t="shared" si="258"/>
        <v>0</v>
      </c>
      <c r="AV210" s="52" t="str">
        <f t="shared" si="232"/>
        <v>data1!R21C34</v>
      </c>
      <c r="AW210" s="52" t="str">
        <f t="shared" si="233"/>
        <v>data1!R22C34</v>
      </c>
      <c r="AX210" s="2">
        <f t="shared" si="259"/>
        <v>300</v>
      </c>
      <c r="AY210" s="25">
        <f t="shared" ca="1" si="234"/>
        <v>26.276679841897231</v>
      </c>
      <c r="AZ210" s="6">
        <f t="shared" ca="1" si="235"/>
        <v>2.5849802371541486</v>
      </c>
      <c r="BA210" s="27">
        <f t="shared" ca="1" si="236"/>
        <v>23.691699604743082</v>
      </c>
      <c r="BB210" s="21">
        <f t="shared" ca="1" si="237"/>
        <v>9.8375451263537861E-2</v>
      </c>
    </row>
    <row r="211" spans="6:54">
      <c r="F211" s="2"/>
      <c r="AQ211" s="2">
        <f t="shared" si="256"/>
        <v>92</v>
      </c>
      <c r="AR211" s="2" t="str">
        <f t="shared" ref="AR211:AS211" si="268">AR208</f>
        <v>D65</v>
      </c>
      <c r="AS211" s="1">
        <f t="shared" si="268"/>
        <v>2</v>
      </c>
      <c r="AT211" s="2">
        <f t="shared" si="241"/>
        <v>30</v>
      </c>
      <c r="AU211" s="2">
        <f t="shared" si="258"/>
        <v>0</v>
      </c>
      <c r="AV211" s="52" t="str">
        <f t="shared" si="232"/>
        <v>data2!R21C34</v>
      </c>
      <c r="AW211" s="52" t="str">
        <f t="shared" si="233"/>
        <v>data2!R22C34</v>
      </c>
      <c r="AX211" s="2">
        <f t="shared" si="259"/>
        <v>300</v>
      </c>
      <c r="AY211" s="25">
        <f t="shared" ca="1" si="234"/>
        <v>62.604982206405694</v>
      </c>
      <c r="AZ211" s="6">
        <f t="shared" ca="1" si="235"/>
        <v>21.266903914590749</v>
      </c>
      <c r="BA211" s="27">
        <f t="shared" ca="1" si="236"/>
        <v>41.338078291814945</v>
      </c>
      <c r="BB211" s="21">
        <f t="shared" ca="1" si="237"/>
        <v>0.339699863574352</v>
      </c>
    </row>
    <row r="212" spans="6:54">
      <c r="F212" s="2"/>
      <c r="AQ212" s="2">
        <f t="shared" si="256"/>
        <v>93</v>
      </c>
      <c r="AR212" s="2" t="str">
        <f t="shared" ref="AR212:AS212" si="269">AR209</f>
        <v>A</v>
      </c>
      <c r="AS212" s="1">
        <f t="shared" si="269"/>
        <v>0</v>
      </c>
      <c r="AT212" s="2">
        <f t="shared" si="241"/>
        <v>31</v>
      </c>
      <c r="AU212" s="2">
        <f t="shared" si="258"/>
        <v>0</v>
      </c>
      <c r="AV212" s="52" t="str">
        <f t="shared" si="232"/>
        <v>data0!R21C35</v>
      </c>
      <c r="AW212" s="52" t="str">
        <f t="shared" si="233"/>
        <v>data0!R22C35</v>
      </c>
      <c r="AX212" s="2">
        <f t="shared" si="259"/>
        <v>300</v>
      </c>
      <c r="AY212" s="25">
        <f t="shared" ca="1" si="234"/>
        <v>89.055690072639223</v>
      </c>
      <c r="AZ212" s="6">
        <f t="shared" ca="1" si="235"/>
        <v>48.377723970944309</v>
      </c>
      <c r="BA212" s="27">
        <f t="shared" ca="1" si="236"/>
        <v>40.677966101694913</v>
      </c>
      <c r="BB212" s="21">
        <f t="shared" ca="1" si="237"/>
        <v>0.54323001631321366</v>
      </c>
    </row>
    <row r="213" spans="6:54">
      <c r="F213" s="2"/>
      <c r="AQ213" s="2">
        <f t="shared" si="256"/>
        <v>94</v>
      </c>
      <c r="AR213" s="2" t="str">
        <f t="shared" ref="AR213:AS213" si="270">AR210</f>
        <v>CWF</v>
      </c>
      <c r="AS213" s="1">
        <f t="shared" si="270"/>
        <v>1</v>
      </c>
      <c r="AT213" s="2">
        <f t="shared" si="241"/>
        <v>31</v>
      </c>
      <c r="AU213" s="2">
        <f t="shared" si="258"/>
        <v>0</v>
      </c>
      <c r="AV213" s="52" t="str">
        <f t="shared" si="232"/>
        <v>data1!R21C35</v>
      </c>
      <c r="AW213" s="52" t="str">
        <f t="shared" si="233"/>
        <v>data1!R22C35</v>
      </c>
      <c r="AX213" s="2">
        <f t="shared" si="259"/>
        <v>300</v>
      </c>
      <c r="AY213" s="25">
        <f t="shared" ca="1" si="234"/>
        <v>26.276679841897231</v>
      </c>
      <c r="AZ213" s="6">
        <f t="shared" ca="1" si="235"/>
        <v>2.5849802371541486</v>
      </c>
      <c r="BA213" s="27">
        <f t="shared" ca="1" si="236"/>
        <v>23.691699604743082</v>
      </c>
      <c r="BB213" s="21">
        <f t="shared" ca="1" si="237"/>
        <v>9.8375451263537861E-2</v>
      </c>
    </row>
    <row r="214" spans="6:54">
      <c r="F214" s="2"/>
      <c r="AQ214" s="2">
        <f t="shared" si="256"/>
        <v>95</v>
      </c>
      <c r="AR214" s="2" t="str">
        <f t="shared" ref="AR214:AS214" si="271">AR211</f>
        <v>D65</v>
      </c>
      <c r="AS214" s="1">
        <f t="shared" si="271"/>
        <v>2</v>
      </c>
      <c r="AT214" s="2">
        <f t="shared" si="241"/>
        <v>31</v>
      </c>
      <c r="AU214" s="2">
        <f t="shared" si="258"/>
        <v>0</v>
      </c>
      <c r="AV214" s="52" t="str">
        <f t="shared" si="232"/>
        <v>data2!R21C35</v>
      </c>
      <c r="AW214" s="52" t="str">
        <f t="shared" si="233"/>
        <v>data2!R22C35</v>
      </c>
      <c r="AX214" s="2">
        <f t="shared" si="259"/>
        <v>300</v>
      </c>
      <c r="AY214" s="25">
        <f t="shared" ca="1" si="234"/>
        <v>62.604982206405694</v>
      </c>
      <c r="AZ214" s="6">
        <f t="shared" ca="1" si="235"/>
        <v>21.266903914590749</v>
      </c>
      <c r="BA214" s="27">
        <f t="shared" ca="1" si="236"/>
        <v>41.338078291814945</v>
      </c>
      <c r="BB214" s="21">
        <f t="shared" ca="1" si="237"/>
        <v>0.339699863574352</v>
      </c>
    </row>
    <row r="215" spans="6:54">
      <c r="F215" s="2"/>
      <c r="AQ215" s="2">
        <f t="shared" si="256"/>
        <v>96</v>
      </c>
      <c r="AR215" s="2" t="str">
        <f t="shared" ref="AR215:AS215" si="272">AR212</f>
        <v>A</v>
      </c>
      <c r="AS215" s="1">
        <f t="shared" si="272"/>
        <v>0</v>
      </c>
      <c r="AT215" s="2">
        <f>AT119</f>
        <v>0</v>
      </c>
      <c r="AU215" s="2">
        <f>AU119+1</f>
        <v>1</v>
      </c>
      <c r="AV215" s="52" t="str">
        <f t="shared" si="232"/>
        <v>data0!R23C4</v>
      </c>
      <c r="AW215" s="52" t="str">
        <f t="shared" si="233"/>
        <v>data0!R24C4</v>
      </c>
      <c r="AX215" s="2">
        <f t="shared" si="259"/>
        <v>300</v>
      </c>
      <c r="AY215" s="25">
        <f t="shared" ca="1" si="234"/>
        <v>87.602905569007262</v>
      </c>
      <c r="AZ215" s="6">
        <f t="shared" ca="1" si="235"/>
        <v>48.087167070217916</v>
      </c>
      <c r="BA215" s="27">
        <f t="shared" ca="1" si="236"/>
        <v>39.515738498789347</v>
      </c>
      <c r="BB215" s="21">
        <f t="shared" ca="1" si="237"/>
        <v>0.5489220563847429</v>
      </c>
    </row>
    <row r="216" spans="6:54">
      <c r="F216" s="2"/>
      <c r="AQ216" s="2">
        <f t="shared" ref="AQ216:AQ279" si="273">AQ215+1</f>
        <v>97</v>
      </c>
      <c r="AR216" s="2" t="str">
        <f t="shared" ref="AR216:AS216" si="274">AR213</f>
        <v>CWF</v>
      </c>
      <c r="AS216" s="1">
        <f t="shared" si="274"/>
        <v>1</v>
      </c>
      <c r="AT216" s="2">
        <f t="shared" ref="AT216:AT279" si="275">AT120</f>
        <v>0</v>
      </c>
      <c r="AU216" s="2">
        <f t="shared" ref="AU216:AU279" si="276">AU120+1</f>
        <v>1</v>
      </c>
      <c r="AV216" s="52" t="str">
        <f t="shared" si="232"/>
        <v>data1!R23C4</v>
      </c>
      <c r="AW216" s="52" t="str">
        <f t="shared" si="233"/>
        <v>data1!R24C4</v>
      </c>
      <c r="AX216" s="2">
        <f t="shared" si="259"/>
        <v>300</v>
      </c>
      <c r="AY216" s="25">
        <f t="shared" ca="1" si="234"/>
        <v>25.399209486166004</v>
      </c>
      <c r="AZ216" s="6">
        <f t="shared" ca="1" si="235"/>
        <v>2.5138339920948596</v>
      </c>
      <c r="BA216" s="27">
        <f t="shared" ca="1" si="236"/>
        <v>22.885375494071145</v>
      </c>
      <c r="BB216" s="21">
        <f t="shared" ca="1" si="237"/>
        <v>9.8972922502334193E-2</v>
      </c>
    </row>
    <row r="217" spans="6:54">
      <c r="F217" s="2"/>
      <c r="AQ217" s="2">
        <f t="shared" si="273"/>
        <v>98</v>
      </c>
      <c r="AR217" s="2" t="str">
        <f t="shared" ref="AR217:AS217" si="277">AR214</f>
        <v>D65</v>
      </c>
      <c r="AS217" s="1">
        <f t="shared" si="277"/>
        <v>2</v>
      </c>
      <c r="AT217" s="2">
        <f t="shared" si="275"/>
        <v>0</v>
      </c>
      <c r="AU217" s="2">
        <f t="shared" si="276"/>
        <v>1</v>
      </c>
      <c r="AV217" s="52" t="str">
        <f t="shared" si="232"/>
        <v>data2!R23C4</v>
      </c>
      <c r="AW217" s="52" t="str">
        <f t="shared" si="233"/>
        <v>data2!R24C4</v>
      </c>
      <c r="AX217" s="2">
        <f t="shared" si="259"/>
        <v>300</v>
      </c>
      <c r="AY217" s="25">
        <f t="shared" ca="1" si="234"/>
        <v>60.875444839857657</v>
      </c>
      <c r="AZ217" s="6">
        <f t="shared" ca="1" si="235"/>
        <v>20.775800711743777</v>
      </c>
      <c r="BA217" s="27">
        <f t="shared" ca="1" si="236"/>
        <v>40.09964412811388</v>
      </c>
      <c r="BB217" s="21">
        <f t="shared" ca="1" si="237"/>
        <v>0.34128376008418104</v>
      </c>
    </row>
    <row r="218" spans="6:54">
      <c r="F218" s="2"/>
      <c r="AQ218" s="2">
        <f t="shared" si="273"/>
        <v>99</v>
      </c>
      <c r="AR218" s="2" t="str">
        <f t="shared" ref="AR218:AS218" si="278">AR215</f>
        <v>A</v>
      </c>
      <c r="AS218" s="1">
        <f t="shared" si="278"/>
        <v>0</v>
      </c>
      <c r="AT218" s="2">
        <f t="shared" si="275"/>
        <v>1</v>
      </c>
      <c r="AU218" s="2">
        <f t="shared" si="276"/>
        <v>1</v>
      </c>
      <c r="AV218" s="52" t="str">
        <f t="shared" si="232"/>
        <v>data0!R23C5</v>
      </c>
      <c r="AW218" s="52" t="str">
        <f t="shared" si="233"/>
        <v>data0!R24C5</v>
      </c>
      <c r="AX218" s="2">
        <f t="shared" si="259"/>
        <v>300</v>
      </c>
      <c r="AY218" s="25">
        <f t="shared" ca="1" si="234"/>
        <v>87.602905569007262</v>
      </c>
      <c r="AZ218" s="6">
        <f t="shared" ca="1" si="235"/>
        <v>48.087167070217916</v>
      </c>
      <c r="BA218" s="27">
        <f t="shared" ca="1" si="236"/>
        <v>39.515738498789347</v>
      </c>
      <c r="BB218" s="21">
        <f t="shared" ca="1" si="237"/>
        <v>0.5489220563847429</v>
      </c>
    </row>
    <row r="219" spans="6:54">
      <c r="F219" s="2"/>
      <c r="AQ219" s="2">
        <f t="shared" si="273"/>
        <v>100</v>
      </c>
      <c r="AR219" s="2" t="str">
        <f t="shared" ref="AR219:AS219" si="279">AR216</f>
        <v>CWF</v>
      </c>
      <c r="AS219" s="1">
        <f t="shared" si="279"/>
        <v>1</v>
      </c>
      <c r="AT219" s="2">
        <f t="shared" si="275"/>
        <v>1</v>
      </c>
      <c r="AU219" s="2">
        <f t="shared" si="276"/>
        <v>1</v>
      </c>
      <c r="AV219" s="52" t="str">
        <f t="shared" si="232"/>
        <v>data1!R23C5</v>
      </c>
      <c r="AW219" s="52" t="str">
        <f t="shared" si="233"/>
        <v>data1!R24C5</v>
      </c>
      <c r="AX219" s="2">
        <f t="shared" si="259"/>
        <v>300</v>
      </c>
      <c r="AY219" s="25">
        <f t="shared" ca="1" si="234"/>
        <v>25.399209486166004</v>
      </c>
      <c r="AZ219" s="6">
        <f t="shared" ca="1" si="235"/>
        <v>2.5138339920948596</v>
      </c>
      <c r="BA219" s="27">
        <f t="shared" ca="1" si="236"/>
        <v>22.885375494071145</v>
      </c>
      <c r="BB219" s="21">
        <f t="shared" ca="1" si="237"/>
        <v>9.8972922502334193E-2</v>
      </c>
    </row>
    <row r="220" spans="6:54">
      <c r="F220" s="2"/>
      <c r="AQ220" s="2">
        <f t="shared" si="273"/>
        <v>101</v>
      </c>
      <c r="AR220" s="2" t="str">
        <f t="shared" ref="AR220:AS220" si="280">AR217</f>
        <v>D65</v>
      </c>
      <c r="AS220" s="1">
        <f t="shared" si="280"/>
        <v>2</v>
      </c>
      <c r="AT220" s="2">
        <f t="shared" si="275"/>
        <v>1</v>
      </c>
      <c r="AU220" s="2">
        <f t="shared" si="276"/>
        <v>1</v>
      </c>
      <c r="AV220" s="52" t="str">
        <f t="shared" si="232"/>
        <v>data2!R23C5</v>
      </c>
      <c r="AW220" s="52" t="str">
        <f t="shared" si="233"/>
        <v>data2!R24C5</v>
      </c>
      <c r="AX220" s="2">
        <f t="shared" si="259"/>
        <v>300</v>
      </c>
      <c r="AY220" s="25">
        <f t="shared" ca="1" si="234"/>
        <v>60.875444839857657</v>
      </c>
      <c r="AZ220" s="6">
        <f t="shared" ca="1" si="235"/>
        <v>20.775800711743777</v>
      </c>
      <c r="BA220" s="27">
        <f t="shared" ca="1" si="236"/>
        <v>40.09964412811388</v>
      </c>
      <c r="BB220" s="21">
        <f t="shared" ca="1" si="237"/>
        <v>0.34128376008418104</v>
      </c>
    </row>
    <row r="221" spans="6:54">
      <c r="F221" s="2"/>
      <c r="AQ221" s="2">
        <f t="shared" si="273"/>
        <v>102</v>
      </c>
      <c r="AR221" s="2" t="str">
        <f t="shared" ref="AR221:AS221" si="281">AR218</f>
        <v>A</v>
      </c>
      <c r="AS221" s="1">
        <f t="shared" si="281"/>
        <v>0</v>
      </c>
      <c r="AT221" s="2">
        <f t="shared" si="275"/>
        <v>2</v>
      </c>
      <c r="AU221" s="2">
        <f t="shared" si="276"/>
        <v>1</v>
      </c>
      <c r="AV221" s="52" t="str">
        <f t="shared" si="232"/>
        <v>data0!R23C6</v>
      </c>
      <c r="AW221" s="52" t="str">
        <f t="shared" si="233"/>
        <v>data0!R24C6</v>
      </c>
      <c r="AX221" s="2">
        <f t="shared" si="259"/>
        <v>300</v>
      </c>
      <c r="AY221" s="25">
        <f t="shared" ca="1" si="234"/>
        <v>87.602905569007262</v>
      </c>
      <c r="AZ221" s="6">
        <f t="shared" ca="1" si="235"/>
        <v>48.087167070217916</v>
      </c>
      <c r="BA221" s="27">
        <f t="shared" ca="1" si="236"/>
        <v>39.515738498789347</v>
      </c>
      <c r="BB221" s="21">
        <f t="shared" ca="1" si="237"/>
        <v>0.5489220563847429</v>
      </c>
    </row>
    <row r="222" spans="6:54">
      <c r="F222" s="2"/>
      <c r="AQ222" s="2">
        <f t="shared" si="273"/>
        <v>103</v>
      </c>
      <c r="AR222" s="2" t="str">
        <f t="shared" ref="AR222:AS222" si="282">AR219</f>
        <v>CWF</v>
      </c>
      <c r="AS222" s="1">
        <f t="shared" si="282"/>
        <v>1</v>
      </c>
      <c r="AT222" s="2">
        <f t="shared" si="275"/>
        <v>2</v>
      </c>
      <c r="AU222" s="2">
        <f t="shared" si="276"/>
        <v>1</v>
      </c>
      <c r="AV222" s="52" t="str">
        <f t="shared" si="232"/>
        <v>data1!R23C6</v>
      </c>
      <c r="AW222" s="52" t="str">
        <f t="shared" si="233"/>
        <v>data1!R24C6</v>
      </c>
      <c r="AX222" s="2">
        <f t="shared" si="259"/>
        <v>300</v>
      </c>
      <c r="AY222" s="25">
        <f t="shared" ca="1" si="234"/>
        <v>25.399209486166004</v>
      </c>
      <c r="AZ222" s="6">
        <f t="shared" ca="1" si="235"/>
        <v>2.5138339920948596</v>
      </c>
      <c r="BA222" s="27">
        <f t="shared" ca="1" si="236"/>
        <v>22.885375494071145</v>
      </c>
      <c r="BB222" s="21">
        <f t="shared" ca="1" si="237"/>
        <v>9.8972922502334193E-2</v>
      </c>
    </row>
    <row r="223" spans="6:54">
      <c r="F223" s="2"/>
      <c r="AQ223" s="2">
        <f t="shared" si="273"/>
        <v>104</v>
      </c>
      <c r="AR223" s="2" t="str">
        <f t="shared" ref="AR223:AS223" si="283">AR220</f>
        <v>D65</v>
      </c>
      <c r="AS223" s="1">
        <f t="shared" si="283"/>
        <v>2</v>
      </c>
      <c r="AT223" s="2">
        <f t="shared" si="275"/>
        <v>2</v>
      </c>
      <c r="AU223" s="2">
        <f t="shared" si="276"/>
        <v>1</v>
      </c>
      <c r="AV223" s="52" t="str">
        <f t="shared" si="232"/>
        <v>data2!R23C6</v>
      </c>
      <c r="AW223" s="52" t="str">
        <f t="shared" si="233"/>
        <v>data2!R24C6</v>
      </c>
      <c r="AX223" s="2">
        <f t="shared" si="259"/>
        <v>300</v>
      </c>
      <c r="AY223" s="25">
        <f t="shared" ca="1" si="234"/>
        <v>60.875444839857657</v>
      </c>
      <c r="AZ223" s="6">
        <f t="shared" ca="1" si="235"/>
        <v>20.775800711743777</v>
      </c>
      <c r="BA223" s="27">
        <f t="shared" ca="1" si="236"/>
        <v>40.09964412811388</v>
      </c>
      <c r="BB223" s="21">
        <f t="shared" ca="1" si="237"/>
        <v>0.34128376008418104</v>
      </c>
    </row>
    <row r="224" spans="6:54">
      <c r="F224" s="2"/>
      <c r="AQ224" s="2">
        <f t="shared" si="273"/>
        <v>105</v>
      </c>
      <c r="AR224" s="2" t="str">
        <f t="shared" ref="AR224:AS224" si="284">AR221</f>
        <v>A</v>
      </c>
      <c r="AS224" s="1">
        <f t="shared" si="284"/>
        <v>0</v>
      </c>
      <c r="AT224" s="2">
        <f t="shared" si="275"/>
        <v>3</v>
      </c>
      <c r="AU224" s="2">
        <f t="shared" si="276"/>
        <v>1</v>
      </c>
      <c r="AV224" s="52" t="str">
        <f t="shared" si="232"/>
        <v>data0!R23C7</v>
      </c>
      <c r="AW224" s="52" t="str">
        <f t="shared" si="233"/>
        <v>data0!R24C7</v>
      </c>
      <c r="AX224" s="2">
        <f t="shared" si="259"/>
        <v>300</v>
      </c>
      <c r="AY224" s="25">
        <f t="shared" ca="1" si="234"/>
        <v>87.602905569007262</v>
      </c>
      <c r="AZ224" s="6">
        <f t="shared" ca="1" si="235"/>
        <v>48.087167070217916</v>
      </c>
      <c r="BA224" s="27">
        <f t="shared" ca="1" si="236"/>
        <v>39.515738498789347</v>
      </c>
      <c r="BB224" s="21">
        <f t="shared" ca="1" si="237"/>
        <v>0.5489220563847429</v>
      </c>
    </row>
    <row r="225" spans="6:54">
      <c r="F225" s="2"/>
      <c r="AQ225" s="2">
        <f t="shared" si="273"/>
        <v>106</v>
      </c>
      <c r="AR225" s="2" t="str">
        <f t="shared" ref="AR225:AS225" si="285">AR222</f>
        <v>CWF</v>
      </c>
      <c r="AS225" s="1">
        <f t="shared" si="285"/>
        <v>1</v>
      </c>
      <c r="AT225" s="2">
        <f t="shared" si="275"/>
        <v>3</v>
      </c>
      <c r="AU225" s="2">
        <f t="shared" si="276"/>
        <v>1</v>
      </c>
      <c r="AV225" s="52" t="str">
        <f t="shared" si="232"/>
        <v>data1!R23C7</v>
      </c>
      <c r="AW225" s="52" t="str">
        <f t="shared" si="233"/>
        <v>data1!R24C7</v>
      </c>
      <c r="AX225" s="2">
        <f t="shared" si="259"/>
        <v>300</v>
      </c>
      <c r="AY225" s="25">
        <f t="shared" ca="1" si="234"/>
        <v>25.399209486166004</v>
      </c>
      <c r="AZ225" s="6">
        <f t="shared" ca="1" si="235"/>
        <v>2.5138339920948596</v>
      </c>
      <c r="BA225" s="27">
        <f t="shared" ca="1" si="236"/>
        <v>22.885375494071145</v>
      </c>
      <c r="BB225" s="21">
        <f t="shared" ca="1" si="237"/>
        <v>9.8972922502334193E-2</v>
      </c>
    </row>
    <row r="226" spans="6:54">
      <c r="F226" s="2"/>
      <c r="AQ226" s="2">
        <f t="shared" si="273"/>
        <v>107</v>
      </c>
      <c r="AR226" s="2" t="str">
        <f t="shared" ref="AR226:AS226" si="286">AR223</f>
        <v>D65</v>
      </c>
      <c r="AS226" s="1">
        <f t="shared" si="286"/>
        <v>2</v>
      </c>
      <c r="AT226" s="2">
        <f t="shared" si="275"/>
        <v>3</v>
      </c>
      <c r="AU226" s="2">
        <f t="shared" si="276"/>
        <v>1</v>
      </c>
      <c r="AV226" s="52" t="str">
        <f t="shared" si="232"/>
        <v>data2!R23C7</v>
      </c>
      <c r="AW226" s="52" t="str">
        <f t="shared" si="233"/>
        <v>data2!R24C7</v>
      </c>
      <c r="AX226" s="2">
        <f t="shared" si="259"/>
        <v>300</v>
      </c>
      <c r="AY226" s="25">
        <f t="shared" ca="1" si="234"/>
        <v>60.875444839857657</v>
      </c>
      <c r="AZ226" s="6">
        <f t="shared" ca="1" si="235"/>
        <v>20.775800711743777</v>
      </c>
      <c r="BA226" s="27">
        <f t="shared" ca="1" si="236"/>
        <v>40.09964412811388</v>
      </c>
      <c r="BB226" s="21">
        <f t="shared" ca="1" si="237"/>
        <v>0.34128376008418104</v>
      </c>
    </row>
    <row r="227" spans="6:54">
      <c r="F227" s="2"/>
      <c r="AQ227" s="2">
        <f t="shared" si="273"/>
        <v>108</v>
      </c>
      <c r="AR227" s="2" t="str">
        <f t="shared" ref="AR227:AS227" si="287">AR224</f>
        <v>A</v>
      </c>
      <c r="AS227" s="1">
        <f t="shared" si="287"/>
        <v>0</v>
      </c>
      <c r="AT227" s="2">
        <f t="shared" si="275"/>
        <v>4</v>
      </c>
      <c r="AU227" s="2">
        <f t="shared" si="276"/>
        <v>1</v>
      </c>
      <c r="AV227" s="52" t="str">
        <f t="shared" si="232"/>
        <v>data0!R23C8</v>
      </c>
      <c r="AW227" s="52" t="str">
        <f t="shared" si="233"/>
        <v>data0!R24C8</v>
      </c>
      <c r="AX227" s="2">
        <f t="shared" si="259"/>
        <v>300</v>
      </c>
      <c r="AY227" s="25">
        <f t="shared" ca="1" si="234"/>
        <v>87.602905569007262</v>
      </c>
      <c r="AZ227" s="6">
        <f t="shared" ca="1" si="235"/>
        <v>48.087167070217916</v>
      </c>
      <c r="BA227" s="27">
        <f t="shared" ca="1" si="236"/>
        <v>39.515738498789347</v>
      </c>
      <c r="BB227" s="21">
        <f t="shared" ca="1" si="237"/>
        <v>0.5489220563847429</v>
      </c>
    </row>
    <row r="228" spans="6:54">
      <c r="F228" s="2"/>
      <c r="AQ228" s="2">
        <f t="shared" si="273"/>
        <v>109</v>
      </c>
      <c r="AR228" s="2" t="str">
        <f t="shared" ref="AR228:AS228" si="288">AR225</f>
        <v>CWF</v>
      </c>
      <c r="AS228" s="1">
        <f t="shared" si="288"/>
        <v>1</v>
      </c>
      <c r="AT228" s="2">
        <f t="shared" si="275"/>
        <v>4</v>
      </c>
      <c r="AU228" s="2">
        <f t="shared" si="276"/>
        <v>1</v>
      </c>
      <c r="AV228" s="52" t="str">
        <f t="shared" si="232"/>
        <v>data1!R23C8</v>
      </c>
      <c r="AW228" s="52" t="str">
        <f t="shared" si="233"/>
        <v>data1!R24C8</v>
      </c>
      <c r="AX228" s="2">
        <f t="shared" si="259"/>
        <v>300</v>
      </c>
      <c r="AY228" s="25">
        <f t="shared" ca="1" si="234"/>
        <v>25.399209486166004</v>
      </c>
      <c r="AZ228" s="6">
        <f t="shared" ca="1" si="235"/>
        <v>2.5138339920948596</v>
      </c>
      <c r="BA228" s="27">
        <f t="shared" ca="1" si="236"/>
        <v>22.885375494071145</v>
      </c>
      <c r="BB228" s="21">
        <f t="shared" ca="1" si="237"/>
        <v>9.8972922502334193E-2</v>
      </c>
    </row>
    <row r="229" spans="6:54">
      <c r="F229" s="2"/>
      <c r="AQ229" s="2">
        <f t="shared" si="273"/>
        <v>110</v>
      </c>
      <c r="AR229" s="2" t="str">
        <f t="shared" ref="AR229:AS229" si="289">AR226</f>
        <v>D65</v>
      </c>
      <c r="AS229" s="1">
        <f t="shared" si="289"/>
        <v>2</v>
      </c>
      <c r="AT229" s="2">
        <f t="shared" si="275"/>
        <v>4</v>
      </c>
      <c r="AU229" s="2">
        <f t="shared" si="276"/>
        <v>1</v>
      </c>
      <c r="AV229" s="52" t="str">
        <f t="shared" si="232"/>
        <v>data2!R23C8</v>
      </c>
      <c r="AW229" s="52" t="str">
        <f t="shared" si="233"/>
        <v>data2!R24C8</v>
      </c>
      <c r="AX229" s="2">
        <f t="shared" si="259"/>
        <v>300</v>
      </c>
      <c r="AY229" s="25">
        <f t="shared" ca="1" si="234"/>
        <v>60.875444839857657</v>
      </c>
      <c r="AZ229" s="6">
        <f t="shared" ca="1" si="235"/>
        <v>20.775800711743777</v>
      </c>
      <c r="BA229" s="27">
        <f t="shared" ca="1" si="236"/>
        <v>40.09964412811388</v>
      </c>
      <c r="BB229" s="21">
        <f t="shared" ca="1" si="237"/>
        <v>0.34128376008418104</v>
      </c>
    </row>
    <row r="230" spans="6:54">
      <c r="F230" s="2"/>
      <c r="AQ230" s="2">
        <f t="shared" si="273"/>
        <v>111</v>
      </c>
      <c r="AR230" s="2" t="str">
        <f t="shared" ref="AR230:AS230" si="290">AR227</f>
        <v>A</v>
      </c>
      <c r="AS230" s="1">
        <f t="shared" si="290"/>
        <v>0</v>
      </c>
      <c r="AT230" s="2">
        <f t="shared" si="275"/>
        <v>5</v>
      </c>
      <c r="AU230" s="2">
        <f t="shared" si="276"/>
        <v>1</v>
      </c>
      <c r="AV230" s="52" t="str">
        <f t="shared" si="232"/>
        <v>data0!R23C9</v>
      </c>
      <c r="AW230" s="52" t="str">
        <f t="shared" si="233"/>
        <v>data0!R24C9</v>
      </c>
      <c r="AX230" s="2">
        <f t="shared" si="259"/>
        <v>300</v>
      </c>
      <c r="AY230" s="25">
        <f t="shared" ca="1" si="234"/>
        <v>87.602905569007262</v>
      </c>
      <c r="AZ230" s="6">
        <f t="shared" ca="1" si="235"/>
        <v>48.087167070217916</v>
      </c>
      <c r="BA230" s="27">
        <f t="shared" ca="1" si="236"/>
        <v>39.515738498789347</v>
      </c>
      <c r="BB230" s="21">
        <f t="shared" ca="1" si="237"/>
        <v>0.5489220563847429</v>
      </c>
    </row>
    <row r="231" spans="6:54">
      <c r="F231" s="2"/>
      <c r="AQ231" s="2">
        <f t="shared" si="273"/>
        <v>112</v>
      </c>
      <c r="AR231" s="2" t="str">
        <f t="shared" ref="AR231:AS231" si="291">AR228</f>
        <v>CWF</v>
      </c>
      <c r="AS231" s="1">
        <f t="shared" si="291"/>
        <v>1</v>
      </c>
      <c r="AT231" s="2">
        <f t="shared" si="275"/>
        <v>5</v>
      </c>
      <c r="AU231" s="2">
        <f t="shared" si="276"/>
        <v>1</v>
      </c>
      <c r="AV231" s="52" t="str">
        <f t="shared" si="232"/>
        <v>data1!R23C9</v>
      </c>
      <c r="AW231" s="52" t="str">
        <f t="shared" si="233"/>
        <v>data1!R24C9</v>
      </c>
      <c r="AX231" s="2">
        <f t="shared" si="259"/>
        <v>300</v>
      </c>
      <c r="AY231" s="25">
        <f t="shared" ca="1" si="234"/>
        <v>25.399209486166004</v>
      </c>
      <c r="AZ231" s="6">
        <f t="shared" ca="1" si="235"/>
        <v>2.5138339920948596</v>
      </c>
      <c r="BA231" s="27">
        <f t="shared" ca="1" si="236"/>
        <v>22.885375494071145</v>
      </c>
      <c r="BB231" s="21">
        <f t="shared" ca="1" si="237"/>
        <v>9.8972922502334193E-2</v>
      </c>
    </row>
    <row r="232" spans="6:54">
      <c r="F232" s="2"/>
      <c r="AQ232" s="2">
        <f t="shared" si="273"/>
        <v>113</v>
      </c>
      <c r="AR232" s="2" t="str">
        <f t="shared" ref="AR232:AS232" si="292">AR229</f>
        <v>D65</v>
      </c>
      <c r="AS232" s="1">
        <f t="shared" si="292"/>
        <v>2</v>
      </c>
      <c r="AT232" s="2">
        <f t="shared" si="275"/>
        <v>5</v>
      </c>
      <c r="AU232" s="2">
        <f t="shared" si="276"/>
        <v>1</v>
      </c>
      <c r="AV232" s="52" t="str">
        <f t="shared" si="232"/>
        <v>data2!R23C9</v>
      </c>
      <c r="AW232" s="52" t="str">
        <f t="shared" si="233"/>
        <v>data2!R24C9</v>
      </c>
      <c r="AX232" s="2">
        <f t="shared" si="259"/>
        <v>300</v>
      </c>
      <c r="AY232" s="25">
        <f t="shared" ca="1" si="234"/>
        <v>60.875444839857657</v>
      </c>
      <c r="AZ232" s="6">
        <f t="shared" ca="1" si="235"/>
        <v>20.775800711743777</v>
      </c>
      <c r="BA232" s="27">
        <f t="shared" ca="1" si="236"/>
        <v>40.09964412811388</v>
      </c>
      <c r="BB232" s="21">
        <f t="shared" ca="1" si="237"/>
        <v>0.34128376008418104</v>
      </c>
    </row>
    <row r="233" spans="6:54">
      <c r="F233" s="2"/>
      <c r="AQ233" s="2">
        <f t="shared" si="273"/>
        <v>114</v>
      </c>
      <c r="AR233" s="2" t="str">
        <f t="shared" ref="AR233:AS233" si="293">AR230</f>
        <v>A</v>
      </c>
      <c r="AS233" s="1">
        <f t="shared" si="293"/>
        <v>0</v>
      </c>
      <c r="AT233" s="2">
        <f t="shared" si="275"/>
        <v>6</v>
      </c>
      <c r="AU233" s="2">
        <f t="shared" si="276"/>
        <v>1</v>
      </c>
      <c r="AV233" s="52" t="str">
        <f t="shared" si="232"/>
        <v>data0!R23C10</v>
      </c>
      <c r="AW233" s="52" t="str">
        <f t="shared" si="233"/>
        <v>data0!R24C10</v>
      </c>
      <c r="AX233" s="2">
        <f t="shared" si="259"/>
        <v>300</v>
      </c>
      <c r="AY233" s="25">
        <f t="shared" ca="1" si="234"/>
        <v>87.602905569007262</v>
      </c>
      <c r="AZ233" s="6">
        <f t="shared" ca="1" si="235"/>
        <v>48.087167070217916</v>
      </c>
      <c r="BA233" s="27">
        <f t="shared" ca="1" si="236"/>
        <v>39.515738498789347</v>
      </c>
      <c r="BB233" s="21">
        <f t="shared" ca="1" si="237"/>
        <v>0.5489220563847429</v>
      </c>
    </row>
    <row r="234" spans="6:54">
      <c r="F234" s="2"/>
      <c r="AQ234" s="2">
        <f t="shared" si="273"/>
        <v>115</v>
      </c>
      <c r="AR234" s="2" t="str">
        <f t="shared" ref="AR234:AS234" si="294">AR231</f>
        <v>CWF</v>
      </c>
      <c r="AS234" s="1">
        <f t="shared" si="294"/>
        <v>1</v>
      </c>
      <c r="AT234" s="2">
        <f t="shared" si="275"/>
        <v>6</v>
      </c>
      <c r="AU234" s="2">
        <f t="shared" si="276"/>
        <v>1</v>
      </c>
      <c r="AV234" s="52" t="str">
        <f t="shared" si="232"/>
        <v>data1!R23C10</v>
      </c>
      <c r="AW234" s="52" t="str">
        <f t="shared" si="233"/>
        <v>data1!R24C10</v>
      </c>
      <c r="AX234" s="2">
        <f t="shared" si="259"/>
        <v>300</v>
      </c>
      <c r="AY234" s="25">
        <f t="shared" ca="1" si="234"/>
        <v>25.399209486166004</v>
      </c>
      <c r="AZ234" s="6">
        <f t="shared" ca="1" si="235"/>
        <v>2.5138339920948596</v>
      </c>
      <c r="BA234" s="27">
        <f t="shared" ca="1" si="236"/>
        <v>22.885375494071145</v>
      </c>
      <c r="BB234" s="21">
        <f t="shared" ca="1" si="237"/>
        <v>9.8972922502334193E-2</v>
      </c>
    </row>
    <row r="235" spans="6:54">
      <c r="F235" s="2"/>
      <c r="AQ235" s="2">
        <f t="shared" si="273"/>
        <v>116</v>
      </c>
      <c r="AR235" s="2" t="str">
        <f t="shared" ref="AR235:AS235" si="295">AR232</f>
        <v>D65</v>
      </c>
      <c r="AS235" s="1">
        <f t="shared" si="295"/>
        <v>2</v>
      </c>
      <c r="AT235" s="2">
        <f t="shared" si="275"/>
        <v>6</v>
      </c>
      <c r="AU235" s="2">
        <f t="shared" si="276"/>
        <v>1</v>
      </c>
      <c r="AV235" s="52" t="str">
        <f t="shared" si="232"/>
        <v>data2!R23C10</v>
      </c>
      <c r="AW235" s="52" t="str">
        <f t="shared" si="233"/>
        <v>data2!R24C10</v>
      </c>
      <c r="AX235" s="2">
        <f t="shared" si="259"/>
        <v>300</v>
      </c>
      <c r="AY235" s="25">
        <f t="shared" ca="1" si="234"/>
        <v>60.875444839857657</v>
      </c>
      <c r="AZ235" s="6">
        <f t="shared" ca="1" si="235"/>
        <v>20.775800711743777</v>
      </c>
      <c r="BA235" s="27">
        <f t="shared" ca="1" si="236"/>
        <v>40.09964412811388</v>
      </c>
      <c r="BB235" s="21">
        <f t="shared" ca="1" si="237"/>
        <v>0.34128376008418104</v>
      </c>
    </row>
    <row r="236" spans="6:54">
      <c r="F236" s="2"/>
      <c r="AQ236" s="2">
        <f t="shared" si="273"/>
        <v>117</v>
      </c>
      <c r="AR236" s="2" t="str">
        <f t="shared" ref="AR236:AS236" si="296">AR233</f>
        <v>A</v>
      </c>
      <c r="AS236" s="1">
        <f t="shared" si="296"/>
        <v>0</v>
      </c>
      <c r="AT236" s="2">
        <f t="shared" si="275"/>
        <v>7</v>
      </c>
      <c r="AU236" s="2">
        <f t="shared" si="276"/>
        <v>1</v>
      </c>
      <c r="AV236" s="52" t="str">
        <f t="shared" si="232"/>
        <v>data0!R23C11</v>
      </c>
      <c r="AW236" s="52" t="str">
        <f t="shared" si="233"/>
        <v>data0!R24C11</v>
      </c>
      <c r="AX236" s="2">
        <f t="shared" si="259"/>
        <v>300</v>
      </c>
      <c r="AY236" s="25">
        <f t="shared" ca="1" si="234"/>
        <v>87.602905569007262</v>
      </c>
      <c r="AZ236" s="6">
        <f t="shared" ca="1" si="235"/>
        <v>48.087167070217916</v>
      </c>
      <c r="BA236" s="27">
        <f t="shared" ca="1" si="236"/>
        <v>39.515738498789347</v>
      </c>
      <c r="BB236" s="21">
        <f t="shared" ca="1" si="237"/>
        <v>0.5489220563847429</v>
      </c>
    </row>
    <row r="237" spans="6:54">
      <c r="F237" s="2"/>
      <c r="AQ237" s="2">
        <f t="shared" si="273"/>
        <v>118</v>
      </c>
      <c r="AR237" s="2" t="str">
        <f t="shared" ref="AR237:AS237" si="297">AR234</f>
        <v>CWF</v>
      </c>
      <c r="AS237" s="1">
        <f t="shared" si="297"/>
        <v>1</v>
      </c>
      <c r="AT237" s="2">
        <f t="shared" si="275"/>
        <v>7</v>
      </c>
      <c r="AU237" s="2">
        <f t="shared" si="276"/>
        <v>1</v>
      </c>
      <c r="AV237" s="52" t="str">
        <f t="shared" si="232"/>
        <v>data1!R23C11</v>
      </c>
      <c r="AW237" s="52" t="str">
        <f t="shared" si="233"/>
        <v>data1!R24C11</v>
      </c>
      <c r="AX237" s="2">
        <f t="shared" si="259"/>
        <v>300</v>
      </c>
      <c r="AY237" s="25">
        <f t="shared" ca="1" si="234"/>
        <v>25.399209486166004</v>
      </c>
      <c r="AZ237" s="6">
        <f t="shared" ca="1" si="235"/>
        <v>2.5138339920948596</v>
      </c>
      <c r="BA237" s="27">
        <f t="shared" ca="1" si="236"/>
        <v>22.885375494071145</v>
      </c>
      <c r="BB237" s="21">
        <f t="shared" ca="1" si="237"/>
        <v>9.8972922502334193E-2</v>
      </c>
    </row>
    <row r="238" spans="6:54">
      <c r="F238" s="2"/>
      <c r="AQ238" s="2">
        <f t="shared" si="273"/>
        <v>119</v>
      </c>
      <c r="AR238" s="2" t="str">
        <f t="shared" ref="AR238:AS238" si="298">AR235</f>
        <v>D65</v>
      </c>
      <c r="AS238" s="1">
        <f t="shared" si="298"/>
        <v>2</v>
      </c>
      <c r="AT238" s="2">
        <f t="shared" si="275"/>
        <v>7</v>
      </c>
      <c r="AU238" s="2">
        <f t="shared" si="276"/>
        <v>1</v>
      </c>
      <c r="AV238" s="52" t="str">
        <f t="shared" si="232"/>
        <v>data2!R23C11</v>
      </c>
      <c r="AW238" s="52" t="str">
        <f t="shared" si="233"/>
        <v>data2!R24C11</v>
      </c>
      <c r="AX238" s="2">
        <f t="shared" si="259"/>
        <v>300</v>
      </c>
      <c r="AY238" s="25">
        <f t="shared" ca="1" si="234"/>
        <v>60.875444839857657</v>
      </c>
      <c r="AZ238" s="6">
        <f t="shared" ca="1" si="235"/>
        <v>20.775800711743777</v>
      </c>
      <c r="BA238" s="27">
        <f t="shared" ca="1" si="236"/>
        <v>40.09964412811388</v>
      </c>
      <c r="BB238" s="21">
        <f t="shared" ca="1" si="237"/>
        <v>0.34128376008418104</v>
      </c>
    </row>
    <row r="239" spans="6:54">
      <c r="F239" s="2"/>
      <c r="AQ239" s="2">
        <f t="shared" si="273"/>
        <v>120</v>
      </c>
      <c r="AR239" s="2" t="str">
        <f t="shared" ref="AR239:AS239" si="299">AR236</f>
        <v>A</v>
      </c>
      <c r="AS239" s="1">
        <f t="shared" si="299"/>
        <v>0</v>
      </c>
      <c r="AT239" s="2">
        <f t="shared" si="275"/>
        <v>8</v>
      </c>
      <c r="AU239" s="2">
        <f t="shared" si="276"/>
        <v>1</v>
      </c>
      <c r="AV239" s="52" t="str">
        <f t="shared" si="232"/>
        <v>data0!R23C12</v>
      </c>
      <c r="AW239" s="52" t="str">
        <f t="shared" si="233"/>
        <v>data0!R24C12</v>
      </c>
      <c r="AX239" s="2">
        <f t="shared" si="259"/>
        <v>300</v>
      </c>
      <c r="AY239" s="25">
        <f t="shared" ca="1" si="234"/>
        <v>87.602905569007262</v>
      </c>
      <c r="AZ239" s="6">
        <f t="shared" ca="1" si="235"/>
        <v>48.087167070217916</v>
      </c>
      <c r="BA239" s="27">
        <f t="shared" ca="1" si="236"/>
        <v>39.515738498789347</v>
      </c>
      <c r="BB239" s="21">
        <f t="shared" ca="1" si="237"/>
        <v>0.5489220563847429</v>
      </c>
    </row>
    <row r="240" spans="6:54">
      <c r="F240" s="2"/>
      <c r="AQ240" s="2">
        <f t="shared" si="273"/>
        <v>121</v>
      </c>
      <c r="AR240" s="2" t="str">
        <f t="shared" ref="AR240:AS240" si="300">AR237</f>
        <v>CWF</v>
      </c>
      <c r="AS240" s="1">
        <f t="shared" si="300"/>
        <v>1</v>
      </c>
      <c r="AT240" s="2">
        <f t="shared" si="275"/>
        <v>8</v>
      </c>
      <c r="AU240" s="2">
        <f t="shared" si="276"/>
        <v>1</v>
      </c>
      <c r="AV240" s="52" t="str">
        <f t="shared" si="232"/>
        <v>data1!R23C12</v>
      </c>
      <c r="AW240" s="52" t="str">
        <f t="shared" si="233"/>
        <v>data1!R24C12</v>
      </c>
      <c r="AX240" s="2">
        <f t="shared" si="259"/>
        <v>300</v>
      </c>
      <c r="AY240" s="25">
        <f t="shared" ca="1" si="234"/>
        <v>25.399209486166004</v>
      </c>
      <c r="AZ240" s="6">
        <f t="shared" ca="1" si="235"/>
        <v>2.5138339920948596</v>
      </c>
      <c r="BA240" s="27">
        <f t="shared" ca="1" si="236"/>
        <v>22.885375494071145</v>
      </c>
      <c r="BB240" s="21">
        <f t="shared" ca="1" si="237"/>
        <v>9.8972922502334193E-2</v>
      </c>
    </row>
    <row r="241" spans="6:54">
      <c r="F241" s="2"/>
      <c r="AQ241" s="2">
        <f t="shared" si="273"/>
        <v>122</v>
      </c>
      <c r="AR241" s="2" t="str">
        <f t="shared" ref="AR241:AS241" si="301">AR238</f>
        <v>D65</v>
      </c>
      <c r="AS241" s="1">
        <f t="shared" si="301"/>
        <v>2</v>
      </c>
      <c r="AT241" s="2">
        <f t="shared" si="275"/>
        <v>8</v>
      </c>
      <c r="AU241" s="2">
        <f t="shared" si="276"/>
        <v>1</v>
      </c>
      <c r="AV241" s="52" t="str">
        <f t="shared" si="232"/>
        <v>data2!R23C12</v>
      </c>
      <c r="AW241" s="52" t="str">
        <f t="shared" si="233"/>
        <v>data2!R24C12</v>
      </c>
      <c r="AX241" s="2">
        <f t="shared" si="259"/>
        <v>300</v>
      </c>
      <c r="AY241" s="25">
        <f t="shared" ca="1" si="234"/>
        <v>60.875444839857657</v>
      </c>
      <c r="AZ241" s="6">
        <f t="shared" ca="1" si="235"/>
        <v>20.775800711743777</v>
      </c>
      <c r="BA241" s="27">
        <f t="shared" ca="1" si="236"/>
        <v>40.09964412811388</v>
      </c>
      <c r="BB241" s="21">
        <f t="shared" ca="1" si="237"/>
        <v>0.34128376008418104</v>
      </c>
    </row>
    <row r="242" spans="6:54">
      <c r="F242" s="2"/>
      <c r="AQ242" s="2">
        <f t="shared" si="273"/>
        <v>123</v>
      </c>
      <c r="AR242" s="2" t="str">
        <f t="shared" ref="AR242:AS242" si="302">AR239</f>
        <v>A</v>
      </c>
      <c r="AS242" s="1">
        <f t="shared" si="302"/>
        <v>0</v>
      </c>
      <c r="AT242" s="2">
        <f t="shared" si="275"/>
        <v>9</v>
      </c>
      <c r="AU242" s="2">
        <f t="shared" si="276"/>
        <v>1</v>
      </c>
      <c r="AV242" s="52" t="str">
        <f t="shared" si="232"/>
        <v>data0!R23C13</v>
      </c>
      <c r="AW242" s="52" t="str">
        <f t="shared" si="233"/>
        <v>data0!R24C13</v>
      </c>
      <c r="AX242" s="2">
        <f t="shared" si="259"/>
        <v>300</v>
      </c>
      <c r="AY242" s="25">
        <f t="shared" ca="1" si="234"/>
        <v>87.602905569007262</v>
      </c>
      <c r="AZ242" s="6">
        <f t="shared" ca="1" si="235"/>
        <v>48.087167070217916</v>
      </c>
      <c r="BA242" s="27">
        <f t="shared" ca="1" si="236"/>
        <v>39.515738498789347</v>
      </c>
      <c r="BB242" s="21">
        <f t="shared" ca="1" si="237"/>
        <v>0.5489220563847429</v>
      </c>
    </row>
    <row r="243" spans="6:54">
      <c r="F243" s="2"/>
      <c r="AQ243" s="2">
        <f t="shared" si="273"/>
        <v>124</v>
      </c>
      <c r="AR243" s="2" t="str">
        <f t="shared" ref="AR243:AS243" si="303">AR240</f>
        <v>CWF</v>
      </c>
      <c r="AS243" s="1">
        <f t="shared" si="303"/>
        <v>1</v>
      </c>
      <c r="AT243" s="2">
        <f t="shared" si="275"/>
        <v>9</v>
      </c>
      <c r="AU243" s="2">
        <f t="shared" si="276"/>
        <v>1</v>
      </c>
      <c r="AV243" s="52" t="str">
        <f t="shared" si="232"/>
        <v>data1!R23C13</v>
      </c>
      <c r="AW243" s="52" t="str">
        <f t="shared" si="233"/>
        <v>data1!R24C13</v>
      </c>
      <c r="AX243" s="2">
        <f t="shared" si="259"/>
        <v>300</v>
      </c>
      <c r="AY243" s="25">
        <f t="shared" ca="1" si="234"/>
        <v>25.399209486166004</v>
      </c>
      <c r="AZ243" s="6">
        <f t="shared" ca="1" si="235"/>
        <v>2.5138339920948596</v>
      </c>
      <c r="BA243" s="27">
        <f t="shared" ca="1" si="236"/>
        <v>22.885375494071145</v>
      </c>
      <c r="BB243" s="21">
        <f t="shared" ca="1" si="237"/>
        <v>9.8972922502334193E-2</v>
      </c>
    </row>
    <row r="244" spans="6:54">
      <c r="F244" s="2"/>
      <c r="AQ244" s="2">
        <f t="shared" si="273"/>
        <v>125</v>
      </c>
      <c r="AR244" s="2" t="str">
        <f t="shared" ref="AR244:AS244" si="304">AR241</f>
        <v>D65</v>
      </c>
      <c r="AS244" s="1">
        <f t="shared" si="304"/>
        <v>2</v>
      </c>
      <c r="AT244" s="2">
        <f t="shared" si="275"/>
        <v>9</v>
      </c>
      <c r="AU244" s="2">
        <f t="shared" si="276"/>
        <v>1</v>
      </c>
      <c r="AV244" s="52" t="str">
        <f t="shared" si="232"/>
        <v>data2!R23C13</v>
      </c>
      <c r="AW244" s="52" t="str">
        <f t="shared" si="233"/>
        <v>data2!R24C13</v>
      </c>
      <c r="AX244" s="2">
        <f t="shared" si="259"/>
        <v>300</v>
      </c>
      <c r="AY244" s="25">
        <f t="shared" ca="1" si="234"/>
        <v>60.875444839857657</v>
      </c>
      <c r="AZ244" s="6">
        <f t="shared" ca="1" si="235"/>
        <v>20.775800711743777</v>
      </c>
      <c r="BA244" s="27">
        <f t="shared" ca="1" si="236"/>
        <v>40.09964412811388</v>
      </c>
      <c r="BB244" s="21">
        <f t="shared" ca="1" si="237"/>
        <v>0.34128376008418104</v>
      </c>
    </row>
    <row r="245" spans="6:54">
      <c r="F245" s="2"/>
      <c r="AQ245" s="2">
        <f t="shared" si="273"/>
        <v>126</v>
      </c>
      <c r="AR245" s="2" t="str">
        <f t="shared" ref="AR245:AS245" si="305">AR242</f>
        <v>A</v>
      </c>
      <c r="AS245" s="1">
        <f t="shared" si="305"/>
        <v>0</v>
      </c>
      <c r="AT245" s="2">
        <f t="shared" si="275"/>
        <v>10</v>
      </c>
      <c r="AU245" s="2">
        <f t="shared" si="276"/>
        <v>1</v>
      </c>
      <c r="AV245" s="52" t="str">
        <f t="shared" si="232"/>
        <v>data0!R23C14</v>
      </c>
      <c r="AW245" s="52" t="str">
        <f t="shared" si="233"/>
        <v>data0!R24C14</v>
      </c>
      <c r="AX245" s="2">
        <f t="shared" si="259"/>
        <v>300</v>
      </c>
      <c r="AY245" s="25">
        <f t="shared" ca="1" si="234"/>
        <v>87.602905569007262</v>
      </c>
      <c r="AZ245" s="6">
        <f t="shared" ca="1" si="235"/>
        <v>48.087167070217916</v>
      </c>
      <c r="BA245" s="27">
        <f t="shared" ca="1" si="236"/>
        <v>39.515738498789347</v>
      </c>
      <c r="BB245" s="21">
        <f t="shared" ca="1" si="237"/>
        <v>0.5489220563847429</v>
      </c>
    </row>
    <row r="246" spans="6:54">
      <c r="F246" s="2"/>
      <c r="AQ246" s="2">
        <f t="shared" si="273"/>
        <v>127</v>
      </c>
      <c r="AR246" s="2" t="str">
        <f t="shared" ref="AR246:AS246" si="306">AR243</f>
        <v>CWF</v>
      </c>
      <c r="AS246" s="1">
        <f t="shared" si="306"/>
        <v>1</v>
      </c>
      <c r="AT246" s="2">
        <f t="shared" si="275"/>
        <v>10</v>
      </c>
      <c r="AU246" s="2">
        <f t="shared" si="276"/>
        <v>1</v>
      </c>
      <c r="AV246" s="52" t="str">
        <f t="shared" si="232"/>
        <v>data1!R23C14</v>
      </c>
      <c r="AW246" s="52" t="str">
        <f t="shared" si="233"/>
        <v>data1!R24C14</v>
      </c>
      <c r="AX246" s="2">
        <f t="shared" si="259"/>
        <v>300</v>
      </c>
      <c r="AY246" s="25">
        <f t="shared" ca="1" si="234"/>
        <v>25.399209486166004</v>
      </c>
      <c r="AZ246" s="6">
        <f t="shared" ca="1" si="235"/>
        <v>2.5138339920948596</v>
      </c>
      <c r="BA246" s="27">
        <f t="shared" ca="1" si="236"/>
        <v>22.885375494071145</v>
      </c>
      <c r="BB246" s="21">
        <f t="shared" ca="1" si="237"/>
        <v>9.8972922502334193E-2</v>
      </c>
    </row>
    <row r="247" spans="6:54">
      <c r="F247" s="2"/>
      <c r="AQ247" s="2">
        <f t="shared" si="273"/>
        <v>128</v>
      </c>
      <c r="AR247" s="2" t="str">
        <f t="shared" ref="AR247:AS247" si="307">AR244</f>
        <v>D65</v>
      </c>
      <c r="AS247" s="1">
        <f t="shared" si="307"/>
        <v>2</v>
      </c>
      <c r="AT247" s="2">
        <f t="shared" si="275"/>
        <v>10</v>
      </c>
      <c r="AU247" s="2">
        <f t="shared" si="276"/>
        <v>1</v>
      </c>
      <c r="AV247" s="52" t="str">
        <f t="shared" si="232"/>
        <v>data2!R23C14</v>
      </c>
      <c r="AW247" s="52" t="str">
        <f t="shared" si="233"/>
        <v>data2!R24C14</v>
      </c>
      <c r="AX247" s="2">
        <f t="shared" si="259"/>
        <v>300</v>
      </c>
      <c r="AY247" s="25">
        <f t="shared" ca="1" si="234"/>
        <v>60.875444839857657</v>
      </c>
      <c r="AZ247" s="6">
        <f t="shared" ca="1" si="235"/>
        <v>20.775800711743777</v>
      </c>
      <c r="BA247" s="27">
        <f t="shared" ca="1" si="236"/>
        <v>40.09964412811388</v>
      </c>
      <c r="BB247" s="21">
        <f t="shared" ca="1" si="237"/>
        <v>0.34128376008418104</v>
      </c>
    </row>
    <row r="248" spans="6:54">
      <c r="F248" s="2"/>
      <c r="AQ248" s="2">
        <f t="shared" si="273"/>
        <v>129</v>
      </c>
      <c r="AR248" s="2" t="str">
        <f t="shared" ref="AR248:AS248" si="308">AR245</f>
        <v>A</v>
      </c>
      <c r="AS248" s="1">
        <f t="shared" si="308"/>
        <v>0</v>
      </c>
      <c r="AT248" s="2">
        <f t="shared" si="275"/>
        <v>11</v>
      </c>
      <c r="AU248" s="2">
        <f t="shared" si="276"/>
        <v>1</v>
      </c>
      <c r="AV248" s="52" t="str">
        <f t="shared" ref="AV248:AV311" si="309">"data"&amp;AS248&amp;"!R"&amp;($AV$117+2*AU248)&amp;"C"&amp;($AW$117+AT248)</f>
        <v>data0!R23C15</v>
      </c>
      <c r="AW248" s="52" t="str">
        <f t="shared" ref="AW248:AW311" si="310">"data"&amp;AS248&amp;"!R"&amp;(1+$AV$117+2*AU248)&amp;"C"&amp;($AW$117+AT248)</f>
        <v>data0!R24C15</v>
      </c>
      <c r="AX248" s="2">
        <f t="shared" si="259"/>
        <v>300</v>
      </c>
      <c r="AY248" s="25">
        <f t="shared" ref="AY248:AY311" ca="1" si="311">INDIRECT(AV248,FALSE)</f>
        <v>87.602905569007262</v>
      </c>
      <c r="AZ248" s="6">
        <f t="shared" ref="AZ248:AZ311" ca="1" si="312">AY248-INDIRECT(AW248,FALSE)</f>
        <v>48.087167070217916</v>
      </c>
      <c r="BA248" s="27">
        <f t="shared" ref="BA248:BA311" ca="1" si="313">AY248-AZ248</f>
        <v>39.515738498789347</v>
      </c>
      <c r="BB248" s="21">
        <f t="shared" ref="BB248:BB311" ca="1" si="314">AZ248/AY248</f>
        <v>0.5489220563847429</v>
      </c>
    </row>
    <row r="249" spans="6:54">
      <c r="F249" s="2"/>
      <c r="AQ249" s="2">
        <f t="shared" si="273"/>
        <v>130</v>
      </c>
      <c r="AR249" s="2" t="str">
        <f t="shared" ref="AR249:AS249" si="315">AR246</f>
        <v>CWF</v>
      </c>
      <c r="AS249" s="1">
        <f t="shared" si="315"/>
        <v>1</v>
      </c>
      <c r="AT249" s="2">
        <f t="shared" si="275"/>
        <v>11</v>
      </c>
      <c r="AU249" s="2">
        <f t="shared" si="276"/>
        <v>1</v>
      </c>
      <c r="AV249" s="52" t="str">
        <f t="shared" si="309"/>
        <v>data1!R23C15</v>
      </c>
      <c r="AW249" s="52" t="str">
        <f t="shared" si="310"/>
        <v>data1!R24C15</v>
      </c>
      <c r="AX249" s="2">
        <f t="shared" si="259"/>
        <v>300</v>
      </c>
      <c r="AY249" s="25">
        <f t="shared" ca="1" si="311"/>
        <v>25.399209486166004</v>
      </c>
      <c r="AZ249" s="6">
        <f t="shared" ca="1" si="312"/>
        <v>2.5138339920948596</v>
      </c>
      <c r="BA249" s="27">
        <f t="shared" ca="1" si="313"/>
        <v>22.885375494071145</v>
      </c>
      <c r="BB249" s="21">
        <f t="shared" ca="1" si="314"/>
        <v>9.8972922502334193E-2</v>
      </c>
    </row>
    <row r="250" spans="6:54">
      <c r="F250" s="2"/>
      <c r="AQ250" s="2">
        <f t="shared" si="273"/>
        <v>131</v>
      </c>
      <c r="AR250" s="2" t="str">
        <f t="shared" ref="AR250:AS250" si="316">AR247</f>
        <v>D65</v>
      </c>
      <c r="AS250" s="1">
        <f t="shared" si="316"/>
        <v>2</v>
      </c>
      <c r="AT250" s="2">
        <f t="shared" si="275"/>
        <v>11</v>
      </c>
      <c r="AU250" s="2">
        <f t="shared" si="276"/>
        <v>1</v>
      </c>
      <c r="AV250" s="52" t="str">
        <f t="shared" si="309"/>
        <v>data2!R23C15</v>
      </c>
      <c r="AW250" s="52" t="str">
        <f t="shared" si="310"/>
        <v>data2!R24C15</v>
      </c>
      <c r="AX250" s="2">
        <f t="shared" si="259"/>
        <v>300</v>
      </c>
      <c r="AY250" s="25">
        <f t="shared" ca="1" si="311"/>
        <v>60.875444839857657</v>
      </c>
      <c r="AZ250" s="6">
        <f t="shared" ca="1" si="312"/>
        <v>20.775800711743777</v>
      </c>
      <c r="BA250" s="27">
        <f t="shared" ca="1" si="313"/>
        <v>40.09964412811388</v>
      </c>
      <c r="BB250" s="21">
        <f t="shared" ca="1" si="314"/>
        <v>0.34128376008418104</v>
      </c>
    </row>
    <row r="251" spans="6:54">
      <c r="F251" s="2"/>
      <c r="AQ251" s="2">
        <f t="shared" si="273"/>
        <v>132</v>
      </c>
      <c r="AR251" s="2" t="str">
        <f t="shared" ref="AR251:AS251" si="317">AR248</f>
        <v>A</v>
      </c>
      <c r="AS251" s="1">
        <f t="shared" si="317"/>
        <v>0</v>
      </c>
      <c r="AT251" s="2">
        <f t="shared" si="275"/>
        <v>12</v>
      </c>
      <c r="AU251" s="2">
        <f t="shared" si="276"/>
        <v>1</v>
      </c>
      <c r="AV251" s="52" t="str">
        <f t="shared" si="309"/>
        <v>data0!R23C16</v>
      </c>
      <c r="AW251" s="52" t="str">
        <f t="shared" si="310"/>
        <v>data0!R24C16</v>
      </c>
      <c r="AX251" s="2">
        <f t="shared" si="259"/>
        <v>300</v>
      </c>
      <c r="AY251" s="25">
        <f t="shared" ca="1" si="311"/>
        <v>87.602905569007262</v>
      </c>
      <c r="AZ251" s="6">
        <f t="shared" ca="1" si="312"/>
        <v>48.087167070217916</v>
      </c>
      <c r="BA251" s="27">
        <f t="shared" ca="1" si="313"/>
        <v>39.515738498789347</v>
      </c>
      <c r="BB251" s="21">
        <f t="shared" ca="1" si="314"/>
        <v>0.5489220563847429</v>
      </c>
    </row>
    <row r="252" spans="6:54">
      <c r="F252" s="2"/>
      <c r="AQ252" s="2">
        <f t="shared" si="273"/>
        <v>133</v>
      </c>
      <c r="AR252" s="2" t="str">
        <f t="shared" ref="AR252:AS252" si="318">AR249</f>
        <v>CWF</v>
      </c>
      <c r="AS252" s="1">
        <f t="shared" si="318"/>
        <v>1</v>
      </c>
      <c r="AT252" s="2">
        <f t="shared" si="275"/>
        <v>12</v>
      </c>
      <c r="AU252" s="2">
        <f t="shared" si="276"/>
        <v>1</v>
      </c>
      <c r="AV252" s="52" t="str">
        <f t="shared" si="309"/>
        <v>data1!R23C16</v>
      </c>
      <c r="AW252" s="52" t="str">
        <f t="shared" si="310"/>
        <v>data1!R24C16</v>
      </c>
      <c r="AX252" s="2">
        <f t="shared" si="259"/>
        <v>300</v>
      </c>
      <c r="AY252" s="25">
        <f t="shared" ca="1" si="311"/>
        <v>25.399209486166004</v>
      </c>
      <c r="AZ252" s="6">
        <f t="shared" ca="1" si="312"/>
        <v>2.5138339920948596</v>
      </c>
      <c r="BA252" s="27">
        <f t="shared" ca="1" si="313"/>
        <v>22.885375494071145</v>
      </c>
      <c r="BB252" s="21">
        <f t="shared" ca="1" si="314"/>
        <v>9.8972922502334193E-2</v>
      </c>
    </row>
    <row r="253" spans="6:54">
      <c r="F253" s="2"/>
      <c r="AQ253" s="2">
        <f t="shared" si="273"/>
        <v>134</v>
      </c>
      <c r="AR253" s="2" t="str">
        <f t="shared" ref="AR253:AS253" si="319">AR250</f>
        <v>D65</v>
      </c>
      <c r="AS253" s="1">
        <f t="shared" si="319"/>
        <v>2</v>
      </c>
      <c r="AT253" s="2">
        <f t="shared" si="275"/>
        <v>12</v>
      </c>
      <c r="AU253" s="2">
        <f t="shared" si="276"/>
        <v>1</v>
      </c>
      <c r="AV253" s="52" t="str">
        <f t="shared" si="309"/>
        <v>data2!R23C16</v>
      </c>
      <c r="AW253" s="52" t="str">
        <f t="shared" si="310"/>
        <v>data2!R24C16</v>
      </c>
      <c r="AX253" s="2">
        <f t="shared" si="259"/>
        <v>300</v>
      </c>
      <c r="AY253" s="25">
        <f t="shared" ca="1" si="311"/>
        <v>60.875444839857657</v>
      </c>
      <c r="AZ253" s="6">
        <f t="shared" ca="1" si="312"/>
        <v>20.775800711743777</v>
      </c>
      <c r="BA253" s="27">
        <f t="shared" ca="1" si="313"/>
        <v>40.09964412811388</v>
      </c>
      <c r="BB253" s="21">
        <f t="shared" ca="1" si="314"/>
        <v>0.34128376008418104</v>
      </c>
    </row>
    <row r="254" spans="6:54">
      <c r="F254" s="2"/>
      <c r="AQ254" s="2">
        <f t="shared" si="273"/>
        <v>135</v>
      </c>
      <c r="AR254" s="2" t="str">
        <f t="shared" ref="AR254:AS254" si="320">AR251</f>
        <v>A</v>
      </c>
      <c r="AS254" s="1">
        <f t="shared" si="320"/>
        <v>0</v>
      </c>
      <c r="AT254" s="2">
        <f t="shared" si="275"/>
        <v>13</v>
      </c>
      <c r="AU254" s="2">
        <f t="shared" si="276"/>
        <v>1</v>
      </c>
      <c r="AV254" s="52" t="str">
        <f t="shared" si="309"/>
        <v>data0!R23C17</v>
      </c>
      <c r="AW254" s="52" t="str">
        <f t="shared" si="310"/>
        <v>data0!R24C17</v>
      </c>
      <c r="AX254" s="2">
        <f t="shared" si="259"/>
        <v>300</v>
      </c>
      <c r="AY254" s="25">
        <f t="shared" ca="1" si="311"/>
        <v>87.602905569007262</v>
      </c>
      <c r="AZ254" s="6">
        <f t="shared" ca="1" si="312"/>
        <v>48.087167070217916</v>
      </c>
      <c r="BA254" s="27">
        <f t="shared" ca="1" si="313"/>
        <v>39.515738498789347</v>
      </c>
      <c r="BB254" s="21">
        <f t="shared" ca="1" si="314"/>
        <v>0.5489220563847429</v>
      </c>
    </row>
    <row r="255" spans="6:54">
      <c r="F255" s="2"/>
      <c r="AQ255" s="2">
        <f t="shared" si="273"/>
        <v>136</v>
      </c>
      <c r="AR255" s="2" t="str">
        <f t="shared" ref="AR255:AS255" si="321">AR252</f>
        <v>CWF</v>
      </c>
      <c r="AS255" s="1">
        <f t="shared" si="321"/>
        <v>1</v>
      </c>
      <c r="AT255" s="2">
        <f t="shared" si="275"/>
        <v>13</v>
      </c>
      <c r="AU255" s="2">
        <f t="shared" si="276"/>
        <v>1</v>
      </c>
      <c r="AV255" s="52" t="str">
        <f t="shared" si="309"/>
        <v>data1!R23C17</v>
      </c>
      <c r="AW255" s="52" t="str">
        <f t="shared" si="310"/>
        <v>data1!R24C17</v>
      </c>
      <c r="AX255" s="2">
        <f t="shared" si="259"/>
        <v>300</v>
      </c>
      <c r="AY255" s="25">
        <f t="shared" ca="1" si="311"/>
        <v>25.399209486166004</v>
      </c>
      <c r="AZ255" s="6">
        <f t="shared" ca="1" si="312"/>
        <v>2.5138339920948596</v>
      </c>
      <c r="BA255" s="27">
        <f t="shared" ca="1" si="313"/>
        <v>22.885375494071145</v>
      </c>
      <c r="BB255" s="21">
        <f t="shared" ca="1" si="314"/>
        <v>9.8972922502334193E-2</v>
      </c>
    </row>
    <row r="256" spans="6:54">
      <c r="F256" s="2"/>
      <c r="AQ256" s="2">
        <f t="shared" si="273"/>
        <v>137</v>
      </c>
      <c r="AR256" s="2" t="str">
        <f t="shared" ref="AR256:AS256" si="322">AR253</f>
        <v>D65</v>
      </c>
      <c r="AS256" s="1">
        <f t="shared" si="322"/>
        <v>2</v>
      </c>
      <c r="AT256" s="2">
        <f t="shared" si="275"/>
        <v>13</v>
      </c>
      <c r="AU256" s="2">
        <f t="shared" si="276"/>
        <v>1</v>
      </c>
      <c r="AV256" s="52" t="str">
        <f t="shared" si="309"/>
        <v>data2!R23C17</v>
      </c>
      <c r="AW256" s="52" t="str">
        <f t="shared" si="310"/>
        <v>data2!R24C17</v>
      </c>
      <c r="AX256" s="2">
        <f t="shared" si="259"/>
        <v>300</v>
      </c>
      <c r="AY256" s="25">
        <f t="shared" ca="1" si="311"/>
        <v>60.875444839857657</v>
      </c>
      <c r="AZ256" s="6">
        <f t="shared" ca="1" si="312"/>
        <v>20.775800711743777</v>
      </c>
      <c r="BA256" s="27">
        <f t="shared" ca="1" si="313"/>
        <v>40.09964412811388</v>
      </c>
      <c r="BB256" s="21">
        <f t="shared" ca="1" si="314"/>
        <v>0.34128376008418104</v>
      </c>
    </row>
    <row r="257" spans="6:54">
      <c r="F257" s="2"/>
      <c r="AQ257" s="2">
        <f t="shared" si="273"/>
        <v>138</v>
      </c>
      <c r="AR257" s="2" t="str">
        <f t="shared" ref="AR257:AS257" si="323">AR254</f>
        <v>A</v>
      </c>
      <c r="AS257" s="1">
        <f t="shared" si="323"/>
        <v>0</v>
      </c>
      <c r="AT257" s="2">
        <f t="shared" si="275"/>
        <v>14</v>
      </c>
      <c r="AU257" s="2">
        <f t="shared" si="276"/>
        <v>1</v>
      </c>
      <c r="AV257" s="52" t="str">
        <f t="shared" si="309"/>
        <v>data0!R23C18</v>
      </c>
      <c r="AW257" s="52" t="str">
        <f t="shared" si="310"/>
        <v>data0!R24C18</v>
      </c>
      <c r="AX257" s="2">
        <f t="shared" si="259"/>
        <v>300</v>
      </c>
      <c r="AY257" s="25">
        <f t="shared" ca="1" si="311"/>
        <v>87.602905569007262</v>
      </c>
      <c r="AZ257" s="6">
        <f t="shared" ca="1" si="312"/>
        <v>48.087167070217916</v>
      </c>
      <c r="BA257" s="27">
        <f t="shared" ca="1" si="313"/>
        <v>39.515738498789347</v>
      </c>
      <c r="BB257" s="21">
        <f t="shared" ca="1" si="314"/>
        <v>0.5489220563847429</v>
      </c>
    </row>
    <row r="258" spans="6:54">
      <c r="F258" s="2"/>
      <c r="AQ258" s="2">
        <f t="shared" si="273"/>
        <v>139</v>
      </c>
      <c r="AR258" s="2" t="str">
        <f t="shared" ref="AR258:AS258" si="324">AR255</f>
        <v>CWF</v>
      </c>
      <c r="AS258" s="1">
        <f t="shared" si="324"/>
        <v>1</v>
      </c>
      <c r="AT258" s="2">
        <f t="shared" si="275"/>
        <v>14</v>
      </c>
      <c r="AU258" s="2">
        <f t="shared" si="276"/>
        <v>1</v>
      </c>
      <c r="AV258" s="52" t="str">
        <f t="shared" si="309"/>
        <v>data1!R23C18</v>
      </c>
      <c r="AW258" s="52" t="str">
        <f t="shared" si="310"/>
        <v>data1!R24C18</v>
      </c>
      <c r="AX258" s="2">
        <f t="shared" si="259"/>
        <v>300</v>
      </c>
      <c r="AY258" s="25">
        <f t="shared" ca="1" si="311"/>
        <v>25.399209486166004</v>
      </c>
      <c r="AZ258" s="6">
        <f t="shared" ca="1" si="312"/>
        <v>2.5138339920948596</v>
      </c>
      <c r="BA258" s="27">
        <f t="shared" ca="1" si="313"/>
        <v>22.885375494071145</v>
      </c>
      <c r="BB258" s="21">
        <f t="shared" ca="1" si="314"/>
        <v>9.8972922502334193E-2</v>
      </c>
    </row>
    <row r="259" spans="6:54">
      <c r="F259" s="2"/>
      <c r="AQ259" s="2">
        <f t="shared" si="273"/>
        <v>140</v>
      </c>
      <c r="AR259" s="2" t="str">
        <f t="shared" ref="AR259:AS259" si="325">AR256</f>
        <v>D65</v>
      </c>
      <c r="AS259" s="1">
        <f t="shared" si="325"/>
        <v>2</v>
      </c>
      <c r="AT259" s="2">
        <f t="shared" si="275"/>
        <v>14</v>
      </c>
      <c r="AU259" s="2">
        <f t="shared" si="276"/>
        <v>1</v>
      </c>
      <c r="AV259" s="52" t="str">
        <f t="shared" si="309"/>
        <v>data2!R23C18</v>
      </c>
      <c r="AW259" s="52" t="str">
        <f t="shared" si="310"/>
        <v>data2!R24C18</v>
      </c>
      <c r="AX259" s="2">
        <f t="shared" si="259"/>
        <v>300</v>
      </c>
      <c r="AY259" s="25">
        <f t="shared" ca="1" si="311"/>
        <v>60.875444839857657</v>
      </c>
      <c r="AZ259" s="6">
        <f t="shared" ca="1" si="312"/>
        <v>20.775800711743777</v>
      </c>
      <c r="BA259" s="27">
        <f t="shared" ca="1" si="313"/>
        <v>40.09964412811388</v>
      </c>
      <c r="BB259" s="21">
        <f t="shared" ca="1" si="314"/>
        <v>0.34128376008418104</v>
      </c>
    </row>
    <row r="260" spans="6:54">
      <c r="F260" s="2"/>
      <c r="AQ260" s="2">
        <f t="shared" si="273"/>
        <v>141</v>
      </c>
      <c r="AR260" s="2" t="str">
        <f t="shared" ref="AR260:AS260" si="326">AR257</f>
        <v>A</v>
      </c>
      <c r="AS260" s="1">
        <f t="shared" si="326"/>
        <v>0</v>
      </c>
      <c r="AT260" s="2">
        <f t="shared" si="275"/>
        <v>15</v>
      </c>
      <c r="AU260" s="2">
        <f t="shared" si="276"/>
        <v>1</v>
      </c>
      <c r="AV260" s="52" t="str">
        <f t="shared" si="309"/>
        <v>data0!R23C19</v>
      </c>
      <c r="AW260" s="52" t="str">
        <f t="shared" si="310"/>
        <v>data0!R24C19</v>
      </c>
      <c r="AX260" s="2">
        <f t="shared" si="259"/>
        <v>300</v>
      </c>
      <c r="AY260" s="25">
        <f t="shared" ca="1" si="311"/>
        <v>87.602905569007262</v>
      </c>
      <c r="AZ260" s="6">
        <f t="shared" ca="1" si="312"/>
        <v>48.087167070217916</v>
      </c>
      <c r="BA260" s="27">
        <f t="shared" ca="1" si="313"/>
        <v>39.515738498789347</v>
      </c>
      <c r="BB260" s="21">
        <f t="shared" ca="1" si="314"/>
        <v>0.5489220563847429</v>
      </c>
    </row>
    <row r="261" spans="6:54">
      <c r="F261" s="2"/>
      <c r="AQ261" s="2">
        <f t="shared" si="273"/>
        <v>142</v>
      </c>
      <c r="AR261" s="2" t="str">
        <f t="shared" ref="AR261:AS261" si="327">AR258</f>
        <v>CWF</v>
      </c>
      <c r="AS261" s="1">
        <f t="shared" si="327"/>
        <v>1</v>
      </c>
      <c r="AT261" s="2">
        <f t="shared" si="275"/>
        <v>15</v>
      </c>
      <c r="AU261" s="2">
        <f t="shared" si="276"/>
        <v>1</v>
      </c>
      <c r="AV261" s="52" t="str">
        <f t="shared" si="309"/>
        <v>data1!R23C19</v>
      </c>
      <c r="AW261" s="52" t="str">
        <f t="shared" si="310"/>
        <v>data1!R24C19</v>
      </c>
      <c r="AX261" s="2">
        <f t="shared" si="259"/>
        <v>300</v>
      </c>
      <c r="AY261" s="25">
        <f t="shared" ca="1" si="311"/>
        <v>25.399209486166004</v>
      </c>
      <c r="AZ261" s="6">
        <f t="shared" ca="1" si="312"/>
        <v>2.5138339920948596</v>
      </c>
      <c r="BA261" s="27">
        <f t="shared" ca="1" si="313"/>
        <v>22.885375494071145</v>
      </c>
      <c r="BB261" s="21">
        <f t="shared" ca="1" si="314"/>
        <v>9.8972922502334193E-2</v>
      </c>
    </row>
    <row r="262" spans="6:54">
      <c r="F262" s="2"/>
      <c r="AQ262" s="2">
        <f t="shared" si="273"/>
        <v>143</v>
      </c>
      <c r="AR262" s="2" t="str">
        <f t="shared" ref="AR262:AS262" si="328">AR259</f>
        <v>D65</v>
      </c>
      <c r="AS262" s="1">
        <f t="shared" si="328"/>
        <v>2</v>
      </c>
      <c r="AT262" s="2">
        <f t="shared" si="275"/>
        <v>15</v>
      </c>
      <c r="AU262" s="2">
        <f t="shared" si="276"/>
        <v>1</v>
      </c>
      <c r="AV262" s="52" t="str">
        <f t="shared" si="309"/>
        <v>data2!R23C19</v>
      </c>
      <c r="AW262" s="52" t="str">
        <f t="shared" si="310"/>
        <v>data2!R24C19</v>
      </c>
      <c r="AX262" s="2">
        <f t="shared" si="259"/>
        <v>300</v>
      </c>
      <c r="AY262" s="25">
        <f t="shared" ca="1" si="311"/>
        <v>60.875444839857657</v>
      </c>
      <c r="AZ262" s="6">
        <f t="shared" ca="1" si="312"/>
        <v>20.775800711743777</v>
      </c>
      <c r="BA262" s="27">
        <f t="shared" ca="1" si="313"/>
        <v>40.09964412811388</v>
      </c>
      <c r="BB262" s="21">
        <f t="shared" ca="1" si="314"/>
        <v>0.34128376008418104</v>
      </c>
    </row>
    <row r="263" spans="6:54">
      <c r="F263" s="2"/>
      <c r="AQ263" s="2">
        <f t="shared" si="273"/>
        <v>144</v>
      </c>
      <c r="AR263" s="2" t="str">
        <f t="shared" ref="AR263:AS263" si="329">AR260</f>
        <v>A</v>
      </c>
      <c r="AS263" s="1">
        <f t="shared" si="329"/>
        <v>0</v>
      </c>
      <c r="AT263" s="2">
        <f t="shared" si="275"/>
        <v>16</v>
      </c>
      <c r="AU263" s="2">
        <f t="shared" si="276"/>
        <v>1</v>
      </c>
      <c r="AV263" s="52" t="str">
        <f t="shared" si="309"/>
        <v>data0!R23C20</v>
      </c>
      <c r="AW263" s="52" t="str">
        <f t="shared" si="310"/>
        <v>data0!R24C20</v>
      </c>
      <c r="AX263" s="2">
        <f t="shared" si="259"/>
        <v>300</v>
      </c>
      <c r="AY263" s="25">
        <f t="shared" ca="1" si="311"/>
        <v>87.602905569007262</v>
      </c>
      <c r="AZ263" s="6">
        <f t="shared" ca="1" si="312"/>
        <v>48.087167070217916</v>
      </c>
      <c r="BA263" s="27">
        <f t="shared" ca="1" si="313"/>
        <v>39.515738498789347</v>
      </c>
      <c r="BB263" s="21">
        <f t="shared" ca="1" si="314"/>
        <v>0.5489220563847429</v>
      </c>
    </row>
    <row r="264" spans="6:54">
      <c r="F264" s="2"/>
      <c r="AQ264" s="2">
        <f t="shared" si="273"/>
        <v>145</v>
      </c>
      <c r="AR264" s="2" t="str">
        <f t="shared" ref="AR264:AS264" si="330">AR261</f>
        <v>CWF</v>
      </c>
      <c r="AS264" s="1">
        <f t="shared" si="330"/>
        <v>1</v>
      </c>
      <c r="AT264" s="2">
        <f t="shared" si="275"/>
        <v>16</v>
      </c>
      <c r="AU264" s="2">
        <f t="shared" si="276"/>
        <v>1</v>
      </c>
      <c r="AV264" s="52" t="str">
        <f t="shared" si="309"/>
        <v>data1!R23C20</v>
      </c>
      <c r="AW264" s="52" t="str">
        <f t="shared" si="310"/>
        <v>data1!R24C20</v>
      </c>
      <c r="AX264" s="2">
        <f t="shared" si="259"/>
        <v>300</v>
      </c>
      <c r="AY264" s="25">
        <f t="shared" ca="1" si="311"/>
        <v>25.399209486166004</v>
      </c>
      <c r="AZ264" s="6">
        <f t="shared" ca="1" si="312"/>
        <v>2.5138339920948596</v>
      </c>
      <c r="BA264" s="27">
        <f t="shared" ca="1" si="313"/>
        <v>22.885375494071145</v>
      </c>
      <c r="BB264" s="21">
        <f t="shared" ca="1" si="314"/>
        <v>9.8972922502334193E-2</v>
      </c>
    </row>
    <row r="265" spans="6:54">
      <c r="F265" s="2"/>
      <c r="AQ265" s="2">
        <f t="shared" si="273"/>
        <v>146</v>
      </c>
      <c r="AR265" s="2" t="str">
        <f t="shared" ref="AR265:AS265" si="331">AR262</f>
        <v>D65</v>
      </c>
      <c r="AS265" s="1">
        <f t="shared" si="331"/>
        <v>2</v>
      </c>
      <c r="AT265" s="2">
        <f t="shared" si="275"/>
        <v>16</v>
      </c>
      <c r="AU265" s="2">
        <f t="shared" si="276"/>
        <v>1</v>
      </c>
      <c r="AV265" s="52" t="str">
        <f t="shared" si="309"/>
        <v>data2!R23C20</v>
      </c>
      <c r="AW265" s="52" t="str">
        <f t="shared" si="310"/>
        <v>data2!R24C20</v>
      </c>
      <c r="AX265" s="2">
        <f t="shared" si="259"/>
        <v>300</v>
      </c>
      <c r="AY265" s="25">
        <f t="shared" ca="1" si="311"/>
        <v>60.875444839857657</v>
      </c>
      <c r="AZ265" s="6">
        <f t="shared" ca="1" si="312"/>
        <v>20.775800711743777</v>
      </c>
      <c r="BA265" s="27">
        <f t="shared" ca="1" si="313"/>
        <v>40.09964412811388</v>
      </c>
      <c r="BB265" s="21">
        <f t="shared" ca="1" si="314"/>
        <v>0.34128376008418104</v>
      </c>
    </row>
    <row r="266" spans="6:54">
      <c r="F266" s="2"/>
      <c r="AQ266" s="2">
        <f t="shared" si="273"/>
        <v>147</v>
      </c>
      <c r="AR266" s="2" t="str">
        <f t="shared" ref="AR266:AS266" si="332">AR263</f>
        <v>A</v>
      </c>
      <c r="AS266" s="1">
        <f t="shared" si="332"/>
        <v>0</v>
      </c>
      <c r="AT266" s="2">
        <f t="shared" si="275"/>
        <v>17</v>
      </c>
      <c r="AU266" s="2">
        <f t="shared" si="276"/>
        <v>1</v>
      </c>
      <c r="AV266" s="52" t="str">
        <f t="shared" si="309"/>
        <v>data0!R23C21</v>
      </c>
      <c r="AW266" s="52" t="str">
        <f t="shared" si="310"/>
        <v>data0!R24C21</v>
      </c>
      <c r="AX266" s="2">
        <f t="shared" ref="AX266:AX329" si="333">AX263</f>
        <v>300</v>
      </c>
      <c r="AY266" s="25">
        <f t="shared" ca="1" si="311"/>
        <v>87.602905569007262</v>
      </c>
      <c r="AZ266" s="6">
        <f t="shared" ca="1" si="312"/>
        <v>48.087167070217916</v>
      </c>
      <c r="BA266" s="27">
        <f t="shared" ca="1" si="313"/>
        <v>39.515738498789347</v>
      </c>
      <c r="BB266" s="21">
        <f t="shared" ca="1" si="314"/>
        <v>0.5489220563847429</v>
      </c>
    </row>
    <row r="267" spans="6:54">
      <c r="F267" s="2"/>
      <c r="AQ267" s="2">
        <f t="shared" si="273"/>
        <v>148</v>
      </c>
      <c r="AR267" s="2" t="str">
        <f t="shared" ref="AR267:AS267" si="334">AR264</f>
        <v>CWF</v>
      </c>
      <c r="AS267" s="1">
        <f t="shared" si="334"/>
        <v>1</v>
      </c>
      <c r="AT267" s="2">
        <f t="shared" si="275"/>
        <v>17</v>
      </c>
      <c r="AU267" s="2">
        <f t="shared" si="276"/>
        <v>1</v>
      </c>
      <c r="AV267" s="52" t="str">
        <f t="shared" si="309"/>
        <v>data1!R23C21</v>
      </c>
      <c r="AW267" s="52" t="str">
        <f t="shared" si="310"/>
        <v>data1!R24C21</v>
      </c>
      <c r="AX267" s="2">
        <f t="shared" si="333"/>
        <v>300</v>
      </c>
      <c r="AY267" s="25">
        <f t="shared" ca="1" si="311"/>
        <v>25.399209486166004</v>
      </c>
      <c r="AZ267" s="6">
        <f t="shared" ca="1" si="312"/>
        <v>2.5138339920948596</v>
      </c>
      <c r="BA267" s="27">
        <f t="shared" ca="1" si="313"/>
        <v>22.885375494071145</v>
      </c>
      <c r="BB267" s="21">
        <f t="shared" ca="1" si="314"/>
        <v>9.8972922502334193E-2</v>
      </c>
    </row>
    <row r="268" spans="6:54">
      <c r="F268" s="2"/>
      <c r="AQ268" s="2">
        <f t="shared" si="273"/>
        <v>149</v>
      </c>
      <c r="AR268" s="2" t="str">
        <f t="shared" ref="AR268:AS268" si="335">AR265</f>
        <v>D65</v>
      </c>
      <c r="AS268" s="1">
        <f t="shared" si="335"/>
        <v>2</v>
      </c>
      <c r="AT268" s="2">
        <f t="shared" si="275"/>
        <v>17</v>
      </c>
      <c r="AU268" s="2">
        <f t="shared" si="276"/>
        <v>1</v>
      </c>
      <c r="AV268" s="52" t="str">
        <f t="shared" si="309"/>
        <v>data2!R23C21</v>
      </c>
      <c r="AW268" s="52" t="str">
        <f t="shared" si="310"/>
        <v>data2!R24C21</v>
      </c>
      <c r="AX268" s="2">
        <f t="shared" si="333"/>
        <v>300</v>
      </c>
      <c r="AY268" s="25">
        <f t="shared" ca="1" si="311"/>
        <v>60.875444839857657</v>
      </c>
      <c r="AZ268" s="6">
        <f t="shared" ca="1" si="312"/>
        <v>20.775800711743777</v>
      </c>
      <c r="BA268" s="27">
        <f t="shared" ca="1" si="313"/>
        <v>40.09964412811388</v>
      </c>
      <c r="BB268" s="21">
        <f t="shared" ca="1" si="314"/>
        <v>0.34128376008418104</v>
      </c>
    </row>
    <row r="269" spans="6:54">
      <c r="F269" s="2"/>
      <c r="AQ269" s="2">
        <f t="shared" si="273"/>
        <v>150</v>
      </c>
      <c r="AR269" s="2" t="str">
        <f t="shared" ref="AR269:AS269" si="336">AR266</f>
        <v>A</v>
      </c>
      <c r="AS269" s="1">
        <f t="shared" si="336"/>
        <v>0</v>
      </c>
      <c r="AT269" s="2">
        <f t="shared" si="275"/>
        <v>18</v>
      </c>
      <c r="AU269" s="2">
        <f t="shared" si="276"/>
        <v>1</v>
      </c>
      <c r="AV269" s="52" t="str">
        <f t="shared" si="309"/>
        <v>data0!R23C22</v>
      </c>
      <c r="AW269" s="52" t="str">
        <f t="shared" si="310"/>
        <v>data0!R24C22</v>
      </c>
      <c r="AX269" s="2">
        <f t="shared" si="333"/>
        <v>300</v>
      </c>
      <c r="AY269" s="25">
        <f t="shared" ca="1" si="311"/>
        <v>87.602905569007262</v>
      </c>
      <c r="AZ269" s="6">
        <f t="shared" ca="1" si="312"/>
        <v>48.087167070217916</v>
      </c>
      <c r="BA269" s="27">
        <f t="shared" ca="1" si="313"/>
        <v>39.515738498789347</v>
      </c>
      <c r="BB269" s="21">
        <f t="shared" ca="1" si="314"/>
        <v>0.5489220563847429</v>
      </c>
    </row>
    <row r="270" spans="6:54">
      <c r="F270" s="2"/>
      <c r="AQ270" s="2">
        <f t="shared" si="273"/>
        <v>151</v>
      </c>
      <c r="AR270" s="2" t="str">
        <f t="shared" ref="AR270:AS270" si="337">AR267</f>
        <v>CWF</v>
      </c>
      <c r="AS270" s="1">
        <f t="shared" si="337"/>
        <v>1</v>
      </c>
      <c r="AT270" s="2">
        <f t="shared" si="275"/>
        <v>18</v>
      </c>
      <c r="AU270" s="2">
        <f t="shared" si="276"/>
        <v>1</v>
      </c>
      <c r="AV270" s="52" t="str">
        <f t="shared" si="309"/>
        <v>data1!R23C22</v>
      </c>
      <c r="AW270" s="52" t="str">
        <f t="shared" si="310"/>
        <v>data1!R24C22</v>
      </c>
      <c r="AX270" s="2">
        <f t="shared" si="333"/>
        <v>300</v>
      </c>
      <c r="AY270" s="25">
        <f t="shared" ca="1" si="311"/>
        <v>25.399209486166004</v>
      </c>
      <c r="AZ270" s="6">
        <f t="shared" ca="1" si="312"/>
        <v>2.5138339920948596</v>
      </c>
      <c r="BA270" s="27">
        <f t="shared" ca="1" si="313"/>
        <v>22.885375494071145</v>
      </c>
      <c r="BB270" s="21">
        <f t="shared" ca="1" si="314"/>
        <v>9.8972922502334193E-2</v>
      </c>
    </row>
    <row r="271" spans="6:54">
      <c r="F271" s="2"/>
      <c r="AQ271" s="2">
        <f t="shared" si="273"/>
        <v>152</v>
      </c>
      <c r="AR271" s="2" t="str">
        <f t="shared" ref="AR271:AS271" si="338">AR268</f>
        <v>D65</v>
      </c>
      <c r="AS271" s="1">
        <f t="shared" si="338"/>
        <v>2</v>
      </c>
      <c r="AT271" s="2">
        <f t="shared" si="275"/>
        <v>18</v>
      </c>
      <c r="AU271" s="2">
        <f t="shared" si="276"/>
        <v>1</v>
      </c>
      <c r="AV271" s="52" t="str">
        <f t="shared" si="309"/>
        <v>data2!R23C22</v>
      </c>
      <c r="AW271" s="52" t="str">
        <f t="shared" si="310"/>
        <v>data2!R24C22</v>
      </c>
      <c r="AX271" s="2">
        <f t="shared" si="333"/>
        <v>300</v>
      </c>
      <c r="AY271" s="25">
        <f t="shared" ca="1" si="311"/>
        <v>60.875444839857657</v>
      </c>
      <c r="AZ271" s="6">
        <f t="shared" ca="1" si="312"/>
        <v>20.775800711743777</v>
      </c>
      <c r="BA271" s="27">
        <f t="shared" ca="1" si="313"/>
        <v>40.09964412811388</v>
      </c>
      <c r="BB271" s="21">
        <f t="shared" ca="1" si="314"/>
        <v>0.34128376008418104</v>
      </c>
    </row>
    <row r="272" spans="6:54">
      <c r="F272" s="2"/>
      <c r="AQ272" s="2">
        <f t="shared" si="273"/>
        <v>153</v>
      </c>
      <c r="AR272" s="2" t="str">
        <f t="shared" ref="AR272:AS272" si="339">AR269</f>
        <v>A</v>
      </c>
      <c r="AS272" s="1">
        <f t="shared" si="339"/>
        <v>0</v>
      </c>
      <c r="AT272" s="2">
        <f t="shared" si="275"/>
        <v>19</v>
      </c>
      <c r="AU272" s="2">
        <f t="shared" si="276"/>
        <v>1</v>
      </c>
      <c r="AV272" s="52" t="str">
        <f t="shared" si="309"/>
        <v>data0!R23C23</v>
      </c>
      <c r="AW272" s="52" t="str">
        <f t="shared" si="310"/>
        <v>data0!R24C23</v>
      </c>
      <c r="AX272" s="2">
        <f t="shared" si="333"/>
        <v>300</v>
      </c>
      <c r="AY272" s="25">
        <f t="shared" ca="1" si="311"/>
        <v>87.602905569007262</v>
      </c>
      <c r="AZ272" s="6">
        <f t="shared" ca="1" si="312"/>
        <v>48.087167070217916</v>
      </c>
      <c r="BA272" s="27">
        <f t="shared" ca="1" si="313"/>
        <v>39.515738498789347</v>
      </c>
      <c r="BB272" s="21">
        <f t="shared" ca="1" si="314"/>
        <v>0.5489220563847429</v>
      </c>
    </row>
    <row r="273" spans="6:54">
      <c r="F273" s="2"/>
      <c r="AQ273" s="2">
        <f t="shared" si="273"/>
        <v>154</v>
      </c>
      <c r="AR273" s="2" t="str">
        <f t="shared" ref="AR273:AS273" si="340">AR270</f>
        <v>CWF</v>
      </c>
      <c r="AS273" s="1">
        <f t="shared" si="340"/>
        <v>1</v>
      </c>
      <c r="AT273" s="2">
        <f t="shared" si="275"/>
        <v>19</v>
      </c>
      <c r="AU273" s="2">
        <f t="shared" si="276"/>
        <v>1</v>
      </c>
      <c r="AV273" s="52" t="str">
        <f t="shared" si="309"/>
        <v>data1!R23C23</v>
      </c>
      <c r="AW273" s="52" t="str">
        <f t="shared" si="310"/>
        <v>data1!R24C23</v>
      </c>
      <c r="AX273" s="2">
        <f t="shared" si="333"/>
        <v>300</v>
      </c>
      <c r="AY273" s="25">
        <f t="shared" ca="1" si="311"/>
        <v>25.399209486166004</v>
      </c>
      <c r="AZ273" s="6">
        <f t="shared" ca="1" si="312"/>
        <v>2.5138339920948596</v>
      </c>
      <c r="BA273" s="27">
        <f t="shared" ca="1" si="313"/>
        <v>22.885375494071145</v>
      </c>
      <c r="BB273" s="21">
        <f t="shared" ca="1" si="314"/>
        <v>9.8972922502334193E-2</v>
      </c>
    </row>
    <row r="274" spans="6:54">
      <c r="F274" s="2"/>
      <c r="AQ274" s="2">
        <f t="shared" si="273"/>
        <v>155</v>
      </c>
      <c r="AR274" s="2" t="str">
        <f t="shared" ref="AR274:AS274" si="341">AR271</f>
        <v>D65</v>
      </c>
      <c r="AS274" s="1">
        <f t="shared" si="341"/>
        <v>2</v>
      </c>
      <c r="AT274" s="2">
        <f t="shared" si="275"/>
        <v>19</v>
      </c>
      <c r="AU274" s="2">
        <f t="shared" si="276"/>
        <v>1</v>
      </c>
      <c r="AV274" s="52" t="str">
        <f t="shared" si="309"/>
        <v>data2!R23C23</v>
      </c>
      <c r="AW274" s="52" t="str">
        <f t="shared" si="310"/>
        <v>data2!R24C23</v>
      </c>
      <c r="AX274" s="2">
        <f t="shared" si="333"/>
        <v>300</v>
      </c>
      <c r="AY274" s="25">
        <f t="shared" ca="1" si="311"/>
        <v>60.875444839857657</v>
      </c>
      <c r="AZ274" s="6">
        <f t="shared" ca="1" si="312"/>
        <v>20.775800711743777</v>
      </c>
      <c r="BA274" s="27">
        <f t="shared" ca="1" si="313"/>
        <v>40.09964412811388</v>
      </c>
      <c r="BB274" s="21">
        <f t="shared" ca="1" si="314"/>
        <v>0.34128376008418104</v>
      </c>
    </row>
    <row r="275" spans="6:54">
      <c r="F275" s="2"/>
      <c r="AQ275" s="2">
        <f t="shared" si="273"/>
        <v>156</v>
      </c>
      <c r="AR275" s="2" t="str">
        <f t="shared" ref="AR275:AS275" si="342">AR272</f>
        <v>A</v>
      </c>
      <c r="AS275" s="1">
        <f t="shared" si="342"/>
        <v>0</v>
      </c>
      <c r="AT275" s="2">
        <f t="shared" si="275"/>
        <v>20</v>
      </c>
      <c r="AU275" s="2">
        <f t="shared" si="276"/>
        <v>1</v>
      </c>
      <c r="AV275" s="52" t="str">
        <f t="shared" si="309"/>
        <v>data0!R23C24</v>
      </c>
      <c r="AW275" s="52" t="str">
        <f t="shared" si="310"/>
        <v>data0!R24C24</v>
      </c>
      <c r="AX275" s="2">
        <f t="shared" si="333"/>
        <v>300</v>
      </c>
      <c r="AY275" s="25">
        <f t="shared" ca="1" si="311"/>
        <v>87.602905569007262</v>
      </c>
      <c r="AZ275" s="6">
        <f t="shared" ca="1" si="312"/>
        <v>48.087167070217916</v>
      </c>
      <c r="BA275" s="27">
        <f t="shared" ca="1" si="313"/>
        <v>39.515738498789347</v>
      </c>
      <c r="BB275" s="21">
        <f t="shared" ca="1" si="314"/>
        <v>0.5489220563847429</v>
      </c>
    </row>
    <row r="276" spans="6:54">
      <c r="F276" s="2"/>
      <c r="AQ276" s="2">
        <f t="shared" si="273"/>
        <v>157</v>
      </c>
      <c r="AR276" s="2" t="str">
        <f t="shared" ref="AR276:AS276" si="343">AR273</f>
        <v>CWF</v>
      </c>
      <c r="AS276" s="1">
        <f t="shared" si="343"/>
        <v>1</v>
      </c>
      <c r="AT276" s="2">
        <f t="shared" si="275"/>
        <v>20</v>
      </c>
      <c r="AU276" s="2">
        <f t="shared" si="276"/>
        <v>1</v>
      </c>
      <c r="AV276" s="52" t="str">
        <f t="shared" si="309"/>
        <v>data1!R23C24</v>
      </c>
      <c r="AW276" s="52" t="str">
        <f t="shared" si="310"/>
        <v>data1!R24C24</v>
      </c>
      <c r="AX276" s="2">
        <f t="shared" si="333"/>
        <v>300</v>
      </c>
      <c r="AY276" s="25">
        <f t="shared" ca="1" si="311"/>
        <v>25.399209486166004</v>
      </c>
      <c r="AZ276" s="6">
        <f t="shared" ca="1" si="312"/>
        <v>2.5138339920948596</v>
      </c>
      <c r="BA276" s="27">
        <f t="shared" ca="1" si="313"/>
        <v>22.885375494071145</v>
      </c>
      <c r="BB276" s="21">
        <f t="shared" ca="1" si="314"/>
        <v>9.8972922502334193E-2</v>
      </c>
    </row>
    <row r="277" spans="6:54">
      <c r="F277" s="2"/>
      <c r="AQ277" s="2">
        <f t="shared" si="273"/>
        <v>158</v>
      </c>
      <c r="AR277" s="2" t="str">
        <f t="shared" ref="AR277:AS277" si="344">AR274</f>
        <v>D65</v>
      </c>
      <c r="AS277" s="1">
        <f t="shared" si="344"/>
        <v>2</v>
      </c>
      <c r="AT277" s="2">
        <f t="shared" si="275"/>
        <v>20</v>
      </c>
      <c r="AU277" s="2">
        <f t="shared" si="276"/>
        <v>1</v>
      </c>
      <c r="AV277" s="52" t="str">
        <f t="shared" si="309"/>
        <v>data2!R23C24</v>
      </c>
      <c r="AW277" s="52" t="str">
        <f t="shared" si="310"/>
        <v>data2!R24C24</v>
      </c>
      <c r="AX277" s="2">
        <f t="shared" si="333"/>
        <v>300</v>
      </c>
      <c r="AY277" s="25">
        <f t="shared" ca="1" si="311"/>
        <v>60.875444839857657</v>
      </c>
      <c r="AZ277" s="6">
        <f t="shared" ca="1" si="312"/>
        <v>20.775800711743777</v>
      </c>
      <c r="BA277" s="27">
        <f t="shared" ca="1" si="313"/>
        <v>40.09964412811388</v>
      </c>
      <c r="BB277" s="21">
        <f t="shared" ca="1" si="314"/>
        <v>0.34128376008418104</v>
      </c>
    </row>
    <row r="278" spans="6:54">
      <c r="F278" s="2"/>
      <c r="AQ278" s="2">
        <f t="shared" si="273"/>
        <v>159</v>
      </c>
      <c r="AR278" s="2" t="str">
        <f t="shared" ref="AR278:AS278" si="345">AR275</f>
        <v>A</v>
      </c>
      <c r="AS278" s="1">
        <f t="shared" si="345"/>
        <v>0</v>
      </c>
      <c r="AT278" s="2">
        <f t="shared" si="275"/>
        <v>21</v>
      </c>
      <c r="AU278" s="2">
        <f t="shared" si="276"/>
        <v>1</v>
      </c>
      <c r="AV278" s="52" t="str">
        <f t="shared" si="309"/>
        <v>data0!R23C25</v>
      </c>
      <c r="AW278" s="52" t="str">
        <f t="shared" si="310"/>
        <v>data0!R24C25</v>
      </c>
      <c r="AX278" s="2">
        <f t="shared" si="333"/>
        <v>300</v>
      </c>
      <c r="AY278" s="25">
        <f t="shared" ca="1" si="311"/>
        <v>87.602905569007262</v>
      </c>
      <c r="AZ278" s="6">
        <f t="shared" ca="1" si="312"/>
        <v>48.087167070217916</v>
      </c>
      <c r="BA278" s="27">
        <f t="shared" ca="1" si="313"/>
        <v>39.515738498789347</v>
      </c>
      <c r="BB278" s="21">
        <f t="shared" ca="1" si="314"/>
        <v>0.5489220563847429</v>
      </c>
    </row>
    <row r="279" spans="6:54">
      <c r="F279" s="2"/>
      <c r="AQ279" s="2">
        <f t="shared" si="273"/>
        <v>160</v>
      </c>
      <c r="AR279" s="2" t="str">
        <f t="shared" ref="AR279:AS279" si="346">AR276</f>
        <v>CWF</v>
      </c>
      <c r="AS279" s="1">
        <f t="shared" si="346"/>
        <v>1</v>
      </c>
      <c r="AT279" s="2">
        <f t="shared" si="275"/>
        <v>21</v>
      </c>
      <c r="AU279" s="2">
        <f t="shared" si="276"/>
        <v>1</v>
      </c>
      <c r="AV279" s="52" t="str">
        <f t="shared" si="309"/>
        <v>data1!R23C25</v>
      </c>
      <c r="AW279" s="52" t="str">
        <f t="shared" si="310"/>
        <v>data1!R24C25</v>
      </c>
      <c r="AX279" s="2">
        <f t="shared" si="333"/>
        <v>300</v>
      </c>
      <c r="AY279" s="25">
        <f t="shared" ca="1" si="311"/>
        <v>25.399209486166004</v>
      </c>
      <c r="AZ279" s="6">
        <f t="shared" ca="1" si="312"/>
        <v>2.5138339920948596</v>
      </c>
      <c r="BA279" s="27">
        <f t="shared" ca="1" si="313"/>
        <v>22.885375494071145</v>
      </c>
      <c r="BB279" s="21">
        <f t="shared" ca="1" si="314"/>
        <v>9.8972922502334193E-2</v>
      </c>
    </row>
    <row r="280" spans="6:54">
      <c r="F280" s="2"/>
      <c r="AQ280" s="2">
        <f t="shared" ref="AQ280:AQ343" si="347">AQ279+1</f>
        <v>161</v>
      </c>
      <c r="AR280" s="2" t="str">
        <f t="shared" ref="AR280:AS280" si="348">AR277</f>
        <v>D65</v>
      </c>
      <c r="AS280" s="1">
        <f t="shared" si="348"/>
        <v>2</v>
      </c>
      <c r="AT280" s="2">
        <f t="shared" ref="AT280:AT343" si="349">AT184</f>
        <v>21</v>
      </c>
      <c r="AU280" s="2">
        <f t="shared" ref="AU280:AU343" si="350">AU184+1</f>
        <v>1</v>
      </c>
      <c r="AV280" s="52" t="str">
        <f t="shared" si="309"/>
        <v>data2!R23C25</v>
      </c>
      <c r="AW280" s="52" t="str">
        <f t="shared" si="310"/>
        <v>data2!R24C25</v>
      </c>
      <c r="AX280" s="2">
        <f t="shared" si="333"/>
        <v>300</v>
      </c>
      <c r="AY280" s="25">
        <f t="shared" ca="1" si="311"/>
        <v>60.875444839857657</v>
      </c>
      <c r="AZ280" s="6">
        <f t="shared" ca="1" si="312"/>
        <v>20.775800711743777</v>
      </c>
      <c r="BA280" s="27">
        <f t="shared" ca="1" si="313"/>
        <v>40.09964412811388</v>
      </c>
      <c r="BB280" s="21">
        <f t="shared" ca="1" si="314"/>
        <v>0.34128376008418104</v>
      </c>
    </row>
    <row r="281" spans="6:54">
      <c r="F281" s="2"/>
      <c r="AQ281" s="2">
        <f t="shared" si="347"/>
        <v>162</v>
      </c>
      <c r="AR281" s="2" t="str">
        <f t="shared" ref="AR281:AS281" si="351">AR278</f>
        <v>A</v>
      </c>
      <c r="AS281" s="1">
        <f t="shared" si="351"/>
        <v>0</v>
      </c>
      <c r="AT281" s="2">
        <f t="shared" si="349"/>
        <v>22</v>
      </c>
      <c r="AU281" s="2">
        <f t="shared" si="350"/>
        <v>1</v>
      </c>
      <c r="AV281" s="52" t="str">
        <f t="shared" si="309"/>
        <v>data0!R23C26</v>
      </c>
      <c r="AW281" s="52" t="str">
        <f t="shared" si="310"/>
        <v>data0!R24C26</v>
      </c>
      <c r="AX281" s="2">
        <f t="shared" si="333"/>
        <v>300</v>
      </c>
      <c r="AY281" s="25">
        <f t="shared" ca="1" si="311"/>
        <v>87.602905569007262</v>
      </c>
      <c r="AZ281" s="6">
        <f t="shared" ca="1" si="312"/>
        <v>48.087167070217916</v>
      </c>
      <c r="BA281" s="27">
        <f t="shared" ca="1" si="313"/>
        <v>39.515738498789347</v>
      </c>
      <c r="BB281" s="21">
        <f t="shared" ca="1" si="314"/>
        <v>0.5489220563847429</v>
      </c>
    </row>
    <row r="282" spans="6:54">
      <c r="F282" s="2"/>
      <c r="AQ282" s="2">
        <f t="shared" si="347"/>
        <v>163</v>
      </c>
      <c r="AR282" s="2" t="str">
        <f t="shared" ref="AR282:AS282" si="352">AR279</f>
        <v>CWF</v>
      </c>
      <c r="AS282" s="1">
        <f t="shared" si="352"/>
        <v>1</v>
      </c>
      <c r="AT282" s="2">
        <f t="shared" si="349"/>
        <v>22</v>
      </c>
      <c r="AU282" s="2">
        <f t="shared" si="350"/>
        <v>1</v>
      </c>
      <c r="AV282" s="52" t="str">
        <f t="shared" si="309"/>
        <v>data1!R23C26</v>
      </c>
      <c r="AW282" s="52" t="str">
        <f t="shared" si="310"/>
        <v>data1!R24C26</v>
      </c>
      <c r="AX282" s="2">
        <f t="shared" si="333"/>
        <v>300</v>
      </c>
      <c r="AY282" s="25">
        <f t="shared" ca="1" si="311"/>
        <v>25.399209486166004</v>
      </c>
      <c r="AZ282" s="6">
        <f t="shared" ca="1" si="312"/>
        <v>2.5138339920948596</v>
      </c>
      <c r="BA282" s="27">
        <f t="shared" ca="1" si="313"/>
        <v>22.885375494071145</v>
      </c>
      <c r="BB282" s="21">
        <f t="shared" ca="1" si="314"/>
        <v>9.8972922502334193E-2</v>
      </c>
    </row>
    <row r="283" spans="6:54">
      <c r="F283" s="2"/>
      <c r="AQ283" s="2">
        <f t="shared" si="347"/>
        <v>164</v>
      </c>
      <c r="AR283" s="2" t="str">
        <f t="shared" ref="AR283:AS283" si="353">AR280</f>
        <v>D65</v>
      </c>
      <c r="AS283" s="1">
        <f t="shared" si="353"/>
        <v>2</v>
      </c>
      <c r="AT283" s="2">
        <f t="shared" si="349"/>
        <v>22</v>
      </c>
      <c r="AU283" s="2">
        <f t="shared" si="350"/>
        <v>1</v>
      </c>
      <c r="AV283" s="52" t="str">
        <f t="shared" si="309"/>
        <v>data2!R23C26</v>
      </c>
      <c r="AW283" s="52" t="str">
        <f t="shared" si="310"/>
        <v>data2!R24C26</v>
      </c>
      <c r="AX283" s="2">
        <f t="shared" si="333"/>
        <v>300</v>
      </c>
      <c r="AY283" s="25">
        <f t="shared" ca="1" si="311"/>
        <v>60.875444839857657</v>
      </c>
      <c r="AZ283" s="6">
        <f t="shared" ca="1" si="312"/>
        <v>20.775800711743777</v>
      </c>
      <c r="BA283" s="27">
        <f t="shared" ca="1" si="313"/>
        <v>40.09964412811388</v>
      </c>
      <c r="BB283" s="21">
        <f t="shared" ca="1" si="314"/>
        <v>0.34128376008418104</v>
      </c>
    </row>
    <row r="284" spans="6:54">
      <c r="F284" s="2"/>
      <c r="AQ284" s="2">
        <f t="shared" si="347"/>
        <v>165</v>
      </c>
      <c r="AR284" s="2" t="str">
        <f t="shared" ref="AR284:AS284" si="354">AR281</f>
        <v>A</v>
      </c>
      <c r="AS284" s="1">
        <f t="shared" si="354"/>
        <v>0</v>
      </c>
      <c r="AT284" s="2">
        <f t="shared" si="349"/>
        <v>23</v>
      </c>
      <c r="AU284" s="2">
        <f t="shared" si="350"/>
        <v>1</v>
      </c>
      <c r="AV284" s="52" t="str">
        <f t="shared" si="309"/>
        <v>data0!R23C27</v>
      </c>
      <c r="AW284" s="52" t="str">
        <f t="shared" si="310"/>
        <v>data0!R24C27</v>
      </c>
      <c r="AX284" s="2">
        <f t="shared" si="333"/>
        <v>300</v>
      </c>
      <c r="AY284" s="25">
        <f t="shared" ca="1" si="311"/>
        <v>87.602905569007262</v>
      </c>
      <c r="AZ284" s="6">
        <f t="shared" ca="1" si="312"/>
        <v>48.087167070217916</v>
      </c>
      <c r="BA284" s="27">
        <f t="shared" ca="1" si="313"/>
        <v>39.515738498789347</v>
      </c>
      <c r="BB284" s="21">
        <f t="shared" ca="1" si="314"/>
        <v>0.5489220563847429</v>
      </c>
    </row>
    <row r="285" spans="6:54">
      <c r="F285" s="2"/>
      <c r="AQ285" s="2">
        <f t="shared" si="347"/>
        <v>166</v>
      </c>
      <c r="AR285" s="2" t="str">
        <f t="shared" ref="AR285:AS285" si="355">AR282</f>
        <v>CWF</v>
      </c>
      <c r="AS285" s="1">
        <f t="shared" si="355"/>
        <v>1</v>
      </c>
      <c r="AT285" s="2">
        <f t="shared" si="349"/>
        <v>23</v>
      </c>
      <c r="AU285" s="2">
        <f t="shared" si="350"/>
        <v>1</v>
      </c>
      <c r="AV285" s="52" t="str">
        <f t="shared" si="309"/>
        <v>data1!R23C27</v>
      </c>
      <c r="AW285" s="52" t="str">
        <f t="shared" si="310"/>
        <v>data1!R24C27</v>
      </c>
      <c r="AX285" s="2">
        <f t="shared" si="333"/>
        <v>300</v>
      </c>
      <c r="AY285" s="25">
        <f t="shared" ca="1" si="311"/>
        <v>25.399209486166004</v>
      </c>
      <c r="AZ285" s="6">
        <f t="shared" ca="1" si="312"/>
        <v>2.5138339920948596</v>
      </c>
      <c r="BA285" s="27">
        <f t="shared" ca="1" si="313"/>
        <v>22.885375494071145</v>
      </c>
      <c r="BB285" s="21">
        <f t="shared" ca="1" si="314"/>
        <v>9.8972922502334193E-2</v>
      </c>
    </row>
    <row r="286" spans="6:54">
      <c r="F286" s="2"/>
      <c r="AQ286" s="2">
        <f t="shared" si="347"/>
        <v>167</v>
      </c>
      <c r="AR286" s="2" t="str">
        <f t="shared" ref="AR286:AS286" si="356">AR283</f>
        <v>D65</v>
      </c>
      <c r="AS286" s="1">
        <f t="shared" si="356"/>
        <v>2</v>
      </c>
      <c r="AT286" s="2">
        <f t="shared" si="349"/>
        <v>23</v>
      </c>
      <c r="AU286" s="2">
        <f t="shared" si="350"/>
        <v>1</v>
      </c>
      <c r="AV286" s="52" t="str">
        <f t="shared" si="309"/>
        <v>data2!R23C27</v>
      </c>
      <c r="AW286" s="52" t="str">
        <f t="shared" si="310"/>
        <v>data2!R24C27</v>
      </c>
      <c r="AX286" s="2">
        <f t="shared" si="333"/>
        <v>300</v>
      </c>
      <c r="AY286" s="25">
        <f t="shared" ca="1" si="311"/>
        <v>60.875444839857657</v>
      </c>
      <c r="AZ286" s="6">
        <f t="shared" ca="1" si="312"/>
        <v>20.775800711743777</v>
      </c>
      <c r="BA286" s="27">
        <f t="shared" ca="1" si="313"/>
        <v>40.09964412811388</v>
      </c>
      <c r="BB286" s="21">
        <f t="shared" ca="1" si="314"/>
        <v>0.34128376008418104</v>
      </c>
    </row>
    <row r="287" spans="6:54">
      <c r="F287" s="2"/>
      <c r="AQ287" s="2">
        <f t="shared" si="347"/>
        <v>168</v>
      </c>
      <c r="AR287" s="2" t="str">
        <f t="shared" ref="AR287:AS287" si="357">AR284</f>
        <v>A</v>
      </c>
      <c r="AS287" s="1">
        <f t="shared" si="357"/>
        <v>0</v>
      </c>
      <c r="AT287" s="2">
        <f t="shared" si="349"/>
        <v>24</v>
      </c>
      <c r="AU287" s="2">
        <f t="shared" si="350"/>
        <v>1</v>
      </c>
      <c r="AV287" s="52" t="str">
        <f t="shared" si="309"/>
        <v>data0!R23C28</v>
      </c>
      <c r="AW287" s="52" t="str">
        <f t="shared" si="310"/>
        <v>data0!R24C28</v>
      </c>
      <c r="AX287" s="2">
        <f t="shared" si="333"/>
        <v>300</v>
      </c>
      <c r="AY287" s="25">
        <f t="shared" ca="1" si="311"/>
        <v>87.602905569007262</v>
      </c>
      <c r="AZ287" s="6">
        <f t="shared" ca="1" si="312"/>
        <v>48.087167070217916</v>
      </c>
      <c r="BA287" s="27">
        <f t="shared" ca="1" si="313"/>
        <v>39.515738498789347</v>
      </c>
      <c r="BB287" s="21">
        <f t="shared" ca="1" si="314"/>
        <v>0.5489220563847429</v>
      </c>
    </row>
    <row r="288" spans="6:54">
      <c r="F288" s="2"/>
      <c r="AQ288" s="2">
        <f t="shared" si="347"/>
        <v>169</v>
      </c>
      <c r="AR288" s="2" t="str">
        <f t="shared" ref="AR288:AS288" si="358">AR285</f>
        <v>CWF</v>
      </c>
      <c r="AS288" s="1">
        <f t="shared" si="358"/>
        <v>1</v>
      </c>
      <c r="AT288" s="2">
        <f t="shared" si="349"/>
        <v>24</v>
      </c>
      <c r="AU288" s="2">
        <f t="shared" si="350"/>
        <v>1</v>
      </c>
      <c r="AV288" s="52" t="str">
        <f t="shared" si="309"/>
        <v>data1!R23C28</v>
      </c>
      <c r="AW288" s="52" t="str">
        <f t="shared" si="310"/>
        <v>data1!R24C28</v>
      </c>
      <c r="AX288" s="2">
        <f t="shared" si="333"/>
        <v>300</v>
      </c>
      <c r="AY288" s="25">
        <f t="shared" ca="1" si="311"/>
        <v>25.399209486166004</v>
      </c>
      <c r="AZ288" s="6">
        <f t="shared" ca="1" si="312"/>
        <v>2.5138339920948596</v>
      </c>
      <c r="BA288" s="27">
        <f t="shared" ca="1" si="313"/>
        <v>22.885375494071145</v>
      </c>
      <c r="BB288" s="21">
        <f t="shared" ca="1" si="314"/>
        <v>9.8972922502334193E-2</v>
      </c>
    </row>
    <row r="289" spans="6:54">
      <c r="F289" s="2"/>
      <c r="AQ289" s="2">
        <f t="shared" si="347"/>
        <v>170</v>
      </c>
      <c r="AR289" s="2" t="str">
        <f t="shared" ref="AR289:AS289" si="359">AR286</f>
        <v>D65</v>
      </c>
      <c r="AS289" s="1">
        <f t="shared" si="359"/>
        <v>2</v>
      </c>
      <c r="AT289" s="2">
        <f t="shared" si="349"/>
        <v>24</v>
      </c>
      <c r="AU289" s="2">
        <f t="shared" si="350"/>
        <v>1</v>
      </c>
      <c r="AV289" s="52" t="str">
        <f t="shared" si="309"/>
        <v>data2!R23C28</v>
      </c>
      <c r="AW289" s="52" t="str">
        <f t="shared" si="310"/>
        <v>data2!R24C28</v>
      </c>
      <c r="AX289" s="2">
        <f t="shared" si="333"/>
        <v>300</v>
      </c>
      <c r="AY289" s="25">
        <f t="shared" ca="1" si="311"/>
        <v>60.875444839857657</v>
      </c>
      <c r="AZ289" s="6">
        <f t="shared" ca="1" si="312"/>
        <v>20.775800711743777</v>
      </c>
      <c r="BA289" s="27">
        <f t="shared" ca="1" si="313"/>
        <v>40.09964412811388</v>
      </c>
      <c r="BB289" s="21">
        <f t="shared" ca="1" si="314"/>
        <v>0.34128376008418104</v>
      </c>
    </row>
    <row r="290" spans="6:54">
      <c r="F290" s="2"/>
      <c r="AQ290" s="2">
        <f t="shared" si="347"/>
        <v>171</v>
      </c>
      <c r="AR290" s="2" t="str">
        <f t="shared" ref="AR290:AS290" si="360">AR287</f>
        <v>A</v>
      </c>
      <c r="AS290" s="1">
        <f t="shared" si="360"/>
        <v>0</v>
      </c>
      <c r="AT290" s="2">
        <f t="shared" si="349"/>
        <v>25</v>
      </c>
      <c r="AU290" s="2">
        <f t="shared" si="350"/>
        <v>1</v>
      </c>
      <c r="AV290" s="52" t="str">
        <f t="shared" si="309"/>
        <v>data0!R23C29</v>
      </c>
      <c r="AW290" s="52" t="str">
        <f t="shared" si="310"/>
        <v>data0!R24C29</v>
      </c>
      <c r="AX290" s="2">
        <f t="shared" si="333"/>
        <v>300</v>
      </c>
      <c r="AY290" s="25">
        <f t="shared" ca="1" si="311"/>
        <v>87.602905569007262</v>
      </c>
      <c r="AZ290" s="6">
        <f t="shared" ca="1" si="312"/>
        <v>48.087167070217916</v>
      </c>
      <c r="BA290" s="27">
        <f t="shared" ca="1" si="313"/>
        <v>39.515738498789347</v>
      </c>
      <c r="BB290" s="21">
        <f t="shared" ca="1" si="314"/>
        <v>0.5489220563847429</v>
      </c>
    </row>
    <row r="291" spans="6:54">
      <c r="F291" s="2"/>
      <c r="AQ291" s="2">
        <f t="shared" si="347"/>
        <v>172</v>
      </c>
      <c r="AR291" s="2" t="str">
        <f t="shared" ref="AR291:AS291" si="361">AR288</f>
        <v>CWF</v>
      </c>
      <c r="AS291" s="1">
        <f t="shared" si="361"/>
        <v>1</v>
      </c>
      <c r="AT291" s="2">
        <f t="shared" si="349"/>
        <v>25</v>
      </c>
      <c r="AU291" s="2">
        <f t="shared" si="350"/>
        <v>1</v>
      </c>
      <c r="AV291" s="52" t="str">
        <f t="shared" si="309"/>
        <v>data1!R23C29</v>
      </c>
      <c r="AW291" s="52" t="str">
        <f t="shared" si="310"/>
        <v>data1!R24C29</v>
      </c>
      <c r="AX291" s="2">
        <f t="shared" si="333"/>
        <v>300</v>
      </c>
      <c r="AY291" s="25">
        <f t="shared" ca="1" si="311"/>
        <v>25.399209486166004</v>
      </c>
      <c r="AZ291" s="6">
        <f t="shared" ca="1" si="312"/>
        <v>2.5138339920948596</v>
      </c>
      <c r="BA291" s="27">
        <f t="shared" ca="1" si="313"/>
        <v>22.885375494071145</v>
      </c>
      <c r="BB291" s="21">
        <f t="shared" ca="1" si="314"/>
        <v>9.8972922502334193E-2</v>
      </c>
    </row>
    <row r="292" spans="6:54">
      <c r="F292" s="2"/>
      <c r="AQ292" s="2">
        <f t="shared" si="347"/>
        <v>173</v>
      </c>
      <c r="AR292" s="2" t="str">
        <f t="shared" ref="AR292:AS292" si="362">AR289</f>
        <v>D65</v>
      </c>
      <c r="AS292" s="1">
        <f t="shared" si="362"/>
        <v>2</v>
      </c>
      <c r="AT292" s="2">
        <f t="shared" si="349"/>
        <v>25</v>
      </c>
      <c r="AU292" s="2">
        <f t="shared" si="350"/>
        <v>1</v>
      </c>
      <c r="AV292" s="52" t="str">
        <f t="shared" si="309"/>
        <v>data2!R23C29</v>
      </c>
      <c r="AW292" s="52" t="str">
        <f t="shared" si="310"/>
        <v>data2!R24C29</v>
      </c>
      <c r="AX292" s="2">
        <f t="shared" si="333"/>
        <v>300</v>
      </c>
      <c r="AY292" s="25">
        <f t="shared" ca="1" si="311"/>
        <v>60.875444839857657</v>
      </c>
      <c r="AZ292" s="6">
        <f t="shared" ca="1" si="312"/>
        <v>20.775800711743777</v>
      </c>
      <c r="BA292" s="27">
        <f t="shared" ca="1" si="313"/>
        <v>40.09964412811388</v>
      </c>
      <c r="BB292" s="21">
        <f t="shared" ca="1" si="314"/>
        <v>0.34128376008418104</v>
      </c>
    </row>
    <row r="293" spans="6:54">
      <c r="F293" s="2"/>
      <c r="AQ293" s="2">
        <f t="shared" si="347"/>
        <v>174</v>
      </c>
      <c r="AR293" s="2" t="str">
        <f t="shared" ref="AR293:AS293" si="363">AR290</f>
        <v>A</v>
      </c>
      <c r="AS293" s="1">
        <f t="shared" si="363"/>
        <v>0</v>
      </c>
      <c r="AT293" s="2">
        <f t="shared" si="349"/>
        <v>26</v>
      </c>
      <c r="AU293" s="2">
        <f t="shared" si="350"/>
        <v>1</v>
      </c>
      <c r="AV293" s="52" t="str">
        <f t="shared" si="309"/>
        <v>data0!R23C30</v>
      </c>
      <c r="AW293" s="52" t="str">
        <f t="shared" si="310"/>
        <v>data0!R24C30</v>
      </c>
      <c r="AX293" s="2">
        <f t="shared" si="333"/>
        <v>300</v>
      </c>
      <c r="AY293" s="25">
        <f t="shared" ca="1" si="311"/>
        <v>87.602905569007262</v>
      </c>
      <c r="AZ293" s="6">
        <f t="shared" ca="1" si="312"/>
        <v>48.087167070217916</v>
      </c>
      <c r="BA293" s="27">
        <f t="shared" ca="1" si="313"/>
        <v>39.515738498789347</v>
      </c>
      <c r="BB293" s="21">
        <f t="shared" ca="1" si="314"/>
        <v>0.5489220563847429</v>
      </c>
    </row>
    <row r="294" spans="6:54">
      <c r="F294" s="2"/>
      <c r="AQ294" s="2">
        <f t="shared" si="347"/>
        <v>175</v>
      </c>
      <c r="AR294" s="2" t="str">
        <f t="shared" ref="AR294:AS294" si="364">AR291</f>
        <v>CWF</v>
      </c>
      <c r="AS294" s="1">
        <f t="shared" si="364"/>
        <v>1</v>
      </c>
      <c r="AT294" s="2">
        <f t="shared" si="349"/>
        <v>26</v>
      </c>
      <c r="AU294" s="2">
        <f t="shared" si="350"/>
        <v>1</v>
      </c>
      <c r="AV294" s="52" t="str">
        <f t="shared" si="309"/>
        <v>data1!R23C30</v>
      </c>
      <c r="AW294" s="52" t="str">
        <f t="shared" si="310"/>
        <v>data1!R24C30</v>
      </c>
      <c r="AX294" s="2">
        <f t="shared" si="333"/>
        <v>300</v>
      </c>
      <c r="AY294" s="25">
        <f t="shared" ca="1" si="311"/>
        <v>25.399209486166004</v>
      </c>
      <c r="AZ294" s="6">
        <f t="shared" ca="1" si="312"/>
        <v>2.5138339920948596</v>
      </c>
      <c r="BA294" s="27">
        <f t="shared" ca="1" si="313"/>
        <v>22.885375494071145</v>
      </c>
      <c r="BB294" s="21">
        <f t="shared" ca="1" si="314"/>
        <v>9.8972922502334193E-2</v>
      </c>
    </row>
    <row r="295" spans="6:54">
      <c r="F295" s="2"/>
      <c r="AQ295" s="2">
        <f t="shared" si="347"/>
        <v>176</v>
      </c>
      <c r="AR295" s="2" t="str">
        <f t="shared" ref="AR295:AS295" si="365">AR292</f>
        <v>D65</v>
      </c>
      <c r="AS295" s="1">
        <f t="shared" si="365"/>
        <v>2</v>
      </c>
      <c r="AT295" s="2">
        <f t="shared" si="349"/>
        <v>26</v>
      </c>
      <c r="AU295" s="2">
        <f t="shared" si="350"/>
        <v>1</v>
      </c>
      <c r="AV295" s="52" t="str">
        <f t="shared" si="309"/>
        <v>data2!R23C30</v>
      </c>
      <c r="AW295" s="52" t="str">
        <f t="shared" si="310"/>
        <v>data2!R24C30</v>
      </c>
      <c r="AX295" s="2">
        <f t="shared" si="333"/>
        <v>300</v>
      </c>
      <c r="AY295" s="25">
        <f t="shared" ca="1" si="311"/>
        <v>60.875444839857657</v>
      </c>
      <c r="AZ295" s="6">
        <f t="shared" ca="1" si="312"/>
        <v>20.775800711743777</v>
      </c>
      <c r="BA295" s="27">
        <f t="shared" ca="1" si="313"/>
        <v>40.09964412811388</v>
      </c>
      <c r="BB295" s="21">
        <f t="shared" ca="1" si="314"/>
        <v>0.34128376008418104</v>
      </c>
    </row>
    <row r="296" spans="6:54">
      <c r="F296" s="2"/>
      <c r="AQ296" s="2">
        <f t="shared" si="347"/>
        <v>177</v>
      </c>
      <c r="AR296" s="2" t="str">
        <f t="shared" ref="AR296:AS296" si="366">AR293</f>
        <v>A</v>
      </c>
      <c r="AS296" s="1">
        <f t="shared" si="366"/>
        <v>0</v>
      </c>
      <c r="AT296" s="2">
        <f t="shared" si="349"/>
        <v>27</v>
      </c>
      <c r="AU296" s="2">
        <f t="shared" si="350"/>
        <v>1</v>
      </c>
      <c r="AV296" s="52" t="str">
        <f t="shared" si="309"/>
        <v>data0!R23C31</v>
      </c>
      <c r="AW296" s="52" t="str">
        <f t="shared" si="310"/>
        <v>data0!R24C31</v>
      </c>
      <c r="AX296" s="2">
        <f t="shared" si="333"/>
        <v>300</v>
      </c>
      <c r="AY296" s="25">
        <f t="shared" ca="1" si="311"/>
        <v>87.602905569007262</v>
      </c>
      <c r="AZ296" s="6">
        <f t="shared" ca="1" si="312"/>
        <v>48.087167070217916</v>
      </c>
      <c r="BA296" s="27">
        <f t="shared" ca="1" si="313"/>
        <v>39.515738498789347</v>
      </c>
      <c r="BB296" s="21">
        <f t="shared" ca="1" si="314"/>
        <v>0.5489220563847429</v>
      </c>
    </row>
    <row r="297" spans="6:54">
      <c r="F297" s="2"/>
      <c r="AQ297" s="2">
        <f t="shared" si="347"/>
        <v>178</v>
      </c>
      <c r="AR297" s="2" t="str">
        <f t="shared" ref="AR297:AS297" si="367">AR294</f>
        <v>CWF</v>
      </c>
      <c r="AS297" s="1">
        <f t="shared" si="367"/>
        <v>1</v>
      </c>
      <c r="AT297" s="2">
        <f t="shared" si="349"/>
        <v>27</v>
      </c>
      <c r="AU297" s="2">
        <f t="shared" si="350"/>
        <v>1</v>
      </c>
      <c r="AV297" s="52" t="str">
        <f t="shared" si="309"/>
        <v>data1!R23C31</v>
      </c>
      <c r="AW297" s="52" t="str">
        <f t="shared" si="310"/>
        <v>data1!R24C31</v>
      </c>
      <c r="AX297" s="2">
        <f t="shared" si="333"/>
        <v>300</v>
      </c>
      <c r="AY297" s="25">
        <f t="shared" ca="1" si="311"/>
        <v>25.399209486166004</v>
      </c>
      <c r="AZ297" s="6">
        <f t="shared" ca="1" si="312"/>
        <v>2.5138339920948596</v>
      </c>
      <c r="BA297" s="27">
        <f t="shared" ca="1" si="313"/>
        <v>22.885375494071145</v>
      </c>
      <c r="BB297" s="21">
        <f t="shared" ca="1" si="314"/>
        <v>9.8972922502334193E-2</v>
      </c>
    </row>
    <row r="298" spans="6:54">
      <c r="F298" s="2"/>
      <c r="AQ298" s="2">
        <f t="shared" si="347"/>
        <v>179</v>
      </c>
      <c r="AR298" s="2" t="str">
        <f t="shared" ref="AR298:AS298" si="368">AR295</f>
        <v>D65</v>
      </c>
      <c r="AS298" s="1">
        <f t="shared" si="368"/>
        <v>2</v>
      </c>
      <c r="AT298" s="2">
        <f t="shared" si="349"/>
        <v>27</v>
      </c>
      <c r="AU298" s="2">
        <f t="shared" si="350"/>
        <v>1</v>
      </c>
      <c r="AV298" s="52" t="str">
        <f t="shared" si="309"/>
        <v>data2!R23C31</v>
      </c>
      <c r="AW298" s="52" t="str">
        <f t="shared" si="310"/>
        <v>data2!R24C31</v>
      </c>
      <c r="AX298" s="2">
        <f t="shared" si="333"/>
        <v>300</v>
      </c>
      <c r="AY298" s="25">
        <f t="shared" ca="1" si="311"/>
        <v>60.875444839857657</v>
      </c>
      <c r="AZ298" s="6">
        <f t="shared" ca="1" si="312"/>
        <v>20.775800711743777</v>
      </c>
      <c r="BA298" s="27">
        <f t="shared" ca="1" si="313"/>
        <v>40.09964412811388</v>
      </c>
      <c r="BB298" s="21">
        <f t="shared" ca="1" si="314"/>
        <v>0.34128376008418104</v>
      </c>
    </row>
    <row r="299" spans="6:54">
      <c r="F299" s="2"/>
      <c r="AQ299" s="2">
        <f t="shared" si="347"/>
        <v>180</v>
      </c>
      <c r="AR299" s="2" t="str">
        <f t="shared" ref="AR299:AS299" si="369">AR296</f>
        <v>A</v>
      </c>
      <c r="AS299" s="1">
        <f t="shared" si="369"/>
        <v>0</v>
      </c>
      <c r="AT299" s="2">
        <f t="shared" si="349"/>
        <v>28</v>
      </c>
      <c r="AU299" s="2">
        <f t="shared" si="350"/>
        <v>1</v>
      </c>
      <c r="AV299" s="52" t="str">
        <f t="shared" si="309"/>
        <v>data0!R23C32</v>
      </c>
      <c r="AW299" s="52" t="str">
        <f t="shared" si="310"/>
        <v>data0!R24C32</v>
      </c>
      <c r="AX299" s="2">
        <f t="shared" si="333"/>
        <v>300</v>
      </c>
      <c r="AY299" s="25">
        <f t="shared" ca="1" si="311"/>
        <v>87.602905569007262</v>
      </c>
      <c r="AZ299" s="6">
        <f t="shared" ca="1" si="312"/>
        <v>48.087167070217916</v>
      </c>
      <c r="BA299" s="27">
        <f t="shared" ca="1" si="313"/>
        <v>39.515738498789347</v>
      </c>
      <c r="BB299" s="21">
        <f t="shared" ca="1" si="314"/>
        <v>0.5489220563847429</v>
      </c>
    </row>
    <row r="300" spans="6:54">
      <c r="F300" s="2"/>
      <c r="AQ300" s="2">
        <f t="shared" si="347"/>
        <v>181</v>
      </c>
      <c r="AR300" s="2" t="str">
        <f t="shared" ref="AR300:AS300" si="370">AR297</f>
        <v>CWF</v>
      </c>
      <c r="AS300" s="1">
        <f t="shared" si="370"/>
        <v>1</v>
      </c>
      <c r="AT300" s="2">
        <f t="shared" si="349"/>
        <v>28</v>
      </c>
      <c r="AU300" s="2">
        <f t="shared" si="350"/>
        <v>1</v>
      </c>
      <c r="AV300" s="52" t="str">
        <f t="shared" si="309"/>
        <v>data1!R23C32</v>
      </c>
      <c r="AW300" s="52" t="str">
        <f t="shared" si="310"/>
        <v>data1!R24C32</v>
      </c>
      <c r="AX300" s="2">
        <f t="shared" si="333"/>
        <v>300</v>
      </c>
      <c r="AY300" s="25">
        <f t="shared" ca="1" si="311"/>
        <v>25.399209486166004</v>
      </c>
      <c r="AZ300" s="6">
        <f t="shared" ca="1" si="312"/>
        <v>2.5138339920948596</v>
      </c>
      <c r="BA300" s="27">
        <f t="shared" ca="1" si="313"/>
        <v>22.885375494071145</v>
      </c>
      <c r="BB300" s="21">
        <f t="shared" ca="1" si="314"/>
        <v>9.8972922502334193E-2</v>
      </c>
    </row>
    <row r="301" spans="6:54">
      <c r="F301" s="2"/>
      <c r="AQ301" s="2">
        <f t="shared" si="347"/>
        <v>182</v>
      </c>
      <c r="AR301" s="2" t="str">
        <f t="shared" ref="AR301:AS301" si="371">AR298</f>
        <v>D65</v>
      </c>
      <c r="AS301" s="1">
        <f t="shared" si="371"/>
        <v>2</v>
      </c>
      <c r="AT301" s="2">
        <f t="shared" si="349"/>
        <v>28</v>
      </c>
      <c r="AU301" s="2">
        <f t="shared" si="350"/>
        <v>1</v>
      </c>
      <c r="AV301" s="52" t="str">
        <f t="shared" si="309"/>
        <v>data2!R23C32</v>
      </c>
      <c r="AW301" s="52" t="str">
        <f t="shared" si="310"/>
        <v>data2!R24C32</v>
      </c>
      <c r="AX301" s="2">
        <f t="shared" si="333"/>
        <v>300</v>
      </c>
      <c r="AY301" s="25">
        <f t="shared" ca="1" si="311"/>
        <v>60.875444839857657</v>
      </c>
      <c r="AZ301" s="6">
        <f t="shared" ca="1" si="312"/>
        <v>20.775800711743777</v>
      </c>
      <c r="BA301" s="27">
        <f t="shared" ca="1" si="313"/>
        <v>40.09964412811388</v>
      </c>
      <c r="BB301" s="21">
        <f t="shared" ca="1" si="314"/>
        <v>0.34128376008418104</v>
      </c>
    </row>
    <row r="302" spans="6:54">
      <c r="F302" s="2"/>
      <c r="AQ302" s="2">
        <f t="shared" si="347"/>
        <v>183</v>
      </c>
      <c r="AR302" s="2" t="str">
        <f t="shared" ref="AR302:AS302" si="372">AR299</f>
        <v>A</v>
      </c>
      <c r="AS302" s="1">
        <f t="shared" si="372"/>
        <v>0</v>
      </c>
      <c r="AT302" s="2">
        <f t="shared" si="349"/>
        <v>29</v>
      </c>
      <c r="AU302" s="2">
        <f t="shared" si="350"/>
        <v>1</v>
      </c>
      <c r="AV302" s="52" t="str">
        <f t="shared" si="309"/>
        <v>data0!R23C33</v>
      </c>
      <c r="AW302" s="52" t="str">
        <f t="shared" si="310"/>
        <v>data0!R24C33</v>
      </c>
      <c r="AX302" s="2">
        <f t="shared" si="333"/>
        <v>300</v>
      </c>
      <c r="AY302" s="25">
        <f t="shared" ca="1" si="311"/>
        <v>87.602905569007262</v>
      </c>
      <c r="AZ302" s="6">
        <f t="shared" ca="1" si="312"/>
        <v>48.087167070217916</v>
      </c>
      <c r="BA302" s="27">
        <f t="shared" ca="1" si="313"/>
        <v>39.515738498789347</v>
      </c>
      <c r="BB302" s="21">
        <f t="shared" ca="1" si="314"/>
        <v>0.5489220563847429</v>
      </c>
    </row>
    <row r="303" spans="6:54">
      <c r="F303" s="2"/>
      <c r="AQ303" s="2">
        <f t="shared" si="347"/>
        <v>184</v>
      </c>
      <c r="AR303" s="2" t="str">
        <f t="shared" ref="AR303:AS303" si="373">AR300</f>
        <v>CWF</v>
      </c>
      <c r="AS303" s="1">
        <f t="shared" si="373"/>
        <v>1</v>
      </c>
      <c r="AT303" s="2">
        <f t="shared" si="349"/>
        <v>29</v>
      </c>
      <c r="AU303" s="2">
        <f t="shared" si="350"/>
        <v>1</v>
      </c>
      <c r="AV303" s="52" t="str">
        <f t="shared" si="309"/>
        <v>data1!R23C33</v>
      </c>
      <c r="AW303" s="52" t="str">
        <f t="shared" si="310"/>
        <v>data1!R24C33</v>
      </c>
      <c r="AX303" s="2">
        <f t="shared" si="333"/>
        <v>300</v>
      </c>
      <c r="AY303" s="25">
        <f t="shared" ca="1" si="311"/>
        <v>25.399209486166004</v>
      </c>
      <c r="AZ303" s="6">
        <f t="shared" ca="1" si="312"/>
        <v>2.5138339920948596</v>
      </c>
      <c r="BA303" s="27">
        <f t="shared" ca="1" si="313"/>
        <v>22.885375494071145</v>
      </c>
      <c r="BB303" s="21">
        <f t="shared" ca="1" si="314"/>
        <v>9.8972922502334193E-2</v>
      </c>
    </row>
    <row r="304" spans="6:54">
      <c r="F304" s="2"/>
      <c r="AQ304" s="2">
        <f t="shared" si="347"/>
        <v>185</v>
      </c>
      <c r="AR304" s="2" t="str">
        <f t="shared" ref="AR304:AS304" si="374">AR301</f>
        <v>D65</v>
      </c>
      <c r="AS304" s="1">
        <f t="shared" si="374"/>
        <v>2</v>
      </c>
      <c r="AT304" s="2">
        <f t="shared" si="349"/>
        <v>29</v>
      </c>
      <c r="AU304" s="2">
        <f t="shared" si="350"/>
        <v>1</v>
      </c>
      <c r="AV304" s="52" t="str">
        <f t="shared" si="309"/>
        <v>data2!R23C33</v>
      </c>
      <c r="AW304" s="52" t="str">
        <f t="shared" si="310"/>
        <v>data2!R24C33</v>
      </c>
      <c r="AX304" s="2">
        <f t="shared" si="333"/>
        <v>300</v>
      </c>
      <c r="AY304" s="25">
        <f t="shared" ca="1" si="311"/>
        <v>60.875444839857657</v>
      </c>
      <c r="AZ304" s="6">
        <f t="shared" ca="1" si="312"/>
        <v>20.775800711743777</v>
      </c>
      <c r="BA304" s="27">
        <f t="shared" ca="1" si="313"/>
        <v>40.09964412811388</v>
      </c>
      <c r="BB304" s="21">
        <f t="shared" ca="1" si="314"/>
        <v>0.34128376008418104</v>
      </c>
    </row>
    <row r="305" spans="6:54">
      <c r="F305" s="2"/>
      <c r="AQ305" s="2">
        <f t="shared" si="347"/>
        <v>186</v>
      </c>
      <c r="AR305" s="2" t="str">
        <f t="shared" ref="AR305:AS305" si="375">AR302</f>
        <v>A</v>
      </c>
      <c r="AS305" s="1">
        <f t="shared" si="375"/>
        <v>0</v>
      </c>
      <c r="AT305" s="2">
        <f t="shared" si="349"/>
        <v>30</v>
      </c>
      <c r="AU305" s="2">
        <f t="shared" si="350"/>
        <v>1</v>
      </c>
      <c r="AV305" s="52" t="str">
        <f t="shared" si="309"/>
        <v>data0!R23C34</v>
      </c>
      <c r="AW305" s="52" t="str">
        <f t="shared" si="310"/>
        <v>data0!R24C34</v>
      </c>
      <c r="AX305" s="2">
        <f t="shared" si="333"/>
        <v>300</v>
      </c>
      <c r="AY305" s="25">
        <f t="shared" ca="1" si="311"/>
        <v>87.602905569007262</v>
      </c>
      <c r="AZ305" s="6">
        <f t="shared" ca="1" si="312"/>
        <v>48.087167070217916</v>
      </c>
      <c r="BA305" s="27">
        <f t="shared" ca="1" si="313"/>
        <v>39.515738498789347</v>
      </c>
      <c r="BB305" s="21">
        <f t="shared" ca="1" si="314"/>
        <v>0.5489220563847429</v>
      </c>
    </row>
    <row r="306" spans="6:54">
      <c r="F306" s="2"/>
      <c r="AQ306" s="2">
        <f t="shared" si="347"/>
        <v>187</v>
      </c>
      <c r="AR306" s="2" t="str">
        <f t="shared" ref="AR306:AS306" si="376">AR303</f>
        <v>CWF</v>
      </c>
      <c r="AS306" s="1">
        <f t="shared" si="376"/>
        <v>1</v>
      </c>
      <c r="AT306" s="2">
        <f t="shared" si="349"/>
        <v>30</v>
      </c>
      <c r="AU306" s="2">
        <f t="shared" si="350"/>
        <v>1</v>
      </c>
      <c r="AV306" s="52" t="str">
        <f t="shared" si="309"/>
        <v>data1!R23C34</v>
      </c>
      <c r="AW306" s="52" t="str">
        <f t="shared" si="310"/>
        <v>data1!R24C34</v>
      </c>
      <c r="AX306" s="2">
        <f t="shared" si="333"/>
        <v>300</v>
      </c>
      <c r="AY306" s="25">
        <f t="shared" ca="1" si="311"/>
        <v>25.399209486166004</v>
      </c>
      <c r="AZ306" s="6">
        <f t="shared" ca="1" si="312"/>
        <v>2.5138339920948596</v>
      </c>
      <c r="BA306" s="27">
        <f t="shared" ca="1" si="313"/>
        <v>22.885375494071145</v>
      </c>
      <c r="BB306" s="21">
        <f t="shared" ca="1" si="314"/>
        <v>9.8972922502334193E-2</v>
      </c>
    </row>
    <row r="307" spans="6:54">
      <c r="F307" s="2"/>
      <c r="AQ307" s="2">
        <f t="shared" si="347"/>
        <v>188</v>
      </c>
      <c r="AR307" s="2" t="str">
        <f t="shared" ref="AR307:AS307" si="377">AR304</f>
        <v>D65</v>
      </c>
      <c r="AS307" s="1">
        <f t="shared" si="377"/>
        <v>2</v>
      </c>
      <c r="AT307" s="2">
        <f t="shared" si="349"/>
        <v>30</v>
      </c>
      <c r="AU307" s="2">
        <f t="shared" si="350"/>
        <v>1</v>
      </c>
      <c r="AV307" s="52" t="str">
        <f t="shared" si="309"/>
        <v>data2!R23C34</v>
      </c>
      <c r="AW307" s="52" t="str">
        <f t="shared" si="310"/>
        <v>data2!R24C34</v>
      </c>
      <c r="AX307" s="2">
        <f t="shared" si="333"/>
        <v>300</v>
      </c>
      <c r="AY307" s="25">
        <f t="shared" ca="1" si="311"/>
        <v>60.875444839857657</v>
      </c>
      <c r="AZ307" s="6">
        <f t="shared" ca="1" si="312"/>
        <v>20.775800711743777</v>
      </c>
      <c r="BA307" s="27">
        <f t="shared" ca="1" si="313"/>
        <v>40.09964412811388</v>
      </c>
      <c r="BB307" s="21">
        <f t="shared" ca="1" si="314"/>
        <v>0.34128376008418104</v>
      </c>
    </row>
    <row r="308" spans="6:54">
      <c r="F308" s="2"/>
      <c r="AQ308" s="2">
        <f t="shared" si="347"/>
        <v>189</v>
      </c>
      <c r="AR308" s="2" t="str">
        <f t="shared" ref="AR308:AS308" si="378">AR305</f>
        <v>A</v>
      </c>
      <c r="AS308" s="1">
        <f t="shared" si="378"/>
        <v>0</v>
      </c>
      <c r="AT308" s="2">
        <f t="shared" si="349"/>
        <v>31</v>
      </c>
      <c r="AU308" s="2">
        <f t="shared" si="350"/>
        <v>1</v>
      </c>
      <c r="AV308" s="52" t="str">
        <f t="shared" si="309"/>
        <v>data0!R23C35</v>
      </c>
      <c r="AW308" s="52" t="str">
        <f t="shared" si="310"/>
        <v>data0!R24C35</v>
      </c>
      <c r="AX308" s="2">
        <f t="shared" si="333"/>
        <v>300</v>
      </c>
      <c r="AY308" s="25">
        <f t="shared" ca="1" si="311"/>
        <v>87.602905569007262</v>
      </c>
      <c r="AZ308" s="6">
        <f t="shared" ca="1" si="312"/>
        <v>48.087167070217916</v>
      </c>
      <c r="BA308" s="27">
        <f t="shared" ca="1" si="313"/>
        <v>39.515738498789347</v>
      </c>
      <c r="BB308" s="21">
        <f t="shared" ca="1" si="314"/>
        <v>0.5489220563847429</v>
      </c>
    </row>
    <row r="309" spans="6:54">
      <c r="F309" s="2"/>
      <c r="AQ309" s="2">
        <f t="shared" si="347"/>
        <v>190</v>
      </c>
      <c r="AR309" s="2" t="str">
        <f t="shared" ref="AR309:AS309" si="379">AR306</f>
        <v>CWF</v>
      </c>
      <c r="AS309" s="1">
        <f t="shared" si="379"/>
        <v>1</v>
      </c>
      <c r="AT309" s="2">
        <f t="shared" si="349"/>
        <v>31</v>
      </c>
      <c r="AU309" s="2">
        <f t="shared" si="350"/>
        <v>1</v>
      </c>
      <c r="AV309" s="52" t="str">
        <f t="shared" si="309"/>
        <v>data1!R23C35</v>
      </c>
      <c r="AW309" s="52" t="str">
        <f t="shared" si="310"/>
        <v>data1!R24C35</v>
      </c>
      <c r="AX309" s="2">
        <f t="shared" si="333"/>
        <v>300</v>
      </c>
      <c r="AY309" s="25">
        <f t="shared" ca="1" si="311"/>
        <v>25.399209486166004</v>
      </c>
      <c r="AZ309" s="6">
        <f t="shared" ca="1" si="312"/>
        <v>2.5138339920948596</v>
      </c>
      <c r="BA309" s="27">
        <f t="shared" ca="1" si="313"/>
        <v>22.885375494071145</v>
      </c>
      <c r="BB309" s="21">
        <f t="shared" ca="1" si="314"/>
        <v>9.8972922502334193E-2</v>
      </c>
    </row>
    <row r="310" spans="6:54">
      <c r="F310" s="2"/>
      <c r="AQ310" s="2">
        <f t="shared" si="347"/>
        <v>191</v>
      </c>
      <c r="AR310" s="2" t="str">
        <f t="shared" ref="AR310:AS310" si="380">AR307</f>
        <v>D65</v>
      </c>
      <c r="AS310" s="1">
        <f t="shared" si="380"/>
        <v>2</v>
      </c>
      <c r="AT310" s="2">
        <f t="shared" si="349"/>
        <v>31</v>
      </c>
      <c r="AU310" s="2">
        <f t="shared" si="350"/>
        <v>1</v>
      </c>
      <c r="AV310" s="52" t="str">
        <f t="shared" si="309"/>
        <v>data2!R23C35</v>
      </c>
      <c r="AW310" s="52" t="str">
        <f t="shared" si="310"/>
        <v>data2!R24C35</v>
      </c>
      <c r="AX310" s="2">
        <f t="shared" si="333"/>
        <v>300</v>
      </c>
      <c r="AY310" s="25">
        <f t="shared" ca="1" si="311"/>
        <v>60.875444839857657</v>
      </c>
      <c r="AZ310" s="6">
        <f t="shared" ca="1" si="312"/>
        <v>20.775800711743777</v>
      </c>
      <c r="BA310" s="27">
        <f t="shared" ca="1" si="313"/>
        <v>40.09964412811388</v>
      </c>
      <c r="BB310" s="21">
        <f t="shared" ca="1" si="314"/>
        <v>0.34128376008418104</v>
      </c>
    </row>
    <row r="311" spans="6:54">
      <c r="F311" s="2"/>
      <c r="AQ311" s="2">
        <f t="shared" si="347"/>
        <v>192</v>
      </c>
      <c r="AR311" s="2" t="str">
        <f t="shared" ref="AR311:AS311" si="381">AR308</f>
        <v>A</v>
      </c>
      <c r="AS311" s="1">
        <f t="shared" si="381"/>
        <v>0</v>
      </c>
      <c r="AT311" s="2">
        <f t="shared" si="349"/>
        <v>0</v>
      </c>
      <c r="AU311" s="2">
        <f t="shared" si="350"/>
        <v>2</v>
      </c>
      <c r="AV311" s="52" t="str">
        <f t="shared" si="309"/>
        <v>data0!R25C4</v>
      </c>
      <c r="AW311" s="52" t="str">
        <f t="shared" si="310"/>
        <v>data0!R26C4</v>
      </c>
      <c r="AX311" s="2">
        <f t="shared" si="333"/>
        <v>300</v>
      </c>
      <c r="AY311" s="25">
        <f t="shared" ca="1" si="311"/>
        <v>96.319612590799025</v>
      </c>
      <c r="AZ311" s="6">
        <f t="shared" ca="1" si="312"/>
        <v>84.653753026634377</v>
      </c>
      <c r="BA311" s="27">
        <f t="shared" ca="1" si="313"/>
        <v>11.665859564164649</v>
      </c>
      <c r="BB311" s="21">
        <f t="shared" ca="1" si="314"/>
        <v>0.8788838612368024</v>
      </c>
    </row>
    <row r="312" spans="6:54">
      <c r="F312" s="2"/>
      <c r="AQ312" s="2">
        <f t="shared" si="347"/>
        <v>193</v>
      </c>
      <c r="AR312" s="2" t="str">
        <f t="shared" ref="AR312:AS312" si="382">AR309</f>
        <v>CWF</v>
      </c>
      <c r="AS312" s="1">
        <f t="shared" si="382"/>
        <v>1</v>
      </c>
      <c r="AT312" s="2">
        <f t="shared" si="349"/>
        <v>0</v>
      </c>
      <c r="AU312" s="2">
        <f t="shared" si="350"/>
        <v>2</v>
      </c>
      <c r="AV312" s="52" t="str">
        <f t="shared" ref="AV312:AV375" si="383">"data"&amp;AS312&amp;"!R"&amp;($AV$117+2*AU312)&amp;"C"&amp;($AW$117+AT312)</f>
        <v>data1!R25C4</v>
      </c>
      <c r="AW312" s="52" t="str">
        <f t="shared" ref="AW312:AW375" si="384">"data"&amp;AS312&amp;"!R"&amp;(1+$AV$117+2*AU312)&amp;"C"&amp;($AW$117+AT312)</f>
        <v>data1!R26C4</v>
      </c>
      <c r="AX312" s="2">
        <f t="shared" si="333"/>
        <v>300</v>
      </c>
      <c r="AY312" s="25">
        <f t="shared" ref="AY312:AY375" ca="1" si="385">INDIRECT(AV312,FALSE)</f>
        <v>27.415019762845848</v>
      </c>
      <c r="AZ312" s="6">
        <f t="shared" ref="AZ312:AZ375" ca="1" si="386">AY312-INDIRECT(AW312,FALSE)</f>
        <v>1.1146245059288518</v>
      </c>
      <c r="BA312" s="27">
        <f t="shared" ref="BA312:BA375" ca="1" si="387">AY312-AZ312</f>
        <v>26.300395256916996</v>
      </c>
      <c r="BB312" s="21">
        <f t="shared" ref="BB312:BB375" ca="1" si="388">AZ312/AY312</f>
        <v>4.0657439446366711E-2</v>
      </c>
    </row>
    <row r="313" spans="6:54">
      <c r="F313" s="2"/>
      <c r="AQ313" s="2">
        <f t="shared" si="347"/>
        <v>194</v>
      </c>
      <c r="AR313" s="2" t="str">
        <f t="shared" ref="AR313:AS313" si="389">AR310</f>
        <v>D65</v>
      </c>
      <c r="AS313" s="1">
        <f t="shared" si="389"/>
        <v>2</v>
      </c>
      <c r="AT313" s="2">
        <f t="shared" si="349"/>
        <v>0</v>
      </c>
      <c r="AU313" s="2">
        <f t="shared" si="350"/>
        <v>2</v>
      </c>
      <c r="AV313" s="52" t="str">
        <f t="shared" si="383"/>
        <v>data2!R25C4</v>
      </c>
      <c r="AW313" s="52" t="str">
        <f t="shared" si="384"/>
        <v>data2!R26C4</v>
      </c>
      <c r="AX313" s="2">
        <f t="shared" si="333"/>
        <v>300</v>
      </c>
      <c r="AY313" s="25">
        <f t="shared" ca="1" si="385"/>
        <v>66.832740213523138</v>
      </c>
      <c r="AZ313" s="6">
        <f t="shared" ca="1" si="386"/>
        <v>35.359430604982208</v>
      </c>
      <c r="BA313" s="27">
        <f t="shared" ca="1" si="387"/>
        <v>31.47330960854093</v>
      </c>
      <c r="BB313" s="21">
        <f t="shared" ca="1" si="388"/>
        <v>0.52907348242811503</v>
      </c>
    </row>
    <row r="314" spans="6:54">
      <c r="F314" s="2"/>
      <c r="AQ314" s="2">
        <f t="shared" si="347"/>
        <v>195</v>
      </c>
      <c r="AR314" s="2" t="str">
        <f t="shared" ref="AR314:AS314" si="390">AR311</f>
        <v>A</v>
      </c>
      <c r="AS314" s="1">
        <f t="shared" si="390"/>
        <v>0</v>
      </c>
      <c r="AT314" s="2">
        <f t="shared" si="349"/>
        <v>1</v>
      </c>
      <c r="AU314" s="2">
        <f t="shared" si="350"/>
        <v>2</v>
      </c>
      <c r="AV314" s="52" t="str">
        <f t="shared" si="383"/>
        <v>data0!R25C5</v>
      </c>
      <c r="AW314" s="52" t="str">
        <f t="shared" si="384"/>
        <v>data0!R26C5</v>
      </c>
      <c r="AX314" s="2">
        <f t="shared" si="333"/>
        <v>300</v>
      </c>
      <c r="AY314" s="25">
        <f t="shared" ca="1" si="385"/>
        <v>96.319612590799025</v>
      </c>
      <c r="AZ314" s="6">
        <f t="shared" ca="1" si="386"/>
        <v>84.653753026634377</v>
      </c>
      <c r="BA314" s="27">
        <f t="shared" ca="1" si="387"/>
        <v>11.665859564164649</v>
      </c>
      <c r="BB314" s="21">
        <f t="shared" ca="1" si="388"/>
        <v>0.8788838612368024</v>
      </c>
    </row>
    <row r="315" spans="6:54">
      <c r="F315" s="2"/>
      <c r="AQ315" s="2">
        <f t="shared" si="347"/>
        <v>196</v>
      </c>
      <c r="AR315" s="2" t="str">
        <f t="shared" ref="AR315:AS315" si="391">AR312</f>
        <v>CWF</v>
      </c>
      <c r="AS315" s="1">
        <f t="shared" si="391"/>
        <v>1</v>
      </c>
      <c r="AT315" s="2">
        <f t="shared" si="349"/>
        <v>1</v>
      </c>
      <c r="AU315" s="2">
        <f t="shared" si="350"/>
        <v>2</v>
      </c>
      <c r="AV315" s="52" t="str">
        <f t="shared" si="383"/>
        <v>data1!R25C5</v>
      </c>
      <c r="AW315" s="52" t="str">
        <f t="shared" si="384"/>
        <v>data1!R26C5</v>
      </c>
      <c r="AX315" s="2">
        <f t="shared" si="333"/>
        <v>300</v>
      </c>
      <c r="AY315" s="25">
        <f t="shared" ca="1" si="385"/>
        <v>27.415019762845848</v>
      </c>
      <c r="AZ315" s="6">
        <f t="shared" ca="1" si="386"/>
        <v>1.1146245059288518</v>
      </c>
      <c r="BA315" s="27">
        <f t="shared" ca="1" si="387"/>
        <v>26.300395256916996</v>
      </c>
      <c r="BB315" s="21">
        <f t="shared" ca="1" si="388"/>
        <v>4.0657439446366711E-2</v>
      </c>
    </row>
    <row r="316" spans="6:54">
      <c r="F316" s="2"/>
      <c r="AQ316" s="2">
        <f t="shared" si="347"/>
        <v>197</v>
      </c>
      <c r="AR316" s="2" t="str">
        <f t="shared" ref="AR316:AS316" si="392">AR313</f>
        <v>D65</v>
      </c>
      <c r="AS316" s="1">
        <f t="shared" si="392"/>
        <v>2</v>
      </c>
      <c r="AT316" s="2">
        <f t="shared" si="349"/>
        <v>1</v>
      </c>
      <c r="AU316" s="2">
        <f t="shared" si="350"/>
        <v>2</v>
      </c>
      <c r="AV316" s="52" t="str">
        <f t="shared" si="383"/>
        <v>data2!R25C5</v>
      </c>
      <c r="AW316" s="52" t="str">
        <f t="shared" si="384"/>
        <v>data2!R26C5</v>
      </c>
      <c r="AX316" s="2">
        <f t="shared" si="333"/>
        <v>300</v>
      </c>
      <c r="AY316" s="25">
        <f t="shared" ca="1" si="385"/>
        <v>66.832740213523138</v>
      </c>
      <c r="AZ316" s="6">
        <f t="shared" ca="1" si="386"/>
        <v>35.359430604982208</v>
      </c>
      <c r="BA316" s="27">
        <f t="shared" ca="1" si="387"/>
        <v>31.47330960854093</v>
      </c>
      <c r="BB316" s="21">
        <f t="shared" ca="1" si="388"/>
        <v>0.52907348242811503</v>
      </c>
    </row>
    <row r="317" spans="6:54">
      <c r="F317" s="2"/>
      <c r="AQ317" s="2">
        <f t="shared" si="347"/>
        <v>198</v>
      </c>
      <c r="AR317" s="2" t="str">
        <f t="shared" ref="AR317:AS317" si="393">AR314</f>
        <v>A</v>
      </c>
      <c r="AS317" s="1">
        <f t="shared" si="393"/>
        <v>0</v>
      </c>
      <c r="AT317" s="2">
        <f t="shared" si="349"/>
        <v>2</v>
      </c>
      <c r="AU317" s="2">
        <f t="shared" si="350"/>
        <v>2</v>
      </c>
      <c r="AV317" s="52" t="str">
        <f t="shared" si="383"/>
        <v>data0!R25C6</v>
      </c>
      <c r="AW317" s="52" t="str">
        <f t="shared" si="384"/>
        <v>data0!R26C6</v>
      </c>
      <c r="AX317" s="2">
        <f t="shared" si="333"/>
        <v>300</v>
      </c>
      <c r="AY317" s="25">
        <f t="shared" ca="1" si="385"/>
        <v>96.319612590799025</v>
      </c>
      <c r="AZ317" s="6">
        <f t="shared" ca="1" si="386"/>
        <v>84.653753026634377</v>
      </c>
      <c r="BA317" s="27">
        <f t="shared" ca="1" si="387"/>
        <v>11.665859564164649</v>
      </c>
      <c r="BB317" s="21">
        <f t="shared" ca="1" si="388"/>
        <v>0.8788838612368024</v>
      </c>
    </row>
    <row r="318" spans="6:54">
      <c r="F318" s="2"/>
      <c r="AQ318" s="2">
        <f t="shared" si="347"/>
        <v>199</v>
      </c>
      <c r="AR318" s="2" t="str">
        <f t="shared" ref="AR318:AS318" si="394">AR315</f>
        <v>CWF</v>
      </c>
      <c r="AS318" s="1">
        <f t="shared" si="394"/>
        <v>1</v>
      </c>
      <c r="AT318" s="2">
        <f t="shared" si="349"/>
        <v>2</v>
      </c>
      <c r="AU318" s="2">
        <f t="shared" si="350"/>
        <v>2</v>
      </c>
      <c r="AV318" s="52" t="str">
        <f t="shared" si="383"/>
        <v>data1!R25C6</v>
      </c>
      <c r="AW318" s="52" t="str">
        <f t="shared" si="384"/>
        <v>data1!R26C6</v>
      </c>
      <c r="AX318" s="2">
        <f t="shared" si="333"/>
        <v>300</v>
      </c>
      <c r="AY318" s="25">
        <f t="shared" ca="1" si="385"/>
        <v>27.415019762845848</v>
      </c>
      <c r="AZ318" s="6">
        <f t="shared" ca="1" si="386"/>
        <v>1.1146245059288518</v>
      </c>
      <c r="BA318" s="27">
        <f t="shared" ca="1" si="387"/>
        <v>26.300395256916996</v>
      </c>
      <c r="BB318" s="21">
        <f t="shared" ca="1" si="388"/>
        <v>4.0657439446366711E-2</v>
      </c>
    </row>
    <row r="319" spans="6:54">
      <c r="F319" s="2"/>
      <c r="AQ319" s="2">
        <f t="shared" si="347"/>
        <v>200</v>
      </c>
      <c r="AR319" s="2" t="str">
        <f t="shared" ref="AR319:AS319" si="395">AR316</f>
        <v>D65</v>
      </c>
      <c r="AS319" s="1">
        <f t="shared" si="395"/>
        <v>2</v>
      </c>
      <c r="AT319" s="2">
        <f t="shared" si="349"/>
        <v>2</v>
      </c>
      <c r="AU319" s="2">
        <f t="shared" si="350"/>
        <v>2</v>
      </c>
      <c r="AV319" s="52" t="str">
        <f t="shared" si="383"/>
        <v>data2!R25C6</v>
      </c>
      <c r="AW319" s="52" t="str">
        <f t="shared" si="384"/>
        <v>data2!R26C6</v>
      </c>
      <c r="AX319" s="2">
        <f t="shared" si="333"/>
        <v>300</v>
      </c>
      <c r="AY319" s="25">
        <f t="shared" ca="1" si="385"/>
        <v>66.832740213523138</v>
      </c>
      <c r="AZ319" s="6">
        <f t="shared" ca="1" si="386"/>
        <v>35.359430604982208</v>
      </c>
      <c r="BA319" s="27">
        <f t="shared" ca="1" si="387"/>
        <v>31.47330960854093</v>
      </c>
      <c r="BB319" s="21">
        <f t="shared" ca="1" si="388"/>
        <v>0.52907348242811503</v>
      </c>
    </row>
    <row r="320" spans="6:54">
      <c r="F320" s="2"/>
      <c r="AQ320" s="2">
        <f t="shared" si="347"/>
        <v>201</v>
      </c>
      <c r="AR320" s="2" t="str">
        <f t="shared" ref="AR320:AS320" si="396">AR317</f>
        <v>A</v>
      </c>
      <c r="AS320" s="1">
        <f t="shared" si="396"/>
        <v>0</v>
      </c>
      <c r="AT320" s="2">
        <f t="shared" si="349"/>
        <v>3</v>
      </c>
      <c r="AU320" s="2">
        <f t="shared" si="350"/>
        <v>2</v>
      </c>
      <c r="AV320" s="52" t="str">
        <f t="shared" si="383"/>
        <v>data0!R25C7</v>
      </c>
      <c r="AW320" s="52" t="str">
        <f t="shared" si="384"/>
        <v>data0!R26C7</v>
      </c>
      <c r="AX320" s="2">
        <f t="shared" si="333"/>
        <v>300</v>
      </c>
      <c r="AY320" s="25">
        <f t="shared" ca="1" si="385"/>
        <v>96.319612590799025</v>
      </c>
      <c r="AZ320" s="6">
        <f t="shared" ca="1" si="386"/>
        <v>84.653753026634377</v>
      </c>
      <c r="BA320" s="27">
        <f t="shared" ca="1" si="387"/>
        <v>11.665859564164649</v>
      </c>
      <c r="BB320" s="21">
        <f t="shared" ca="1" si="388"/>
        <v>0.8788838612368024</v>
      </c>
    </row>
    <row r="321" spans="6:54">
      <c r="F321" s="2"/>
      <c r="AQ321" s="2">
        <f t="shared" si="347"/>
        <v>202</v>
      </c>
      <c r="AR321" s="2" t="str">
        <f t="shared" ref="AR321:AS321" si="397">AR318</f>
        <v>CWF</v>
      </c>
      <c r="AS321" s="1">
        <f t="shared" si="397"/>
        <v>1</v>
      </c>
      <c r="AT321" s="2">
        <f t="shared" si="349"/>
        <v>3</v>
      </c>
      <c r="AU321" s="2">
        <f t="shared" si="350"/>
        <v>2</v>
      </c>
      <c r="AV321" s="52" t="str">
        <f t="shared" si="383"/>
        <v>data1!R25C7</v>
      </c>
      <c r="AW321" s="52" t="str">
        <f t="shared" si="384"/>
        <v>data1!R26C7</v>
      </c>
      <c r="AX321" s="2">
        <f t="shared" si="333"/>
        <v>300</v>
      </c>
      <c r="AY321" s="25">
        <f t="shared" ca="1" si="385"/>
        <v>27.415019762845848</v>
      </c>
      <c r="AZ321" s="6">
        <f t="shared" ca="1" si="386"/>
        <v>1.1146245059288518</v>
      </c>
      <c r="BA321" s="27">
        <f t="shared" ca="1" si="387"/>
        <v>26.300395256916996</v>
      </c>
      <c r="BB321" s="21">
        <f t="shared" ca="1" si="388"/>
        <v>4.0657439446366711E-2</v>
      </c>
    </row>
    <row r="322" spans="6:54">
      <c r="F322" s="2"/>
      <c r="AQ322" s="2">
        <f t="shared" si="347"/>
        <v>203</v>
      </c>
      <c r="AR322" s="2" t="str">
        <f t="shared" ref="AR322:AS322" si="398">AR319</f>
        <v>D65</v>
      </c>
      <c r="AS322" s="1">
        <f t="shared" si="398"/>
        <v>2</v>
      </c>
      <c r="AT322" s="2">
        <f t="shared" si="349"/>
        <v>3</v>
      </c>
      <c r="AU322" s="2">
        <f t="shared" si="350"/>
        <v>2</v>
      </c>
      <c r="AV322" s="52" t="str">
        <f t="shared" si="383"/>
        <v>data2!R25C7</v>
      </c>
      <c r="AW322" s="52" t="str">
        <f t="shared" si="384"/>
        <v>data2!R26C7</v>
      </c>
      <c r="AX322" s="2">
        <f t="shared" si="333"/>
        <v>300</v>
      </c>
      <c r="AY322" s="25">
        <f t="shared" ca="1" si="385"/>
        <v>66.832740213523138</v>
      </c>
      <c r="AZ322" s="6">
        <f t="shared" ca="1" si="386"/>
        <v>35.359430604982208</v>
      </c>
      <c r="BA322" s="27">
        <f t="shared" ca="1" si="387"/>
        <v>31.47330960854093</v>
      </c>
      <c r="BB322" s="21">
        <f t="shared" ca="1" si="388"/>
        <v>0.52907348242811503</v>
      </c>
    </row>
    <row r="323" spans="6:54">
      <c r="F323" s="2"/>
      <c r="AQ323" s="2">
        <f t="shared" si="347"/>
        <v>204</v>
      </c>
      <c r="AR323" s="2" t="str">
        <f t="shared" ref="AR323:AS323" si="399">AR320</f>
        <v>A</v>
      </c>
      <c r="AS323" s="1">
        <f t="shared" si="399"/>
        <v>0</v>
      </c>
      <c r="AT323" s="2">
        <f t="shared" si="349"/>
        <v>4</v>
      </c>
      <c r="AU323" s="2">
        <f t="shared" si="350"/>
        <v>2</v>
      </c>
      <c r="AV323" s="52" t="str">
        <f t="shared" si="383"/>
        <v>data0!R25C8</v>
      </c>
      <c r="AW323" s="52" t="str">
        <f t="shared" si="384"/>
        <v>data0!R26C8</v>
      </c>
      <c r="AX323" s="2">
        <f t="shared" si="333"/>
        <v>300</v>
      </c>
      <c r="AY323" s="25">
        <f t="shared" ca="1" si="385"/>
        <v>96.319612590799025</v>
      </c>
      <c r="AZ323" s="6">
        <f t="shared" ca="1" si="386"/>
        <v>84.653753026634377</v>
      </c>
      <c r="BA323" s="27">
        <f t="shared" ca="1" si="387"/>
        <v>11.665859564164649</v>
      </c>
      <c r="BB323" s="21">
        <f t="shared" ca="1" si="388"/>
        <v>0.8788838612368024</v>
      </c>
    </row>
    <row r="324" spans="6:54">
      <c r="F324" s="2"/>
      <c r="AQ324" s="2">
        <f t="shared" si="347"/>
        <v>205</v>
      </c>
      <c r="AR324" s="2" t="str">
        <f t="shared" ref="AR324:AS324" si="400">AR321</f>
        <v>CWF</v>
      </c>
      <c r="AS324" s="1">
        <f t="shared" si="400"/>
        <v>1</v>
      </c>
      <c r="AT324" s="2">
        <f t="shared" si="349"/>
        <v>4</v>
      </c>
      <c r="AU324" s="2">
        <f t="shared" si="350"/>
        <v>2</v>
      </c>
      <c r="AV324" s="52" t="str">
        <f t="shared" si="383"/>
        <v>data1!R25C8</v>
      </c>
      <c r="AW324" s="52" t="str">
        <f t="shared" si="384"/>
        <v>data1!R26C8</v>
      </c>
      <c r="AX324" s="2">
        <f t="shared" si="333"/>
        <v>300</v>
      </c>
      <c r="AY324" s="25">
        <f t="shared" ca="1" si="385"/>
        <v>27.415019762845848</v>
      </c>
      <c r="AZ324" s="6">
        <f t="shared" ca="1" si="386"/>
        <v>1.1146245059288518</v>
      </c>
      <c r="BA324" s="27">
        <f t="shared" ca="1" si="387"/>
        <v>26.300395256916996</v>
      </c>
      <c r="BB324" s="21">
        <f t="shared" ca="1" si="388"/>
        <v>4.0657439446366711E-2</v>
      </c>
    </row>
    <row r="325" spans="6:54">
      <c r="F325" s="2"/>
      <c r="AQ325" s="2">
        <f t="shared" si="347"/>
        <v>206</v>
      </c>
      <c r="AR325" s="2" t="str">
        <f t="shared" ref="AR325:AS325" si="401">AR322</f>
        <v>D65</v>
      </c>
      <c r="AS325" s="1">
        <f t="shared" si="401"/>
        <v>2</v>
      </c>
      <c r="AT325" s="2">
        <f t="shared" si="349"/>
        <v>4</v>
      </c>
      <c r="AU325" s="2">
        <f t="shared" si="350"/>
        <v>2</v>
      </c>
      <c r="AV325" s="52" t="str">
        <f t="shared" si="383"/>
        <v>data2!R25C8</v>
      </c>
      <c r="AW325" s="52" t="str">
        <f t="shared" si="384"/>
        <v>data2!R26C8</v>
      </c>
      <c r="AX325" s="2">
        <f t="shared" si="333"/>
        <v>300</v>
      </c>
      <c r="AY325" s="25">
        <f t="shared" ca="1" si="385"/>
        <v>66.832740213523138</v>
      </c>
      <c r="AZ325" s="6">
        <f t="shared" ca="1" si="386"/>
        <v>35.359430604982208</v>
      </c>
      <c r="BA325" s="27">
        <f t="shared" ca="1" si="387"/>
        <v>31.47330960854093</v>
      </c>
      <c r="BB325" s="21">
        <f t="shared" ca="1" si="388"/>
        <v>0.52907348242811503</v>
      </c>
    </row>
    <row r="326" spans="6:54">
      <c r="F326" s="2"/>
      <c r="AQ326" s="2">
        <f t="shared" si="347"/>
        <v>207</v>
      </c>
      <c r="AR326" s="2" t="str">
        <f t="shared" ref="AR326:AS326" si="402">AR323</f>
        <v>A</v>
      </c>
      <c r="AS326" s="1">
        <f t="shared" si="402"/>
        <v>0</v>
      </c>
      <c r="AT326" s="2">
        <f t="shared" si="349"/>
        <v>5</v>
      </c>
      <c r="AU326" s="2">
        <f t="shared" si="350"/>
        <v>2</v>
      </c>
      <c r="AV326" s="52" t="str">
        <f t="shared" si="383"/>
        <v>data0!R25C9</v>
      </c>
      <c r="AW326" s="52" t="str">
        <f t="shared" si="384"/>
        <v>data0!R26C9</v>
      </c>
      <c r="AX326" s="2">
        <f t="shared" si="333"/>
        <v>300</v>
      </c>
      <c r="AY326" s="25">
        <f t="shared" ca="1" si="385"/>
        <v>96.319612590799025</v>
      </c>
      <c r="AZ326" s="6">
        <f t="shared" ca="1" si="386"/>
        <v>84.653753026634377</v>
      </c>
      <c r="BA326" s="27">
        <f t="shared" ca="1" si="387"/>
        <v>11.665859564164649</v>
      </c>
      <c r="BB326" s="21">
        <f t="shared" ca="1" si="388"/>
        <v>0.8788838612368024</v>
      </c>
    </row>
    <row r="327" spans="6:54">
      <c r="F327" s="2"/>
      <c r="AQ327" s="2">
        <f t="shared" si="347"/>
        <v>208</v>
      </c>
      <c r="AR327" s="2" t="str">
        <f t="shared" ref="AR327:AS327" si="403">AR324</f>
        <v>CWF</v>
      </c>
      <c r="AS327" s="1">
        <f t="shared" si="403"/>
        <v>1</v>
      </c>
      <c r="AT327" s="2">
        <f t="shared" si="349"/>
        <v>5</v>
      </c>
      <c r="AU327" s="2">
        <f t="shared" si="350"/>
        <v>2</v>
      </c>
      <c r="AV327" s="52" t="str">
        <f t="shared" si="383"/>
        <v>data1!R25C9</v>
      </c>
      <c r="AW327" s="52" t="str">
        <f t="shared" si="384"/>
        <v>data1!R26C9</v>
      </c>
      <c r="AX327" s="2">
        <f t="shared" si="333"/>
        <v>300</v>
      </c>
      <c r="AY327" s="25">
        <f t="shared" ca="1" si="385"/>
        <v>27.415019762845848</v>
      </c>
      <c r="AZ327" s="6">
        <f t="shared" ca="1" si="386"/>
        <v>1.1146245059288518</v>
      </c>
      <c r="BA327" s="27">
        <f t="shared" ca="1" si="387"/>
        <v>26.300395256916996</v>
      </c>
      <c r="BB327" s="21">
        <f t="shared" ca="1" si="388"/>
        <v>4.0657439446366711E-2</v>
      </c>
    </row>
    <row r="328" spans="6:54">
      <c r="F328" s="2"/>
      <c r="AQ328" s="2">
        <f t="shared" si="347"/>
        <v>209</v>
      </c>
      <c r="AR328" s="2" t="str">
        <f t="shared" ref="AR328:AS328" si="404">AR325</f>
        <v>D65</v>
      </c>
      <c r="AS328" s="1">
        <f t="shared" si="404"/>
        <v>2</v>
      </c>
      <c r="AT328" s="2">
        <f t="shared" si="349"/>
        <v>5</v>
      </c>
      <c r="AU328" s="2">
        <f t="shared" si="350"/>
        <v>2</v>
      </c>
      <c r="AV328" s="52" t="str">
        <f t="shared" si="383"/>
        <v>data2!R25C9</v>
      </c>
      <c r="AW328" s="52" t="str">
        <f t="shared" si="384"/>
        <v>data2!R26C9</v>
      </c>
      <c r="AX328" s="2">
        <f t="shared" si="333"/>
        <v>300</v>
      </c>
      <c r="AY328" s="25">
        <f t="shared" ca="1" si="385"/>
        <v>66.832740213523138</v>
      </c>
      <c r="AZ328" s="6">
        <f t="shared" ca="1" si="386"/>
        <v>35.359430604982208</v>
      </c>
      <c r="BA328" s="27">
        <f t="shared" ca="1" si="387"/>
        <v>31.47330960854093</v>
      </c>
      <c r="BB328" s="21">
        <f t="shared" ca="1" si="388"/>
        <v>0.52907348242811503</v>
      </c>
    </row>
    <row r="329" spans="6:54">
      <c r="F329" s="2"/>
      <c r="AQ329" s="2">
        <f t="shared" si="347"/>
        <v>210</v>
      </c>
      <c r="AR329" s="2" t="str">
        <f t="shared" ref="AR329:AS329" si="405">AR326</f>
        <v>A</v>
      </c>
      <c r="AS329" s="1">
        <f t="shared" si="405"/>
        <v>0</v>
      </c>
      <c r="AT329" s="2">
        <f t="shared" si="349"/>
        <v>6</v>
      </c>
      <c r="AU329" s="2">
        <f t="shared" si="350"/>
        <v>2</v>
      </c>
      <c r="AV329" s="52" t="str">
        <f t="shared" si="383"/>
        <v>data0!R25C10</v>
      </c>
      <c r="AW329" s="52" t="str">
        <f t="shared" si="384"/>
        <v>data0!R26C10</v>
      </c>
      <c r="AX329" s="2">
        <f t="shared" si="333"/>
        <v>300</v>
      </c>
      <c r="AY329" s="25">
        <f t="shared" ca="1" si="385"/>
        <v>96.319612590799025</v>
      </c>
      <c r="AZ329" s="6">
        <f t="shared" ca="1" si="386"/>
        <v>84.653753026634377</v>
      </c>
      <c r="BA329" s="27">
        <f t="shared" ca="1" si="387"/>
        <v>11.665859564164649</v>
      </c>
      <c r="BB329" s="21">
        <f t="shared" ca="1" si="388"/>
        <v>0.8788838612368024</v>
      </c>
    </row>
    <row r="330" spans="6:54">
      <c r="F330" s="2"/>
      <c r="AQ330" s="2">
        <f t="shared" si="347"/>
        <v>211</v>
      </c>
      <c r="AR330" s="2" t="str">
        <f t="shared" ref="AR330:AS330" si="406">AR327</f>
        <v>CWF</v>
      </c>
      <c r="AS330" s="1">
        <f t="shared" si="406"/>
        <v>1</v>
      </c>
      <c r="AT330" s="2">
        <f t="shared" si="349"/>
        <v>6</v>
      </c>
      <c r="AU330" s="2">
        <f t="shared" si="350"/>
        <v>2</v>
      </c>
      <c r="AV330" s="52" t="str">
        <f t="shared" si="383"/>
        <v>data1!R25C10</v>
      </c>
      <c r="AW330" s="52" t="str">
        <f t="shared" si="384"/>
        <v>data1!R26C10</v>
      </c>
      <c r="AX330" s="2">
        <f t="shared" ref="AX330:AX393" si="407">AX327</f>
        <v>300</v>
      </c>
      <c r="AY330" s="25">
        <f t="shared" ca="1" si="385"/>
        <v>27.415019762845848</v>
      </c>
      <c r="AZ330" s="6">
        <f t="shared" ca="1" si="386"/>
        <v>1.1146245059288518</v>
      </c>
      <c r="BA330" s="27">
        <f t="shared" ca="1" si="387"/>
        <v>26.300395256916996</v>
      </c>
      <c r="BB330" s="21">
        <f t="shared" ca="1" si="388"/>
        <v>4.0657439446366711E-2</v>
      </c>
    </row>
    <row r="331" spans="6:54">
      <c r="F331" s="2"/>
      <c r="AQ331" s="2">
        <f t="shared" si="347"/>
        <v>212</v>
      </c>
      <c r="AR331" s="2" t="str">
        <f t="shared" ref="AR331:AS331" si="408">AR328</f>
        <v>D65</v>
      </c>
      <c r="AS331" s="1">
        <f t="shared" si="408"/>
        <v>2</v>
      </c>
      <c r="AT331" s="2">
        <f t="shared" si="349"/>
        <v>6</v>
      </c>
      <c r="AU331" s="2">
        <f t="shared" si="350"/>
        <v>2</v>
      </c>
      <c r="AV331" s="52" t="str">
        <f t="shared" si="383"/>
        <v>data2!R25C10</v>
      </c>
      <c r="AW331" s="52" t="str">
        <f t="shared" si="384"/>
        <v>data2!R26C10</v>
      </c>
      <c r="AX331" s="2">
        <f t="shared" si="407"/>
        <v>300</v>
      </c>
      <c r="AY331" s="25">
        <f t="shared" ca="1" si="385"/>
        <v>66.832740213523138</v>
      </c>
      <c r="AZ331" s="6">
        <f t="shared" ca="1" si="386"/>
        <v>35.359430604982208</v>
      </c>
      <c r="BA331" s="27">
        <f t="shared" ca="1" si="387"/>
        <v>31.47330960854093</v>
      </c>
      <c r="BB331" s="21">
        <f t="shared" ca="1" si="388"/>
        <v>0.52907348242811503</v>
      </c>
    </row>
    <row r="332" spans="6:54">
      <c r="F332" s="2"/>
      <c r="AQ332" s="2">
        <f t="shared" si="347"/>
        <v>213</v>
      </c>
      <c r="AR332" s="2" t="str">
        <f t="shared" ref="AR332:AS332" si="409">AR329</f>
        <v>A</v>
      </c>
      <c r="AS332" s="1">
        <f t="shared" si="409"/>
        <v>0</v>
      </c>
      <c r="AT332" s="2">
        <f t="shared" si="349"/>
        <v>7</v>
      </c>
      <c r="AU332" s="2">
        <f t="shared" si="350"/>
        <v>2</v>
      </c>
      <c r="AV332" s="52" t="str">
        <f t="shared" si="383"/>
        <v>data0!R25C11</v>
      </c>
      <c r="AW332" s="52" t="str">
        <f t="shared" si="384"/>
        <v>data0!R26C11</v>
      </c>
      <c r="AX332" s="2">
        <f t="shared" si="407"/>
        <v>300</v>
      </c>
      <c r="AY332" s="25">
        <f t="shared" ca="1" si="385"/>
        <v>96.319612590799025</v>
      </c>
      <c r="AZ332" s="6">
        <f t="shared" ca="1" si="386"/>
        <v>84.653753026634377</v>
      </c>
      <c r="BA332" s="27">
        <f t="shared" ca="1" si="387"/>
        <v>11.665859564164649</v>
      </c>
      <c r="BB332" s="21">
        <f t="shared" ca="1" si="388"/>
        <v>0.8788838612368024</v>
      </c>
    </row>
    <row r="333" spans="6:54">
      <c r="F333" s="2"/>
      <c r="AQ333" s="2">
        <f t="shared" si="347"/>
        <v>214</v>
      </c>
      <c r="AR333" s="2" t="str">
        <f t="shared" ref="AR333:AS333" si="410">AR330</f>
        <v>CWF</v>
      </c>
      <c r="AS333" s="1">
        <f t="shared" si="410"/>
        <v>1</v>
      </c>
      <c r="AT333" s="2">
        <f t="shared" si="349"/>
        <v>7</v>
      </c>
      <c r="AU333" s="2">
        <f t="shared" si="350"/>
        <v>2</v>
      </c>
      <c r="AV333" s="52" t="str">
        <f t="shared" si="383"/>
        <v>data1!R25C11</v>
      </c>
      <c r="AW333" s="52" t="str">
        <f t="shared" si="384"/>
        <v>data1!R26C11</v>
      </c>
      <c r="AX333" s="2">
        <f t="shared" si="407"/>
        <v>300</v>
      </c>
      <c r="AY333" s="25">
        <f t="shared" ca="1" si="385"/>
        <v>27.415019762845848</v>
      </c>
      <c r="AZ333" s="6">
        <f t="shared" ca="1" si="386"/>
        <v>1.1146245059288518</v>
      </c>
      <c r="BA333" s="27">
        <f t="shared" ca="1" si="387"/>
        <v>26.300395256916996</v>
      </c>
      <c r="BB333" s="21">
        <f t="shared" ca="1" si="388"/>
        <v>4.0657439446366711E-2</v>
      </c>
    </row>
    <row r="334" spans="6:54">
      <c r="F334" s="2"/>
      <c r="AQ334" s="2">
        <f t="shared" si="347"/>
        <v>215</v>
      </c>
      <c r="AR334" s="2" t="str">
        <f t="shared" ref="AR334:AS334" si="411">AR331</f>
        <v>D65</v>
      </c>
      <c r="AS334" s="1">
        <f t="shared" si="411"/>
        <v>2</v>
      </c>
      <c r="AT334" s="2">
        <f t="shared" si="349"/>
        <v>7</v>
      </c>
      <c r="AU334" s="2">
        <f t="shared" si="350"/>
        <v>2</v>
      </c>
      <c r="AV334" s="52" t="str">
        <f t="shared" si="383"/>
        <v>data2!R25C11</v>
      </c>
      <c r="AW334" s="52" t="str">
        <f t="shared" si="384"/>
        <v>data2!R26C11</v>
      </c>
      <c r="AX334" s="2">
        <f t="shared" si="407"/>
        <v>300</v>
      </c>
      <c r="AY334" s="25">
        <f t="shared" ca="1" si="385"/>
        <v>66.832740213523138</v>
      </c>
      <c r="AZ334" s="6">
        <f t="shared" ca="1" si="386"/>
        <v>35.359430604982208</v>
      </c>
      <c r="BA334" s="27">
        <f t="shared" ca="1" si="387"/>
        <v>31.47330960854093</v>
      </c>
      <c r="BB334" s="21">
        <f t="shared" ca="1" si="388"/>
        <v>0.52907348242811503</v>
      </c>
    </row>
    <row r="335" spans="6:54">
      <c r="F335" s="2"/>
      <c r="AQ335" s="2">
        <f t="shared" si="347"/>
        <v>216</v>
      </c>
      <c r="AR335" s="2" t="str">
        <f t="shared" ref="AR335:AS335" si="412">AR332</f>
        <v>A</v>
      </c>
      <c r="AS335" s="1">
        <f t="shared" si="412"/>
        <v>0</v>
      </c>
      <c r="AT335" s="2">
        <f t="shared" si="349"/>
        <v>8</v>
      </c>
      <c r="AU335" s="2">
        <f t="shared" si="350"/>
        <v>2</v>
      </c>
      <c r="AV335" s="52" t="str">
        <f t="shared" si="383"/>
        <v>data0!R25C12</v>
      </c>
      <c r="AW335" s="52" t="str">
        <f t="shared" si="384"/>
        <v>data0!R26C12</v>
      </c>
      <c r="AX335" s="2">
        <f t="shared" si="407"/>
        <v>300</v>
      </c>
      <c r="AY335" s="25">
        <f t="shared" ca="1" si="385"/>
        <v>96.319612590799025</v>
      </c>
      <c r="AZ335" s="6">
        <f t="shared" ca="1" si="386"/>
        <v>84.653753026634377</v>
      </c>
      <c r="BA335" s="27">
        <f t="shared" ca="1" si="387"/>
        <v>11.665859564164649</v>
      </c>
      <c r="BB335" s="21">
        <f t="shared" ca="1" si="388"/>
        <v>0.8788838612368024</v>
      </c>
    </row>
    <row r="336" spans="6:54">
      <c r="F336" s="2"/>
      <c r="AQ336" s="2">
        <f t="shared" si="347"/>
        <v>217</v>
      </c>
      <c r="AR336" s="2" t="str">
        <f t="shared" ref="AR336:AS336" si="413">AR333</f>
        <v>CWF</v>
      </c>
      <c r="AS336" s="1">
        <f t="shared" si="413"/>
        <v>1</v>
      </c>
      <c r="AT336" s="2">
        <f t="shared" si="349"/>
        <v>8</v>
      </c>
      <c r="AU336" s="2">
        <f t="shared" si="350"/>
        <v>2</v>
      </c>
      <c r="AV336" s="52" t="str">
        <f t="shared" si="383"/>
        <v>data1!R25C12</v>
      </c>
      <c r="AW336" s="52" t="str">
        <f t="shared" si="384"/>
        <v>data1!R26C12</v>
      </c>
      <c r="AX336" s="2">
        <f t="shared" si="407"/>
        <v>300</v>
      </c>
      <c r="AY336" s="25">
        <f t="shared" ca="1" si="385"/>
        <v>27.415019762845848</v>
      </c>
      <c r="AZ336" s="6">
        <f t="shared" ca="1" si="386"/>
        <v>1.1146245059288518</v>
      </c>
      <c r="BA336" s="27">
        <f t="shared" ca="1" si="387"/>
        <v>26.300395256916996</v>
      </c>
      <c r="BB336" s="21">
        <f t="shared" ca="1" si="388"/>
        <v>4.0657439446366711E-2</v>
      </c>
    </row>
    <row r="337" spans="6:54">
      <c r="F337" s="2"/>
      <c r="AQ337" s="2">
        <f t="shared" si="347"/>
        <v>218</v>
      </c>
      <c r="AR337" s="2" t="str">
        <f t="shared" ref="AR337:AS337" si="414">AR334</f>
        <v>D65</v>
      </c>
      <c r="AS337" s="1">
        <f t="shared" si="414"/>
        <v>2</v>
      </c>
      <c r="AT337" s="2">
        <f t="shared" si="349"/>
        <v>8</v>
      </c>
      <c r="AU337" s="2">
        <f t="shared" si="350"/>
        <v>2</v>
      </c>
      <c r="AV337" s="52" t="str">
        <f t="shared" si="383"/>
        <v>data2!R25C12</v>
      </c>
      <c r="AW337" s="52" t="str">
        <f t="shared" si="384"/>
        <v>data2!R26C12</v>
      </c>
      <c r="AX337" s="2">
        <f t="shared" si="407"/>
        <v>300</v>
      </c>
      <c r="AY337" s="25">
        <f t="shared" ca="1" si="385"/>
        <v>66.832740213523138</v>
      </c>
      <c r="AZ337" s="6">
        <f t="shared" ca="1" si="386"/>
        <v>35.359430604982208</v>
      </c>
      <c r="BA337" s="27">
        <f t="shared" ca="1" si="387"/>
        <v>31.47330960854093</v>
      </c>
      <c r="BB337" s="21">
        <f t="shared" ca="1" si="388"/>
        <v>0.52907348242811503</v>
      </c>
    </row>
    <row r="338" spans="6:54">
      <c r="F338" s="2"/>
      <c r="AQ338" s="2">
        <f t="shared" si="347"/>
        <v>219</v>
      </c>
      <c r="AR338" s="2" t="str">
        <f t="shared" ref="AR338:AS338" si="415">AR335</f>
        <v>A</v>
      </c>
      <c r="AS338" s="1">
        <f t="shared" si="415"/>
        <v>0</v>
      </c>
      <c r="AT338" s="2">
        <f t="shared" si="349"/>
        <v>9</v>
      </c>
      <c r="AU338" s="2">
        <f t="shared" si="350"/>
        <v>2</v>
      </c>
      <c r="AV338" s="52" t="str">
        <f t="shared" si="383"/>
        <v>data0!R25C13</v>
      </c>
      <c r="AW338" s="52" t="str">
        <f t="shared" si="384"/>
        <v>data0!R26C13</v>
      </c>
      <c r="AX338" s="2">
        <f t="shared" si="407"/>
        <v>300</v>
      </c>
      <c r="AY338" s="25">
        <f t="shared" ca="1" si="385"/>
        <v>96.319612590799025</v>
      </c>
      <c r="AZ338" s="6">
        <f t="shared" ca="1" si="386"/>
        <v>84.653753026634377</v>
      </c>
      <c r="BA338" s="27">
        <f t="shared" ca="1" si="387"/>
        <v>11.665859564164649</v>
      </c>
      <c r="BB338" s="21">
        <f t="shared" ca="1" si="388"/>
        <v>0.8788838612368024</v>
      </c>
    </row>
    <row r="339" spans="6:54">
      <c r="F339" s="2"/>
      <c r="AQ339" s="2">
        <f t="shared" si="347"/>
        <v>220</v>
      </c>
      <c r="AR339" s="2" t="str">
        <f t="shared" ref="AR339:AS339" si="416">AR336</f>
        <v>CWF</v>
      </c>
      <c r="AS339" s="1">
        <f t="shared" si="416"/>
        <v>1</v>
      </c>
      <c r="AT339" s="2">
        <f t="shared" si="349"/>
        <v>9</v>
      </c>
      <c r="AU339" s="2">
        <f t="shared" si="350"/>
        <v>2</v>
      </c>
      <c r="AV339" s="52" t="str">
        <f t="shared" si="383"/>
        <v>data1!R25C13</v>
      </c>
      <c r="AW339" s="52" t="str">
        <f t="shared" si="384"/>
        <v>data1!R26C13</v>
      </c>
      <c r="AX339" s="2">
        <f t="shared" si="407"/>
        <v>300</v>
      </c>
      <c r="AY339" s="25">
        <f t="shared" ca="1" si="385"/>
        <v>27.415019762845848</v>
      </c>
      <c r="AZ339" s="6">
        <f t="shared" ca="1" si="386"/>
        <v>1.1146245059288518</v>
      </c>
      <c r="BA339" s="27">
        <f t="shared" ca="1" si="387"/>
        <v>26.300395256916996</v>
      </c>
      <c r="BB339" s="21">
        <f t="shared" ca="1" si="388"/>
        <v>4.0657439446366711E-2</v>
      </c>
    </row>
    <row r="340" spans="6:54">
      <c r="F340" s="2"/>
      <c r="AQ340" s="2">
        <f t="shared" si="347"/>
        <v>221</v>
      </c>
      <c r="AR340" s="2" t="str">
        <f t="shared" ref="AR340:AS340" si="417">AR337</f>
        <v>D65</v>
      </c>
      <c r="AS340" s="1">
        <f t="shared" si="417"/>
        <v>2</v>
      </c>
      <c r="AT340" s="2">
        <f t="shared" si="349"/>
        <v>9</v>
      </c>
      <c r="AU340" s="2">
        <f t="shared" si="350"/>
        <v>2</v>
      </c>
      <c r="AV340" s="52" t="str">
        <f t="shared" si="383"/>
        <v>data2!R25C13</v>
      </c>
      <c r="AW340" s="52" t="str">
        <f t="shared" si="384"/>
        <v>data2!R26C13</v>
      </c>
      <c r="AX340" s="2">
        <f t="shared" si="407"/>
        <v>300</v>
      </c>
      <c r="AY340" s="25">
        <f t="shared" ca="1" si="385"/>
        <v>66.832740213523138</v>
      </c>
      <c r="AZ340" s="6">
        <f t="shared" ca="1" si="386"/>
        <v>35.359430604982208</v>
      </c>
      <c r="BA340" s="27">
        <f t="shared" ca="1" si="387"/>
        <v>31.47330960854093</v>
      </c>
      <c r="BB340" s="21">
        <f t="shared" ca="1" si="388"/>
        <v>0.52907348242811503</v>
      </c>
    </row>
    <row r="341" spans="6:54">
      <c r="F341" s="2"/>
      <c r="AQ341" s="2">
        <f t="shared" si="347"/>
        <v>222</v>
      </c>
      <c r="AR341" s="2" t="str">
        <f t="shared" ref="AR341:AS341" si="418">AR338</f>
        <v>A</v>
      </c>
      <c r="AS341" s="1">
        <f t="shared" si="418"/>
        <v>0</v>
      </c>
      <c r="AT341" s="2">
        <f t="shared" si="349"/>
        <v>10</v>
      </c>
      <c r="AU341" s="2">
        <f t="shared" si="350"/>
        <v>2</v>
      </c>
      <c r="AV341" s="52" t="str">
        <f t="shared" si="383"/>
        <v>data0!R25C14</v>
      </c>
      <c r="AW341" s="52" t="str">
        <f t="shared" si="384"/>
        <v>data0!R26C14</v>
      </c>
      <c r="AX341" s="2">
        <f t="shared" si="407"/>
        <v>300</v>
      </c>
      <c r="AY341" s="25">
        <f t="shared" ca="1" si="385"/>
        <v>96.319612590799025</v>
      </c>
      <c r="AZ341" s="6">
        <f t="shared" ca="1" si="386"/>
        <v>84.653753026634377</v>
      </c>
      <c r="BA341" s="27">
        <f t="shared" ca="1" si="387"/>
        <v>11.665859564164649</v>
      </c>
      <c r="BB341" s="21">
        <f t="shared" ca="1" si="388"/>
        <v>0.8788838612368024</v>
      </c>
    </row>
    <row r="342" spans="6:54">
      <c r="F342" s="2"/>
      <c r="AQ342" s="2">
        <f t="shared" si="347"/>
        <v>223</v>
      </c>
      <c r="AR342" s="2" t="str">
        <f t="shared" ref="AR342:AS342" si="419">AR339</f>
        <v>CWF</v>
      </c>
      <c r="AS342" s="1">
        <f t="shared" si="419"/>
        <v>1</v>
      </c>
      <c r="AT342" s="2">
        <f t="shared" si="349"/>
        <v>10</v>
      </c>
      <c r="AU342" s="2">
        <f t="shared" si="350"/>
        <v>2</v>
      </c>
      <c r="AV342" s="52" t="str">
        <f t="shared" si="383"/>
        <v>data1!R25C14</v>
      </c>
      <c r="AW342" s="52" t="str">
        <f t="shared" si="384"/>
        <v>data1!R26C14</v>
      </c>
      <c r="AX342" s="2">
        <f t="shared" si="407"/>
        <v>300</v>
      </c>
      <c r="AY342" s="25">
        <f t="shared" ca="1" si="385"/>
        <v>27.415019762845848</v>
      </c>
      <c r="AZ342" s="6">
        <f t="shared" ca="1" si="386"/>
        <v>1.1146245059288518</v>
      </c>
      <c r="BA342" s="27">
        <f t="shared" ca="1" si="387"/>
        <v>26.300395256916996</v>
      </c>
      <c r="BB342" s="21">
        <f t="shared" ca="1" si="388"/>
        <v>4.0657439446366711E-2</v>
      </c>
    </row>
    <row r="343" spans="6:54">
      <c r="F343" s="2"/>
      <c r="AQ343" s="2">
        <f t="shared" si="347"/>
        <v>224</v>
      </c>
      <c r="AR343" s="2" t="str">
        <f t="shared" ref="AR343:AS343" si="420">AR340</f>
        <v>D65</v>
      </c>
      <c r="AS343" s="1">
        <f t="shared" si="420"/>
        <v>2</v>
      </c>
      <c r="AT343" s="2">
        <f t="shared" si="349"/>
        <v>10</v>
      </c>
      <c r="AU343" s="2">
        <f t="shared" si="350"/>
        <v>2</v>
      </c>
      <c r="AV343" s="52" t="str">
        <f t="shared" si="383"/>
        <v>data2!R25C14</v>
      </c>
      <c r="AW343" s="52" t="str">
        <f t="shared" si="384"/>
        <v>data2!R26C14</v>
      </c>
      <c r="AX343" s="2">
        <f t="shared" si="407"/>
        <v>300</v>
      </c>
      <c r="AY343" s="25">
        <f t="shared" ca="1" si="385"/>
        <v>66.832740213523138</v>
      </c>
      <c r="AZ343" s="6">
        <f t="shared" ca="1" si="386"/>
        <v>35.359430604982208</v>
      </c>
      <c r="BA343" s="27">
        <f t="shared" ca="1" si="387"/>
        <v>31.47330960854093</v>
      </c>
      <c r="BB343" s="21">
        <f t="shared" ca="1" si="388"/>
        <v>0.52907348242811503</v>
      </c>
    </row>
    <row r="344" spans="6:54">
      <c r="F344" s="2"/>
      <c r="AQ344" s="2">
        <f t="shared" ref="AQ344:AQ407" si="421">AQ343+1</f>
        <v>225</v>
      </c>
      <c r="AR344" s="2" t="str">
        <f t="shared" ref="AR344:AS344" si="422">AR341</f>
        <v>A</v>
      </c>
      <c r="AS344" s="1">
        <f t="shared" si="422"/>
        <v>0</v>
      </c>
      <c r="AT344" s="2">
        <f t="shared" ref="AT344:AT407" si="423">AT248</f>
        <v>11</v>
      </c>
      <c r="AU344" s="2">
        <f t="shared" ref="AU344:AU407" si="424">AU248+1</f>
        <v>2</v>
      </c>
      <c r="AV344" s="52" t="str">
        <f t="shared" si="383"/>
        <v>data0!R25C15</v>
      </c>
      <c r="AW344" s="52" t="str">
        <f t="shared" si="384"/>
        <v>data0!R26C15</v>
      </c>
      <c r="AX344" s="2">
        <f t="shared" si="407"/>
        <v>300</v>
      </c>
      <c r="AY344" s="25">
        <f t="shared" ca="1" si="385"/>
        <v>96.319612590799025</v>
      </c>
      <c r="AZ344" s="6">
        <f t="shared" ca="1" si="386"/>
        <v>84.653753026634377</v>
      </c>
      <c r="BA344" s="27">
        <f t="shared" ca="1" si="387"/>
        <v>11.665859564164649</v>
      </c>
      <c r="BB344" s="21">
        <f t="shared" ca="1" si="388"/>
        <v>0.8788838612368024</v>
      </c>
    </row>
    <row r="345" spans="6:54">
      <c r="F345" s="2"/>
      <c r="AQ345" s="2">
        <f t="shared" si="421"/>
        <v>226</v>
      </c>
      <c r="AR345" s="2" t="str">
        <f t="shared" ref="AR345:AS345" si="425">AR342</f>
        <v>CWF</v>
      </c>
      <c r="AS345" s="1">
        <f t="shared" si="425"/>
        <v>1</v>
      </c>
      <c r="AT345" s="2">
        <f t="shared" si="423"/>
        <v>11</v>
      </c>
      <c r="AU345" s="2">
        <f t="shared" si="424"/>
        <v>2</v>
      </c>
      <c r="AV345" s="52" t="str">
        <f t="shared" si="383"/>
        <v>data1!R25C15</v>
      </c>
      <c r="AW345" s="52" t="str">
        <f t="shared" si="384"/>
        <v>data1!R26C15</v>
      </c>
      <c r="AX345" s="2">
        <f t="shared" si="407"/>
        <v>300</v>
      </c>
      <c r="AY345" s="25">
        <f t="shared" ca="1" si="385"/>
        <v>27.415019762845848</v>
      </c>
      <c r="AZ345" s="6">
        <f t="shared" ca="1" si="386"/>
        <v>1.1146245059288518</v>
      </c>
      <c r="BA345" s="27">
        <f t="shared" ca="1" si="387"/>
        <v>26.300395256916996</v>
      </c>
      <c r="BB345" s="21">
        <f t="shared" ca="1" si="388"/>
        <v>4.0657439446366711E-2</v>
      </c>
    </row>
    <row r="346" spans="6:54">
      <c r="F346" s="2"/>
      <c r="AQ346" s="2">
        <f t="shared" si="421"/>
        <v>227</v>
      </c>
      <c r="AR346" s="2" t="str">
        <f t="shared" ref="AR346:AS346" si="426">AR343</f>
        <v>D65</v>
      </c>
      <c r="AS346" s="1">
        <f t="shared" si="426"/>
        <v>2</v>
      </c>
      <c r="AT346" s="2">
        <f t="shared" si="423"/>
        <v>11</v>
      </c>
      <c r="AU346" s="2">
        <f t="shared" si="424"/>
        <v>2</v>
      </c>
      <c r="AV346" s="52" t="str">
        <f t="shared" si="383"/>
        <v>data2!R25C15</v>
      </c>
      <c r="AW346" s="52" t="str">
        <f t="shared" si="384"/>
        <v>data2!R26C15</v>
      </c>
      <c r="AX346" s="2">
        <f t="shared" si="407"/>
        <v>300</v>
      </c>
      <c r="AY346" s="25">
        <f t="shared" ca="1" si="385"/>
        <v>66.832740213523138</v>
      </c>
      <c r="AZ346" s="6">
        <f t="shared" ca="1" si="386"/>
        <v>35.359430604982208</v>
      </c>
      <c r="BA346" s="27">
        <f t="shared" ca="1" si="387"/>
        <v>31.47330960854093</v>
      </c>
      <c r="BB346" s="21">
        <f t="shared" ca="1" si="388"/>
        <v>0.52907348242811503</v>
      </c>
    </row>
    <row r="347" spans="6:54">
      <c r="F347" s="2"/>
      <c r="AQ347" s="2">
        <f t="shared" si="421"/>
        <v>228</v>
      </c>
      <c r="AR347" s="2" t="str">
        <f t="shared" ref="AR347:AS347" si="427">AR344</f>
        <v>A</v>
      </c>
      <c r="AS347" s="1">
        <f t="shared" si="427"/>
        <v>0</v>
      </c>
      <c r="AT347" s="2">
        <f t="shared" si="423"/>
        <v>12</v>
      </c>
      <c r="AU347" s="2">
        <f t="shared" si="424"/>
        <v>2</v>
      </c>
      <c r="AV347" s="52" t="str">
        <f t="shared" si="383"/>
        <v>data0!R25C16</v>
      </c>
      <c r="AW347" s="52" t="str">
        <f t="shared" si="384"/>
        <v>data0!R26C16</v>
      </c>
      <c r="AX347" s="2">
        <f t="shared" si="407"/>
        <v>300</v>
      </c>
      <c r="AY347" s="25">
        <f t="shared" ca="1" si="385"/>
        <v>96.319612590799025</v>
      </c>
      <c r="AZ347" s="6">
        <f t="shared" ca="1" si="386"/>
        <v>84.653753026634377</v>
      </c>
      <c r="BA347" s="27">
        <f t="shared" ca="1" si="387"/>
        <v>11.665859564164649</v>
      </c>
      <c r="BB347" s="21">
        <f t="shared" ca="1" si="388"/>
        <v>0.8788838612368024</v>
      </c>
    </row>
    <row r="348" spans="6:54">
      <c r="F348" s="2"/>
      <c r="AQ348" s="2">
        <f t="shared" si="421"/>
        <v>229</v>
      </c>
      <c r="AR348" s="2" t="str">
        <f t="shared" ref="AR348:AS348" si="428">AR345</f>
        <v>CWF</v>
      </c>
      <c r="AS348" s="1">
        <f t="shared" si="428"/>
        <v>1</v>
      </c>
      <c r="AT348" s="2">
        <f t="shared" si="423"/>
        <v>12</v>
      </c>
      <c r="AU348" s="2">
        <f t="shared" si="424"/>
        <v>2</v>
      </c>
      <c r="AV348" s="52" t="str">
        <f t="shared" si="383"/>
        <v>data1!R25C16</v>
      </c>
      <c r="AW348" s="52" t="str">
        <f t="shared" si="384"/>
        <v>data1!R26C16</v>
      </c>
      <c r="AX348" s="2">
        <f t="shared" si="407"/>
        <v>300</v>
      </c>
      <c r="AY348" s="25">
        <f t="shared" ca="1" si="385"/>
        <v>27.415019762845848</v>
      </c>
      <c r="AZ348" s="6">
        <f t="shared" ca="1" si="386"/>
        <v>1.1146245059288518</v>
      </c>
      <c r="BA348" s="27">
        <f t="shared" ca="1" si="387"/>
        <v>26.300395256916996</v>
      </c>
      <c r="BB348" s="21">
        <f t="shared" ca="1" si="388"/>
        <v>4.0657439446366711E-2</v>
      </c>
    </row>
    <row r="349" spans="6:54">
      <c r="F349" s="2"/>
      <c r="AQ349" s="2">
        <f t="shared" si="421"/>
        <v>230</v>
      </c>
      <c r="AR349" s="2" t="str">
        <f t="shared" ref="AR349:AS349" si="429">AR346</f>
        <v>D65</v>
      </c>
      <c r="AS349" s="1">
        <f t="shared" si="429"/>
        <v>2</v>
      </c>
      <c r="AT349" s="2">
        <f t="shared" si="423"/>
        <v>12</v>
      </c>
      <c r="AU349" s="2">
        <f t="shared" si="424"/>
        <v>2</v>
      </c>
      <c r="AV349" s="52" t="str">
        <f t="shared" si="383"/>
        <v>data2!R25C16</v>
      </c>
      <c r="AW349" s="52" t="str">
        <f t="shared" si="384"/>
        <v>data2!R26C16</v>
      </c>
      <c r="AX349" s="2">
        <f t="shared" si="407"/>
        <v>300</v>
      </c>
      <c r="AY349" s="25">
        <f t="shared" ca="1" si="385"/>
        <v>66.832740213523138</v>
      </c>
      <c r="AZ349" s="6">
        <f t="shared" ca="1" si="386"/>
        <v>35.359430604982208</v>
      </c>
      <c r="BA349" s="27">
        <f t="shared" ca="1" si="387"/>
        <v>31.47330960854093</v>
      </c>
      <c r="BB349" s="21">
        <f t="shared" ca="1" si="388"/>
        <v>0.52907348242811503</v>
      </c>
    </row>
    <row r="350" spans="6:54">
      <c r="F350" s="2"/>
      <c r="AQ350" s="2">
        <f t="shared" si="421"/>
        <v>231</v>
      </c>
      <c r="AR350" s="2" t="str">
        <f t="shared" ref="AR350:AS350" si="430">AR347</f>
        <v>A</v>
      </c>
      <c r="AS350" s="1">
        <f t="shared" si="430"/>
        <v>0</v>
      </c>
      <c r="AT350" s="2">
        <f t="shared" si="423"/>
        <v>13</v>
      </c>
      <c r="AU350" s="2">
        <f t="shared" si="424"/>
        <v>2</v>
      </c>
      <c r="AV350" s="52" t="str">
        <f t="shared" si="383"/>
        <v>data0!R25C17</v>
      </c>
      <c r="AW350" s="52" t="str">
        <f t="shared" si="384"/>
        <v>data0!R26C17</v>
      </c>
      <c r="AX350" s="2">
        <f t="shared" si="407"/>
        <v>300</v>
      </c>
      <c r="AY350" s="25">
        <f t="shared" ca="1" si="385"/>
        <v>96.319612590799025</v>
      </c>
      <c r="AZ350" s="6">
        <f t="shared" ca="1" si="386"/>
        <v>84.653753026634377</v>
      </c>
      <c r="BA350" s="27">
        <f t="shared" ca="1" si="387"/>
        <v>11.665859564164649</v>
      </c>
      <c r="BB350" s="21">
        <f t="shared" ca="1" si="388"/>
        <v>0.8788838612368024</v>
      </c>
    </row>
    <row r="351" spans="6:54">
      <c r="F351" s="2"/>
      <c r="AQ351" s="2">
        <f t="shared" si="421"/>
        <v>232</v>
      </c>
      <c r="AR351" s="2" t="str">
        <f t="shared" ref="AR351:AS351" si="431">AR348</f>
        <v>CWF</v>
      </c>
      <c r="AS351" s="1">
        <f t="shared" si="431"/>
        <v>1</v>
      </c>
      <c r="AT351" s="2">
        <f t="shared" si="423"/>
        <v>13</v>
      </c>
      <c r="AU351" s="2">
        <f t="shared" si="424"/>
        <v>2</v>
      </c>
      <c r="AV351" s="52" t="str">
        <f t="shared" si="383"/>
        <v>data1!R25C17</v>
      </c>
      <c r="AW351" s="52" t="str">
        <f t="shared" si="384"/>
        <v>data1!R26C17</v>
      </c>
      <c r="AX351" s="2">
        <f t="shared" si="407"/>
        <v>300</v>
      </c>
      <c r="AY351" s="25">
        <f t="shared" ca="1" si="385"/>
        <v>27.415019762845848</v>
      </c>
      <c r="AZ351" s="6">
        <f t="shared" ca="1" si="386"/>
        <v>1.1146245059288518</v>
      </c>
      <c r="BA351" s="27">
        <f t="shared" ca="1" si="387"/>
        <v>26.300395256916996</v>
      </c>
      <c r="BB351" s="21">
        <f t="shared" ca="1" si="388"/>
        <v>4.0657439446366711E-2</v>
      </c>
    </row>
    <row r="352" spans="6:54">
      <c r="F352" s="2"/>
      <c r="AQ352" s="2">
        <f t="shared" si="421"/>
        <v>233</v>
      </c>
      <c r="AR352" s="2" t="str">
        <f t="shared" ref="AR352:AS352" si="432">AR349</f>
        <v>D65</v>
      </c>
      <c r="AS352" s="1">
        <f t="shared" si="432"/>
        <v>2</v>
      </c>
      <c r="AT352" s="2">
        <f t="shared" si="423"/>
        <v>13</v>
      </c>
      <c r="AU352" s="2">
        <f t="shared" si="424"/>
        <v>2</v>
      </c>
      <c r="AV352" s="52" t="str">
        <f t="shared" si="383"/>
        <v>data2!R25C17</v>
      </c>
      <c r="AW352" s="52" t="str">
        <f t="shared" si="384"/>
        <v>data2!R26C17</v>
      </c>
      <c r="AX352" s="2">
        <f t="shared" si="407"/>
        <v>300</v>
      </c>
      <c r="AY352" s="25">
        <f t="shared" ca="1" si="385"/>
        <v>66.832740213523138</v>
      </c>
      <c r="AZ352" s="6">
        <f t="shared" ca="1" si="386"/>
        <v>35.359430604982208</v>
      </c>
      <c r="BA352" s="27">
        <f t="shared" ca="1" si="387"/>
        <v>31.47330960854093</v>
      </c>
      <c r="BB352" s="21">
        <f t="shared" ca="1" si="388"/>
        <v>0.52907348242811503</v>
      </c>
    </row>
    <row r="353" spans="6:54">
      <c r="F353" s="2"/>
      <c r="AQ353" s="2">
        <f t="shared" si="421"/>
        <v>234</v>
      </c>
      <c r="AR353" s="2" t="str">
        <f t="shared" ref="AR353:AS353" si="433">AR350</f>
        <v>A</v>
      </c>
      <c r="AS353" s="1">
        <f t="shared" si="433"/>
        <v>0</v>
      </c>
      <c r="AT353" s="2">
        <f t="shared" si="423"/>
        <v>14</v>
      </c>
      <c r="AU353" s="2">
        <f t="shared" si="424"/>
        <v>2</v>
      </c>
      <c r="AV353" s="52" t="str">
        <f t="shared" si="383"/>
        <v>data0!R25C18</v>
      </c>
      <c r="AW353" s="52" t="str">
        <f t="shared" si="384"/>
        <v>data0!R26C18</v>
      </c>
      <c r="AX353" s="2">
        <f t="shared" si="407"/>
        <v>300</v>
      </c>
      <c r="AY353" s="25">
        <f t="shared" ca="1" si="385"/>
        <v>96.319612590799025</v>
      </c>
      <c r="AZ353" s="6">
        <f t="shared" ca="1" si="386"/>
        <v>84.653753026634377</v>
      </c>
      <c r="BA353" s="27">
        <f t="shared" ca="1" si="387"/>
        <v>11.665859564164649</v>
      </c>
      <c r="BB353" s="21">
        <f t="shared" ca="1" si="388"/>
        <v>0.8788838612368024</v>
      </c>
    </row>
    <row r="354" spans="6:54">
      <c r="F354" s="2"/>
      <c r="AQ354" s="2">
        <f t="shared" si="421"/>
        <v>235</v>
      </c>
      <c r="AR354" s="2" t="str">
        <f t="shared" ref="AR354:AS354" si="434">AR351</f>
        <v>CWF</v>
      </c>
      <c r="AS354" s="1">
        <f t="shared" si="434"/>
        <v>1</v>
      </c>
      <c r="AT354" s="2">
        <f t="shared" si="423"/>
        <v>14</v>
      </c>
      <c r="AU354" s="2">
        <f t="shared" si="424"/>
        <v>2</v>
      </c>
      <c r="AV354" s="52" t="str">
        <f t="shared" si="383"/>
        <v>data1!R25C18</v>
      </c>
      <c r="AW354" s="52" t="str">
        <f t="shared" si="384"/>
        <v>data1!R26C18</v>
      </c>
      <c r="AX354" s="2">
        <f t="shared" si="407"/>
        <v>300</v>
      </c>
      <c r="AY354" s="25">
        <f t="shared" ca="1" si="385"/>
        <v>27.415019762845848</v>
      </c>
      <c r="AZ354" s="6">
        <f t="shared" ca="1" si="386"/>
        <v>1.1146245059288518</v>
      </c>
      <c r="BA354" s="27">
        <f t="shared" ca="1" si="387"/>
        <v>26.300395256916996</v>
      </c>
      <c r="BB354" s="21">
        <f t="shared" ca="1" si="388"/>
        <v>4.0657439446366711E-2</v>
      </c>
    </row>
    <row r="355" spans="6:54">
      <c r="F355" s="2"/>
      <c r="AQ355" s="2">
        <f t="shared" si="421"/>
        <v>236</v>
      </c>
      <c r="AR355" s="2" t="str">
        <f t="shared" ref="AR355:AS355" si="435">AR352</f>
        <v>D65</v>
      </c>
      <c r="AS355" s="1">
        <f t="shared" si="435"/>
        <v>2</v>
      </c>
      <c r="AT355" s="2">
        <f t="shared" si="423"/>
        <v>14</v>
      </c>
      <c r="AU355" s="2">
        <f t="shared" si="424"/>
        <v>2</v>
      </c>
      <c r="AV355" s="52" t="str">
        <f t="shared" si="383"/>
        <v>data2!R25C18</v>
      </c>
      <c r="AW355" s="52" t="str">
        <f t="shared" si="384"/>
        <v>data2!R26C18</v>
      </c>
      <c r="AX355" s="2">
        <f t="shared" si="407"/>
        <v>300</v>
      </c>
      <c r="AY355" s="25">
        <f t="shared" ca="1" si="385"/>
        <v>66.832740213523138</v>
      </c>
      <c r="AZ355" s="6">
        <f t="shared" ca="1" si="386"/>
        <v>35.359430604982208</v>
      </c>
      <c r="BA355" s="27">
        <f t="shared" ca="1" si="387"/>
        <v>31.47330960854093</v>
      </c>
      <c r="BB355" s="21">
        <f t="shared" ca="1" si="388"/>
        <v>0.52907348242811503</v>
      </c>
    </row>
    <row r="356" spans="6:54">
      <c r="F356" s="2"/>
      <c r="AQ356" s="2">
        <f t="shared" si="421"/>
        <v>237</v>
      </c>
      <c r="AR356" s="2" t="str">
        <f t="shared" ref="AR356:AS356" si="436">AR353</f>
        <v>A</v>
      </c>
      <c r="AS356" s="1">
        <f t="shared" si="436"/>
        <v>0</v>
      </c>
      <c r="AT356" s="2">
        <f t="shared" si="423"/>
        <v>15</v>
      </c>
      <c r="AU356" s="2">
        <f t="shared" si="424"/>
        <v>2</v>
      </c>
      <c r="AV356" s="52" t="str">
        <f t="shared" si="383"/>
        <v>data0!R25C19</v>
      </c>
      <c r="AW356" s="52" t="str">
        <f t="shared" si="384"/>
        <v>data0!R26C19</v>
      </c>
      <c r="AX356" s="2">
        <f t="shared" si="407"/>
        <v>300</v>
      </c>
      <c r="AY356" s="25">
        <f t="shared" ca="1" si="385"/>
        <v>96.319612590799025</v>
      </c>
      <c r="AZ356" s="6">
        <f t="shared" ca="1" si="386"/>
        <v>84.653753026634377</v>
      </c>
      <c r="BA356" s="27">
        <f t="shared" ca="1" si="387"/>
        <v>11.665859564164649</v>
      </c>
      <c r="BB356" s="21">
        <f t="shared" ca="1" si="388"/>
        <v>0.8788838612368024</v>
      </c>
    </row>
    <row r="357" spans="6:54">
      <c r="F357" s="2"/>
      <c r="AQ357" s="2">
        <f t="shared" si="421"/>
        <v>238</v>
      </c>
      <c r="AR357" s="2" t="str">
        <f t="shared" ref="AR357:AS357" si="437">AR354</f>
        <v>CWF</v>
      </c>
      <c r="AS357" s="1">
        <f t="shared" si="437"/>
        <v>1</v>
      </c>
      <c r="AT357" s="2">
        <f t="shared" si="423"/>
        <v>15</v>
      </c>
      <c r="AU357" s="2">
        <f t="shared" si="424"/>
        <v>2</v>
      </c>
      <c r="AV357" s="52" t="str">
        <f t="shared" si="383"/>
        <v>data1!R25C19</v>
      </c>
      <c r="AW357" s="52" t="str">
        <f t="shared" si="384"/>
        <v>data1!R26C19</v>
      </c>
      <c r="AX357" s="2">
        <f t="shared" si="407"/>
        <v>300</v>
      </c>
      <c r="AY357" s="25">
        <f t="shared" ca="1" si="385"/>
        <v>27.415019762845848</v>
      </c>
      <c r="AZ357" s="6">
        <f t="shared" ca="1" si="386"/>
        <v>1.1146245059288518</v>
      </c>
      <c r="BA357" s="27">
        <f t="shared" ca="1" si="387"/>
        <v>26.300395256916996</v>
      </c>
      <c r="BB357" s="21">
        <f t="shared" ca="1" si="388"/>
        <v>4.0657439446366711E-2</v>
      </c>
    </row>
    <row r="358" spans="6:54">
      <c r="F358" s="2"/>
      <c r="AQ358" s="2">
        <f t="shared" si="421"/>
        <v>239</v>
      </c>
      <c r="AR358" s="2" t="str">
        <f t="shared" ref="AR358:AS358" si="438">AR355</f>
        <v>D65</v>
      </c>
      <c r="AS358" s="1">
        <f t="shared" si="438"/>
        <v>2</v>
      </c>
      <c r="AT358" s="2">
        <f t="shared" si="423"/>
        <v>15</v>
      </c>
      <c r="AU358" s="2">
        <f t="shared" si="424"/>
        <v>2</v>
      </c>
      <c r="AV358" s="52" t="str">
        <f t="shared" si="383"/>
        <v>data2!R25C19</v>
      </c>
      <c r="AW358" s="52" t="str">
        <f t="shared" si="384"/>
        <v>data2!R26C19</v>
      </c>
      <c r="AX358" s="2">
        <f t="shared" si="407"/>
        <v>300</v>
      </c>
      <c r="AY358" s="25">
        <f t="shared" ca="1" si="385"/>
        <v>66.832740213523138</v>
      </c>
      <c r="AZ358" s="6">
        <f t="shared" ca="1" si="386"/>
        <v>35.359430604982208</v>
      </c>
      <c r="BA358" s="27">
        <f t="shared" ca="1" si="387"/>
        <v>31.47330960854093</v>
      </c>
      <c r="BB358" s="21">
        <f t="shared" ca="1" si="388"/>
        <v>0.52907348242811503</v>
      </c>
    </row>
    <row r="359" spans="6:54">
      <c r="F359" s="2"/>
      <c r="AQ359" s="2">
        <f t="shared" si="421"/>
        <v>240</v>
      </c>
      <c r="AR359" s="2" t="str">
        <f t="shared" ref="AR359:AS359" si="439">AR356</f>
        <v>A</v>
      </c>
      <c r="AS359" s="1">
        <f t="shared" si="439"/>
        <v>0</v>
      </c>
      <c r="AT359" s="2">
        <f t="shared" si="423"/>
        <v>16</v>
      </c>
      <c r="AU359" s="2">
        <f t="shared" si="424"/>
        <v>2</v>
      </c>
      <c r="AV359" s="52" t="str">
        <f t="shared" si="383"/>
        <v>data0!R25C20</v>
      </c>
      <c r="AW359" s="52" t="str">
        <f t="shared" si="384"/>
        <v>data0!R26C20</v>
      </c>
      <c r="AX359" s="2">
        <f t="shared" si="407"/>
        <v>300</v>
      </c>
      <c r="AY359" s="25">
        <f t="shared" ca="1" si="385"/>
        <v>96.319612590799025</v>
      </c>
      <c r="AZ359" s="6">
        <f t="shared" ca="1" si="386"/>
        <v>84.653753026634377</v>
      </c>
      <c r="BA359" s="27">
        <f t="shared" ca="1" si="387"/>
        <v>11.665859564164649</v>
      </c>
      <c r="BB359" s="21">
        <f t="shared" ca="1" si="388"/>
        <v>0.8788838612368024</v>
      </c>
    </row>
    <row r="360" spans="6:54">
      <c r="F360" s="2"/>
      <c r="AQ360" s="2">
        <f t="shared" si="421"/>
        <v>241</v>
      </c>
      <c r="AR360" s="2" t="str">
        <f t="shared" ref="AR360:AS360" si="440">AR357</f>
        <v>CWF</v>
      </c>
      <c r="AS360" s="1">
        <f t="shared" si="440"/>
        <v>1</v>
      </c>
      <c r="AT360" s="2">
        <f t="shared" si="423"/>
        <v>16</v>
      </c>
      <c r="AU360" s="2">
        <f t="shared" si="424"/>
        <v>2</v>
      </c>
      <c r="AV360" s="52" t="str">
        <f t="shared" si="383"/>
        <v>data1!R25C20</v>
      </c>
      <c r="AW360" s="52" t="str">
        <f t="shared" si="384"/>
        <v>data1!R26C20</v>
      </c>
      <c r="AX360" s="2">
        <f t="shared" si="407"/>
        <v>300</v>
      </c>
      <c r="AY360" s="25">
        <f t="shared" ca="1" si="385"/>
        <v>27.415019762845848</v>
      </c>
      <c r="AZ360" s="6">
        <f t="shared" ca="1" si="386"/>
        <v>1.1146245059288518</v>
      </c>
      <c r="BA360" s="27">
        <f t="shared" ca="1" si="387"/>
        <v>26.300395256916996</v>
      </c>
      <c r="BB360" s="21">
        <f t="shared" ca="1" si="388"/>
        <v>4.0657439446366711E-2</v>
      </c>
    </row>
    <row r="361" spans="6:54">
      <c r="F361" s="2"/>
      <c r="AQ361" s="2">
        <f t="shared" si="421"/>
        <v>242</v>
      </c>
      <c r="AR361" s="2" t="str">
        <f t="shared" ref="AR361:AS361" si="441">AR358</f>
        <v>D65</v>
      </c>
      <c r="AS361" s="1">
        <f t="shared" si="441"/>
        <v>2</v>
      </c>
      <c r="AT361" s="2">
        <f t="shared" si="423"/>
        <v>16</v>
      </c>
      <c r="AU361" s="2">
        <f t="shared" si="424"/>
        <v>2</v>
      </c>
      <c r="AV361" s="52" t="str">
        <f t="shared" si="383"/>
        <v>data2!R25C20</v>
      </c>
      <c r="AW361" s="52" t="str">
        <f t="shared" si="384"/>
        <v>data2!R26C20</v>
      </c>
      <c r="AX361" s="2">
        <f t="shared" si="407"/>
        <v>300</v>
      </c>
      <c r="AY361" s="25">
        <f t="shared" ca="1" si="385"/>
        <v>66.832740213523138</v>
      </c>
      <c r="AZ361" s="6">
        <f t="shared" ca="1" si="386"/>
        <v>35.359430604982208</v>
      </c>
      <c r="BA361" s="27">
        <f t="shared" ca="1" si="387"/>
        <v>31.47330960854093</v>
      </c>
      <c r="BB361" s="21">
        <f t="shared" ca="1" si="388"/>
        <v>0.52907348242811503</v>
      </c>
    </row>
    <row r="362" spans="6:54">
      <c r="F362" s="2"/>
      <c r="AQ362" s="2">
        <f t="shared" si="421"/>
        <v>243</v>
      </c>
      <c r="AR362" s="2" t="str">
        <f t="shared" ref="AR362:AS362" si="442">AR359</f>
        <v>A</v>
      </c>
      <c r="AS362" s="1">
        <f t="shared" si="442"/>
        <v>0</v>
      </c>
      <c r="AT362" s="2">
        <f t="shared" si="423"/>
        <v>17</v>
      </c>
      <c r="AU362" s="2">
        <f t="shared" si="424"/>
        <v>2</v>
      </c>
      <c r="AV362" s="52" t="str">
        <f t="shared" si="383"/>
        <v>data0!R25C21</v>
      </c>
      <c r="AW362" s="52" t="str">
        <f t="shared" si="384"/>
        <v>data0!R26C21</v>
      </c>
      <c r="AX362" s="2">
        <f t="shared" si="407"/>
        <v>300</v>
      </c>
      <c r="AY362" s="25">
        <f t="shared" ca="1" si="385"/>
        <v>96.319612590799025</v>
      </c>
      <c r="AZ362" s="6">
        <f t="shared" ca="1" si="386"/>
        <v>84.653753026634377</v>
      </c>
      <c r="BA362" s="27">
        <f t="shared" ca="1" si="387"/>
        <v>11.665859564164649</v>
      </c>
      <c r="BB362" s="21">
        <f t="shared" ca="1" si="388"/>
        <v>0.8788838612368024</v>
      </c>
    </row>
    <row r="363" spans="6:54">
      <c r="F363" s="2"/>
      <c r="AQ363" s="2">
        <f t="shared" si="421"/>
        <v>244</v>
      </c>
      <c r="AR363" s="2" t="str">
        <f t="shared" ref="AR363:AS363" si="443">AR360</f>
        <v>CWF</v>
      </c>
      <c r="AS363" s="1">
        <f t="shared" si="443"/>
        <v>1</v>
      </c>
      <c r="AT363" s="2">
        <f t="shared" si="423"/>
        <v>17</v>
      </c>
      <c r="AU363" s="2">
        <f t="shared" si="424"/>
        <v>2</v>
      </c>
      <c r="AV363" s="52" t="str">
        <f t="shared" si="383"/>
        <v>data1!R25C21</v>
      </c>
      <c r="AW363" s="52" t="str">
        <f t="shared" si="384"/>
        <v>data1!R26C21</v>
      </c>
      <c r="AX363" s="2">
        <f t="shared" si="407"/>
        <v>300</v>
      </c>
      <c r="AY363" s="25">
        <f t="shared" ca="1" si="385"/>
        <v>27.415019762845848</v>
      </c>
      <c r="AZ363" s="6">
        <f t="shared" ca="1" si="386"/>
        <v>1.1146245059288518</v>
      </c>
      <c r="BA363" s="27">
        <f t="shared" ca="1" si="387"/>
        <v>26.300395256916996</v>
      </c>
      <c r="BB363" s="21">
        <f t="shared" ca="1" si="388"/>
        <v>4.0657439446366711E-2</v>
      </c>
    </row>
    <row r="364" spans="6:54">
      <c r="F364" s="2"/>
      <c r="AQ364" s="2">
        <f t="shared" si="421"/>
        <v>245</v>
      </c>
      <c r="AR364" s="2" t="str">
        <f t="shared" ref="AR364:AS364" si="444">AR361</f>
        <v>D65</v>
      </c>
      <c r="AS364" s="1">
        <f t="shared" si="444"/>
        <v>2</v>
      </c>
      <c r="AT364" s="2">
        <f t="shared" si="423"/>
        <v>17</v>
      </c>
      <c r="AU364" s="2">
        <f t="shared" si="424"/>
        <v>2</v>
      </c>
      <c r="AV364" s="52" t="str">
        <f t="shared" si="383"/>
        <v>data2!R25C21</v>
      </c>
      <c r="AW364" s="52" t="str">
        <f t="shared" si="384"/>
        <v>data2!R26C21</v>
      </c>
      <c r="AX364" s="2">
        <f t="shared" si="407"/>
        <v>300</v>
      </c>
      <c r="AY364" s="25">
        <f t="shared" ca="1" si="385"/>
        <v>66.832740213523138</v>
      </c>
      <c r="AZ364" s="6">
        <f t="shared" ca="1" si="386"/>
        <v>35.359430604982208</v>
      </c>
      <c r="BA364" s="27">
        <f t="shared" ca="1" si="387"/>
        <v>31.47330960854093</v>
      </c>
      <c r="BB364" s="21">
        <f t="shared" ca="1" si="388"/>
        <v>0.52907348242811503</v>
      </c>
    </row>
    <row r="365" spans="6:54">
      <c r="F365" s="2"/>
      <c r="AQ365" s="2">
        <f t="shared" si="421"/>
        <v>246</v>
      </c>
      <c r="AR365" s="2" t="str">
        <f t="shared" ref="AR365:AS365" si="445">AR362</f>
        <v>A</v>
      </c>
      <c r="AS365" s="1">
        <f t="shared" si="445"/>
        <v>0</v>
      </c>
      <c r="AT365" s="2">
        <f t="shared" si="423"/>
        <v>18</v>
      </c>
      <c r="AU365" s="2">
        <f t="shared" si="424"/>
        <v>2</v>
      </c>
      <c r="AV365" s="52" t="str">
        <f t="shared" si="383"/>
        <v>data0!R25C22</v>
      </c>
      <c r="AW365" s="52" t="str">
        <f t="shared" si="384"/>
        <v>data0!R26C22</v>
      </c>
      <c r="AX365" s="2">
        <f t="shared" si="407"/>
        <v>300</v>
      </c>
      <c r="AY365" s="25">
        <f t="shared" ca="1" si="385"/>
        <v>96.319612590799025</v>
      </c>
      <c r="AZ365" s="6">
        <f t="shared" ca="1" si="386"/>
        <v>84.653753026634377</v>
      </c>
      <c r="BA365" s="27">
        <f t="shared" ca="1" si="387"/>
        <v>11.665859564164649</v>
      </c>
      <c r="BB365" s="21">
        <f t="shared" ca="1" si="388"/>
        <v>0.8788838612368024</v>
      </c>
    </row>
    <row r="366" spans="6:54">
      <c r="F366" s="2"/>
      <c r="AQ366" s="2">
        <f t="shared" si="421"/>
        <v>247</v>
      </c>
      <c r="AR366" s="2" t="str">
        <f t="shared" ref="AR366:AS366" si="446">AR363</f>
        <v>CWF</v>
      </c>
      <c r="AS366" s="1">
        <f t="shared" si="446"/>
        <v>1</v>
      </c>
      <c r="AT366" s="2">
        <f t="shared" si="423"/>
        <v>18</v>
      </c>
      <c r="AU366" s="2">
        <f t="shared" si="424"/>
        <v>2</v>
      </c>
      <c r="AV366" s="52" t="str">
        <f t="shared" si="383"/>
        <v>data1!R25C22</v>
      </c>
      <c r="AW366" s="52" t="str">
        <f t="shared" si="384"/>
        <v>data1!R26C22</v>
      </c>
      <c r="AX366" s="2">
        <f t="shared" si="407"/>
        <v>300</v>
      </c>
      <c r="AY366" s="25">
        <f t="shared" ca="1" si="385"/>
        <v>27.415019762845848</v>
      </c>
      <c r="AZ366" s="6">
        <f t="shared" ca="1" si="386"/>
        <v>1.1146245059288518</v>
      </c>
      <c r="BA366" s="27">
        <f t="shared" ca="1" si="387"/>
        <v>26.300395256916996</v>
      </c>
      <c r="BB366" s="21">
        <f t="shared" ca="1" si="388"/>
        <v>4.0657439446366711E-2</v>
      </c>
    </row>
    <row r="367" spans="6:54">
      <c r="F367" s="2"/>
      <c r="AQ367" s="2">
        <f t="shared" si="421"/>
        <v>248</v>
      </c>
      <c r="AR367" s="2" t="str">
        <f t="shared" ref="AR367:AS367" si="447">AR364</f>
        <v>D65</v>
      </c>
      <c r="AS367" s="1">
        <f t="shared" si="447"/>
        <v>2</v>
      </c>
      <c r="AT367" s="2">
        <f t="shared" si="423"/>
        <v>18</v>
      </c>
      <c r="AU367" s="2">
        <f t="shared" si="424"/>
        <v>2</v>
      </c>
      <c r="AV367" s="52" t="str">
        <f t="shared" si="383"/>
        <v>data2!R25C22</v>
      </c>
      <c r="AW367" s="52" t="str">
        <f t="shared" si="384"/>
        <v>data2!R26C22</v>
      </c>
      <c r="AX367" s="2">
        <f t="shared" si="407"/>
        <v>300</v>
      </c>
      <c r="AY367" s="25">
        <f t="shared" ca="1" si="385"/>
        <v>66.832740213523138</v>
      </c>
      <c r="AZ367" s="6">
        <f t="shared" ca="1" si="386"/>
        <v>35.359430604982208</v>
      </c>
      <c r="BA367" s="27">
        <f t="shared" ca="1" si="387"/>
        <v>31.47330960854093</v>
      </c>
      <c r="BB367" s="21">
        <f t="shared" ca="1" si="388"/>
        <v>0.52907348242811503</v>
      </c>
    </row>
    <row r="368" spans="6:54">
      <c r="F368" s="2"/>
      <c r="AQ368" s="2">
        <f t="shared" si="421"/>
        <v>249</v>
      </c>
      <c r="AR368" s="2" t="str">
        <f t="shared" ref="AR368:AS368" si="448">AR365</f>
        <v>A</v>
      </c>
      <c r="AS368" s="1">
        <f t="shared" si="448"/>
        <v>0</v>
      </c>
      <c r="AT368" s="2">
        <f t="shared" si="423"/>
        <v>19</v>
      </c>
      <c r="AU368" s="2">
        <f t="shared" si="424"/>
        <v>2</v>
      </c>
      <c r="AV368" s="52" t="str">
        <f t="shared" si="383"/>
        <v>data0!R25C23</v>
      </c>
      <c r="AW368" s="52" t="str">
        <f t="shared" si="384"/>
        <v>data0!R26C23</v>
      </c>
      <c r="AX368" s="2">
        <f t="shared" si="407"/>
        <v>300</v>
      </c>
      <c r="AY368" s="25">
        <f t="shared" ca="1" si="385"/>
        <v>96.319612590799025</v>
      </c>
      <c r="AZ368" s="6">
        <f t="shared" ca="1" si="386"/>
        <v>84.653753026634377</v>
      </c>
      <c r="BA368" s="27">
        <f t="shared" ca="1" si="387"/>
        <v>11.665859564164649</v>
      </c>
      <c r="BB368" s="21">
        <f t="shared" ca="1" si="388"/>
        <v>0.8788838612368024</v>
      </c>
    </row>
    <row r="369" spans="6:54">
      <c r="F369" s="2"/>
      <c r="AQ369" s="2">
        <f t="shared" si="421"/>
        <v>250</v>
      </c>
      <c r="AR369" s="2" t="str">
        <f t="shared" ref="AR369:AS369" si="449">AR366</f>
        <v>CWF</v>
      </c>
      <c r="AS369" s="1">
        <f t="shared" si="449"/>
        <v>1</v>
      </c>
      <c r="AT369" s="2">
        <f t="shared" si="423"/>
        <v>19</v>
      </c>
      <c r="AU369" s="2">
        <f t="shared" si="424"/>
        <v>2</v>
      </c>
      <c r="AV369" s="52" t="str">
        <f t="shared" si="383"/>
        <v>data1!R25C23</v>
      </c>
      <c r="AW369" s="52" t="str">
        <f t="shared" si="384"/>
        <v>data1!R26C23</v>
      </c>
      <c r="AX369" s="2">
        <f t="shared" si="407"/>
        <v>300</v>
      </c>
      <c r="AY369" s="25">
        <f t="shared" ca="1" si="385"/>
        <v>27.415019762845848</v>
      </c>
      <c r="AZ369" s="6">
        <f t="shared" ca="1" si="386"/>
        <v>1.1146245059288518</v>
      </c>
      <c r="BA369" s="27">
        <f t="shared" ca="1" si="387"/>
        <v>26.300395256916996</v>
      </c>
      <c r="BB369" s="21">
        <f t="shared" ca="1" si="388"/>
        <v>4.0657439446366711E-2</v>
      </c>
    </row>
    <row r="370" spans="6:54">
      <c r="F370" s="2"/>
      <c r="AQ370" s="2">
        <f t="shared" si="421"/>
        <v>251</v>
      </c>
      <c r="AR370" s="2" t="str">
        <f t="shared" ref="AR370:AS370" si="450">AR367</f>
        <v>D65</v>
      </c>
      <c r="AS370" s="1">
        <f t="shared" si="450"/>
        <v>2</v>
      </c>
      <c r="AT370" s="2">
        <f t="shared" si="423"/>
        <v>19</v>
      </c>
      <c r="AU370" s="2">
        <f t="shared" si="424"/>
        <v>2</v>
      </c>
      <c r="AV370" s="52" t="str">
        <f t="shared" si="383"/>
        <v>data2!R25C23</v>
      </c>
      <c r="AW370" s="52" t="str">
        <f t="shared" si="384"/>
        <v>data2!R26C23</v>
      </c>
      <c r="AX370" s="2">
        <f t="shared" si="407"/>
        <v>300</v>
      </c>
      <c r="AY370" s="25">
        <f t="shared" ca="1" si="385"/>
        <v>66.832740213523138</v>
      </c>
      <c r="AZ370" s="6">
        <f t="shared" ca="1" si="386"/>
        <v>35.359430604982208</v>
      </c>
      <c r="BA370" s="27">
        <f t="shared" ca="1" si="387"/>
        <v>31.47330960854093</v>
      </c>
      <c r="BB370" s="21">
        <f t="shared" ca="1" si="388"/>
        <v>0.52907348242811503</v>
      </c>
    </row>
    <row r="371" spans="6:54">
      <c r="F371" s="2"/>
      <c r="AQ371" s="2">
        <f t="shared" si="421"/>
        <v>252</v>
      </c>
      <c r="AR371" s="2" t="str">
        <f t="shared" ref="AR371:AS371" si="451">AR368</f>
        <v>A</v>
      </c>
      <c r="AS371" s="1">
        <f t="shared" si="451"/>
        <v>0</v>
      </c>
      <c r="AT371" s="2">
        <f t="shared" si="423"/>
        <v>20</v>
      </c>
      <c r="AU371" s="2">
        <f t="shared" si="424"/>
        <v>2</v>
      </c>
      <c r="AV371" s="52" t="str">
        <f t="shared" si="383"/>
        <v>data0!R25C24</v>
      </c>
      <c r="AW371" s="52" t="str">
        <f t="shared" si="384"/>
        <v>data0!R26C24</v>
      </c>
      <c r="AX371" s="2">
        <f t="shared" si="407"/>
        <v>300</v>
      </c>
      <c r="AY371" s="25">
        <f t="shared" ca="1" si="385"/>
        <v>96.319612590799025</v>
      </c>
      <c r="AZ371" s="6">
        <f t="shared" ca="1" si="386"/>
        <v>84.653753026634377</v>
      </c>
      <c r="BA371" s="27">
        <f t="shared" ca="1" si="387"/>
        <v>11.665859564164649</v>
      </c>
      <c r="BB371" s="21">
        <f t="shared" ca="1" si="388"/>
        <v>0.8788838612368024</v>
      </c>
    </row>
    <row r="372" spans="6:54">
      <c r="F372" s="2"/>
      <c r="AQ372" s="2">
        <f t="shared" si="421"/>
        <v>253</v>
      </c>
      <c r="AR372" s="2" t="str">
        <f t="shared" ref="AR372:AS372" si="452">AR369</f>
        <v>CWF</v>
      </c>
      <c r="AS372" s="1">
        <f t="shared" si="452"/>
        <v>1</v>
      </c>
      <c r="AT372" s="2">
        <f t="shared" si="423"/>
        <v>20</v>
      </c>
      <c r="AU372" s="2">
        <f t="shared" si="424"/>
        <v>2</v>
      </c>
      <c r="AV372" s="52" t="str">
        <f t="shared" si="383"/>
        <v>data1!R25C24</v>
      </c>
      <c r="AW372" s="52" t="str">
        <f t="shared" si="384"/>
        <v>data1!R26C24</v>
      </c>
      <c r="AX372" s="2">
        <f t="shared" si="407"/>
        <v>300</v>
      </c>
      <c r="AY372" s="25">
        <f t="shared" ca="1" si="385"/>
        <v>27.415019762845848</v>
      </c>
      <c r="AZ372" s="6">
        <f t="shared" ca="1" si="386"/>
        <v>1.1146245059288518</v>
      </c>
      <c r="BA372" s="27">
        <f t="shared" ca="1" si="387"/>
        <v>26.300395256916996</v>
      </c>
      <c r="BB372" s="21">
        <f t="shared" ca="1" si="388"/>
        <v>4.0657439446366711E-2</v>
      </c>
    </row>
    <row r="373" spans="6:54">
      <c r="F373" s="2"/>
      <c r="AQ373" s="2">
        <f t="shared" si="421"/>
        <v>254</v>
      </c>
      <c r="AR373" s="2" t="str">
        <f t="shared" ref="AR373:AS373" si="453">AR370</f>
        <v>D65</v>
      </c>
      <c r="AS373" s="1">
        <f t="shared" si="453"/>
        <v>2</v>
      </c>
      <c r="AT373" s="2">
        <f t="shared" si="423"/>
        <v>20</v>
      </c>
      <c r="AU373" s="2">
        <f t="shared" si="424"/>
        <v>2</v>
      </c>
      <c r="AV373" s="52" t="str">
        <f t="shared" si="383"/>
        <v>data2!R25C24</v>
      </c>
      <c r="AW373" s="52" t="str">
        <f t="shared" si="384"/>
        <v>data2!R26C24</v>
      </c>
      <c r="AX373" s="2">
        <f t="shared" si="407"/>
        <v>300</v>
      </c>
      <c r="AY373" s="25">
        <f t="shared" ca="1" si="385"/>
        <v>66.832740213523138</v>
      </c>
      <c r="AZ373" s="6">
        <f t="shared" ca="1" si="386"/>
        <v>35.359430604982208</v>
      </c>
      <c r="BA373" s="27">
        <f t="shared" ca="1" si="387"/>
        <v>31.47330960854093</v>
      </c>
      <c r="BB373" s="21">
        <f t="shared" ca="1" si="388"/>
        <v>0.52907348242811503</v>
      </c>
    </row>
    <row r="374" spans="6:54">
      <c r="F374" s="2"/>
      <c r="AQ374" s="2">
        <f t="shared" si="421"/>
        <v>255</v>
      </c>
      <c r="AR374" s="2" t="str">
        <f t="shared" ref="AR374:AS374" si="454">AR371</f>
        <v>A</v>
      </c>
      <c r="AS374" s="1">
        <f t="shared" si="454"/>
        <v>0</v>
      </c>
      <c r="AT374" s="2">
        <f t="shared" si="423"/>
        <v>21</v>
      </c>
      <c r="AU374" s="2">
        <f t="shared" si="424"/>
        <v>2</v>
      </c>
      <c r="AV374" s="52" t="str">
        <f t="shared" si="383"/>
        <v>data0!R25C25</v>
      </c>
      <c r="AW374" s="52" t="str">
        <f t="shared" si="384"/>
        <v>data0!R26C25</v>
      </c>
      <c r="AX374" s="2">
        <f t="shared" si="407"/>
        <v>300</v>
      </c>
      <c r="AY374" s="25">
        <f t="shared" ca="1" si="385"/>
        <v>96.319612590799025</v>
      </c>
      <c r="AZ374" s="6">
        <f t="shared" ca="1" si="386"/>
        <v>84.653753026634377</v>
      </c>
      <c r="BA374" s="27">
        <f t="shared" ca="1" si="387"/>
        <v>11.665859564164649</v>
      </c>
      <c r="BB374" s="21">
        <f t="shared" ca="1" si="388"/>
        <v>0.8788838612368024</v>
      </c>
    </row>
    <row r="375" spans="6:54">
      <c r="F375" s="2"/>
      <c r="AQ375" s="2">
        <f t="shared" si="421"/>
        <v>256</v>
      </c>
      <c r="AR375" s="2" t="str">
        <f t="shared" ref="AR375:AS375" si="455">AR372</f>
        <v>CWF</v>
      </c>
      <c r="AS375" s="1">
        <f t="shared" si="455"/>
        <v>1</v>
      </c>
      <c r="AT375" s="2">
        <f t="shared" si="423"/>
        <v>21</v>
      </c>
      <c r="AU375" s="2">
        <f t="shared" si="424"/>
        <v>2</v>
      </c>
      <c r="AV375" s="52" t="str">
        <f t="shared" si="383"/>
        <v>data1!R25C25</v>
      </c>
      <c r="AW375" s="52" t="str">
        <f t="shared" si="384"/>
        <v>data1!R26C25</v>
      </c>
      <c r="AX375" s="2">
        <f t="shared" si="407"/>
        <v>300</v>
      </c>
      <c r="AY375" s="25">
        <f t="shared" ca="1" si="385"/>
        <v>27.415019762845848</v>
      </c>
      <c r="AZ375" s="6">
        <f t="shared" ca="1" si="386"/>
        <v>1.1146245059288518</v>
      </c>
      <c r="BA375" s="27">
        <f t="shared" ca="1" si="387"/>
        <v>26.300395256916996</v>
      </c>
      <c r="BB375" s="21">
        <f t="shared" ca="1" si="388"/>
        <v>4.0657439446366711E-2</v>
      </c>
    </row>
    <row r="376" spans="6:54">
      <c r="F376" s="2"/>
      <c r="AQ376" s="2">
        <f t="shared" si="421"/>
        <v>257</v>
      </c>
      <c r="AR376" s="2" t="str">
        <f t="shared" ref="AR376:AS376" si="456">AR373</f>
        <v>D65</v>
      </c>
      <c r="AS376" s="1">
        <f t="shared" si="456"/>
        <v>2</v>
      </c>
      <c r="AT376" s="2">
        <f t="shared" si="423"/>
        <v>21</v>
      </c>
      <c r="AU376" s="2">
        <f t="shared" si="424"/>
        <v>2</v>
      </c>
      <c r="AV376" s="52" t="str">
        <f t="shared" ref="AV376:AV439" si="457">"data"&amp;AS376&amp;"!R"&amp;($AV$117+2*AU376)&amp;"C"&amp;($AW$117+AT376)</f>
        <v>data2!R25C25</v>
      </c>
      <c r="AW376" s="52" t="str">
        <f t="shared" ref="AW376:AW439" si="458">"data"&amp;AS376&amp;"!R"&amp;(1+$AV$117+2*AU376)&amp;"C"&amp;($AW$117+AT376)</f>
        <v>data2!R26C25</v>
      </c>
      <c r="AX376" s="2">
        <f t="shared" si="407"/>
        <v>300</v>
      </c>
      <c r="AY376" s="25">
        <f t="shared" ref="AY376:AY439" ca="1" si="459">INDIRECT(AV376,FALSE)</f>
        <v>66.832740213523138</v>
      </c>
      <c r="AZ376" s="6">
        <f t="shared" ref="AZ376:AZ439" ca="1" si="460">AY376-INDIRECT(AW376,FALSE)</f>
        <v>35.359430604982208</v>
      </c>
      <c r="BA376" s="27">
        <f t="shared" ref="BA376:BA439" ca="1" si="461">AY376-AZ376</f>
        <v>31.47330960854093</v>
      </c>
      <c r="BB376" s="21">
        <f t="shared" ref="BB376:BB439" ca="1" si="462">AZ376/AY376</f>
        <v>0.52907348242811503</v>
      </c>
    </row>
    <row r="377" spans="6:54">
      <c r="F377" s="2"/>
      <c r="AQ377" s="2">
        <f t="shared" si="421"/>
        <v>258</v>
      </c>
      <c r="AR377" s="2" t="str">
        <f t="shared" ref="AR377:AS377" si="463">AR374</f>
        <v>A</v>
      </c>
      <c r="AS377" s="1">
        <f t="shared" si="463"/>
        <v>0</v>
      </c>
      <c r="AT377" s="2">
        <f t="shared" si="423"/>
        <v>22</v>
      </c>
      <c r="AU377" s="2">
        <f t="shared" si="424"/>
        <v>2</v>
      </c>
      <c r="AV377" s="52" t="str">
        <f t="shared" si="457"/>
        <v>data0!R25C26</v>
      </c>
      <c r="AW377" s="52" t="str">
        <f t="shared" si="458"/>
        <v>data0!R26C26</v>
      </c>
      <c r="AX377" s="2">
        <f t="shared" si="407"/>
        <v>300</v>
      </c>
      <c r="AY377" s="25">
        <f t="shared" ca="1" si="459"/>
        <v>96.319612590799025</v>
      </c>
      <c r="AZ377" s="6">
        <f t="shared" ca="1" si="460"/>
        <v>84.653753026634377</v>
      </c>
      <c r="BA377" s="27">
        <f t="shared" ca="1" si="461"/>
        <v>11.665859564164649</v>
      </c>
      <c r="BB377" s="21">
        <f t="shared" ca="1" si="462"/>
        <v>0.8788838612368024</v>
      </c>
    </row>
    <row r="378" spans="6:54">
      <c r="F378" s="2"/>
      <c r="AQ378" s="2">
        <f t="shared" si="421"/>
        <v>259</v>
      </c>
      <c r="AR378" s="2" t="str">
        <f t="shared" ref="AR378:AS378" si="464">AR375</f>
        <v>CWF</v>
      </c>
      <c r="AS378" s="1">
        <f t="shared" si="464"/>
        <v>1</v>
      </c>
      <c r="AT378" s="2">
        <f t="shared" si="423"/>
        <v>22</v>
      </c>
      <c r="AU378" s="2">
        <f t="shared" si="424"/>
        <v>2</v>
      </c>
      <c r="AV378" s="52" t="str">
        <f t="shared" si="457"/>
        <v>data1!R25C26</v>
      </c>
      <c r="AW378" s="52" t="str">
        <f t="shared" si="458"/>
        <v>data1!R26C26</v>
      </c>
      <c r="AX378" s="2">
        <f t="shared" si="407"/>
        <v>300</v>
      </c>
      <c r="AY378" s="25">
        <f t="shared" ca="1" si="459"/>
        <v>27.415019762845848</v>
      </c>
      <c r="AZ378" s="6">
        <f t="shared" ca="1" si="460"/>
        <v>1.1146245059288518</v>
      </c>
      <c r="BA378" s="27">
        <f t="shared" ca="1" si="461"/>
        <v>26.300395256916996</v>
      </c>
      <c r="BB378" s="21">
        <f t="shared" ca="1" si="462"/>
        <v>4.0657439446366711E-2</v>
      </c>
    </row>
    <row r="379" spans="6:54">
      <c r="F379" s="2"/>
      <c r="AQ379" s="2">
        <f t="shared" si="421"/>
        <v>260</v>
      </c>
      <c r="AR379" s="2" t="str">
        <f t="shared" ref="AR379:AS379" si="465">AR376</f>
        <v>D65</v>
      </c>
      <c r="AS379" s="1">
        <f t="shared" si="465"/>
        <v>2</v>
      </c>
      <c r="AT379" s="2">
        <f t="shared" si="423"/>
        <v>22</v>
      </c>
      <c r="AU379" s="2">
        <f t="shared" si="424"/>
        <v>2</v>
      </c>
      <c r="AV379" s="52" t="str">
        <f t="shared" si="457"/>
        <v>data2!R25C26</v>
      </c>
      <c r="AW379" s="52" t="str">
        <f t="shared" si="458"/>
        <v>data2!R26C26</v>
      </c>
      <c r="AX379" s="2">
        <f t="shared" si="407"/>
        <v>300</v>
      </c>
      <c r="AY379" s="25">
        <f t="shared" ca="1" si="459"/>
        <v>66.832740213523138</v>
      </c>
      <c r="AZ379" s="6">
        <f t="shared" ca="1" si="460"/>
        <v>35.359430604982208</v>
      </c>
      <c r="BA379" s="27">
        <f t="shared" ca="1" si="461"/>
        <v>31.47330960854093</v>
      </c>
      <c r="BB379" s="21">
        <f t="shared" ca="1" si="462"/>
        <v>0.52907348242811503</v>
      </c>
    </row>
    <row r="380" spans="6:54">
      <c r="F380" s="2"/>
      <c r="AQ380" s="2">
        <f t="shared" si="421"/>
        <v>261</v>
      </c>
      <c r="AR380" s="2" t="str">
        <f t="shared" ref="AR380:AS380" si="466">AR377</f>
        <v>A</v>
      </c>
      <c r="AS380" s="1">
        <f t="shared" si="466"/>
        <v>0</v>
      </c>
      <c r="AT380" s="2">
        <f t="shared" si="423"/>
        <v>23</v>
      </c>
      <c r="AU380" s="2">
        <f t="shared" si="424"/>
        <v>2</v>
      </c>
      <c r="AV380" s="52" t="str">
        <f t="shared" si="457"/>
        <v>data0!R25C27</v>
      </c>
      <c r="AW380" s="52" t="str">
        <f t="shared" si="458"/>
        <v>data0!R26C27</v>
      </c>
      <c r="AX380" s="2">
        <f t="shared" si="407"/>
        <v>300</v>
      </c>
      <c r="AY380" s="25">
        <f t="shared" ca="1" si="459"/>
        <v>96.319612590799025</v>
      </c>
      <c r="AZ380" s="6">
        <f t="shared" ca="1" si="460"/>
        <v>84.653753026634377</v>
      </c>
      <c r="BA380" s="27">
        <f t="shared" ca="1" si="461"/>
        <v>11.665859564164649</v>
      </c>
      <c r="BB380" s="21">
        <f t="shared" ca="1" si="462"/>
        <v>0.8788838612368024</v>
      </c>
    </row>
    <row r="381" spans="6:54">
      <c r="F381" s="2"/>
      <c r="AQ381" s="2">
        <f t="shared" si="421"/>
        <v>262</v>
      </c>
      <c r="AR381" s="2" t="str">
        <f t="shared" ref="AR381:AS381" si="467">AR378</f>
        <v>CWF</v>
      </c>
      <c r="AS381" s="1">
        <f t="shared" si="467"/>
        <v>1</v>
      </c>
      <c r="AT381" s="2">
        <f t="shared" si="423"/>
        <v>23</v>
      </c>
      <c r="AU381" s="2">
        <f t="shared" si="424"/>
        <v>2</v>
      </c>
      <c r="AV381" s="52" t="str">
        <f t="shared" si="457"/>
        <v>data1!R25C27</v>
      </c>
      <c r="AW381" s="52" t="str">
        <f t="shared" si="458"/>
        <v>data1!R26C27</v>
      </c>
      <c r="AX381" s="2">
        <f t="shared" si="407"/>
        <v>300</v>
      </c>
      <c r="AY381" s="25">
        <f t="shared" ca="1" si="459"/>
        <v>27.415019762845848</v>
      </c>
      <c r="AZ381" s="6">
        <f t="shared" ca="1" si="460"/>
        <v>1.1146245059288518</v>
      </c>
      <c r="BA381" s="27">
        <f t="shared" ca="1" si="461"/>
        <v>26.300395256916996</v>
      </c>
      <c r="BB381" s="21">
        <f t="shared" ca="1" si="462"/>
        <v>4.0657439446366711E-2</v>
      </c>
    </row>
    <row r="382" spans="6:54">
      <c r="F382" s="2"/>
      <c r="AQ382" s="2">
        <f t="shared" si="421"/>
        <v>263</v>
      </c>
      <c r="AR382" s="2" t="str">
        <f t="shared" ref="AR382:AS382" si="468">AR379</f>
        <v>D65</v>
      </c>
      <c r="AS382" s="1">
        <f t="shared" si="468"/>
        <v>2</v>
      </c>
      <c r="AT382" s="2">
        <f t="shared" si="423"/>
        <v>23</v>
      </c>
      <c r="AU382" s="2">
        <f t="shared" si="424"/>
        <v>2</v>
      </c>
      <c r="AV382" s="52" t="str">
        <f t="shared" si="457"/>
        <v>data2!R25C27</v>
      </c>
      <c r="AW382" s="52" t="str">
        <f t="shared" si="458"/>
        <v>data2!R26C27</v>
      </c>
      <c r="AX382" s="2">
        <f t="shared" si="407"/>
        <v>300</v>
      </c>
      <c r="AY382" s="25">
        <f t="shared" ca="1" si="459"/>
        <v>66.832740213523138</v>
      </c>
      <c r="AZ382" s="6">
        <f t="shared" ca="1" si="460"/>
        <v>35.359430604982208</v>
      </c>
      <c r="BA382" s="27">
        <f t="shared" ca="1" si="461"/>
        <v>31.47330960854093</v>
      </c>
      <c r="BB382" s="21">
        <f t="shared" ca="1" si="462"/>
        <v>0.52907348242811503</v>
      </c>
    </row>
    <row r="383" spans="6:54">
      <c r="F383" s="2"/>
      <c r="AQ383" s="2">
        <f t="shared" si="421"/>
        <v>264</v>
      </c>
      <c r="AR383" s="2" t="str">
        <f t="shared" ref="AR383:AS383" si="469">AR380</f>
        <v>A</v>
      </c>
      <c r="AS383" s="1">
        <f t="shared" si="469"/>
        <v>0</v>
      </c>
      <c r="AT383" s="2">
        <f t="shared" si="423"/>
        <v>24</v>
      </c>
      <c r="AU383" s="2">
        <f t="shared" si="424"/>
        <v>2</v>
      </c>
      <c r="AV383" s="52" t="str">
        <f t="shared" si="457"/>
        <v>data0!R25C28</v>
      </c>
      <c r="AW383" s="52" t="str">
        <f t="shared" si="458"/>
        <v>data0!R26C28</v>
      </c>
      <c r="AX383" s="2">
        <f t="shared" si="407"/>
        <v>300</v>
      </c>
      <c r="AY383" s="25">
        <f t="shared" ca="1" si="459"/>
        <v>96.319612590799025</v>
      </c>
      <c r="AZ383" s="6">
        <f t="shared" ca="1" si="460"/>
        <v>84.653753026634377</v>
      </c>
      <c r="BA383" s="27">
        <f t="shared" ca="1" si="461"/>
        <v>11.665859564164649</v>
      </c>
      <c r="BB383" s="21">
        <f t="shared" ca="1" si="462"/>
        <v>0.8788838612368024</v>
      </c>
    </row>
    <row r="384" spans="6:54">
      <c r="F384" s="2"/>
      <c r="AQ384" s="2">
        <f t="shared" si="421"/>
        <v>265</v>
      </c>
      <c r="AR384" s="2" t="str">
        <f t="shared" ref="AR384:AS384" si="470">AR381</f>
        <v>CWF</v>
      </c>
      <c r="AS384" s="1">
        <f t="shared" si="470"/>
        <v>1</v>
      </c>
      <c r="AT384" s="2">
        <f t="shared" si="423"/>
        <v>24</v>
      </c>
      <c r="AU384" s="2">
        <f t="shared" si="424"/>
        <v>2</v>
      </c>
      <c r="AV384" s="52" t="str">
        <f t="shared" si="457"/>
        <v>data1!R25C28</v>
      </c>
      <c r="AW384" s="52" t="str">
        <f t="shared" si="458"/>
        <v>data1!R26C28</v>
      </c>
      <c r="AX384" s="2">
        <f t="shared" si="407"/>
        <v>300</v>
      </c>
      <c r="AY384" s="25">
        <f t="shared" ca="1" si="459"/>
        <v>27.415019762845848</v>
      </c>
      <c r="AZ384" s="6">
        <f t="shared" ca="1" si="460"/>
        <v>1.1146245059288518</v>
      </c>
      <c r="BA384" s="27">
        <f t="shared" ca="1" si="461"/>
        <v>26.300395256916996</v>
      </c>
      <c r="BB384" s="21">
        <f t="shared" ca="1" si="462"/>
        <v>4.0657439446366711E-2</v>
      </c>
    </row>
    <row r="385" spans="6:54">
      <c r="F385" s="2"/>
      <c r="AQ385" s="2">
        <f t="shared" si="421"/>
        <v>266</v>
      </c>
      <c r="AR385" s="2" t="str">
        <f t="shared" ref="AR385:AS385" si="471">AR382</f>
        <v>D65</v>
      </c>
      <c r="AS385" s="1">
        <f t="shared" si="471"/>
        <v>2</v>
      </c>
      <c r="AT385" s="2">
        <f t="shared" si="423"/>
        <v>24</v>
      </c>
      <c r="AU385" s="2">
        <f t="shared" si="424"/>
        <v>2</v>
      </c>
      <c r="AV385" s="52" t="str">
        <f t="shared" si="457"/>
        <v>data2!R25C28</v>
      </c>
      <c r="AW385" s="52" t="str">
        <f t="shared" si="458"/>
        <v>data2!R26C28</v>
      </c>
      <c r="AX385" s="2">
        <f t="shared" si="407"/>
        <v>300</v>
      </c>
      <c r="AY385" s="25">
        <f t="shared" ca="1" si="459"/>
        <v>66.832740213523138</v>
      </c>
      <c r="AZ385" s="6">
        <f t="shared" ca="1" si="460"/>
        <v>35.359430604982208</v>
      </c>
      <c r="BA385" s="27">
        <f t="shared" ca="1" si="461"/>
        <v>31.47330960854093</v>
      </c>
      <c r="BB385" s="21">
        <f t="shared" ca="1" si="462"/>
        <v>0.52907348242811503</v>
      </c>
    </row>
    <row r="386" spans="6:54">
      <c r="F386" s="2"/>
      <c r="AQ386" s="2">
        <f t="shared" si="421"/>
        <v>267</v>
      </c>
      <c r="AR386" s="2" t="str">
        <f t="shared" ref="AR386:AS386" si="472">AR383</f>
        <v>A</v>
      </c>
      <c r="AS386" s="1">
        <f t="shared" si="472"/>
        <v>0</v>
      </c>
      <c r="AT386" s="2">
        <f t="shared" si="423"/>
        <v>25</v>
      </c>
      <c r="AU386" s="2">
        <f t="shared" si="424"/>
        <v>2</v>
      </c>
      <c r="AV386" s="52" t="str">
        <f t="shared" si="457"/>
        <v>data0!R25C29</v>
      </c>
      <c r="AW386" s="52" t="str">
        <f t="shared" si="458"/>
        <v>data0!R26C29</v>
      </c>
      <c r="AX386" s="2">
        <f t="shared" si="407"/>
        <v>300</v>
      </c>
      <c r="AY386" s="25">
        <f t="shared" ca="1" si="459"/>
        <v>96.319612590799025</v>
      </c>
      <c r="AZ386" s="6">
        <f t="shared" ca="1" si="460"/>
        <v>84.653753026634377</v>
      </c>
      <c r="BA386" s="27">
        <f t="shared" ca="1" si="461"/>
        <v>11.665859564164649</v>
      </c>
      <c r="BB386" s="21">
        <f t="shared" ca="1" si="462"/>
        <v>0.8788838612368024</v>
      </c>
    </row>
    <row r="387" spans="6:54">
      <c r="F387" s="2"/>
      <c r="AQ387" s="2">
        <f t="shared" si="421"/>
        <v>268</v>
      </c>
      <c r="AR387" s="2" t="str">
        <f t="shared" ref="AR387:AS387" si="473">AR384</f>
        <v>CWF</v>
      </c>
      <c r="AS387" s="1">
        <f t="shared" si="473"/>
        <v>1</v>
      </c>
      <c r="AT387" s="2">
        <f t="shared" si="423"/>
        <v>25</v>
      </c>
      <c r="AU387" s="2">
        <f t="shared" si="424"/>
        <v>2</v>
      </c>
      <c r="AV387" s="52" t="str">
        <f t="shared" si="457"/>
        <v>data1!R25C29</v>
      </c>
      <c r="AW387" s="52" t="str">
        <f t="shared" si="458"/>
        <v>data1!R26C29</v>
      </c>
      <c r="AX387" s="2">
        <f t="shared" si="407"/>
        <v>300</v>
      </c>
      <c r="AY387" s="25">
        <f t="shared" ca="1" si="459"/>
        <v>27.415019762845848</v>
      </c>
      <c r="AZ387" s="6">
        <f t="shared" ca="1" si="460"/>
        <v>1.1146245059288518</v>
      </c>
      <c r="BA387" s="27">
        <f t="shared" ca="1" si="461"/>
        <v>26.300395256916996</v>
      </c>
      <c r="BB387" s="21">
        <f t="shared" ca="1" si="462"/>
        <v>4.0657439446366711E-2</v>
      </c>
    </row>
    <row r="388" spans="6:54">
      <c r="F388" s="2"/>
      <c r="AQ388" s="2">
        <f t="shared" si="421"/>
        <v>269</v>
      </c>
      <c r="AR388" s="2" t="str">
        <f t="shared" ref="AR388:AS388" si="474">AR385</f>
        <v>D65</v>
      </c>
      <c r="AS388" s="1">
        <f t="shared" si="474"/>
        <v>2</v>
      </c>
      <c r="AT388" s="2">
        <f t="shared" si="423"/>
        <v>25</v>
      </c>
      <c r="AU388" s="2">
        <f t="shared" si="424"/>
        <v>2</v>
      </c>
      <c r="AV388" s="52" t="str">
        <f t="shared" si="457"/>
        <v>data2!R25C29</v>
      </c>
      <c r="AW388" s="52" t="str">
        <f t="shared" si="458"/>
        <v>data2!R26C29</v>
      </c>
      <c r="AX388" s="2">
        <f t="shared" si="407"/>
        <v>300</v>
      </c>
      <c r="AY388" s="25">
        <f t="shared" ca="1" si="459"/>
        <v>66.832740213523138</v>
      </c>
      <c r="AZ388" s="6">
        <f t="shared" ca="1" si="460"/>
        <v>35.359430604982208</v>
      </c>
      <c r="BA388" s="27">
        <f t="shared" ca="1" si="461"/>
        <v>31.47330960854093</v>
      </c>
      <c r="BB388" s="21">
        <f t="shared" ca="1" si="462"/>
        <v>0.52907348242811503</v>
      </c>
    </row>
    <row r="389" spans="6:54">
      <c r="F389" s="2"/>
      <c r="AQ389" s="2">
        <f t="shared" si="421"/>
        <v>270</v>
      </c>
      <c r="AR389" s="2" t="str">
        <f t="shared" ref="AR389:AS389" si="475">AR386</f>
        <v>A</v>
      </c>
      <c r="AS389" s="1">
        <f t="shared" si="475"/>
        <v>0</v>
      </c>
      <c r="AT389" s="2">
        <f t="shared" si="423"/>
        <v>26</v>
      </c>
      <c r="AU389" s="2">
        <f t="shared" si="424"/>
        <v>2</v>
      </c>
      <c r="AV389" s="52" t="str">
        <f t="shared" si="457"/>
        <v>data0!R25C30</v>
      </c>
      <c r="AW389" s="52" t="str">
        <f t="shared" si="458"/>
        <v>data0!R26C30</v>
      </c>
      <c r="AX389" s="2">
        <f t="shared" si="407"/>
        <v>300</v>
      </c>
      <c r="AY389" s="25">
        <f t="shared" ca="1" si="459"/>
        <v>96.319612590799025</v>
      </c>
      <c r="AZ389" s="6">
        <f t="shared" ca="1" si="460"/>
        <v>84.653753026634377</v>
      </c>
      <c r="BA389" s="27">
        <f t="shared" ca="1" si="461"/>
        <v>11.665859564164649</v>
      </c>
      <c r="BB389" s="21">
        <f t="shared" ca="1" si="462"/>
        <v>0.8788838612368024</v>
      </c>
    </row>
    <row r="390" spans="6:54">
      <c r="F390" s="2"/>
      <c r="AQ390" s="2">
        <f t="shared" si="421"/>
        <v>271</v>
      </c>
      <c r="AR390" s="2" t="str">
        <f t="shared" ref="AR390:AS390" si="476">AR387</f>
        <v>CWF</v>
      </c>
      <c r="AS390" s="1">
        <f t="shared" si="476"/>
        <v>1</v>
      </c>
      <c r="AT390" s="2">
        <f t="shared" si="423"/>
        <v>26</v>
      </c>
      <c r="AU390" s="2">
        <f t="shared" si="424"/>
        <v>2</v>
      </c>
      <c r="AV390" s="52" t="str">
        <f t="shared" si="457"/>
        <v>data1!R25C30</v>
      </c>
      <c r="AW390" s="52" t="str">
        <f t="shared" si="458"/>
        <v>data1!R26C30</v>
      </c>
      <c r="AX390" s="2">
        <f t="shared" si="407"/>
        <v>300</v>
      </c>
      <c r="AY390" s="25">
        <f t="shared" ca="1" si="459"/>
        <v>27.415019762845848</v>
      </c>
      <c r="AZ390" s="6">
        <f t="shared" ca="1" si="460"/>
        <v>1.1146245059288518</v>
      </c>
      <c r="BA390" s="27">
        <f t="shared" ca="1" si="461"/>
        <v>26.300395256916996</v>
      </c>
      <c r="BB390" s="21">
        <f t="shared" ca="1" si="462"/>
        <v>4.0657439446366711E-2</v>
      </c>
    </row>
    <row r="391" spans="6:54">
      <c r="F391" s="2"/>
      <c r="AQ391" s="2">
        <f t="shared" si="421"/>
        <v>272</v>
      </c>
      <c r="AR391" s="2" t="str">
        <f t="shared" ref="AR391:AS391" si="477">AR388</f>
        <v>D65</v>
      </c>
      <c r="AS391" s="1">
        <f t="shared" si="477"/>
        <v>2</v>
      </c>
      <c r="AT391" s="2">
        <f t="shared" si="423"/>
        <v>26</v>
      </c>
      <c r="AU391" s="2">
        <f t="shared" si="424"/>
        <v>2</v>
      </c>
      <c r="AV391" s="52" t="str">
        <f t="shared" si="457"/>
        <v>data2!R25C30</v>
      </c>
      <c r="AW391" s="52" t="str">
        <f t="shared" si="458"/>
        <v>data2!R26C30</v>
      </c>
      <c r="AX391" s="2">
        <f t="shared" si="407"/>
        <v>300</v>
      </c>
      <c r="AY391" s="25">
        <f t="shared" ca="1" si="459"/>
        <v>66.832740213523138</v>
      </c>
      <c r="AZ391" s="6">
        <f t="shared" ca="1" si="460"/>
        <v>35.359430604982208</v>
      </c>
      <c r="BA391" s="27">
        <f t="shared" ca="1" si="461"/>
        <v>31.47330960854093</v>
      </c>
      <c r="BB391" s="21">
        <f t="shared" ca="1" si="462"/>
        <v>0.52907348242811503</v>
      </c>
    </row>
    <row r="392" spans="6:54">
      <c r="F392" s="2"/>
      <c r="AQ392" s="2">
        <f t="shared" si="421"/>
        <v>273</v>
      </c>
      <c r="AR392" s="2" t="str">
        <f t="shared" ref="AR392:AS392" si="478">AR389</f>
        <v>A</v>
      </c>
      <c r="AS392" s="1">
        <f t="shared" si="478"/>
        <v>0</v>
      </c>
      <c r="AT392" s="2">
        <f t="shared" si="423"/>
        <v>27</v>
      </c>
      <c r="AU392" s="2">
        <f t="shared" si="424"/>
        <v>2</v>
      </c>
      <c r="AV392" s="52" t="str">
        <f t="shared" si="457"/>
        <v>data0!R25C31</v>
      </c>
      <c r="AW392" s="52" t="str">
        <f t="shared" si="458"/>
        <v>data0!R26C31</v>
      </c>
      <c r="AX392" s="2">
        <f t="shared" si="407"/>
        <v>300</v>
      </c>
      <c r="AY392" s="25">
        <f t="shared" ca="1" si="459"/>
        <v>96.319612590799025</v>
      </c>
      <c r="AZ392" s="6">
        <f t="shared" ca="1" si="460"/>
        <v>84.653753026634377</v>
      </c>
      <c r="BA392" s="27">
        <f t="shared" ca="1" si="461"/>
        <v>11.665859564164649</v>
      </c>
      <c r="BB392" s="21">
        <f t="shared" ca="1" si="462"/>
        <v>0.8788838612368024</v>
      </c>
    </row>
    <row r="393" spans="6:54">
      <c r="F393" s="2"/>
      <c r="AQ393" s="2">
        <f t="shared" si="421"/>
        <v>274</v>
      </c>
      <c r="AR393" s="2" t="str">
        <f t="shared" ref="AR393:AS393" si="479">AR390</f>
        <v>CWF</v>
      </c>
      <c r="AS393" s="1">
        <f t="shared" si="479"/>
        <v>1</v>
      </c>
      <c r="AT393" s="2">
        <f t="shared" si="423"/>
        <v>27</v>
      </c>
      <c r="AU393" s="2">
        <f t="shared" si="424"/>
        <v>2</v>
      </c>
      <c r="AV393" s="52" t="str">
        <f t="shared" si="457"/>
        <v>data1!R25C31</v>
      </c>
      <c r="AW393" s="52" t="str">
        <f t="shared" si="458"/>
        <v>data1!R26C31</v>
      </c>
      <c r="AX393" s="2">
        <f t="shared" si="407"/>
        <v>300</v>
      </c>
      <c r="AY393" s="25">
        <f t="shared" ca="1" si="459"/>
        <v>27.415019762845848</v>
      </c>
      <c r="AZ393" s="6">
        <f t="shared" ca="1" si="460"/>
        <v>1.1146245059288518</v>
      </c>
      <c r="BA393" s="27">
        <f t="shared" ca="1" si="461"/>
        <v>26.300395256916996</v>
      </c>
      <c r="BB393" s="21">
        <f t="shared" ca="1" si="462"/>
        <v>4.0657439446366711E-2</v>
      </c>
    </row>
    <row r="394" spans="6:54">
      <c r="F394" s="2"/>
      <c r="AQ394" s="2">
        <f t="shared" si="421"/>
        <v>275</v>
      </c>
      <c r="AR394" s="2" t="str">
        <f t="shared" ref="AR394:AS394" si="480">AR391</f>
        <v>D65</v>
      </c>
      <c r="AS394" s="1">
        <f t="shared" si="480"/>
        <v>2</v>
      </c>
      <c r="AT394" s="2">
        <f t="shared" si="423"/>
        <v>27</v>
      </c>
      <c r="AU394" s="2">
        <f t="shared" si="424"/>
        <v>2</v>
      </c>
      <c r="AV394" s="52" t="str">
        <f t="shared" si="457"/>
        <v>data2!R25C31</v>
      </c>
      <c r="AW394" s="52" t="str">
        <f t="shared" si="458"/>
        <v>data2!R26C31</v>
      </c>
      <c r="AX394" s="2">
        <f t="shared" ref="AX394:AX457" si="481">AX391</f>
        <v>300</v>
      </c>
      <c r="AY394" s="25">
        <f t="shared" ca="1" si="459"/>
        <v>66.832740213523138</v>
      </c>
      <c r="AZ394" s="6">
        <f t="shared" ca="1" si="460"/>
        <v>35.359430604982208</v>
      </c>
      <c r="BA394" s="27">
        <f t="shared" ca="1" si="461"/>
        <v>31.47330960854093</v>
      </c>
      <c r="BB394" s="21">
        <f t="shared" ca="1" si="462"/>
        <v>0.52907348242811503</v>
      </c>
    </row>
    <row r="395" spans="6:54">
      <c r="F395" s="2"/>
      <c r="AQ395" s="2">
        <f t="shared" si="421"/>
        <v>276</v>
      </c>
      <c r="AR395" s="2" t="str">
        <f t="shared" ref="AR395:AS395" si="482">AR392</f>
        <v>A</v>
      </c>
      <c r="AS395" s="1">
        <f t="shared" si="482"/>
        <v>0</v>
      </c>
      <c r="AT395" s="2">
        <f t="shared" si="423"/>
        <v>28</v>
      </c>
      <c r="AU395" s="2">
        <f t="shared" si="424"/>
        <v>2</v>
      </c>
      <c r="AV395" s="52" t="str">
        <f t="shared" si="457"/>
        <v>data0!R25C32</v>
      </c>
      <c r="AW395" s="52" t="str">
        <f t="shared" si="458"/>
        <v>data0!R26C32</v>
      </c>
      <c r="AX395" s="2">
        <f t="shared" si="481"/>
        <v>300</v>
      </c>
      <c r="AY395" s="25">
        <f t="shared" ca="1" si="459"/>
        <v>96.319612590799025</v>
      </c>
      <c r="AZ395" s="6">
        <f t="shared" ca="1" si="460"/>
        <v>84.653753026634377</v>
      </c>
      <c r="BA395" s="27">
        <f t="shared" ca="1" si="461"/>
        <v>11.665859564164649</v>
      </c>
      <c r="BB395" s="21">
        <f t="shared" ca="1" si="462"/>
        <v>0.8788838612368024</v>
      </c>
    </row>
    <row r="396" spans="6:54">
      <c r="F396" s="2"/>
      <c r="AQ396" s="2">
        <f t="shared" si="421"/>
        <v>277</v>
      </c>
      <c r="AR396" s="2" t="str">
        <f t="shared" ref="AR396:AS396" si="483">AR393</f>
        <v>CWF</v>
      </c>
      <c r="AS396" s="1">
        <f t="shared" si="483"/>
        <v>1</v>
      </c>
      <c r="AT396" s="2">
        <f t="shared" si="423"/>
        <v>28</v>
      </c>
      <c r="AU396" s="2">
        <f t="shared" si="424"/>
        <v>2</v>
      </c>
      <c r="AV396" s="52" t="str">
        <f t="shared" si="457"/>
        <v>data1!R25C32</v>
      </c>
      <c r="AW396" s="52" t="str">
        <f t="shared" si="458"/>
        <v>data1!R26C32</v>
      </c>
      <c r="AX396" s="2">
        <f t="shared" si="481"/>
        <v>300</v>
      </c>
      <c r="AY396" s="25">
        <f t="shared" ca="1" si="459"/>
        <v>27.415019762845848</v>
      </c>
      <c r="AZ396" s="6">
        <f t="shared" ca="1" si="460"/>
        <v>1.1146245059288518</v>
      </c>
      <c r="BA396" s="27">
        <f t="shared" ca="1" si="461"/>
        <v>26.300395256916996</v>
      </c>
      <c r="BB396" s="21">
        <f t="shared" ca="1" si="462"/>
        <v>4.0657439446366711E-2</v>
      </c>
    </row>
    <row r="397" spans="6:54">
      <c r="F397" s="2"/>
      <c r="AQ397" s="2">
        <f t="shared" si="421"/>
        <v>278</v>
      </c>
      <c r="AR397" s="2" t="str">
        <f t="shared" ref="AR397:AS397" si="484">AR394</f>
        <v>D65</v>
      </c>
      <c r="AS397" s="1">
        <f t="shared" si="484"/>
        <v>2</v>
      </c>
      <c r="AT397" s="2">
        <f t="shared" si="423"/>
        <v>28</v>
      </c>
      <c r="AU397" s="2">
        <f t="shared" si="424"/>
        <v>2</v>
      </c>
      <c r="AV397" s="52" t="str">
        <f t="shared" si="457"/>
        <v>data2!R25C32</v>
      </c>
      <c r="AW397" s="52" t="str">
        <f t="shared" si="458"/>
        <v>data2!R26C32</v>
      </c>
      <c r="AX397" s="2">
        <f t="shared" si="481"/>
        <v>300</v>
      </c>
      <c r="AY397" s="25">
        <f t="shared" ca="1" si="459"/>
        <v>66.832740213523138</v>
      </c>
      <c r="AZ397" s="6">
        <f t="shared" ca="1" si="460"/>
        <v>35.359430604982208</v>
      </c>
      <c r="BA397" s="27">
        <f t="shared" ca="1" si="461"/>
        <v>31.47330960854093</v>
      </c>
      <c r="BB397" s="21">
        <f t="shared" ca="1" si="462"/>
        <v>0.52907348242811503</v>
      </c>
    </row>
    <row r="398" spans="6:54">
      <c r="F398" s="2"/>
      <c r="AQ398" s="2">
        <f t="shared" si="421"/>
        <v>279</v>
      </c>
      <c r="AR398" s="2" t="str">
        <f t="shared" ref="AR398:AS398" si="485">AR395</f>
        <v>A</v>
      </c>
      <c r="AS398" s="1">
        <f t="shared" si="485"/>
        <v>0</v>
      </c>
      <c r="AT398" s="2">
        <f t="shared" si="423"/>
        <v>29</v>
      </c>
      <c r="AU398" s="2">
        <f t="shared" si="424"/>
        <v>2</v>
      </c>
      <c r="AV398" s="52" t="str">
        <f t="shared" si="457"/>
        <v>data0!R25C33</v>
      </c>
      <c r="AW398" s="52" t="str">
        <f t="shared" si="458"/>
        <v>data0!R26C33</v>
      </c>
      <c r="AX398" s="2">
        <f t="shared" si="481"/>
        <v>300</v>
      </c>
      <c r="AY398" s="25">
        <f t="shared" ca="1" si="459"/>
        <v>96.319612590799025</v>
      </c>
      <c r="AZ398" s="6">
        <f t="shared" ca="1" si="460"/>
        <v>84.653753026634377</v>
      </c>
      <c r="BA398" s="27">
        <f t="shared" ca="1" si="461"/>
        <v>11.665859564164649</v>
      </c>
      <c r="BB398" s="21">
        <f t="shared" ca="1" si="462"/>
        <v>0.8788838612368024</v>
      </c>
    </row>
    <row r="399" spans="6:54">
      <c r="F399" s="2"/>
      <c r="AQ399" s="2">
        <f t="shared" si="421"/>
        <v>280</v>
      </c>
      <c r="AR399" s="2" t="str">
        <f t="shared" ref="AR399:AS399" si="486">AR396</f>
        <v>CWF</v>
      </c>
      <c r="AS399" s="1">
        <f t="shared" si="486"/>
        <v>1</v>
      </c>
      <c r="AT399" s="2">
        <f t="shared" si="423"/>
        <v>29</v>
      </c>
      <c r="AU399" s="2">
        <f t="shared" si="424"/>
        <v>2</v>
      </c>
      <c r="AV399" s="52" t="str">
        <f t="shared" si="457"/>
        <v>data1!R25C33</v>
      </c>
      <c r="AW399" s="52" t="str">
        <f t="shared" si="458"/>
        <v>data1!R26C33</v>
      </c>
      <c r="AX399" s="2">
        <f t="shared" si="481"/>
        <v>300</v>
      </c>
      <c r="AY399" s="25">
        <f t="shared" ca="1" si="459"/>
        <v>27.415019762845848</v>
      </c>
      <c r="AZ399" s="6">
        <f t="shared" ca="1" si="460"/>
        <v>1.1146245059288518</v>
      </c>
      <c r="BA399" s="27">
        <f t="shared" ca="1" si="461"/>
        <v>26.300395256916996</v>
      </c>
      <c r="BB399" s="21">
        <f t="shared" ca="1" si="462"/>
        <v>4.0657439446366711E-2</v>
      </c>
    </row>
    <row r="400" spans="6:54">
      <c r="F400" s="2"/>
      <c r="AQ400" s="2">
        <f t="shared" si="421"/>
        <v>281</v>
      </c>
      <c r="AR400" s="2" t="str">
        <f t="shared" ref="AR400:AS400" si="487">AR397</f>
        <v>D65</v>
      </c>
      <c r="AS400" s="1">
        <f t="shared" si="487"/>
        <v>2</v>
      </c>
      <c r="AT400" s="2">
        <f t="shared" si="423"/>
        <v>29</v>
      </c>
      <c r="AU400" s="2">
        <f t="shared" si="424"/>
        <v>2</v>
      </c>
      <c r="AV400" s="52" t="str">
        <f t="shared" si="457"/>
        <v>data2!R25C33</v>
      </c>
      <c r="AW400" s="52" t="str">
        <f t="shared" si="458"/>
        <v>data2!R26C33</v>
      </c>
      <c r="AX400" s="2">
        <f t="shared" si="481"/>
        <v>300</v>
      </c>
      <c r="AY400" s="25">
        <f t="shared" ca="1" si="459"/>
        <v>66.832740213523138</v>
      </c>
      <c r="AZ400" s="6">
        <f t="shared" ca="1" si="460"/>
        <v>35.359430604982208</v>
      </c>
      <c r="BA400" s="27">
        <f t="shared" ca="1" si="461"/>
        <v>31.47330960854093</v>
      </c>
      <c r="BB400" s="21">
        <f t="shared" ca="1" si="462"/>
        <v>0.52907348242811503</v>
      </c>
    </row>
    <row r="401" spans="6:54">
      <c r="F401" s="2"/>
      <c r="AQ401" s="2">
        <f t="shared" si="421"/>
        <v>282</v>
      </c>
      <c r="AR401" s="2" t="str">
        <f t="shared" ref="AR401:AS401" si="488">AR398</f>
        <v>A</v>
      </c>
      <c r="AS401" s="1">
        <f t="shared" si="488"/>
        <v>0</v>
      </c>
      <c r="AT401" s="2">
        <f t="shared" si="423"/>
        <v>30</v>
      </c>
      <c r="AU401" s="2">
        <f t="shared" si="424"/>
        <v>2</v>
      </c>
      <c r="AV401" s="52" t="str">
        <f t="shared" si="457"/>
        <v>data0!R25C34</v>
      </c>
      <c r="AW401" s="52" t="str">
        <f t="shared" si="458"/>
        <v>data0!R26C34</v>
      </c>
      <c r="AX401" s="2">
        <f t="shared" si="481"/>
        <v>300</v>
      </c>
      <c r="AY401" s="25">
        <f t="shared" ca="1" si="459"/>
        <v>96.319612590799025</v>
      </c>
      <c r="AZ401" s="6">
        <f t="shared" ca="1" si="460"/>
        <v>84.653753026634377</v>
      </c>
      <c r="BA401" s="27">
        <f t="shared" ca="1" si="461"/>
        <v>11.665859564164649</v>
      </c>
      <c r="BB401" s="21">
        <f t="shared" ca="1" si="462"/>
        <v>0.8788838612368024</v>
      </c>
    </row>
    <row r="402" spans="6:54">
      <c r="F402" s="2"/>
      <c r="AQ402" s="2">
        <f t="shared" si="421"/>
        <v>283</v>
      </c>
      <c r="AR402" s="2" t="str">
        <f t="shared" ref="AR402:AS402" si="489">AR399</f>
        <v>CWF</v>
      </c>
      <c r="AS402" s="1">
        <f t="shared" si="489"/>
        <v>1</v>
      </c>
      <c r="AT402" s="2">
        <f t="shared" si="423"/>
        <v>30</v>
      </c>
      <c r="AU402" s="2">
        <f t="shared" si="424"/>
        <v>2</v>
      </c>
      <c r="AV402" s="52" t="str">
        <f t="shared" si="457"/>
        <v>data1!R25C34</v>
      </c>
      <c r="AW402" s="52" t="str">
        <f t="shared" si="458"/>
        <v>data1!R26C34</v>
      </c>
      <c r="AX402" s="2">
        <f t="shared" si="481"/>
        <v>300</v>
      </c>
      <c r="AY402" s="25">
        <f t="shared" ca="1" si="459"/>
        <v>27.415019762845848</v>
      </c>
      <c r="AZ402" s="6">
        <f t="shared" ca="1" si="460"/>
        <v>1.1146245059288518</v>
      </c>
      <c r="BA402" s="27">
        <f t="shared" ca="1" si="461"/>
        <v>26.300395256916996</v>
      </c>
      <c r="BB402" s="21">
        <f t="shared" ca="1" si="462"/>
        <v>4.0657439446366711E-2</v>
      </c>
    </row>
    <row r="403" spans="6:54">
      <c r="F403" s="2"/>
      <c r="AQ403" s="2">
        <f t="shared" si="421"/>
        <v>284</v>
      </c>
      <c r="AR403" s="2" t="str">
        <f t="shared" ref="AR403:AS403" si="490">AR400</f>
        <v>D65</v>
      </c>
      <c r="AS403" s="1">
        <f t="shared" si="490"/>
        <v>2</v>
      </c>
      <c r="AT403" s="2">
        <f t="shared" si="423"/>
        <v>30</v>
      </c>
      <c r="AU403" s="2">
        <f t="shared" si="424"/>
        <v>2</v>
      </c>
      <c r="AV403" s="52" t="str">
        <f t="shared" si="457"/>
        <v>data2!R25C34</v>
      </c>
      <c r="AW403" s="52" t="str">
        <f t="shared" si="458"/>
        <v>data2!R26C34</v>
      </c>
      <c r="AX403" s="2">
        <f t="shared" si="481"/>
        <v>300</v>
      </c>
      <c r="AY403" s="25">
        <f t="shared" ca="1" si="459"/>
        <v>66.832740213523138</v>
      </c>
      <c r="AZ403" s="6">
        <f t="shared" ca="1" si="460"/>
        <v>35.359430604982208</v>
      </c>
      <c r="BA403" s="27">
        <f t="shared" ca="1" si="461"/>
        <v>31.47330960854093</v>
      </c>
      <c r="BB403" s="21">
        <f t="shared" ca="1" si="462"/>
        <v>0.52907348242811503</v>
      </c>
    </row>
    <row r="404" spans="6:54">
      <c r="F404" s="2"/>
      <c r="AQ404" s="2">
        <f t="shared" si="421"/>
        <v>285</v>
      </c>
      <c r="AR404" s="2" t="str">
        <f t="shared" ref="AR404:AS404" si="491">AR401</f>
        <v>A</v>
      </c>
      <c r="AS404" s="1">
        <f t="shared" si="491"/>
        <v>0</v>
      </c>
      <c r="AT404" s="2">
        <f t="shared" si="423"/>
        <v>31</v>
      </c>
      <c r="AU404" s="2">
        <f t="shared" si="424"/>
        <v>2</v>
      </c>
      <c r="AV404" s="52" t="str">
        <f t="shared" si="457"/>
        <v>data0!R25C35</v>
      </c>
      <c r="AW404" s="52" t="str">
        <f t="shared" si="458"/>
        <v>data0!R26C35</v>
      </c>
      <c r="AX404" s="2">
        <f t="shared" si="481"/>
        <v>300</v>
      </c>
      <c r="AY404" s="25">
        <f t="shared" ca="1" si="459"/>
        <v>96.319612590799025</v>
      </c>
      <c r="AZ404" s="6">
        <f t="shared" ca="1" si="460"/>
        <v>84.653753026634377</v>
      </c>
      <c r="BA404" s="27">
        <f t="shared" ca="1" si="461"/>
        <v>11.665859564164649</v>
      </c>
      <c r="BB404" s="21">
        <f t="shared" ca="1" si="462"/>
        <v>0.8788838612368024</v>
      </c>
    </row>
    <row r="405" spans="6:54">
      <c r="F405" s="2"/>
      <c r="AQ405" s="2">
        <f t="shared" si="421"/>
        <v>286</v>
      </c>
      <c r="AR405" s="2" t="str">
        <f t="shared" ref="AR405:AS405" si="492">AR402</f>
        <v>CWF</v>
      </c>
      <c r="AS405" s="1">
        <f t="shared" si="492"/>
        <v>1</v>
      </c>
      <c r="AT405" s="2">
        <f t="shared" si="423"/>
        <v>31</v>
      </c>
      <c r="AU405" s="2">
        <f t="shared" si="424"/>
        <v>2</v>
      </c>
      <c r="AV405" s="52" t="str">
        <f t="shared" si="457"/>
        <v>data1!R25C35</v>
      </c>
      <c r="AW405" s="52" t="str">
        <f t="shared" si="458"/>
        <v>data1!R26C35</v>
      </c>
      <c r="AX405" s="2">
        <f t="shared" si="481"/>
        <v>300</v>
      </c>
      <c r="AY405" s="25">
        <f t="shared" ca="1" si="459"/>
        <v>27.415019762845848</v>
      </c>
      <c r="AZ405" s="6">
        <f t="shared" ca="1" si="460"/>
        <v>1.1146245059288518</v>
      </c>
      <c r="BA405" s="27">
        <f t="shared" ca="1" si="461"/>
        <v>26.300395256916996</v>
      </c>
      <c r="BB405" s="21">
        <f t="shared" ca="1" si="462"/>
        <v>4.0657439446366711E-2</v>
      </c>
    </row>
    <row r="406" spans="6:54">
      <c r="F406" s="2"/>
      <c r="AQ406" s="2">
        <f t="shared" si="421"/>
        <v>287</v>
      </c>
      <c r="AR406" s="2" t="str">
        <f t="shared" ref="AR406:AS406" si="493">AR403</f>
        <v>D65</v>
      </c>
      <c r="AS406" s="1">
        <f t="shared" si="493"/>
        <v>2</v>
      </c>
      <c r="AT406" s="2">
        <f t="shared" si="423"/>
        <v>31</v>
      </c>
      <c r="AU406" s="2">
        <f t="shared" si="424"/>
        <v>2</v>
      </c>
      <c r="AV406" s="52" t="str">
        <f t="shared" si="457"/>
        <v>data2!R25C35</v>
      </c>
      <c r="AW406" s="52" t="str">
        <f t="shared" si="458"/>
        <v>data2!R26C35</v>
      </c>
      <c r="AX406" s="2">
        <f t="shared" si="481"/>
        <v>300</v>
      </c>
      <c r="AY406" s="25">
        <f t="shared" ca="1" si="459"/>
        <v>66.832740213523138</v>
      </c>
      <c r="AZ406" s="6">
        <f t="shared" ca="1" si="460"/>
        <v>35.359430604982208</v>
      </c>
      <c r="BA406" s="27">
        <f t="shared" ca="1" si="461"/>
        <v>31.47330960854093</v>
      </c>
      <c r="BB406" s="21">
        <f t="shared" ca="1" si="462"/>
        <v>0.52907348242811503</v>
      </c>
    </row>
    <row r="407" spans="6:54">
      <c r="F407" s="2"/>
      <c r="AQ407" s="2">
        <f t="shared" si="421"/>
        <v>288</v>
      </c>
      <c r="AR407" s="2" t="str">
        <f t="shared" ref="AR407:AS407" si="494">AR404</f>
        <v>A</v>
      </c>
      <c r="AS407" s="1">
        <f t="shared" si="494"/>
        <v>0</v>
      </c>
      <c r="AT407" s="2">
        <f t="shared" si="423"/>
        <v>0</v>
      </c>
      <c r="AU407" s="2">
        <f t="shared" si="424"/>
        <v>3</v>
      </c>
      <c r="AV407" s="52" t="str">
        <f t="shared" si="457"/>
        <v>data0!R27C4</v>
      </c>
      <c r="AW407" s="52" t="str">
        <f t="shared" si="458"/>
        <v>data0!R28C4</v>
      </c>
      <c r="AX407" s="2">
        <f t="shared" si="481"/>
        <v>300</v>
      </c>
      <c r="AY407" s="25">
        <f t="shared" ca="1" si="459"/>
        <v>93.079903147699753</v>
      </c>
      <c r="AZ407" s="6">
        <f t="shared" ca="1" si="460"/>
        <v>81.86440677966101</v>
      </c>
      <c r="BA407" s="27">
        <f t="shared" ca="1" si="461"/>
        <v>11.215496368038743</v>
      </c>
      <c r="BB407" s="21">
        <f t="shared" ca="1" si="462"/>
        <v>0.87950678944904004</v>
      </c>
    </row>
    <row r="408" spans="6:54">
      <c r="F408" s="2"/>
      <c r="AQ408" s="2">
        <f t="shared" ref="AQ408:AQ471" si="495">AQ407+1</f>
        <v>289</v>
      </c>
      <c r="AR408" s="2" t="str">
        <f t="shared" ref="AR408:AS408" si="496">AR405</f>
        <v>CWF</v>
      </c>
      <c r="AS408" s="1">
        <f t="shared" si="496"/>
        <v>1</v>
      </c>
      <c r="AT408" s="2">
        <f t="shared" ref="AT408:AT471" si="497">AT312</f>
        <v>0</v>
      </c>
      <c r="AU408" s="2">
        <f t="shared" ref="AU408:AU471" si="498">AU312+1</f>
        <v>3</v>
      </c>
      <c r="AV408" s="52" t="str">
        <f t="shared" si="457"/>
        <v>data1!R27C4</v>
      </c>
      <c r="AW408" s="52" t="str">
        <f t="shared" si="458"/>
        <v>data1!R28C4</v>
      </c>
      <c r="AX408" s="2">
        <f t="shared" si="481"/>
        <v>300</v>
      </c>
      <c r="AY408" s="25">
        <f t="shared" ca="1" si="459"/>
        <v>26.608695652173914</v>
      </c>
      <c r="AZ408" s="6">
        <f t="shared" ca="1" si="460"/>
        <v>1.1383399209486171</v>
      </c>
      <c r="BA408" s="27">
        <f t="shared" ca="1" si="461"/>
        <v>25.470355731225297</v>
      </c>
      <c r="BB408" s="21">
        <f t="shared" ca="1" si="462"/>
        <v>4.2780748663101623E-2</v>
      </c>
    </row>
    <row r="409" spans="6:54">
      <c r="F409" s="2"/>
      <c r="AQ409" s="2">
        <f t="shared" si="495"/>
        <v>290</v>
      </c>
      <c r="AR409" s="2" t="str">
        <f t="shared" ref="AR409:AS409" si="499">AR406</f>
        <v>D65</v>
      </c>
      <c r="AS409" s="1">
        <f t="shared" si="499"/>
        <v>2</v>
      </c>
      <c r="AT409" s="2">
        <f t="shared" si="497"/>
        <v>0</v>
      </c>
      <c r="AU409" s="2">
        <f t="shared" si="498"/>
        <v>3</v>
      </c>
      <c r="AV409" s="52" t="str">
        <f t="shared" si="457"/>
        <v>data2!R27C4</v>
      </c>
      <c r="AW409" s="52" t="str">
        <f t="shared" si="458"/>
        <v>data2!R28C4</v>
      </c>
      <c r="AX409" s="2">
        <f t="shared" si="481"/>
        <v>300</v>
      </c>
      <c r="AY409" s="25">
        <f t="shared" ca="1" si="459"/>
        <v>64.654804270462634</v>
      </c>
      <c r="AZ409" s="6">
        <f t="shared" ca="1" si="460"/>
        <v>34.185053380782918</v>
      </c>
      <c r="BA409" s="27">
        <f t="shared" ca="1" si="461"/>
        <v>30.469750889679716</v>
      </c>
      <c r="BB409" s="21">
        <f t="shared" ca="1" si="462"/>
        <v>0.52873183619550856</v>
      </c>
    </row>
    <row r="410" spans="6:54">
      <c r="F410" s="2"/>
      <c r="AQ410" s="2">
        <f t="shared" si="495"/>
        <v>291</v>
      </c>
      <c r="AR410" s="2" t="str">
        <f t="shared" ref="AR410:AS410" si="500">AR407</f>
        <v>A</v>
      </c>
      <c r="AS410" s="1">
        <f t="shared" si="500"/>
        <v>0</v>
      </c>
      <c r="AT410" s="2">
        <f t="shared" si="497"/>
        <v>1</v>
      </c>
      <c r="AU410" s="2">
        <f t="shared" si="498"/>
        <v>3</v>
      </c>
      <c r="AV410" s="52" t="str">
        <f t="shared" si="457"/>
        <v>data0!R27C5</v>
      </c>
      <c r="AW410" s="52" t="str">
        <f t="shared" si="458"/>
        <v>data0!R28C5</v>
      </c>
      <c r="AX410" s="2">
        <f t="shared" si="481"/>
        <v>300</v>
      </c>
      <c r="AY410" s="25">
        <f t="shared" ca="1" si="459"/>
        <v>93.079903147699753</v>
      </c>
      <c r="AZ410" s="6">
        <f t="shared" ca="1" si="460"/>
        <v>81.86440677966101</v>
      </c>
      <c r="BA410" s="27">
        <f t="shared" ca="1" si="461"/>
        <v>11.215496368038743</v>
      </c>
      <c r="BB410" s="21">
        <f t="shared" ca="1" si="462"/>
        <v>0.87950678944904004</v>
      </c>
    </row>
    <row r="411" spans="6:54">
      <c r="F411" s="2"/>
      <c r="AQ411" s="2">
        <f t="shared" si="495"/>
        <v>292</v>
      </c>
      <c r="AR411" s="2" t="str">
        <f t="shared" ref="AR411:AS411" si="501">AR408</f>
        <v>CWF</v>
      </c>
      <c r="AS411" s="1">
        <f t="shared" si="501"/>
        <v>1</v>
      </c>
      <c r="AT411" s="2">
        <f t="shared" si="497"/>
        <v>1</v>
      </c>
      <c r="AU411" s="2">
        <f t="shared" si="498"/>
        <v>3</v>
      </c>
      <c r="AV411" s="52" t="str">
        <f t="shared" si="457"/>
        <v>data1!R27C5</v>
      </c>
      <c r="AW411" s="52" t="str">
        <f t="shared" si="458"/>
        <v>data1!R28C5</v>
      </c>
      <c r="AX411" s="2">
        <f t="shared" si="481"/>
        <v>300</v>
      </c>
      <c r="AY411" s="25">
        <f t="shared" ca="1" si="459"/>
        <v>26.608695652173914</v>
      </c>
      <c r="AZ411" s="6">
        <f t="shared" ca="1" si="460"/>
        <v>1.1383399209486171</v>
      </c>
      <c r="BA411" s="27">
        <f t="shared" ca="1" si="461"/>
        <v>25.470355731225297</v>
      </c>
      <c r="BB411" s="21">
        <f t="shared" ca="1" si="462"/>
        <v>4.2780748663101623E-2</v>
      </c>
    </row>
    <row r="412" spans="6:54">
      <c r="F412" s="2"/>
      <c r="AQ412" s="2">
        <f t="shared" si="495"/>
        <v>293</v>
      </c>
      <c r="AR412" s="2" t="str">
        <f t="shared" ref="AR412:AS412" si="502">AR409</f>
        <v>D65</v>
      </c>
      <c r="AS412" s="1">
        <f t="shared" si="502"/>
        <v>2</v>
      </c>
      <c r="AT412" s="2">
        <f t="shared" si="497"/>
        <v>1</v>
      </c>
      <c r="AU412" s="2">
        <f t="shared" si="498"/>
        <v>3</v>
      </c>
      <c r="AV412" s="52" t="str">
        <f t="shared" si="457"/>
        <v>data2!R27C5</v>
      </c>
      <c r="AW412" s="52" t="str">
        <f t="shared" si="458"/>
        <v>data2!R28C5</v>
      </c>
      <c r="AX412" s="2">
        <f t="shared" si="481"/>
        <v>300</v>
      </c>
      <c r="AY412" s="25">
        <f t="shared" ca="1" si="459"/>
        <v>64.654804270462634</v>
      </c>
      <c r="AZ412" s="6">
        <f t="shared" ca="1" si="460"/>
        <v>34.185053380782918</v>
      </c>
      <c r="BA412" s="27">
        <f t="shared" ca="1" si="461"/>
        <v>30.469750889679716</v>
      </c>
      <c r="BB412" s="21">
        <f t="shared" ca="1" si="462"/>
        <v>0.52873183619550856</v>
      </c>
    </row>
    <row r="413" spans="6:54">
      <c r="F413" s="2"/>
      <c r="AQ413" s="2">
        <f t="shared" si="495"/>
        <v>294</v>
      </c>
      <c r="AR413" s="2" t="str">
        <f t="shared" ref="AR413:AS413" si="503">AR410</f>
        <v>A</v>
      </c>
      <c r="AS413" s="1">
        <f t="shared" si="503"/>
        <v>0</v>
      </c>
      <c r="AT413" s="2">
        <f t="shared" si="497"/>
        <v>2</v>
      </c>
      <c r="AU413" s="2">
        <f t="shared" si="498"/>
        <v>3</v>
      </c>
      <c r="AV413" s="52" t="str">
        <f t="shared" si="457"/>
        <v>data0!R27C6</v>
      </c>
      <c r="AW413" s="52" t="str">
        <f t="shared" si="458"/>
        <v>data0!R28C6</v>
      </c>
      <c r="AX413" s="2">
        <f t="shared" si="481"/>
        <v>300</v>
      </c>
      <c r="AY413" s="25">
        <f t="shared" ca="1" si="459"/>
        <v>93.079903147699753</v>
      </c>
      <c r="AZ413" s="6">
        <f t="shared" ca="1" si="460"/>
        <v>81.86440677966101</v>
      </c>
      <c r="BA413" s="27">
        <f t="shared" ca="1" si="461"/>
        <v>11.215496368038743</v>
      </c>
      <c r="BB413" s="21">
        <f t="shared" ca="1" si="462"/>
        <v>0.87950678944904004</v>
      </c>
    </row>
    <row r="414" spans="6:54">
      <c r="F414" s="2"/>
      <c r="AQ414" s="2">
        <f t="shared" si="495"/>
        <v>295</v>
      </c>
      <c r="AR414" s="2" t="str">
        <f t="shared" ref="AR414:AS414" si="504">AR411</f>
        <v>CWF</v>
      </c>
      <c r="AS414" s="1">
        <f t="shared" si="504"/>
        <v>1</v>
      </c>
      <c r="AT414" s="2">
        <f t="shared" si="497"/>
        <v>2</v>
      </c>
      <c r="AU414" s="2">
        <f t="shared" si="498"/>
        <v>3</v>
      </c>
      <c r="AV414" s="52" t="str">
        <f t="shared" si="457"/>
        <v>data1!R27C6</v>
      </c>
      <c r="AW414" s="52" t="str">
        <f t="shared" si="458"/>
        <v>data1!R28C6</v>
      </c>
      <c r="AX414" s="2">
        <f t="shared" si="481"/>
        <v>300</v>
      </c>
      <c r="AY414" s="25">
        <f t="shared" ca="1" si="459"/>
        <v>26.608695652173914</v>
      </c>
      <c r="AZ414" s="6">
        <f t="shared" ca="1" si="460"/>
        <v>1.1383399209486171</v>
      </c>
      <c r="BA414" s="27">
        <f t="shared" ca="1" si="461"/>
        <v>25.470355731225297</v>
      </c>
      <c r="BB414" s="21">
        <f t="shared" ca="1" si="462"/>
        <v>4.2780748663101623E-2</v>
      </c>
    </row>
    <row r="415" spans="6:54">
      <c r="F415" s="2"/>
      <c r="AQ415" s="2">
        <f t="shared" si="495"/>
        <v>296</v>
      </c>
      <c r="AR415" s="2" t="str">
        <f t="shared" ref="AR415:AS415" si="505">AR412</f>
        <v>D65</v>
      </c>
      <c r="AS415" s="1">
        <f t="shared" si="505"/>
        <v>2</v>
      </c>
      <c r="AT415" s="2">
        <f t="shared" si="497"/>
        <v>2</v>
      </c>
      <c r="AU415" s="2">
        <f t="shared" si="498"/>
        <v>3</v>
      </c>
      <c r="AV415" s="52" t="str">
        <f t="shared" si="457"/>
        <v>data2!R27C6</v>
      </c>
      <c r="AW415" s="52" t="str">
        <f t="shared" si="458"/>
        <v>data2!R28C6</v>
      </c>
      <c r="AX415" s="2">
        <f t="shared" si="481"/>
        <v>300</v>
      </c>
      <c r="AY415" s="25">
        <f t="shared" ca="1" si="459"/>
        <v>64.654804270462634</v>
      </c>
      <c r="AZ415" s="6">
        <f t="shared" ca="1" si="460"/>
        <v>34.185053380782918</v>
      </c>
      <c r="BA415" s="27">
        <f t="shared" ca="1" si="461"/>
        <v>30.469750889679716</v>
      </c>
      <c r="BB415" s="21">
        <f t="shared" ca="1" si="462"/>
        <v>0.52873183619550856</v>
      </c>
    </row>
    <row r="416" spans="6:54">
      <c r="F416" s="2"/>
      <c r="AQ416" s="2">
        <f t="shared" si="495"/>
        <v>297</v>
      </c>
      <c r="AR416" s="2" t="str">
        <f t="shared" ref="AR416:AS416" si="506">AR413</f>
        <v>A</v>
      </c>
      <c r="AS416" s="1">
        <f t="shared" si="506"/>
        <v>0</v>
      </c>
      <c r="AT416" s="2">
        <f t="shared" si="497"/>
        <v>3</v>
      </c>
      <c r="AU416" s="2">
        <f t="shared" si="498"/>
        <v>3</v>
      </c>
      <c r="AV416" s="52" t="str">
        <f t="shared" si="457"/>
        <v>data0!R27C7</v>
      </c>
      <c r="AW416" s="52" t="str">
        <f t="shared" si="458"/>
        <v>data0!R28C7</v>
      </c>
      <c r="AX416" s="2">
        <f t="shared" si="481"/>
        <v>300</v>
      </c>
      <c r="AY416" s="25">
        <f t="shared" ca="1" si="459"/>
        <v>93.079903147699753</v>
      </c>
      <c r="AZ416" s="6">
        <f t="shared" ca="1" si="460"/>
        <v>81.86440677966101</v>
      </c>
      <c r="BA416" s="27">
        <f t="shared" ca="1" si="461"/>
        <v>11.215496368038743</v>
      </c>
      <c r="BB416" s="21">
        <f t="shared" ca="1" si="462"/>
        <v>0.87950678944904004</v>
      </c>
    </row>
    <row r="417" spans="6:54">
      <c r="F417" s="2"/>
      <c r="AQ417" s="2">
        <f t="shared" si="495"/>
        <v>298</v>
      </c>
      <c r="AR417" s="2" t="str">
        <f t="shared" ref="AR417:AS417" si="507">AR414</f>
        <v>CWF</v>
      </c>
      <c r="AS417" s="1">
        <f t="shared" si="507"/>
        <v>1</v>
      </c>
      <c r="AT417" s="2">
        <f t="shared" si="497"/>
        <v>3</v>
      </c>
      <c r="AU417" s="2">
        <f t="shared" si="498"/>
        <v>3</v>
      </c>
      <c r="AV417" s="52" t="str">
        <f t="shared" si="457"/>
        <v>data1!R27C7</v>
      </c>
      <c r="AW417" s="52" t="str">
        <f t="shared" si="458"/>
        <v>data1!R28C7</v>
      </c>
      <c r="AX417" s="2">
        <f t="shared" si="481"/>
        <v>300</v>
      </c>
      <c r="AY417" s="25">
        <f t="shared" ca="1" si="459"/>
        <v>26.608695652173914</v>
      </c>
      <c r="AZ417" s="6">
        <f t="shared" ca="1" si="460"/>
        <v>1.1383399209486171</v>
      </c>
      <c r="BA417" s="27">
        <f t="shared" ca="1" si="461"/>
        <v>25.470355731225297</v>
      </c>
      <c r="BB417" s="21">
        <f t="shared" ca="1" si="462"/>
        <v>4.2780748663101623E-2</v>
      </c>
    </row>
    <row r="418" spans="6:54">
      <c r="F418" s="2"/>
      <c r="AQ418" s="2">
        <f t="shared" si="495"/>
        <v>299</v>
      </c>
      <c r="AR418" s="2" t="str">
        <f t="shared" ref="AR418:AS418" si="508">AR415</f>
        <v>D65</v>
      </c>
      <c r="AS418" s="1">
        <f t="shared" si="508"/>
        <v>2</v>
      </c>
      <c r="AT418" s="2">
        <f t="shared" si="497"/>
        <v>3</v>
      </c>
      <c r="AU418" s="2">
        <f t="shared" si="498"/>
        <v>3</v>
      </c>
      <c r="AV418" s="52" t="str">
        <f t="shared" si="457"/>
        <v>data2!R27C7</v>
      </c>
      <c r="AW418" s="52" t="str">
        <f t="shared" si="458"/>
        <v>data2!R28C7</v>
      </c>
      <c r="AX418" s="2">
        <f t="shared" si="481"/>
        <v>300</v>
      </c>
      <c r="AY418" s="25">
        <f t="shared" ca="1" si="459"/>
        <v>64.654804270462634</v>
      </c>
      <c r="AZ418" s="6">
        <f t="shared" ca="1" si="460"/>
        <v>34.185053380782918</v>
      </c>
      <c r="BA418" s="27">
        <f t="shared" ca="1" si="461"/>
        <v>30.469750889679716</v>
      </c>
      <c r="BB418" s="21">
        <f t="shared" ca="1" si="462"/>
        <v>0.52873183619550856</v>
      </c>
    </row>
    <row r="419" spans="6:54">
      <c r="F419" s="2"/>
      <c r="AQ419" s="2">
        <f t="shared" si="495"/>
        <v>300</v>
      </c>
      <c r="AR419" s="2" t="str">
        <f t="shared" ref="AR419:AS419" si="509">AR416</f>
        <v>A</v>
      </c>
      <c r="AS419" s="1">
        <f t="shared" si="509"/>
        <v>0</v>
      </c>
      <c r="AT419" s="2">
        <f t="shared" si="497"/>
        <v>4</v>
      </c>
      <c r="AU419" s="2">
        <f t="shared" si="498"/>
        <v>3</v>
      </c>
      <c r="AV419" s="52" t="str">
        <f t="shared" si="457"/>
        <v>data0!R27C8</v>
      </c>
      <c r="AW419" s="52" t="str">
        <f t="shared" si="458"/>
        <v>data0!R28C8</v>
      </c>
      <c r="AX419" s="2">
        <f t="shared" si="481"/>
        <v>300</v>
      </c>
      <c r="AY419" s="25">
        <f t="shared" ca="1" si="459"/>
        <v>93.079903147699753</v>
      </c>
      <c r="AZ419" s="6">
        <f t="shared" ca="1" si="460"/>
        <v>81.86440677966101</v>
      </c>
      <c r="BA419" s="27">
        <f t="shared" ca="1" si="461"/>
        <v>11.215496368038743</v>
      </c>
      <c r="BB419" s="21">
        <f t="shared" ca="1" si="462"/>
        <v>0.87950678944904004</v>
      </c>
    </row>
    <row r="420" spans="6:54">
      <c r="F420" s="2"/>
      <c r="AQ420" s="2">
        <f t="shared" si="495"/>
        <v>301</v>
      </c>
      <c r="AR420" s="2" t="str">
        <f t="shared" ref="AR420:AS420" si="510">AR417</f>
        <v>CWF</v>
      </c>
      <c r="AS420" s="1">
        <f t="shared" si="510"/>
        <v>1</v>
      </c>
      <c r="AT420" s="2">
        <f t="shared" si="497"/>
        <v>4</v>
      </c>
      <c r="AU420" s="2">
        <f t="shared" si="498"/>
        <v>3</v>
      </c>
      <c r="AV420" s="52" t="str">
        <f t="shared" si="457"/>
        <v>data1!R27C8</v>
      </c>
      <c r="AW420" s="52" t="str">
        <f t="shared" si="458"/>
        <v>data1!R28C8</v>
      </c>
      <c r="AX420" s="2">
        <f t="shared" si="481"/>
        <v>300</v>
      </c>
      <c r="AY420" s="25">
        <f t="shared" ca="1" si="459"/>
        <v>26.608695652173914</v>
      </c>
      <c r="AZ420" s="6">
        <f t="shared" ca="1" si="460"/>
        <v>1.1383399209486171</v>
      </c>
      <c r="BA420" s="27">
        <f t="shared" ca="1" si="461"/>
        <v>25.470355731225297</v>
      </c>
      <c r="BB420" s="21">
        <f t="shared" ca="1" si="462"/>
        <v>4.2780748663101623E-2</v>
      </c>
    </row>
    <row r="421" spans="6:54">
      <c r="F421" s="2"/>
      <c r="AQ421" s="2">
        <f t="shared" si="495"/>
        <v>302</v>
      </c>
      <c r="AR421" s="2" t="str">
        <f t="shared" ref="AR421:AS421" si="511">AR418</f>
        <v>D65</v>
      </c>
      <c r="AS421" s="1">
        <f t="shared" si="511"/>
        <v>2</v>
      </c>
      <c r="AT421" s="2">
        <f t="shared" si="497"/>
        <v>4</v>
      </c>
      <c r="AU421" s="2">
        <f t="shared" si="498"/>
        <v>3</v>
      </c>
      <c r="AV421" s="52" t="str">
        <f t="shared" si="457"/>
        <v>data2!R27C8</v>
      </c>
      <c r="AW421" s="52" t="str">
        <f t="shared" si="458"/>
        <v>data2!R28C8</v>
      </c>
      <c r="AX421" s="2">
        <f t="shared" si="481"/>
        <v>300</v>
      </c>
      <c r="AY421" s="25">
        <f t="shared" ca="1" si="459"/>
        <v>64.654804270462634</v>
      </c>
      <c r="AZ421" s="6">
        <f t="shared" ca="1" si="460"/>
        <v>34.185053380782918</v>
      </c>
      <c r="BA421" s="27">
        <f t="shared" ca="1" si="461"/>
        <v>30.469750889679716</v>
      </c>
      <c r="BB421" s="21">
        <f t="shared" ca="1" si="462"/>
        <v>0.52873183619550856</v>
      </c>
    </row>
    <row r="422" spans="6:54">
      <c r="F422" s="2"/>
      <c r="AQ422" s="2">
        <f t="shared" si="495"/>
        <v>303</v>
      </c>
      <c r="AR422" s="2" t="str">
        <f t="shared" ref="AR422:AS422" si="512">AR419</f>
        <v>A</v>
      </c>
      <c r="AS422" s="1">
        <f t="shared" si="512"/>
        <v>0</v>
      </c>
      <c r="AT422" s="2">
        <f t="shared" si="497"/>
        <v>5</v>
      </c>
      <c r="AU422" s="2">
        <f t="shared" si="498"/>
        <v>3</v>
      </c>
      <c r="AV422" s="52" t="str">
        <f t="shared" si="457"/>
        <v>data0!R27C9</v>
      </c>
      <c r="AW422" s="52" t="str">
        <f t="shared" si="458"/>
        <v>data0!R28C9</v>
      </c>
      <c r="AX422" s="2">
        <f t="shared" si="481"/>
        <v>300</v>
      </c>
      <c r="AY422" s="25">
        <f t="shared" ca="1" si="459"/>
        <v>93.079903147699753</v>
      </c>
      <c r="AZ422" s="6">
        <f t="shared" ca="1" si="460"/>
        <v>81.86440677966101</v>
      </c>
      <c r="BA422" s="27">
        <f t="shared" ca="1" si="461"/>
        <v>11.215496368038743</v>
      </c>
      <c r="BB422" s="21">
        <f t="shared" ca="1" si="462"/>
        <v>0.87950678944904004</v>
      </c>
    </row>
    <row r="423" spans="6:54">
      <c r="F423" s="2"/>
      <c r="AQ423" s="2">
        <f t="shared" si="495"/>
        <v>304</v>
      </c>
      <c r="AR423" s="2" t="str">
        <f t="shared" ref="AR423:AS423" si="513">AR420</f>
        <v>CWF</v>
      </c>
      <c r="AS423" s="1">
        <f t="shared" si="513"/>
        <v>1</v>
      </c>
      <c r="AT423" s="2">
        <f t="shared" si="497"/>
        <v>5</v>
      </c>
      <c r="AU423" s="2">
        <f t="shared" si="498"/>
        <v>3</v>
      </c>
      <c r="AV423" s="52" t="str">
        <f t="shared" si="457"/>
        <v>data1!R27C9</v>
      </c>
      <c r="AW423" s="52" t="str">
        <f t="shared" si="458"/>
        <v>data1!R28C9</v>
      </c>
      <c r="AX423" s="2">
        <f t="shared" si="481"/>
        <v>300</v>
      </c>
      <c r="AY423" s="25">
        <f t="shared" ca="1" si="459"/>
        <v>26.608695652173914</v>
      </c>
      <c r="AZ423" s="6">
        <f t="shared" ca="1" si="460"/>
        <v>1.1383399209486171</v>
      </c>
      <c r="BA423" s="27">
        <f t="shared" ca="1" si="461"/>
        <v>25.470355731225297</v>
      </c>
      <c r="BB423" s="21">
        <f t="shared" ca="1" si="462"/>
        <v>4.2780748663101623E-2</v>
      </c>
    </row>
    <row r="424" spans="6:54">
      <c r="F424" s="2"/>
      <c r="AQ424" s="2">
        <f t="shared" si="495"/>
        <v>305</v>
      </c>
      <c r="AR424" s="2" t="str">
        <f t="shared" ref="AR424:AS424" si="514">AR421</f>
        <v>D65</v>
      </c>
      <c r="AS424" s="1">
        <f t="shared" si="514"/>
        <v>2</v>
      </c>
      <c r="AT424" s="2">
        <f t="shared" si="497"/>
        <v>5</v>
      </c>
      <c r="AU424" s="2">
        <f t="shared" si="498"/>
        <v>3</v>
      </c>
      <c r="AV424" s="52" t="str">
        <f t="shared" si="457"/>
        <v>data2!R27C9</v>
      </c>
      <c r="AW424" s="52" t="str">
        <f t="shared" si="458"/>
        <v>data2!R28C9</v>
      </c>
      <c r="AX424" s="2">
        <f t="shared" si="481"/>
        <v>300</v>
      </c>
      <c r="AY424" s="25">
        <f t="shared" ca="1" si="459"/>
        <v>64.654804270462634</v>
      </c>
      <c r="AZ424" s="6">
        <f t="shared" ca="1" si="460"/>
        <v>34.185053380782918</v>
      </c>
      <c r="BA424" s="27">
        <f t="shared" ca="1" si="461"/>
        <v>30.469750889679716</v>
      </c>
      <c r="BB424" s="21">
        <f t="shared" ca="1" si="462"/>
        <v>0.52873183619550856</v>
      </c>
    </row>
    <row r="425" spans="6:54">
      <c r="F425" s="2"/>
      <c r="AQ425" s="2">
        <f t="shared" si="495"/>
        <v>306</v>
      </c>
      <c r="AR425" s="2" t="str">
        <f t="shared" ref="AR425:AS425" si="515">AR422</f>
        <v>A</v>
      </c>
      <c r="AS425" s="1">
        <f t="shared" si="515"/>
        <v>0</v>
      </c>
      <c r="AT425" s="2">
        <f t="shared" si="497"/>
        <v>6</v>
      </c>
      <c r="AU425" s="2">
        <f t="shared" si="498"/>
        <v>3</v>
      </c>
      <c r="AV425" s="52" t="str">
        <f t="shared" si="457"/>
        <v>data0!R27C10</v>
      </c>
      <c r="AW425" s="52" t="str">
        <f t="shared" si="458"/>
        <v>data0!R28C10</v>
      </c>
      <c r="AX425" s="2">
        <f t="shared" si="481"/>
        <v>300</v>
      </c>
      <c r="AY425" s="25">
        <f t="shared" ca="1" si="459"/>
        <v>93.079903147699753</v>
      </c>
      <c r="AZ425" s="6">
        <f t="shared" ca="1" si="460"/>
        <v>81.86440677966101</v>
      </c>
      <c r="BA425" s="27">
        <f t="shared" ca="1" si="461"/>
        <v>11.215496368038743</v>
      </c>
      <c r="BB425" s="21">
        <f t="shared" ca="1" si="462"/>
        <v>0.87950678944904004</v>
      </c>
    </row>
    <row r="426" spans="6:54">
      <c r="F426" s="2"/>
      <c r="AQ426" s="2">
        <f t="shared" si="495"/>
        <v>307</v>
      </c>
      <c r="AR426" s="2" t="str">
        <f t="shared" ref="AR426:AS426" si="516">AR423</f>
        <v>CWF</v>
      </c>
      <c r="AS426" s="1">
        <f t="shared" si="516"/>
        <v>1</v>
      </c>
      <c r="AT426" s="2">
        <f t="shared" si="497"/>
        <v>6</v>
      </c>
      <c r="AU426" s="2">
        <f t="shared" si="498"/>
        <v>3</v>
      </c>
      <c r="AV426" s="52" t="str">
        <f t="shared" si="457"/>
        <v>data1!R27C10</v>
      </c>
      <c r="AW426" s="52" t="str">
        <f t="shared" si="458"/>
        <v>data1!R28C10</v>
      </c>
      <c r="AX426" s="2">
        <f t="shared" si="481"/>
        <v>300</v>
      </c>
      <c r="AY426" s="25">
        <f t="shared" ca="1" si="459"/>
        <v>26.608695652173914</v>
      </c>
      <c r="AZ426" s="6">
        <f t="shared" ca="1" si="460"/>
        <v>1.1383399209486171</v>
      </c>
      <c r="BA426" s="27">
        <f t="shared" ca="1" si="461"/>
        <v>25.470355731225297</v>
      </c>
      <c r="BB426" s="21">
        <f t="shared" ca="1" si="462"/>
        <v>4.2780748663101623E-2</v>
      </c>
    </row>
    <row r="427" spans="6:54">
      <c r="F427" s="2"/>
      <c r="AQ427" s="2">
        <f t="shared" si="495"/>
        <v>308</v>
      </c>
      <c r="AR427" s="2" t="str">
        <f t="shared" ref="AR427:AS427" si="517">AR424</f>
        <v>D65</v>
      </c>
      <c r="AS427" s="1">
        <f t="shared" si="517"/>
        <v>2</v>
      </c>
      <c r="AT427" s="2">
        <f t="shared" si="497"/>
        <v>6</v>
      </c>
      <c r="AU427" s="2">
        <f t="shared" si="498"/>
        <v>3</v>
      </c>
      <c r="AV427" s="52" t="str">
        <f t="shared" si="457"/>
        <v>data2!R27C10</v>
      </c>
      <c r="AW427" s="52" t="str">
        <f t="shared" si="458"/>
        <v>data2!R28C10</v>
      </c>
      <c r="AX427" s="2">
        <f t="shared" si="481"/>
        <v>300</v>
      </c>
      <c r="AY427" s="25">
        <f t="shared" ca="1" si="459"/>
        <v>64.654804270462634</v>
      </c>
      <c r="AZ427" s="6">
        <f t="shared" ca="1" si="460"/>
        <v>34.185053380782918</v>
      </c>
      <c r="BA427" s="27">
        <f t="shared" ca="1" si="461"/>
        <v>30.469750889679716</v>
      </c>
      <c r="BB427" s="21">
        <f t="shared" ca="1" si="462"/>
        <v>0.52873183619550856</v>
      </c>
    </row>
    <row r="428" spans="6:54">
      <c r="F428" s="2"/>
      <c r="AQ428" s="2">
        <f t="shared" si="495"/>
        <v>309</v>
      </c>
      <c r="AR428" s="2" t="str">
        <f t="shared" ref="AR428:AS428" si="518">AR425</f>
        <v>A</v>
      </c>
      <c r="AS428" s="1">
        <f t="shared" si="518"/>
        <v>0</v>
      </c>
      <c r="AT428" s="2">
        <f t="shared" si="497"/>
        <v>7</v>
      </c>
      <c r="AU428" s="2">
        <f t="shared" si="498"/>
        <v>3</v>
      </c>
      <c r="AV428" s="52" t="str">
        <f t="shared" si="457"/>
        <v>data0!R27C11</v>
      </c>
      <c r="AW428" s="52" t="str">
        <f t="shared" si="458"/>
        <v>data0!R28C11</v>
      </c>
      <c r="AX428" s="2">
        <f t="shared" si="481"/>
        <v>300</v>
      </c>
      <c r="AY428" s="25">
        <f t="shared" ca="1" si="459"/>
        <v>93.079903147699753</v>
      </c>
      <c r="AZ428" s="6">
        <f t="shared" ca="1" si="460"/>
        <v>81.86440677966101</v>
      </c>
      <c r="BA428" s="27">
        <f t="shared" ca="1" si="461"/>
        <v>11.215496368038743</v>
      </c>
      <c r="BB428" s="21">
        <f t="shared" ca="1" si="462"/>
        <v>0.87950678944904004</v>
      </c>
    </row>
    <row r="429" spans="6:54">
      <c r="F429" s="2"/>
      <c r="AQ429" s="2">
        <f t="shared" si="495"/>
        <v>310</v>
      </c>
      <c r="AR429" s="2" t="str">
        <f t="shared" ref="AR429:AS429" si="519">AR426</f>
        <v>CWF</v>
      </c>
      <c r="AS429" s="1">
        <f t="shared" si="519"/>
        <v>1</v>
      </c>
      <c r="AT429" s="2">
        <f t="shared" si="497"/>
        <v>7</v>
      </c>
      <c r="AU429" s="2">
        <f t="shared" si="498"/>
        <v>3</v>
      </c>
      <c r="AV429" s="52" t="str">
        <f t="shared" si="457"/>
        <v>data1!R27C11</v>
      </c>
      <c r="AW429" s="52" t="str">
        <f t="shared" si="458"/>
        <v>data1!R28C11</v>
      </c>
      <c r="AX429" s="2">
        <f t="shared" si="481"/>
        <v>300</v>
      </c>
      <c r="AY429" s="25">
        <f t="shared" ca="1" si="459"/>
        <v>26.608695652173914</v>
      </c>
      <c r="AZ429" s="6">
        <f t="shared" ca="1" si="460"/>
        <v>1.1383399209486171</v>
      </c>
      <c r="BA429" s="27">
        <f t="shared" ca="1" si="461"/>
        <v>25.470355731225297</v>
      </c>
      <c r="BB429" s="21">
        <f t="shared" ca="1" si="462"/>
        <v>4.2780748663101623E-2</v>
      </c>
    </row>
    <row r="430" spans="6:54">
      <c r="F430" s="2"/>
      <c r="AQ430" s="2">
        <f t="shared" si="495"/>
        <v>311</v>
      </c>
      <c r="AR430" s="2" t="str">
        <f t="shared" ref="AR430:AS430" si="520">AR427</f>
        <v>D65</v>
      </c>
      <c r="AS430" s="1">
        <f t="shared" si="520"/>
        <v>2</v>
      </c>
      <c r="AT430" s="2">
        <f t="shared" si="497"/>
        <v>7</v>
      </c>
      <c r="AU430" s="2">
        <f t="shared" si="498"/>
        <v>3</v>
      </c>
      <c r="AV430" s="52" t="str">
        <f t="shared" si="457"/>
        <v>data2!R27C11</v>
      </c>
      <c r="AW430" s="52" t="str">
        <f t="shared" si="458"/>
        <v>data2!R28C11</v>
      </c>
      <c r="AX430" s="2">
        <f t="shared" si="481"/>
        <v>300</v>
      </c>
      <c r="AY430" s="25">
        <f t="shared" ca="1" si="459"/>
        <v>64.654804270462634</v>
      </c>
      <c r="AZ430" s="6">
        <f t="shared" ca="1" si="460"/>
        <v>34.185053380782918</v>
      </c>
      <c r="BA430" s="27">
        <f t="shared" ca="1" si="461"/>
        <v>30.469750889679716</v>
      </c>
      <c r="BB430" s="21">
        <f t="shared" ca="1" si="462"/>
        <v>0.52873183619550856</v>
      </c>
    </row>
    <row r="431" spans="6:54">
      <c r="F431" s="2"/>
      <c r="AQ431" s="2">
        <f t="shared" si="495"/>
        <v>312</v>
      </c>
      <c r="AR431" s="2" t="str">
        <f t="shared" ref="AR431:AS431" si="521">AR428</f>
        <v>A</v>
      </c>
      <c r="AS431" s="1">
        <f t="shared" si="521"/>
        <v>0</v>
      </c>
      <c r="AT431" s="2">
        <f t="shared" si="497"/>
        <v>8</v>
      </c>
      <c r="AU431" s="2">
        <f t="shared" si="498"/>
        <v>3</v>
      </c>
      <c r="AV431" s="52" t="str">
        <f t="shared" si="457"/>
        <v>data0!R27C12</v>
      </c>
      <c r="AW431" s="52" t="str">
        <f t="shared" si="458"/>
        <v>data0!R28C12</v>
      </c>
      <c r="AX431" s="2">
        <f t="shared" si="481"/>
        <v>300</v>
      </c>
      <c r="AY431" s="25">
        <f t="shared" ca="1" si="459"/>
        <v>93.079903147699753</v>
      </c>
      <c r="AZ431" s="6">
        <f t="shared" ca="1" si="460"/>
        <v>81.86440677966101</v>
      </c>
      <c r="BA431" s="27">
        <f t="shared" ca="1" si="461"/>
        <v>11.215496368038743</v>
      </c>
      <c r="BB431" s="21">
        <f t="shared" ca="1" si="462"/>
        <v>0.87950678944904004</v>
      </c>
    </row>
    <row r="432" spans="6:54">
      <c r="F432" s="2"/>
      <c r="AQ432" s="2">
        <f t="shared" si="495"/>
        <v>313</v>
      </c>
      <c r="AR432" s="2" t="str">
        <f t="shared" ref="AR432:AS432" si="522">AR429</f>
        <v>CWF</v>
      </c>
      <c r="AS432" s="1">
        <f t="shared" si="522"/>
        <v>1</v>
      </c>
      <c r="AT432" s="2">
        <f t="shared" si="497"/>
        <v>8</v>
      </c>
      <c r="AU432" s="2">
        <f t="shared" si="498"/>
        <v>3</v>
      </c>
      <c r="AV432" s="52" t="str">
        <f t="shared" si="457"/>
        <v>data1!R27C12</v>
      </c>
      <c r="AW432" s="52" t="str">
        <f t="shared" si="458"/>
        <v>data1!R28C12</v>
      </c>
      <c r="AX432" s="2">
        <f t="shared" si="481"/>
        <v>300</v>
      </c>
      <c r="AY432" s="25">
        <f t="shared" ca="1" si="459"/>
        <v>26.608695652173914</v>
      </c>
      <c r="AZ432" s="6">
        <f t="shared" ca="1" si="460"/>
        <v>1.1383399209486171</v>
      </c>
      <c r="BA432" s="27">
        <f t="shared" ca="1" si="461"/>
        <v>25.470355731225297</v>
      </c>
      <c r="BB432" s="21">
        <f t="shared" ca="1" si="462"/>
        <v>4.2780748663101623E-2</v>
      </c>
    </row>
    <row r="433" spans="6:54">
      <c r="F433" s="2"/>
      <c r="AQ433" s="2">
        <f t="shared" si="495"/>
        <v>314</v>
      </c>
      <c r="AR433" s="2" t="str">
        <f t="shared" ref="AR433:AS433" si="523">AR430</f>
        <v>D65</v>
      </c>
      <c r="AS433" s="1">
        <f t="shared" si="523"/>
        <v>2</v>
      </c>
      <c r="AT433" s="2">
        <f t="shared" si="497"/>
        <v>8</v>
      </c>
      <c r="AU433" s="2">
        <f t="shared" si="498"/>
        <v>3</v>
      </c>
      <c r="AV433" s="52" t="str">
        <f t="shared" si="457"/>
        <v>data2!R27C12</v>
      </c>
      <c r="AW433" s="52" t="str">
        <f t="shared" si="458"/>
        <v>data2!R28C12</v>
      </c>
      <c r="AX433" s="2">
        <f t="shared" si="481"/>
        <v>300</v>
      </c>
      <c r="AY433" s="25">
        <f t="shared" ca="1" si="459"/>
        <v>64.654804270462634</v>
      </c>
      <c r="AZ433" s="6">
        <f t="shared" ca="1" si="460"/>
        <v>34.185053380782918</v>
      </c>
      <c r="BA433" s="27">
        <f t="shared" ca="1" si="461"/>
        <v>30.469750889679716</v>
      </c>
      <c r="BB433" s="21">
        <f t="shared" ca="1" si="462"/>
        <v>0.52873183619550856</v>
      </c>
    </row>
    <row r="434" spans="6:54">
      <c r="F434" s="2"/>
      <c r="AQ434" s="2">
        <f t="shared" si="495"/>
        <v>315</v>
      </c>
      <c r="AR434" s="2" t="str">
        <f t="shared" ref="AR434:AS434" si="524">AR431</f>
        <v>A</v>
      </c>
      <c r="AS434" s="1">
        <f t="shared" si="524"/>
        <v>0</v>
      </c>
      <c r="AT434" s="2">
        <f t="shared" si="497"/>
        <v>9</v>
      </c>
      <c r="AU434" s="2">
        <f t="shared" si="498"/>
        <v>3</v>
      </c>
      <c r="AV434" s="52" t="str">
        <f t="shared" si="457"/>
        <v>data0!R27C13</v>
      </c>
      <c r="AW434" s="52" t="str">
        <f t="shared" si="458"/>
        <v>data0!R28C13</v>
      </c>
      <c r="AX434" s="2">
        <f t="shared" si="481"/>
        <v>300</v>
      </c>
      <c r="AY434" s="25">
        <f t="shared" ca="1" si="459"/>
        <v>93.079903147699753</v>
      </c>
      <c r="AZ434" s="6">
        <f t="shared" ca="1" si="460"/>
        <v>81.86440677966101</v>
      </c>
      <c r="BA434" s="27">
        <f t="shared" ca="1" si="461"/>
        <v>11.215496368038743</v>
      </c>
      <c r="BB434" s="21">
        <f t="shared" ca="1" si="462"/>
        <v>0.87950678944904004</v>
      </c>
    </row>
    <row r="435" spans="6:54">
      <c r="F435" s="2"/>
      <c r="AQ435" s="2">
        <f t="shared" si="495"/>
        <v>316</v>
      </c>
      <c r="AR435" s="2" t="str">
        <f t="shared" ref="AR435:AS435" si="525">AR432</f>
        <v>CWF</v>
      </c>
      <c r="AS435" s="1">
        <f t="shared" si="525"/>
        <v>1</v>
      </c>
      <c r="AT435" s="2">
        <f t="shared" si="497"/>
        <v>9</v>
      </c>
      <c r="AU435" s="2">
        <f t="shared" si="498"/>
        <v>3</v>
      </c>
      <c r="AV435" s="52" t="str">
        <f t="shared" si="457"/>
        <v>data1!R27C13</v>
      </c>
      <c r="AW435" s="52" t="str">
        <f t="shared" si="458"/>
        <v>data1!R28C13</v>
      </c>
      <c r="AX435" s="2">
        <f t="shared" si="481"/>
        <v>300</v>
      </c>
      <c r="AY435" s="25">
        <f t="shared" ca="1" si="459"/>
        <v>26.608695652173914</v>
      </c>
      <c r="AZ435" s="6">
        <f t="shared" ca="1" si="460"/>
        <v>1.1383399209486171</v>
      </c>
      <c r="BA435" s="27">
        <f t="shared" ca="1" si="461"/>
        <v>25.470355731225297</v>
      </c>
      <c r="BB435" s="21">
        <f t="shared" ca="1" si="462"/>
        <v>4.2780748663101623E-2</v>
      </c>
    </row>
    <row r="436" spans="6:54">
      <c r="F436" s="2"/>
      <c r="AQ436" s="2">
        <f t="shared" si="495"/>
        <v>317</v>
      </c>
      <c r="AR436" s="2" t="str">
        <f t="shared" ref="AR436:AS436" si="526">AR433</f>
        <v>D65</v>
      </c>
      <c r="AS436" s="1">
        <f t="shared" si="526"/>
        <v>2</v>
      </c>
      <c r="AT436" s="2">
        <f t="shared" si="497"/>
        <v>9</v>
      </c>
      <c r="AU436" s="2">
        <f t="shared" si="498"/>
        <v>3</v>
      </c>
      <c r="AV436" s="52" t="str">
        <f t="shared" si="457"/>
        <v>data2!R27C13</v>
      </c>
      <c r="AW436" s="52" t="str">
        <f t="shared" si="458"/>
        <v>data2!R28C13</v>
      </c>
      <c r="AX436" s="2">
        <f t="shared" si="481"/>
        <v>300</v>
      </c>
      <c r="AY436" s="25">
        <f t="shared" ca="1" si="459"/>
        <v>64.654804270462634</v>
      </c>
      <c r="AZ436" s="6">
        <f t="shared" ca="1" si="460"/>
        <v>34.185053380782918</v>
      </c>
      <c r="BA436" s="27">
        <f t="shared" ca="1" si="461"/>
        <v>30.469750889679716</v>
      </c>
      <c r="BB436" s="21">
        <f t="shared" ca="1" si="462"/>
        <v>0.52873183619550856</v>
      </c>
    </row>
    <row r="437" spans="6:54">
      <c r="F437" s="2"/>
      <c r="AQ437" s="2">
        <f t="shared" si="495"/>
        <v>318</v>
      </c>
      <c r="AR437" s="2" t="str">
        <f t="shared" ref="AR437:AS437" si="527">AR434</f>
        <v>A</v>
      </c>
      <c r="AS437" s="1">
        <f t="shared" si="527"/>
        <v>0</v>
      </c>
      <c r="AT437" s="2">
        <f t="shared" si="497"/>
        <v>10</v>
      </c>
      <c r="AU437" s="2">
        <f t="shared" si="498"/>
        <v>3</v>
      </c>
      <c r="AV437" s="52" t="str">
        <f t="shared" si="457"/>
        <v>data0!R27C14</v>
      </c>
      <c r="AW437" s="52" t="str">
        <f t="shared" si="458"/>
        <v>data0!R28C14</v>
      </c>
      <c r="AX437" s="2">
        <f t="shared" si="481"/>
        <v>300</v>
      </c>
      <c r="AY437" s="25">
        <f t="shared" ca="1" si="459"/>
        <v>93.079903147699753</v>
      </c>
      <c r="AZ437" s="6">
        <f t="shared" ca="1" si="460"/>
        <v>81.86440677966101</v>
      </c>
      <c r="BA437" s="27">
        <f t="shared" ca="1" si="461"/>
        <v>11.215496368038743</v>
      </c>
      <c r="BB437" s="21">
        <f t="shared" ca="1" si="462"/>
        <v>0.87950678944904004</v>
      </c>
    </row>
    <row r="438" spans="6:54">
      <c r="F438" s="2"/>
      <c r="AQ438" s="2">
        <f t="shared" si="495"/>
        <v>319</v>
      </c>
      <c r="AR438" s="2" t="str">
        <f t="shared" ref="AR438:AS438" si="528">AR435</f>
        <v>CWF</v>
      </c>
      <c r="AS438" s="1">
        <f t="shared" si="528"/>
        <v>1</v>
      </c>
      <c r="AT438" s="2">
        <f t="shared" si="497"/>
        <v>10</v>
      </c>
      <c r="AU438" s="2">
        <f t="shared" si="498"/>
        <v>3</v>
      </c>
      <c r="AV438" s="52" t="str">
        <f t="shared" si="457"/>
        <v>data1!R27C14</v>
      </c>
      <c r="AW438" s="52" t="str">
        <f t="shared" si="458"/>
        <v>data1!R28C14</v>
      </c>
      <c r="AX438" s="2">
        <f t="shared" si="481"/>
        <v>300</v>
      </c>
      <c r="AY438" s="25">
        <f t="shared" ca="1" si="459"/>
        <v>26.608695652173914</v>
      </c>
      <c r="AZ438" s="6">
        <f t="shared" ca="1" si="460"/>
        <v>1.1383399209486171</v>
      </c>
      <c r="BA438" s="27">
        <f t="shared" ca="1" si="461"/>
        <v>25.470355731225297</v>
      </c>
      <c r="BB438" s="21">
        <f t="shared" ca="1" si="462"/>
        <v>4.2780748663101623E-2</v>
      </c>
    </row>
    <row r="439" spans="6:54">
      <c r="F439" s="2"/>
      <c r="AQ439" s="2">
        <f t="shared" si="495"/>
        <v>320</v>
      </c>
      <c r="AR439" s="2" t="str">
        <f t="shared" ref="AR439:AS439" si="529">AR436</f>
        <v>D65</v>
      </c>
      <c r="AS439" s="1">
        <f t="shared" si="529"/>
        <v>2</v>
      </c>
      <c r="AT439" s="2">
        <f t="shared" si="497"/>
        <v>10</v>
      </c>
      <c r="AU439" s="2">
        <f t="shared" si="498"/>
        <v>3</v>
      </c>
      <c r="AV439" s="52" t="str">
        <f t="shared" si="457"/>
        <v>data2!R27C14</v>
      </c>
      <c r="AW439" s="52" t="str">
        <f t="shared" si="458"/>
        <v>data2!R28C14</v>
      </c>
      <c r="AX439" s="2">
        <f t="shared" si="481"/>
        <v>300</v>
      </c>
      <c r="AY439" s="25">
        <f t="shared" ca="1" si="459"/>
        <v>64.654804270462634</v>
      </c>
      <c r="AZ439" s="6">
        <f t="shared" ca="1" si="460"/>
        <v>34.185053380782918</v>
      </c>
      <c r="BA439" s="27">
        <f t="shared" ca="1" si="461"/>
        <v>30.469750889679716</v>
      </c>
      <c r="BB439" s="21">
        <f t="shared" ca="1" si="462"/>
        <v>0.52873183619550856</v>
      </c>
    </row>
    <row r="440" spans="6:54">
      <c r="F440" s="2"/>
      <c r="AQ440" s="2">
        <f t="shared" si="495"/>
        <v>321</v>
      </c>
      <c r="AR440" s="2" t="str">
        <f t="shared" ref="AR440:AS440" si="530">AR437</f>
        <v>A</v>
      </c>
      <c r="AS440" s="1">
        <f t="shared" si="530"/>
        <v>0</v>
      </c>
      <c r="AT440" s="2">
        <f t="shared" si="497"/>
        <v>11</v>
      </c>
      <c r="AU440" s="2">
        <f t="shared" si="498"/>
        <v>3</v>
      </c>
      <c r="AV440" s="52" t="str">
        <f t="shared" ref="AV440:AV502" si="531">"data"&amp;AS440&amp;"!R"&amp;($AV$117+2*AU440)&amp;"C"&amp;($AW$117+AT440)</f>
        <v>data0!R27C15</v>
      </c>
      <c r="AW440" s="52" t="str">
        <f t="shared" ref="AW440:AW502" si="532">"data"&amp;AS440&amp;"!R"&amp;(1+$AV$117+2*AU440)&amp;"C"&amp;($AW$117+AT440)</f>
        <v>data0!R28C15</v>
      </c>
      <c r="AX440" s="2">
        <f t="shared" si="481"/>
        <v>300</v>
      </c>
      <c r="AY440" s="25">
        <f t="shared" ref="AY440:AY502" ca="1" si="533">INDIRECT(AV440,FALSE)</f>
        <v>93.079903147699753</v>
      </c>
      <c r="AZ440" s="6">
        <f t="shared" ref="AZ440:AZ502" ca="1" si="534">AY440-INDIRECT(AW440,FALSE)</f>
        <v>81.86440677966101</v>
      </c>
      <c r="BA440" s="27">
        <f t="shared" ref="BA440:BA502" ca="1" si="535">AY440-AZ440</f>
        <v>11.215496368038743</v>
      </c>
      <c r="BB440" s="21">
        <f t="shared" ref="BB440:BB502" ca="1" si="536">AZ440/AY440</f>
        <v>0.87950678944904004</v>
      </c>
    </row>
    <row r="441" spans="6:54">
      <c r="F441" s="2"/>
      <c r="AQ441" s="2">
        <f t="shared" si="495"/>
        <v>322</v>
      </c>
      <c r="AR441" s="2" t="str">
        <f t="shared" ref="AR441:AS441" si="537">AR438</f>
        <v>CWF</v>
      </c>
      <c r="AS441" s="1">
        <f t="shared" si="537"/>
        <v>1</v>
      </c>
      <c r="AT441" s="2">
        <f t="shared" si="497"/>
        <v>11</v>
      </c>
      <c r="AU441" s="2">
        <f t="shared" si="498"/>
        <v>3</v>
      </c>
      <c r="AV441" s="52" t="str">
        <f t="shared" si="531"/>
        <v>data1!R27C15</v>
      </c>
      <c r="AW441" s="52" t="str">
        <f t="shared" si="532"/>
        <v>data1!R28C15</v>
      </c>
      <c r="AX441" s="2">
        <f t="shared" si="481"/>
        <v>300</v>
      </c>
      <c r="AY441" s="25">
        <f t="shared" ca="1" si="533"/>
        <v>26.608695652173914</v>
      </c>
      <c r="AZ441" s="6">
        <f t="shared" ca="1" si="534"/>
        <v>1.1383399209486171</v>
      </c>
      <c r="BA441" s="27">
        <f t="shared" ca="1" si="535"/>
        <v>25.470355731225297</v>
      </c>
      <c r="BB441" s="21">
        <f t="shared" ca="1" si="536"/>
        <v>4.2780748663101623E-2</v>
      </c>
    </row>
    <row r="442" spans="6:54">
      <c r="F442" s="2"/>
      <c r="AQ442" s="2">
        <f t="shared" si="495"/>
        <v>323</v>
      </c>
      <c r="AR442" s="2" t="str">
        <f t="shared" ref="AR442:AS442" si="538">AR439</f>
        <v>D65</v>
      </c>
      <c r="AS442" s="1">
        <f t="shared" si="538"/>
        <v>2</v>
      </c>
      <c r="AT442" s="2">
        <f t="shared" si="497"/>
        <v>11</v>
      </c>
      <c r="AU442" s="2">
        <f t="shared" si="498"/>
        <v>3</v>
      </c>
      <c r="AV442" s="52" t="str">
        <f t="shared" si="531"/>
        <v>data2!R27C15</v>
      </c>
      <c r="AW442" s="52" t="str">
        <f t="shared" si="532"/>
        <v>data2!R28C15</v>
      </c>
      <c r="AX442" s="2">
        <f t="shared" si="481"/>
        <v>300</v>
      </c>
      <c r="AY442" s="25">
        <f t="shared" ca="1" si="533"/>
        <v>64.654804270462634</v>
      </c>
      <c r="AZ442" s="6">
        <f t="shared" ca="1" si="534"/>
        <v>34.185053380782918</v>
      </c>
      <c r="BA442" s="27">
        <f t="shared" ca="1" si="535"/>
        <v>30.469750889679716</v>
      </c>
      <c r="BB442" s="21">
        <f t="shared" ca="1" si="536"/>
        <v>0.52873183619550856</v>
      </c>
    </row>
    <row r="443" spans="6:54">
      <c r="F443" s="2"/>
      <c r="AQ443" s="2">
        <f t="shared" si="495"/>
        <v>324</v>
      </c>
      <c r="AR443" s="2" t="str">
        <f t="shared" ref="AR443:AS443" si="539">AR440</f>
        <v>A</v>
      </c>
      <c r="AS443" s="1">
        <f t="shared" si="539"/>
        <v>0</v>
      </c>
      <c r="AT443" s="2">
        <f t="shared" si="497"/>
        <v>12</v>
      </c>
      <c r="AU443" s="2">
        <f t="shared" si="498"/>
        <v>3</v>
      </c>
      <c r="AV443" s="52" t="str">
        <f t="shared" si="531"/>
        <v>data0!R27C16</v>
      </c>
      <c r="AW443" s="52" t="str">
        <f t="shared" si="532"/>
        <v>data0!R28C16</v>
      </c>
      <c r="AX443" s="2">
        <f t="shared" si="481"/>
        <v>300</v>
      </c>
      <c r="AY443" s="25">
        <f t="shared" ca="1" si="533"/>
        <v>93.079903147699753</v>
      </c>
      <c r="AZ443" s="6">
        <f t="shared" ca="1" si="534"/>
        <v>81.86440677966101</v>
      </c>
      <c r="BA443" s="27">
        <f t="shared" ca="1" si="535"/>
        <v>11.215496368038743</v>
      </c>
      <c r="BB443" s="21">
        <f t="shared" ca="1" si="536"/>
        <v>0.87950678944904004</v>
      </c>
    </row>
    <row r="444" spans="6:54">
      <c r="F444" s="2"/>
      <c r="AQ444" s="2">
        <f t="shared" si="495"/>
        <v>325</v>
      </c>
      <c r="AR444" s="2" t="str">
        <f t="shared" ref="AR444:AS444" si="540">AR441</f>
        <v>CWF</v>
      </c>
      <c r="AS444" s="1">
        <f t="shared" si="540"/>
        <v>1</v>
      </c>
      <c r="AT444" s="2">
        <f t="shared" si="497"/>
        <v>12</v>
      </c>
      <c r="AU444" s="2">
        <f t="shared" si="498"/>
        <v>3</v>
      </c>
      <c r="AV444" s="52" t="str">
        <f t="shared" si="531"/>
        <v>data1!R27C16</v>
      </c>
      <c r="AW444" s="52" t="str">
        <f t="shared" si="532"/>
        <v>data1!R28C16</v>
      </c>
      <c r="AX444" s="2">
        <f t="shared" si="481"/>
        <v>300</v>
      </c>
      <c r="AY444" s="25">
        <f t="shared" ca="1" si="533"/>
        <v>26.608695652173914</v>
      </c>
      <c r="AZ444" s="6">
        <f t="shared" ca="1" si="534"/>
        <v>1.1383399209486171</v>
      </c>
      <c r="BA444" s="27">
        <f t="shared" ca="1" si="535"/>
        <v>25.470355731225297</v>
      </c>
      <c r="BB444" s="21">
        <f t="shared" ca="1" si="536"/>
        <v>4.2780748663101623E-2</v>
      </c>
    </row>
    <row r="445" spans="6:54">
      <c r="F445" s="2"/>
      <c r="AQ445" s="2">
        <f t="shared" si="495"/>
        <v>326</v>
      </c>
      <c r="AR445" s="2" t="str">
        <f t="shared" ref="AR445:AS445" si="541">AR442</f>
        <v>D65</v>
      </c>
      <c r="AS445" s="1">
        <f t="shared" si="541"/>
        <v>2</v>
      </c>
      <c r="AT445" s="2">
        <f t="shared" si="497"/>
        <v>12</v>
      </c>
      <c r="AU445" s="2">
        <f t="shared" si="498"/>
        <v>3</v>
      </c>
      <c r="AV445" s="52" t="str">
        <f t="shared" si="531"/>
        <v>data2!R27C16</v>
      </c>
      <c r="AW445" s="52" t="str">
        <f t="shared" si="532"/>
        <v>data2!R28C16</v>
      </c>
      <c r="AX445" s="2">
        <f t="shared" si="481"/>
        <v>300</v>
      </c>
      <c r="AY445" s="25">
        <f t="shared" ca="1" si="533"/>
        <v>64.654804270462634</v>
      </c>
      <c r="AZ445" s="6">
        <f t="shared" ca="1" si="534"/>
        <v>34.185053380782918</v>
      </c>
      <c r="BA445" s="27">
        <f t="shared" ca="1" si="535"/>
        <v>30.469750889679716</v>
      </c>
      <c r="BB445" s="21">
        <f t="shared" ca="1" si="536"/>
        <v>0.52873183619550856</v>
      </c>
    </row>
    <row r="446" spans="6:54">
      <c r="F446" s="2"/>
      <c r="AQ446" s="2">
        <f t="shared" si="495"/>
        <v>327</v>
      </c>
      <c r="AR446" s="2" t="str">
        <f t="shared" ref="AR446:AS446" si="542">AR443</f>
        <v>A</v>
      </c>
      <c r="AS446" s="1">
        <f t="shared" si="542"/>
        <v>0</v>
      </c>
      <c r="AT446" s="2">
        <f t="shared" si="497"/>
        <v>13</v>
      </c>
      <c r="AU446" s="2">
        <f t="shared" si="498"/>
        <v>3</v>
      </c>
      <c r="AV446" s="52" t="str">
        <f t="shared" si="531"/>
        <v>data0!R27C17</v>
      </c>
      <c r="AW446" s="52" t="str">
        <f t="shared" si="532"/>
        <v>data0!R28C17</v>
      </c>
      <c r="AX446" s="2">
        <f t="shared" si="481"/>
        <v>300</v>
      </c>
      <c r="AY446" s="25">
        <f t="shared" ca="1" si="533"/>
        <v>93.079903147699753</v>
      </c>
      <c r="AZ446" s="6">
        <f t="shared" ca="1" si="534"/>
        <v>81.86440677966101</v>
      </c>
      <c r="BA446" s="27">
        <f t="shared" ca="1" si="535"/>
        <v>11.215496368038743</v>
      </c>
      <c r="BB446" s="21">
        <f t="shared" ca="1" si="536"/>
        <v>0.87950678944904004</v>
      </c>
    </row>
    <row r="447" spans="6:54">
      <c r="F447" s="2"/>
      <c r="AQ447" s="2">
        <f t="shared" si="495"/>
        <v>328</v>
      </c>
      <c r="AR447" s="2" t="str">
        <f t="shared" ref="AR447:AS447" si="543">AR444</f>
        <v>CWF</v>
      </c>
      <c r="AS447" s="1">
        <f t="shared" si="543"/>
        <v>1</v>
      </c>
      <c r="AT447" s="2">
        <f t="shared" si="497"/>
        <v>13</v>
      </c>
      <c r="AU447" s="2">
        <f t="shared" si="498"/>
        <v>3</v>
      </c>
      <c r="AV447" s="52" t="str">
        <f t="shared" si="531"/>
        <v>data1!R27C17</v>
      </c>
      <c r="AW447" s="52" t="str">
        <f t="shared" si="532"/>
        <v>data1!R28C17</v>
      </c>
      <c r="AX447" s="2">
        <f t="shared" si="481"/>
        <v>300</v>
      </c>
      <c r="AY447" s="25">
        <f t="shared" ca="1" si="533"/>
        <v>26.608695652173914</v>
      </c>
      <c r="AZ447" s="6">
        <f t="shared" ca="1" si="534"/>
        <v>1.1383399209486171</v>
      </c>
      <c r="BA447" s="27">
        <f t="shared" ca="1" si="535"/>
        <v>25.470355731225297</v>
      </c>
      <c r="BB447" s="21">
        <f t="shared" ca="1" si="536"/>
        <v>4.2780748663101623E-2</v>
      </c>
    </row>
    <row r="448" spans="6:54">
      <c r="F448" s="2"/>
      <c r="AQ448" s="2">
        <f t="shared" si="495"/>
        <v>329</v>
      </c>
      <c r="AR448" s="2" t="str">
        <f t="shared" ref="AR448:AS448" si="544">AR445</f>
        <v>D65</v>
      </c>
      <c r="AS448" s="1">
        <f t="shared" si="544"/>
        <v>2</v>
      </c>
      <c r="AT448" s="2">
        <f t="shared" si="497"/>
        <v>13</v>
      </c>
      <c r="AU448" s="2">
        <f t="shared" si="498"/>
        <v>3</v>
      </c>
      <c r="AV448" s="52" t="str">
        <f t="shared" si="531"/>
        <v>data2!R27C17</v>
      </c>
      <c r="AW448" s="52" t="str">
        <f t="shared" si="532"/>
        <v>data2!R28C17</v>
      </c>
      <c r="AX448" s="2">
        <f t="shared" si="481"/>
        <v>300</v>
      </c>
      <c r="AY448" s="25">
        <f t="shared" ca="1" si="533"/>
        <v>64.654804270462634</v>
      </c>
      <c r="AZ448" s="6">
        <f t="shared" ca="1" si="534"/>
        <v>34.185053380782918</v>
      </c>
      <c r="BA448" s="27">
        <f t="shared" ca="1" si="535"/>
        <v>30.469750889679716</v>
      </c>
      <c r="BB448" s="21">
        <f t="shared" ca="1" si="536"/>
        <v>0.52873183619550856</v>
      </c>
    </row>
    <row r="449" spans="6:54">
      <c r="F449" s="2"/>
      <c r="AQ449" s="2">
        <f t="shared" si="495"/>
        <v>330</v>
      </c>
      <c r="AR449" s="2" t="str">
        <f t="shared" ref="AR449:AS449" si="545">AR446</f>
        <v>A</v>
      </c>
      <c r="AS449" s="1">
        <f t="shared" si="545"/>
        <v>0</v>
      </c>
      <c r="AT449" s="2">
        <f t="shared" si="497"/>
        <v>14</v>
      </c>
      <c r="AU449" s="2">
        <f t="shared" si="498"/>
        <v>3</v>
      </c>
      <c r="AV449" s="52" t="str">
        <f t="shared" si="531"/>
        <v>data0!R27C18</v>
      </c>
      <c r="AW449" s="52" t="str">
        <f t="shared" si="532"/>
        <v>data0!R28C18</v>
      </c>
      <c r="AX449" s="2">
        <f t="shared" si="481"/>
        <v>300</v>
      </c>
      <c r="AY449" s="25">
        <f t="shared" ca="1" si="533"/>
        <v>93.079903147699753</v>
      </c>
      <c r="AZ449" s="6">
        <f t="shared" ca="1" si="534"/>
        <v>81.86440677966101</v>
      </c>
      <c r="BA449" s="27">
        <f t="shared" ca="1" si="535"/>
        <v>11.215496368038743</v>
      </c>
      <c r="BB449" s="21">
        <f t="shared" ca="1" si="536"/>
        <v>0.87950678944904004</v>
      </c>
    </row>
    <row r="450" spans="6:54">
      <c r="F450" s="2"/>
      <c r="AQ450" s="2">
        <f t="shared" si="495"/>
        <v>331</v>
      </c>
      <c r="AR450" s="2" t="str">
        <f t="shared" ref="AR450:AS450" si="546">AR447</f>
        <v>CWF</v>
      </c>
      <c r="AS450" s="1">
        <f t="shared" si="546"/>
        <v>1</v>
      </c>
      <c r="AT450" s="2">
        <f t="shared" si="497"/>
        <v>14</v>
      </c>
      <c r="AU450" s="2">
        <f t="shared" si="498"/>
        <v>3</v>
      </c>
      <c r="AV450" s="52" t="str">
        <f t="shared" si="531"/>
        <v>data1!R27C18</v>
      </c>
      <c r="AW450" s="52" t="str">
        <f t="shared" si="532"/>
        <v>data1!R28C18</v>
      </c>
      <c r="AX450" s="2">
        <f t="shared" si="481"/>
        <v>300</v>
      </c>
      <c r="AY450" s="25">
        <f t="shared" ca="1" si="533"/>
        <v>26.608695652173914</v>
      </c>
      <c r="AZ450" s="6">
        <f t="shared" ca="1" si="534"/>
        <v>1.1383399209486171</v>
      </c>
      <c r="BA450" s="27">
        <f t="shared" ca="1" si="535"/>
        <v>25.470355731225297</v>
      </c>
      <c r="BB450" s="21">
        <f t="shared" ca="1" si="536"/>
        <v>4.2780748663101623E-2</v>
      </c>
    </row>
    <row r="451" spans="6:54">
      <c r="F451" s="2"/>
      <c r="AQ451" s="2">
        <f t="shared" si="495"/>
        <v>332</v>
      </c>
      <c r="AR451" s="2" t="str">
        <f t="shared" ref="AR451:AS451" si="547">AR448</f>
        <v>D65</v>
      </c>
      <c r="AS451" s="1">
        <f t="shared" si="547"/>
        <v>2</v>
      </c>
      <c r="AT451" s="2">
        <f t="shared" si="497"/>
        <v>14</v>
      </c>
      <c r="AU451" s="2">
        <f t="shared" si="498"/>
        <v>3</v>
      </c>
      <c r="AV451" s="52" t="str">
        <f t="shared" si="531"/>
        <v>data2!R27C18</v>
      </c>
      <c r="AW451" s="52" t="str">
        <f t="shared" si="532"/>
        <v>data2!R28C18</v>
      </c>
      <c r="AX451" s="2">
        <f t="shared" si="481"/>
        <v>300</v>
      </c>
      <c r="AY451" s="25">
        <f t="shared" ca="1" si="533"/>
        <v>64.654804270462634</v>
      </c>
      <c r="AZ451" s="6">
        <f t="shared" ca="1" si="534"/>
        <v>34.185053380782918</v>
      </c>
      <c r="BA451" s="27">
        <f t="shared" ca="1" si="535"/>
        <v>30.469750889679716</v>
      </c>
      <c r="BB451" s="21">
        <f t="shared" ca="1" si="536"/>
        <v>0.52873183619550856</v>
      </c>
    </row>
    <row r="452" spans="6:54">
      <c r="F452" s="2"/>
      <c r="AQ452" s="2">
        <f t="shared" si="495"/>
        <v>333</v>
      </c>
      <c r="AR452" s="2" t="str">
        <f t="shared" ref="AR452:AS452" si="548">AR449</f>
        <v>A</v>
      </c>
      <c r="AS452" s="1">
        <f t="shared" si="548"/>
        <v>0</v>
      </c>
      <c r="AT452" s="2">
        <f t="shared" si="497"/>
        <v>15</v>
      </c>
      <c r="AU452" s="2">
        <f t="shared" si="498"/>
        <v>3</v>
      </c>
      <c r="AV452" s="52" t="str">
        <f t="shared" si="531"/>
        <v>data0!R27C19</v>
      </c>
      <c r="AW452" s="52" t="str">
        <f t="shared" si="532"/>
        <v>data0!R28C19</v>
      </c>
      <c r="AX452" s="2">
        <f t="shared" si="481"/>
        <v>300</v>
      </c>
      <c r="AY452" s="25">
        <f t="shared" ca="1" si="533"/>
        <v>93.079903147699753</v>
      </c>
      <c r="AZ452" s="6">
        <f t="shared" ca="1" si="534"/>
        <v>81.86440677966101</v>
      </c>
      <c r="BA452" s="27">
        <f t="shared" ca="1" si="535"/>
        <v>11.215496368038743</v>
      </c>
      <c r="BB452" s="21">
        <f t="shared" ca="1" si="536"/>
        <v>0.87950678944904004</v>
      </c>
    </row>
    <row r="453" spans="6:54">
      <c r="F453" s="2"/>
      <c r="AQ453" s="2">
        <f t="shared" si="495"/>
        <v>334</v>
      </c>
      <c r="AR453" s="2" t="str">
        <f t="shared" ref="AR453:AS453" si="549">AR450</f>
        <v>CWF</v>
      </c>
      <c r="AS453" s="1">
        <f t="shared" si="549"/>
        <v>1</v>
      </c>
      <c r="AT453" s="2">
        <f t="shared" si="497"/>
        <v>15</v>
      </c>
      <c r="AU453" s="2">
        <f t="shared" si="498"/>
        <v>3</v>
      </c>
      <c r="AV453" s="52" t="str">
        <f t="shared" si="531"/>
        <v>data1!R27C19</v>
      </c>
      <c r="AW453" s="52" t="str">
        <f t="shared" si="532"/>
        <v>data1!R28C19</v>
      </c>
      <c r="AX453" s="2">
        <f t="shared" si="481"/>
        <v>300</v>
      </c>
      <c r="AY453" s="25">
        <f t="shared" ca="1" si="533"/>
        <v>26.608695652173914</v>
      </c>
      <c r="AZ453" s="6">
        <f t="shared" ca="1" si="534"/>
        <v>1.1383399209486171</v>
      </c>
      <c r="BA453" s="27">
        <f t="shared" ca="1" si="535"/>
        <v>25.470355731225297</v>
      </c>
      <c r="BB453" s="21">
        <f t="shared" ca="1" si="536"/>
        <v>4.2780748663101623E-2</v>
      </c>
    </row>
    <row r="454" spans="6:54">
      <c r="F454" s="2"/>
      <c r="AQ454" s="2">
        <f t="shared" si="495"/>
        <v>335</v>
      </c>
      <c r="AR454" s="2" t="str">
        <f t="shared" ref="AR454:AS454" si="550">AR451</f>
        <v>D65</v>
      </c>
      <c r="AS454" s="1">
        <f t="shared" si="550"/>
        <v>2</v>
      </c>
      <c r="AT454" s="2">
        <f t="shared" si="497"/>
        <v>15</v>
      </c>
      <c r="AU454" s="2">
        <f t="shared" si="498"/>
        <v>3</v>
      </c>
      <c r="AV454" s="52" t="str">
        <f t="shared" si="531"/>
        <v>data2!R27C19</v>
      </c>
      <c r="AW454" s="52" t="str">
        <f t="shared" si="532"/>
        <v>data2!R28C19</v>
      </c>
      <c r="AX454" s="2">
        <f t="shared" si="481"/>
        <v>300</v>
      </c>
      <c r="AY454" s="25">
        <f t="shared" ca="1" si="533"/>
        <v>64.654804270462634</v>
      </c>
      <c r="AZ454" s="6">
        <f t="shared" ca="1" si="534"/>
        <v>34.185053380782918</v>
      </c>
      <c r="BA454" s="27">
        <f t="shared" ca="1" si="535"/>
        <v>30.469750889679716</v>
      </c>
      <c r="BB454" s="21">
        <f t="shared" ca="1" si="536"/>
        <v>0.52873183619550856</v>
      </c>
    </row>
    <row r="455" spans="6:54">
      <c r="F455" s="2"/>
      <c r="AQ455" s="2">
        <f t="shared" si="495"/>
        <v>336</v>
      </c>
      <c r="AR455" s="2" t="str">
        <f t="shared" ref="AR455:AS455" si="551">AR452</f>
        <v>A</v>
      </c>
      <c r="AS455" s="1">
        <f t="shared" si="551"/>
        <v>0</v>
      </c>
      <c r="AT455" s="2">
        <f t="shared" si="497"/>
        <v>16</v>
      </c>
      <c r="AU455" s="2">
        <f t="shared" si="498"/>
        <v>3</v>
      </c>
      <c r="AV455" s="52" t="str">
        <f t="shared" si="531"/>
        <v>data0!R27C20</v>
      </c>
      <c r="AW455" s="52" t="str">
        <f t="shared" si="532"/>
        <v>data0!R28C20</v>
      </c>
      <c r="AX455" s="2">
        <f t="shared" si="481"/>
        <v>300</v>
      </c>
      <c r="AY455" s="25">
        <f t="shared" ca="1" si="533"/>
        <v>93.079903147699753</v>
      </c>
      <c r="AZ455" s="6">
        <f t="shared" ca="1" si="534"/>
        <v>81.86440677966101</v>
      </c>
      <c r="BA455" s="27">
        <f t="shared" ca="1" si="535"/>
        <v>11.215496368038743</v>
      </c>
      <c r="BB455" s="21">
        <f t="shared" ca="1" si="536"/>
        <v>0.87950678944904004</v>
      </c>
    </row>
    <row r="456" spans="6:54">
      <c r="F456" s="2"/>
      <c r="AQ456" s="2">
        <f t="shared" si="495"/>
        <v>337</v>
      </c>
      <c r="AR456" s="2" t="str">
        <f t="shared" ref="AR456:AS456" si="552">AR453</f>
        <v>CWF</v>
      </c>
      <c r="AS456" s="1">
        <f t="shared" si="552"/>
        <v>1</v>
      </c>
      <c r="AT456" s="2">
        <f t="shared" si="497"/>
        <v>16</v>
      </c>
      <c r="AU456" s="2">
        <f t="shared" si="498"/>
        <v>3</v>
      </c>
      <c r="AV456" s="52" t="str">
        <f t="shared" si="531"/>
        <v>data1!R27C20</v>
      </c>
      <c r="AW456" s="52" t="str">
        <f t="shared" si="532"/>
        <v>data1!R28C20</v>
      </c>
      <c r="AX456" s="2">
        <f t="shared" si="481"/>
        <v>300</v>
      </c>
      <c r="AY456" s="25">
        <f t="shared" ca="1" si="533"/>
        <v>26.608695652173914</v>
      </c>
      <c r="AZ456" s="6">
        <f t="shared" ca="1" si="534"/>
        <v>1.1383399209486171</v>
      </c>
      <c r="BA456" s="27">
        <f t="shared" ca="1" si="535"/>
        <v>25.470355731225297</v>
      </c>
      <c r="BB456" s="21">
        <f t="shared" ca="1" si="536"/>
        <v>4.2780748663101623E-2</v>
      </c>
    </row>
    <row r="457" spans="6:54">
      <c r="F457" s="2"/>
      <c r="AQ457" s="2">
        <f t="shared" si="495"/>
        <v>338</v>
      </c>
      <c r="AR457" s="2" t="str">
        <f t="shared" ref="AR457:AS457" si="553">AR454</f>
        <v>D65</v>
      </c>
      <c r="AS457" s="1">
        <f t="shared" si="553"/>
        <v>2</v>
      </c>
      <c r="AT457" s="2">
        <f t="shared" si="497"/>
        <v>16</v>
      </c>
      <c r="AU457" s="2">
        <f t="shared" si="498"/>
        <v>3</v>
      </c>
      <c r="AV457" s="52" t="str">
        <f t="shared" si="531"/>
        <v>data2!R27C20</v>
      </c>
      <c r="AW457" s="52" t="str">
        <f t="shared" si="532"/>
        <v>data2!R28C20</v>
      </c>
      <c r="AX457" s="2">
        <f t="shared" si="481"/>
        <v>300</v>
      </c>
      <c r="AY457" s="25">
        <f t="shared" ca="1" si="533"/>
        <v>64.654804270462634</v>
      </c>
      <c r="AZ457" s="6">
        <f t="shared" ca="1" si="534"/>
        <v>34.185053380782918</v>
      </c>
      <c r="BA457" s="27">
        <f t="shared" ca="1" si="535"/>
        <v>30.469750889679716</v>
      </c>
      <c r="BB457" s="21">
        <f t="shared" ca="1" si="536"/>
        <v>0.52873183619550856</v>
      </c>
    </row>
    <row r="458" spans="6:54">
      <c r="F458" s="2"/>
      <c r="AQ458" s="2">
        <f t="shared" si="495"/>
        <v>339</v>
      </c>
      <c r="AR458" s="2" t="str">
        <f t="shared" ref="AR458:AS458" si="554">AR455</f>
        <v>A</v>
      </c>
      <c r="AS458" s="1">
        <f t="shared" si="554"/>
        <v>0</v>
      </c>
      <c r="AT458" s="2">
        <f t="shared" si="497"/>
        <v>17</v>
      </c>
      <c r="AU458" s="2">
        <f t="shared" si="498"/>
        <v>3</v>
      </c>
      <c r="AV458" s="52" t="str">
        <f t="shared" si="531"/>
        <v>data0!R27C21</v>
      </c>
      <c r="AW458" s="52" t="str">
        <f t="shared" si="532"/>
        <v>data0!R28C21</v>
      </c>
      <c r="AX458" s="2">
        <f t="shared" ref="AX458:AX502" si="555">AX455</f>
        <v>300</v>
      </c>
      <c r="AY458" s="25">
        <f t="shared" ca="1" si="533"/>
        <v>93.079903147699753</v>
      </c>
      <c r="AZ458" s="6">
        <f t="shared" ca="1" si="534"/>
        <v>81.86440677966101</v>
      </c>
      <c r="BA458" s="27">
        <f t="shared" ca="1" si="535"/>
        <v>11.215496368038743</v>
      </c>
      <c r="BB458" s="21">
        <f t="shared" ca="1" si="536"/>
        <v>0.87950678944904004</v>
      </c>
    </row>
    <row r="459" spans="6:54">
      <c r="F459" s="2"/>
      <c r="AQ459" s="2">
        <f t="shared" si="495"/>
        <v>340</v>
      </c>
      <c r="AR459" s="2" t="str">
        <f t="shared" ref="AR459:AS459" si="556">AR456</f>
        <v>CWF</v>
      </c>
      <c r="AS459" s="1">
        <f t="shared" si="556"/>
        <v>1</v>
      </c>
      <c r="AT459" s="2">
        <f t="shared" si="497"/>
        <v>17</v>
      </c>
      <c r="AU459" s="2">
        <f t="shared" si="498"/>
        <v>3</v>
      </c>
      <c r="AV459" s="52" t="str">
        <f t="shared" si="531"/>
        <v>data1!R27C21</v>
      </c>
      <c r="AW459" s="52" t="str">
        <f t="shared" si="532"/>
        <v>data1!R28C21</v>
      </c>
      <c r="AX459" s="2">
        <f t="shared" si="555"/>
        <v>300</v>
      </c>
      <c r="AY459" s="25">
        <f t="shared" ca="1" si="533"/>
        <v>26.608695652173914</v>
      </c>
      <c r="AZ459" s="6">
        <f t="shared" ca="1" si="534"/>
        <v>1.1383399209486171</v>
      </c>
      <c r="BA459" s="27">
        <f t="shared" ca="1" si="535"/>
        <v>25.470355731225297</v>
      </c>
      <c r="BB459" s="21">
        <f t="shared" ca="1" si="536"/>
        <v>4.2780748663101623E-2</v>
      </c>
    </row>
    <row r="460" spans="6:54">
      <c r="F460" s="2"/>
      <c r="AQ460" s="2">
        <f t="shared" si="495"/>
        <v>341</v>
      </c>
      <c r="AR460" s="2" t="str">
        <f t="shared" ref="AR460:AS460" si="557">AR457</f>
        <v>D65</v>
      </c>
      <c r="AS460" s="1">
        <f t="shared" si="557"/>
        <v>2</v>
      </c>
      <c r="AT460" s="2">
        <f t="shared" si="497"/>
        <v>17</v>
      </c>
      <c r="AU460" s="2">
        <f t="shared" si="498"/>
        <v>3</v>
      </c>
      <c r="AV460" s="52" t="str">
        <f t="shared" si="531"/>
        <v>data2!R27C21</v>
      </c>
      <c r="AW460" s="52" t="str">
        <f t="shared" si="532"/>
        <v>data2!R28C21</v>
      </c>
      <c r="AX460" s="2">
        <f t="shared" si="555"/>
        <v>300</v>
      </c>
      <c r="AY460" s="25">
        <f t="shared" ca="1" si="533"/>
        <v>64.654804270462634</v>
      </c>
      <c r="AZ460" s="6">
        <f t="shared" ca="1" si="534"/>
        <v>34.185053380782918</v>
      </c>
      <c r="BA460" s="27">
        <f t="shared" ca="1" si="535"/>
        <v>30.469750889679716</v>
      </c>
      <c r="BB460" s="21">
        <f t="shared" ca="1" si="536"/>
        <v>0.52873183619550856</v>
      </c>
    </row>
    <row r="461" spans="6:54">
      <c r="F461" s="2"/>
      <c r="AQ461" s="2">
        <f t="shared" si="495"/>
        <v>342</v>
      </c>
      <c r="AR461" s="2" t="str">
        <f t="shared" ref="AR461:AS461" si="558">AR458</f>
        <v>A</v>
      </c>
      <c r="AS461" s="1">
        <f t="shared" si="558"/>
        <v>0</v>
      </c>
      <c r="AT461" s="2">
        <f t="shared" si="497"/>
        <v>18</v>
      </c>
      <c r="AU461" s="2">
        <f t="shared" si="498"/>
        <v>3</v>
      </c>
      <c r="AV461" s="52" t="str">
        <f t="shared" si="531"/>
        <v>data0!R27C22</v>
      </c>
      <c r="AW461" s="52" t="str">
        <f t="shared" si="532"/>
        <v>data0!R28C22</v>
      </c>
      <c r="AX461" s="2">
        <f t="shared" si="555"/>
        <v>300</v>
      </c>
      <c r="AY461" s="25">
        <f t="shared" ca="1" si="533"/>
        <v>93.079903147699753</v>
      </c>
      <c r="AZ461" s="6">
        <f t="shared" ca="1" si="534"/>
        <v>81.86440677966101</v>
      </c>
      <c r="BA461" s="27">
        <f t="shared" ca="1" si="535"/>
        <v>11.215496368038743</v>
      </c>
      <c r="BB461" s="21">
        <f t="shared" ca="1" si="536"/>
        <v>0.87950678944904004</v>
      </c>
    </row>
    <row r="462" spans="6:54">
      <c r="F462" s="2"/>
      <c r="AQ462" s="2">
        <f t="shared" si="495"/>
        <v>343</v>
      </c>
      <c r="AR462" s="2" t="str">
        <f t="shared" ref="AR462:AS462" si="559">AR459</f>
        <v>CWF</v>
      </c>
      <c r="AS462" s="1">
        <f t="shared" si="559"/>
        <v>1</v>
      </c>
      <c r="AT462" s="2">
        <f t="shared" si="497"/>
        <v>18</v>
      </c>
      <c r="AU462" s="2">
        <f t="shared" si="498"/>
        <v>3</v>
      </c>
      <c r="AV462" s="52" t="str">
        <f t="shared" si="531"/>
        <v>data1!R27C22</v>
      </c>
      <c r="AW462" s="52" t="str">
        <f t="shared" si="532"/>
        <v>data1!R28C22</v>
      </c>
      <c r="AX462" s="2">
        <f t="shared" si="555"/>
        <v>300</v>
      </c>
      <c r="AY462" s="25">
        <f t="shared" ca="1" si="533"/>
        <v>26.608695652173914</v>
      </c>
      <c r="AZ462" s="6">
        <f t="shared" ca="1" si="534"/>
        <v>1.1383399209486171</v>
      </c>
      <c r="BA462" s="27">
        <f t="shared" ca="1" si="535"/>
        <v>25.470355731225297</v>
      </c>
      <c r="BB462" s="21">
        <f t="shared" ca="1" si="536"/>
        <v>4.2780748663101623E-2</v>
      </c>
    </row>
    <row r="463" spans="6:54">
      <c r="F463" s="2"/>
      <c r="AQ463" s="2">
        <f t="shared" si="495"/>
        <v>344</v>
      </c>
      <c r="AR463" s="2" t="str">
        <f t="shared" ref="AR463:AS463" si="560">AR460</f>
        <v>D65</v>
      </c>
      <c r="AS463" s="1">
        <f t="shared" si="560"/>
        <v>2</v>
      </c>
      <c r="AT463" s="2">
        <f t="shared" si="497"/>
        <v>18</v>
      </c>
      <c r="AU463" s="2">
        <f t="shared" si="498"/>
        <v>3</v>
      </c>
      <c r="AV463" s="52" t="str">
        <f t="shared" si="531"/>
        <v>data2!R27C22</v>
      </c>
      <c r="AW463" s="52" t="str">
        <f t="shared" si="532"/>
        <v>data2!R28C22</v>
      </c>
      <c r="AX463" s="2">
        <f t="shared" si="555"/>
        <v>300</v>
      </c>
      <c r="AY463" s="25">
        <f t="shared" ca="1" si="533"/>
        <v>64.654804270462634</v>
      </c>
      <c r="AZ463" s="6">
        <f t="shared" ca="1" si="534"/>
        <v>34.185053380782918</v>
      </c>
      <c r="BA463" s="27">
        <f t="shared" ca="1" si="535"/>
        <v>30.469750889679716</v>
      </c>
      <c r="BB463" s="21">
        <f t="shared" ca="1" si="536"/>
        <v>0.52873183619550856</v>
      </c>
    </row>
    <row r="464" spans="6:54">
      <c r="F464" s="2"/>
      <c r="AQ464" s="2">
        <f t="shared" si="495"/>
        <v>345</v>
      </c>
      <c r="AR464" s="2" t="str">
        <f t="shared" ref="AR464:AS464" si="561">AR461</f>
        <v>A</v>
      </c>
      <c r="AS464" s="1">
        <f t="shared" si="561"/>
        <v>0</v>
      </c>
      <c r="AT464" s="2">
        <f t="shared" si="497"/>
        <v>19</v>
      </c>
      <c r="AU464" s="2">
        <f t="shared" si="498"/>
        <v>3</v>
      </c>
      <c r="AV464" s="52" t="str">
        <f t="shared" si="531"/>
        <v>data0!R27C23</v>
      </c>
      <c r="AW464" s="52" t="str">
        <f t="shared" si="532"/>
        <v>data0!R28C23</v>
      </c>
      <c r="AX464" s="2">
        <f t="shared" si="555"/>
        <v>300</v>
      </c>
      <c r="AY464" s="25">
        <f t="shared" ca="1" si="533"/>
        <v>93.079903147699753</v>
      </c>
      <c r="AZ464" s="6">
        <f t="shared" ca="1" si="534"/>
        <v>81.86440677966101</v>
      </c>
      <c r="BA464" s="27">
        <f t="shared" ca="1" si="535"/>
        <v>11.215496368038743</v>
      </c>
      <c r="BB464" s="21">
        <f t="shared" ca="1" si="536"/>
        <v>0.87950678944904004</v>
      </c>
    </row>
    <row r="465" spans="6:54">
      <c r="F465" s="2"/>
      <c r="AQ465" s="2">
        <f t="shared" si="495"/>
        <v>346</v>
      </c>
      <c r="AR465" s="2" t="str">
        <f t="shared" ref="AR465:AS465" si="562">AR462</f>
        <v>CWF</v>
      </c>
      <c r="AS465" s="1">
        <f t="shared" si="562"/>
        <v>1</v>
      </c>
      <c r="AT465" s="2">
        <f t="shared" si="497"/>
        <v>19</v>
      </c>
      <c r="AU465" s="2">
        <f t="shared" si="498"/>
        <v>3</v>
      </c>
      <c r="AV465" s="52" t="str">
        <f t="shared" si="531"/>
        <v>data1!R27C23</v>
      </c>
      <c r="AW465" s="52" t="str">
        <f t="shared" si="532"/>
        <v>data1!R28C23</v>
      </c>
      <c r="AX465" s="2">
        <f t="shared" si="555"/>
        <v>300</v>
      </c>
      <c r="AY465" s="25">
        <f t="shared" ca="1" si="533"/>
        <v>26.608695652173914</v>
      </c>
      <c r="AZ465" s="6">
        <f t="shared" ca="1" si="534"/>
        <v>1.1383399209486171</v>
      </c>
      <c r="BA465" s="27">
        <f t="shared" ca="1" si="535"/>
        <v>25.470355731225297</v>
      </c>
      <c r="BB465" s="21">
        <f t="shared" ca="1" si="536"/>
        <v>4.2780748663101623E-2</v>
      </c>
    </row>
    <row r="466" spans="6:54">
      <c r="F466" s="2"/>
      <c r="AQ466" s="2">
        <f t="shared" si="495"/>
        <v>347</v>
      </c>
      <c r="AR466" s="2" t="str">
        <f t="shared" ref="AR466:AS466" si="563">AR463</f>
        <v>D65</v>
      </c>
      <c r="AS466" s="1">
        <f t="shared" si="563"/>
        <v>2</v>
      </c>
      <c r="AT466" s="2">
        <f t="shared" si="497"/>
        <v>19</v>
      </c>
      <c r="AU466" s="2">
        <f t="shared" si="498"/>
        <v>3</v>
      </c>
      <c r="AV466" s="52" t="str">
        <f t="shared" si="531"/>
        <v>data2!R27C23</v>
      </c>
      <c r="AW466" s="52" t="str">
        <f t="shared" si="532"/>
        <v>data2!R28C23</v>
      </c>
      <c r="AX466" s="2">
        <f t="shared" si="555"/>
        <v>300</v>
      </c>
      <c r="AY466" s="25">
        <f t="shared" ca="1" si="533"/>
        <v>64.654804270462634</v>
      </c>
      <c r="AZ466" s="6">
        <f t="shared" ca="1" si="534"/>
        <v>34.185053380782918</v>
      </c>
      <c r="BA466" s="27">
        <f t="shared" ca="1" si="535"/>
        <v>30.469750889679716</v>
      </c>
      <c r="BB466" s="21">
        <f t="shared" ca="1" si="536"/>
        <v>0.52873183619550856</v>
      </c>
    </row>
    <row r="467" spans="6:54">
      <c r="F467" s="2"/>
      <c r="AQ467" s="2">
        <f t="shared" si="495"/>
        <v>348</v>
      </c>
      <c r="AR467" s="2" t="str">
        <f t="shared" ref="AR467:AS467" si="564">AR464</f>
        <v>A</v>
      </c>
      <c r="AS467" s="1">
        <f t="shared" si="564"/>
        <v>0</v>
      </c>
      <c r="AT467" s="2">
        <f t="shared" si="497"/>
        <v>20</v>
      </c>
      <c r="AU467" s="2">
        <f t="shared" si="498"/>
        <v>3</v>
      </c>
      <c r="AV467" s="52" t="str">
        <f t="shared" si="531"/>
        <v>data0!R27C24</v>
      </c>
      <c r="AW467" s="52" t="str">
        <f t="shared" si="532"/>
        <v>data0!R28C24</v>
      </c>
      <c r="AX467" s="2">
        <f t="shared" si="555"/>
        <v>300</v>
      </c>
      <c r="AY467" s="25">
        <f t="shared" ca="1" si="533"/>
        <v>93.079903147699753</v>
      </c>
      <c r="AZ467" s="6">
        <f t="shared" ca="1" si="534"/>
        <v>81.86440677966101</v>
      </c>
      <c r="BA467" s="27">
        <f t="shared" ca="1" si="535"/>
        <v>11.215496368038743</v>
      </c>
      <c r="BB467" s="21">
        <f t="shared" ca="1" si="536"/>
        <v>0.87950678944904004</v>
      </c>
    </row>
    <row r="468" spans="6:54">
      <c r="F468" s="2"/>
      <c r="AQ468" s="2">
        <f t="shared" si="495"/>
        <v>349</v>
      </c>
      <c r="AR468" s="2" t="str">
        <f t="shared" ref="AR468:AS468" si="565">AR465</f>
        <v>CWF</v>
      </c>
      <c r="AS468" s="1">
        <f t="shared" si="565"/>
        <v>1</v>
      </c>
      <c r="AT468" s="2">
        <f t="shared" si="497"/>
        <v>20</v>
      </c>
      <c r="AU468" s="2">
        <f t="shared" si="498"/>
        <v>3</v>
      </c>
      <c r="AV468" s="52" t="str">
        <f t="shared" si="531"/>
        <v>data1!R27C24</v>
      </c>
      <c r="AW468" s="52" t="str">
        <f t="shared" si="532"/>
        <v>data1!R28C24</v>
      </c>
      <c r="AX468" s="2">
        <f t="shared" si="555"/>
        <v>300</v>
      </c>
      <c r="AY468" s="25">
        <f t="shared" ca="1" si="533"/>
        <v>26.608695652173914</v>
      </c>
      <c r="AZ468" s="6">
        <f t="shared" ca="1" si="534"/>
        <v>1.1383399209486171</v>
      </c>
      <c r="BA468" s="27">
        <f t="shared" ca="1" si="535"/>
        <v>25.470355731225297</v>
      </c>
      <c r="BB468" s="21">
        <f t="shared" ca="1" si="536"/>
        <v>4.2780748663101623E-2</v>
      </c>
    </row>
    <row r="469" spans="6:54">
      <c r="F469" s="2"/>
      <c r="AQ469" s="2">
        <f t="shared" si="495"/>
        <v>350</v>
      </c>
      <c r="AR469" s="2" t="str">
        <f t="shared" ref="AR469:AS469" si="566">AR466</f>
        <v>D65</v>
      </c>
      <c r="AS469" s="1">
        <f t="shared" si="566"/>
        <v>2</v>
      </c>
      <c r="AT469" s="2">
        <f t="shared" si="497"/>
        <v>20</v>
      </c>
      <c r="AU469" s="2">
        <f t="shared" si="498"/>
        <v>3</v>
      </c>
      <c r="AV469" s="52" t="str">
        <f t="shared" si="531"/>
        <v>data2!R27C24</v>
      </c>
      <c r="AW469" s="52" t="str">
        <f t="shared" si="532"/>
        <v>data2!R28C24</v>
      </c>
      <c r="AX469" s="2">
        <f t="shared" si="555"/>
        <v>300</v>
      </c>
      <c r="AY469" s="25">
        <f t="shared" ca="1" si="533"/>
        <v>64.654804270462634</v>
      </c>
      <c r="AZ469" s="6">
        <f t="shared" ca="1" si="534"/>
        <v>34.185053380782918</v>
      </c>
      <c r="BA469" s="27">
        <f t="shared" ca="1" si="535"/>
        <v>30.469750889679716</v>
      </c>
      <c r="BB469" s="21">
        <f t="shared" ca="1" si="536"/>
        <v>0.52873183619550856</v>
      </c>
    </row>
    <row r="470" spans="6:54">
      <c r="F470" s="2"/>
      <c r="AQ470" s="2">
        <f t="shared" si="495"/>
        <v>351</v>
      </c>
      <c r="AR470" s="2" t="str">
        <f t="shared" ref="AR470:AS470" si="567">AR467</f>
        <v>A</v>
      </c>
      <c r="AS470" s="1">
        <f t="shared" si="567"/>
        <v>0</v>
      </c>
      <c r="AT470" s="2">
        <f t="shared" si="497"/>
        <v>21</v>
      </c>
      <c r="AU470" s="2">
        <f t="shared" si="498"/>
        <v>3</v>
      </c>
      <c r="AV470" s="52" t="str">
        <f t="shared" si="531"/>
        <v>data0!R27C25</v>
      </c>
      <c r="AW470" s="52" t="str">
        <f t="shared" si="532"/>
        <v>data0!R28C25</v>
      </c>
      <c r="AX470" s="2">
        <f t="shared" si="555"/>
        <v>300</v>
      </c>
      <c r="AY470" s="25">
        <f t="shared" ca="1" si="533"/>
        <v>93.079903147699753</v>
      </c>
      <c r="AZ470" s="6">
        <f t="shared" ca="1" si="534"/>
        <v>81.86440677966101</v>
      </c>
      <c r="BA470" s="27">
        <f t="shared" ca="1" si="535"/>
        <v>11.215496368038743</v>
      </c>
      <c r="BB470" s="21">
        <f t="shared" ca="1" si="536"/>
        <v>0.87950678944904004</v>
      </c>
    </row>
    <row r="471" spans="6:54">
      <c r="F471" s="2"/>
      <c r="AQ471" s="2">
        <f t="shared" si="495"/>
        <v>352</v>
      </c>
      <c r="AR471" s="2" t="str">
        <f t="shared" ref="AR471:AS471" si="568">AR468</f>
        <v>CWF</v>
      </c>
      <c r="AS471" s="1">
        <f t="shared" si="568"/>
        <v>1</v>
      </c>
      <c r="AT471" s="2">
        <f t="shared" si="497"/>
        <v>21</v>
      </c>
      <c r="AU471" s="2">
        <f t="shared" si="498"/>
        <v>3</v>
      </c>
      <c r="AV471" s="52" t="str">
        <f t="shared" si="531"/>
        <v>data1!R27C25</v>
      </c>
      <c r="AW471" s="52" t="str">
        <f t="shared" si="532"/>
        <v>data1!R28C25</v>
      </c>
      <c r="AX471" s="2">
        <f t="shared" si="555"/>
        <v>300</v>
      </c>
      <c r="AY471" s="25">
        <f t="shared" ca="1" si="533"/>
        <v>26.608695652173914</v>
      </c>
      <c r="AZ471" s="6">
        <f t="shared" ca="1" si="534"/>
        <v>1.1383399209486171</v>
      </c>
      <c r="BA471" s="27">
        <f t="shared" ca="1" si="535"/>
        <v>25.470355731225297</v>
      </c>
      <c r="BB471" s="21">
        <f t="shared" ca="1" si="536"/>
        <v>4.2780748663101623E-2</v>
      </c>
    </row>
    <row r="472" spans="6:54">
      <c r="F472" s="2"/>
      <c r="AQ472" s="2">
        <f t="shared" ref="AQ472:AQ502" si="569">AQ471+1</f>
        <v>353</v>
      </c>
      <c r="AR472" s="2" t="str">
        <f t="shared" ref="AR472:AS472" si="570">AR469</f>
        <v>D65</v>
      </c>
      <c r="AS472" s="1">
        <f t="shared" si="570"/>
        <v>2</v>
      </c>
      <c r="AT472" s="2">
        <f t="shared" ref="AT472:AT502" si="571">AT376</f>
        <v>21</v>
      </c>
      <c r="AU472" s="2">
        <f t="shared" ref="AU472:AU502" si="572">AU376+1</f>
        <v>3</v>
      </c>
      <c r="AV472" s="52" t="str">
        <f t="shared" si="531"/>
        <v>data2!R27C25</v>
      </c>
      <c r="AW472" s="52" t="str">
        <f t="shared" si="532"/>
        <v>data2!R28C25</v>
      </c>
      <c r="AX472" s="2">
        <f t="shared" si="555"/>
        <v>300</v>
      </c>
      <c r="AY472" s="25">
        <f t="shared" ca="1" si="533"/>
        <v>64.654804270462634</v>
      </c>
      <c r="AZ472" s="6">
        <f t="shared" ca="1" si="534"/>
        <v>34.185053380782918</v>
      </c>
      <c r="BA472" s="27">
        <f t="shared" ca="1" si="535"/>
        <v>30.469750889679716</v>
      </c>
      <c r="BB472" s="21">
        <f t="shared" ca="1" si="536"/>
        <v>0.52873183619550856</v>
      </c>
    </row>
    <row r="473" spans="6:54">
      <c r="F473" s="2"/>
      <c r="AQ473" s="2">
        <f t="shared" si="569"/>
        <v>354</v>
      </c>
      <c r="AR473" s="2" t="str">
        <f t="shared" ref="AR473:AS473" si="573">AR470</f>
        <v>A</v>
      </c>
      <c r="AS473" s="1">
        <f t="shared" si="573"/>
        <v>0</v>
      </c>
      <c r="AT473" s="2">
        <f t="shared" si="571"/>
        <v>22</v>
      </c>
      <c r="AU473" s="2">
        <f t="shared" si="572"/>
        <v>3</v>
      </c>
      <c r="AV473" s="52" t="str">
        <f t="shared" si="531"/>
        <v>data0!R27C26</v>
      </c>
      <c r="AW473" s="52" t="str">
        <f t="shared" si="532"/>
        <v>data0!R28C26</v>
      </c>
      <c r="AX473" s="2">
        <f t="shared" si="555"/>
        <v>300</v>
      </c>
      <c r="AY473" s="25">
        <f t="shared" ca="1" si="533"/>
        <v>93.079903147699753</v>
      </c>
      <c r="AZ473" s="6">
        <f t="shared" ca="1" si="534"/>
        <v>81.86440677966101</v>
      </c>
      <c r="BA473" s="27">
        <f t="shared" ca="1" si="535"/>
        <v>11.215496368038743</v>
      </c>
      <c r="BB473" s="21">
        <f t="shared" ca="1" si="536"/>
        <v>0.87950678944904004</v>
      </c>
    </row>
    <row r="474" spans="6:54">
      <c r="F474" s="2"/>
      <c r="AQ474" s="2">
        <f t="shared" si="569"/>
        <v>355</v>
      </c>
      <c r="AR474" s="2" t="str">
        <f t="shared" ref="AR474:AS474" si="574">AR471</f>
        <v>CWF</v>
      </c>
      <c r="AS474" s="1">
        <f t="shared" si="574"/>
        <v>1</v>
      </c>
      <c r="AT474" s="2">
        <f t="shared" si="571"/>
        <v>22</v>
      </c>
      <c r="AU474" s="2">
        <f t="shared" si="572"/>
        <v>3</v>
      </c>
      <c r="AV474" s="52" t="str">
        <f t="shared" si="531"/>
        <v>data1!R27C26</v>
      </c>
      <c r="AW474" s="52" t="str">
        <f t="shared" si="532"/>
        <v>data1!R28C26</v>
      </c>
      <c r="AX474" s="2">
        <f t="shared" si="555"/>
        <v>300</v>
      </c>
      <c r="AY474" s="25">
        <f t="shared" ca="1" si="533"/>
        <v>26.608695652173914</v>
      </c>
      <c r="AZ474" s="6">
        <f t="shared" ca="1" si="534"/>
        <v>1.1383399209486171</v>
      </c>
      <c r="BA474" s="27">
        <f t="shared" ca="1" si="535"/>
        <v>25.470355731225297</v>
      </c>
      <c r="BB474" s="21">
        <f t="shared" ca="1" si="536"/>
        <v>4.2780748663101623E-2</v>
      </c>
    </row>
    <row r="475" spans="6:54">
      <c r="F475" s="2"/>
      <c r="AQ475" s="2">
        <f t="shared" si="569"/>
        <v>356</v>
      </c>
      <c r="AR475" s="2" t="str">
        <f t="shared" ref="AR475:AS475" si="575">AR472</f>
        <v>D65</v>
      </c>
      <c r="AS475" s="1">
        <f t="shared" si="575"/>
        <v>2</v>
      </c>
      <c r="AT475" s="2">
        <f t="shared" si="571"/>
        <v>22</v>
      </c>
      <c r="AU475" s="2">
        <f t="shared" si="572"/>
        <v>3</v>
      </c>
      <c r="AV475" s="52" t="str">
        <f t="shared" si="531"/>
        <v>data2!R27C26</v>
      </c>
      <c r="AW475" s="52" t="str">
        <f t="shared" si="532"/>
        <v>data2!R28C26</v>
      </c>
      <c r="AX475" s="2">
        <f t="shared" si="555"/>
        <v>300</v>
      </c>
      <c r="AY475" s="25">
        <f t="shared" ca="1" si="533"/>
        <v>64.654804270462634</v>
      </c>
      <c r="AZ475" s="6">
        <f t="shared" ca="1" si="534"/>
        <v>34.185053380782918</v>
      </c>
      <c r="BA475" s="27">
        <f t="shared" ca="1" si="535"/>
        <v>30.469750889679716</v>
      </c>
      <c r="BB475" s="21">
        <f t="shared" ca="1" si="536"/>
        <v>0.52873183619550856</v>
      </c>
    </row>
    <row r="476" spans="6:54">
      <c r="F476" s="2"/>
      <c r="AQ476" s="2">
        <f t="shared" si="569"/>
        <v>357</v>
      </c>
      <c r="AR476" s="2" t="str">
        <f t="shared" ref="AR476:AS476" si="576">AR473</f>
        <v>A</v>
      </c>
      <c r="AS476" s="1">
        <f t="shared" si="576"/>
        <v>0</v>
      </c>
      <c r="AT476" s="2">
        <f t="shared" si="571"/>
        <v>23</v>
      </c>
      <c r="AU476" s="2">
        <f t="shared" si="572"/>
        <v>3</v>
      </c>
      <c r="AV476" s="52" t="str">
        <f t="shared" si="531"/>
        <v>data0!R27C27</v>
      </c>
      <c r="AW476" s="52" t="str">
        <f t="shared" si="532"/>
        <v>data0!R28C27</v>
      </c>
      <c r="AX476" s="2">
        <f t="shared" si="555"/>
        <v>300</v>
      </c>
      <c r="AY476" s="25">
        <f t="shared" ca="1" si="533"/>
        <v>93.079903147699753</v>
      </c>
      <c r="AZ476" s="6">
        <f t="shared" ca="1" si="534"/>
        <v>81.86440677966101</v>
      </c>
      <c r="BA476" s="27">
        <f t="shared" ca="1" si="535"/>
        <v>11.215496368038743</v>
      </c>
      <c r="BB476" s="21">
        <f t="shared" ca="1" si="536"/>
        <v>0.87950678944904004</v>
      </c>
    </row>
    <row r="477" spans="6:54">
      <c r="F477" s="2"/>
      <c r="AQ477" s="2">
        <f t="shared" si="569"/>
        <v>358</v>
      </c>
      <c r="AR477" s="2" t="str">
        <f t="shared" ref="AR477:AS477" si="577">AR474</f>
        <v>CWF</v>
      </c>
      <c r="AS477" s="1">
        <f t="shared" si="577"/>
        <v>1</v>
      </c>
      <c r="AT477" s="2">
        <f t="shared" si="571"/>
        <v>23</v>
      </c>
      <c r="AU477" s="2">
        <f t="shared" si="572"/>
        <v>3</v>
      </c>
      <c r="AV477" s="52" t="str">
        <f t="shared" si="531"/>
        <v>data1!R27C27</v>
      </c>
      <c r="AW477" s="52" t="str">
        <f t="shared" si="532"/>
        <v>data1!R28C27</v>
      </c>
      <c r="AX477" s="2">
        <f t="shared" si="555"/>
        <v>300</v>
      </c>
      <c r="AY477" s="25">
        <f t="shared" ca="1" si="533"/>
        <v>26.608695652173914</v>
      </c>
      <c r="AZ477" s="6">
        <f t="shared" ca="1" si="534"/>
        <v>1.1383399209486171</v>
      </c>
      <c r="BA477" s="27">
        <f t="shared" ca="1" si="535"/>
        <v>25.470355731225297</v>
      </c>
      <c r="BB477" s="21">
        <f t="shared" ca="1" si="536"/>
        <v>4.2780748663101623E-2</v>
      </c>
    </row>
    <row r="478" spans="6:54">
      <c r="F478" s="2"/>
      <c r="AQ478" s="2">
        <f t="shared" si="569"/>
        <v>359</v>
      </c>
      <c r="AR478" s="2" t="str">
        <f t="shared" ref="AR478:AS478" si="578">AR475</f>
        <v>D65</v>
      </c>
      <c r="AS478" s="1">
        <f t="shared" si="578"/>
        <v>2</v>
      </c>
      <c r="AT478" s="2">
        <f t="shared" si="571"/>
        <v>23</v>
      </c>
      <c r="AU478" s="2">
        <f t="shared" si="572"/>
        <v>3</v>
      </c>
      <c r="AV478" s="52" t="str">
        <f t="shared" si="531"/>
        <v>data2!R27C27</v>
      </c>
      <c r="AW478" s="52" t="str">
        <f t="shared" si="532"/>
        <v>data2!R28C27</v>
      </c>
      <c r="AX478" s="2">
        <f t="shared" si="555"/>
        <v>300</v>
      </c>
      <c r="AY478" s="25">
        <f t="shared" ca="1" si="533"/>
        <v>64.654804270462634</v>
      </c>
      <c r="AZ478" s="6">
        <f t="shared" ca="1" si="534"/>
        <v>34.185053380782918</v>
      </c>
      <c r="BA478" s="27">
        <f t="shared" ca="1" si="535"/>
        <v>30.469750889679716</v>
      </c>
      <c r="BB478" s="21">
        <f t="shared" ca="1" si="536"/>
        <v>0.52873183619550856</v>
      </c>
    </row>
    <row r="479" spans="6:54">
      <c r="F479" s="2"/>
      <c r="AQ479" s="2">
        <f t="shared" si="569"/>
        <v>360</v>
      </c>
      <c r="AR479" s="2" t="str">
        <f t="shared" ref="AR479:AS479" si="579">AR476</f>
        <v>A</v>
      </c>
      <c r="AS479" s="1">
        <f t="shared" si="579"/>
        <v>0</v>
      </c>
      <c r="AT479" s="2">
        <f t="shared" si="571"/>
        <v>24</v>
      </c>
      <c r="AU479" s="2">
        <f t="shared" si="572"/>
        <v>3</v>
      </c>
      <c r="AV479" s="52" t="str">
        <f t="shared" si="531"/>
        <v>data0!R27C28</v>
      </c>
      <c r="AW479" s="52" t="str">
        <f t="shared" si="532"/>
        <v>data0!R28C28</v>
      </c>
      <c r="AX479" s="2">
        <f t="shared" si="555"/>
        <v>300</v>
      </c>
      <c r="AY479" s="25">
        <f t="shared" ca="1" si="533"/>
        <v>93.079903147699753</v>
      </c>
      <c r="AZ479" s="6">
        <f t="shared" ca="1" si="534"/>
        <v>81.86440677966101</v>
      </c>
      <c r="BA479" s="27">
        <f t="shared" ca="1" si="535"/>
        <v>11.215496368038743</v>
      </c>
      <c r="BB479" s="21">
        <f t="shared" ca="1" si="536"/>
        <v>0.87950678944904004</v>
      </c>
    </row>
    <row r="480" spans="6:54">
      <c r="F480" s="2"/>
      <c r="AQ480" s="2">
        <f t="shared" si="569"/>
        <v>361</v>
      </c>
      <c r="AR480" s="2" t="str">
        <f t="shared" ref="AR480:AS480" si="580">AR477</f>
        <v>CWF</v>
      </c>
      <c r="AS480" s="1">
        <f t="shared" si="580"/>
        <v>1</v>
      </c>
      <c r="AT480" s="2">
        <f t="shared" si="571"/>
        <v>24</v>
      </c>
      <c r="AU480" s="2">
        <f t="shared" si="572"/>
        <v>3</v>
      </c>
      <c r="AV480" s="52" t="str">
        <f t="shared" si="531"/>
        <v>data1!R27C28</v>
      </c>
      <c r="AW480" s="52" t="str">
        <f t="shared" si="532"/>
        <v>data1!R28C28</v>
      </c>
      <c r="AX480" s="2">
        <f t="shared" si="555"/>
        <v>300</v>
      </c>
      <c r="AY480" s="25">
        <f t="shared" ca="1" si="533"/>
        <v>26.608695652173914</v>
      </c>
      <c r="AZ480" s="6">
        <f t="shared" ca="1" si="534"/>
        <v>1.1383399209486171</v>
      </c>
      <c r="BA480" s="27">
        <f t="shared" ca="1" si="535"/>
        <v>25.470355731225297</v>
      </c>
      <c r="BB480" s="21">
        <f t="shared" ca="1" si="536"/>
        <v>4.2780748663101623E-2</v>
      </c>
    </row>
    <row r="481" spans="6:54">
      <c r="F481" s="2"/>
      <c r="AQ481" s="2">
        <f t="shared" si="569"/>
        <v>362</v>
      </c>
      <c r="AR481" s="2" t="str">
        <f t="shared" ref="AR481:AS481" si="581">AR478</f>
        <v>D65</v>
      </c>
      <c r="AS481" s="1">
        <f t="shared" si="581"/>
        <v>2</v>
      </c>
      <c r="AT481" s="2">
        <f t="shared" si="571"/>
        <v>24</v>
      </c>
      <c r="AU481" s="2">
        <f t="shared" si="572"/>
        <v>3</v>
      </c>
      <c r="AV481" s="52" t="str">
        <f t="shared" si="531"/>
        <v>data2!R27C28</v>
      </c>
      <c r="AW481" s="52" t="str">
        <f t="shared" si="532"/>
        <v>data2!R28C28</v>
      </c>
      <c r="AX481" s="2">
        <f t="shared" si="555"/>
        <v>300</v>
      </c>
      <c r="AY481" s="25">
        <f t="shared" ca="1" si="533"/>
        <v>64.654804270462634</v>
      </c>
      <c r="AZ481" s="6">
        <f t="shared" ca="1" si="534"/>
        <v>34.185053380782918</v>
      </c>
      <c r="BA481" s="27">
        <f t="shared" ca="1" si="535"/>
        <v>30.469750889679716</v>
      </c>
      <c r="BB481" s="21">
        <f t="shared" ca="1" si="536"/>
        <v>0.52873183619550856</v>
      </c>
    </row>
    <row r="482" spans="6:54">
      <c r="F482" s="2"/>
      <c r="AQ482" s="2">
        <f t="shared" si="569"/>
        <v>363</v>
      </c>
      <c r="AR482" s="2" t="str">
        <f t="shared" ref="AR482:AS482" si="582">AR479</f>
        <v>A</v>
      </c>
      <c r="AS482" s="1">
        <f t="shared" si="582"/>
        <v>0</v>
      </c>
      <c r="AT482" s="2">
        <f t="shared" si="571"/>
        <v>25</v>
      </c>
      <c r="AU482" s="2">
        <f t="shared" si="572"/>
        <v>3</v>
      </c>
      <c r="AV482" s="52" t="str">
        <f t="shared" si="531"/>
        <v>data0!R27C29</v>
      </c>
      <c r="AW482" s="52" t="str">
        <f t="shared" si="532"/>
        <v>data0!R28C29</v>
      </c>
      <c r="AX482" s="2">
        <f t="shared" si="555"/>
        <v>300</v>
      </c>
      <c r="AY482" s="25">
        <f t="shared" ca="1" si="533"/>
        <v>93.079903147699753</v>
      </c>
      <c r="AZ482" s="6">
        <f t="shared" ca="1" si="534"/>
        <v>81.86440677966101</v>
      </c>
      <c r="BA482" s="27">
        <f t="shared" ca="1" si="535"/>
        <v>11.215496368038743</v>
      </c>
      <c r="BB482" s="21">
        <f t="shared" ca="1" si="536"/>
        <v>0.87950678944904004</v>
      </c>
    </row>
    <row r="483" spans="6:54">
      <c r="F483" s="2"/>
      <c r="AQ483" s="2">
        <f t="shared" si="569"/>
        <v>364</v>
      </c>
      <c r="AR483" s="2" t="str">
        <f t="shared" ref="AR483:AS483" si="583">AR480</f>
        <v>CWF</v>
      </c>
      <c r="AS483" s="1">
        <f t="shared" si="583"/>
        <v>1</v>
      </c>
      <c r="AT483" s="2">
        <f t="shared" si="571"/>
        <v>25</v>
      </c>
      <c r="AU483" s="2">
        <f t="shared" si="572"/>
        <v>3</v>
      </c>
      <c r="AV483" s="52" t="str">
        <f t="shared" si="531"/>
        <v>data1!R27C29</v>
      </c>
      <c r="AW483" s="52" t="str">
        <f t="shared" si="532"/>
        <v>data1!R28C29</v>
      </c>
      <c r="AX483" s="2">
        <f t="shared" si="555"/>
        <v>300</v>
      </c>
      <c r="AY483" s="25">
        <f t="shared" ca="1" si="533"/>
        <v>26.608695652173914</v>
      </c>
      <c r="AZ483" s="6">
        <f t="shared" ca="1" si="534"/>
        <v>1.1383399209486171</v>
      </c>
      <c r="BA483" s="27">
        <f t="shared" ca="1" si="535"/>
        <v>25.470355731225297</v>
      </c>
      <c r="BB483" s="21">
        <f t="shared" ca="1" si="536"/>
        <v>4.2780748663101623E-2</v>
      </c>
    </row>
    <row r="484" spans="6:54">
      <c r="F484" s="2"/>
      <c r="AQ484" s="2">
        <f t="shared" si="569"/>
        <v>365</v>
      </c>
      <c r="AR484" s="2" t="str">
        <f t="shared" ref="AR484:AS484" si="584">AR481</f>
        <v>D65</v>
      </c>
      <c r="AS484" s="1">
        <f t="shared" si="584"/>
        <v>2</v>
      </c>
      <c r="AT484" s="2">
        <f t="shared" si="571"/>
        <v>25</v>
      </c>
      <c r="AU484" s="2">
        <f t="shared" si="572"/>
        <v>3</v>
      </c>
      <c r="AV484" s="52" t="str">
        <f t="shared" si="531"/>
        <v>data2!R27C29</v>
      </c>
      <c r="AW484" s="52" t="str">
        <f t="shared" si="532"/>
        <v>data2!R28C29</v>
      </c>
      <c r="AX484" s="2">
        <f t="shared" si="555"/>
        <v>300</v>
      </c>
      <c r="AY484" s="25">
        <f t="shared" ca="1" si="533"/>
        <v>64.654804270462634</v>
      </c>
      <c r="AZ484" s="6">
        <f t="shared" ca="1" si="534"/>
        <v>34.185053380782918</v>
      </c>
      <c r="BA484" s="27">
        <f t="shared" ca="1" si="535"/>
        <v>30.469750889679716</v>
      </c>
      <c r="BB484" s="21">
        <f t="shared" ca="1" si="536"/>
        <v>0.52873183619550856</v>
      </c>
    </row>
    <row r="485" spans="6:54">
      <c r="F485" s="2"/>
      <c r="AQ485" s="2">
        <f t="shared" si="569"/>
        <v>366</v>
      </c>
      <c r="AR485" s="2" t="str">
        <f t="shared" ref="AR485:AS485" si="585">AR482</f>
        <v>A</v>
      </c>
      <c r="AS485" s="1">
        <f t="shared" si="585"/>
        <v>0</v>
      </c>
      <c r="AT485" s="2">
        <f t="shared" si="571"/>
        <v>26</v>
      </c>
      <c r="AU485" s="2">
        <f t="shared" si="572"/>
        <v>3</v>
      </c>
      <c r="AV485" s="52" t="str">
        <f t="shared" si="531"/>
        <v>data0!R27C30</v>
      </c>
      <c r="AW485" s="52" t="str">
        <f t="shared" si="532"/>
        <v>data0!R28C30</v>
      </c>
      <c r="AX485" s="2">
        <f t="shared" si="555"/>
        <v>300</v>
      </c>
      <c r="AY485" s="25">
        <f t="shared" ca="1" si="533"/>
        <v>93.079903147699753</v>
      </c>
      <c r="AZ485" s="6">
        <f t="shared" ca="1" si="534"/>
        <v>81.86440677966101</v>
      </c>
      <c r="BA485" s="27">
        <f t="shared" ca="1" si="535"/>
        <v>11.215496368038743</v>
      </c>
      <c r="BB485" s="21">
        <f t="shared" ca="1" si="536"/>
        <v>0.87950678944904004</v>
      </c>
    </row>
    <row r="486" spans="6:54">
      <c r="F486" s="2"/>
      <c r="AQ486" s="2">
        <f t="shared" si="569"/>
        <v>367</v>
      </c>
      <c r="AR486" s="2" t="str">
        <f t="shared" ref="AR486:AS486" si="586">AR483</f>
        <v>CWF</v>
      </c>
      <c r="AS486" s="1">
        <f t="shared" si="586"/>
        <v>1</v>
      </c>
      <c r="AT486" s="2">
        <f t="shared" si="571"/>
        <v>26</v>
      </c>
      <c r="AU486" s="2">
        <f t="shared" si="572"/>
        <v>3</v>
      </c>
      <c r="AV486" s="52" t="str">
        <f t="shared" si="531"/>
        <v>data1!R27C30</v>
      </c>
      <c r="AW486" s="52" t="str">
        <f t="shared" si="532"/>
        <v>data1!R28C30</v>
      </c>
      <c r="AX486" s="2">
        <f t="shared" si="555"/>
        <v>300</v>
      </c>
      <c r="AY486" s="25">
        <f t="shared" ca="1" si="533"/>
        <v>26.608695652173914</v>
      </c>
      <c r="AZ486" s="6">
        <f t="shared" ca="1" si="534"/>
        <v>1.1383399209486171</v>
      </c>
      <c r="BA486" s="27">
        <f t="shared" ca="1" si="535"/>
        <v>25.470355731225297</v>
      </c>
      <c r="BB486" s="21">
        <f t="shared" ca="1" si="536"/>
        <v>4.2780748663101623E-2</v>
      </c>
    </row>
    <row r="487" spans="6:54">
      <c r="F487" s="2"/>
      <c r="AQ487" s="2">
        <f t="shared" si="569"/>
        <v>368</v>
      </c>
      <c r="AR487" s="2" t="str">
        <f t="shared" ref="AR487:AS487" si="587">AR484</f>
        <v>D65</v>
      </c>
      <c r="AS487" s="1">
        <f t="shared" si="587"/>
        <v>2</v>
      </c>
      <c r="AT487" s="2">
        <f t="shared" si="571"/>
        <v>26</v>
      </c>
      <c r="AU487" s="2">
        <f t="shared" si="572"/>
        <v>3</v>
      </c>
      <c r="AV487" s="52" t="str">
        <f t="shared" si="531"/>
        <v>data2!R27C30</v>
      </c>
      <c r="AW487" s="52" t="str">
        <f t="shared" si="532"/>
        <v>data2!R28C30</v>
      </c>
      <c r="AX487" s="2">
        <f t="shared" si="555"/>
        <v>300</v>
      </c>
      <c r="AY487" s="25">
        <f t="shared" ca="1" si="533"/>
        <v>64.654804270462634</v>
      </c>
      <c r="AZ487" s="6">
        <f t="shared" ca="1" si="534"/>
        <v>34.185053380782918</v>
      </c>
      <c r="BA487" s="27">
        <f t="shared" ca="1" si="535"/>
        <v>30.469750889679716</v>
      </c>
      <c r="BB487" s="21">
        <f t="shared" ca="1" si="536"/>
        <v>0.52873183619550856</v>
      </c>
    </row>
    <row r="488" spans="6:54">
      <c r="F488" s="2"/>
      <c r="AQ488" s="2">
        <f t="shared" si="569"/>
        <v>369</v>
      </c>
      <c r="AR488" s="2" t="str">
        <f t="shared" ref="AR488:AS488" si="588">AR485</f>
        <v>A</v>
      </c>
      <c r="AS488" s="1">
        <f t="shared" si="588"/>
        <v>0</v>
      </c>
      <c r="AT488" s="2">
        <f t="shared" si="571"/>
        <v>27</v>
      </c>
      <c r="AU488" s="2">
        <f t="shared" si="572"/>
        <v>3</v>
      </c>
      <c r="AV488" s="52" t="str">
        <f t="shared" si="531"/>
        <v>data0!R27C31</v>
      </c>
      <c r="AW488" s="52" t="str">
        <f t="shared" si="532"/>
        <v>data0!R28C31</v>
      </c>
      <c r="AX488" s="2">
        <f t="shared" si="555"/>
        <v>300</v>
      </c>
      <c r="AY488" s="25">
        <f t="shared" ca="1" si="533"/>
        <v>93.079903147699753</v>
      </c>
      <c r="AZ488" s="6">
        <f t="shared" ca="1" si="534"/>
        <v>81.86440677966101</v>
      </c>
      <c r="BA488" s="27">
        <f t="shared" ca="1" si="535"/>
        <v>11.215496368038743</v>
      </c>
      <c r="BB488" s="21">
        <f t="shared" ca="1" si="536"/>
        <v>0.87950678944904004</v>
      </c>
    </row>
    <row r="489" spans="6:54">
      <c r="F489" s="2"/>
      <c r="AQ489" s="2">
        <f t="shared" si="569"/>
        <v>370</v>
      </c>
      <c r="AR489" s="2" t="str">
        <f t="shared" ref="AR489:AS489" si="589">AR486</f>
        <v>CWF</v>
      </c>
      <c r="AS489" s="1">
        <f t="shared" si="589"/>
        <v>1</v>
      </c>
      <c r="AT489" s="2">
        <f t="shared" si="571"/>
        <v>27</v>
      </c>
      <c r="AU489" s="2">
        <f t="shared" si="572"/>
        <v>3</v>
      </c>
      <c r="AV489" s="52" t="str">
        <f t="shared" si="531"/>
        <v>data1!R27C31</v>
      </c>
      <c r="AW489" s="52" t="str">
        <f t="shared" si="532"/>
        <v>data1!R28C31</v>
      </c>
      <c r="AX489" s="2">
        <f t="shared" si="555"/>
        <v>300</v>
      </c>
      <c r="AY489" s="25">
        <f t="shared" ca="1" si="533"/>
        <v>26.608695652173914</v>
      </c>
      <c r="AZ489" s="6">
        <f t="shared" ca="1" si="534"/>
        <v>1.1383399209486171</v>
      </c>
      <c r="BA489" s="27">
        <f t="shared" ca="1" si="535"/>
        <v>25.470355731225297</v>
      </c>
      <c r="BB489" s="21">
        <f t="shared" ca="1" si="536"/>
        <v>4.2780748663101623E-2</v>
      </c>
    </row>
    <row r="490" spans="6:54">
      <c r="F490" s="2"/>
      <c r="AQ490" s="2">
        <f t="shared" si="569"/>
        <v>371</v>
      </c>
      <c r="AR490" s="2" t="str">
        <f t="shared" ref="AR490:AS490" si="590">AR487</f>
        <v>D65</v>
      </c>
      <c r="AS490" s="1">
        <f t="shared" si="590"/>
        <v>2</v>
      </c>
      <c r="AT490" s="2">
        <f t="shared" si="571"/>
        <v>27</v>
      </c>
      <c r="AU490" s="2">
        <f t="shared" si="572"/>
        <v>3</v>
      </c>
      <c r="AV490" s="52" t="str">
        <f t="shared" si="531"/>
        <v>data2!R27C31</v>
      </c>
      <c r="AW490" s="52" t="str">
        <f t="shared" si="532"/>
        <v>data2!R28C31</v>
      </c>
      <c r="AX490" s="2">
        <f t="shared" si="555"/>
        <v>300</v>
      </c>
      <c r="AY490" s="25">
        <f t="shared" ca="1" si="533"/>
        <v>64.654804270462634</v>
      </c>
      <c r="AZ490" s="6">
        <f t="shared" ca="1" si="534"/>
        <v>34.185053380782918</v>
      </c>
      <c r="BA490" s="27">
        <f t="shared" ca="1" si="535"/>
        <v>30.469750889679716</v>
      </c>
      <c r="BB490" s="21">
        <f t="shared" ca="1" si="536"/>
        <v>0.52873183619550856</v>
      </c>
    </row>
    <row r="491" spans="6:54">
      <c r="F491" s="2"/>
      <c r="AQ491" s="2">
        <f t="shared" si="569"/>
        <v>372</v>
      </c>
      <c r="AR491" s="2" t="str">
        <f t="shared" ref="AR491:AS491" si="591">AR488</f>
        <v>A</v>
      </c>
      <c r="AS491" s="1">
        <f t="shared" si="591"/>
        <v>0</v>
      </c>
      <c r="AT491" s="2">
        <f t="shared" si="571"/>
        <v>28</v>
      </c>
      <c r="AU491" s="2">
        <f t="shared" si="572"/>
        <v>3</v>
      </c>
      <c r="AV491" s="52" t="str">
        <f t="shared" si="531"/>
        <v>data0!R27C32</v>
      </c>
      <c r="AW491" s="52" t="str">
        <f t="shared" si="532"/>
        <v>data0!R28C32</v>
      </c>
      <c r="AX491" s="2">
        <f t="shared" si="555"/>
        <v>300</v>
      </c>
      <c r="AY491" s="25">
        <f t="shared" ca="1" si="533"/>
        <v>93.079903147699753</v>
      </c>
      <c r="AZ491" s="6">
        <f t="shared" ca="1" si="534"/>
        <v>81.86440677966101</v>
      </c>
      <c r="BA491" s="27">
        <f t="shared" ca="1" si="535"/>
        <v>11.215496368038743</v>
      </c>
      <c r="BB491" s="21">
        <f t="shared" ca="1" si="536"/>
        <v>0.87950678944904004</v>
      </c>
    </row>
    <row r="492" spans="6:54">
      <c r="F492" s="2"/>
      <c r="AQ492" s="2">
        <f t="shared" si="569"/>
        <v>373</v>
      </c>
      <c r="AR492" s="2" t="str">
        <f t="shared" ref="AR492:AS492" si="592">AR489</f>
        <v>CWF</v>
      </c>
      <c r="AS492" s="1">
        <f t="shared" si="592"/>
        <v>1</v>
      </c>
      <c r="AT492" s="2">
        <f t="shared" si="571"/>
        <v>28</v>
      </c>
      <c r="AU492" s="2">
        <f t="shared" si="572"/>
        <v>3</v>
      </c>
      <c r="AV492" s="52" t="str">
        <f t="shared" si="531"/>
        <v>data1!R27C32</v>
      </c>
      <c r="AW492" s="52" t="str">
        <f t="shared" si="532"/>
        <v>data1!R28C32</v>
      </c>
      <c r="AX492" s="2">
        <f t="shared" si="555"/>
        <v>300</v>
      </c>
      <c r="AY492" s="25">
        <f t="shared" ca="1" si="533"/>
        <v>26.608695652173914</v>
      </c>
      <c r="AZ492" s="6">
        <f t="shared" ca="1" si="534"/>
        <v>1.1383399209486171</v>
      </c>
      <c r="BA492" s="27">
        <f t="shared" ca="1" si="535"/>
        <v>25.470355731225297</v>
      </c>
      <c r="BB492" s="21">
        <f t="shared" ca="1" si="536"/>
        <v>4.2780748663101623E-2</v>
      </c>
    </row>
    <row r="493" spans="6:54">
      <c r="F493" s="2"/>
      <c r="AQ493" s="2">
        <f t="shared" si="569"/>
        <v>374</v>
      </c>
      <c r="AR493" s="2" t="str">
        <f t="shared" ref="AR493:AS493" si="593">AR490</f>
        <v>D65</v>
      </c>
      <c r="AS493" s="1">
        <f t="shared" si="593"/>
        <v>2</v>
      </c>
      <c r="AT493" s="2">
        <f t="shared" si="571"/>
        <v>28</v>
      </c>
      <c r="AU493" s="2">
        <f t="shared" si="572"/>
        <v>3</v>
      </c>
      <c r="AV493" s="52" t="str">
        <f t="shared" si="531"/>
        <v>data2!R27C32</v>
      </c>
      <c r="AW493" s="52" t="str">
        <f t="shared" si="532"/>
        <v>data2!R28C32</v>
      </c>
      <c r="AX493" s="2">
        <f t="shared" si="555"/>
        <v>300</v>
      </c>
      <c r="AY493" s="25">
        <f t="shared" ca="1" si="533"/>
        <v>64.654804270462634</v>
      </c>
      <c r="AZ493" s="6">
        <f t="shared" ca="1" si="534"/>
        <v>34.185053380782918</v>
      </c>
      <c r="BA493" s="27">
        <f t="shared" ca="1" si="535"/>
        <v>30.469750889679716</v>
      </c>
      <c r="BB493" s="21">
        <f t="shared" ca="1" si="536"/>
        <v>0.52873183619550856</v>
      </c>
    </row>
    <row r="494" spans="6:54">
      <c r="F494" s="2"/>
      <c r="AQ494" s="2">
        <f t="shared" si="569"/>
        <v>375</v>
      </c>
      <c r="AR494" s="2" t="str">
        <f t="shared" ref="AR494:AS494" si="594">AR491</f>
        <v>A</v>
      </c>
      <c r="AS494" s="1">
        <f t="shared" si="594"/>
        <v>0</v>
      </c>
      <c r="AT494" s="2">
        <f t="shared" si="571"/>
        <v>29</v>
      </c>
      <c r="AU494" s="2">
        <f t="shared" si="572"/>
        <v>3</v>
      </c>
      <c r="AV494" s="52" t="str">
        <f t="shared" si="531"/>
        <v>data0!R27C33</v>
      </c>
      <c r="AW494" s="52" t="str">
        <f t="shared" si="532"/>
        <v>data0!R28C33</v>
      </c>
      <c r="AX494" s="2">
        <f t="shared" si="555"/>
        <v>300</v>
      </c>
      <c r="AY494" s="25">
        <f t="shared" ca="1" si="533"/>
        <v>93.079903147699753</v>
      </c>
      <c r="AZ494" s="6">
        <f t="shared" ca="1" si="534"/>
        <v>81.86440677966101</v>
      </c>
      <c r="BA494" s="27">
        <f t="shared" ca="1" si="535"/>
        <v>11.215496368038743</v>
      </c>
      <c r="BB494" s="21">
        <f t="shared" ca="1" si="536"/>
        <v>0.87950678944904004</v>
      </c>
    </row>
    <row r="495" spans="6:54">
      <c r="F495" s="2"/>
      <c r="AQ495" s="2">
        <f t="shared" si="569"/>
        <v>376</v>
      </c>
      <c r="AR495" s="2" t="str">
        <f t="shared" ref="AR495:AS495" si="595">AR492</f>
        <v>CWF</v>
      </c>
      <c r="AS495" s="1">
        <f t="shared" si="595"/>
        <v>1</v>
      </c>
      <c r="AT495" s="2">
        <f t="shared" si="571"/>
        <v>29</v>
      </c>
      <c r="AU495" s="2">
        <f t="shared" si="572"/>
        <v>3</v>
      </c>
      <c r="AV495" s="52" t="str">
        <f t="shared" si="531"/>
        <v>data1!R27C33</v>
      </c>
      <c r="AW495" s="52" t="str">
        <f t="shared" si="532"/>
        <v>data1!R28C33</v>
      </c>
      <c r="AX495" s="2">
        <f t="shared" si="555"/>
        <v>300</v>
      </c>
      <c r="AY495" s="25">
        <f t="shared" ca="1" si="533"/>
        <v>26.608695652173914</v>
      </c>
      <c r="AZ495" s="6">
        <f t="shared" ca="1" si="534"/>
        <v>1.1383399209486171</v>
      </c>
      <c r="BA495" s="27">
        <f t="shared" ca="1" si="535"/>
        <v>25.470355731225297</v>
      </c>
      <c r="BB495" s="21">
        <f t="shared" ca="1" si="536"/>
        <v>4.2780748663101623E-2</v>
      </c>
    </row>
    <row r="496" spans="6:54">
      <c r="F496" s="2"/>
      <c r="AQ496" s="2">
        <f t="shared" si="569"/>
        <v>377</v>
      </c>
      <c r="AR496" s="2" t="str">
        <f t="shared" ref="AR496:AS496" si="596">AR493</f>
        <v>D65</v>
      </c>
      <c r="AS496" s="1">
        <f t="shared" si="596"/>
        <v>2</v>
      </c>
      <c r="AT496" s="2">
        <f t="shared" si="571"/>
        <v>29</v>
      </c>
      <c r="AU496" s="2">
        <f t="shared" si="572"/>
        <v>3</v>
      </c>
      <c r="AV496" s="52" t="str">
        <f t="shared" si="531"/>
        <v>data2!R27C33</v>
      </c>
      <c r="AW496" s="52" t="str">
        <f t="shared" si="532"/>
        <v>data2!R28C33</v>
      </c>
      <c r="AX496" s="2">
        <f t="shared" si="555"/>
        <v>300</v>
      </c>
      <c r="AY496" s="25">
        <f t="shared" ca="1" si="533"/>
        <v>64.654804270462634</v>
      </c>
      <c r="AZ496" s="6">
        <f t="shared" ca="1" si="534"/>
        <v>34.185053380782918</v>
      </c>
      <c r="BA496" s="27">
        <f t="shared" ca="1" si="535"/>
        <v>30.469750889679716</v>
      </c>
      <c r="BB496" s="21">
        <f t="shared" ca="1" si="536"/>
        <v>0.52873183619550856</v>
      </c>
    </row>
    <row r="497" spans="6:54">
      <c r="F497" s="2"/>
      <c r="AQ497" s="2">
        <f t="shared" si="569"/>
        <v>378</v>
      </c>
      <c r="AR497" s="2" t="str">
        <f t="shared" ref="AR497:AS497" si="597">AR494</f>
        <v>A</v>
      </c>
      <c r="AS497" s="1">
        <f t="shared" si="597"/>
        <v>0</v>
      </c>
      <c r="AT497" s="2">
        <f t="shared" si="571"/>
        <v>30</v>
      </c>
      <c r="AU497" s="2">
        <f t="shared" si="572"/>
        <v>3</v>
      </c>
      <c r="AV497" s="52" t="str">
        <f t="shared" si="531"/>
        <v>data0!R27C34</v>
      </c>
      <c r="AW497" s="52" t="str">
        <f t="shared" si="532"/>
        <v>data0!R28C34</v>
      </c>
      <c r="AX497" s="2">
        <f t="shared" si="555"/>
        <v>300</v>
      </c>
      <c r="AY497" s="25">
        <f t="shared" ca="1" si="533"/>
        <v>93.079903147699753</v>
      </c>
      <c r="AZ497" s="6">
        <f t="shared" ca="1" si="534"/>
        <v>81.86440677966101</v>
      </c>
      <c r="BA497" s="27">
        <f t="shared" ca="1" si="535"/>
        <v>11.215496368038743</v>
      </c>
      <c r="BB497" s="21">
        <f t="shared" ca="1" si="536"/>
        <v>0.87950678944904004</v>
      </c>
    </row>
    <row r="498" spans="6:54">
      <c r="F498" s="2"/>
      <c r="AQ498" s="2">
        <f t="shared" si="569"/>
        <v>379</v>
      </c>
      <c r="AR498" s="2" t="str">
        <f t="shared" ref="AR498:AS498" si="598">AR495</f>
        <v>CWF</v>
      </c>
      <c r="AS498" s="1">
        <f t="shared" si="598"/>
        <v>1</v>
      </c>
      <c r="AT498" s="2">
        <f t="shared" si="571"/>
        <v>30</v>
      </c>
      <c r="AU498" s="2">
        <f t="shared" si="572"/>
        <v>3</v>
      </c>
      <c r="AV498" s="52" t="str">
        <f t="shared" si="531"/>
        <v>data1!R27C34</v>
      </c>
      <c r="AW498" s="52" t="str">
        <f t="shared" si="532"/>
        <v>data1!R28C34</v>
      </c>
      <c r="AX498" s="2">
        <f t="shared" si="555"/>
        <v>300</v>
      </c>
      <c r="AY498" s="25">
        <f t="shared" ca="1" si="533"/>
        <v>26.608695652173914</v>
      </c>
      <c r="AZ498" s="6">
        <f t="shared" ca="1" si="534"/>
        <v>1.1383399209486171</v>
      </c>
      <c r="BA498" s="27">
        <f t="shared" ca="1" si="535"/>
        <v>25.470355731225297</v>
      </c>
      <c r="BB498" s="21">
        <f t="shared" ca="1" si="536"/>
        <v>4.2780748663101623E-2</v>
      </c>
    </row>
    <row r="499" spans="6:54">
      <c r="F499" s="2"/>
      <c r="AQ499" s="2">
        <f t="shared" si="569"/>
        <v>380</v>
      </c>
      <c r="AR499" s="2" t="str">
        <f t="shared" ref="AR499:AS499" si="599">AR496</f>
        <v>D65</v>
      </c>
      <c r="AS499" s="1">
        <f t="shared" si="599"/>
        <v>2</v>
      </c>
      <c r="AT499" s="2">
        <f t="shared" si="571"/>
        <v>30</v>
      </c>
      <c r="AU499" s="2">
        <f t="shared" si="572"/>
        <v>3</v>
      </c>
      <c r="AV499" s="52" t="str">
        <f t="shared" si="531"/>
        <v>data2!R27C34</v>
      </c>
      <c r="AW499" s="52" t="str">
        <f t="shared" si="532"/>
        <v>data2!R28C34</v>
      </c>
      <c r="AX499" s="2">
        <f t="shared" si="555"/>
        <v>300</v>
      </c>
      <c r="AY499" s="25">
        <f t="shared" ca="1" si="533"/>
        <v>64.654804270462634</v>
      </c>
      <c r="AZ499" s="6">
        <f t="shared" ca="1" si="534"/>
        <v>34.185053380782918</v>
      </c>
      <c r="BA499" s="27">
        <f t="shared" ca="1" si="535"/>
        <v>30.469750889679716</v>
      </c>
      <c r="BB499" s="21">
        <f t="shared" ca="1" si="536"/>
        <v>0.52873183619550856</v>
      </c>
    </row>
    <row r="500" spans="6:54">
      <c r="F500" s="2"/>
      <c r="AQ500" s="2">
        <f t="shared" si="569"/>
        <v>381</v>
      </c>
      <c r="AR500" s="2" t="str">
        <f t="shared" ref="AR500:AS500" si="600">AR497</f>
        <v>A</v>
      </c>
      <c r="AS500" s="1">
        <f t="shared" si="600"/>
        <v>0</v>
      </c>
      <c r="AT500" s="2">
        <f t="shared" si="571"/>
        <v>31</v>
      </c>
      <c r="AU500" s="2">
        <f t="shared" si="572"/>
        <v>3</v>
      </c>
      <c r="AV500" s="52" t="str">
        <f t="shared" si="531"/>
        <v>data0!R27C35</v>
      </c>
      <c r="AW500" s="52" t="str">
        <f t="shared" si="532"/>
        <v>data0!R28C35</v>
      </c>
      <c r="AX500" s="2">
        <f t="shared" si="555"/>
        <v>300</v>
      </c>
      <c r="AY500" s="25">
        <f t="shared" ca="1" si="533"/>
        <v>93.079903147699753</v>
      </c>
      <c r="AZ500" s="6">
        <f t="shared" ca="1" si="534"/>
        <v>81.86440677966101</v>
      </c>
      <c r="BA500" s="27">
        <f t="shared" ca="1" si="535"/>
        <v>11.215496368038743</v>
      </c>
      <c r="BB500" s="21">
        <f t="shared" ca="1" si="536"/>
        <v>0.87950678944904004</v>
      </c>
    </row>
    <row r="501" spans="6:54">
      <c r="F501" s="2"/>
      <c r="AQ501" s="2">
        <f t="shared" si="569"/>
        <v>382</v>
      </c>
      <c r="AR501" s="2" t="str">
        <f t="shared" ref="AR501:AS501" si="601">AR498</f>
        <v>CWF</v>
      </c>
      <c r="AS501" s="1">
        <f t="shared" si="601"/>
        <v>1</v>
      </c>
      <c r="AT501" s="2">
        <f t="shared" si="571"/>
        <v>31</v>
      </c>
      <c r="AU501" s="2">
        <f t="shared" si="572"/>
        <v>3</v>
      </c>
      <c r="AV501" s="52" t="str">
        <f t="shared" si="531"/>
        <v>data1!R27C35</v>
      </c>
      <c r="AW501" s="52" t="str">
        <f t="shared" si="532"/>
        <v>data1!R28C35</v>
      </c>
      <c r="AX501" s="2">
        <f t="shared" si="555"/>
        <v>300</v>
      </c>
      <c r="AY501" s="25">
        <f t="shared" ca="1" si="533"/>
        <v>26.608695652173914</v>
      </c>
      <c r="AZ501" s="6">
        <f t="shared" ca="1" si="534"/>
        <v>1.1383399209486171</v>
      </c>
      <c r="BA501" s="27">
        <f t="shared" ca="1" si="535"/>
        <v>25.470355731225297</v>
      </c>
      <c r="BB501" s="21">
        <f t="shared" ca="1" si="536"/>
        <v>4.2780748663101623E-2</v>
      </c>
    </row>
    <row r="502" spans="6:54">
      <c r="F502" s="2"/>
      <c r="AQ502" s="2">
        <f t="shared" si="569"/>
        <v>383</v>
      </c>
      <c r="AR502" s="2" t="str">
        <f t="shared" ref="AR502:AS502" si="602">AR499</f>
        <v>D65</v>
      </c>
      <c r="AS502" s="1">
        <f t="shared" si="602"/>
        <v>2</v>
      </c>
      <c r="AT502" s="2">
        <f t="shared" si="571"/>
        <v>31</v>
      </c>
      <c r="AU502" s="2">
        <f t="shared" si="572"/>
        <v>3</v>
      </c>
      <c r="AV502" s="52" t="str">
        <f t="shared" si="531"/>
        <v>data2!R27C35</v>
      </c>
      <c r="AW502" s="52" t="str">
        <f t="shared" si="532"/>
        <v>data2!R28C35</v>
      </c>
      <c r="AX502" s="2">
        <f t="shared" si="555"/>
        <v>300</v>
      </c>
      <c r="AY502" s="25">
        <f t="shared" ca="1" si="533"/>
        <v>64.654804270462634</v>
      </c>
      <c r="AZ502" s="6">
        <f t="shared" ca="1" si="534"/>
        <v>34.185053380782918</v>
      </c>
      <c r="BA502" s="27">
        <f t="shared" ca="1" si="535"/>
        <v>30.469750889679716</v>
      </c>
      <c r="BB502" s="21">
        <f t="shared" ca="1" si="536"/>
        <v>0.52873183619550856</v>
      </c>
    </row>
  </sheetData>
  <mergeCells count="47">
    <mergeCell ref="C31:C34"/>
    <mergeCell ref="C35:C38"/>
    <mergeCell ref="C39:C42"/>
    <mergeCell ref="A112:A115"/>
    <mergeCell ref="B77:B79"/>
    <mergeCell ref="B80:B82"/>
    <mergeCell ref="A108:A111"/>
    <mergeCell ref="C43:C44"/>
    <mergeCell ref="C45:C46"/>
    <mergeCell ref="C47:C48"/>
    <mergeCell ref="A62:A65"/>
    <mergeCell ref="B6:B8"/>
    <mergeCell ref="B9:B11"/>
    <mergeCell ref="B12:B14"/>
    <mergeCell ref="B15:B17"/>
    <mergeCell ref="A6:A17"/>
    <mergeCell ref="A24:A29"/>
    <mergeCell ref="A89:A94"/>
    <mergeCell ref="B96:B98"/>
    <mergeCell ref="B99:B101"/>
    <mergeCell ref="A83:A88"/>
    <mergeCell ref="A31:A48"/>
    <mergeCell ref="H18:H21"/>
    <mergeCell ref="AR118:AS118"/>
    <mergeCell ref="A1:B2"/>
    <mergeCell ref="B50:B52"/>
    <mergeCell ref="B53:B55"/>
    <mergeCell ref="B56:B58"/>
    <mergeCell ref="B59:B61"/>
    <mergeCell ref="A66:A69"/>
    <mergeCell ref="A4:C4"/>
    <mergeCell ref="A3:C3"/>
    <mergeCell ref="B71:B73"/>
    <mergeCell ref="B74:B76"/>
    <mergeCell ref="B102:B104"/>
    <mergeCell ref="B105:B107"/>
    <mergeCell ref="A117:C117"/>
    <mergeCell ref="A18:A23"/>
    <mergeCell ref="AR24:AW24"/>
    <mergeCell ref="AR89:AW89"/>
    <mergeCell ref="H108:H111"/>
    <mergeCell ref="H112:H115"/>
    <mergeCell ref="H89:H92"/>
    <mergeCell ref="H24:H27"/>
    <mergeCell ref="H62:H65"/>
    <mergeCell ref="H66:H69"/>
    <mergeCell ref="H83:H86"/>
  </mergeCells>
  <conditionalFormatting sqref="J50:AO52">
    <cfRule type="top10" dxfId="105" priority="143" percent="1" bottom="1" rank="10"/>
    <cfRule type="top10" dxfId="104" priority="144" percent="1" rank="10"/>
  </conditionalFormatting>
  <conditionalFormatting sqref="J51:AO51">
    <cfRule type="top10" dxfId="103" priority="141" percent="1" bottom="1" rank="10"/>
    <cfRule type="top10" dxfId="102" priority="142" percent="1" rank="10"/>
  </conditionalFormatting>
  <conditionalFormatting sqref="J52:AO65">
    <cfRule type="top10" dxfId="101" priority="139" percent="1" bottom="1" rank="10"/>
    <cfRule type="top10" dxfId="100" priority="140" percent="1" rank="10"/>
  </conditionalFormatting>
  <conditionalFormatting sqref="J66:AO69">
    <cfRule type="top10" dxfId="99" priority="137" percent="1" bottom="1" rank="10"/>
    <cfRule type="top10" dxfId="98" priority="138" percent="1" rank="10"/>
  </conditionalFormatting>
  <conditionalFormatting sqref="J53:AO55">
    <cfRule type="top10" dxfId="97" priority="135" percent="1" bottom="1" rank="10"/>
    <cfRule type="top10" dxfId="96" priority="136" percent="1" rank="10"/>
  </conditionalFormatting>
  <conditionalFormatting sqref="J54:AO54">
    <cfRule type="top10" dxfId="95" priority="133" percent="1" bottom="1" rank="10"/>
    <cfRule type="top10" dxfId="94" priority="134" percent="1" rank="10"/>
  </conditionalFormatting>
  <conditionalFormatting sqref="J56:AO58">
    <cfRule type="top10" dxfId="93" priority="131" percent="1" bottom="1" rank="10"/>
    <cfRule type="top10" dxfId="92" priority="132" percent="1" rank="10"/>
  </conditionalFormatting>
  <conditionalFormatting sqref="J57:AO57">
    <cfRule type="top10" dxfId="91" priority="129" percent="1" bottom="1" rank="10"/>
    <cfRule type="top10" dxfId="90" priority="130" percent="1" rank="10"/>
  </conditionalFormatting>
  <conditionalFormatting sqref="J59:AO65">
    <cfRule type="top10" dxfId="89" priority="127" percent="1" bottom="1" rank="10"/>
    <cfRule type="top10" dxfId="88" priority="128" percent="1" rank="10"/>
  </conditionalFormatting>
  <conditionalFormatting sqref="J60:AO60">
    <cfRule type="top10" dxfId="87" priority="125" percent="1" bottom="1" rank="10"/>
    <cfRule type="top10" dxfId="86" priority="126" percent="1" rank="10"/>
  </conditionalFormatting>
  <conditionalFormatting sqref="J71:AO73">
    <cfRule type="top10" dxfId="85" priority="123" percent="1" bottom="1" rank="10"/>
    <cfRule type="top10" dxfId="84" priority="124" percent="1" rank="10"/>
  </conditionalFormatting>
  <conditionalFormatting sqref="J72:AO72">
    <cfRule type="top10" dxfId="83" priority="121" percent="1" bottom="1" rank="10"/>
    <cfRule type="top10" dxfId="82" priority="122" percent="1" rank="10"/>
  </conditionalFormatting>
  <conditionalFormatting sqref="J73:AO87">
    <cfRule type="top10" dxfId="81" priority="119" percent="1" bottom="1" rank="10"/>
    <cfRule type="top10" dxfId="80" priority="120" percent="1" rank="10"/>
  </conditionalFormatting>
  <conditionalFormatting sqref="J89:AO93">
    <cfRule type="top10" dxfId="79" priority="117" percent="1" bottom="1" rank="10"/>
    <cfRule type="top10" dxfId="78" priority="118" percent="1" rank="10"/>
  </conditionalFormatting>
  <conditionalFormatting sqref="J74:AO76">
    <cfRule type="top10" dxfId="77" priority="115" percent="1" bottom="1" rank="10"/>
    <cfRule type="top10" dxfId="76" priority="116" percent="1" rank="10"/>
  </conditionalFormatting>
  <conditionalFormatting sqref="J75:AO75">
    <cfRule type="top10" dxfId="75" priority="113" percent="1" bottom="1" rank="10"/>
    <cfRule type="top10" dxfId="74" priority="114" percent="1" rank="10"/>
  </conditionalFormatting>
  <conditionalFormatting sqref="J77:AO79">
    <cfRule type="top10" dxfId="73" priority="111" percent="1" bottom="1" rank="10"/>
    <cfRule type="top10" dxfId="72" priority="112" percent="1" rank="10"/>
  </conditionalFormatting>
  <conditionalFormatting sqref="J78:AO78">
    <cfRule type="top10" dxfId="71" priority="109" percent="1" bottom="1" rank="10"/>
    <cfRule type="top10" dxfId="70" priority="110" percent="1" rank="10"/>
  </conditionalFormatting>
  <conditionalFormatting sqref="J80:AO87">
    <cfRule type="top10" dxfId="69" priority="107" percent="1" bottom="1" rank="10"/>
    <cfRule type="top10" dxfId="68" priority="108" percent="1" rank="10"/>
  </conditionalFormatting>
  <conditionalFormatting sqref="J81:AO81">
    <cfRule type="top10" dxfId="67" priority="105" percent="1" bottom="1" rank="10"/>
    <cfRule type="top10" dxfId="66" priority="106" percent="1" rank="10"/>
  </conditionalFormatting>
  <conditionalFormatting sqref="J96:AO98">
    <cfRule type="top10" dxfId="65" priority="103" percent="1" bottom="1" rank="10"/>
    <cfRule type="top10" dxfId="64" priority="104" percent="1" rank="10"/>
  </conditionalFormatting>
  <conditionalFormatting sqref="J97:AO97">
    <cfRule type="top10" dxfId="63" priority="101" percent="1" bottom="1" rank="10"/>
    <cfRule type="top10" dxfId="62" priority="102" percent="1" rank="10"/>
  </conditionalFormatting>
  <conditionalFormatting sqref="J98:AO111">
    <cfRule type="top10" dxfId="61" priority="99" percent="1" bottom="1" rank="10"/>
    <cfRule type="top10" dxfId="60" priority="100" percent="1" rank="10"/>
  </conditionalFormatting>
  <conditionalFormatting sqref="J112:AO116">
    <cfRule type="top10" dxfId="59" priority="97" percent="1" bottom="1" rank="10"/>
    <cfRule type="top10" dxfId="58" priority="98" percent="1" rank="10"/>
  </conditionalFormatting>
  <conditionalFormatting sqref="J99:AO101">
    <cfRule type="top10" dxfId="57" priority="95" percent="1" bottom="1" rank="10"/>
    <cfRule type="top10" dxfId="56" priority="96" percent="1" rank="10"/>
  </conditionalFormatting>
  <conditionalFormatting sqref="J100:AO100">
    <cfRule type="top10" dxfId="55" priority="93" percent="1" bottom="1" rank="10"/>
    <cfRule type="top10" dxfId="54" priority="94" percent="1" rank="10"/>
  </conditionalFormatting>
  <conditionalFormatting sqref="J102:AO104">
    <cfRule type="top10" dxfId="53" priority="91" percent="1" bottom="1" rank="10"/>
    <cfRule type="top10" dxfId="52" priority="92" percent="1" rank="10"/>
  </conditionalFormatting>
  <conditionalFormatting sqref="J103:AO103">
    <cfRule type="top10" dxfId="51" priority="89" percent="1" bottom="1" rank="10"/>
    <cfRule type="top10" dxfId="50" priority="90" percent="1" rank="10"/>
  </conditionalFormatting>
  <conditionalFormatting sqref="J105:AO111">
    <cfRule type="top10" dxfId="49" priority="87" percent="1" bottom="1" rank="10"/>
    <cfRule type="top10" dxfId="48" priority="88" percent="1" rank="10"/>
  </conditionalFormatting>
  <conditionalFormatting sqref="J106:AO106">
    <cfRule type="top10" dxfId="47" priority="85" percent="1" bottom="1" rank="10"/>
    <cfRule type="top10" dxfId="46" priority="86" percent="1" rank="10"/>
  </conditionalFormatting>
  <conditionalFormatting sqref="J6:AO8">
    <cfRule type="top10" dxfId="45" priority="81" percent="1" bottom="1" rank="10"/>
    <cfRule type="top10" dxfId="44" priority="82" percent="1" rank="10"/>
  </conditionalFormatting>
  <conditionalFormatting sqref="J7:AO7">
    <cfRule type="top10" dxfId="43" priority="79" percent="1" bottom="1" rank="10"/>
    <cfRule type="top10" dxfId="42" priority="80" percent="1" rank="10"/>
  </conditionalFormatting>
  <conditionalFormatting sqref="J8:AO22">
    <cfRule type="top10" dxfId="41" priority="77" percent="1" bottom="1" rank="10"/>
    <cfRule type="top10" dxfId="40" priority="78" percent="1" rank="10"/>
  </conditionalFormatting>
  <conditionalFormatting sqref="J9:AO11">
    <cfRule type="top10" dxfId="39" priority="75" percent="1" bottom="1" rank="10"/>
    <cfRule type="top10" dxfId="38" priority="76" percent="1" rank="10"/>
  </conditionalFormatting>
  <conditionalFormatting sqref="J10:AO10">
    <cfRule type="top10" dxfId="37" priority="73" percent="1" bottom="1" rank="10"/>
    <cfRule type="top10" dxfId="36" priority="74" percent="1" rank="10"/>
  </conditionalFormatting>
  <conditionalFormatting sqref="J12:AO14">
    <cfRule type="top10" dxfId="35" priority="71" percent="1" bottom="1" rank="10"/>
    <cfRule type="top10" dxfId="34" priority="72" percent="1" rank="10"/>
  </conditionalFormatting>
  <conditionalFormatting sqref="J13:AO13">
    <cfRule type="top10" dxfId="33" priority="69" percent="1" bottom="1" rank="10"/>
    <cfRule type="top10" dxfId="32" priority="70" percent="1" rank="10"/>
  </conditionalFormatting>
  <conditionalFormatting sqref="J15:AO22">
    <cfRule type="top10" dxfId="31" priority="67" percent="1" bottom="1" rank="10"/>
    <cfRule type="top10" dxfId="30" priority="68" percent="1" rank="10"/>
  </conditionalFormatting>
  <conditionalFormatting sqref="J16:AO16">
    <cfRule type="top10" dxfId="29" priority="65" percent="1" bottom="1" rank="10"/>
    <cfRule type="top10" dxfId="28" priority="66" percent="1" rank="10"/>
  </conditionalFormatting>
  <conditionalFormatting sqref="J24:AO28">
    <cfRule type="top10" dxfId="27" priority="145" percent="1" bottom="1" rank="10"/>
    <cfRule type="top10" dxfId="26" priority="146" percent="1" rank="10"/>
  </conditionalFormatting>
  <conditionalFormatting sqref="J31:AO31 J35:AO35 J39:AO39">
    <cfRule type="top10" dxfId="25" priority="63" percent="1" bottom="1" rank="10"/>
    <cfRule type="top10" dxfId="24" priority="64" percent="1" rank="10"/>
  </conditionalFormatting>
  <conditionalFormatting sqref="J35:AO35">
    <cfRule type="top10" dxfId="23" priority="61" percent="1" bottom="1" rank="10"/>
    <cfRule type="top10" dxfId="22" priority="62" percent="1" rank="10"/>
  </conditionalFormatting>
  <conditionalFormatting sqref="J36:AO36">
    <cfRule type="top10" dxfId="21" priority="55" percent="1" bottom="1" rank="10"/>
    <cfRule type="top10" dxfId="20" priority="56" percent="1" rank="10"/>
  </conditionalFormatting>
  <conditionalFormatting sqref="J37:AO37">
    <cfRule type="top10" dxfId="19" priority="51" percent="1" bottom="1" rank="10"/>
    <cfRule type="top10" dxfId="18" priority="52" percent="1" rank="10"/>
  </conditionalFormatting>
  <conditionalFormatting sqref="J38:AO38">
    <cfRule type="top10" dxfId="17" priority="47" percent="1" bottom="1" rank="10"/>
    <cfRule type="top10" dxfId="16" priority="48" percent="1" rank="10"/>
  </conditionalFormatting>
  <conditionalFormatting sqref="J40:AO40 J36:AO36 J32:AO32">
    <cfRule type="top10" dxfId="15" priority="209" percent="1" bottom="1" rank="10"/>
    <cfRule type="top10" dxfId="14" priority="210" percent="1" rank="10"/>
  </conditionalFormatting>
  <conditionalFormatting sqref="J41:AO41 J37:AO37 J33:AO33">
    <cfRule type="top10" dxfId="13" priority="221" percent="1" bottom="1" rank="10"/>
    <cfRule type="top10" dxfId="12" priority="222" percent="1" rank="10"/>
  </conditionalFormatting>
  <conditionalFormatting sqref="J18:AO22">
    <cfRule type="top10" dxfId="11" priority="45" percent="1" bottom="1" rank="10"/>
    <cfRule type="top10" dxfId="10" priority="46" percent="1" rank="10"/>
  </conditionalFormatting>
  <conditionalFormatting sqref="J62:AO65">
    <cfRule type="top10" dxfId="9" priority="43" percent="1" bottom="1" rank="10"/>
    <cfRule type="top10" dxfId="8" priority="44" percent="1" rank="10"/>
  </conditionalFormatting>
  <conditionalFormatting sqref="J83:AO87">
    <cfRule type="top10" dxfId="7" priority="37" percent="1" bottom="1" rank="10"/>
    <cfRule type="top10" dxfId="6" priority="38" percent="1" rank="10"/>
  </conditionalFormatting>
  <conditionalFormatting sqref="J108:AO111">
    <cfRule type="top10" dxfId="5" priority="27" percent="1" bottom="1" rank="10"/>
    <cfRule type="top10" dxfId="4" priority="28" percent="1" rank="10"/>
  </conditionalFormatting>
  <conditionalFormatting sqref="J38:AO38 J34:AO34 J42:AO49">
    <cfRule type="top10" dxfId="3" priority="419" percent="1" bottom="1" rank="10"/>
    <cfRule type="top10" dxfId="2" priority="420" percent="1" rank="10"/>
  </conditionalFormatting>
  <conditionalFormatting sqref="J32:AO34 J36:AO49">
    <cfRule type="top10" dxfId="1" priority="425" percent="1" bottom="1" rank="10"/>
    <cfRule type="top10" dxfId="0" priority="426" percent="1" rank="10"/>
  </conditionalFormatting>
  <dataValidations disablePrompts="1" count="1">
    <dataValidation type="list" allowBlank="1" showInputMessage="1" showErrorMessage="1" sqref="B5 J5:AO5">
      <formula1>$B$66:$B$67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J28"/>
  <sheetViews>
    <sheetView workbookViewId="0"/>
  </sheetViews>
  <sheetFormatPr defaultRowHeight="15"/>
  <cols>
    <col min="1" max="16384" width="9.140625" style="2"/>
  </cols>
  <sheetData>
    <row r="1" spans="1:36" ht="18.75">
      <c r="A1" s="56" t="str">
        <f>Summary!B4</f>
        <v>A</v>
      </c>
      <c r="B1" s="2">
        <v>0</v>
      </c>
      <c r="C1" s="2">
        <f>B1+1</f>
        <v>1</v>
      </c>
      <c r="D1" s="2">
        <f t="shared" ref="D1:AG1" si="0">C1+1</f>
        <v>2</v>
      </c>
      <c r="E1" s="2">
        <f t="shared" si="0"/>
        <v>3</v>
      </c>
      <c r="F1" s="2">
        <f t="shared" si="0"/>
        <v>4</v>
      </c>
      <c r="G1" s="2">
        <f t="shared" si="0"/>
        <v>5</v>
      </c>
      <c r="H1" s="2">
        <f t="shared" si="0"/>
        <v>6</v>
      </c>
      <c r="I1" s="2">
        <f t="shared" si="0"/>
        <v>7</v>
      </c>
      <c r="J1" s="2">
        <f t="shared" si="0"/>
        <v>8</v>
      </c>
      <c r="K1" s="2">
        <f t="shared" si="0"/>
        <v>9</v>
      </c>
      <c r="L1" s="2">
        <f t="shared" si="0"/>
        <v>10</v>
      </c>
      <c r="M1" s="2">
        <f t="shared" si="0"/>
        <v>11</v>
      </c>
      <c r="N1" s="2">
        <f t="shared" si="0"/>
        <v>12</v>
      </c>
      <c r="O1" s="2">
        <f t="shared" si="0"/>
        <v>13</v>
      </c>
      <c r="P1" s="2">
        <f t="shared" si="0"/>
        <v>14</v>
      </c>
      <c r="Q1" s="2">
        <f t="shared" si="0"/>
        <v>15</v>
      </c>
      <c r="R1" s="2">
        <f t="shared" si="0"/>
        <v>16</v>
      </c>
      <c r="S1" s="2">
        <f t="shared" si="0"/>
        <v>17</v>
      </c>
      <c r="T1" s="2">
        <f t="shared" si="0"/>
        <v>18</v>
      </c>
      <c r="U1" s="2">
        <f t="shared" si="0"/>
        <v>19</v>
      </c>
      <c r="V1" s="2">
        <f t="shared" si="0"/>
        <v>20</v>
      </c>
      <c r="W1" s="2">
        <f t="shared" si="0"/>
        <v>21</v>
      </c>
      <c r="X1" s="2">
        <f t="shared" si="0"/>
        <v>22</v>
      </c>
      <c r="Y1" s="2">
        <f t="shared" si="0"/>
        <v>23</v>
      </c>
      <c r="Z1" s="2">
        <f t="shared" si="0"/>
        <v>24</v>
      </c>
      <c r="AA1" s="2">
        <f t="shared" si="0"/>
        <v>25</v>
      </c>
      <c r="AB1" s="2">
        <f t="shared" si="0"/>
        <v>26</v>
      </c>
      <c r="AC1" s="2">
        <f t="shared" si="0"/>
        <v>27</v>
      </c>
      <c r="AD1" s="2">
        <f t="shared" si="0"/>
        <v>28</v>
      </c>
      <c r="AE1" s="2">
        <f t="shared" si="0"/>
        <v>29</v>
      </c>
      <c r="AF1" s="2">
        <f t="shared" si="0"/>
        <v>30</v>
      </c>
      <c r="AG1" s="2">
        <f t="shared" si="0"/>
        <v>31</v>
      </c>
    </row>
    <row r="2" spans="1:36" s="52" customFormat="1" ht="18">
      <c r="A2" s="2" t="s">
        <v>0</v>
      </c>
      <c r="F2" s="52">
        <v>613</v>
      </c>
    </row>
    <row r="3" spans="1:36" s="52" customFormat="1" ht="18">
      <c r="A3" s="2" t="s">
        <v>1</v>
      </c>
      <c r="F3" s="52">
        <v>280</v>
      </c>
    </row>
    <row r="4" spans="1:36" s="52" customFormat="1" ht="18">
      <c r="A4" s="2" t="s">
        <v>2</v>
      </c>
      <c r="F4" s="52">
        <v>603</v>
      </c>
    </row>
    <row r="5" spans="1:36" s="52" customFormat="1" ht="18">
      <c r="A5" s="2" t="s">
        <v>3</v>
      </c>
      <c r="F5" s="52">
        <v>272</v>
      </c>
    </row>
    <row r="6" spans="1:36" s="52" customFormat="1" ht="18">
      <c r="A6" s="2" t="s">
        <v>4</v>
      </c>
      <c r="F6" s="52">
        <v>663</v>
      </c>
    </row>
    <row r="7" spans="1:36" s="52" customFormat="1" ht="18">
      <c r="A7" s="2" t="s">
        <v>5</v>
      </c>
      <c r="F7" s="52">
        <v>80.3</v>
      </c>
    </row>
    <row r="8" spans="1:36" s="52" customFormat="1" ht="18">
      <c r="A8" s="2" t="s">
        <v>6</v>
      </c>
      <c r="F8" s="52">
        <v>640.70000000000005</v>
      </c>
    </row>
    <row r="9" spans="1:36" s="52" customFormat="1" ht="18">
      <c r="A9" s="2" t="s">
        <v>7</v>
      </c>
      <c r="F9" s="52">
        <v>77.2</v>
      </c>
    </row>
    <row r="10" spans="1:36" s="52" customFormat="1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2" t="s">
        <v>14</v>
      </c>
      <c r="AI10" s="2" t="s">
        <v>15</v>
      </c>
      <c r="AJ10" s="2" t="s">
        <v>39</v>
      </c>
    </row>
    <row r="11" spans="1:36" ht="18">
      <c r="A11" s="52" t="s">
        <v>0</v>
      </c>
      <c r="B11" s="52" t="str">
        <f>IF(AND(B2&lt;&gt;0,D$19),B2,"")</f>
        <v/>
      </c>
      <c r="C11" s="52" t="str">
        <f t="shared" ref="C11:AG11" si="1">IF(AND(C2&lt;&gt;0,E$19),C2,"")</f>
        <v/>
      </c>
      <c r="D11" s="52" t="str">
        <f t="shared" si="1"/>
        <v/>
      </c>
      <c r="E11" s="52" t="str">
        <f t="shared" si="1"/>
        <v/>
      </c>
      <c r="F11" s="52">
        <f t="shared" si="1"/>
        <v>613</v>
      </c>
      <c r="G11" s="52" t="str">
        <f t="shared" si="1"/>
        <v/>
      </c>
      <c r="H11" s="52" t="str">
        <f t="shared" si="1"/>
        <v/>
      </c>
      <c r="I11" s="52" t="str">
        <f t="shared" si="1"/>
        <v/>
      </c>
      <c r="J11" s="52" t="str">
        <f t="shared" si="1"/>
        <v/>
      </c>
      <c r="K11" s="52" t="str">
        <f t="shared" si="1"/>
        <v/>
      </c>
      <c r="L11" s="52" t="str">
        <f t="shared" si="1"/>
        <v/>
      </c>
      <c r="M11" s="52" t="str">
        <f t="shared" si="1"/>
        <v/>
      </c>
      <c r="N11" s="52" t="str">
        <f t="shared" si="1"/>
        <v/>
      </c>
      <c r="O11" s="52" t="str">
        <f t="shared" si="1"/>
        <v/>
      </c>
      <c r="P11" s="52" t="str">
        <f t="shared" si="1"/>
        <v/>
      </c>
      <c r="Q11" s="52" t="str">
        <f t="shared" si="1"/>
        <v/>
      </c>
      <c r="R11" s="52" t="str">
        <f t="shared" si="1"/>
        <v/>
      </c>
      <c r="S11" s="52" t="str">
        <f t="shared" si="1"/>
        <v/>
      </c>
      <c r="T11" s="52" t="str">
        <f t="shared" si="1"/>
        <v/>
      </c>
      <c r="U11" s="52" t="str">
        <f t="shared" si="1"/>
        <v/>
      </c>
      <c r="V11" s="52" t="str">
        <f t="shared" si="1"/>
        <v/>
      </c>
      <c r="W11" s="52" t="str">
        <f t="shared" si="1"/>
        <v/>
      </c>
      <c r="X11" s="52" t="str">
        <f t="shared" si="1"/>
        <v/>
      </c>
      <c r="Y11" s="52" t="str">
        <f t="shared" si="1"/>
        <v/>
      </c>
      <c r="Z11" s="52" t="str">
        <f t="shared" si="1"/>
        <v/>
      </c>
      <c r="AA11" s="52" t="str">
        <f t="shared" si="1"/>
        <v/>
      </c>
      <c r="AB11" s="52" t="str">
        <f t="shared" si="1"/>
        <v/>
      </c>
      <c r="AC11" s="52" t="str">
        <f t="shared" si="1"/>
        <v/>
      </c>
      <c r="AD11" s="52" t="str">
        <f t="shared" si="1"/>
        <v/>
      </c>
      <c r="AE11" s="52" t="str">
        <f t="shared" si="1"/>
        <v/>
      </c>
      <c r="AF11" s="52" t="str">
        <f t="shared" si="1"/>
        <v/>
      </c>
      <c r="AG11" s="52" t="str">
        <f t="shared" si="1"/>
        <v/>
      </c>
      <c r="AH11" s="3">
        <f>AVERAGE(B11:AG11)</f>
        <v>613</v>
      </c>
      <c r="AI11" s="3" t="e">
        <f>STDEV(B11:AG11)</f>
        <v>#DIV/0!</v>
      </c>
      <c r="AJ11" s="21" t="e">
        <f>AI11/AH11</f>
        <v>#DIV/0!</v>
      </c>
    </row>
    <row r="12" spans="1:36" ht="18">
      <c r="A12" s="52" t="s">
        <v>1</v>
      </c>
      <c r="B12" s="52" t="str">
        <f t="shared" ref="B12:AG12" si="2">IF(AND(B3&lt;&gt;0,D$19),B3,"")</f>
        <v/>
      </c>
      <c r="C12" s="52" t="str">
        <f t="shared" si="2"/>
        <v/>
      </c>
      <c r="D12" s="52" t="str">
        <f t="shared" si="2"/>
        <v/>
      </c>
      <c r="E12" s="52" t="str">
        <f t="shared" si="2"/>
        <v/>
      </c>
      <c r="F12" s="52">
        <f t="shared" si="2"/>
        <v>280</v>
      </c>
      <c r="G12" s="52" t="str">
        <f t="shared" si="2"/>
        <v/>
      </c>
      <c r="H12" s="52" t="str">
        <f t="shared" si="2"/>
        <v/>
      </c>
      <c r="I12" s="52" t="str">
        <f t="shared" si="2"/>
        <v/>
      </c>
      <c r="J12" s="52" t="str">
        <f t="shared" si="2"/>
        <v/>
      </c>
      <c r="K12" s="52" t="str">
        <f t="shared" si="2"/>
        <v/>
      </c>
      <c r="L12" s="52" t="str">
        <f t="shared" si="2"/>
        <v/>
      </c>
      <c r="M12" s="52" t="str">
        <f t="shared" si="2"/>
        <v/>
      </c>
      <c r="N12" s="52" t="str">
        <f t="shared" si="2"/>
        <v/>
      </c>
      <c r="O12" s="52" t="str">
        <f t="shared" si="2"/>
        <v/>
      </c>
      <c r="P12" s="52" t="str">
        <f t="shared" si="2"/>
        <v/>
      </c>
      <c r="Q12" s="52" t="str">
        <f t="shared" si="2"/>
        <v/>
      </c>
      <c r="R12" s="52" t="str">
        <f t="shared" si="2"/>
        <v/>
      </c>
      <c r="S12" s="52" t="str">
        <f t="shared" si="2"/>
        <v/>
      </c>
      <c r="T12" s="52" t="str">
        <f t="shared" si="2"/>
        <v/>
      </c>
      <c r="U12" s="52" t="str">
        <f t="shared" si="2"/>
        <v/>
      </c>
      <c r="V12" s="52" t="str">
        <f t="shared" si="2"/>
        <v/>
      </c>
      <c r="W12" s="52" t="str">
        <f t="shared" si="2"/>
        <v/>
      </c>
      <c r="X12" s="52" t="str">
        <f t="shared" si="2"/>
        <v/>
      </c>
      <c r="Y12" s="52" t="str">
        <f t="shared" si="2"/>
        <v/>
      </c>
      <c r="Z12" s="52" t="str">
        <f t="shared" si="2"/>
        <v/>
      </c>
      <c r="AA12" s="52" t="str">
        <f t="shared" si="2"/>
        <v/>
      </c>
      <c r="AB12" s="52" t="str">
        <f t="shared" si="2"/>
        <v/>
      </c>
      <c r="AC12" s="52" t="str">
        <f t="shared" si="2"/>
        <v/>
      </c>
      <c r="AD12" s="52" t="str">
        <f t="shared" si="2"/>
        <v/>
      </c>
      <c r="AE12" s="52" t="str">
        <f t="shared" si="2"/>
        <v/>
      </c>
      <c r="AF12" s="52" t="str">
        <f t="shared" si="2"/>
        <v/>
      </c>
      <c r="AG12" s="52" t="str">
        <f t="shared" si="2"/>
        <v/>
      </c>
      <c r="AH12" s="3">
        <f t="shared" ref="AH12:AH18" si="3">AVERAGE(B12:AG12)</f>
        <v>280</v>
      </c>
      <c r="AI12" s="3" t="e">
        <f t="shared" ref="AI12:AI18" si="4">STDEV(B12:AG12)</f>
        <v>#DIV/0!</v>
      </c>
      <c r="AJ12" s="21" t="e">
        <f t="shared" ref="AJ12:AJ18" si="5">AI12/AH12</f>
        <v>#DIV/0!</v>
      </c>
    </row>
    <row r="13" spans="1:36" ht="18">
      <c r="A13" s="52" t="s">
        <v>2</v>
      </c>
      <c r="B13" s="52" t="str">
        <f t="shared" ref="B13:AG13" si="6">IF(AND(B4&lt;&gt;0,D$19),B4,"")</f>
        <v/>
      </c>
      <c r="C13" s="52" t="str">
        <f t="shared" si="6"/>
        <v/>
      </c>
      <c r="D13" s="52" t="str">
        <f t="shared" si="6"/>
        <v/>
      </c>
      <c r="E13" s="52" t="str">
        <f t="shared" si="6"/>
        <v/>
      </c>
      <c r="F13" s="52">
        <f t="shared" si="6"/>
        <v>603</v>
      </c>
      <c r="G13" s="52" t="str">
        <f t="shared" si="6"/>
        <v/>
      </c>
      <c r="H13" s="52" t="str">
        <f t="shared" si="6"/>
        <v/>
      </c>
      <c r="I13" s="52" t="str">
        <f t="shared" si="6"/>
        <v/>
      </c>
      <c r="J13" s="52" t="str">
        <f t="shared" si="6"/>
        <v/>
      </c>
      <c r="K13" s="52" t="str">
        <f t="shared" si="6"/>
        <v/>
      </c>
      <c r="L13" s="52" t="str">
        <f t="shared" si="6"/>
        <v/>
      </c>
      <c r="M13" s="52" t="str">
        <f t="shared" si="6"/>
        <v/>
      </c>
      <c r="N13" s="52" t="str">
        <f t="shared" si="6"/>
        <v/>
      </c>
      <c r="O13" s="52" t="str">
        <f t="shared" si="6"/>
        <v/>
      </c>
      <c r="P13" s="52" t="str">
        <f t="shared" si="6"/>
        <v/>
      </c>
      <c r="Q13" s="52" t="str">
        <f t="shared" si="6"/>
        <v/>
      </c>
      <c r="R13" s="52" t="str">
        <f t="shared" si="6"/>
        <v/>
      </c>
      <c r="S13" s="52" t="str">
        <f t="shared" si="6"/>
        <v/>
      </c>
      <c r="T13" s="52" t="str">
        <f t="shared" si="6"/>
        <v/>
      </c>
      <c r="U13" s="52" t="str">
        <f t="shared" si="6"/>
        <v/>
      </c>
      <c r="V13" s="52" t="str">
        <f t="shared" si="6"/>
        <v/>
      </c>
      <c r="W13" s="52" t="str">
        <f t="shared" si="6"/>
        <v/>
      </c>
      <c r="X13" s="52" t="str">
        <f t="shared" si="6"/>
        <v/>
      </c>
      <c r="Y13" s="52" t="str">
        <f t="shared" si="6"/>
        <v/>
      </c>
      <c r="Z13" s="52" t="str">
        <f t="shared" si="6"/>
        <v/>
      </c>
      <c r="AA13" s="52" t="str">
        <f t="shared" si="6"/>
        <v/>
      </c>
      <c r="AB13" s="52" t="str">
        <f t="shared" si="6"/>
        <v/>
      </c>
      <c r="AC13" s="52" t="str">
        <f t="shared" si="6"/>
        <v/>
      </c>
      <c r="AD13" s="52" t="str">
        <f t="shared" si="6"/>
        <v/>
      </c>
      <c r="AE13" s="52" t="str">
        <f t="shared" si="6"/>
        <v/>
      </c>
      <c r="AF13" s="52" t="str">
        <f t="shared" si="6"/>
        <v/>
      </c>
      <c r="AG13" s="52" t="str">
        <f t="shared" si="6"/>
        <v/>
      </c>
      <c r="AH13" s="3">
        <f t="shared" si="3"/>
        <v>603</v>
      </c>
      <c r="AI13" s="3" t="e">
        <f t="shared" si="4"/>
        <v>#DIV/0!</v>
      </c>
      <c r="AJ13" s="21" t="e">
        <f t="shared" si="5"/>
        <v>#DIV/0!</v>
      </c>
    </row>
    <row r="14" spans="1:36" ht="18">
      <c r="A14" s="52" t="s">
        <v>3</v>
      </c>
      <c r="B14" s="52" t="str">
        <f t="shared" ref="B14:AG14" si="7">IF(AND(B5&lt;&gt;0,D$19),B5,"")</f>
        <v/>
      </c>
      <c r="C14" s="52" t="str">
        <f t="shared" si="7"/>
        <v/>
      </c>
      <c r="D14" s="52" t="str">
        <f t="shared" si="7"/>
        <v/>
      </c>
      <c r="E14" s="52" t="str">
        <f t="shared" si="7"/>
        <v/>
      </c>
      <c r="F14" s="52">
        <f t="shared" si="7"/>
        <v>272</v>
      </c>
      <c r="G14" s="52" t="str">
        <f t="shared" si="7"/>
        <v/>
      </c>
      <c r="H14" s="52" t="str">
        <f t="shared" si="7"/>
        <v/>
      </c>
      <c r="I14" s="52" t="str">
        <f t="shared" si="7"/>
        <v/>
      </c>
      <c r="J14" s="52" t="str">
        <f t="shared" si="7"/>
        <v/>
      </c>
      <c r="K14" s="52" t="str">
        <f t="shared" si="7"/>
        <v/>
      </c>
      <c r="L14" s="52" t="str">
        <f t="shared" si="7"/>
        <v/>
      </c>
      <c r="M14" s="52" t="str">
        <f t="shared" si="7"/>
        <v/>
      </c>
      <c r="N14" s="52" t="str">
        <f t="shared" si="7"/>
        <v/>
      </c>
      <c r="O14" s="52" t="str">
        <f t="shared" si="7"/>
        <v/>
      </c>
      <c r="P14" s="52" t="str">
        <f t="shared" si="7"/>
        <v/>
      </c>
      <c r="Q14" s="52" t="str">
        <f t="shared" si="7"/>
        <v/>
      </c>
      <c r="R14" s="52" t="str">
        <f t="shared" si="7"/>
        <v/>
      </c>
      <c r="S14" s="52" t="str">
        <f t="shared" si="7"/>
        <v/>
      </c>
      <c r="T14" s="52" t="str">
        <f t="shared" si="7"/>
        <v/>
      </c>
      <c r="U14" s="52" t="str">
        <f t="shared" si="7"/>
        <v/>
      </c>
      <c r="V14" s="52" t="str">
        <f t="shared" si="7"/>
        <v/>
      </c>
      <c r="W14" s="52" t="str">
        <f t="shared" si="7"/>
        <v/>
      </c>
      <c r="X14" s="52" t="str">
        <f t="shared" si="7"/>
        <v/>
      </c>
      <c r="Y14" s="52" t="str">
        <f t="shared" si="7"/>
        <v/>
      </c>
      <c r="Z14" s="52" t="str">
        <f t="shared" si="7"/>
        <v/>
      </c>
      <c r="AA14" s="52" t="str">
        <f t="shared" si="7"/>
        <v/>
      </c>
      <c r="AB14" s="52" t="str">
        <f t="shared" si="7"/>
        <v/>
      </c>
      <c r="AC14" s="52" t="str">
        <f t="shared" si="7"/>
        <v/>
      </c>
      <c r="AD14" s="52" t="str">
        <f t="shared" si="7"/>
        <v/>
      </c>
      <c r="AE14" s="52" t="str">
        <f t="shared" si="7"/>
        <v/>
      </c>
      <c r="AF14" s="52" t="str">
        <f t="shared" si="7"/>
        <v/>
      </c>
      <c r="AG14" s="52" t="str">
        <f t="shared" si="7"/>
        <v/>
      </c>
      <c r="AH14" s="3">
        <f t="shared" si="3"/>
        <v>272</v>
      </c>
      <c r="AI14" s="3" t="e">
        <f t="shared" si="4"/>
        <v>#DIV/0!</v>
      </c>
      <c r="AJ14" s="21" t="e">
        <f t="shared" si="5"/>
        <v>#DIV/0!</v>
      </c>
    </row>
    <row r="15" spans="1:36" ht="18">
      <c r="A15" s="52" t="s">
        <v>4</v>
      </c>
      <c r="B15" s="52" t="str">
        <f t="shared" ref="B15:AG15" si="8">IF(AND(B6&lt;&gt;0,D$19),B6,"")</f>
        <v/>
      </c>
      <c r="C15" s="52" t="str">
        <f t="shared" si="8"/>
        <v/>
      </c>
      <c r="D15" s="52" t="str">
        <f t="shared" si="8"/>
        <v/>
      </c>
      <c r="E15" s="52" t="str">
        <f t="shared" si="8"/>
        <v/>
      </c>
      <c r="F15" s="52">
        <f t="shared" si="8"/>
        <v>663</v>
      </c>
      <c r="G15" s="52" t="str">
        <f t="shared" si="8"/>
        <v/>
      </c>
      <c r="H15" s="52" t="str">
        <f t="shared" si="8"/>
        <v/>
      </c>
      <c r="I15" s="52" t="str">
        <f t="shared" si="8"/>
        <v/>
      </c>
      <c r="J15" s="52" t="str">
        <f t="shared" si="8"/>
        <v/>
      </c>
      <c r="K15" s="52" t="str">
        <f t="shared" si="8"/>
        <v/>
      </c>
      <c r="L15" s="52" t="str">
        <f t="shared" si="8"/>
        <v/>
      </c>
      <c r="M15" s="52" t="str">
        <f t="shared" si="8"/>
        <v/>
      </c>
      <c r="N15" s="52" t="str">
        <f t="shared" si="8"/>
        <v/>
      </c>
      <c r="O15" s="52" t="str">
        <f t="shared" si="8"/>
        <v/>
      </c>
      <c r="P15" s="52" t="str">
        <f t="shared" si="8"/>
        <v/>
      </c>
      <c r="Q15" s="52" t="str">
        <f t="shared" si="8"/>
        <v/>
      </c>
      <c r="R15" s="52" t="str">
        <f t="shared" si="8"/>
        <v/>
      </c>
      <c r="S15" s="52" t="str">
        <f t="shared" si="8"/>
        <v/>
      </c>
      <c r="T15" s="52" t="str">
        <f t="shared" si="8"/>
        <v/>
      </c>
      <c r="U15" s="52" t="str">
        <f t="shared" si="8"/>
        <v/>
      </c>
      <c r="V15" s="52" t="str">
        <f t="shared" si="8"/>
        <v/>
      </c>
      <c r="W15" s="52" t="str">
        <f t="shared" si="8"/>
        <v/>
      </c>
      <c r="X15" s="52" t="str">
        <f t="shared" si="8"/>
        <v/>
      </c>
      <c r="Y15" s="52" t="str">
        <f t="shared" si="8"/>
        <v/>
      </c>
      <c r="Z15" s="52" t="str">
        <f t="shared" si="8"/>
        <v/>
      </c>
      <c r="AA15" s="52" t="str">
        <f t="shared" si="8"/>
        <v/>
      </c>
      <c r="AB15" s="52" t="str">
        <f t="shared" si="8"/>
        <v/>
      </c>
      <c r="AC15" s="52" t="str">
        <f t="shared" si="8"/>
        <v/>
      </c>
      <c r="AD15" s="52" t="str">
        <f t="shared" si="8"/>
        <v/>
      </c>
      <c r="AE15" s="52" t="str">
        <f t="shared" si="8"/>
        <v/>
      </c>
      <c r="AF15" s="52" t="str">
        <f t="shared" si="8"/>
        <v/>
      </c>
      <c r="AG15" s="52" t="str">
        <f t="shared" si="8"/>
        <v/>
      </c>
      <c r="AH15" s="3">
        <f t="shared" si="3"/>
        <v>663</v>
      </c>
      <c r="AI15" s="3" t="e">
        <f t="shared" si="4"/>
        <v>#DIV/0!</v>
      </c>
      <c r="AJ15" s="21" t="e">
        <f t="shared" si="5"/>
        <v>#DIV/0!</v>
      </c>
    </row>
    <row r="16" spans="1:36" ht="18">
      <c r="A16" s="52" t="s">
        <v>5</v>
      </c>
      <c r="B16" s="52" t="str">
        <f t="shared" ref="B16:AG16" si="9">IF(AND(B7&lt;&gt;0,D$19),B7,"")</f>
        <v/>
      </c>
      <c r="C16" s="52" t="str">
        <f t="shared" si="9"/>
        <v/>
      </c>
      <c r="D16" s="52" t="str">
        <f t="shared" si="9"/>
        <v/>
      </c>
      <c r="E16" s="52" t="str">
        <f t="shared" si="9"/>
        <v/>
      </c>
      <c r="F16" s="52">
        <f t="shared" si="9"/>
        <v>80.3</v>
      </c>
      <c r="G16" s="52" t="str">
        <f t="shared" si="9"/>
        <v/>
      </c>
      <c r="H16" s="52" t="str">
        <f t="shared" si="9"/>
        <v/>
      </c>
      <c r="I16" s="52" t="str">
        <f t="shared" si="9"/>
        <v/>
      </c>
      <c r="J16" s="52" t="str">
        <f t="shared" si="9"/>
        <v/>
      </c>
      <c r="K16" s="52" t="str">
        <f t="shared" si="9"/>
        <v/>
      </c>
      <c r="L16" s="52" t="str">
        <f t="shared" si="9"/>
        <v/>
      </c>
      <c r="M16" s="52" t="str">
        <f t="shared" si="9"/>
        <v/>
      </c>
      <c r="N16" s="52" t="str">
        <f t="shared" si="9"/>
        <v/>
      </c>
      <c r="O16" s="52" t="str">
        <f t="shared" si="9"/>
        <v/>
      </c>
      <c r="P16" s="52" t="str">
        <f t="shared" si="9"/>
        <v/>
      </c>
      <c r="Q16" s="52" t="str">
        <f t="shared" si="9"/>
        <v/>
      </c>
      <c r="R16" s="52" t="str">
        <f t="shared" si="9"/>
        <v/>
      </c>
      <c r="S16" s="52" t="str">
        <f t="shared" si="9"/>
        <v/>
      </c>
      <c r="T16" s="52" t="str">
        <f t="shared" si="9"/>
        <v/>
      </c>
      <c r="U16" s="52" t="str">
        <f t="shared" si="9"/>
        <v/>
      </c>
      <c r="V16" s="52" t="str">
        <f t="shared" si="9"/>
        <v/>
      </c>
      <c r="W16" s="52" t="str">
        <f t="shared" si="9"/>
        <v/>
      </c>
      <c r="X16" s="52" t="str">
        <f t="shared" si="9"/>
        <v/>
      </c>
      <c r="Y16" s="52" t="str">
        <f t="shared" si="9"/>
        <v/>
      </c>
      <c r="Z16" s="52" t="str">
        <f t="shared" si="9"/>
        <v/>
      </c>
      <c r="AA16" s="52" t="str">
        <f t="shared" si="9"/>
        <v/>
      </c>
      <c r="AB16" s="52" t="str">
        <f t="shared" si="9"/>
        <v/>
      </c>
      <c r="AC16" s="52" t="str">
        <f t="shared" si="9"/>
        <v/>
      </c>
      <c r="AD16" s="52" t="str">
        <f t="shared" si="9"/>
        <v/>
      </c>
      <c r="AE16" s="52" t="str">
        <f t="shared" si="9"/>
        <v/>
      </c>
      <c r="AF16" s="52" t="str">
        <f t="shared" si="9"/>
        <v/>
      </c>
      <c r="AG16" s="52" t="str">
        <f t="shared" si="9"/>
        <v/>
      </c>
      <c r="AH16" s="3">
        <f t="shared" si="3"/>
        <v>80.3</v>
      </c>
      <c r="AI16" s="3" t="e">
        <f t="shared" si="4"/>
        <v>#DIV/0!</v>
      </c>
      <c r="AJ16" s="21" t="e">
        <f t="shared" si="5"/>
        <v>#DIV/0!</v>
      </c>
    </row>
    <row r="17" spans="1:36" ht="18">
      <c r="A17" s="52" t="s">
        <v>6</v>
      </c>
      <c r="B17" s="52" t="str">
        <f t="shared" ref="B17:AG17" si="10">IF(AND(B8&lt;&gt;0,D$19),B8,"")</f>
        <v/>
      </c>
      <c r="C17" s="52" t="str">
        <f t="shared" si="10"/>
        <v/>
      </c>
      <c r="D17" s="52" t="str">
        <f t="shared" si="10"/>
        <v/>
      </c>
      <c r="E17" s="52" t="str">
        <f t="shared" si="10"/>
        <v/>
      </c>
      <c r="F17" s="52">
        <f t="shared" si="10"/>
        <v>640.70000000000005</v>
      </c>
      <c r="G17" s="52" t="str">
        <f t="shared" si="10"/>
        <v/>
      </c>
      <c r="H17" s="52" t="str">
        <f t="shared" si="10"/>
        <v/>
      </c>
      <c r="I17" s="52" t="str">
        <f t="shared" si="10"/>
        <v/>
      </c>
      <c r="J17" s="52" t="str">
        <f t="shared" si="10"/>
        <v/>
      </c>
      <c r="K17" s="52" t="str">
        <f t="shared" si="10"/>
        <v/>
      </c>
      <c r="L17" s="52" t="str">
        <f t="shared" si="10"/>
        <v/>
      </c>
      <c r="M17" s="52" t="str">
        <f t="shared" si="10"/>
        <v/>
      </c>
      <c r="N17" s="52" t="str">
        <f t="shared" si="10"/>
        <v/>
      </c>
      <c r="O17" s="52" t="str">
        <f t="shared" si="10"/>
        <v/>
      </c>
      <c r="P17" s="52" t="str">
        <f t="shared" si="10"/>
        <v/>
      </c>
      <c r="Q17" s="52" t="str">
        <f t="shared" si="10"/>
        <v/>
      </c>
      <c r="R17" s="52" t="str">
        <f t="shared" si="10"/>
        <v/>
      </c>
      <c r="S17" s="52" t="str">
        <f t="shared" si="10"/>
        <v/>
      </c>
      <c r="T17" s="52" t="str">
        <f t="shared" si="10"/>
        <v/>
      </c>
      <c r="U17" s="52" t="str">
        <f t="shared" si="10"/>
        <v/>
      </c>
      <c r="V17" s="52" t="str">
        <f t="shared" si="10"/>
        <v/>
      </c>
      <c r="W17" s="52" t="str">
        <f t="shared" si="10"/>
        <v/>
      </c>
      <c r="X17" s="52" t="str">
        <f t="shared" si="10"/>
        <v/>
      </c>
      <c r="Y17" s="52" t="str">
        <f t="shared" si="10"/>
        <v/>
      </c>
      <c r="Z17" s="52" t="str">
        <f t="shared" si="10"/>
        <v/>
      </c>
      <c r="AA17" s="52" t="str">
        <f t="shared" si="10"/>
        <v/>
      </c>
      <c r="AB17" s="52" t="str">
        <f t="shared" si="10"/>
        <v/>
      </c>
      <c r="AC17" s="52" t="str">
        <f t="shared" si="10"/>
        <v/>
      </c>
      <c r="AD17" s="52" t="str">
        <f t="shared" si="10"/>
        <v/>
      </c>
      <c r="AE17" s="52" t="str">
        <f t="shared" si="10"/>
        <v/>
      </c>
      <c r="AF17" s="52" t="str">
        <f t="shared" si="10"/>
        <v/>
      </c>
      <c r="AG17" s="52" t="str">
        <f t="shared" si="10"/>
        <v/>
      </c>
      <c r="AH17" s="3">
        <f t="shared" si="3"/>
        <v>640.70000000000005</v>
      </c>
      <c r="AI17" s="3" t="e">
        <f t="shared" si="4"/>
        <v>#DIV/0!</v>
      </c>
      <c r="AJ17" s="21" t="e">
        <f t="shared" si="5"/>
        <v>#DIV/0!</v>
      </c>
    </row>
    <row r="18" spans="1:36" ht="18">
      <c r="A18" s="52" t="s">
        <v>7</v>
      </c>
      <c r="B18" s="52" t="str">
        <f t="shared" ref="B18:AG18" si="11">IF(AND(B9&lt;&gt;0,D$19),B9,"")</f>
        <v/>
      </c>
      <c r="C18" s="52" t="str">
        <f t="shared" si="11"/>
        <v/>
      </c>
      <c r="D18" s="52" t="str">
        <f t="shared" si="11"/>
        <v/>
      </c>
      <c r="E18" s="52" t="str">
        <f t="shared" si="11"/>
        <v/>
      </c>
      <c r="F18" s="52">
        <f t="shared" si="11"/>
        <v>77.2</v>
      </c>
      <c r="G18" s="52" t="str">
        <f t="shared" si="11"/>
        <v/>
      </c>
      <c r="H18" s="52" t="str">
        <f t="shared" si="11"/>
        <v/>
      </c>
      <c r="I18" s="52" t="str">
        <f t="shared" si="11"/>
        <v/>
      </c>
      <c r="J18" s="52" t="str">
        <f t="shared" si="11"/>
        <v/>
      </c>
      <c r="K18" s="52" t="str">
        <f t="shared" si="11"/>
        <v/>
      </c>
      <c r="L18" s="52" t="str">
        <f t="shared" si="11"/>
        <v/>
      </c>
      <c r="M18" s="52" t="str">
        <f t="shared" si="11"/>
        <v/>
      </c>
      <c r="N18" s="52" t="str">
        <f t="shared" si="11"/>
        <v/>
      </c>
      <c r="O18" s="52" t="str">
        <f t="shared" si="11"/>
        <v/>
      </c>
      <c r="P18" s="52" t="str">
        <f t="shared" si="11"/>
        <v/>
      </c>
      <c r="Q18" s="52" t="str">
        <f t="shared" si="11"/>
        <v/>
      </c>
      <c r="R18" s="52" t="str">
        <f t="shared" si="11"/>
        <v/>
      </c>
      <c r="S18" s="52" t="str">
        <f t="shared" si="11"/>
        <v/>
      </c>
      <c r="T18" s="52" t="str">
        <f t="shared" si="11"/>
        <v/>
      </c>
      <c r="U18" s="52" t="str">
        <f t="shared" si="11"/>
        <v/>
      </c>
      <c r="V18" s="52" t="str">
        <f t="shared" si="11"/>
        <v/>
      </c>
      <c r="W18" s="52" t="str">
        <f t="shared" si="11"/>
        <v/>
      </c>
      <c r="X18" s="52" t="str">
        <f t="shared" si="11"/>
        <v/>
      </c>
      <c r="Y18" s="52" t="str">
        <f t="shared" si="11"/>
        <v/>
      </c>
      <c r="Z18" s="52" t="str">
        <f t="shared" si="11"/>
        <v/>
      </c>
      <c r="AA18" s="52" t="str">
        <f t="shared" si="11"/>
        <v/>
      </c>
      <c r="AB18" s="52" t="str">
        <f t="shared" si="11"/>
        <v/>
      </c>
      <c r="AC18" s="52" t="str">
        <f t="shared" si="11"/>
        <v/>
      </c>
      <c r="AD18" s="52" t="str">
        <f t="shared" si="11"/>
        <v/>
      </c>
      <c r="AE18" s="52" t="str">
        <f t="shared" si="11"/>
        <v/>
      </c>
      <c r="AF18" s="52" t="str">
        <f t="shared" si="11"/>
        <v/>
      </c>
      <c r="AG18" s="52" t="str">
        <f t="shared" si="11"/>
        <v/>
      </c>
      <c r="AH18" s="3">
        <f t="shared" si="3"/>
        <v>77.2</v>
      </c>
      <c r="AI18" s="3" t="e">
        <f t="shared" si="4"/>
        <v>#DIV/0!</v>
      </c>
      <c r="AJ18" s="21" t="e">
        <f t="shared" si="5"/>
        <v>#DIV/0!</v>
      </c>
    </row>
    <row r="19" spans="1:36">
      <c r="A19" s="72" t="str">
        <f>Calculations!C5</f>
        <v>Enable</v>
      </c>
      <c r="B19" s="72"/>
      <c r="C19" s="72"/>
      <c r="D19" s="2">
        <f>Calculations!J4</f>
        <v>1</v>
      </c>
      <c r="E19" s="2">
        <f>Calculations!K4</f>
        <v>1</v>
      </c>
      <c r="F19" s="2">
        <f>Calculations!L4</f>
        <v>0</v>
      </c>
      <c r="G19" s="2">
        <f>Calculations!M4</f>
        <v>1</v>
      </c>
      <c r="H19" s="2">
        <f>Calculations!N4</f>
        <v>1</v>
      </c>
      <c r="I19" s="2">
        <f>Calculations!O4</f>
        <v>1</v>
      </c>
      <c r="J19" s="2">
        <f>Calculations!P4</f>
        <v>1</v>
      </c>
      <c r="K19" s="2">
        <f>Calculations!Q4</f>
        <v>1</v>
      </c>
      <c r="L19" s="2">
        <f>Calculations!R4</f>
        <v>1</v>
      </c>
      <c r="M19" s="2">
        <f>Calculations!S4</f>
        <v>1</v>
      </c>
      <c r="N19" s="2">
        <f>Calculations!T4</f>
        <v>1</v>
      </c>
      <c r="O19" s="2">
        <f>Calculations!U4</f>
        <v>1</v>
      </c>
      <c r="P19" s="2">
        <f>Calculations!V4</f>
        <v>1</v>
      </c>
      <c r="Q19" s="2">
        <f>Calculations!W4</f>
        <v>1</v>
      </c>
      <c r="R19" s="2">
        <f>Calculations!X4</f>
        <v>1</v>
      </c>
      <c r="S19" s="2">
        <f>Calculations!Y4</f>
        <v>1</v>
      </c>
      <c r="T19" s="2">
        <f>Calculations!Z4</f>
        <v>1</v>
      </c>
      <c r="U19" s="2">
        <f>Calculations!AA4</f>
        <v>1</v>
      </c>
      <c r="V19" s="2">
        <f>Calculations!AB4</f>
        <v>1</v>
      </c>
      <c r="W19" s="2">
        <f>Calculations!AC4</f>
        <v>1</v>
      </c>
      <c r="X19" s="2">
        <f>Calculations!AD4</f>
        <v>1</v>
      </c>
      <c r="Y19" s="2">
        <f>Calculations!AE4</f>
        <v>1</v>
      </c>
      <c r="Z19" s="2">
        <f>Calculations!AF4</f>
        <v>1</v>
      </c>
      <c r="AA19" s="2">
        <f>Calculations!AG4</f>
        <v>1</v>
      </c>
      <c r="AB19" s="2">
        <f>Calculations!AH4</f>
        <v>1</v>
      </c>
      <c r="AC19" s="2">
        <f>Calculations!AI4</f>
        <v>1</v>
      </c>
      <c r="AD19" s="2">
        <f>Calculations!AJ4</f>
        <v>1</v>
      </c>
      <c r="AE19" s="2">
        <f>Calculations!AK4</f>
        <v>1</v>
      </c>
      <c r="AF19" s="2">
        <f>Calculations!AL4</f>
        <v>1</v>
      </c>
      <c r="AG19" s="2">
        <f>Calculations!AM4</f>
        <v>1</v>
      </c>
      <c r="AH19" s="2">
        <f>Calculations!AN4</f>
        <v>1</v>
      </c>
      <c r="AI19" s="2">
        <f>Calculations!AO4</f>
        <v>1</v>
      </c>
    </row>
    <row r="20" spans="1:36">
      <c r="A20" s="2" t="s">
        <v>17</v>
      </c>
      <c r="B20" s="2" t="s">
        <v>22</v>
      </c>
      <c r="C20" s="2" t="str">
        <f>AH10</f>
        <v>AVERAGE</v>
      </c>
      <c r="D20" s="2">
        <f t="shared" ref="D20:AI20" si="12">B1</f>
        <v>0</v>
      </c>
      <c r="E20" s="2">
        <f t="shared" si="12"/>
        <v>1</v>
      </c>
      <c r="F20" s="2">
        <f t="shared" si="12"/>
        <v>2</v>
      </c>
      <c r="G20" s="2">
        <f t="shared" si="12"/>
        <v>3</v>
      </c>
      <c r="H20" s="2">
        <f t="shared" si="12"/>
        <v>4</v>
      </c>
      <c r="I20" s="2">
        <f t="shared" si="12"/>
        <v>5</v>
      </c>
      <c r="J20" s="2">
        <f t="shared" si="12"/>
        <v>6</v>
      </c>
      <c r="K20" s="2">
        <f t="shared" si="12"/>
        <v>7</v>
      </c>
      <c r="L20" s="2">
        <f t="shared" si="12"/>
        <v>8</v>
      </c>
      <c r="M20" s="2">
        <f t="shared" si="12"/>
        <v>9</v>
      </c>
      <c r="N20" s="2">
        <f t="shared" si="12"/>
        <v>10</v>
      </c>
      <c r="O20" s="2">
        <f t="shared" si="12"/>
        <v>11</v>
      </c>
      <c r="P20" s="2">
        <f t="shared" si="12"/>
        <v>12</v>
      </c>
      <c r="Q20" s="2">
        <f t="shared" si="12"/>
        <v>13</v>
      </c>
      <c r="R20" s="2">
        <f t="shared" si="12"/>
        <v>14</v>
      </c>
      <c r="S20" s="2">
        <f t="shared" si="12"/>
        <v>15</v>
      </c>
      <c r="T20" s="2">
        <f t="shared" si="12"/>
        <v>16</v>
      </c>
      <c r="U20" s="2">
        <f t="shared" si="12"/>
        <v>17</v>
      </c>
      <c r="V20" s="2">
        <f t="shared" si="12"/>
        <v>18</v>
      </c>
      <c r="W20" s="2">
        <f t="shared" si="12"/>
        <v>19</v>
      </c>
      <c r="X20" s="2">
        <f t="shared" si="12"/>
        <v>20</v>
      </c>
      <c r="Y20" s="2">
        <f t="shared" si="12"/>
        <v>21</v>
      </c>
      <c r="Z20" s="2">
        <f t="shared" si="12"/>
        <v>22</v>
      </c>
      <c r="AA20" s="2">
        <f t="shared" si="12"/>
        <v>23</v>
      </c>
      <c r="AB20" s="2">
        <f t="shared" si="12"/>
        <v>24</v>
      </c>
      <c r="AC20" s="2">
        <f t="shared" si="12"/>
        <v>25</v>
      </c>
      <c r="AD20" s="2">
        <f t="shared" si="12"/>
        <v>26</v>
      </c>
      <c r="AE20" s="2">
        <f t="shared" si="12"/>
        <v>27</v>
      </c>
      <c r="AF20" s="2">
        <f t="shared" si="12"/>
        <v>28</v>
      </c>
      <c r="AG20" s="2">
        <f t="shared" si="12"/>
        <v>29</v>
      </c>
      <c r="AH20" s="2">
        <f t="shared" si="12"/>
        <v>30</v>
      </c>
      <c r="AI20" s="2">
        <f t="shared" si="12"/>
        <v>31</v>
      </c>
    </row>
    <row r="21" spans="1:36">
      <c r="A21" s="2">
        <v>0</v>
      </c>
      <c r="B21" s="2">
        <v>0</v>
      </c>
      <c r="C21" s="20">
        <f>AH11*Summary!$F$4</f>
        <v>89.055690072639223</v>
      </c>
      <c r="D21" s="20">
        <f>IF(AND(B11&lt;&gt;"",D$19=1),B11*Summary!$F$4,$C21)</f>
        <v>89.055690072639223</v>
      </c>
      <c r="E21" s="20">
        <f>IF(AND(C11&lt;&gt;"",E$19=1),C11*Summary!$F$4,$C21)</f>
        <v>89.055690072639223</v>
      </c>
      <c r="F21" s="20">
        <f>IF(AND(D11&lt;&gt;"",F$19=1),D11*Summary!$F$4,$C21)</f>
        <v>89.055690072639223</v>
      </c>
      <c r="G21" s="20">
        <f>IF(AND(E11&lt;&gt;"",G$19=1),E11*Summary!$F$4,$C21)</f>
        <v>89.055690072639223</v>
      </c>
      <c r="H21" s="20">
        <f>IF(AND(F11&lt;&gt;"",H$19=1),F11*Summary!$F$4,$C21)</f>
        <v>89.055690072639223</v>
      </c>
      <c r="I21" s="20">
        <f>IF(AND(G11&lt;&gt;"",I$19=1),G11*Summary!$F$4,$C21)</f>
        <v>89.055690072639223</v>
      </c>
      <c r="J21" s="20">
        <f>IF(AND(H11&lt;&gt;"",J$19=1),H11*Summary!$F$4,$C21)</f>
        <v>89.055690072639223</v>
      </c>
      <c r="K21" s="20">
        <f>IF(AND(I11&lt;&gt;"",K$19=1),I11*Summary!$F$4,$C21)</f>
        <v>89.055690072639223</v>
      </c>
      <c r="L21" s="20">
        <f>IF(AND(J11&lt;&gt;"",L$19=1),J11*Summary!$F$4,$C21)</f>
        <v>89.055690072639223</v>
      </c>
      <c r="M21" s="20">
        <f>IF(AND(K11&lt;&gt;"",M$19=1),K11*Summary!$F$4,$C21)</f>
        <v>89.055690072639223</v>
      </c>
      <c r="N21" s="20">
        <f>IF(AND(L11&lt;&gt;"",N$19=1),L11*Summary!$F$4,$C21)</f>
        <v>89.055690072639223</v>
      </c>
      <c r="O21" s="20">
        <f>IF(AND(M11&lt;&gt;"",O$19=1),M11*Summary!$F$4,$C21)</f>
        <v>89.055690072639223</v>
      </c>
      <c r="P21" s="20">
        <f>IF(AND(N11&lt;&gt;"",P$19=1),N11*Summary!$F$4,$C21)</f>
        <v>89.055690072639223</v>
      </c>
      <c r="Q21" s="20">
        <f>IF(AND(O11&lt;&gt;"",Q$19=1),O11*Summary!$F$4,$C21)</f>
        <v>89.055690072639223</v>
      </c>
      <c r="R21" s="20">
        <f>IF(AND(P11&lt;&gt;"",R$19=1),P11*Summary!$F$4,$C21)</f>
        <v>89.055690072639223</v>
      </c>
      <c r="S21" s="20">
        <f>IF(AND(Q11&lt;&gt;"",S$19=1),Q11*Summary!$F$4,$C21)</f>
        <v>89.055690072639223</v>
      </c>
      <c r="T21" s="20">
        <f>IF(AND(R11&lt;&gt;"",T$19=1),R11*Summary!$F$4,$C21)</f>
        <v>89.055690072639223</v>
      </c>
      <c r="U21" s="20">
        <f>IF(AND(S11&lt;&gt;"",U$19=1),S11*Summary!$F$4,$C21)</f>
        <v>89.055690072639223</v>
      </c>
      <c r="V21" s="20">
        <f>IF(AND(T11&lt;&gt;"",V$19=1),T11*Summary!$F$4,$C21)</f>
        <v>89.055690072639223</v>
      </c>
      <c r="W21" s="20">
        <f>IF(AND(U11&lt;&gt;"",W$19=1),U11*Summary!$F$4,$C21)</f>
        <v>89.055690072639223</v>
      </c>
      <c r="X21" s="20">
        <f>IF(AND(V11&lt;&gt;"",X$19=1),V11*Summary!$F$4,$C21)</f>
        <v>89.055690072639223</v>
      </c>
      <c r="Y21" s="20">
        <f>IF(AND(W11&lt;&gt;"",Y$19=1),W11*Summary!$F$4,$C21)</f>
        <v>89.055690072639223</v>
      </c>
      <c r="Z21" s="20">
        <f>IF(AND(X11&lt;&gt;"",Z$19=1),X11*Summary!$F$4,$C21)</f>
        <v>89.055690072639223</v>
      </c>
      <c r="AA21" s="20">
        <f>IF(AND(Y11&lt;&gt;"",AA$19=1),Y11*Summary!$F$4,$C21)</f>
        <v>89.055690072639223</v>
      </c>
      <c r="AB21" s="20">
        <f>IF(AND(Z11&lt;&gt;"",AB$19=1),Z11*Summary!$F$4,$C21)</f>
        <v>89.055690072639223</v>
      </c>
      <c r="AC21" s="20">
        <f>IF(AND(AA11&lt;&gt;"",AC$19=1),AA11*Summary!$F$4,$C21)</f>
        <v>89.055690072639223</v>
      </c>
      <c r="AD21" s="20">
        <f>IF(AND(AB11&lt;&gt;"",AD$19=1),AB11*Summary!$F$4,$C21)</f>
        <v>89.055690072639223</v>
      </c>
      <c r="AE21" s="20">
        <f>IF(AND(AC11&lt;&gt;"",AE$19=1),AC11*Summary!$F$4,$C21)</f>
        <v>89.055690072639223</v>
      </c>
      <c r="AF21" s="20">
        <f>IF(AND(AD11&lt;&gt;"",AF$19=1),AD11*Summary!$F$4,$C21)</f>
        <v>89.055690072639223</v>
      </c>
      <c r="AG21" s="20">
        <f>IF(AND(AE11&lt;&gt;"",AG$19=1),AE11*Summary!$F$4,$C21)</f>
        <v>89.055690072639223</v>
      </c>
      <c r="AH21" s="20">
        <f>IF(AND(AF11&lt;&gt;"",AH$19=1),AF11*Summary!$F$4,$C21)</f>
        <v>89.055690072639223</v>
      </c>
      <c r="AI21" s="20">
        <f>IF(AND(AG11&lt;&gt;"",AI$19=1),AG11*Summary!$F$4,$C21)</f>
        <v>89.055690072639223</v>
      </c>
      <c r="AJ21" s="21"/>
    </row>
    <row r="22" spans="1:36">
      <c r="A22" s="2">
        <v>0</v>
      </c>
      <c r="B22" s="2">
        <v>1</v>
      </c>
      <c r="C22" s="20">
        <f>AH12*Summary!$F$4</f>
        <v>40.677966101694913</v>
      </c>
      <c r="D22" s="20">
        <f>IF(AND(B12&lt;&gt;"",D$19=1),B12*Summary!$F$4,$C22)</f>
        <v>40.677966101694913</v>
      </c>
      <c r="E22" s="20">
        <f>IF(AND(C12&lt;&gt;"",E$19=1),C12*Summary!$F$4,$C22)</f>
        <v>40.677966101694913</v>
      </c>
      <c r="F22" s="20">
        <f>IF(AND(D12&lt;&gt;"",F$19=1),D12*Summary!$F$4,$C22)</f>
        <v>40.677966101694913</v>
      </c>
      <c r="G22" s="20">
        <f>IF(AND(E12&lt;&gt;"",G$19=1),E12*Summary!$F$4,$C22)</f>
        <v>40.677966101694913</v>
      </c>
      <c r="H22" s="20">
        <f>IF(AND(F12&lt;&gt;"",H$19=1),F12*Summary!$F$4,$C22)</f>
        <v>40.677966101694913</v>
      </c>
      <c r="I22" s="20">
        <f>IF(AND(G12&lt;&gt;"",I$19=1),G12*Summary!$F$4,$C22)</f>
        <v>40.677966101694913</v>
      </c>
      <c r="J22" s="20">
        <f>IF(AND(H12&lt;&gt;"",J$19=1),H12*Summary!$F$4,$C22)</f>
        <v>40.677966101694913</v>
      </c>
      <c r="K22" s="20">
        <f>IF(AND(I12&lt;&gt;"",K$19=1),I12*Summary!$F$4,$C22)</f>
        <v>40.677966101694913</v>
      </c>
      <c r="L22" s="20">
        <f>IF(AND(J12&lt;&gt;"",L$19=1),J12*Summary!$F$4,$C22)</f>
        <v>40.677966101694913</v>
      </c>
      <c r="M22" s="20">
        <f>IF(AND(K12&lt;&gt;"",M$19=1),K12*Summary!$F$4,$C22)</f>
        <v>40.677966101694913</v>
      </c>
      <c r="N22" s="20">
        <f>IF(AND(L12&lt;&gt;"",N$19=1),L12*Summary!$F$4,$C22)</f>
        <v>40.677966101694913</v>
      </c>
      <c r="O22" s="20">
        <f>IF(AND(M12&lt;&gt;"",O$19=1),M12*Summary!$F$4,$C22)</f>
        <v>40.677966101694913</v>
      </c>
      <c r="P22" s="20">
        <f>IF(AND(N12&lt;&gt;"",P$19=1),N12*Summary!$F$4,$C22)</f>
        <v>40.677966101694913</v>
      </c>
      <c r="Q22" s="20">
        <f>IF(AND(O12&lt;&gt;"",Q$19=1),O12*Summary!$F$4,$C22)</f>
        <v>40.677966101694913</v>
      </c>
      <c r="R22" s="20">
        <f>IF(AND(P12&lt;&gt;"",R$19=1),P12*Summary!$F$4,$C22)</f>
        <v>40.677966101694913</v>
      </c>
      <c r="S22" s="20">
        <f>IF(AND(Q12&lt;&gt;"",S$19=1),Q12*Summary!$F$4,$C22)</f>
        <v>40.677966101694913</v>
      </c>
      <c r="T22" s="20">
        <f>IF(AND(R12&lt;&gt;"",T$19=1),R12*Summary!$F$4,$C22)</f>
        <v>40.677966101694913</v>
      </c>
      <c r="U22" s="20">
        <f>IF(AND(S12&lt;&gt;"",U$19=1),S12*Summary!$F$4,$C22)</f>
        <v>40.677966101694913</v>
      </c>
      <c r="V22" s="20">
        <f>IF(AND(T12&lt;&gt;"",V$19=1),T12*Summary!$F$4,$C22)</f>
        <v>40.677966101694913</v>
      </c>
      <c r="W22" s="20">
        <f>IF(AND(U12&lt;&gt;"",W$19=1),U12*Summary!$F$4,$C22)</f>
        <v>40.677966101694913</v>
      </c>
      <c r="X22" s="20">
        <f>IF(AND(V12&lt;&gt;"",X$19=1),V12*Summary!$F$4,$C22)</f>
        <v>40.677966101694913</v>
      </c>
      <c r="Y22" s="20">
        <f>IF(AND(W12&lt;&gt;"",Y$19=1),W12*Summary!$F$4,$C22)</f>
        <v>40.677966101694913</v>
      </c>
      <c r="Z22" s="20">
        <f>IF(AND(X12&lt;&gt;"",Z$19=1),X12*Summary!$F$4,$C22)</f>
        <v>40.677966101694913</v>
      </c>
      <c r="AA22" s="20">
        <f>IF(AND(Y12&lt;&gt;"",AA$19=1),Y12*Summary!$F$4,$C22)</f>
        <v>40.677966101694913</v>
      </c>
      <c r="AB22" s="20">
        <f>IF(AND(Z12&lt;&gt;"",AB$19=1),Z12*Summary!$F$4,$C22)</f>
        <v>40.677966101694913</v>
      </c>
      <c r="AC22" s="20">
        <f>IF(AND(AA12&lt;&gt;"",AC$19=1),AA12*Summary!$F$4,$C22)</f>
        <v>40.677966101694913</v>
      </c>
      <c r="AD22" s="20">
        <f>IF(AND(AB12&lt;&gt;"",AD$19=1),AB12*Summary!$F$4,$C22)</f>
        <v>40.677966101694913</v>
      </c>
      <c r="AE22" s="20">
        <f>IF(AND(AC12&lt;&gt;"",AE$19=1),AC12*Summary!$F$4,$C22)</f>
        <v>40.677966101694913</v>
      </c>
      <c r="AF22" s="20">
        <f>IF(AND(AD12&lt;&gt;"",AF$19=1),AD12*Summary!$F$4,$C22)</f>
        <v>40.677966101694913</v>
      </c>
      <c r="AG22" s="20">
        <f>IF(AND(AE12&lt;&gt;"",AG$19=1),AE12*Summary!$F$4,$C22)</f>
        <v>40.677966101694913</v>
      </c>
      <c r="AH22" s="20">
        <f>IF(AND(AF12&lt;&gt;"",AH$19=1),AF12*Summary!$F$4,$C22)</f>
        <v>40.677966101694913</v>
      </c>
      <c r="AI22" s="20">
        <f>IF(AND(AG12&lt;&gt;"",AI$19=1),AG12*Summary!$F$4,$C22)</f>
        <v>40.677966101694913</v>
      </c>
      <c r="AJ22" s="21"/>
    </row>
    <row r="23" spans="1:36">
      <c r="A23" s="2">
        <f>A21+1</f>
        <v>1</v>
      </c>
      <c r="B23" s="2">
        <f>B21</f>
        <v>0</v>
      </c>
      <c r="C23" s="20">
        <f>AH13*Summary!$F$4</f>
        <v>87.602905569007262</v>
      </c>
      <c r="D23" s="20">
        <f>IF(AND(B13&lt;&gt;"",D$19=1),B13*Summary!$F$4,$C23)</f>
        <v>87.602905569007262</v>
      </c>
      <c r="E23" s="20">
        <f>IF(AND(C13&lt;&gt;"",E$19=1),C13*Summary!$F$4,$C23)</f>
        <v>87.602905569007262</v>
      </c>
      <c r="F23" s="20">
        <f>IF(AND(D13&lt;&gt;"",F$19=1),D13*Summary!$F$4,$C23)</f>
        <v>87.602905569007262</v>
      </c>
      <c r="G23" s="20">
        <f>IF(AND(E13&lt;&gt;"",G$19=1),E13*Summary!$F$4,$C23)</f>
        <v>87.602905569007262</v>
      </c>
      <c r="H23" s="20">
        <f>IF(AND(F13&lt;&gt;"",H$19=1),F13*Summary!$F$4,$C23)</f>
        <v>87.602905569007262</v>
      </c>
      <c r="I23" s="20">
        <f>IF(AND(G13&lt;&gt;"",I$19=1),G13*Summary!$F$4,$C23)</f>
        <v>87.602905569007262</v>
      </c>
      <c r="J23" s="20">
        <f>IF(AND(H13&lt;&gt;"",J$19=1),H13*Summary!$F$4,$C23)</f>
        <v>87.602905569007262</v>
      </c>
      <c r="K23" s="20">
        <f>IF(AND(I13&lt;&gt;"",K$19=1),I13*Summary!$F$4,$C23)</f>
        <v>87.602905569007262</v>
      </c>
      <c r="L23" s="20">
        <f>IF(AND(J13&lt;&gt;"",L$19=1),J13*Summary!$F$4,$C23)</f>
        <v>87.602905569007262</v>
      </c>
      <c r="M23" s="20">
        <f>IF(AND(K13&lt;&gt;"",M$19=1),K13*Summary!$F$4,$C23)</f>
        <v>87.602905569007262</v>
      </c>
      <c r="N23" s="20">
        <f>IF(AND(L13&lt;&gt;"",N$19=1),L13*Summary!$F$4,$C23)</f>
        <v>87.602905569007262</v>
      </c>
      <c r="O23" s="20">
        <f>IF(AND(M13&lt;&gt;"",O$19=1),M13*Summary!$F$4,$C23)</f>
        <v>87.602905569007262</v>
      </c>
      <c r="P23" s="20">
        <f>IF(AND(N13&lt;&gt;"",P$19=1),N13*Summary!$F$4,$C23)</f>
        <v>87.602905569007262</v>
      </c>
      <c r="Q23" s="20">
        <f>IF(AND(O13&lt;&gt;"",Q$19=1),O13*Summary!$F$4,$C23)</f>
        <v>87.602905569007262</v>
      </c>
      <c r="R23" s="20">
        <f>IF(AND(P13&lt;&gt;"",R$19=1),P13*Summary!$F$4,$C23)</f>
        <v>87.602905569007262</v>
      </c>
      <c r="S23" s="20">
        <f>IF(AND(Q13&lt;&gt;"",S$19=1),Q13*Summary!$F$4,$C23)</f>
        <v>87.602905569007262</v>
      </c>
      <c r="T23" s="20">
        <f>IF(AND(R13&lt;&gt;"",T$19=1),R13*Summary!$F$4,$C23)</f>
        <v>87.602905569007262</v>
      </c>
      <c r="U23" s="20">
        <f>IF(AND(S13&lt;&gt;"",U$19=1),S13*Summary!$F$4,$C23)</f>
        <v>87.602905569007262</v>
      </c>
      <c r="V23" s="20">
        <f>IF(AND(T13&lt;&gt;"",V$19=1),T13*Summary!$F$4,$C23)</f>
        <v>87.602905569007262</v>
      </c>
      <c r="W23" s="20">
        <f>IF(AND(U13&lt;&gt;"",W$19=1),U13*Summary!$F$4,$C23)</f>
        <v>87.602905569007262</v>
      </c>
      <c r="X23" s="20">
        <f>IF(AND(V13&lt;&gt;"",X$19=1),V13*Summary!$F$4,$C23)</f>
        <v>87.602905569007262</v>
      </c>
      <c r="Y23" s="20">
        <f>IF(AND(W13&lt;&gt;"",Y$19=1),W13*Summary!$F$4,$C23)</f>
        <v>87.602905569007262</v>
      </c>
      <c r="Z23" s="20">
        <f>IF(AND(X13&lt;&gt;"",Z$19=1),X13*Summary!$F$4,$C23)</f>
        <v>87.602905569007262</v>
      </c>
      <c r="AA23" s="20">
        <f>IF(AND(Y13&lt;&gt;"",AA$19=1),Y13*Summary!$F$4,$C23)</f>
        <v>87.602905569007262</v>
      </c>
      <c r="AB23" s="20">
        <f>IF(AND(Z13&lt;&gt;"",AB$19=1),Z13*Summary!$F$4,$C23)</f>
        <v>87.602905569007262</v>
      </c>
      <c r="AC23" s="20">
        <f>IF(AND(AA13&lt;&gt;"",AC$19=1),AA13*Summary!$F$4,$C23)</f>
        <v>87.602905569007262</v>
      </c>
      <c r="AD23" s="20">
        <f>IF(AND(AB13&lt;&gt;"",AD$19=1),AB13*Summary!$F$4,$C23)</f>
        <v>87.602905569007262</v>
      </c>
      <c r="AE23" s="20">
        <f>IF(AND(AC13&lt;&gt;"",AE$19=1),AC13*Summary!$F$4,$C23)</f>
        <v>87.602905569007262</v>
      </c>
      <c r="AF23" s="20">
        <f>IF(AND(AD13&lt;&gt;"",AF$19=1),AD13*Summary!$F$4,$C23)</f>
        <v>87.602905569007262</v>
      </c>
      <c r="AG23" s="20">
        <f>IF(AND(AE13&lt;&gt;"",AG$19=1),AE13*Summary!$F$4,$C23)</f>
        <v>87.602905569007262</v>
      </c>
      <c r="AH23" s="20">
        <f>IF(AND(AF13&lt;&gt;"",AH$19=1),AF13*Summary!$F$4,$C23)</f>
        <v>87.602905569007262</v>
      </c>
      <c r="AI23" s="20">
        <f>IF(AND(AG13&lt;&gt;"",AI$19=1),AG13*Summary!$F$4,$C23)</f>
        <v>87.602905569007262</v>
      </c>
      <c r="AJ23" s="21"/>
    </row>
    <row r="24" spans="1:36">
      <c r="A24" s="2">
        <f t="shared" ref="A24:A28" si="13">A22+1</f>
        <v>1</v>
      </c>
      <c r="B24" s="2">
        <f t="shared" ref="B24:B28" si="14">B22</f>
        <v>1</v>
      </c>
      <c r="C24" s="20">
        <f>AH14*Summary!$F$4</f>
        <v>39.515738498789347</v>
      </c>
      <c r="D24" s="20">
        <f>IF(AND(B14&lt;&gt;"",D$19=1),B14*Summary!$F$4,$C24)</f>
        <v>39.515738498789347</v>
      </c>
      <c r="E24" s="20">
        <f>IF(AND(C14&lt;&gt;"",E$19=1),C14*Summary!$F$4,$C24)</f>
        <v>39.515738498789347</v>
      </c>
      <c r="F24" s="20">
        <f>IF(AND(D14&lt;&gt;"",F$19=1),D14*Summary!$F$4,$C24)</f>
        <v>39.515738498789347</v>
      </c>
      <c r="G24" s="20">
        <f>IF(AND(E14&lt;&gt;"",G$19=1),E14*Summary!$F$4,$C24)</f>
        <v>39.515738498789347</v>
      </c>
      <c r="H24" s="20">
        <f>IF(AND(F14&lt;&gt;"",H$19=1),F14*Summary!$F$4,$C24)</f>
        <v>39.515738498789347</v>
      </c>
      <c r="I24" s="20">
        <f>IF(AND(G14&lt;&gt;"",I$19=1),G14*Summary!$F$4,$C24)</f>
        <v>39.515738498789347</v>
      </c>
      <c r="J24" s="20">
        <f>IF(AND(H14&lt;&gt;"",J$19=1),H14*Summary!$F$4,$C24)</f>
        <v>39.515738498789347</v>
      </c>
      <c r="K24" s="20">
        <f>IF(AND(I14&lt;&gt;"",K$19=1),I14*Summary!$F$4,$C24)</f>
        <v>39.515738498789347</v>
      </c>
      <c r="L24" s="20">
        <f>IF(AND(J14&lt;&gt;"",L$19=1),J14*Summary!$F$4,$C24)</f>
        <v>39.515738498789347</v>
      </c>
      <c r="M24" s="20">
        <f>IF(AND(K14&lt;&gt;"",M$19=1),K14*Summary!$F$4,$C24)</f>
        <v>39.515738498789347</v>
      </c>
      <c r="N24" s="20">
        <f>IF(AND(L14&lt;&gt;"",N$19=1),L14*Summary!$F$4,$C24)</f>
        <v>39.515738498789347</v>
      </c>
      <c r="O24" s="20">
        <f>IF(AND(M14&lt;&gt;"",O$19=1),M14*Summary!$F$4,$C24)</f>
        <v>39.515738498789347</v>
      </c>
      <c r="P24" s="20">
        <f>IF(AND(N14&lt;&gt;"",P$19=1),N14*Summary!$F$4,$C24)</f>
        <v>39.515738498789347</v>
      </c>
      <c r="Q24" s="20">
        <f>IF(AND(O14&lt;&gt;"",Q$19=1),O14*Summary!$F$4,$C24)</f>
        <v>39.515738498789347</v>
      </c>
      <c r="R24" s="20">
        <f>IF(AND(P14&lt;&gt;"",R$19=1),P14*Summary!$F$4,$C24)</f>
        <v>39.515738498789347</v>
      </c>
      <c r="S24" s="20">
        <f>IF(AND(Q14&lt;&gt;"",S$19=1),Q14*Summary!$F$4,$C24)</f>
        <v>39.515738498789347</v>
      </c>
      <c r="T24" s="20">
        <f>IF(AND(R14&lt;&gt;"",T$19=1),R14*Summary!$F$4,$C24)</f>
        <v>39.515738498789347</v>
      </c>
      <c r="U24" s="20">
        <f>IF(AND(S14&lt;&gt;"",U$19=1),S14*Summary!$F$4,$C24)</f>
        <v>39.515738498789347</v>
      </c>
      <c r="V24" s="20">
        <f>IF(AND(T14&lt;&gt;"",V$19=1),T14*Summary!$F$4,$C24)</f>
        <v>39.515738498789347</v>
      </c>
      <c r="W24" s="20">
        <f>IF(AND(U14&lt;&gt;"",W$19=1),U14*Summary!$F$4,$C24)</f>
        <v>39.515738498789347</v>
      </c>
      <c r="X24" s="20">
        <f>IF(AND(V14&lt;&gt;"",X$19=1),V14*Summary!$F$4,$C24)</f>
        <v>39.515738498789347</v>
      </c>
      <c r="Y24" s="20">
        <f>IF(AND(W14&lt;&gt;"",Y$19=1),W14*Summary!$F$4,$C24)</f>
        <v>39.515738498789347</v>
      </c>
      <c r="Z24" s="20">
        <f>IF(AND(X14&lt;&gt;"",Z$19=1),X14*Summary!$F$4,$C24)</f>
        <v>39.515738498789347</v>
      </c>
      <c r="AA24" s="20">
        <f>IF(AND(Y14&lt;&gt;"",AA$19=1),Y14*Summary!$F$4,$C24)</f>
        <v>39.515738498789347</v>
      </c>
      <c r="AB24" s="20">
        <f>IF(AND(Z14&lt;&gt;"",AB$19=1),Z14*Summary!$F$4,$C24)</f>
        <v>39.515738498789347</v>
      </c>
      <c r="AC24" s="20">
        <f>IF(AND(AA14&lt;&gt;"",AC$19=1),AA14*Summary!$F$4,$C24)</f>
        <v>39.515738498789347</v>
      </c>
      <c r="AD24" s="20">
        <f>IF(AND(AB14&lt;&gt;"",AD$19=1),AB14*Summary!$F$4,$C24)</f>
        <v>39.515738498789347</v>
      </c>
      <c r="AE24" s="20">
        <f>IF(AND(AC14&lt;&gt;"",AE$19=1),AC14*Summary!$F$4,$C24)</f>
        <v>39.515738498789347</v>
      </c>
      <c r="AF24" s="20">
        <f>IF(AND(AD14&lt;&gt;"",AF$19=1),AD14*Summary!$F$4,$C24)</f>
        <v>39.515738498789347</v>
      </c>
      <c r="AG24" s="20">
        <f>IF(AND(AE14&lt;&gt;"",AG$19=1),AE14*Summary!$F$4,$C24)</f>
        <v>39.515738498789347</v>
      </c>
      <c r="AH24" s="20">
        <f>IF(AND(AF14&lt;&gt;"",AH$19=1),AF14*Summary!$F$4,$C24)</f>
        <v>39.515738498789347</v>
      </c>
      <c r="AI24" s="20">
        <f>IF(AND(AG14&lt;&gt;"",AI$19=1),AG14*Summary!$F$4,$C24)</f>
        <v>39.515738498789347</v>
      </c>
      <c r="AJ24" s="21"/>
    </row>
    <row r="25" spans="1:36">
      <c r="A25" s="2">
        <f t="shared" si="13"/>
        <v>2</v>
      </c>
      <c r="B25" s="2">
        <f t="shared" si="14"/>
        <v>0</v>
      </c>
      <c r="C25" s="20">
        <f>AH15*Summary!$F$4</f>
        <v>96.319612590799025</v>
      </c>
      <c r="D25" s="20">
        <f>IF(AND(B15&lt;&gt;"",D$19=1),B15*Summary!$F$4,$C25)</f>
        <v>96.319612590799025</v>
      </c>
      <c r="E25" s="20">
        <f>IF(AND(C15&lt;&gt;"",E$19=1),C15*Summary!$F$4,$C25)</f>
        <v>96.319612590799025</v>
      </c>
      <c r="F25" s="20">
        <f>IF(AND(D15&lt;&gt;"",F$19=1),D15*Summary!$F$4,$C25)</f>
        <v>96.319612590799025</v>
      </c>
      <c r="G25" s="20">
        <f>IF(AND(E15&lt;&gt;"",G$19=1),E15*Summary!$F$4,$C25)</f>
        <v>96.319612590799025</v>
      </c>
      <c r="H25" s="20">
        <f>IF(AND(F15&lt;&gt;"",H$19=1),F15*Summary!$F$4,$C25)</f>
        <v>96.319612590799025</v>
      </c>
      <c r="I25" s="20">
        <f>IF(AND(G15&lt;&gt;"",I$19=1),G15*Summary!$F$4,$C25)</f>
        <v>96.319612590799025</v>
      </c>
      <c r="J25" s="20">
        <f>IF(AND(H15&lt;&gt;"",J$19=1),H15*Summary!$F$4,$C25)</f>
        <v>96.319612590799025</v>
      </c>
      <c r="K25" s="20">
        <f>IF(AND(I15&lt;&gt;"",K$19=1),I15*Summary!$F$4,$C25)</f>
        <v>96.319612590799025</v>
      </c>
      <c r="L25" s="20">
        <f>IF(AND(J15&lt;&gt;"",L$19=1),J15*Summary!$F$4,$C25)</f>
        <v>96.319612590799025</v>
      </c>
      <c r="M25" s="20">
        <f>IF(AND(K15&lt;&gt;"",M$19=1),K15*Summary!$F$4,$C25)</f>
        <v>96.319612590799025</v>
      </c>
      <c r="N25" s="20">
        <f>IF(AND(L15&lt;&gt;"",N$19=1),L15*Summary!$F$4,$C25)</f>
        <v>96.319612590799025</v>
      </c>
      <c r="O25" s="20">
        <f>IF(AND(M15&lt;&gt;"",O$19=1),M15*Summary!$F$4,$C25)</f>
        <v>96.319612590799025</v>
      </c>
      <c r="P25" s="20">
        <f>IF(AND(N15&lt;&gt;"",P$19=1),N15*Summary!$F$4,$C25)</f>
        <v>96.319612590799025</v>
      </c>
      <c r="Q25" s="20">
        <f>IF(AND(O15&lt;&gt;"",Q$19=1),O15*Summary!$F$4,$C25)</f>
        <v>96.319612590799025</v>
      </c>
      <c r="R25" s="20">
        <f>IF(AND(P15&lt;&gt;"",R$19=1),P15*Summary!$F$4,$C25)</f>
        <v>96.319612590799025</v>
      </c>
      <c r="S25" s="20">
        <f>IF(AND(Q15&lt;&gt;"",S$19=1),Q15*Summary!$F$4,$C25)</f>
        <v>96.319612590799025</v>
      </c>
      <c r="T25" s="20">
        <f>IF(AND(R15&lt;&gt;"",T$19=1),R15*Summary!$F$4,$C25)</f>
        <v>96.319612590799025</v>
      </c>
      <c r="U25" s="20">
        <f>IF(AND(S15&lt;&gt;"",U$19=1),S15*Summary!$F$4,$C25)</f>
        <v>96.319612590799025</v>
      </c>
      <c r="V25" s="20">
        <f>IF(AND(T15&lt;&gt;"",V$19=1),T15*Summary!$F$4,$C25)</f>
        <v>96.319612590799025</v>
      </c>
      <c r="W25" s="20">
        <f>IF(AND(U15&lt;&gt;"",W$19=1),U15*Summary!$F$4,$C25)</f>
        <v>96.319612590799025</v>
      </c>
      <c r="X25" s="20">
        <f>IF(AND(V15&lt;&gt;"",X$19=1),V15*Summary!$F$4,$C25)</f>
        <v>96.319612590799025</v>
      </c>
      <c r="Y25" s="20">
        <f>IF(AND(W15&lt;&gt;"",Y$19=1),W15*Summary!$F$4,$C25)</f>
        <v>96.319612590799025</v>
      </c>
      <c r="Z25" s="20">
        <f>IF(AND(X15&lt;&gt;"",Z$19=1),X15*Summary!$F$4,$C25)</f>
        <v>96.319612590799025</v>
      </c>
      <c r="AA25" s="20">
        <f>IF(AND(Y15&lt;&gt;"",AA$19=1),Y15*Summary!$F$4,$C25)</f>
        <v>96.319612590799025</v>
      </c>
      <c r="AB25" s="20">
        <f>IF(AND(Z15&lt;&gt;"",AB$19=1),Z15*Summary!$F$4,$C25)</f>
        <v>96.319612590799025</v>
      </c>
      <c r="AC25" s="20">
        <f>IF(AND(AA15&lt;&gt;"",AC$19=1),AA15*Summary!$F$4,$C25)</f>
        <v>96.319612590799025</v>
      </c>
      <c r="AD25" s="20">
        <f>IF(AND(AB15&lt;&gt;"",AD$19=1),AB15*Summary!$F$4,$C25)</f>
        <v>96.319612590799025</v>
      </c>
      <c r="AE25" s="20">
        <f>IF(AND(AC15&lt;&gt;"",AE$19=1),AC15*Summary!$F$4,$C25)</f>
        <v>96.319612590799025</v>
      </c>
      <c r="AF25" s="20">
        <f>IF(AND(AD15&lt;&gt;"",AF$19=1),AD15*Summary!$F$4,$C25)</f>
        <v>96.319612590799025</v>
      </c>
      <c r="AG25" s="20">
        <f>IF(AND(AE15&lt;&gt;"",AG$19=1),AE15*Summary!$F$4,$C25)</f>
        <v>96.319612590799025</v>
      </c>
      <c r="AH25" s="20">
        <f>IF(AND(AF15&lt;&gt;"",AH$19=1),AF15*Summary!$F$4,$C25)</f>
        <v>96.319612590799025</v>
      </c>
      <c r="AI25" s="20">
        <f>IF(AND(AG15&lt;&gt;"",AI$19=1),AG15*Summary!$F$4,$C25)</f>
        <v>96.319612590799025</v>
      </c>
      <c r="AJ25" s="21"/>
    </row>
    <row r="26" spans="1:36">
      <c r="A26" s="2">
        <f t="shared" si="13"/>
        <v>2</v>
      </c>
      <c r="B26" s="2">
        <f t="shared" si="14"/>
        <v>1</v>
      </c>
      <c r="C26" s="20">
        <f>AH16*Summary!$F$4</f>
        <v>11.665859564164649</v>
      </c>
      <c r="D26" s="20">
        <f>IF(AND(B16&lt;&gt;"",D$19=1),B16*Summary!$F$4,$C26)</f>
        <v>11.665859564164649</v>
      </c>
      <c r="E26" s="20">
        <f>IF(AND(C16&lt;&gt;"",E$19=1),C16*Summary!$F$4,$C26)</f>
        <v>11.665859564164649</v>
      </c>
      <c r="F26" s="20">
        <f>IF(AND(D16&lt;&gt;"",F$19=1),D16*Summary!$F$4,$C26)</f>
        <v>11.665859564164649</v>
      </c>
      <c r="G26" s="20">
        <f>IF(AND(E16&lt;&gt;"",G$19=1),E16*Summary!$F$4,$C26)</f>
        <v>11.665859564164649</v>
      </c>
      <c r="H26" s="20">
        <f>IF(AND(F16&lt;&gt;"",H$19=1),F16*Summary!$F$4,$C26)</f>
        <v>11.665859564164649</v>
      </c>
      <c r="I26" s="20">
        <f>IF(AND(G16&lt;&gt;"",I$19=1),G16*Summary!$F$4,$C26)</f>
        <v>11.665859564164649</v>
      </c>
      <c r="J26" s="20">
        <f>IF(AND(H16&lt;&gt;"",J$19=1),H16*Summary!$F$4,$C26)</f>
        <v>11.665859564164649</v>
      </c>
      <c r="K26" s="20">
        <f>IF(AND(I16&lt;&gt;"",K$19=1),I16*Summary!$F$4,$C26)</f>
        <v>11.665859564164649</v>
      </c>
      <c r="L26" s="20">
        <f>IF(AND(J16&lt;&gt;"",L$19=1),J16*Summary!$F$4,$C26)</f>
        <v>11.665859564164649</v>
      </c>
      <c r="M26" s="20">
        <f>IF(AND(K16&lt;&gt;"",M$19=1),K16*Summary!$F$4,$C26)</f>
        <v>11.665859564164649</v>
      </c>
      <c r="N26" s="20">
        <f>IF(AND(L16&lt;&gt;"",N$19=1),L16*Summary!$F$4,$C26)</f>
        <v>11.665859564164649</v>
      </c>
      <c r="O26" s="20">
        <f>IF(AND(M16&lt;&gt;"",O$19=1),M16*Summary!$F$4,$C26)</f>
        <v>11.665859564164649</v>
      </c>
      <c r="P26" s="20">
        <f>IF(AND(N16&lt;&gt;"",P$19=1),N16*Summary!$F$4,$C26)</f>
        <v>11.665859564164649</v>
      </c>
      <c r="Q26" s="20">
        <f>IF(AND(O16&lt;&gt;"",Q$19=1),O16*Summary!$F$4,$C26)</f>
        <v>11.665859564164649</v>
      </c>
      <c r="R26" s="20">
        <f>IF(AND(P16&lt;&gt;"",R$19=1),P16*Summary!$F$4,$C26)</f>
        <v>11.665859564164649</v>
      </c>
      <c r="S26" s="20">
        <f>IF(AND(Q16&lt;&gt;"",S$19=1),Q16*Summary!$F$4,$C26)</f>
        <v>11.665859564164649</v>
      </c>
      <c r="T26" s="20">
        <f>IF(AND(R16&lt;&gt;"",T$19=1),R16*Summary!$F$4,$C26)</f>
        <v>11.665859564164649</v>
      </c>
      <c r="U26" s="20">
        <f>IF(AND(S16&lt;&gt;"",U$19=1),S16*Summary!$F$4,$C26)</f>
        <v>11.665859564164649</v>
      </c>
      <c r="V26" s="20">
        <f>IF(AND(T16&lt;&gt;"",V$19=1),T16*Summary!$F$4,$C26)</f>
        <v>11.665859564164649</v>
      </c>
      <c r="W26" s="20">
        <f>IF(AND(U16&lt;&gt;"",W$19=1),U16*Summary!$F$4,$C26)</f>
        <v>11.665859564164649</v>
      </c>
      <c r="X26" s="20">
        <f>IF(AND(V16&lt;&gt;"",X$19=1),V16*Summary!$F$4,$C26)</f>
        <v>11.665859564164649</v>
      </c>
      <c r="Y26" s="20">
        <f>IF(AND(W16&lt;&gt;"",Y$19=1),W16*Summary!$F$4,$C26)</f>
        <v>11.665859564164649</v>
      </c>
      <c r="Z26" s="20">
        <f>IF(AND(X16&lt;&gt;"",Z$19=1),X16*Summary!$F$4,$C26)</f>
        <v>11.665859564164649</v>
      </c>
      <c r="AA26" s="20">
        <f>IF(AND(Y16&lt;&gt;"",AA$19=1),Y16*Summary!$F$4,$C26)</f>
        <v>11.665859564164649</v>
      </c>
      <c r="AB26" s="20">
        <f>IF(AND(Z16&lt;&gt;"",AB$19=1),Z16*Summary!$F$4,$C26)</f>
        <v>11.665859564164649</v>
      </c>
      <c r="AC26" s="20">
        <f>IF(AND(AA16&lt;&gt;"",AC$19=1),AA16*Summary!$F$4,$C26)</f>
        <v>11.665859564164649</v>
      </c>
      <c r="AD26" s="20">
        <f>IF(AND(AB16&lt;&gt;"",AD$19=1),AB16*Summary!$F$4,$C26)</f>
        <v>11.665859564164649</v>
      </c>
      <c r="AE26" s="20">
        <f>IF(AND(AC16&lt;&gt;"",AE$19=1),AC16*Summary!$F$4,$C26)</f>
        <v>11.665859564164649</v>
      </c>
      <c r="AF26" s="20">
        <f>IF(AND(AD16&lt;&gt;"",AF$19=1),AD16*Summary!$F$4,$C26)</f>
        <v>11.665859564164649</v>
      </c>
      <c r="AG26" s="20">
        <f>IF(AND(AE16&lt;&gt;"",AG$19=1),AE16*Summary!$F$4,$C26)</f>
        <v>11.665859564164649</v>
      </c>
      <c r="AH26" s="20">
        <f>IF(AND(AF16&lt;&gt;"",AH$19=1),AF16*Summary!$F$4,$C26)</f>
        <v>11.665859564164649</v>
      </c>
      <c r="AI26" s="20">
        <f>IF(AND(AG16&lt;&gt;"",AI$19=1),AG16*Summary!$F$4,$C26)</f>
        <v>11.665859564164649</v>
      </c>
      <c r="AJ26" s="21"/>
    </row>
    <row r="27" spans="1:36">
      <c r="A27" s="2">
        <f t="shared" si="13"/>
        <v>3</v>
      </c>
      <c r="B27" s="2">
        <f t="shared" si="14"/>
        <v>0</v>
      </c>
      <c r="C27" s="20">
        <f>AH17*Summary!$F$4</f>
        <v>93.079903147699753</v>
      </c>
      <c r="D27" s="20">
        <f>IF(AND(B17&lt;&gt;"",D$19=1),B17*Summary!$F$4,$C27)</f>
        <v>93.079903147699753</v>
      </c>
      <c r="E27" s="20">
        <f>IF(AND(C17&lt;&gt;"",E$19=1),C17*Summary!$F$4,$C27)</f>
        <v>93.079903147699753</v>
      </c>
      <c r="F27" s="20">
        <f>IF(AND(D17&lt;&gt;"",F$19=1),D17*Summary!$F$4,$C27)</f>
        <v>93.079903147699753</v>
      </c>
      <c r="G27" s="20">
        <f>IF(AND(E17&lt;&gt;"",G$19=1),E17*Summary!$F$4,$C27)</f>
        <v>93.079903147699753</v>
      </c>
      <c r="H27" s="20">
        <f>IF(AND(F17&lt;&gt;"",H$19=1),F17*Summary!$F$4,$C27)</f>
        <v>93.079903147699753</v>
      </c>
      <c r="I27" s="20">
        <f>IF(AND(G17&lt;&gt;"",I$19=1),G17*Summary!$F$4,$C27)</f>
        <v>93.079903147699753</v>
      </c>
      <c r="J27" s="20">
        <f>IF(AND(H17&lt;&gt;"",J$19=1),H17*Summary!$F$4,$C27)</f>
        <v>93.079903147699753</v>
      </c>
      <c r="K27" s="20">
        <f>IF(AND(I17&lt;&gt;"",K$19=1),I17*Summary!$F$4,$C27)</f>
        <v>93.079903147699753</v>
      </c>
      <c r="L27" s="20">
        <f>IF(AND(J17&lt;&gt;"",L$19=1),J17*Summary!$F$4,$C27)</f>
        <v>93.079903147699753</v>
      </c>
      <c r="M27" s="20">
        <f>IF(AND(K17&lt;&gt;"",M$19=1),K17*Summary!$F$4,$C27)</f>
        <v>93.079903147699753</v>
      </c>
      <c r="N27" s="20">
        <f>IF(AND(L17&lt;&gt;"",N$19=1),L17*Summary!$F$4,$C27)</f>
        <v>93.079903147699753</v>
      </c>
      <c r="O27" s="20">
        <f>IF(AND(M17&lt;&gt;"",O$19=1),M17*Summary!$F$4,$C27)</f>
        <v>93.079903147699753</v>
      </c>
      <c r="P27" s="20">
        <f>IF(AND(N17&lt;&gt;"",P$19=1),N17*Summary!$F$4,$C27)</f>
        <v>93.079903147699753</v>
      </c>
      <c r="Q27" s="20">
        <f>IF(AND(O17&lt;&gt;"",Q$19=1),O17*Summary!$F$4,$C27)</f>
        <v>93.079903147699753</v>
      </c>
      <c r="R27" s="20">
        <f>IF(AND(P17&lt;&gt;"",R$19=1),P17*Summary!$F$4,$C27)</f>
        <v>93.079903147699753</v>
      </c>
      <c r="S27" s="20">
        <f>IF(AND(Q17&lt;&gt;"",S$19=1),Q17*Summary!$F$4,$C27)</f>
        <v>93.079903147699753</v>
      </c>
      <c r="T27" s="20">
        <f>IF(AND(R17&lt;&gt;"",T$19=1),R17*Summary!$F$4,$C27)</f>
        <v>93.079903147699753</v>
      </c>
      <c r="U27" s="20">
        <f>IF(AND(S17&lt;&gt;"",U$19=1),S17*Summary!$F$4,$C27)</f>
        <v>93.079903147699753</v>
      </c>
      <c r="V27" s="20">
        <f>IF(AND(T17&lt;&gt;"",V$19=1),T17*Summary!$F$4,$C27)</f>
        <v>93.079903147699753</v>
      </c>
      <c r="W27" s="20">
        <f>IF(AND(U17&lt;&gt;"",W$19=1),U17*Summary!$F$4,$C27)</f>
        <v>93.079903147699753</v>
      </c>
      <c r="X27" s="20">
        <f>IF(AND(V17&lt;&gt;"",X$19=1),V17*Summary!$F$4,$C27)</f>
        <v>93.079903147699753</v>
      </c>
      <c r="Y27" s="20">
        <f>IF(AND(W17&lt;&gt;"",Y$19=1),W17*Summary!$F$4,$C27)</f>
        <v>93.079903147699753</v>
      </c>
      <c r="Z27" s="20">
        <f>IF(AND(X17&lt;&gt;"",Z$19=1),X17*Summary!$F$4,$C27)</f>
        <v>93.079903147699753</v>
      </c>
      <c r="AA27" s="20">
        <f>IF(AND(Y17&lt;&gt;"",AA$19=1),Y17*Summary!$F$4,$C27)</f>
        <v>93.079903147699753</v>
      </c>
      <c r="AB27" s="20">
        <f>IF(AND(Z17&lt;&gt;"",AB$19=1),Z17*Summary!$F$4,$C27)</f>
        <v>93.079903147699753</v>
      </c>
      <c r="AC27" s="20">
        <f>IF(AND(AA17&lt;&gt;"",AC$19=1),AA17*Summary!$F$4,$C27)</f>
        <v>93.079903147699753</v>
      </c>
      <c r="AD27" s="20">
        <f>IF(AND(AB17&lt;&gt;"",AD$19=1),AB17*Summary!$F$4,$C27)</f>
        <v>93.079903147699753</v>
      </c>
      <c r="AE27" s="20">
        <f>IF(AND(AC17&lt;&gt;"",AE$19=1),AC17*Summary!$F$4,$C27)</f>
        <v>93.079903147699753</v>
      </c>
      <c r="AF27" s="20">
        <f>IF(AND(AD17&lt;&gt;"",AF$19=1),AD17*Summary!$F$4,$C27)</f>
        <v>93.079903147699753</v>
      </c>
      <c r="AG27" s="20">
        <f>IF(AND(AE17&lt;&gt;"",AG$19=1),AE17*Summary!$F$4,$C27)</f>
        <v>93.079903147699753</v>
      </c>
      <c r="AH27" s="20">
        <f>IF(AND(AF17&lt;&gt;"",AH$19=1),AF17*Summary!$F$4,$C27)</f>
        <v>93.079903147699753</v>
      </c>
      <c r="AI27" s="20">
        <f>IF(AND(AG17&lt;&gt;"",AI$19=1),AG17*Summary!$F$4,$C27)</f>
        <v>93.079903147699753</v>
      </c>
      <c r="AJ27" s="21"/>
    </row>
    <row r="28" spans="1:36">
      <c r="A28" s="2">
        <f t="shared" si="13"/>
        <v>3</v>
      </c>
      <c r="B28" s="2">
        <f t="shared" si="14"/>
        <v>1</v>
      </c>
      <c r="C28" s="20">
        <f>AH18*Summary!$F$4</f>
        <v>11.215496368038741</v>
      </c>
      <c r="D28" s="20">
        <f>IF(AND(B18&lt;&gt;"",D$19=1),B18*Summary!$F$4,$C28)</f>
        <v>11.215496368038741</v>
      </c>
      <c r="E28" s="20">
        <f>IF(AND(C18&lt;&gt;"",E$19=1),C18*Summary!$F$4,$C28)</f>
        <v>11.215496368038741</v>
      </c>
      <c r="F28" s="20">
        <f>IF(AND(D18&lt;&gt;"",F$19=1),D18*Summary!$F$4,$C28)</f>
        <v>11.215496368038741</v>
      </c>
      <c r="G28" s="20">
        <f>IF(AND(E18&lt;&gt;"",G$19=1),E18*Summary!$F$4,$C28)</f>
        <v>11.215496368038741</v>
      </c>
      <c r="H28" s="20">
        <f>IF(AND(F18&lt;&gt;"",H$19=1),F18*Summary!$F$4,$C28)</f>
        <v>11.215496368038741</v>
      </c>
      <c r="I28" s="20">
        <f>IF(AND(G18&lt;&gt;"",I$19=1),G18*Summary!$F$4,$C28)</f>
        <v>11.215496368038741</v>
      </c>
      <c r="J28" s="20">
        <f>IF(AND(H18&lt;&gt;"",J$19=1),H18*Summary!$F$4,$C28)</f>
        <v>11.215496368038741</v>
      </c>
      <c r="K28" s="20">
        <f>IF(AND(I18&lt;&gt;"",K$19=1),I18*Summary!$F$4,$C28)</f>
        <v>11.215496368038741</v>
      </c>
      <c r="L28" s="20">
        <f>IF(AND(J18&lt;&gt;"",L$19=1),J18*Summary!$F$4,$C28)</f>
        <v>11.215496368038741</v>
      </c>
      <c r="M28" s="20">
        <f>IF(AND(K18&lt;&gt;"",M$19=1),K18*Summary!$F$4,$C28)</f>
        <v>11.215496368038741</v>
      </c>
      <c r="N28" s="20">
        <f>IF(AND(L18&lt;&gt;"",N$19=1),L18*Summary!$F$4,$C28)</f>
        <v>11.215496368038741</v>
      </c>
      <c r="O28" s="20">
        <f>IF(AND(M18&lt;&gt;"",O$19=1),M18*Summary!$F$4,$C28)</f>
        <v>11.215496368038741</v>
      </c>
      <c r="P28" s="20">
        <f>IF(AND(N18&lt;&gt;"",P$19=1),N18*Summary!$F$4,$C28)</f>
        <v>11.215496368038741</v>
      </c>
      <c r="Q28" s="20">
        <f>IF(AND(O18&lt;&gt;"",Q$19=1),O18*Summary!$F$4,$C28)</f>
        <v>11.215496368038741</v>
      </c>
      <c r="R28" s="20">
        <f>IF(AND(P18&lt;&gt;"",R$19=1),P18*Summary!$F$4,$C28)</f>
        <v>11.215496368038741</v>
      </c>
      <c r="S28" s="20">
        <f>IF(AND(Q18&lt;&gt;"",S$19=1),Q18*Summary!$F$4,$C28)</f>
        <v>11.215496368038741</v>
      </c>
      <c r="T28" s="20">
        <f>IF(AND(R18&lt;&gt;"",T$19=1),R18*Summary!$F$4,$C28)</f>
        <v>11.215496368038741</v>
      </c>
      <c r="U28" s="20">
        <f>IF(AND(S18&lt;&gt;"",U$19=1),S18*Summary!$F$4,$C28)</f>
        <v>11.215496368038741</v>
      </c>
      <c r="V28" s="20">
        <f>IF(AND(T18&lt;&gt;"",V$19=1),T18*Summary!$F$4,$C28)</f>
        <v>11.215496368038741</v>
      </c>
      <c r="W28" s="20">
        <f>IF(AND(U18&lt;&gt;"",W$19=1),U18*Summary!$F$4,$C28)</f>
        <v>11.215496368038741</v>
      </c>
      <c r="X28" s="20">
        <f>IF(AND(V18&lt;&gt;"",X$19=1),V18*Summary!$F$4,$C28)</f>
        <v>11.215496368038741</v>
      </c>
      <c r="Y28" s="20">
        <f>IF(AND(W18&lt;&gt;"",Y$19=1),W18*Summary!$F$4,$C28)</f>
        <v>11.215496368038741</v>
      </c>
      <c r="Z28" s="20">
        <f>IF(AND(X18&lt;&gt;"",Z$19=1),X18*Summary!$F$4,$C28)</f>
        <v>11.215496368038741</v>
      </c>
      <c r="AA28" s="20">
        <f>IF(AND(Y18&lt;&gt;"",AA$19=1),Y18*Summary!$F$4,$C28)</f>
        <v>11.215496368038741</v>
      </c>
      <c r="AB28" s="20">
        <f>IF(AND(Z18&lt;&gt;"",AB$19=1),Z18*Summary!$F$4,$C28)</f>
        <v>11.215496368038741</v>
      </c>
      <c r="AC28" s="20">
        <f>IF(AND(AA18&lt;&gt;"",AC$19=1),AA18*Summary!$F$4,$C28)</f>
        <v>11.215496368038741</v>
      </c>
      <c r="AD28" s="20">
        <f>IF(AND(AB18&lt;&gt;"",AD$19=1),AB18*Summary!$F$4,$C28)</f>
        <v>11.215496368038741</v>
      </c>
      <c r="AE28" s="20">
        <f>IF(AND(AC18&lt;&gt;"",AE$19=1),AC18*Summary!$F$4,$C28)</f>
        <v>11.215496368038741</v>
      </c>
      <c r="AF28" s="20">
        <f>IF(AND(AD18&lt;&gt;"",AF$19=1),AD18*Summary!$F$4,$C28)</f>
        <v>11.215496368038741</v>
      </c>
      <c r="AG28" s="20">
        <f>IF(AND(AE18&lt;&gt;"",AG$19=1),AE18*Summary!$F$4,$C28)</f>
        <v>11.215496368038741</v>
      </c>
      <c r="AH28" s="20">
        <f>IF(AND(AF18&lt;&gt;"",AH$19=1),AF18*Summary!$F$4,$C28)</f>
        <v>11.215496368038741</v>
      </c>
      <c r="AI28" s="20">
        <f>IF(AND(AG18&lt;&gt;"",AI$19=1),AG18*Summary!$F$4,$C28)</f>
        <v>11.215496368038741</v>
      </c>
      <c r="AJ28" s="21"/>
    </row>
  </sheetData>
  <mergeCells count="2">
    <mergeCell ref="A19:C19"/>
    <mergeCell ref="A10:AG10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J28"/>
  <sheetViews>
    <sheetView workbookViewId="0"/>
  </sheetViews>
  <sheetFormatPr defaultRowHeight="15"/>
  <cols>
    <col min="1" max="16384" width="9.140625" style="2"/>
  </cols>
  <sheetData>
    <row r="1" spans="1:36" ht="18.75">
      <c r="A1" s="56" t="str">
        <f>Summary!B5</f>
        <v>CWF</v>
      </c>
      <c r="B1" s="2">
        <v>0</v>
      </c>
      <c r="C1" s="2">
        <f>B1+1</f>
        <v>1</v>
      </c>
      <c r="D1" s="2">
        <f t="shared" ref="D1:AG1" si="0">C1+1</f>
        <v>2</v>
      </c>
      <c r="E1" s="2">
        <f t="shared" si="0"/>
        <v>3</v>
      </c>
      <c r="F1" s="2">
        <f t="shared" si="0"/>
        <v>4</v>
      </c>
      <c r="G1" s="2">
        <f t="shared" si="0"/>
        <v>5</v>
      </c>
      <c r="H1" s="2">
        <f t="shared" si="0"/>
        <v>6</v>
      </c>
      <c r="I1" s="2">
        <f t="shared" si="0"/>
        <v>7</v>
      </c>
      <c r="J1" s="2">
        <f t="shared" si="0"/>
        <v>8</v>
      </c>
      <c r="K1" s="2">
        <f t="shared" si="0"/>
        <v>9</v>
      </c>
      <c r="L1" s="2">
        <f t="shared" si="0"/>
        <v>10</v>
      </c>
      <c r="M1" s="2">
        <f t="shared" si="0"/>
        <v>11</v>
      </c>
      <c r="N1" s="2">
        <f t="shared" si="0"/>
        <v>12</v>
      </c>
      <c r="O1" s="2">
        <f t="shared" si="0"/>
        <v>13</v>
      </c>
      <c r="P1" s="2">
        <f t="shared" si="0"/>
        <v>14</v>
      </c>
      <c r="Q1" s="2">
        <f t="shared" si="0"/>
        <v>15</v>
      </c>
      <c r="R1" s="2">
        <f t="shared" si="0"/>
        <v>16</v>
      </c>
      <c r="S1" s="2">
        <f t="shared" si="0"/>
        <v>17</v>
      </c>
      <c r="T1" s="2">
        <f t="shared" si="0"/>
        <v>18</v>
      </c>
      <c r="U1" s="2">
        <f t="shared" si="0"/>
        <v>19</v>
      </c>
      <c r="V1" s="2">
        <f t="shared" si="0"/>
        <v>20</v>
      </c>
      <c r="W1" s="2">
        <f t="shared" si="0"/>
        <v>21</v>
      </c>
      <c r="X1" s="2">
        <f t="shared" si="0"/>
        <v>22</v>
      </c>
      <c r="Y1" s="2">
        <f t="shared" si="0"/>
        <v>23</v>
      </c>
      <c r="Z1" s="2">
        <f t="shared" si="0"/>
        <v>24</v>
      </c>
      <c r="AA1" s="2">
        <f t="shared" si="0"/>
        <v>25</v>
      </c>
      <c r="AB1" s="2">
        <f t="shared" si="0"/>
        <v>26</v>
      </c>
      <c r="AC1" s="2">
        <f t="shared" si="0"/>
        <v>27</v>
      </c>
      <c r="AD1" s="2">
        <f t="shared" si="0"/>
        <v>28</v>
      </c>
      <c r="AE1" s="2">
        <f t="shared" si="0"/>
        <v>29</v>
      </c>
      <c r="AF1" s="2">
        <f t="shared" si="0"/>
        <v>30</v>
      </c>
      <c r="AG1" s="2">
        <f t="shared" si="0"/>
        <v>31</v>
      </c>
    </row>
    <row r="2" spans="1:36" s="52" customFormat="1" ht="18">
      <c r="A2" s="52" t="s">
        <v>0</v>
      </c>
      <c r="F2" s="52">
        <v>110.8</v>
      </c>
    </row>
    <row r="3" spans="1:36" s="52" customFormat="1" ht="18">
      <c r="A3" s="52" t="s">
        <v>1</v>
      </c>
      <c r="F3" s="52">
        <v>99.9</v>
      </c>
    </row>
    <row r="4" spans="1:36" s="52" customFormat="1" ht="18">
      <c r="A4" s="52" t="s">
        <v>2</v>
      </c>
      <c r="F4" s="52">
        <v>107.1</v>
      </c>
    </row>
    <row r="5" spans="1:36" s="52" customFormat="1" ht="18">
      <c r="A5" s="52" t="s">
        <v>3</v>
      </c>
      <c r="F5" s="52">
        <v>96.5</v>
      </c>
    </row>
    <row r="6" spans="1:36" s="52" customFormat="1" ht="18">
      <c r="A6" s="52" t="s">
        <v>4</v>
      </c>
      <c r="F6" s="52">
        <v>115.6</v>
      </c>
    </row>
    <row r="7" spans="1:36" s="52" customFormat="1" ht="18">
      <c r="A7" s="52" t="s">
        <v>5</v>
      </c>
      <c r="F7" s="52">
        <v>110.9</v>
      </c>
    </row>
    <row r="8" spans="1:36" s="52" customFormat="1" ht="18">
      <c r="A8" s="52" t="s">
        <v>6</v>
      </c>
      <c r="F8" s="52">
        <v>112.2</v>
      </c>
    </row>
    <row r="9" spans="1:36" s="52" customFormat="1" ht="18">
      <c r="A9" s="52" t="s">
        <v>7</v>
      </c>
      <c r="F9" s="52">
        <v>107.4</v>
      </c>
    </row>
    <row r="10" spans="1:36" s="52" customFormat="1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2" t="s">
        <v>14</v>
      </c>
      <c r="AI10" s="2" t="s">
        <v>15</v>
      </c>
      <c r="AJ10" s="52" t="s">
        <v>39</v>
      </c>
    </row>
    <row r="11" spans="1:36" ht="18">
      <c r="A11" s="2" t="s">
        <v>0</v>
      </c>
      <c r="B11" s="52" t="str">
        <f t="shared" ref="B11:K18" si="1">IF(AND(B2&lt;&gt;0,D$19),B2,"")</f>
        <v/>
      </c>
      <c r="C11" s="52" t="str">
        <f t="shared" si="1"/>
        <v/>
      </c>
      <c r="D11" s="52" t="str">
        <f t="shared" si="1"/>
        <v/>
      </c>
      <c r="E11" s="52" t="str">
        <f t="shared" si="1"/>
        <v/>
      </c>
      <c r="F11" s="52">
        <f t="shared" si="1"/>
        <v>110.8</v>
      </c>
      <c r="G11" s="52" t="str">
        <f t="shared" si="1"/>
        <v/>
      </c>
      <c r="H11" s="52" t="str">
        <f t="shared" si="1"/>
        <v/>
      </c>
      <c r="I11" s="52" t="str">
        <f t="shared" si="1"/>
        <v/>
      </c>
      <c r="J11" s="52" t="str">
        <f t="shared" si="1"/>
        <v/>
      </c>
      <c r="K11" s="52" t="str">
        <f t="shared" si="1"/>
        <v/>
      </c>
      <c r="L11" s="52" t="str">
        <f t="shared" ref="L11:U18" si="2">IF(AND(L2&lt;&gt;0,N$19),L2,"")</f>
        <v/>
      </c>
      <c r="M11" s="52" t="str">
        <f t="shared" si="2"/>
        <v/>
      </c>
      <c r="N11" s="52" t="str">
        <f t="shared" si="2"/>
        <v/>
      </c>
      <c r="O11" s="52" t="str">
        <f t="shared" si="2"/>
        <v/>
      </c>
      <c r="P11" s="52" t="str">
        <f t="shared" si="2"/>
        <v/>
      </c>
      <c r="Q11" s="52" t="str">
        <f t="shared" si="2"/>
        <v/>
      </c>
      <c r="R11" s="52" t="str">
        <f t="shared" si="2"/>
        <v/>
      </c>
      <c r="S11" s="52" t="str">
        <f t="shared" si="2"/>
        <v/>
      </c>
      <c r="T11" s="52" t="str">
        <f t="shared" si="2"/>
        <v/>
      </c>
      <c r="U11" s="52" t="str">
        <f t="shared" si="2"/>
        <v/>
      </c>
      <c r="V11" s="52" t="str">
        <f t="shared" ref="V11:AE18" si="3">IF(AND(V2&lt;&gt;0,X$19),V2,"")</f>
        <v/>
      </c>
      <c r="W11" s="52" t="str">
        <f t="shared" si="3"/>
        <v/>
      </c>
      <c r="X11" s="52" t="str">
        <f t="shared" si="3"/>
        <v/>
      </c>
      <c r="Y11" s="52" t="str">
        <f t="shared" si="3"/>
        <v/>
      </c>
      <c r="Z11" s="52" t="str">
        <f t="shared" si="3"/>
        <v/>
      </c>
      <c r="AA11" s="52" t="str">
        <f t="shared" si="3"/>
        <v/>
      </c>
      <c r="AB11" s="52" t="str">
        <f t="shared" si="3"/>
        <v/>
      </c>
      <c r="AC11" s="52" t="str">
        <f t="shared" si="3"/>
        <v/>
      </c>
      <c r="AD11" s="52" t="str">
        <f t="shared" si="3"/>
        <v/>
      </c>
      <c r="AE11" s="52" t="str">
        <f t="shared" si="3"/>
        <v/>
      </c>
      <c r="AF11" s="52" t="str">
        <f t="shared" ref="AF11:AG18" si="4">IF(AND(AF2&lt;&gt;0,AH$19),AF2,"")</f>
        <v/>
      </c>
      <c r="AG11" s="52" t="str">
        <f t="shared" si="4"/>
        <v/>
      </c>
      <c r="AH11" s="3">
        <f>AVERAGE(B11:AG11)</f>
        <v>110.8</v>
      </c>
      <c r="AI11" s="3" t="e">
        <f>STDEV(B11:AG11)</f>
        <v>#DIV/0!</v>
      </c>
      <c r="AJ11" s="53" t="e">
        <f>AI11/AH11</f>
        <v>#DIV/0!</v>
      </c>
    </row>
    <row r="12" spans="1:36" ht="18">
      <c r="A12" s="2" t="s">
        <v>1</v>
      </c>
      <c r="B12" s="52" t="str">
        <f t="shared" si="1"/>
        <v/>
      </c>
      <c r="C12" s="52" t="str">
        <f t="shared" si="1"/>
        <v/>
      </c>
      <c r="D12" s="52" t="str">
        <f t="shared" si="1"/>
        <v/>
      </c>
      <c r="E12" s="52" t="str">
        <f t="shared" si="1"/>
        <v/>
      </c>
      <c r="F12" s="52">
        <f t="shared" si="1"/>
        <v>99.9</v>
      </c>
      <c r="G12" s="52" t="str">
        <f t="shared" si="1"/>
        <v/>
      </c>
      <c r="H12" s="52" t="str">
        <f t="shared" si="1"/>
        <v/>
      </c>
      <c r="I12" s="52" t="str">
        <f t="shared" si="1"/>
        <v/>
      </c>
      <c r="J12" s="52" t="str">
        <f t="shared" si="1"/>
        <v/>
      </c>
      <c r="K12" s="52" t="str">
        <f t="shared" si="1"/>
        <v/>
      </c>
      <c r="L12" s="52" t="str">
        <f t="shared" si="2"/>
        <v/>
      </c>
      <c r="M12" s="52" t="str">
        <f t="shared" si="2"/>
        <v/>
      </c>
      <c r="N12" s="52" t="str">
        <f t="shared" si="2"/>
        <v/>
      </c>
      <c r="O12" s="52" t="str">
        <f t="shared" si="2"/>
        <v/>
      </c>
      <c r="P12" s="52" t="str">
        <f t="shared" si="2"/>
        <v/>
      </c>
      <c r="Q12" s="52" t="str">
        <f t="shared" si="2"/>
        <v/>
      </c>
      <c r="R12" s="52" t="str">
        <f t="shared" si="2"/>
        <v/>
      </c>
      <c r="S12" s="52" t="str">
        <f t="shared" si="2"/>
        <v/>
      </c>
      <c r="T12" s="52" t="str">
        <f t="shared" si="2"/>
        <v/>
      </c>
      <c r="U12" s="52" t="str">
        <f t="shared" si="2"/>
        <v/>
      </c>
      <c r="V12" s="52" t="str">
        <f t="shared" si="3"/>
        <v/>
      </c>
      <c r="W12" s="52" t="str">
        <f t="shared" si="3"/>
        <v/>
      </c>
      <c r="X12" s="52" t="str">
        <f t="shared" si="3"/>
        <v/>
      </c>
      <c r="Y12" s="52" t="str">
        <f t="shared" si="3"/>
        <v/>
      </c>
      <c r="Z12" s="52" t="str">
        <f t="shared" si="3"/>
        <v/>
      </c>
      <c r="AA12" s="52" t="str">
        <f t="shared" si="3"/>
        <v/>
      </c>
      <c r="AB12" s="52" t="str">
        <f t="shared" si="3"/>
        <v/>
      </c>
      <c r="AC12" s="52" t="str">
        <f t="shared" si="3"/>
        <v/>
      </c>
      <c r="AD12" s="52" t="str">
        <f t="shared" si="3"/>
        <v/>
      </c>
      <c r="AE12" s="52" t="str">
        <f t="shared" si="3"/>
        <v/>
      </c>
      <c r="AF12" s="52" t="str">
        <f t="shared" si="4"/>
        <v/>
      </c>
      <c r="AG12" s="52" t="str">
        <f t="shared" si="4"/>
        <v/>
      </c>
      <c r="AH12" s="3">
        <f t="shared" ref="AH12:AH18" si="5">AVERAGE(B12:AG12)</f>
        <v>99.9</v>
      </c>
      <c r="AI12" s="3" t="e">
        <f t="shared" ref="AI12:AI18" si="6">STDEV(B12:AG12)</f>
        <v>#DIV/0!</v>
      </c>
      <c r="AJ12" s="53" t="e">
        <f t="shared" ref="AJ12:AJ18" si="7">AI12/AH12</f>
        <v>#DIV/0!</v>
      </c>
    </row>
    <row r="13" spans="1:36" ht="18">
      <c r="A13" s="2" t="s">
        <v>2</v>
      </c>
      <c r="B13" s="52" t="str">
        <f t="shared" si="1"/>
        <v/>
      </c>
      <c r="C13" s="52" t="str">
        <f t="shared" si="1"/>
        <v/>
      </c>
      <c r="D13" s="52" t="str">
        <f t="shared" si="1"/>
        <v/>
      </c>
      <c r="E13" s="52" t="str">
        <f t="shared" si="1"/>
        <v/>
      </c>
      <c r="F13" s="52">
        <f t="shared" si="1"/>
        <v>107.1</v>
      </c>
      <c r="G13" s="52" t="str">
        <f t="shared" si="1"/>
        <v/>
      </c>
      <c r="H13" s="52" t="str">
        <f t="shared" si="1"/>
        <v/>
      </c>
      <c r="I13" s="52" t="str">
        <f t="shared" si="1"/>
        <v/>
      </c>
      <c r="J13" s="52" t="str">
        <f t="shared" si="1"/>
        <v/>
      </c>
      <c r="K13" s="52" t="str">
        <f t="shared" si="1"/>
        <v/>
      </c>
      <c r="L13" s="52" t="str">
        <f t="shared" si="2"/>
        <v/>
      </c>
      <c r="M13" s="52" t="str">
        <f t="shared" si="2"/>
        <v/>
      </c>
      <c r="N13" s="52" t="str">
        <f t="shared" si="2"/>
        <v/>
      </c>
      <c r="O13" s="52" t="str">
        <f t="shared" si="2"/>
        <v/>
      </c>
      <c r="P13" s="52" t="str">
        <f t="shared" si="2"/>
        <v/>
      </c>
      <c r="Q13" s="52" t="str">
        <f t="shared" si="2"/>
        <v/>
      </c>
      <c r="R13" s="52" t="str">
        <f t="shared" si="2"/>
        <v/>
      </c>
      <c r="S13" s="52" t="str">
        <f t="shared" si="2"/>
        <v/>
      </c>
      <c r="T13" s="52" t="str">
        <f t="shared" si="2"/>
        <v/>
      </c>
      <c r="U13" s="52" t="str">
        <f t="shared" si="2"/>
        <v/>
      </c>
      <c r="V13" s="52" t="str">
        <f t="shared" si="3"/>
        <v/>
      </c>
      <c r="W13" s="52" t="str">
        <f t="shared" si="3"/>
        <v/>
      </c>
      <c r="X13" s="52" t="str">
        <f t="shared" si="3"/>
        <v/>
      </c>
      <c r="Y13" s="52" t="str">
        <f t="shared" si="3"/>
        <v/>
      </c>
      <c r="Z13" s="52" t="str">
        <f t="shared" si="3"/>
        <v/>
      </c>
      <c r="AA13" s="52" t="str">
        <f t="shared" si="3"/>
        <v/>
      </c>
      <c r="AB13" s="52" t="str">
        <f t="shared" si="3"/>
        <v/>
      </c>
      <c r="AC13" s="52" t="str">
        <f t="shared" si="3"/>
        <v/>
      </c>
      <c r="AD13" s="52" t="str">
        <f t="shared" si="3"/>
        <v/>
      </c>
      <c r="AE13" s="52" t="str">
        <f t="shared" si="3"/>
        <v/>
      </c>
      <c r="AF13" s="52" t="str">
        <f t="shared" si="4"/>
        <v/>
      </c>
      <c r="AG13" s="52" t="str">
        <f t="shared" si="4"/>
        <v/>
      </c>
      <c r="AH13" s="3">
        <f t="shared" si="5"/>
        <v>107.1</v>
      </c>
      <c r="AI13" s="3" t="e">
        <f t="shared" si="6"/>
        <v>#DIV/0!</v>
      </c>
      <c r="AJ13" s="53" t="e">
        <f t="shared" si="7"/>
        <v>#DIV/0!</v>
      </c>
    </row>
    <row r="14" spans="1:36" ht="18">
      <c r="A14" s="2" t="s">
        <v>3</v>
      </c>
      <c r="B14" s="52" t="str">
        <f t="shared" si="1"/>
        <v/>
      </c>
      <c r="C14" s="52" t="str">
        <f t="shared" si="1"/>
        <v/>
      </c>
      <c r="D14" s="52" t="str">
        <f t="shared" si="1"/>
        <v/>
      </c>
      <c r="E14" s="52" t="str">
        <f t="shared" si="1"/>
        <v/>
      </c>
      <c r="F14" s="52">
        <f t="shared" si="1"/>
        <v>96.5</v>
      </c>
      <c r="G14" s="52" t="str">
        <f t="shared" si="1"/>
        <v/>
      </c>
      <c r="H14" s="52" t="str">
        <f t="shared" si="1"/>
        <v/>
      </c>
      <c r="I14" s="52" t="str">
        <f t="shared" si="1"/>
        <v/>
      </c>
      <c r="J14" s="52" t="str">
        <f t="shared" si="1"/>
        <v/>
      </c>
      <c r="K14" s="52" t="str">
        <f t="shared" si="1"/>
        <v/>
      </c>
      <c r="L14" s="52" t="str">
        <f t="shared" si="2"/>
        <v/>
      </c>
      <c r="M14" s="52" t="str">
        <f t="shared" si="2"/>
        <v/>
      </c>
      <c r="N14" s="52" t="str">
        <f t="shared" si="2"/>
        <v/>
      </c>
      <c r="O14" s="52" t="str">
        <f t="shared" si="2"/>
        <v/>
      </c>
      <c r="P14" s="52" t="str">
        <f t="shared" si="2"/>
        <v/>
      </c>
      <c r="Q14" s="52" t="str">
        <f t="shared" si="2"/>
        <v/>
      </c>
      <c r="R14" s="52" t="str">
        <f t="shared" si="2"/>
        <v/>
      </c>
      <c r="S14" s="52" t="str">
        <f t="shared" si="2"/>
        <v/>
      </c>
      <c r="T14" s="52" t="str">
        <f t="shared" si="2"/>
        <v/>
      </c>
      <c r="U14" s="52" t="str">
        <f t="shared" si="2"/>
        <v/>
      </c>
      <c r="V14" s="52" t="str">
        <f t="shared" si="3"/>
        <v/>
      </c>
      <c r="W14" s="52" t="str">
        <f t="shared" si="3"/>
        <v/>
      </c>
      <c r="X14" s="52" t="str">
        <f t="shared" si="3"/>
        <v/>
      </c>
      <c r="Y14" s="52" t="str">
        <f t="shared" si="3"/>
        <v/>
      </c>
      <c r="Z14" s="52" t="str">
        <f t="shared" si="3"/>
        <v/>
      </c>
      <c r="AA14" s="52" t="str">
        <f t="shared" si="3"/>
        <v/>
      </c>
      <c r="AB14" s="52" t="str">
        <f t="shared" si="3"/>
        <v/>
      </c>
      <c r="AC14" s="52" t="str">
        <f t="shared" si="3"/>
        <v/>
      </c>
      <c r="AD14" s="52" t="str">
        <f t="shared" si="3"/>
        <v/>
      </c>
      <c r="AE14" s="52" t="str">
        <f t="shared" si="3"/>
        <v/>
      </c>
      <c r="AF14" s="52" t="str">
        <f t="shared" si="4"/>
        <v/>
      </c>
      <c r="AG14" s="52" t="str">
        <f t="shared" si="4"/>
        <v/>
      </c>
      <c r="AH14" s="3">
        <f t="shared" si="5"/>
        <v>96.5</v>
      </c>
      <c r="AI14" s="3" t="e">
        <f t="shared" si="6"/>
        <v>#DIV/0!</v>
      </c>
      <c r="AJ14" s="53" t="e">
        <f t="shared" si="7"/>
        <v>#DIV/0!</v>
      </c>
    </row>
    <row r="15" spans="1:36" ht="18">
      <c r="A15" s="2" t="s">
        <v>4</v>
      </c>
      <c r="B15" s="52" t="str">
        <f t="shared" si="1"/>
        <v/>
      </c>
      <c r="C15" s="52" t="str">
        <f t="shared" si="1"/>
        <v/>
      </c>
      <c r="D15" s="52" t="str">
        <f t="shared" si="1"/>
        <v/>
      </c>
      <c r="E15" s="52" t="str">
        <f t="shared" si="1"/>
        <v/>
      </c>
      <c r="F15" s="52">
        <f t="shared" si="1"/>
        <v>115.6</v>
      </c>
      <c r="G15" s="52" t="str">
        <f t="shared" si="1"/>
        <v/>
      </c>
      <c r="H15" s="52" t="str">
        <f t="shared" si="1"/>
        <v/>
      </c>
      <c r="I15" s="52" t="str">
        <f t="shared" si="1"/>
        <v/>
      </c>
      <c r="J15" s="52" t="str">
        <f t="shared" si="1"/>
        <v/>
      </c>
      <c r="K15" s="52" t="str">
        <f t="shared" si="1"/>
        <v/>
      </c>
      <c r="L15" s="52" t="str">
        <f t="shared" si="2"/>
        <v/>
      </c>
      <c r="M15" s="52" t="str">
        <f t="shared" si="2"/>
        <v/>
      </c>
      <c r="N15" s="52" t="str">
        <f t="shared" si="2"/>
        <v/>
      </c>
      <c r="O15" s="52" t="str">
        <f t="shared" si="2"/>
        <v/>
      </c>
      <c r="P15" s="52" t="str">
        <f t="shared" si="2"/>
        <v/>
      </c>
      <c r="Q15" s="52" t="str">
        <f t="shared" si="2"/>
        <v/>
      </c>
      <c r="R15" s="52" t="str">
        <f t="shared" si="2"/>
        <v/>
      </c>
      <c r="S15" s="52" t="str">
        <f t="shared" si="2"/>
        <v/>
      </c>
      <c r="T15" s="52" t="str">
        <f t="shared" si="2"/>
        <v/>
      </c>
      <c r="U15" s="52" t="str">
        <f t="shared" si="2"/>
        <v/>
      </c>
      <c r="V15" s="52" t="str">
        <f t="shared" si="3"/>
        <v/>
      </c>
      <c r="W15" s="52" t="str">
        <f t="shared" si="3"/>
        <v/>
      </c>
      <c r="X15" s="52" t="str">
        <f t="shared" si="3"/>
        <v/>
      </c>
      <c r="Y15" s="52" t="str">
        <f t="shared" si="3"/>
        <v/>
      </c>
      <c r="Z15" s="52" t="str">
        <f t="shared" si="3"/>
        <v/>
      </c>
      <c r="AA15" s="52" t="str">
        <f t="shared" si="3"/>
        <v/>
      </c>
      <c r="AB15" s="52" t="str">
        <f t="shared" si="3"/>
        <v/>
      </c>
      <c r="AC15" s="52" t="str">
        <f t="shared" si="3"/>
        <v/>
      </c>
      <c r="AD15" s="52" t="str">
        <f t="shared" si="3"/>
        <v/>
      </c>
      <c r="AE15" s="52" t="str">
        <f t="shared" si="3"/>
        <v/>
      </c>
      <c r="AF15" s="52" t="str">
        <f t="shared" si="4"/>
        <v/>
      </c>
      <c r="AG15" s="52" t="str">
        <f t="shared" si="4"/>
        <v/>
      </c>
      <c r="AH15" s="3">
        <f t="shared" si="5"/>
        <v>115.6</v>
      </c>
      <c r="AI15" s="3" t="e">
        <f t="shared" si="6"/>
        <v>#DIV/0!</v>
      </c>
      <c r="AJ15" s="53" t="e">
        <f t="shared" si="7"/>
        <v>#DIV/0!</v>
      </c>
    </row>
    <row r="16" spans="1:36" ht="18">
      <c r="A16" s="2" t="s">
        <v>5</v>
      </c>
      <c r="B16" s="52" t="str">
        <f t="shared" si="1"/>
        <v/>
      </c>
      <c r="C16" s="52" t="str">
        <f t="shared" si="1"/>
        <v/>
      </c>
      <c r="D16" s="52" t="str">
        <f t="shared" si="1"/>
        <v/>
      </c>
      <c r="E16" s="52" t="str">
        <f t="shared" si="1"/>
        <v/>
      </c>
      <c r="F16" s="52">
        <f t="shared" si="1"/>
        <v>110.9</v>
      </c>
      <c r="G16" s="52" t="str">
        <f t="shared" si="1"/>
        <v/>
      </c>
      <c r="H16" s="52" t="str">
        <f t="shared" si="1"/>
        <v/>
      </c>
      <c r="I16" s="52" t="str">
        <f t="shared" si="1"/>
        <v/>
      </c>
      <c r="J16" s="52" t="str">
        <f t="shared" si="1"/>
        <v/>
      </c>
      <c r="K16" s="52" t="str">
        <f t="shared" si="1"/>
        <v/>
      </c>
      <c r="L16" s="52" t="str">
        <f t="shared" si="2"/>
        <v/>
      </c>
      <c r="M16" s="52" t="str">
        <f t="shared" si="2"/>
        <v/>
      </c>
      <c r="N16" s="52" t="str">
        <f t="shared" si="2"/>
        <v/>
      </c>
      <c r="O16" s="52" t="str">
        <f t="shared" si="2"/>
        <v/>
      </c>
      <c r="P16" s="52" t="str">
        <f t="shared" si="2"/>
        <v/>
      </c>
      <c r="Q16" s="52" t="str">
        <f t="shared" si="2"/>
        <v/>
      </c>
      <c r="R16" s="52" t="str">
        <f t="shared" si="2"/>
        <v/>
      </c>
      <c r="S16" s="52" t="str">
        <f t="shared" si="2"/>
        <v/>
      </c>
      <c r="T16" s="52" t="str">
        <f t="shared" si="2"/>
        <v/>
      </c>
      <c r="U16" s="52" t="str">
        <f t="shared" si="2"/>
        <v/>
      </c>
      <c r="V16" s="52" t="str">
        <f t="shared" si="3"/>
        <v/>
      </c>
      <c r="W16" s="52" t="str">
        <f t="shared" si="3"/>
        <v/>
      </c>
      <c r="X16" s="52" t="str">
        <f t="shared" si="3"/>
        <v/>
      </c>
      <c r="Y16" s="52" t="str">
        <f t="shared" si="3"/>
        <v/>
      </c>
      <c r="Z16" s="52" t="str">
        <f t="shared" si="3"/>
        <v/>
      </c>
      <c r="AA16" s="52" t="str">
        <f t="shared" si="3"/>
        <v/>
      </c>
      <c r="AB16" s="52" t="str">
        <f t="shared" si="3"/>
        <v/>
      </c>
      <c r="AC16" s="52" t="str">
        <f t="shared" si="3"/>
        <v/>
      </c>
      <c r="AD16" s="52" t="str">
        <f t="shared" si="3"/>
        <v/>
      </c>
      <c r="AE16" s="52" t="str">
        <f t="shared" si="3"/>
        <v/>
      </c>
      <c r="AF16" s="52" t="str">
        <f t="shared" si="4"/>
        <v/>
      </c>
      <c r="AG16" s="52" t="str">
        <f t="shared" si="4"/>
        <v/>
      </c>
      <c r="AH16" s="3">
        <f t="shared" si="5"/>
        <v>110.9</v>
      </c>
      <c r="AI16" s="3" t="e">
        <f t="shared" si="6"/>
        <v>#DIV/0!</v>
      </c>
      <c r="AJ16" s="53" t="e">
        <f t="shared" si="7"/>
        <v>#DIV/0!</v>
      </c>
    </row>
    <row r="17" spans="1:36" ht="18">
      <c r="A17" s="2" t="s">
        <v>6</v>
      </c>
      <c r="B17" s="52" t="str">
        <f t="shared" si="1"/>
        <v/>
      </c>
      <c r="C17" s="52" t="str">
        <f t="shared" si="1"/>
        <v/>
      </c>
      <c r="D17" s="52" t="str">
        <f t="shared" si="1"/>
        <v/>
      </c>
      <c r="E17" s="52" t="str">
        <f t="shared" si="1"/>
        <v/>
      </c>
      <c r="F17" s="52">
        <f t="shared" si="1"/>
        <v>112.2</v>
      </c>
      <c r="G17" s="52" t="str">
        <f t="shared" si="1"/>
        <v/>
      </c>
      <c r="H17" s="52" t="str">
        <f t="shared" si="1"/>
        <v/>
      </c>
      <c r="I17" s="52" t="str">
        <f t="shared" si="1"/>
        <v/>
      </c>
      <c r="J17" s="52" t="str">
        <f t="shared" si="1"/>
        <v/>
      </c>
      <c r="K17" s="52" t="str">
        <f t="shared" si="1"/>
        <v/>
      </c>
      <c r="L17" s="52" t="str">
        <f t="shared" si="2"/>
        <v/>
      </c>
      <c r="M17" s="52" t="str">
        <f t="shared" si="2"/>
        <v/>
      </c>
      <c r="N17" s="52" t="str">
        <f t="shared" si="2"/>
        <v/>
      </c>
      <c r="O17" s="52" t="str">
        <f t="shared" si="2"/>
        <v/>
      </c>
      <c r="P17" s="52" t="str">
        <f t="shared" si="2"/>
        <v/>
      </c>
      <c r="Q17" s="52" t="str">
        <f t="shared" si="2"/>
        <v/>
      </c>
      <c r="R17" s="52" t="str">
        <f t="shared" si="2"/>
        <v/>
      </c>
      <c r="S17" s="52" t="str">
        <f t="shared" si="2"/>
        <v/>
      </c>
      <c r="T17" s="52" t="str">
        <f t="shared" si="2"/>
        <v/>
      </c>
      <c r="U17" s="52" t="str">
        <f t="shared" si="2"/>
        <v/>
      </c>
      <c r="V17" s="52" t="str">
        <f t="shared" si="3"/>
        <v/>
      </c>
      <c r="W17" s="52" t="str">
        <f t="shared" si="3"/>
        <v/>
      </c>
      <c r="X17" s="52" t="str">
        <f t="shared" si="3"/>
        <v/>
      </c>
      <c r="Y17" s="52" t="str">
        <f t="shared" si="3"/>
        <v/>
      </c>
      <c r="Z17" s="52" t="str">
        <f t="shared" si="3"/>
        <v/>
      </c>
      <c r="AA17" s="52" t="str">
        <f t="shared" si="3"/>
        <v/>
      </c>
      <c r="AB17" s="52" t="str">
        <f t="shared" si="3"/>
        <v/>
      </c>
      <c r="AC17" s="52" t="str">
        <f t="shared" si="3"/>
        <v/>
      </c>
      <c r="AD17" s="52" t="str">
        <f t="shared" si="3"/>
        <v/>
      </c>
      <c r="AE17" s="52" t="str">
        <f t="shared" si="3"/>
        <v/>
      </c>
      <c r="AF17" s="52" t="str">
        <f t="shared" si="4"/>
        <v/>
      </c>
      <c r="AG17" s="52" t="str">
        <f t="shared" si="4"/>
        <v/>
      </c>
      <c r="AH17" s="3">
        <f t="shared" si="5"/>
        <v>112.2</v>
      </c>
      <c r="AI17" s="3" t="e">
        <f t="shared" si="6"/>
        <v>#DIV/0!</v>
      </c>
      <c r="AJ17" s="53" t="e">
        <f t="shared" si="7"/>
        <v>#DIV/0!</v>
      </c>
    </row>
    <row r="18" spans="1:36" ht="18">
      <c r="A18" s="2" t="s">
        <v>7</v>
      </c>
      <c r="B18" s="52" t="str">
        <f t="shared" si="1"/>
        <v/>
      </c>
      <c r="C18" s="52" t="str">
        <f t="shared" si="1"/>
        <v/>
      </c>
      <c r="D18" s="52" t="str">
        <f t="shared" si="1"/>
        <v/>
      </c>
      <c r="E18" s="52" t="str">
        <f t="shared" si="1"/>
        <v/>
      </c>
      <c r="F18" s="52">
        <f t="shared" si="1"/>
        <v>107.4</v>
      </c>
      <c r="G18" s="52" t="str">
        <f t="shared" si="1"/>
        <v/>
      </c>
      <c r="H18" s="52" t="str">
        <f t="shared" si="1"/>
        <v/>
      </c>
      <c r="I18" s="52" t="str">
        <f t="shared" si="1"/>
        <v/>
      </c>
      <c r="J18" s="52" t="str">
        <f t="shared" si="1"/>
        <v/>
      </c>
      <c r="K18" s="52" t="str">
        <f t="shared" si="1"/>
        <v/>
      </c>
      <c r="L18" s="52" t="str">
        <f t="shared" si="2"/>
        <v/>
      </c>
      <c r="M18" s="52" t="str">
        <f t="shared" si="2"/>
        <v/>
      </c>
      <c r="N18" s="52" t="str">
        <f t="shared" si="2"/>
        <v/>
      </c>
      <c r="O18" s="52" t="str">
        <f t="shared" si="2"/>
        <v/>
      </c>
      <c r="P18" s="52" t="str">
        <f t="shared" si="2"/>
        <v/>
      </c>
      <c r="Q18" s="52" t="str">
        <f t="shared" si="2"/>
        <v/>
      </c>
      <c r="R18" s="52" t="str">
        <f t="shared" si="2"/>
        <v/>
      </c>
      <c r="S18" s="52" t="str">
        <f t="shared" si="2"/>
        <v/>
      </c>
      <c r="T18" s="52" t="str">
        <f t="shared" si="2"/>
        <v/>
      </c>
      <c r="U18" s="52" t="str">
        <f t="shared" si="2"/>
        <v/>
      </c>
      <c r="V18" s="52" t="str">
        <f t="shared" si="3"/>
        <v/>
      </c>
      <c r="W18" s="52" t="str">
        <f t="shared" si="3"/>
        <v/>
      </c>
      <c r="X18" s="52" t="str">
        <f t="shared" si="3"/>
        <v/>
      </c>
      <c r="Y18" s="52" t="str">
        <f t="shared" si="3"/>
        <v/>
      </c>
      <c r="Z18" s="52" t="str">
        <f t="shared" si="3"/>
        <v/>
      </c>
      <c r="AA18" s="52" t="str">
        <f t="shared" si="3"/>
        <v/>
      </c>
      <c r="AB18" s="52" t="str">
        <f t="shared" si="3"/>
        <v/>
      </c>
      <c r="AC18" s="52" t="str">
        <f t="shared" si="3"/>
        <v/>
      </c>
      <c r="AD18" s="52" t="str">
        <f t="shared" si="3"/>
        <v/>
      </c>
      <c r="AE18" s="52" t="str">
        <f t="shared" si="3"/>
        <v/>
      </c>
      <c r="AF18" s="52" t="str">
        <f t="shared" si="4"/>
        <v/>
      </c>
      <c r="AG18" s="52" t="str">
        <f t="shared" si="4"/>
        <v/>
      </c>
      <c r="AH18" s="3">
        <f t="shared" si="5"/>
        <v>107.4</v>
      </c>
      <c r="AI18" s="3" t="e">
        <f t="shared" si="6"/>
        <v>#DIV/0!</v>
      </c>
      <c r="AJ18" s="53" t="e">
        <f t="shared" si="7"/>
        <v>#DIV/0!</v>
      </c>
    </row>
    <row r="19" spans="1:36">
      <c r="A19" s="72" t="str">
        <f>Calculations!C5</f>
        <v>Enable</v>
      </c>
      <c r="B19" s="72"/>
      <c r="C19" s="72"/>
      <c r="D19" s="2">
        <f>Calculations!J4</f>
        <v>1</v>
      </c>
      <c r="E19" s="2">
        <f>Calculations!K4</f>
        <v>1</v>
      </c>
      <c r="F19" s="2">
        <f>Calculations!L4</f>
        <v>0</v>
      </c>
      <c r="G19" s="2">
        <f>Calculations!M4</f>
        <v>1</v>
      </c>
      <c r="H19" s="2">
        <f>Calculations!N4</f>
        <v>1</v>
      </c>
      <c r="I19" s="2">
        <f>Calculations!O4</f>
        <v>1</v>
      </c>
      <c r="J19" s="2">
        <f>Calculations!P4</f>
        <v>1</v>
      </c>
      <c r="K19" s="2">
        <f>Calculations!Q4</f>
        <v>1</v>
      </c>
      <c r="L19" s="2">
        <f>Calculations!R4</f>
        <v>1</v>
      </c>
      <c r="M19" s="2">
        <f>Calculations!S4</f>
        <v>1</v>
      </c>
      <c r="N19" s="2">
        <f>Calculations!T4</f>
        <v>1</v>
      </c>
      <c r="O19" s="2">
        <f>Calculations!U4</f>
        <v>1</v>
      </c>
      <c r="P19" s="2">
        <f>Calculations!V4</f>
        <v>1</v>
      </c>
      <c r="Q19" s="2">
        <f>Calculations!W4</f>
        <v>1</v>
      </c>
      <c r="R19" s="2">
        <f>Calculations!X4</f>
        <v>1</v>
      </c>
      <c r="S19" s="2">
        <f>Calculations!Y4</f>
        <v>1</v>
      </c>
      <c r="T19" s="2">
        <f>Calculations!Z4</f>
        <v>1</v>
      </c>
      <c r="U19" s="2">
        <f>Calculations!AA4</f>
        <v>1</v>
      </c>
      <c r="V19" s="2">
        <f>Calculations!AB4</f>
        <v>1</v>
      </c>
      <c r="W19" s="2">
        <f>Calculations!AC4</f>
        <v>1</v>
      </c>
      <c r="X19" s="2">
        <f>Calculations!AD4</f>
        <v>1</v>
      </c>
      <c r="Y19" s="2">
        <f>Calculations!AE4</f>
        <v>1</v>
      </c>
      <c r="Z19" s="2">
        <f>Calculations!AF4</f>
        <v>1</v>
      </c>
      <c r="AA19" s="2">
        <f>Calculations!AG4</f>
        <v>1</v>
      </c>
      <c r="AB19" s="2">
        <f>Calculations!AH4</f>
        <v>1</v>
      </c>
      <c r="AC19" s="2">
        <f>Calculations!AI4</f>
        <v>1</v>
      </c>
      <c r="AD19" s="2">
        <f>Calculations!AJ4</f>
        <v>1</v>
      </c>
      <c r="AE19" s="2">
        <f>Calculations!AK4</f>
        <v>1</v>
      </c>
      <c r="AF19" s="2">
        <f>Calculations!AL4</f>
        <v>1</v>
      </c>
      <c r="AG19" s="2">
        <f>Calculations!AM4</f>
        <v>1</v>
      </c>
      <c r="AH19" s="2">
        <f>Calculations!AN4</f>
        <v>1</v>
      </c>
      <c r="AI19" s="2">
        <f>Calculations!AO4</f>
        <v>1</v>
      </c>
    </row>
    <row r="20" spans="1:36">
      <c r="A20" s="2" t="s">
        <v>17</v>
      </c>
      <c r="B20" s="2" t="s">
        <v>22</v>
      </c>
      <c r="C20" s="2" t="str">
        <f>AH10</f>
        <v>AVERAGE</v>
      </c>
      <c r="D20" s="2">
        <f>B1</f>
        <v>0</v>
      </c>
      <c r="E20" s="2">
        <f t="shared" ref="E20:AI20" si="8">C1</f>
        <v>1</v>
      </c>
      <c r="F20" s="2">
        <f t="shared" si="8"/>
        <v>2</v>
      </c>
      <c r="G20" s="2">
        <f t="shared" si="8"/>
        <v>3</v>
      </c>
      <c r="H20" s="2">
        <f t="shared" si="8"/>
        <v>4</v>
      </c>
      <c r="I20" s="2">
        <f t="shared" si="8"/>
        <v>5</v>
      </c>
      <c r="J20" s="2">
        <f t="shared" si="8"/>
        <v>6</v>
      </c>
      <c r="K20" s="2">
        <f t="shared" si="8"/>
        <v>7</v>
      </c>
      <c r="L20" s="2">
        <f t="shared" si="8"/>
        <v>8</v>
      </c>
      <c r="M20" s="2">
        <f t="shared" si="8"/>
        <v>9</v>
      </c>
      <c r="N20" s="2">
        <f t="shared" si="8"/>
        <v>10</v>
      </c>
      <c r="O20" s="2">
        <f t="shared" si="8"/>
        <v>11</v>
      </c>
      <c r="P20" s="2">
        <f t="shared" si="8"/>
        <v>12</v>
      </c>
      <c r="Q20" s="2">
        <f t="shared" si="8"/>
        <v>13</v>
      </c>
      <c r="R20" s="2">
        <f t="shared" si="8"/>
        <v>14</v>
      </c>
      <c r="S20" s="2">
        <f t="shared" si="8"/>
        <v>15</v>
      </c>
      <c r="T20" s="2">
        <f t="shared" si="8"/>
        <v>16</v>
      </c>
      <c r="U20" s="2">
        <f t="shared" si="8"/>
        <v>17</v>
      </c>
      <c r="V20" s="2">
        <f t="shared" si="8"/>
        <v>18</v>
      </c>
      <c r="W20" s="2">
        <f t="shared" si="8"/>
        <v>19</v>
      </c>
      <c r="X20" s="2">
        <f t="shared" si="8"/>
        <v>20</v>
      </c>
      <c r="Y20" s="2">
        <f t="shared" si="8"/>
        <v>21</v>
      </c>
      <c r="Z20" s="2">
        <f t="shared" si="8"/>
        <v>22</v>
      </c>
      <c r="AA20" s="2">
        <f t="shared" si="8"/>
        <v>23</v>
      </c>
      <c r="AB20" s="2">
        <f t="shared" si="8"/>
        <v>24</v>
      </c>
      <c r="AC20" s="2">
        <f t="shared" si="8"/>
        <v>25</v>
      </c>
      <c r="AD20" s="2">
        <f t="shared" si="8"/>
        <v>26</v>
      </c>
      <c r="AE20" s="2">
        <f t="shared" si="8"/>
        <v>27</v>
      </c>
      <c r="AF20" s="2">
        <f t="shared" si="8"/>
        <v>28</v>
      </c>
      <c r="AG20" s="2">
        <f t="shared" si="8"/>
        <v>29</v>
      </c>
      <c r="AH20" s="2">
        <f t="shared" si="8"/>
        <v>30</v>
      </c>
      <c r="AI20" s="2">
        <f t="shared" si="8"/>
        <v>31</v>
      </c>
    </row>
    <row r="21" spans="1:36">
      <c r="A21" s="2">
        <v>0</v>
      </c>
      <c r="B21" s="2">
        <v>0</v>
      </c>
      <c r="C21" s="2">
        <f>AH11*Summary!$F$5</f>
        <v>26.276679841897231</v>
      </c>
      <c r="D21" s="6">
        <f>IF(AND(B11&lt;&gt;"",D$19=1),B11*Summary!$F$5,$C21)</f>
        <v>26.276679841897231</v>
      </c>
      <c r="E21" s="6">
        <f>IF(AND(C11&lt;&gt;"",E$19=1),C11*Summary!$F$5,$C21)</f>
        <v>26.276679841897231</v>
      </c>
      <c r="F21" s="6">
        <f>IF(AND(D11&lt;&gt;"",F$19=1),D11*Summary!$F$5,$C21)</f>
        <v>26.276679841897231</v>
      </c>
      <c r="G21" s="6">
        <f>IF(AND(E11&lt;&gt;"",G$19=1),E11*Summary!$F$5,$C21)</f>
        <v>26.276679841897231</v>
      </c>
      <c r="H21" s="6">
        <f>IF(AND(F11&lt;&gt;"",H$19=1),F11*Summary!$F$5,$C21)</f>
        <v>26.276679841897231</v>
      </c>
      <c r="I21" s="6">
        <f>IF(AND(G11&lt;&gt;"",I$19=1),G11*Summary!$F$5,$C21)</f>
        <v>26.276679841897231</v>
      </c>
      <c r="J21" s="6">
        <f>IF(AND(H11&lt;&gt;"",J$19=1),H11*Summary!$F$5,$C21)</f>
        <v>26.276679841897231</v>
      </c>
      <c r="K21" s="6">
        <f>IF(AND(I11&lt;&gt;"",K$19=1),I11*Summary!$F$5,$C21)</f>
        <v>26.276679841897231</v>
      </c>
      <c r="L21" s="6">
        <f>IF(AND(J11&lt;&gt;"",L$19=1),J11*Summary!$F$5,$C21)</f>
        <v>26.276679841897231</v>
      </c>
      <c r="M21" s="6">
        <f>IF(AND(K11&lt;&gt;"",M$19=1),K11*Summary!$F$5,$C21)</f>
        <v>26.276679841897231</v>
      </c>
      <c r="N21" s="6">
        <f>IF(AND(L11&lt;&gt;"",N$19=1),L11*Summary!$F$5,$C21)</f>
        <v>26.276679841897231</v>
      </c>
      <c r="O21" s="6">
        <f>IF(AND(M11&lt;&gt;"",O$19=1),M11*Summary!$F$5,$C21)</f>
        <v>26.276679841897231</v>
      </c>
      <c r="P21" s="6">
        <f>IF(AND(N11&lt;&gt;"",P$19=1),N11*Summary!$F$5,$C21)</f>
        <v>26.276679841897231</v>
      </c>
      <c r="Q21" s="6">
        <f>IF(AND(O11&lt;&gt;"",Q$19=1),O11*Summary!$F$5,$C21)</f>
        <v>26.276679841897231</v>
      </c>
      <c r="R21" s="6">
        <f>IF(AND(P11&lt;&gt;"",R$19=1),P11*Summary!$F$5,$C21)</f>
        <v>26.276679841897231</v>
      </c>
      <c r="S21" s="6">
        <f>IF(AND(Q11&lt;&gt;"",S$19=1),Q11*Summary!$F$5,$C21)</f>
        <v>26.276679841897231</v>
      </c>
      <c r="T21" s="6">
        <f>IF(AND(R11&lt;&gt;"",T$19=1),R11*Summary!$F$5,$C21)</f>
        <v>26.276679841897231</v>
      </c>
      <c r="U21" s="6">
        <f>IF(AND(S11&lt;&gt;"",U$19=1),S11*Summary!$F$5,$C21)</f>
        <v>26.276679841897231</v>
      </c>
      <c r="V21" s="6">
        <f>IF(AND(T11&lt;&gt;"",V$19=1),T11*Summary!$F$5,$C21)</f>
        <v>26.276679841897231</v>
      </c>
      <c r="W21" s="6">
        <f>IF(AND(U11&lt;&gt;"",W$19=1),U11*Summary!$F$5,$C21)</f>
        <v>26.276679841897231</v>
      </c>
      <c r="X21" s="6">
        <f>IF(AND(V11&lt;&gt;"",X$19=1),V11*Summary!$F$5,$C21)</f>
        <v>26.276679841897231</v>
      </c>
      <c r="Y21" s="6">
        <f>IF(AND(W11&lt;&gt;"",Y$19=1),W11*Summary!$F$5,$C21)</f>
        <v>26.276679841897231</v>
      </c>
      <c r="Z21" s="6">
        <f>IF(AND(X11&lt;&gt;"",Z$19=1),X11*Summary!$F$5,$C21)</f>
        <v>26.276679841897231</v>
      </c>
      <c r="AA21" s="6">
        <f>IF(AND(Y11&lt;&gt;"",AA$19=1),Y11*Summary!$F$5,$C21)</f>
        <v>26.276679841897231</v>
      </c>
      <c r="AB21" s="6">
        <f>IF(AND(Z11&lt;&gt;"",AB$19=1),Z11*Summary!$F$5,$C21)</f>
        <v>26.276679841897231</v>
      </c>
      <c r="AC21" s="6">
        <f>IF(AND(AA11&lt;&gt;"",AC$19=1),AA11*Summary!$F$5,$C21)</f>
        <v>26.276679841897231</v>
      </c>
      <c r="AD21" s="6">
        <f>IF(AND(AB11&lt;&gt;"",AD$19=1),AB11*Summary!$F$5,$C21)</f>
        <v>26.276679841897231</v>
      </c>
      <c r="AE21" s="6">
        <f>IF(AND(AC11&lt;&gt;"",AE$19=1),AC11*Summary!$F$5,$C21)</f>
        <v>26.276679841897231</v>
      </c>
      <c r="AF21" s="6">
        <f>IF(AND(AD11&lt;&gt;"",AF$19=1),AD11*Summary!$F$5,$C21)</f>
        <v>26.276679841897231</v>
      </c>
      <c r="AG21" s="6">
        <f>IF(AND(AE11&lt;&gt;"",AG$19=1),AE11*Summary!$F$5,$C21)</f>
        <v>26.276679841897231</v>
      </c>
      <c r="AH21" s="6">
        <f>IF(AND(AF11&lt;&gt;"",AH$19=1),AF11*Summary!$F$5,$C21)</f>
        <v>26.276679841897231</v>
      </c>
      <c r="AI21" s="6">
        <f>IF(AND(AG11&lt;&gt;"",AI$19=1),AG11*Summary!$F$5,$C21)</f>
        <v>26.276679841897231</v>
      </c>
    </row>
    <row r="22" spans="1:36">
      <c r="A22" s="2">
        <v>0</v>
      </c>
      <c r="B22" s="2">
        <v>1</v>
      </c>
      <c r="C22" s="51">
        <f>AH12*Summary!$F$5</f>
        <v>23.691699604743082</v>
      </c>
      <c r="D22" s="6">
        <f>IF(AND(B12&lt;&gt;"",D$19=1),B12*Summary!$F$5,$C22)</f>
        <v>23.691699604743082</v>
      </c>
      <c r="E22" s="6">
        <f>IF(AND(C12&lt;&gt;"",E$19=1),C12*Summary!$F$5,$C22)</f>
        <v>23.691699604743082</v>
      </c>
      <c r="F22" s="6">
        <f>IF(AND(D12&lt;&gt;"",F$19=1),D12*Summary!$F$5,$C22)</f>
        <v>23.691699604743082</v>
      </c>
      <c r="G22" s="6">
        <f>IF(AND(E12&lt;&gt;"",G$19=1),E12*Summary!$F$5,$C22)</f>
        <v>23.691699604743082</v>
      </c>
      <c r="H22" s="6">
        <f>IF(AND(F12&lt;&gt;"",H$19=1),F12*Summary!$F$5,$C22)</f>
        <v>23.691699604743082</v>
      </c>
      <c r="I22" s="6">
        <f>IF(AND(G12&lt;&gt;"",I$19=1),G12*Summary!$F$5,$C22)</f>
        <v>23.691699604743082</v>
      </c>
      <c r="J22" s="6">
        <f>IF(AND(H12&lt;&gt;"",J$19=1),H12*Summary!$F$5,$C22)</f>
        <v>23.691699604743082</v>
      </c>
      <c r="K22" s="6">
        <f>IF(AND(I12&lt;&gt;"",K$19=1),I12*Summary!$F$5,$C22)</f>
        <v>23.691699604743082</v>
      </c>
      <c r="L22" s="6">
        <f>IF(AND(J12&lt;&gt;"",L$19=1),J12*Summary!$F$5,$C22)</f>
        <v>23.691699604743082</v>
      </c>
      <c r="M22" s="6">
        <f>IF(AND(K12&lt;&gt;"",M$19=1),K12*Summary!$F$5,$C22)</f>
        <v>23.691699604743082</v>
      </c>
      <c r="N22" s="6">
        <f>IF(AND(L12&lt;&gt;"",N$19=1),L12*Summary!$F$5,$C22)</f>
        <v>23.691699604743082</v>
      </c>
      <c r="O22" s="6">
        <f>IF(AND(M12&lt;&gt;"",O$19=1),M12*Summary!$F$5,$C22)</f>
        <v>23.691699604743082</v>
      </c>
      <c r="P22" s="6">
        <f>IF(AND(N12&lt;&gt;"",P$19=1),N12*Summary!$F$5,$C22)</f>
        <v>23.691699604743082</v>
      </c>
      <c r="Q22" s="6">
        <f>IF(AND(O12&lt;&gt;"",Q$19=1),O12*Summary!$F$5,$C22)</f>
        <v>23.691699604743082</v>
      </c>
      <c r="R22" s="6">
        <f>IF(AND(P12&lt;&gt;"",R$19=1),P12*Summary!$F$5,$C22)</f>
        <v>23.691699604743082</v>
      </c>
      <c r="S22" s="6">
        <f>IF(AND(Q12&lt;&gt;"",S$19=1),Q12*Summary!$F$5,$C22)</f>
        <v>23.691699604743082</v>
      </c>
      <c r="T22" s="6">
        <f>IF(AND(R12&lt;&gt;"",T$19=1),R12*Summary!$F$5,$C22)</f>
        <v>23.691699604743082</v>
      </c>
      <c r="U22" s="6">
        <f>IF(AND(S12&lt;&gt;"",U$19=1),S12*Summary!$F$5,$C22)</f>
        <v>23.691699604743082</v>
      </c>
      <c r="V22" s="6">
        <f>IF(AND(T12&lt;&gt;"",V$19=1),T12*Summary!$F$5,$C22)</f>
        <v>23.691699604743082</v>
      </c>
      <c r="W22" s="6">
        <f>IF(AND(U12&lt;&gt;"",W$19=1),U12*Summary!$F$5,$C22)</f>
        <v>23.691699604743082</v>
      </c>
      <c r="X22" s="6">
        <f>IF(AND(V12&lt;&gt;"",X$19=1),V12*Summary!$F$5,$C22)</f>
        <v>23.691699604743082</v>
      </c>
      <c r="Y22" s="6">
        <f>IF(AND(W12&lt;&gt;"",Y$19=1),W12*Summary!$F$5,$C22)</f>
        <v>23.691699604743082</v>
      </c>
      <c r="Z22" s="6">
        <f>IF(AND(X12&lt;&gt;"",Z$19=1),X12*Summary!$F$5,$C22)</f>
        <v>23.691699604743082</v>
      </c>
      <c r="AA22" s="6">
        <f>IF(AND(Y12&lt;&gt;"",AA$19=1),Y12*Summary!$F$5,$C22)</f>
        <v>23.691699604743082</v>
      </c>
      <c r="AB22" s="6">
        <f>IF(AND(Z12&lt;&gt;"",AB$19=1),Z12*Summary!$F$5,$C22)</f>
        <v>23.691699604743082</v>
      </c>
      <c r="AC22" s="6">
        <f>IF(AND(AA12&lt;&gt;"",AC$19=1),AA12*Summary!$F$5,$C22)</f>
        <v>23.691699604743082</v>
      </c>
      <c r="AD22" s="6">
        <f>IF(AND(AB12&lt;&gt;"",AD$19=1),AB12*Summary!$F$5,$C22)</f>
        <v>23.691699604743082</v>
      </c>
      <c r="AE22" s="6">
        <f>IF(AND(AC12&lt;&gt;"",AE$19=1),AC12*Summary!$F$5,$C22)</f>
        <v>23.691699604743082</v>
      </c>
      <c r="AF22" s="6">
        <f>IF(AND(AD12&lt;&gt;"",AF$19=1),AD12*Summary!$F$5,$C22)</f>
        <v>23.691699604743082</v>
      </c>
      <c r="AG22" s="6">
        <f>IF(AND(AE12&lt;&gt;"",AG$19=1),AE12*Summary!$F$5,$C22)</f>
        <v>23.691699604743082</v>
      </c>
      <c r="AH22" s="6">
        <f>IF(AND(AF12&lt;&gt;"",AH$19=1),AF12*Summary!$F$5,$C22)</f>
        <v>23.691699604743082</v>
      </c>
      <c r="AI22" s="6">
        <f>IF(AND(AG12&lt;&gt;"",AI$19=1),AG12*Summary!$F$5,$C22)</f>
        <v>23.691699604743082</v>
      </c>
    </row>
    <row r="23" spans="1:36">
      <c r="A23" s="2">
        <f>A21+1</f>
        <v>1</v>
      </c>
      <c r="B23" s="2">
        <f>B21</f>
        <v>0</v>
      </c>
      <c r="C23" s="51">
        <f>AH13*Summary!$F$5</f>
        <v>25.399209486166004</v>
      </c>
      <c r="D23" s="6">
        <f>IF(AND(B13&lt;&gt;"",D$19=1),B13*Summary!$F$5,$C23)</f>
        <v>25.399209486166004</v>
      </c>
      <c r="E23" s="6">
        <f>IF(AND(C13&lt;&gt;"",E$19=1),C13*Summary!$F$5,$C23)</f>
        <v>25.399209486166004</v>
      </c>
      <c r="F23" s="6">
        <f>IF(AND(D13&lt;&gt;"",F$19=1),D13*Summary!$F$5,$C23)</f>
        <v>25.399209486166004</v>
      </c>
      <c r="G23" s="6">
        <f>IF(AND(E13&lt;&gt;"",G$19=1),E13*Summary!$F$5,$C23)</f>
        <v>25.399209486166004</v>
      </c>
      <c r="H23" s="6">
        <f>IF(AND(F13&lt;&gt;"",H$19=1),F13*Summary!$F$5,$C23)</f>
        <v>25.399209486166004</v>
      </c>
      <c r="I23" s="6">
        <f>IF(AND(G13&lt;&gt;"",I$19=1),G13*Summary!$F$5,$C23)</f>
        <v>25.399209486166004</v>
      </c>
      <c r="J23" s="6">
        <f>IF(AND(H13&lt;&gt;"",J$19=1),H13*Summary!$F$5,$C23)</f>
        <v>25.399209486166004</v>
      </c>
      <c r="K23" s="6">
        <f>IF(AND(I13&lt;&gt;"",K$19=1),I13*Summary!$F$5,$C23)</f>
        <v>25.399209486166004</v>
      </c>
      <c r="L23" s="6">
        <f>IF(AND(J13&lt;&gt;"",L$19=1),J13*Summary!$F$5,$C23)</f>
        <v>25.399209486166004</v>
      </c>
      <c r="M23" s="6">
        <f>IF(AND(K13&lt;&gt;"",M$19=1),K13*Summary!$F$5,$C23)</f>
        <v>25.399209486166004</v>
      </c>
      <c r="N23" s="6">
        <f>IF(AND(L13&lt;&gt;"",N$19=1),L13*Summary!$F$5,$C23)</f>
        <v>25.399209486166004</v>
      </c>
      <c r="O23" s="6">
        <f>IF(AND(M13&lt;&gt;"",O$19=1),M13*Summary!$F$5,$C23)</f>
        <v>25.399209486166004</v>
      </c>
      <c r="P23" s="6">
        <f>IF(AND(N13&lt;&gt;"",P$19=1),N13*Summary!$F$5,$C23)</f>
        <v>25.399209486166004</v>
      </c>
      <c r="Q23" s="6">
        <f>IF(AND(O13&lt;&gt;"",Q$19=1),O13*Summary!$F$5,$C23)</f>
        <v>25.399209486166004</v>
      </c>
      <c r="R23" s="6">
        <f>IF(AND(P13&lt;&gt;"",R$19=1),P13*Summary!$F$5,$C23)</f>
        <v>25.399209486166004</v>
      </c>
      <c r="S23" s="6">
        <f>IF(AND(Q13&lt;&gt;"",S$19=1),Q13*Summary!$F$5,$C23)</f>
        <v>25.399209486166004</v>
      </c>
      <c r="T23" s="6">
        <f>IF(AND(R13&lt;&gt;"",T$19=1),R13*Summary!$F$5,$C23)</f>
        <v>25.399209486166004</v>
      </c>
      <c r="U23" s="6">
        <f>IF(AND(S13&lt;&gt;"",U$19=1),S13*Summary!$F$5,$C23)</f>
        <v>25.399209486166004</v>
      </c>
      <c r="V23" s="6">
        <f>IF(AND(T13&lt;&gt;"",V$19=1),T13*Summary!$F$5,$C23)</f>
        <v>25.399209486166004</v>
      </c>
      <c r="W23" s="6">
        <f>IF(AND(U13&lt;&gt;"",W$19=1),U13*Summary!$F$5,$C23)</f>
        <v>25.399209486166004</v>
      </c>
      <c r="X23" s="6">
        <f>IF(AND(V13&lt;&gt;"",X$19=1),V13*Summary!$F$5,$C23)</f>
        <v>25.399209486166004</v>
      </c>
      <c r="Y23" s="6">
        <f>IF(AND(W13&lt;&gt;"",Y$19=1),W13*Summary!$F$5,$C23)</f>
        <v>25.399209486166004</v>
      </c>
      <c r="Z23" s="6">
        <f>IF(AND(X13&lt;&gt;"",Z$19=1),X13*Summary!$F$5,$C23)</f>
        <v>25.399209486166004</v>
      </c>
      <c r="AA23" s="6">
        <f>IF(AND(Y13&lt;&gt;"",AA$19=1),Y13*Summary!$F$5,$C23)</f>
        <v>25.399209486166004</v>
      </c>
      <c r="AB23" s="6">
        <f>IF(AND(Z13&lt;&gt;"",AB$19=1),Z13*Summary!$F$5,$C23)</f>
        <v>25.399209486166004</v>
      </c>
      <c r="AC23" s="6">
        <f>IF(AND(AA13&lt;&gt;"",AC$19=1),AA13*Summary!$F$5,$C23)</f>
        <v>25.399209486166004</v>
      </c>
      <c r="AD23" s="6">
        <f>IF(AND(AB13&lt;&gt;"",AD$19=1),AB13*Summary!$F$5,$C23)</f>
        <v>25.399209486166004</v>
      </c>
      <c r="AE23" s="6">
        <f>IF(AND(AC13&lt;&gt;"",AE$19=1),AC13*Summary!$F$5,$C23)</f>
        <v>25.399209486166004</v>
      </c>
      <c r="AF23" s="6">
        <f>IF(AND(AD13&lt;&gt;"",AF$19=1),AD13*Summary!$F$5,$C23)</f>
        <v>25.399209486166004</v>
      </c>
      <c r="AG23" s="6">
        <f>IF(AND(AE13&lt;&gt;"",AG$19=1),AE13*Summary!$F$5,$C23)</f>
        <v>25.399209486166004</v>
      </c>
      <c r="AH23" s="6">
        <f>IF(AND(AF13&lt;&gt;"",AH$19=1),AF13*Summary!$F$5,$C23)</f>
        <v>25.399209486166004</v>
      </c>
      <c r="AI23" s="6">
        <f>IF(AND(AG13&lt;&gt;"",AI$19=1),AG13*Summary!$F$5,$C23)</f>
        <v>25.399209486166004</v>
      </c>
    </row>
    <row r="24" spans="1:36">
      <c r="A24" s="2">
        <f t="shared" ref="A24:A28" si="9">A22+1</f>
        <v>1</v>
      </c>
      <c r="B24" s="2">
        <f t="shared" ref="B24:B28" si="10">B22</f>
        <v>1</v>
      </c>
      <c r="C24" s="51">
        <f>AH14*Summary!$F$5</f>
        <v>22.885375494071145</v>
      </c>
      <c r="D24" s="6">
        <f>IF(AND(B14&lt;&gt;"",D$19=1),B14*Summary!$F$5,$C24)</f>
        <v>22.885375494071145</v>
      </c>
      <c r="E24" s="6">
        <f>IF(AND(C14&lt;&gt;"",E$19=1),C14*Summary!$F$5,$C24)</f>
        <v>22.885375494071145</v>
      </c>
      <c r="F24" s="6">
        <f>IF(AND(D14&lt;&gt;"",F$19=1),D14*Summary!$F$5,$C24)</f>
        <v>22.885375494071145</v>
      </c>
      <c r="G24" s="6">
        <f>IF(AND(E14&lt;&gt;"",G$19=1),E14*Summary!$F$5,$C24)</f>
        <v>22.885375494071145</v>
      </c>
      <c r="H24" s="6">
        <f>IF(AND(F14&lt;&gt;"",H$19=1),F14*Summary!$F$5,$C24)</f>
        <v>22.885375494071145</v>
      </c>
      <c r="I24" s="6">
        <f>IF(AND(G14&lt;&gt;"",I$19=1),G14*Summary!$F$5,$C24)</f>
        <v>22.885375494071145</v>
      </c>
      <c r="J24" s="6">
        <f>IF(AND(H14&lt;&gt;"",J$19=1),H14*Summary!$F$5,$C24)</f>
        <v>22.885375494071145</v>
      </c>
      <c r="K24" s="6">
        <f>IF(AND(I14&lt;&gt;"",K$19=1),I14*Summary!$F$5,$C24)</f>
        <v>22.885375494071145</v>
      </c>
      <c r="L24" s="6">
        <f>IF(AND(J14&lt;&gt;"",L$19=1),J14*Summary!$F$5,$C24)</f>
        <v>22.885375494071145</v>
      </c>
      <c r="M24" s="6">
        <f>IF(AND(K14&lt;&gt;"",M$19=1),K14*Summary!$F$5,$C24)</f>
        <v>22.885375494071145</v>
      </c>
      <c r="N24" s="6">
        <f>IF(AND(L14&lt;&gt;"",N$19=1),L14*Summary!$F$5,$C24)</f>
        <v>22.885375494071145</v>
      </c>
      <c r="O24" s="6">
        <f>IF(AND(M14&lt;&gt;"",O$19=1),M14*Summary!$F$5,$C24)</f>
        <v>22.885375494071145</v>
      </c>
      <c r="P24" s="6">
        <f>IF(AND(N14&lt;&gt;"",P$19=1),N14*Summary!$F$5,$C24)</f>
        <v>22.885375494071145</v>
      </c>
      <c r="Q24" s="6">
        <f>IF(AND(O14&lt;&gt;"",Q$19=1),O14*Summary!$F$5,$C24)</f>
        <v>22.885375494071145</v>
      </c>
      <c r="R24" s="6">
        <f>IF(AND(P14&lt;&gt;"",R$19=1),P14*Summary!$F$5,$C24)</f>
        <v>22.885375494071145</v>
      </c>
      <c r="S24" s="6">
        <f>IF(AND(Q14&lt;&gt;"",S$19=1),Q14*Summary!$F$5,$C24)</f>
        <v>22.885375494071145</v>
      </c>
      <c r="T24" s="6">
        <f>IF(AND(R14&lt;&gt;"",T$19=1),R14*Summary!$F$5,$C24)</f>
        <v>22.885375494071145</v>
      </c>
      <c r="U24" s="6">
        <f>IF(AND(S14&lt;&gt;"",U$19=1),S14*Summary!$F$5,$C24)</f>
        <v>22.885375494071145</v>
      </c>
      <c r="V24" s="6">
        <f>IF(AND(T14&lt;&gt;"",V$19=1),T14*Summary!$F$5,$C24)</f>
        <v>22.885375494071145</v>
      </c>
      <c r="W24" s="6">
        <f>IF(AND(U14&lt;&gt;"",W$19=1),U14*Summary!$F$5,$C24)</f>
        <v>22.885375494071145</v>
      </c>
      <c r="X24" s="6">
        <f>IF(AND(V14&lt;&gt;"",X$19=1),V14*Summary!$F$5,$C24)</f>
        <v>22.885375494071145</v>
      </c>
      <c r="Y24" s="6">
        <f>IF(AND(W14&lt;&gt;"",Y$19=1),W14*Summary!$F$5,$C24)</f>
        <v>22.885375494071145</v>
      </c>
      <c r="Z24" s="6">
        <f>IF(AND(X14&lt;&gt;"",Z$19=1),X14*Summary!$F$5,$C24)</f>
        <v>22.885375494071145</v>
      </c>
      <c r="AA24" s="6">
        <f>IF(AND(Y14&lt;&gt;"",AA$19=1),Y14*Summary!$F$5,$C24)</f>
        <v>22.885375494071145</v>
      </c>
      <c r="AB24" s="6">
        <f>IF(AND(Z14&lt;&gt;"",AB$19=1),Z14*Summary!$F$5,$C24)</f>
        <v>22.885375494071145</v>
      </c>
      <c r="AC24" s="6">
        <f>IF(AND(AA14&lt;&gt;"",AC$19=1),AA14*Summary!$F$5,$C24)</f>
        <v>22.885375494071145</v>
      </c>
      <c r="AD24" s="6">
        <f>IF(AND(AB14&lt;&gt;"",AD$19=1),AB14*Summary!$F$5,$C24)</f>
        <v>22.885375494071145</v>
      </c>
      <c r="AE24" s="6">
        <f>IF(AND(AC14&lt;&gt;"",AE$19=1),AC14*Summary!$F$5,$C24)</f>
        <v>22.885375494071145</v>
      </c>
      <c r="AF24" s="6">
        <f>IF(AND(AD14&lt;&gt;"",AF$19=1),AD14*Summary!$F$5,$C24)</f>
        <v>22.885375494071145</v>
      </c>
      <c r="AG24" s="6">
        <f>IF(AND(AE14&lt;&gt;"",AG$19=1),AE14*Summary!$F$5,$C24)</f>
        <v>22.885375494071145</v>
      </c>
      <c r="AH24" s="6">
        <f>IF(AND(AF14&lt;&gt;"",AH$19=1),AF14*Summary!$F$5,$C24)</f>
        <v>22.885375494071145</v>
      </c>
      <c r="AI24" s="6">
        <f>IF(AND(AG14&lt;&gt;"",AI$19=1),AG14*Summary!$F$5,$C24)</f>
        <v>22.885375494071145</v>
      </c>
    </row>
    <row r="25" spans="1:36">
      <c r="A25" s="2">
        <f t="shared" si="9"/>
        <v>2</v>
      </c>
      <c r="B25" s="2">
        <f t="shared" si="10"/>
        <v>0</v>
      </c>
      <c r="C25" s="51">
        <f>AH15*Summary!$F$5</f>
        <v>27.415019762845848</v>
      </c>
      <c r="D25" s="6">
        <f>IF(AND(B15&lt;&gt;"",D$19=1),B15*Summary!$F$5,$C25)</f>
        <v>27.415019762845848</v>
      </c>
      <c r="E25" s="6">
        <f>IF(AND(C15&lt;&gt;"",E$19=1),C15*Summary!$F$5,$C25)</f>
        <v>27.415019762845848</v>
      </c>
      <c r="F25" s="6">
        <f>IF(AND(D15&lt;&gt;"",F$19=1),D15*Summary!$F$5,$C25)</f>
        <v>27.415019762845848</v>
      </c>
      <c r="G25" s="6">
        <f>IF(AND(E15&lt;&gt;"",G$19=1),E15*Summary!$F$5,$C25)</f>
        <v>27.415019762845848</v>
      </c>
      <c r="H25" s="6">
        <f>IF(AND(F15&lt;&gt;"",H$19=1),F15*Summary!$F$5,$C25)</f>
        <v>27.415019762845848</v>
      </c>
      <c r="I25" s="6">
        <f>IF(AND(G15&lt;&gt;"",I$19=1),G15*Summary!$F$5,$C25)</f>
        <v>27.415019762845848</v>
      </c>
      <c r="J25" s="6">
        <f>IF(AND(H15&lt;&gt;"",J$19=1),H15*Summary!$F$5,$C25)</f>
        <v>27.415019762845848</v>
      </c>
      <c r="K25" s="6">
        <f>IF(AND(I15&lt;&gt;"",K$19=1),I15*Summary!$F$5,$C25)</f>
        <v>27.415019762845848</v>
      </c>
      <c r="L25" s="6">
        <f>IF(AND(J15&lt;&gt;"",L$19=1),J15*Summary!$F$5,$C25)</f>
        <v>27.415019762845848</v>
      </c>
      <c r="M25" s="6">
        <f>IF(AND(K15&lt;&gt;"",M$19=1),K15*Summary!$F$5,$C25)</f>
        <v>27.415019762845848</v>
      </c>
      <c r="N25" s="6">
        <f>IF(AND(L15&lt;&gt;"",N$19=1),L15*Summary!$F$5,$C25)</f>
        <v>27.415019762845848</v>
      </c>
      <c r="O25" s="6">
        <f>IF(AND(M15&lt;&gt;"",O$19=1),M15*Summary!$F$5,$C25)</f>
        <v>27.415019762845848</v>
      </c>
      <c r="P25" s="6">
        <f>IF(AND(N15&lt;&gt;"",P$19=1),N15*Summary!$F$5,$C25)</f>
        <v>27.415019762845848</v>
      </c>
      <c r="Q25" s="6">
        <f>IF(AND(O15&lt;&gt;"",Q$19=1),O15*Summary!$F$5,$C25)</f>
        <v>27.415019762845848</v>
      </c>
      <c r="R25" s="6">
        <f>IF(AND(P15&lt;&gt;"",R$19=1),P15*Summary!$F$5,$C25)</f>
        <v>27.415019762845848</v>
      </c>
      <c r="S25" s="6">
        <f>IF(AND(Q15&lt;&gt;"",S$19=1),Q15*Summary!$F$5,$C25)</f>
        <v>27.415019762845848</v>
      </c>
      <c r="T25" s="6">
        <f>IF(AND(R15&lt;&gt;"",T$19=1),R15*Summary!$F$5,$C25)</f>
        <v>27.415019762845848</v>
      </c>
      <c r="U25" s="6">
        <f>IF(AND(S15&lt;&gt;"",U$19=1),S15*Summary!$F$5,$C25)</f>
        <v>27.415019762845848</v>
      </c>
      <c r="V25" s="6">
        <f>IF(AND(T15&lt;&gt;"",V$19=1),T15*Summary!$F$5,$C25)</f>
        <v>27.415019762845848</v>
      </c>
      <c r="W25" s="6">
        <f>IF(AND(U15&lt;&gt;"",W$19=1),U15*Summary!$F$5,$C25)</f>
        <v>27.415019762845848</v>
      </c>
      <c r="X25" s="6">
        <f>IF(AND(V15&lt;&gt;"",X$19=1),V15*Summary!$F$5,$C25)</f>
        <v>27.415019762845848</v>
      </c>
      <c r="Y25" s="6">
        <f>IF(AND(W15&lt;&gt;"",Y$19=1),W15*Summary!$F$5,$C25)</f>
        <v>27.415019762845848</v>
      </c>
      <c r="Z25" s="6">
        <f>IF(AND(X15&lt;&gt;"",Z$19=1),X15*Summary!$F$5,$C25)</f>
        <v>27.415019762845848</v>
      </c>
      <c r="AA25" s="6">
        <f>IF(AND(Y15&lt;&gt;"",AA$19=1),Y15*Summary!$F$5,$C25)</f>
        <v>27.415019762845848</v>
      </c>
      <c r="AB25" s="6">
        <f>IF(AND(Z15&lt;&gt;"",AB$19=1),Z15*Summary!$F$5,$C25)</f>
        <v>27.415019762845848</v>
      </c>
      <c r="AC25" s="6">
        <f>IF(AND(AA15&lt;&gt;"",AC$19=1),AA15*Summary!$F$5,$C25)</f>
        <v>27.415019762845848</v>
      </c>
      <c r="AD25" s="6">
        <f>IF(AND(AB15&lt;&gt;"",AD$19=1),AB15*Summary!$F$5,$C25)</f>
        <v>27.415019762845848</v>
      </c>
      <c r="AE25" s="6">
        <f>IF(AND(AC15&lt;&gt;"",AE$19=1),AC15*Summary!$F$5,$C25)</f>
        <v>27.415019762845848</v>
      </c>
      <c r="AF25" s="6">
        <f>IF(AND(AD15&lt;&gt;"",AF$19=1),AD15*Summary!$F$5,$C25)</f>
        <v>27.415019762845848</v>
      </c>
      <c r="AG25" s="6">
        <f>IF(AND(AE15&lt;&gt;"",AG$19=1),AE15*Summary!$F$5,$C25)</f>
        <v>27.415019762845848</v>
      </c>
      <c r="AH25" s="6">
        <f>IF(AND(AF15&lt;&gt;"",AH$19=1),AF15*Summary!$F$5,$C25)</f>
        <v>27.415019762845848</v>
      </c>
      <c r="AI25" s="6">
        <f>IF(AND(AG15&lt;&gt;"",AI$19=1),AG15*Summary!$F$5,$C25)</f>
        <v>27.415019762845848</v>
      </c>
    </row>
    <row r="26" spans="1:36">
      <c r="A26" s="2">
        <f t="shared" si="9"/>
        <v>2</v>
      </c>
      <c r="B26" s="2">
        <f t="shared" si="10"/>
        <v>1</v>
      </c>
      <c r="C26" s="51">
        <f>AH16*Summary!$F$5</f>
        <v>26.300395256916996</v>
      </c>
      <c r="D26" s="6">
        <f>IF(AND(B16&lt;&gt;"",D$19=1),B16*Summary!$F$5,$C26)</f>
        <v>26.300395256916996</v>
      </c>
      <c r="E26" s="6">
        <f>IF(AND(C16&lt;&gt;"",E$19=1),C16*Summary!$F$5,$C26)</f>
        <v>26.300395256916996</v>
      </c>
      <c r="F26" s="6">
        <f>IF(AND(D16&lt;&gt;"",F$19=1),D16*Summary!$F$5,$C26)</f>
        <v>26.300395256916996</v>
      </c>
      <c r="G26" s="6">
        <f>IF(AND(E16&lt;&gt;"",G$19=1),E16*Summary!$F$5,$C26)</f>
        <v>26.300395256916996</v>
      </c>
      <c r="H26" s="6">
        <f>IF(AND(F16&lt;&gt;"",H$19=1),F16*Summary!$F$5,$C26)</f>
        <v>26.300395256916996</v>
      </c>
      <c r="I26" s="6">
        <f>IF(AND(G16&lt;&gt;"",I$19=1),G16*Summary!$F$5,$C26)</f>
        <v>26.300395256916996</v>
      </c>
      <c r="J26" s="6">
        <f>IF(AND(H16&lt;&gt;"",J$19=1),H16*Summary!$F$5,$C26)</f>
        <v>26.300395256916996</v>
      </c>
      <c r="K26" s="6">
        <f>IF(AND(I16&lt;&gt;"",K$19=1),I16*Summary!$F$5,$C26)</f>
        <v>26.300395256916996</v>
      </c>
      <c r="L26" s="6">
        <f>IF(AND(J16&lt;&gt;"",L$19=1),J16*Summary!$F$5,$C26)</f>
        <v>26.300395256916996</v>
      </c>
      <c r="M26" s="6">
        <f>IF(AND(K16&lt;&gt;"",M$19=1),K16*Summary!$F$5,$C26)</f>
        <v>26.300395256916996</v>
      </c>
      <c r="N26" s="6">
        <f>IF(AND(L16&lt;&gt;"",N$19=1),L16*Summary!$F$5,$C26)</f>
        <v>26.300395256916996</v>
      </c>
      <c r="O26" s="6">
        <f>IF(AND(M16&lt;&gt;"",O$19=1),M16*Summary!$F$5,$C26)</f>
        <v>26.300395256916996</v>
      </c>
      <c r="P26" s="6">
        <f>IF(AND(N16&lt;&gt;"",P$19=1),N16*Summary!$F$5,$C26)</f>
        <v>26.300395256916996</v>
      </c>
      <c r="Q26" s="6">
        <f>IF(AND(O16&lt;&gt;"",Q$19=1),O16*Summary!$F$5,$C26)</f>
        <v>26.300395256916996</v>
      </c>
      <c r="R26" s="6">
        <f>IF(AND(P16&lt;&gt;"",R$19=1),P16*Summary!$F$5,$C26)</f>
        <v>26.300395256916996</v>
      </c>
      <c r="S26" s="6">
        <f>IF(AND(Q16&lt;&gt;"",S$19=1),Q16*Summary!$F$5,$C26)</f>
        <v>26.300395256916996</v>
      </c>
      <c r="T26" s="6">
        <f>IF(AND(R16&lt;&gt;"",T$19=1),R16*Summary!$F$5,$C26)</f>
        <v>26.300395256916996</v>
      </c>
      <c r="U26" s="6">
        <f>IF(AND(S16&lt;&gt;"",U$19=1),S16*Summary!$F$5,$C26)</f>
        <v>26.300395256916996</v>
      </c>
      <c r="V26" s="6">
        <f>IF(AND(T16&lt;&gt;"",V$19=1),T16*Summary!$F$5,$C26)</f>
        <v>26.300395256916996</v>
      </c>
      <c r="W26" s="6">
        <f>IF(AND(U16&lt;&gt;"",W$19=1),U16*Summary!$F$5,$C26)</f>
        <v>26.300395256916996</v>
      </c>
      <c r="X26" s="6">
        <f>IF(AND(V16&lt;&gt;"",X$19=1),V16*Summary!$F$5,$C26)</f>
        <v>26.300395256916996</v>
      </c>
      <c r="Y26" s="6">
        <f>IF(AND(W16&lt;&gt;"",Y$19=1),W16*Summary!$F$5,$C26)</f>
        <v>26.300395256916996</v>
      </c>
      <c r="Z26" s="6">
        <f>IF(AND(X16&lt;&gt;"",Z$19=1),X16*Summary!$F$5,$C26)</f>
        <v>26.300395256916996</v>
      </c>
      <c r="AA26" s="6">
        <f>IF(AND(Y16&lt;&gt;"",AA$19=1),Y16*Summary!$F$5,$C26)</f>
        <v>26.300395256916996</v>
      </c>
      <c r="AB26" s="6">
        <f>IF(AND(Z16&lt;&gt;"",AB$19=1),Z16*Summary!$F$5,$C26)</f>
        <v>26.300395256916996</v>
      </c>
      <c r="AC26" s="6">
        <f>IF(AND(AA16&lt;&gt;"",AC$19=1),AA16*Summary!$F$5,$C26)</f>
        <v>26.300395256916996</v>
      </c>
      <c r="AD26" s="6">
        <f>IF(AND(AB16&lt;&gt;"",AD$19=1),AB16*Summary!$F$5,$C26)</f>
        <v>26.300395256916996</v>
      </c>
      <c r="AE26" s="6">
        <f>IF(AND(AC16&lt;&gt;"",AE$19=1),AC16*Summary!$F$5,$C26)</f>
        <v>26.300395256916996</v>
      </c>
      <c r="AF26" s="6">
        <f>IF(AND(AD16&lt;&gt;"",AF$19=1),AD16*Summary!$F$5,$C26)</f>
        <v>26.300395256916996</v>
      </c>
      <c r="AG26" s="6">
        <f>IF(AND(AE16&lt;&gt;"",AG$19=1),AE16*Summary!$F$5,$C26)</f>
        <v>26.300395256916996</v>
      </c>
      <c r="AH26" s="6">
        <f>IF(AND(AF16&lt;&gt;"",AH$19=1),AF16*Summary!$F$5,$C26)</f>
        <v>26.300395256916996</v>
      </c>
      <c r="AI26" s="6">
        <f>IF(AND(AG16&lt;&gt;"",AI$19=1),AG16*Summary!$F$5,$C26)</f>
        <v>26.300395256916996</v>
      </c>
    </row>
    <row r="27" spans="1:36">
      <c r="A27" s="2">
        <f t="shared" si="9"/>
        <v>3</v>
      </c>
      <c r="B27" s="2">
        <f t="shared" si="10"/>
        <v>0</v>
      </c>
      <c r="C27" s="51">
        <f>AH17*Summary!$F$5</f>
        <v>26.608695652173914</v>
      </c>
      <c r="D27" s="6">
        <f>IF(AND(B17&lt;&gt;"",D$19=1),B17*Summary!$F$5,$C27)</f>
        <v>26.608695652173914</v>
      </c>
      <c r="E27" s="6">
        <f>IF(AND(C17&lt;&gt;"",E$19=1),C17*Summary!$F$5,$C27)</f>
        <v>26.608695652173914</v>
      </c>
      <c r="F27" s="6">
        <f>IF(AND(D17&lt;&gt;"",F$19=1),D17*Summary!$F$5,$C27)</f>
        <v>26.608695652173914</v>
      </c>
      <c r="G27" s="6">
        <f>IF(AND(E17&lt;&gt;"",G$19=1),E17*Summary!$F$5,$C27)</f>
        <v>26.608695652173914</v>
      </c>
      <c r="H27" s="6">
        <f>IF(AND(F17&lt;&gt;"",H$19=1),F17*Summary!$F$5,$C27)</f>
        <v>26.608695652173914</v>
      </c>
      <c r="I27" s="6">
        <f>IF(AND(G17&lt;&gt;"",I$19=1),G17*Summary!$F$5,$C27)</f>
        <v>26.608695652173914</v>
      </c>
      <c r="J27" s="6">
        <f>IF(AND(H17&lt;&gt;"",J$19=1),H17*Summary!$F$5,$C27)</f>
        <v>26.608695652173914</v>
      </c>
      <c r="K27" s="6">
        <f>IF(AND(I17&lt;&gt;"",K$19=1),I17*Summary!$F$5,$C27)</f>
        <v>26.608695652173914</v>
      </c>
      <c r="L27" s="6">
        <f>IF(AND(J17&lt;&gt;"",L$19=1),J17*Summary!$F$5,$C27)</f>
        <v>26.608695652173914</v>
      </c>
      <c r="M27" s="6">
        <f>IF(AND(K17&lt;&gt;"",M$19=1),K17*Summary!$F$5,$C27)</f>
        <v>26.608695652173914</v>
      </c>
      <c r="N27" s="6">
        <f>IF(AND(L17&lt;&gt;"",N$19=1),L17*Summary!$F$5,$C27)</f>
        <v>26.608695652173914</v>
      </c>
      <c r="O27" s="6">
        <f>IF(AND(M17&lt;&gt;"",O$19=1),M17*Summary!$F$5,$C27)</f>
        <v>26.608695652173914</v>
      </c>
      <c r="P27" s="6">
        <f>IF(AND(N17&lt;&gt;"",P$19=1),N17*Summary!$F$5,$C27)</f>
        <v>26.608695652173914</v>
      </c>
      <c r="Q27" s="6">
        <f>IF(AND(O17&lt;&gt;"",Q$19=1),O17*Summary!$F$5,$C27)</f>
        <v>26.608695652173914</v>
      </c>
      <c r="R27" s="6">
        <f>IF(AND(P17&lt;&gt;"",R$19=1),P17*Summary!$F$5,$C27)</f>
        <v>26.608695652173914</v>
      </c>
      <c r="S27" s="6">
        <f>IF(AND(Q17&lt;&gt;"",S$19=1),Q17*Summary!$F$5,$C27)</f>
        <v>26.608695652173914</v>
      </c>
      <c r="T27" s="6">
        <f>IF(AND(R17&lt;&gt;"",T$19=1),R17*Summary!$F$5,$C27)</f>
        <v>26.608695652173914</v>
      </c>
      <c r="U27" s="6">
        <f>IF(AND(S17&lt;&gt;"",U$19=1),S17*Summary!$F$5,$C27)</f>
        <v>26.608695652173914</v>
      </c>
      <c r="V27" s="6">
        <f>IF(AND(T17&lt;&gt;"",V$19=1),T17*Summary!$F$5,$C27)</f>
        <v>26.608695652173914</v>
      </c>
      <c r="W27" s="6">
        <f>IF(AND(U17&lt;&gt;"",W$19=1),U17*Summary!$F$5,$C27)</f>
        <v>26.608695652173914</v>
      </c>
      <c r="X27" s="6">
        <f>IF(AND(V17&lt;&gt;"",X$19=1),V17*Summary!$F$5,$C27)</f>
        <v>26.608695652173914</v>
      </c>
      <c r="Y27" s="6">
        <f>IF(AND(W17&lt;&gt;"",Y$19=1),W17*Summary!$F$5,$C27)</f>
        <v>26.608695652173914</v>
      </c>
      <c r="Z27" s="6">
        <f>IF(AND(X17&lt;&gt;"",Z$19=1),X17*Summary!$F$5,$C27)</f>
        <v>26.608695652173914</v>
      </c>
      <c r="AA27" s="6">
        <f>IF(AND(Y17&lt;&gt;"",AA$19=1),Y17*Summary!$F$5,$C27)</f>
        <v>26.608695652173914</v>
      </c>
      <c r="AB27" s="6">
        <f>IF(AND(Z17&lt;&gt;"",AB$19=1),Z17*Summary!$F$5,$C27)</f>
        <v>26.608695652173914</v>
      </c>
      <c r="AC27" s="6">
        <f>IF(AND(AA17&lt;&gt;"",AC$19=1),AA17*Summary!$F$5,$C27)</f>
        <v>26.608695652173914</v>
      </c>
      <c r="AD27" s="6">
        <f>IF(AND(AB17&lt;&gt;"",AD$19=1),AB17*Summary!$F$5,$C27)</f>
        <v>26.608695652173914</v>
      </c>
      <c r="AE27" s="6">
        <f>IF(AND(AC17&lt;&gt;"",AE$19=1),AC17*Summary!$F$5,$C27)</f>
        <v>26.608695652173914</v>
      </c>
      <c r="AF27" s="6">
        <f>IF(AND(AD17&lt;&gt;"",AF$19=1),AD17*Summary!$F$5,$C27)</f>
        <v>26.608695652173914</v>
      </c>
      <c r="AG27" s="6">
        <f>IF(AND(AE17&lt;&gt;"",AG$19=1),AE17*Summary!$F$5,$C27)</f>
        <v>26.608695652173914</v>
      </c>
      <c r="AH27" s="6">
        <f>IF(AND(AF17&lt;&gt;"",AH$19=1),AF17*Summary!$F$5,$C27)</f>
        <v>26.608695652173914</v>
      </c>
      <c r="AI27" s="6">
        <f>IF(AND(AG17&lt;&gt;"",AI$19=1),AG17*Summary!$F$5,$C27)</f>
        <v>26.608695652173914</v>
      </c>
    </row>
    <row r="28" spans="1:36">
      <c r="A28" s="2">
        <f t="shared" si="9"/>
        <v>3</v>
      </c>
      <c r="B28" s="2">
        <f t="shared" si="10"/>
        <v>1</v>
      </c>
      <c r="C28" s="51">
        <f>AH18*Summary!$F$5</f>
        <v>25.470355731225297</v>
      </c>
      <c r="D28" s="6">
        <f>IF(AND(B18&lt;&gt;"",D$19=1),B18*Summary!$F$5,$C28)</f>
        <v>25.470355731225297</v>
      </c>
      <c r="E28" s="6">
        <f>IF(AND(C18&lt;&gt;"",E$19=1),C18*Summary!$F$5,$C28)</f>
        <v>25.470355731225297</v>
      </c>
      <c r="F28" s="6">
        <f>IF(AND(D18&lt;&gt;"",F$19=1),D18*Summary!$F$5,$C28)</f>
        <v>25.470355731225297</v>
      </c>
      <c r="G28" s="6">
        <f>IF(AND(E18&lt;&gt;"",G$19=1),E18*Summary!$F$5,$C28)</f>
        <v>25.470355731225297</v>
      </c>
      <c r="H28" s="6">
        <f>IF(AND(F18&lt;&gt;"",H$19=1),F18*Summary!$F$5,$C28)</f>
        <v>25.470355731225297</v>
      </c>
      <c r="I28" s="6">
        <f>IF(AND(G18&lt;&gt;"",I$19=1),G18*Summary!$F$5,$C28)</f>
        <v>25.470355731225297</v>
      </c>
      <c r="J28" s="6">
        <f>IF(AND(H18&lt;&gt;"",J$19=1),H18*Summary!$F$5,$C28)</f>
        <v>25.470355731225297</v>
      </c>
      <c r="K28" s="6">
        <f>IF(AND(I18&lt;&gt;"",K$19=1),I18*Summary!$F$5,$C28)</f>
        <v>25.470355731225297</v>
      </c>
      <c r="L28" s="6">
        <f>IF(AND(J18&lt;&gt;"",L$19=1),J18*Summary!$F$5,$C28)</f>
        <v>25.470355731225297</v>
      </c>
      <c r="M28" s="6">
        <f>IF(AND(K18&lt;&gt;"",M$19=1),K18*Summary!$F$5,$C28)</f>
        <v>25.470355731225297</v>
      </c>
      <c r="N28" s="6">
        <f>IF(AND(L18&lt;&gt;"",N$19=1),L18*Summary!$F$5,$C28)</f>
        <v>25.470355731225297</v>
      </c>
      <c r="O28" s="6">
        <f>IF(AND(M18&lt;&gt;"",O$19=1),M18*Summary!$F$5,$C28)</f>
        <v>25.470355731225297</v>
      </c>
      <c r="P28" s="6">
        <f>IF(AND(N18&lt;&gt;"",P$19=1),N18*Summary!$F$5,$C28)</f>
        <v>25.470355731225297</v>
      </c>
      <c r="Q28" s="6">
        <f>IF(AND(O18&lt;&gt;"",Q$19=1),O18*Summary!$F$5,$C28)</f>
        <v>25.470355731225297</v>
      </c>
      <c r="R28" s="6">
        <f>IF(AND(P18&lt;&gt;"",R$19=1),P18*Summary!$F$5,$C28)</f>
        <v>25.470355731225297</v>
      </c>
      <c r="S28" s="6">
        <f>IF(AND(Q18&lt;&gt;"",S$19=1),Q18*Summary!$F$5,$C28)</f>
        <v>25.470355731225297</v>
      </c>
      <c r="T28" s="6">
        <f>IF(AND(R18&lt;&gt;"",T$19=1),R18*Summary!$F$5,$C28)</f>
        <v>25.470355731225297</v>
      </c>
      <c r="U28" s="6">
        <f>IF(AND(S18&lt;&gt;"",U$19=1),S18*Summary!$F$5,$C28)</f>
        <v>25.470355731225297</v>
      </c>
      <c r="V28" s="6">
        <f>IF(AND(T18&lt;&gt;"",V$19=1),T18*Summary!$F$5,$C28)</f>
        <v>25.470355731225297</v>
      </c>
      <c r="W28" s="6">
        <f>IF(AND(U18&lt;&gt;"",W$19=1),U18*Summary!$F$5,$C28)</f>
        <v>25.470355731225297</v>
      </c>
      <c r="X28" s="6">
        <f>IF(AND(V18&lt;&gt;"",X$19=1),V18*Summary!$F$5,$C28)</f>
        <v>25.470355731225297</v>
      </c>
      <c r="Y28" s="6">
        <f>IF(AND(W18&lt;&gt;"",Y$19=1),W18*Summary!$F$5,$C28)</f>
        <v>25.470355731225297</v>
      </c>
      <c r="Z28" s="6">
        <f>IF(AND(X18&lt;&gt;"",Z$19=1),X18*Summary!$F$5,$C28)</f>
        <v>25.470355731225297</v>
      </c>
      <c r="AA28" s="6">
        <f>IF(AND(Y18&lt;&gt;"",AA$19=1),Y18*Summary!$F$5,$C28)</f>
        <v>25.470355731225297</v>
      </c>
      <c r="AB28" s="6">
        <f>IF(AND(Z18&lt;&gt;"",AB$19=1),Z18*Summary!$F$5,$C28)</f>
        <v>25.470355731225297</v>
      </c>
      <c r="AC28" s="6">
        <f>IF(AND(AA18&lt;&gt;"",AC$19=1),AA18*Summary!$F$5,$C28)</f>
        <v>25.470355731225297</v>
      </c>
      <c r="AD28" s="6">
        <f>IF(AND(AB18&lt;&gt;"",AD$19=1),AB18*Summary!$F$5,$C28)</f>
        <v>25.470355731225297</v>
      </c>
      <c r="AE28" s="6">
        <f>IF(AND(AC18&lt;&gt;"",AE$19=1),AC18*Summary!$F$5,$C28)</f>
        <v>25.470355731225297</v>
      </c>
      <c r="AF28" s="6">
        <f>IF(AND(AD18&lt;&gt;"",AF$19=1),AD18*Summary!$F$5,$C28)</f>
        <v>25.470355731225297</v>
      </c>
      <c r="AG28" s="6">
        <f>IF(AND(AE18&lt;&gt;"",AG$19=1),AE18*Summary!$F$5,$C28)</f>
        <v>25.470355731225297</v>
      </c>
      <c r="AH28" s="6">
        <f>IF(AND(AF18&lt;&gt;"",AH$19=1),AF18*Summary!$F$5,$C28)</f>
        <v>25.470355731225297</v>
      </c>
      <c r="AI28" s="6">
        <f>IF(AND(AG18&lt;&gt;"",AI$19=1),AG18*Summary!$F$5,$C28)</f>
        <v>25.470355731225297</v>
      </c>
    </row>
  </sheetData>
  <mergeCells count="2">
    <mergeCell ref="A19:C19"/>
    <mergeCell ref="A10:AG1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J28"/>
  <sheetViews>
    <sheetView workbookViewId="0"/>
  </sheetViews>
  <sheetFormatPr defaultRowHeight="15"/>
  <cols>
    <col min="1" max="16384" width="9.140625" style="2"/>
  </cols>
  <sheetData>
    <row r="1" spans="1:36" ht="18.75">
      <c r="A1" s="56" t="str">
        <f>Summary!B6</f>
        <v>D65</v>
      </c>
      <c r="B1" s="2">
        <v>0</v>
      </c>
      <c r="C1" s="2">
        <f>B1+1</f>
        <v>1</v>
      </c>
      <c r="D1" s="2">
        <f t="shared" ref="D1:AG1" si="0">C1+1</f>
        <v>2</v>
      </c>
      <c r="E1" s="2">
        <f t="shared" si="0"/>
        <v>3</v>
      </c>
      <c r="F1" s="2">
        <f t="shared" si="0"/>
        <v>4</v>
      </c>
      <c r="G1" s="2">
        <f t="shared" si="0"/>
        <v>5</v>
      </c>
      <c r="H1" s="2">
        <f t="shared" si="0"/>
        <v>6</v>
      </c>
      <c r="I1" s="2">
        <f t="shared" si="0"/>
        <v>7</v>
      </c>
      <c r="J1" s="2">
        <f t="shared" si="0"/>
        <v>8</v>
      </c>
      <c r="K1" s="2">
        <f t="shared" si="0"/>
        <v>9</v>
      </c>
      <c r="L1" s="2">
        <f t="shared" si="0"/>
        <v>10</v>
      </c>
      <c r="M1" s="2">
        <f t="shared" si="0"/>
        <v>11</v>
      </c>
      <c r="N1" s="2">
        <f t="shared" si="0"/>
        <v>12</v>
      </c>
      <c r="O1" s="2">
        <f t="shared" si="0"/>
        <v>13</v>
      </c>
      <c r="P1" s="2">
        <f t="shared" si="0"/>
        <v>14</v>
      </c>
      <c r="Q1" s="2">
        <f t="shared" si="0"/>
        <v>15</v>
      </c>
      <c r="R1" s="2">
        <f t="shared" si="0"/>
        <v>16</v>
      </c>
      <c r="S1" s="2">
        <f t="shared" si="0"/>
        <v>17</v>
      </c>
      <c r="T1" s="2">
        <f t="shared" si="0"/>
        <v>18</v>
      </c>
      <c r="U1" s="2">
        <f t="shared" si="0"/>
        <v>19</v>
      </c>
      <c r="V1" s="2">
        <f t="shared" si="0"/>
        <v>20</v>
      </c>
      <c r="W1" s="2">
        <f t="shared" si="0"/>
        <v>21</v>
      </c>
      <c r="X1" s="2">
        <f t="shared" si="0"/>
        <v>22</v>
      </c>
      <c r="Y1" s="2">
        <f t="shared" si="0"/>
        <v>23</v>
      </c>
      <c r="Z1" s="2">
        <f t="shared" si="0"/>
        <v>24</v>
      </c>
      <c r="AA1" s="2">
        <f t="shared" si="0"/>
        <v>25</v>
      </c>
      <c r="AB1" s="2">
        <f t="shared" si="0"/>
        <v>26</v>
      </c>
      <c r="AC1" s="2">
        <f t="shared" si="0"/>
        <v>27</v>
      </c>
      <c r="AD1" s="2">
        <f t="shared" si="0"/>
        <v>28</v>
      </c>
      <c r="AE1" s="2">
        <f t="shared" si="0"/>
        <v>29</v>
      </c>
      <c r="AF1" s="2">
        <f t="shared" si="0"/>
        <v>30</v>
      </c>
      <c r="AG1" s="2">
        <f t="shared" si="0"/>
        <v>31</v>
      </c>
    </row>
    <row r="2" spans="1:36" s="52" customFormat="1" ht="18">
      <c r="A2" s="52" t="s">
        <v>0</v>
      </c>
      <c r="F2" s="52">
        <v>293.2</v>
      </c>
    </row>
    <row r="3" spans="1:36" s="52" customFormat="1" ht="18">
      <c r="A3" s="52" t="s">
        <v>1</v>
      </c>
      <c r="F3" s="52">
        <v>193.6</v>
      </c>
    </row>
    <row r="4" spans="1:36" s="52" customFormat="1" ht="18">
      <c r="A4" s="52" t="s">
        <v>2</v>
      </c>
      <c r="F4" s="52">
        <v>285.10000000000002</v>
      </c>
    </row>
    <row r="5" spans="1:36" s="52" customFormat="1" ht="18">
      <c r="A5" s="52" t="s">
        <v>3</v>
      </c>
      <c r="F5" s="52">
        <v>187.8</v>
      </c>
    </row>
    <row r="6" spans="1:36" s="52" customFormat="1" ht="18">
      <c r="A6" s="52" t="s">
        <v>4</v>
      </c>
      <c r="F6" s="52">
        <v>313</v>
      </c>
    </row>
    <row r="7" spans="1:36" s="52" customFormat="1" ht="18">
      <c r="A7" s="52" t="s">
        <v>5</v>
      </c>
      <c r="F7" s="52">
        <v>147.4</v>
      </c>
    </row>
    <row r="8" spans="1:36" s="52" customFormat="1" ht="18">
      <c r="A8" s="52" t="s">
        <v>6</v>
      </c>
      <c r="F8" s="52">
        <v>302.8</v>
      </c>
    </row>
    <row r="9" spans="1:36" s="52" customFormat="1" ht="18">
      <c r="A9" s="52" t="s">
        <v>7</v>
      </c>
      <c r="F9" s="52">
        <v>142.69999999999999</v>
      </c>
    </row>
    <row r="10" spans="1:36" s="52" customFormat="1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2" t="s">
        <v>14</v>
      </c>
      <c r="AI10" s="2" t="s">
        <v>15</v>
      </c>
      <c r="AJ10" s="52" t="s">
        <v>39</v>
      </c>
    </row>
    <row r="11" spans="1:36" ht="18">
      <c r="A11" s="2" t="s">
        <v>0</v>
      </c>
      <c r="B11" s="52" t="str">
        <f t="shared" ref="B11:K18" si="1">IF(AND(B2&lt;&gt;0,D$19),B2,"")</f>
        <v/>
      </c>
      <c r="C11" s="52" t="str">
        <f t="shared" si="1"/>
        <v/>
      </c>
      <c r="D11" s="52" t="str">
        <f t="shared" si="1"/>
        <v/>
      </c>
      <c r="E11" s="52" t="str">
        <f t="shared" si="1"/>
        <v/>
      </c>
      <c r="F11" s="52">
        <f t="shared" si="1"/>
        <v>293.2</v>
      </c>
      <c r="G11" s="52" t="str">
        <f t="shared" si="1"/>
        <v/>
      </c>
      <c r="H11" s="52" t="str">
        <f t="shared" si="1"/>
        <v/>
      </c>
      <c r="I11" s="52" t="str">
        <f t="shared" si="1"/>
        <v/>
      </c>
      <c r="J11" s="52" t="str">
        <f t="shared" si="1"/>
        <v/>
      </c>
      <c r="K11" s="52" t="str">
        <f t="shared" si="1"/>
        <v/>
      </c>
      <c r="L11" s="52" t="str">
        <f t="shared" ref="L11:U18" si="2">IF(AND(L2&lt;&gt;0,N$19),L2,"")</f>
        <v/>
      </c>
      <c r="M11" s="52" t="str">
        <f t="shared" si="2"/>
        <v/>
      </c>
      <c r="N11" s="52" t="str">
        <f t="shared" si="2"/>
        <v/>
      </c>
      <c r="O11" s="52" t="str">
        <f t="shared" si="2"/>
        <v/>
      </c>
      <c r="P11" s="52" t="str">
        <f t="shared" si="2"/>
        <v/>
      </c>
      <c r="Q11" s="52" t="str">
        <f t="shared" si="2"/>
        <v/>
      </c>
      <c r="R11" s="52" t="str">
        <f t="shared" si="2"/>
        <v/>
      </c>
      <c r="S11" s="52" t="str">
        <f t="shared" si="2"/>
        <v/>
      </c>
      <c r="T11" s="52" t="str">
        <f t="shared" si="2"/>
        <v/>
      </c>
      <c r="U11" s="52" t="str">
        <f t="shared" si="2"/>
        <v/>
      </c>
      <c r="V11" s="52" t="str">
        <f t="shared" ref="V11:AE18" si="3">IF(AND(V2&lt;&gt;0,X$19),V2,"")</f>
        <v/>
      </c>
      <c r="W11" s="52" t="str">
        <f t="shared" si="3"/>
        <v/>
      </c>
      <c r="X11" s="52" t="str">
        <f t="shared" si="3"/>
        <v/>
      </c>
      <c r="Y11" s="52" t="str">
        <f t="shared" si="3"/>
        <v/>
      </c>
      <c r="Z11" s="52" t="str">
        <f t="shared" si="3"/>
        <v/>
      </c>
      <c r="AA11" s="52" t="str">
        <f t="shared" si="3"/>
        <v/>
      </c>
      <c r="AB11" s="52" t="str">
        <f t="shared" si="3"/>
        <v/>
      </c>
      <c r="AC11" s="52" t="str">
        <f t="shared" si="3"/>
        <v/>
      </c>
      <c r="AD11" s="52" t="str">
        <f t="shared" si="3"/>
        <v/>
      </c>
      <c r="AE11" s="52" t="str">
        <f t="shared" si="3"/>
        <v/>
      </c>
      <c r="AF11" s="52" t="str">
        <f t="shared" ref="AF11:AG18" si="4">IF(AND(AF2&lt;&gt;0,AH$19),AF2,"")</f>
        <v/>
      </c>
      <c r="AG11" s="52" t="str">
        <f t="shared" si="4"/>
        <v/>
      </c>
      <c r="AH11" s="3">
        <f>AVERAGE(B11:AG11)</f>
        <v>293.2</v>
      </c>
      <c r="AI11" s="3" t="e">
        <f>STDEV(B11:AG11)</f>
        <v>#DIV/0!</v>
      </c>
      <c r="AJ11" s="53" t="e">
        <f>AI11/AH11</f>
        <v>#DIV/0!</v>
      </c>
    </row>
    <row r="12" spans="1:36" ht="18">
      <c r="A12" s="2" t="s">
        <v>1</v>
      </c>
      <c r="B12" s="52" t="str">
        <f t="shared" si="1"/>
        <v/>
      </c>
      <c r="C12" s="52" t="str">
        <f t="shared" si="1"/>
        <v/>
      </c>
      <c r="D12" s="52" t="str">
        <f t="shared" si="1"/>
        <v/>
      </c>
      <c r="E12" s="52" t="str">
        <f t="shared" si="1"/>
        <v/>
      </c>
      <c r="F12" s="52">
        <f t="shared" si="1"/>
        <v>193.6</v>
      </c>
      <c r="G12" s="52" t="str">
        <f t="shared" si="1"/>
        <v/>
      </c>
      <c r="H12" s="52" t="str">
        <f t="shared" si="1"/>
        <v/>
      </c>
      <c r="I12" s="52" t="str">
        <f t="shared" si="1"/>
        <v/>
      </c>
      <c r="J12" s="52" t="str">
        <f t="shared" si="1"/>
        <v/>
      </c>
      <c r="K12" s="52" t="str">
        <f t="shared" si="1"/>
        <v/>
      </c>
      <c r="L12" s="52" t="str">
        <f t="shared" si="2"/>
        <v/>
      </c>
      <c r="M12" s="52" t="str">
        <f t="shared" si="2"/>
        <v/>
      </c>
      <c r="N12" s="52" t="str">
        <f t="shared" si="2"/>
        <v/>
      </c>
      <c r="O12" s="52" t="str">
        <f t="shared" si="2"/>
        <v/>
      </c>
      <c r="P12" s="52" t="str">
        <f t="shared" si="2"/>
        <v/>
      </c>
      <c r="Q12" s="52" t="str">
        <f t="shared" si="2"/>
        <v/>
      </c>
      <c r="R12" s="52" t="str">
        <f t="shared" si="2"/>
        <v/>
      </c>
      <c r="S12" s="52" t="str">
        <f t="shared" si="2"/>
        <v/>
      </c>
      <c r="T12" s="52" t="str">
        <f t="shared" si="2"/>
        <v/>
      </c>
      <c r="U12" s="52" t="str">
        <f t="shared" si="2"/>
        <v/>
      </c>
      <c r="V12" s="52" t="str">
        <f t="shared" si="3"/>
        <v/>
      </c>
      <c r="W12" s="52" t="str">
        <f t="shared" si="3"/>
        <v/>
      </c>
      <c r="X12" s="52" t="str">
        <f t="shared" si="3"/>
        <v/>
      </c>
      <c r="Y12" s="52" t="str">
        <f t="shared" si="3"/>
        <v/>
      </c>
      <c r="Z12" s="52" t="str">
        <f t="shared" si="3"/>
        <v/>
      </c>
      <c r="AA12" s="52" t="str">
        <f t="shared" si="3"/>
        <v/>
      </c>
      <c r="AB12" s="52" t="str">
        <f t="shared" si="3"/>
        <v/>
      </c>
      <c r="AC12" s="52" t="str">
        <f t="shared" si="3"/>
        <v/>
      </c>
      <c r="AD12" s="52" t="str">
        <f t="shared" si="3"/>
        <v/>
      </c>
      <c r="AE12" s="52" t="str">
        <f t="shared" si="3"/>
        <v/>
      </c>
      <c r="AF12" s="52" t="str">
        <f t="shared" si="4"/>
        <v/>
      </c>
      <c r="AG12" s="52" t="str">
        <f t="shared" si="4"/>
        <v/>
      </c>
      <c r="AH12" s="3">
        <f t="shared" ref="AH12:AH18" si="5">AVERAGE(B12:AG12)</f>
        <v>193.6</v>
      </c>
      <c r="AI12" s="3" t="e">
        <f t="shared" ref="AI12:AI18" si="6">STDEV(B12:AG12)</f>
        <v>#DIV/0!</v>
      </c>
      <c r="AJ12" s="53" t="e">
        <f t="shared" ref="AJ12:AJ18" si="7">AI12/AH12</f>
        <v>#DIV/0!</v>
      </c>
    </row>
    <row r="13" spans="1:36" ht="18">
      <c r="A13" s="2" t="s">
        <v>2</v>
      </c>
      <c r="B13" s="52" t="str">
        <f t="shared" si="1"/>
        <v/>
      </c>
      <c r="C13" s="52" t="str">
        <f t="shared" si="1"/>
        <v/>
      </c>
      <c r="D13" s="52" t="str">
        <f t="shared" si="1"/>
        <v/>
      </c>
      <c r="E13" s="52" t="str">
        <f t="shared" si="1"/>
        <v/>
      </c>
      <c r="F13" s="52">
        <f t="shared" si="1"/>
        <v>285.10000000000002</v>
      </c>
      <c r="G13" s="52" t="str">
        <f t="shared" si="1"/>
        <v/>
      </c>
      <c r="H13" s="52" t="str">
        <f t="shared" si="1"/>
        <v/>
      </c>
      <c r="I13" s="52" t="str">
        <f t="shared" si="1"/>
        <v/>
      </c>
      <c r="J13" s="52" t="str">
        <f t="shared" si="1"/>
        <v/>
      </c>
      <c r="K13" s="52" t="str">
        <f t="shared" si="1"/>
        <v/>
      </c>
      <c r="L13" s="52" t="str">
        <f t="shared" si="2"/>
        <v/>
      </c>
      <c r="M13" s="52" t="str">
        <f t="shared" si="2"/>
        <v/>
      </c>
      <c r="N13" s="52" t="str">
        <f t="shared" si="2"/>
        <v/>
      </c>
      <c r="O13" s="52" t="str">
        <f t="shared" si="2"/>
        <v/>
      </c>
      <c r="P13" s="52" t="str">
        <f t="shared" si="2"/>
        <v/>
      </c>
      <c r="Q13" s="52" t="str">
        <f t="shared" si="2"/>
        <v/>
      </c>
      <c r="R13" s="52" t="str">
        <f t="shared" si="2"/>
        <v/>
      </c>
      <c r="S13" s="52" t="str">
        <f t="shared" si="2"/>
        <v/>
      </c>
      <c r="T13" s="52" t="str">
        <f t="shared" si="2"/>
        <v/>
      </c>
      <c r="U13" s="52" t="str">
        <f t="shared" si="2"/>
        <v/>
      </c>
      <c r="V13" s="52" t="str">
        <f t="shared" si="3"/>
        <v/>
      </c>
      <c r="W13" s="52" t="str">
        <f t="shared" si="3"/>
        <v/>
      </c>
      <c r="X13" s="52" t="str">
        <f t="shared" si="3"/>
        <v/>
      </c>
      <c r="Y13" s="52" t="str">
        <f t="shared" si="3"/>
        <v/>
      </c>
      <c r="Z13" s="52" t="str">
        <f t="shared" si="3"/>
        <v/>
      </c>
      <c r="AA13" s="52" t="str">
        <f t="shared" si="3"/>
        <v/>
      </c>
      <c r="AB13" s="52" t="str">
        <f t="shared" si="3"/>
        <v/>
      </c>
      <c r="AC13" s="52" t="str">
        <f t="shared" si="3"/>
        <v/>
      </c>
      <c r="AD13" s="52" t="str">
        <f t="shared" si="3"/>
        <v/>
      </c>
      <c r="AE13" s="52" t="str">
        <f t="shared" si="3"/>
        <v/>
      </c>
      <c r="AF13" s="52" t="str">
        <f t="shared" si="4"/>
        <v/>
      </c>
      <c r="AG13" s="52" t="str">
        <f t="shared" si="4"/>
        <v/>
      </c>
      <c r="AH13" s="3">
        <f t="shared" si="5"/>
        <v>285.10000000000002</v>
      </c>
      <c r="AI13" s="3" t="e">
        <f t="shared" si="6"/>
        <v>#DIV/0!</v>
      </c>
      <c r="AJ13" s="53" t="e">
        <f t="shared" si="7"/>
        <v>#DIV/0!</v>
      </c>
    </row>
    <row r="14" spans="1:36" ht="18">
      <c r="A14" s="2" t="s">
        <v>3</v>
      </c>
      <c r="B14" s="52" t="str">
        <f t="shared" si="1"/>
        <v/>
      </c>
      <c r="C14" s="52" t="str">
        <f t="shared" si="1"/>
        <v/>
      </c>
      <c r="D14" s="52" t="str">
        <f t="shared" si="1"/>
        <v/>
      </c>
      <c r="E14" s="52" t="str">
        <f t="shared" si="1"/>
        <v/>
      </c>
      <c r="F14" s="52">
        <f t="shared" si="1"/>
        <v>187.8</v>
      </c>
      <c r="G14" s="52" t="str">
        <f t="shared" si="1"/>
        <v/>
      </c>
      <c r="H14" s="52" t="str">
        <f t="shared" si="1"/>
        <v/>
      </c>
      <c r="I14" s="52" t="str">
        <f t="shared" si="1"/>
        <v/>
      </c>
      <c r="J14" s="52" t="str">
        <f t="shared" si="1"/>
        <v/>
      </c>
      <c r="K14" s="52" t="str">
        <f t="shared" si="1"/>
        <v/>
      </c>
      <c r="L14" s="52" t="str">
        <f t="shared" si="2"/>
        <v/>
      </c>
      <c r="M14" s="52" t="str">
        <f t="shared" si="2"/>
        <v/>
      </c>
      <c r="N14" s="52" t="str">
        <f t="shared" si="2"/>
        <v/>
      </c>
      <c r="O14" s="52" t="str">
        <f t="shared" si="2"/>
        <v/>
      </c>
      <c r="P14" s="52" t="str">
        <f t="shared" si="2"/>
        <v/>
      </c>
      <c r="Q14" s="52" t="str">
        <f t="shared" si="2"/>
        <v/>
      </c>
      <c r="R14" s="52" t="str">
        <f t="shared" si="2"/>
        <v/>
      </c>
      <c r="S14" s="52" t="str">
        <f t="shared" si="2"/>
        <v/>
      </c>
      <c r="T14" s="52" t="str">
        <f t="shared" si="2"/>
        <v/>
      </c>
      <c r="U14" s="52" t="str">
        <f t="shared" si="2"/>
        <v/>
      </c>
      <c r="V14" s="52" t="str">
        <f t="shared" si="3"/>
        <v/>
      </c>
      <c r="W14" s="52" t="str">
        <f t="shared" si="3"/>
        <v/>
      </c>
      <c r="X14" s="52" t="str">
        <f t="shared" si="3"/>
        <v/>
      </c>
      <c r="Y14" s="52" t="str">
        <f t="shared" si="3"/>
        <v/>
      </c>
      <c r="Z14" s="52" t="str">
        <f t="shared" si="3"/>
        <v/>
      </c>
      <c r="AA14" s="52" t="str">
        <f t="shared" si="3"/>
        <v/>
      </c>
      <c r="AB14" s="52" t="str">
        <f t="shared" si="3"/>
        <v/>
      </c>
      <c r="AC14" s="52" t="str">
        <f t="shared" si="3"/>
        <v/>
      </c>
      <c r="AD14" s="52" t="str">
        <f t="shared" si="3"/>
        <v/>
      </c>
      <c r="AE14" s="52" t="str">
        <f t="shared" si="3"/>
        <v/>
      </c>
      <c r="AF14" s="52" t="str">
        <f t="shared" si="4"/>
        <v/>
      </c>
      <c r="AG14" s="52" t="str">
        <f t="shared" si="4"/>
        <v/>
      </c>
      <c r="AH14" s="3">
        <f t="shared" si="5"/>
        <v>187.8</v>
      </c>
      <c r="AI14" s="3" t="e">
        <f t="shared" si="6"/>
        <v>#DIV/0!</v>
      </c>
      <c r="AJ14" s="53" t="e">
        <f t="shared" si="7"/>
        <v>#DIV/0!</v>
      </c>
    </row>
    <row r="15" spans="1:36" ht="18">
      <c r="A15" s="2" t="s">
        <v>4</v>
      </c>
      <c r="B15" s="52" t="str">
        <f t="shared" si="1"/>
        <v/>
      </c>
      <c r="C15" s="52" t="str">
        <f t="shared" si="1"/>
        <v/>
      </c>
      <c r="D15" s="52" t="str">
        <f t="shared" si="1"/>
        <v/>
      </c>
      <c r="E15" s="52" t="str">
        <f t="shared" si="1"/>
        <v/>
      </c>
      <c r="F15" s="52">
        <f t="shared" si="1"/>
        <v>313</v>
      </c>
      <c r="G15" s="52" t="str">
        <f t="shared" si="1"/>
        <v/>
      </c>
      <c r="H15" s="52" t="str">
        <f t="shared" si="1"/>
        <v/>
      </c>
      <c r="I15" s="52" t="str">
        <f t="shared" si="1"/>
        <v/>
      </c>
      <c r="J15" s="52" t="str">
        <f t="shared" si="1"/>
        <v/>
      </c>
      <c r="K15" s="52" t="str">
        <f t="shared" si="1"/>
        <v/>
      </c>
      <c r="L15" s="52" t="str">
        <f t="shared" si="2"/>
        <v/>
      </c>
      <c r="M15" s="52" t="str">
        <f t="shared" si="2"/>
        <v/>
      </c>
      <c r="N15" s="52" t="str">
        <f t="shared" si="2"/>
        <v/>
      </c>
      <c r="O15" s="52" t="str">
        <f t="shared" si="2"/>
        <v/>
      </c>
      <c r="P15" s="52" t="str">
        <f t="shared" si="2"/>
        <v/>
      </c>
      <c r="Q15" s="52" t="str">
        <f t="shared" si="2"/>
        <v/>
      </c>
      <c r="R15" s="52" t="str">
        <f t="shared" si="2"/>
        <v/>
      </c>
      <c r="S15" s="52" t="str">
        <f t="shared" si="2"/>
        <v/>
      </c>
      <c r="T15" s="52" t="str">
        <f t="shared" si="2"/>
        <v/>
      </c>
      <c r="U15" s="52" t="str">
        <f t="shared" si="2"/>
        <v/>
      </c>
      <c r="V15" s="52" t="str">
        <f t="shared" si="3"/>
        <v/>
      </c>
      <c r="W15" s="52" t="str">
        <f t="shared" si="3"/>
        <v/>
      </c>
      <c r="X15" s="52" t="str">
        <f t="shared" si="3"/>
        <v/>
      </c>
      <c r="Y15" s="52" t="str">
        <f t="shared" si="3"/>
        <v/>
      </c>
      <c r="Z15" s="52" t="str">
        <f t="shared" si="3"/>
        <v/>
      </c>
      <c r="AA15" s="52" t="str">
        <f t="shared" si="3"/>
        <v/>
      </c>
      <c r="AB15" s="52" t="str">
        <f t="shared" si="3"/>
        <v/>
      </c>
      <c r="AC15" s="52" t="str">
        <f t="shared" si="3"/>
        <v/>
      </c>
      <c r="AD15" s="52" t="str">
        <f t="shared" si="3"/>
        <v/>
      </c>
      <c r="AE15" s="52" t="str">
        <f t="shared" si="3"/>
        <v/>
      </c>
      <c r="AF15" s="52" t="str">
        <f t="shared" si="4"/>
        <v/>
      </c>
      <c r="AG15" s="52" t="str">
        <f t="shared" si="4"/>
        <v/>
      </c>
      <c r="AH15" s="3">
        <f t="shared" si="5"/>
        <v>313</v>
      </c>
      <c r="AI15" s="3" t="e">
        <f t="shared" si="6"/>
        <v>#DIV/0!</v>
      </c>
      <c r="AJ15" s="53" t="e">
        <f t="shared" si="7"/>
        <v>#DIV/0!</v>
      </c>
    </row>
    <row r="16" spans="1:36" ht="18">
      <c r="A16" s="2" t="s">
        <v>5</v>
      </c>
      <c r="B16" s="52" t="str">
        <f t="shared" si="1"/>
        <v/>
      </c>
      <c r="C16" s="52" t="str">
        <f t="shared" si="1"/>
        <v/>
      </c>
      <c r="D16" s="52" t="str">
        <f t="shared" si="1"/>
        <v/>
      </c>
      <c r="E16" s="52" t="str">
        <f t="shared" si="1"/>
        <v/>
      </c>
      <c r="F16" s="52">
        <f t="shared" si="1"/>
        <v>147.4</v>
      </c>
      <c r="G16" s="52" t="str">
        <f t="shared" si="1"/>
        <v/>
      </c>
      <c r="H16" s="52" t="str">
        <f t="shared" si="1"/>
        <v/>
      </c>
      <c r="I16" s="52" t="str">
        <f t="shared" si="1"/>
        <v/>
      </c>
      <c r="J16" s="52" t="str">
        <f t="shared" si="1"/>
        <v/>
      </c>
      <c r="K16" s="52" t="str">
        <f t="shared" si="1"/>
        <v/>
      </c>
      <c r="L16" s="52" t="str">
        <f t="shared" si="2"/>
        <v/>
      </c>
      <c r="M16" s="52" t="str">
        <f t="shared" si="2"/>
        <v/>
      </c>
      <c r="N16" s="52" t="str">
        <f t="shared" si="2"/>
        <v/>
      </c>
      <c r="O16" s="52" t="str">
        <f t="shared" si="2"/>
        <v/>
      </c>
      <c r="P16" s="52" t="str">
        <f t="shared" si="2"/>
        <v/>
      </c>
      <c r="Q16" s="52" t="str">
        <f t="shared" si="2"/>
        <v/>
      </c>
      <c r="R16" s="52" t="str">
        <f t="shared" si="2"/>
        <v/>
      </c>
      <c r="S16" s="52" t="str">
        <f t="shared" si="2"/>
        <v/>
      </c>
      <c r="T16" s="52" t="str">
        <f t="shared" si="2"/>
        <v/>
      </c>
      <c r="U16" s="52" t="str">
        <f t="shared" si="2"/>
        <v/>
      </c>
      <c r="V16" s="52" t="str">
        <f t="shared" si="3"/>
        <v/>
      </c>
      <c r="W16" s="52" t="str">
        <f t="shared" si="3"/>
        <v/>
      </c>
      <c r="X16" s="52" t="str">
        <f t="shared" si="3"/>
        <v/>
      </c>
      <c r="Y16" s="52" t="str">
        <f t="shared" si="3"/>
        <v/>
      </c>
      <c r="Z16" s="52" t="str">
        <f t="shared" si="3"/>
        <v/>
      </c>
      <c r="AA16" s="52" t="str">
        <f t="shared" si="3"/>
        <v/>
      </c>
      <c r="AB16" s="52" t="str">
        <f t="shared" si="3"/>
        <v/>
      </c>
      <c r="AC16" s="52" t="str">
        <f t="shared" si="3"/>
        <v/>
      </c>
      <c r="AD16" s="52" t="str">
        <f t="shared" si="3"/>
        <v/>
      </c>
      <c r="AE16" s="52" t="str">
        <f t="shared" si="3"/>
        <v/>
      </c>
      <c r="AF16" s="52" t="str">
        <f t="shared" si="4"/>
        <v/>
      </c>
      <c r="AG16" s="52" t="str">
        <f t="shared" si="4"/>
        <v/>
      </c>
      <c r="AH16" s="3">
        <f t="shared" si="5"/>
        <v>147.4</v>
      </c>
      <c r="AI16" s="3" t="e">
        <f t="shared" si="6"/>
        <v>#DIV/0!</v>
      </c>
      <c r="AJ16" s="53" t="e">
        <f t="shared" si="7"/>
        <v>#DIV/0!</v>
      </c>
    </row>
    <row r="17" spans="1:36" ht="18">
      <c r="A17" s="2" t="s">
        <v>6</v>
      </c>
      <c r="B17" s="52" t="str">
        <f t="shared" si="1"/>
        <v/>
      </c>
      <c r="C17" s="52" t="str">
        <f t="shared" si="1"/>
        <v/>
      </c>
      <c r="D17" s="52" t="str">
        <f t="shared" si="1"/>
        <v/>
      </c>
      <c r="E17" s="52" t="str">
        <f t="shared" si="1"/>
        <v/>
      </c>
      <c r="F17" s="52">
        <f t="shared" si="1"/>
        <v>302.8</v>
      </c>
      <c r="G17" s="52" t="str">
        <f t="shared" si="1"/>
        <v/>
      </c>
      <c r="H17" s="52" t="str">
        <f t="shared" si="1"/>
        <v/>
      </c>
      <c r="I17" s="52" t="str">
        <f t="shared" si="1"/>
        <v/>
      </c>
      <c r="J17" s="52" t="str">
        <f t="shared" si="1"/>
        <v/>
      </c>
      <c r="K17" s="52" t="str">
        <f t="shared" si="1"/>
        <v/>
      </c>
      <c r="L17" s="52" t="str">
        <f t="shared" si="2"/>
        <v/>
      </c>
      <c r="M17" s="52" t="str">
        <f t="shared" si="2"/>
        <v/>
      </c>
      <c r="N17" s="52" t="str">
        <f t="shared" si="2"/>
        <v/>
      </c>
      <c r="O17" s="52" t="str">
        <f t="shared" si="2"/>
        <v/>
      </c>
      <c r="P17" s="52" t="str">
        <f t="shared" si="2"/>
        <v/>
      </c>
      <c r="Q17" s="52" t="str">
        <f t="shared" si="2"/>
        <v/>
      </c>
      <c r="R17" s="52" t="str">
        <f t="shared" si="2"/>
        <v/>
      </c>
      <c r="S17" s="52" t="str">
        <f t="shared" si="2"/>
        <v/>
      </c>
      <c r="T17" s="52" t="str">
        <f t="shared" si="2"/>
        <v/>
      </c>
      <c r="U17" s="52" t="str">
        <f t="shared" si="2"/>
        <v/>
      </c>
      <c r="V17" s="52" t="str">
        <f t="shared" si="3"/>
        <v/>
      </c>
      <c r="W17" s="52" t="str">
        <f t="shared" si="3"/>
        <v/>
      </c>
      <c r="X17" s="52" t="str">
        <f t="shared" si="3"/>
        <v/>
      </c>
      <c r="Y17" s="52" t="str">
        <f t="shared" si="3"/>
        <v/>
      </c>
      <c r="Z17" s="52" t="str">
        <f t="shared" si="3"/>
        <v/>
      </c>
      <c r="AA17" s="52" t="str">
        <f t="shared" si="3"/>
        <v/>
      </c>
      <c r="AB17" s="52" t="str">
        <f t="shared" si="3"/>
        <v/>
      </c>
      <c r="AC17" s="52" t="str">
        <f t="shared" si="3"/>
        <v/>
      </c>
      <c r="AD17" s="52" t="str">
        <f t="shared" si="3"/>
        <v/>
      </c>
      <c r="AE17" s="52" t="str">
        <f t="shared" si="3"/>
        <v/>
      </c>
      <c r="AF17" s="52" t="str">
        <f t="shared" si="4"/>
        <v/>
      </c>
      <c r="AG17" s="52" t="str">
        <f t="shared" si="4"/>
        <v/>
      </c>
      <c r="AH17" s="3">
        <f t="shared" si="5"/>
        <v>302.8</v>
      </c>
      <c r="AI17" s="3" t="e">
        <f t="shared" si="6"/>
        <v>#DIV/0!</v>
      </c>
      <c r="AJ17" s="53" t="e">
        <f t="shared" si="7"/>
        <v>#DIV/0!</v>
      </c>
    </row>
    <row r="18" spans="1:36" ht="18">
      <c r="A18" s="2" t="s">
        <v>7</v>
      </c>
      <c r="B18" s="52" t="str">
        <f t="shared" si="1"/>
        <v/>
      </c>
      <c r="C18" s="52" t="str">
        <f t="shared" si="1"/>
        <v/>
      </c>
      <c r="D18" s="52" t="str">
        <f t="shared" si="1"/>
        <v/>
      </c>
      <c r="E18" s="52" t="str">
        <f t="shared" si="1"/>
        <v/>
      </c>
      <c r="F18" s="52">
        <f t="shared" si="1"/>
        <v>142.69999999999999</v>
      </c>
      <c r="G18" s="52" t="str">
        <f t="shared" si="1"/>
        <v/>
      </c>
      <c r="H18" s="52" t="str">
        <f t="shared" si="1"/>
        <v/>
      </c>
      <c r="I18" s="52" t="str">
        <f t="shared" si="1"/>
        <v/>
      </c>
      <c r="J18" s="52" t="str">
        <f t="shared" si="1"/>
        <v/>
      </c>
      <c r="K18" s="52" t="str">
        <f t="shared" si="1"/>
        <v/>
      </c>
      <c r="L18" s="52" t="str">
        <f t="shared" si="2"/>
        <v/>
      </c>
      <c r="M18" s="52" t="str">
        <f t="shared" si="2"/>
        <v/>
      </c>
      <c r="N18" s="52" t="str">
        <f t="shared" si="2"/>
        <v/>
      </c>
      <c r="O18" s="52" t="str">
        <f t="shared" si="2"/>
        <v/>
      </c>
      <c r="P18" s="52" t="str">
        <f t="shared" si="2"/>
        <v/>
      </c>
      <c r="Q18" s="52" t="str">
        <f t="shared" si="2"/>
        <v/>
      </c>
      <c r="R18" s="52" t="str">
        <f t="shared" si="2"/>
        <v/>
      </c>
      <c r="S18" s="52" t="str">
        <f t="shared" si="2"/>
        <v/>
      </c>
      <c r="T18" s="52" t="str">
        <f t="shared" si="2"/>
        <v/>
      </c>
      <c r="U18" s="52" t="str">
        <f t="shared" si="2"/>
        <v/>
      </c>
      <c r="V18" s="52" t="str">
        <f t="shared" si="3"/>
        <v/>
      </c>
      <c r="W18" s="52" t="str">
        <f t="shared" si="3"/>
        <v/>
      </c>
      <c r="X18" s="52" t="str">
        <f t="shared" si="3"/>
        <v/>
      </c>
      <c r="Y18" s="52" t="str">
        <f t="shared" si="3"/>
        <v/>
      </c>
      <c r="Z18" s="52" t="str">
        <f t="shared" si="3"/>
        <v/>
      </c>
      <c r="AA18" s="52" t="str">
        <f t="shared" si="3"/>
        <v/>
      </c>
      <c r="AB18" s="52" t="str">
        <f t="shared" si="3"/>
        <v/>
      </c>
      <c r="AC18" s="52" t="str">
        <f t="shared" si="3"/>
        <v/>
      </c>
      <c r="AD18" s="52" t="str">
        <f t="shared" si="3"/>
        <v/>
      </c>
      <c r="AE18" s="52" t="str">
        <f t="shared" si="3"/>
        <v/>
      </c>
      <c r="AF18" s="52" t="str">
        <f t="shared" si="4"/>
        <v/>
      </c>
      <c r="AG18" s="52" t="str">
        <f t="shared" si="4"/>
        <v/>
      </c>
      <c r="AH18" s="3">
        <f t="shared" si="5"/>
        <v>142.69999999999999</v>
      </c>
      <c r="AI18" s="3" t="e">
        <f t="shared" si="6"/>
        <v>#DIV/0!</v>
      </c>
      <c r="AJ18" s="53" t="e">
        <f t="shared" si="7"/>
        <v>#DIV/0!</v>
      </c>
    </row>
    <row r="19" spans="1:36">
      <c r="A19" s="72" t="str">
        <f>Calculations!C5</f>
        <v>Enable</v>
      </c>
      <c r="B19" s="72"/>
      <c r="C19" s="72"/>
      <c r="D19" s="2">
        <f>Calculations!J4</f>
        <v>1</v>
      </c>
      <c r="E19" s="2">
        <f>Calculations!K4</f>
        <v>1</v>
      </c>
      <c r="F19" s="2">
        <f>Calculations!L4</f>
        <v>0</v>
      </c>
      <c r="G19" s="2">
        <f>Calculations!M4</f>
        <v>1</v>
      </c>
      <c r="H19" s="2">
        <f>Calculations!N4</f>
        <v>1</v>
      </c>
      <c r="I19" s="2">
        <f>Calculations!O4</f>
        <v>1</v>
      </c>
      <c r="J19" s="2">
        <f>Calculations!P4</f>
        <v>1</v>
      </c>
      <c r="K19" s="2">
        <f>Calculations!Q4</f>
        <v>1</v>
      </c>
      <c r="L19" s="2">
        <f>Calculations!R4</f>
        <v>1</v>
      </c>
      <c r="M19" s="2">
        <f>Calculations!S4</f>
        <v>1</v>
      </c>
      <c r="N19" s="2">
        <f>Calculations!T4</f>
        <v>1</v>
      </c>
      <c r="O19" s="2">
        <f>Calculations!U4</f>
        <v>1</v>
      </c>
      <c r="P19" s="2">
        <f>Calculations!V4</f>
        <v>1</v>
      </c>
      <c r="Q19" s="2">
        <f>Calculations!W4</f>
        <v>1</v>
      </c>
      <c r="R19" s="2">
        <f>Calculations!X4</f>
        <v>1</v>
      </c>
      <c r="S19" s="2">
        <f>Calculations!Y4</f>
        <v>1</v>
      </c>
      <c r="T19" s="2">
        <f>Calculations!Z4</f>
        <v>1</v>
      </c>
      <c r="U19" s="2">
        <f>Calculations!AA4</f>
        <v>1</v>
      </c>
      <c r="V19" s="2">
        <f>Calculations!AB4</f>
        <v>1</v>
      </c>
      <c r="W19" s="2">
        <f>Calculations!AC4</f>
        <v>1</v>
      </c>
      <c r="X19" s="2">
        <f>Calculations!AD4</f>
        <v>1</v>
      </c>
      <c r="Y19" s="2">
        <f>Calculations!AE4</f>
        <v>1</v>
      </c>
      <c r="Z19" s="2">
        <f>Calculations!AF4</f>
        <v>1</v>
      </c>
      <c r="AA19" s="2">
        <f>Calculations!AG4</f>
        <v>1</v>
      </c>
      <c r="AB19" s="2">
        <f>Calculations!AH4</f>
        <v>1</v>
      </c>
      <c r="AC19" s="2">
        <f>Calculations!AI4</f>
        <v>1</v>
      </c>
      <c r="AD19" s="2">
        <f>Calculations!AJ4</f>
        <v>1</v>
      </c>
      <c r="AE19" s="2">
        <f>Calculations!AK4</f>
        <v>1</v>
      </c>
      <c r="AF19" s="2">
        <f>Calculations!AL4</f>
        <v>1</v>
      </c>
      <c r="AG19" s="2">
        <f>Calculations!AM4</f>
        <v>1</v>
      </c>
      <c r="AH19" s="2">
        <f>Calculations!AN4</f>
        <v>1</v>
      </c>
      <c r="AI19" s="2">
        <f>Calculations!AO4</f>
        <v>1</v>
      </c>
    </row>
    <row r="20" spans="1:36">
      <c r="A20" s="2" t="s">
        <v>17</v>
      </c>
      <c r="B20" s="2" t="s">
        <v>22</v>
      </c>
      <c r="C20" s="2" t="str">
        <f>AH10</f>
        <v>AVERAGE</v>
      </c>
      <c r="D20" s="2">
        <f>B1</f>
        <v>0</v>
      </c>
      <c r="E20" s="2">
        <f t="shared" ref="E20:AI20" si="8">C1</f>
        <v>1</v>
      </c>
      <c r="F20" s="2">
        <f t="shared" si="8"/>
        <v>2</v>
      </c>
      <c r="G20" s="2">
        <f t="shared" si="8"/>
        <v>3</v>
      </c>
      <c r="H20" s="2">
        <f t="shared" si="8"/>
        <v>4</v>
      </c>
      <c r="I20" s="2">
        <f t="shared" si="8"/>
        <v>5</v>
      </c>
      <c r="J20" s="2">
        <f t="shared" si="8"/>
        <v>6</v>
      </c>
      <c r="K20" s="2">
        <f t="shared" si="8"/>
        <v>7</v>
      </c>
      <c r="L20" s="2">
        <f t="shared" si="8"/>
        <v>8</v>
      </c>
      <c r="M20" s="2">
        <f t="shared" si="8"/>
        <v>9</v>
      </c>
      <c r="N20" s="2">
        <f t="shared" si="8"/>
        <v>10</v>
      </c>
      <c r="O20" s="2">
        <f t="shared" si="8"/>
        <v>11</v>
      </c>
      <c r="P20" s="2">
        <f t="shared" si="8"/>
        <v>12</v>
      </c>
      <c r="Q20" s="2">
        <f t="shared" si="8"/>
        <v>13</v>
      </c>
      <c r="R20" s="2">
        <f t="shared" si="8"/>
        <v>14</v>
      </c>
      <c r="S20" s="2">
        <f t="shared" si="8"/>
        <v>15</v>
      </c>
      <c r="T20" s="2">
        <f t="shared" si="8"/>
        <v>16</v>
      </c>
      <c r="U20" s="2">
        <f t="shared" si="8"/>
        <v>17</v>
      </c>
      <c r="V20" s="2">
        <f t="shared" si="8"/>
        <v>18</v>
      </c>
      <c r="W20" s="2">
        <f t="shared" si="8"/>
        <v>19</v>
      </c>
      <c r="X20" s="2">
        <f t="shared" si="8"/>
        <v>20</v>
      </c>
      <c r="Y20" s="2">
        <f t="shared" si="8"/>
        <v>21</v>
      </c>
      <c r="Z20" s="2">
        <f t="shared" si="8"/>
        <v>22</v>
      </c>
      <c r="AA20" s="2">
        <f t="shared" si="8"/>
        <v>23</v>
      </c>
      <c r="AB20" s="2">
        <f t="shared" si="8"/>
        <v>24</v>
      </c>
      <c r="AC20" s="2">
        <f t="shared" si="8"/>
        <v>25</v>
      </c>
      <c r="AD20" s="2">
        <f t="shared" si="8"/>
        <v>26</v>
      </c>
      <c r="AE20" s="2">
        <f t="shared" si="8"/>
        <v>27</v>
      </c>
      <c r="AF20" s="2">
        <f t="shared" si="8"/>
        <v>28</v>
      </c>
      <c r="AG20" s="2">
        <f t="shared" si="8"/>
        <v>29</v>
      </c>
      <c r="AH20" s="2">
        <f t="shared" si="8"/>
        <v>30</v>
      </c>
      <c r="AI20" s="2">
        <f t="shared" si="8"/>
        <v>31</v>
      </c>
    </row>
    <row r="21" spans="1:36">
      <c r="A21" s="2">
        <v>0</v>
      </c>
      <c r="B21" s="2">
        <v>0</v>
      </c>
      <c r="C21" s="2">
        <f>AH11*Summary!$F$6</f>
        <v>62.604982206405694</v>
      </c>
      <c r="D21" s="6">
        <f>IF(AND(B11&lt;&gt;"",D$19=1),B11*Summary!$F$6,$C21)</f>
        <v>62.604982206405694</v>
      </c>
      <c r="E21" s="6">
        <f>IF(AND(C11&lt;&gt;"",E$19=1),C11*Summary!$F$6,$C21)</f>
        <v>62.604982206405694</v>
      </c>
      <c r="F21" s="6">
        <f>IF(AND(D11&lt;&gt;"",F$19=1),D11*Summary!$F$6,$C21)</f>
        <v>62.604982206405694</v>
      </c>
      <c r="G21" s="6">
        <f>IF(AND(E11&lt;&gt;"",G$19=1),E11*Summary!$F$6,$C21)</f>
        <v>62.604982206405694</v>
      </c>
      <c r="H21" s="6">
        <f>IF(AND(F11&lt;&gt;"",H$19=1),F11*Summary!$F$6,$C21)</f>
        <v>62.604982206405694</v>
      </c>
      <c r="I21" s="6">
        <f>IF(AND(G11&lt;&gt;"",I$19=1),G11*Summary!$F$6,$C21)</f>
        <v>62.604982206405694</v>
      </c>
      <c r="J21" s="6">
        <f>IF(AND(H11&lt;&gt;"",J$19=1),H11*Summary!$F$6,$C21)</f>
        <v>62.604982206405694</v>
      </c>
      <c r="K21" s="6">
        <f>IF(AND(I11&lt;&gt;"",K$19=1),I11*Summary!$F$6,$C21)</f>
        <v>62.604982206405694</v>
      </c>
      <c r="L21" s="6">
        <f>IF(AND(J11&lt;&gt;"",L$19=1),J11*Summary!$F$6,$C21)</f>
        <v>62.604982206405694</v>
      </c>
      <c r="M21" s="6">
        <f>IF(AND(K11&lt;&gt;"",M$19=1),K11*Summary!$F$6,$C21)</f>
        <v>62.604982206405694</v>
      </c>
      <c r="N21" s="6">
        <f>IF(AND(L11&lt;&gt;"",N$19=1),L11*Summary!$F$6,$C21)</f>
        <v>62.604982206405694</v>
      </c>
      <c r="O21" s="6">
        <f>IF(AND(M11&lt;&gt;"",O$19=1),M11*Summary!$F$6,$C21)</f>
        <v>62.604982206405694</v>
      </c>
      <c r="P21" s="6">
        <f>IF(AND(N11&lt;&gt;"",P$19=1),N11*Summary!$F$6,$C21)</f>
        <v>62.604982206405694</v>
      </c>
      <c r="Q21" s="6">
        <f>IF(AND(O11&lt;&gt;"",Q$19=1),O11*Summary!$F$6,$C21)</f>
        <v>62.604982206405694</v>
      </c>
      <c r="R21" s="6">
        <f>IF(AND(P11&lt;&gt;"",R$19=1),P11*Summary!$F$6,$C21)</f>
        <v>62.604982206405694</v>
      </c>
      <c r="S21" s="6">
        <f>IF(AND(Q11&lt;&gt;"",S$19=1),Q11*Summary!$F$6,$C21)</f>
        <v>62.604982206405694</v>
      </c>
      <c r="T21" s="6">
        <f>IF(AND(R11&lt;&gt;"",T$19=1),R11*Summary!$F$6,$C21)</f>
        <v>62.604982206405694</v>
      </c>
      <c r="U21" s="6">
        <f>IF(AND(S11&lt;&gt;"",U$19=1),S11*Summary!$F$6,$C21)</f>
        <v>62.604982206405694</v>
      </c>
      <c r="V21" s="6">
        <f>IF(AND(T11&lt;&gt;"",V$19=1),T11*Summary!$F$6,$C21)</f>
        <v>62.604982206405694</v>
      </c>
      <c r="W21" s="6">
        <f>IF(AND(U11&lt;&gt;"",W$19=1),U11*Summary!$F$6,$C21)</f>
        <v>62.604982206405694</v>
      </c>
      <c r="X21" s="6">
        <f>IF(AND(V11&lt;&gt;"",X$19=1),V11*Summary!$F$6,$C21)</f>
        <v>62.604982206405694</v>
      </c>
      <c r="Y21" s="6">
        <f>IF(AND(W11&lt;&gt;"",Y$19=1),W11*Summary!$F$6,$C21)</f>
        <v>62.604982206405694</v>
      </c>
      <c r="Z21" s="6">
        <f>IF(AND(X11&lt;&gt;"",Z$19=1),X11*Summary!$F$6,$C21)</f>
        <v>62.604982206405694</v>
      </c>
      <c r="AA21" s="6">
        <f>IF(AND(Y11&lt;&gt;"",AA$19=1),Y11*Summary!$F$6,$C21)</f>
        <v>62.604982206405694</v>
      </c>
      <c r="AB21" s="6">
        <f>IF(AND(Z11&lt;&gt;"",AB$19=1),Z11*Summary!$F$6,$C21)</f>
        <v>62.604982206405694</v>
      </c>
      <c r="AC21" s="6">
        <f>IF(AND(AA11&lt;&gt;"",AC$19=1),AA11*Summary!$F$6,$C21)</f>
        <v>62.604982206405694</v>
      </c>
      <c r="AD21" s="6">
        <f>IF(AND(AB11&lt;&gt;"",AD$19=1),AB11*Summary!$F$6,$C21)</f>
        <v>62.604982206405694</v>
      </c>
      <c r="AE21" s="6">
        <f>IF(AND(AC11&lt;&gt;"",AE$19=1),AC11*Summary!$F$6,$C21)</f>
        <v>62.604982206405694</v>
      </c>
      <c r="AF21" s="6">
        <f>IF(AND(AD11&lt;&gt;"",AF$19=1),AD11*Summary!$F$6,$C21)</f>
        <v>62.604982206405694</v>
      </c>
      <c r="AG21" s="6">
        <f>IF(AND(AE11&lt;&gt;"",AG$19=1),AE11*Summary!$F$6,$C21)</f>
        <v>62.604982206405694</v>
      </c>
      <c r="AH21" s="6">
        <f>IF(AND(AF11&lt;&gt;"",AH$19=1),AF11*Summary!$F$6,$C21)</f>
        <v>62.604982206405694</v>
      </c>
      <c r="AI21" s="6">
        <f>IF(AND(AG11&lt;&gt;"",AI$19=1),AG11*Summary!$F$6,$C21)</f>
        <v>62.604982206405694</v>
      </c>
    </row>
    <row r="22" spans="1:36">
      <c r="A22" s="2">
        <v>0</v>
      </c>
      <c r="B22" s="2">
        <v>1</v>
      </c>
      <c r="C22" s="51">
        <f>AH12*Summary!$F$6</f>
        <v>41.338078291814945</v>
      </c>
      <c r="D22" s="6">
        <f>IF(AND(B12&lt;&gt;"",D$19=1),B12*Summary!$F$6,$C22)</f>
        <v>41.338078291814945</v>
      </c>
      <c r="E22" s="6">
        <f>IF(AND(C12&lt;&gt;"",E$19=1),C12*Summary!$F$6,$C22)</f>
        <v>41.338078291814945</v>
      </c>
      <c r="F22" s="6">
        <f>IF(AND(D12&lt;&gt;"",F$19=1),D12*Summary!$F$6,$C22)</f>
        <v>41.338078291814945</v>
      </c>
      <c r="G22" s="6">
        <f>IF(AND(E12&lt;&gt;"",G$19=1),E12*Summary!$F$6,$C22)</f>
        <v>41.338078291814945</v>
      </c>
      <c r="H22" s="6">
        <f>IF(AND(F12&lt;&gt;"",H$19=1),F12*Summary!$F$6,$C22)</f>
        <v>41.338078291814945</v>
      </c>
      <c r="I22" s="6">
        <f>IF(AND(G12&lt;&gt;"",I$19=1),G12*Summary!$F$6,$C22)</f>
        <v>41.338078291814945</v>
      </c>
      <c r="J22" s="6">
        <f>IF(AND(H12&lt;&gt;"",J$19=1),H12*Summary!$F$6,$C22)</f>
        <v>41.338078291814945</v>
      </c>
      <c r="K22" s="6">
        <f>IF(AND(I12&lt;&gt;"",K$19=1),I12*Summary!$F$6,$C22)</f>
        <v>41.338078291814945</v>
      </c>
      <c r="L22" s="6">
        <f>IF(AND(J12&lt;&gt;"",L$19=1),J12*Summary!$F$6,$C22)</f>
        <v>41.338078291814945</v>
      </c>
      <c r="M22" s="6">
        <f>IF(AND(K12&lt;&gt;"",M$19=1),K12*Summary!$F$6,$C22)</f>
        <v>41.338078291814945</v>
      </c>
      <c r="N22" s="6">
        <f>IF(AND(L12&lt;&gt;"",N$19=1),L12*Summary!$F$6,$C22)</f>
        <v>41.338078291814945</v>
      </c>
      <c r="O22" s="6">
        <f>IF(AND(M12&lt;&gt;"",O$19=1),M12*Summary!$F$6,$C22)</f>
        <v>41.338078291814945</v>
      </c>
      <c r="P22" s="6">
        <f>IF(AND(N12&lt;&gt;"",P$19=1),N12*Summary!$F$6,$C22)</f>
        <v>41.338078291814945</v>
      </c>
      <c r="Q22" s="6">
        <f>IF(AND(O12&lt;&gt;"",Q$19=1),O12*Summary!$F$6,$C22)</f>
        <v>41.338078291814945</v>
      </c>
      <c r="R22" s="6">
        <f>IF(AND(P12&lt;&gt;"",R$19=1),P12*Summary!$F$6,$C22)</f>
        <v>41.338078291814945</v>
      </c>
      <c r="S22" s="6">
        <f>IF(AND(Q12&lt;&gt;"",S$19=1),Q12*Summary!$F$6,$C22)</f>
        <v>41.338078291814945</v>
      </c>
      <c r="T22" s="6">
        <f>IF(AND(R12&lt;&gt;"",T$19=1),R12*Summary!$F$6,$C22)</f>
        <v>41.338078291814945</v>
      </c>
      <c r="U22" s="6">
        <f>IF(AND(S12&lt;&gt;"",U$19=1),S12*Summary!$F$6,$C22)</f>
        <v>41.338078291814945</v>
      </c>
      <c r="V22" s="6">
        <f>IF(AND(T12&lt;&gt;"",V$19=1),T12*Summary!$F$6,$C22)</f>
        <v>41.338078291814945</v>
      </c>
      <c r="W22" s="6">
        <f>IF(AND(U12&lt;&gt;"",W$19=1),U12*Summary!$F$6,$C22)</f>
        <v>41.338078291814945</v>
      </c>
      <c r="X22" s="6">
        <f>IF(AND(V12&lt;&gt;"",X$19=1),V12*Summary!$F$6,$C22)</f>
        <v>41.338078291814945</v>
      </c>
      <c r="Y22" s="6">
        <f>IF(AND(W12&lt;&gt;"",Y$19=1),W12*Summary!$F$6,$C22)</f>
        <v>41.338078291814945</v>
      </c>
      <c r="Z22" s="6">
        <f>IF(AND(X12&lt;&gt;"",Z$19=1),X12*Summary!$F$6,$C22)</f>
        <v>41.338078291814945</v>
      </c>
      <c r="AA22" s="6">
        <f>IF(AND(Y12&lt;&gt;"",AA$19=1),Y12*Summary!$F$6,$C22)</f>
        <v>41.338078291814945</v>
      </c>
      <c r="AB22" s="6">
        <f>IF(AND(Z12&lt;&gt;"",AB$19=1),Z12*Summary!$F$6,$C22)</f>
        <v>41.338078291814945</v>
      </c>
      <c r="AC22" s="6">
        <f>IF(AND(AA12&lt;&gt;"",AC$19=1),AA12*Summary!$F$6,$C22)</f>
        <v>41.338078291814945</v>
      </c>
      <c r="AD22" s="6">
        <f>IF(AND(AB12&lt;&gt;"",AD$19=1),AB12*Summary!$F$6,$C22)</f>
        <v>41.338078291814945</v>
      </c>
      <c r="AE22" s="6">
        <f>IF(AND(AC12&lt;&gt;"",AE$19=1),AC12*Summary!$F$6,$C22)</f>
        <v>41.338078291814945</v>
      </c>
      <c r="AF22" s="6">
        <f>IF(AND(AD12&lt;&gt;"",AF$19=1),AD12*Summary!$F$6,$C22)</f>
        <v>41.338078291814945</v>
      </c>
      <c r="AG22" s="6">
        <f>IF(AND(AE12&lt;&gt;"",AG$19=1),AE12*Summary!$F$6,$C22)</f>
        <v>41.338078291814945</v>
      </c>
      <c r="AH22" s="6">
        <f>IF(AND(AF12&lt;&gt;"",AH$19=1),AF12*Summary!$F$6,$C22)</f>
        <v>41.338078291814945</v>
      </c>
      <c r="AI22" s="6">
        <f>IF(AND(AG12&lt;&gt;"",AI$19=1),AG12*Summary!$F$6,$C22)</f>
        <v>41.338078291814945</v>
      </c>
    </row>
    <row r="23" spans="1:36">
      <c r="A23" s="2">
        <f>A21+1</f>
        <v>1</v>
      </c>
      <c r="B23" s="2">
        <f>B21</f>
        <v>0</v>
      </c>
      <c r="C23" s="51">
        <f>AH13*Summary!$F$6</f>
        <v>60.875444839857657</v>
      </c>
      <c r="D23" s="6">
        <f>IF(AND(B13&lt;&gt;"",D$19=1),B13*Summary!$F$6,$C23)</f>
        <v>60.875444839857657</v>
      </c>
      <c r="E23" s="6">
        <f>IF(AND(C13&lt;&gt;"",E$19=1),C13*Summary!$F$6,$C23)</f>
        <v>60.875444839857657</v>
      </c>
      <c r="F23" s="6">
        <f>IF(AND(D13&lt;&gt;"",F$19=1),D13*Summary!$F$6,$C23)</f>
        <v>60.875444839857657</v>
      </c>
      <c r="G23" s="6">
        <f>IF(AND(E13&lt;&gt;"",G$19=1),E13*Summary!$F$6,$C23)</f>
        <v>60.875444839857657</v>
      </c>
      <c r="H23" s="6">
        <f>IF(AND(F13&lt;&gt;"",H$19=1),F13*Summary!$F$6,$C23)</f>
        <v>60.875444839857657</v>
      </c>
      <c r="I23" s="6">
        <f>IF(AND(G13&lt;&gt;"",I$19=1),G13*Summary!$F$6,$C23)</f>
        <v>60.875444839857657</v>
      </c>
      <c r="J23" s="6">
        <f>IF(AND(H13&lt;&gt;"",J$19=1),H13*Summary!$F$6,$C23)</f>
        <v>60.875444839857657</v>
      </c>
      <c r="K23" s="6">
        <f>IF(AND(I13&lt;&gt;"",K$19=1),I13*Summary!$F$6,$C23)</f>
        <v>60.875444839857657</v>
      </c>
      <c r="L23" s="6">
        <f>IF(AND(J13&lt;&gt;"",L$19=1),J13*Summary!$F$6,$C23)</f>
        <v>60.875444839857657</v>
      </c>
      <c r="M23" s="6">
        <f>IF(AND(K13&lt;&gt;"",M$19=1),K13*Summary!$F$6,$C23)</f>
        <v>60.875444839857657</v>
      </c>
      <c r="N23" s="6">
        <f>IF(AND(L13&lt;&gt;"",N$19=1),L13*Summary!$F$6,$C23)</f>
        <v>60.875444839857657</v>
      </c>
      <c r="O23" s="6">
        <f>IF(AND(M13&lt;&gt;"",O$19=1),M13*Summary!$F$6,$C23)</f>
        <v>60.875444839857657</v>
      </c>
      <c r="P23" s="6">
        <f>IF(AND(N13&lt;&gt;"",P$19=1),N13*Summary!$F$6,$C23)</f>
        <v>60.875444839857657</v>
      </c>
      <c r="Q23" s="6">
        <f>IF(AND(O13&lt;&gt;"",Q$19=1),O13*Summary!$F$6,$C23)</f>
        <v>60.875444839857657</v>
      </c>
      <c r="R23" s="6">
        <f>IF(AND(P13&lt;&gt;"",R$19=1),P13*Summary!$F$6,$C23)</f>
        <v>60.875444839857657</v>
      </c>
      <c r="S23" s="6">
        <f>IF(AND(Q13&lt;&gt;"",S$19=1),Q13*Summary!$F$6,$C23)</f>
        <v>60.875444839857657</v>
      </c>
      <c r="T23" s="6">
        <f>IF(AND(R13&lt;&gt;"",T$19=1),R13*Summary!$F$6,$C23)</f>
        <v>60.875444839857657</v>
      </c>
      <c r="U23" s="6">
        <f>IF(AND(S13&lt;&gt;"",U$19=1),S13*Summary!$F$6,$C23)</f>
        <v>60.875444839857657</v>
      </c>
      <c r="V23" s="6">
        <f>IF(AND(T13&lt;&gt;"",V$19=1),T13*Summary!$F$6,$C23)</f>
        <v>60.875444839857657</v>
      </c>
      <c r="W23" s="6">
        <f>IF(AND(U13&lt;&gt;"",W$19=1),U13*Summary!$F$6,$C23)</f>
        <v>60.875444839857657</v>
      </c>
      <c r="X23" s="6">
        <f>IF(AND(V13&lt;&gt;"",X$19=1),V13*Summary!$F$6,$C23)</f>
        <v>60.875444839857657</v>
      </c>
      <c r="Y23" s="6">
        <f>IF(AND(W13&lt;&gt;"",Y$19=1),W13*Summary!$F$6,$C23)</f>
        <v>60.875444839857657</v>
      </c>
      <c r="Z23" s="6">
        <f>IF(AND(X13&lt;&gt;"",Z$19=1),X13*Summary!$F$6,$C23)</f>
        <v>60.875444839857657</v>
      </c>
      <c r="AA23" s="6">
        <f>IF(AND(Y13&lt;&gt;"",AA$19=1),Y13*Summary!$F$6,$C23)</f>
        <v>60.875444839857657</v>
      </c>
      <c r="AB23" s="6">
        <f>IF(AND(Z13&lt;&gt;"",AB$19=1),Z13*Summary!$F$6,$C23)</f>
        <v>60.875444839857657</v>
      </c>
      <c r="AC23" s="6">
        <f>IF(AND(AA13&lt;&gt;"",AC$19=1),AA13*Summary!$F$6,$C23)</f>
        <v>60.875444839857657</v>
      </c>
      <c r="AD23" s="6">
        <f>IF(AND(AB13&lt;&gt;"",AD$19=1),AB13*Summary!$F$6,$C23)</f>
        <v>60.875444839857657</v>
      </c>
      <c r="AE23" s="6">
        <f>IF(AND(AC13&lt;&gt;"",AE$19=1),AC13*Summary!$F$6,$C23)</f>
        <v>60.875444839857657</v>
      </c>
      <c r="AF23" s="6">
        <f>IF(AND(AD13&lt;&gt;"",AF$19=1),AD13*Summary!$F$6,$C23)</f>
        <v>60.875444839857657</v>
      </c>
      <c r="AG23" s="6">
        <f>IF(AND(AE13&lt;&gt;"",AG$19=1),AE13*Summary!$F$6,$C23)</f>
        <v>60.875444839857657</v>
      </c>
      <c r="AH23" s="6">
        <f>IF(AND(AF13&lt;&gt;"",AH$19=1),AF13*Summary!$F$6,$C23)</f>
        <v>60.875444839857657</v>
      </c>
      <c r="AI23" s="6">
        <f>IF(AND(AG13&lt;&gt;"",AI$19=1),AG13*Summary!$F$6,$C23)</f>
        <v>60.875444839857657</v>
      </c>
    </row>
    <row r="24" spans="1:36">
      <c r="A24" s="2">
        <f t="shared" ref="A24:A28" si="9">A22+1</f>
        <v>1</v>
      </c>
      <c r="B24" s="2">
        <f t="shared" ref="B24:B28" si="10">B22</f>
        <v>1</v>
      </c>
      <c r="C24" s="51">
        <f>AH14*Summary!$F$6</f>
        <v>40.09964412811388</v>
      </c>
      <c r="D24" s="6">
        <f>IF(AND(B14&lt;&gt;"",D$19=1),B14*Summary!$F$6,$C24)</f>
        <v>40.09964412811388</v>
      </c>
      <c r="E24" s="6">
        <f>IF(AND(C14&lt;&gt;"",E$19=1),C14*Summary!$F$6,$C24)</f>
        <v>40.09964412811388</v>
      </c>
      <c r="F24" s="6">
        <f>IF(AND(D14&lt;&gt;"",F$19=1),D14*Summary!$F$6,$C24)</f>
        <v>40.09964412811388</v>
      </c>
      <c r="G24" s="6">
        <f>IF(AND(E14&lt;&gt;"",G$19=1),E14*Summary!$F$6,$C24)</f>
        <v>40.09964412811388</v>
      </c>
      <c r="H24" s="6">
        <f>IF(AND(F14&lt;&gt;"",H$19=1),F14*Summary!$F$6,$C24)</f>
        <v>40.09964412811388</v>
      </c>
      <c r="I24" s="6">
        <f>IF(AND(G14&lt;&gt;"",I$19=1),G14*Summary!$F$6,$C24)</f>
        <v>40.09964412811388</v>
      </c>
      <c r="J24" s="6">
        <f>IF(AND(H14&lt;&gt;"",J$19=1),H14*Summary!$F$6,$C24)</f>
        <v>40.09964412811388</v>
      </c>
      <c r="K24" s="6">
        <f>IF(AND(I14&lt;&gt;"",K$19=1),I14*Summary!$F$6,$C24)</f>
        <v>40.09964412811388</v>
      </c>
      <c r="L24" s="6">
        <f>IF(AND(J14&lt;&gt;"",L$19=1),J14*Summary!$F$6,$C24)</f>
        <v>40.09964412811388</v>
      </c>
      <c r="M24" s="6">
        <f>IF(AND(K14&lt;&gt;"",M$19=1),K14*Summary!$F$6,$C24)</f>
        <v>40.09964412811388</v>
      </c>
      <c r="N24" s="6">
        <f>IF(AND(L14&lt;&gt;"",N$19=1),L14*Summary!$F$6,$C24)</f>
        <v>40.09964412811388</v>
      </c>
      <c r="O24" s="6">
        <f>IF(AND(M14&lt;&gt;"",O$19=1),M14*Summary!$F$6,$C24)</f>
        <v>40.09964412811388</v>
      </c>
      <c r="P24" s="6">
        <f>IF(AND(N14&lt;&gt;"",P$19=1),N14*Summary!$F$6,$C24)</f>
        <v>40.09964412811388</v>
      </c>
      <c r="Q24" s="6">
        <f>IF(AND(O14&lt;&gt;"",Q$19=1),O14*Summary!$F$6,$C24)</f>
        <v>40.09964412811388</v>
      </c>
      <c r="R24" s="6">
        <f>IF(AND(P14&lt;&gt;"",R$19=1),P14*Summary!$F$6,$C24)</f>
        <v>40.09964412811388</v>
      </c>
      <c r="S24" s="6">
        <f>IF(AND(Q14&lt;&gt;"",S$19=1),Q14*Summary!$F$6,$C24)</f>
        <v>40.09964412811388</v>
      </c>
      <c r="T24" s="6">
        <f>IF(AND(R14&lt;&gt;"",T$19=1),R14*Summary!$F$6,$C24)</f>
        <v>40.09964412811388</v>
      </c>
      <c r="U24" s="6">
        <f>IF(AND(S14&lt;&gt;"",U$19=1),S14*Summary!$F$6,$C24)</f>
        <v>40.09964412811388</v>
      </c>
      <c r="V24" s="6">
        <f>IF(AND(T14&lt;&gt;"",V$19=1),T14*Summary!$F$6,$C24)</f>
        <v>40.09964412811388</v>
      </c>
      <c r="W24" s="6">
        <f>IF(AND(U14&lt;&gt;"",W$19=1),U14*Summary!$F$6,$C24)</f>
        <v>40.09964412811388</v>
      </c>
      <c r="X24" s="6">
        <f>IF(AND(V14&lt;&gt;"",X$19=1),V14*Summary!$F$6,$C24)</f>
        <v>40.09964412811388</v>
      </c>
      <c r="Y24" s="6">
        <f>IF(AND(W14&lt;&gt;"",Y$19=1),W14*Summary!$F$6,$C24)</f>
        <v>40.09964412811388</v>
      </c>
      <c r="Z24" s="6">
        <f>IF(AND(X14&lt;&gt;"",Z$19=1),X14*Summary!$F$6,$C24)</f>
        <v>40.09964412811388</v>
      </c>
      <c r="AA24" s="6">
        <f>IF(AND(Y14&lt;&gt;"",AA$19=1),Y14*Summary!$F$6,$C24)</f>
        <v>40.09964412811388</v>
      </c>
      <c r="AB24" s="6">
        <f>IF(AND(Z14&lt;&gt;"",AB$19=1),Z14*Summary!$F$6,$C24)</f>
        <v>40.09964412811388</v>
      </c>
      <c r="AC24" s="6">
        <f>IF(AND(AA14&lt;&gt;"",AC$19=1),AA14*Summary!$F$6,$C24)</f>
        <v>40.09964412811388</v>
      </c>
      <c r="AD24" s="6">
        <f>IF(AND(AB14&lt;&gt;"",AD$19=1),AB14*Summary!$F$6,$C24)</f>
        <v>40.09964412811388</v>
      </c>
      <c r="AE24" s="6">
        <f>IF(AND(AC14&lt;&gt;"",AE$19=1),AC14*Summary!$F$6,$C24)</f>
        <v>40.09964412811388</v>
      </c>
      <c r="AF24" s="6">
        <f>IF(AND(AD14&lt;&gt;"",AF$19=1),AD14*Summary!$F$6,$C24)</f>
        <v>40.09964412811388</v>
      </c>
      <c r="AG24" s="6">
        <f>IF(AND(AE14&lt;&gt;"",AG$19=1),AE14*Summary!$F$6,$C24)</f>
        <v>40.09964412811388</v>
      </c>
      <c r="AH24" s="6">
        <f>IF(AND(AF14&lt;&gt;"",AH$19=1),AF14*Summary!$F$6,$C24)</f>
        <v>40.09964412811388</v>
      </c>
      <c r="AI24" s="6">
        <f>IF(AND(AG14&lt;&gt;"",AI$19=1),AG14*Summary!$F$6,$C24)</f>
        <v>40.09964412811388</v>
      </c>
    </row>
    <row r="25" spans="1:36">
      <c r="A25" s="2">
        <f t="shared" si="9"/>
        <v>2</v>
      </c>
      <c r="B25" s="2">
        <f t="shared" si="10"/>
        <v>0</v>
      </c>
      <c r="C25" s="51">
        <f>AH15*Summary!$F$6</f>
        <v>66.832740213523138</v>
      </c>
      <c r="D25" s="6">
        <f>IF(AND(B15&lt;&gt;"",D$19=1),B15*Summary!$F$6,$C25)</f>
        <v>66.832740213523138</v>
      </c>
      <c r="E25" s="6">
        <f>IF(AND(C15&lt;&gt;"",E$19=1),C15*Summary!$F$6,$C25)</f>
        <v>66.832740213523138</v>
      </c>
      <c r="F25" s="6">
        <f>IF(AND(D15&lt;&gt;"",F$19=1),D15*Summary!$F$6,$C25)</f>
        <v>66.832740213523138</v>
      </c>
      <c r="G25" s="6">
        <f>IF(AND(E15&lt;&gt;"",G$19=1),E15*Summary!$F$6,$C25)</f>
        <v>66.832740213523138</v>
      </c>
      <c r="H25" s="6">
        <f>IF(AND(F15&lt;&gt;"",H$19=1),F15*Summary!$F$6,$C25)</f>
        <v>66.832740213523138</v>
      </c>
      <c r="I25" s="6">
        <f>IF(AND(G15&lt;&gt;"",I$19=1),G15*Summary!$F$6,$C25)</f>
        <v>66.832740213523138</v>
      </c>
      <c r="J25" s="6">
        <f>IF(AND(H15&lt;&gt;"",J$19=1),H15*Summary!$F$6,$C25)</f>
        <v>66.832740213523138</v>
      </c>
      <c r="K25" s="6">
        <f>IF(AND(I15&lt;&gt;"",K$19=1),I15*Summary!$F$6,$C25)</f>
        <v>66.832740213523138</v>
      </c>
      <c r="L25" s="6">
        <f>IF(AND(J15&lt;&gt;"",L$19=1),J15*Summary!$F$6,$C25)</f>
        <v>66.832740213523138</v>
      </c>
      <c r="M25" s="6">
        <f>IF(AND(K15&lt;&gt;"",M$19=1),K15*Summary!$F$6,$C25)</f>
        <v>66.832740213523138</v>
      </c>
      <c r="N25" s="6">
        <f>IF(AND(L15&lt;&gt;"",N$19=1),L15*Summary!$F$6,$C25)</f>
        <v>66.832740213523138</v>
      </c>
      <c r="O25" s="6">
        <f>IF(AND(M15&lt;&gt;"",O$19=1),M15*Summary!$F$6,$C25)</f>
        <v>66.832740213523138</v>
      </c>
      <c r="P25" s="6">
        <f>IF(AND(N15&lt;&gt;"",P$19=1),N15*Summary!$F$6,$C25)</f>
        <v>66.832740213523138</v>
      </c>
      <c r="Q25" s="6">
        <f>IF(AND(O15&lt;&gt;"",Q$19=1),O15*Summary!$F$6,$C25)</f>
        <v>66.832740213523138</v>
      </c>
      <c r="R25" s="6">
        <f>IF(AND(P15&lt;&gt;"",R$19=1),P15*Summary!$F$6,$C25)</f>
        <v>66.832740213523138</v>
      </c>
      <c r="S25" s="6">
        <f>IF(AND(Q15&lt;&gt;"",S$19=1),Q15*Summary!$F$6,$C25)</f>
        <v>66.832740213523138</v>
      </c>
      <c r="T25" s="6">
        <f>IF(AND(R15&lt;&gt;"",T$19=1),R15*Summary!$F$6,$C25)</f>
        <v>66.832740213523138</v>
      </c>
      <c r="U25" s="6">
        <f>IF(AND(S15&lt;&gt;"",U$19=1),S15*Summary!$F$6,$C25)</f>
        <v>66.832740213523138</v>
      </c>
      <c r="V25" s="6">
        <f>IF(AND(T15&lt;&gt;"",V$19=1),T15*Summary!$F$6,$C25)</f>
        <v>66.832740213523138</v>
      </c>
      <c r="W25" s="6">
        <f>IF(AND(U15&lt;&gt;"",W$19=1),U15*Summary!$F$6,$C25)</f>
        <v>66.832740213523138</v>
      </c>
      <c r="X25" s="6">
        <f>IF(AND(V15&lt;&gt;"",X$19=1),V15*Summary!$F$6,$C25)</f>
        <v>66.832740213523138</v>
      </c>
      <c r="Y25" s="6">
        <f>IF(AND(W15&lt;&gt;"",Y$19=1),W15*Summary!$F$6,$C25)</f>
        <v>66.832740213523138</v>
      </c>
      <c r="Z25" s="6">
        <f>IF(AND(X15&lt;&gt;"",Z$19=1),X15*Summary!$F$6,$C25)</f>
        <v>66.832740213523138</v>
      </c>
      <c r="AA25" s="6">
        <f>IF(AND(Y15&lt;&gt;"",AA$19=1),Y15*Summary!$F$6,$C25)</f>
        <v>66.832740213523138</v>
      </c>
      <c r="AB25" s="6">
        <f>IF(AND(Z15&lt;&gt;"",AB$19=1),Z15*Summary!$F$6,$C25)</f>
        <v>66.832740213523138</v>
      </c>
      <c r="AC25" s="6">
        <f>IF(AND(AA15&lt;&gt;"",AC$19=1),AA15*Summary!$F$6,$C25)</f>
        <v>66.832740213523138</v>
      </c>
      <c r="AD25" s="6">
        <f>IF(AND(AB15&lt;&gt;"",AD$19=1),AB15*Summary!$F$6,$C25)</f>
        <v>66.832740213523138</v>
      </c>
      <c r="AE25" s="6">
        <f>IF(AND(AC15&lt;&gt;"",AE$19=1),AC15*Summary!$F$6,$C25)</f>
        <v>66.832740213523138</v>
      </c>
      <c r="AF25" s="6">
        <f>IF(AND(AD15&lt;&gt;"",AF$19=1),AD15*Summary!$F$6,$C25)</f>
        <v>66.832740213523138</v>
      </c>
      <c r="AG25" s="6">
        <f>IF(AND(AE15&lt;&gt;"",AG$19=1),AE15*Summary!$F$6,$C25)</f>
        <v>66.832740213523138</v>
      </c>
      <c r="AH25" s="6">
        <f>IF(AND(AF15&lt;&gt;"",AH$19=1),AF15*Summary!$F$6,$C25)</f>
        <v>66.832740213523138</v>
      </c>
      <c r="AI25" s="6">
        <f>IF(AND(AG15&lt;&gt;"",AI$19=1),AG15*Summary!$F$6,$C25)</f>
        <v>66.832740213523138</v>
      </c>
    </row>
    <row r="26" spans="1:36">
      <c r="A26" s="2">
        <f t="shared" si="9"/>
        <v>2</v>
      </c>
      <c r="B26" s="2">
        <f t="shared" si="10"/>
        <v>1</v>
      </c>
      <c r="C26" s="51">
        <f>AH16*Summary!$F$6</f>
        <v>31.473309608540927</v>
      </c>
      <c r="D26" s="6">
        <f>IF(AND(B16&lt;&gt;"",D$19=1),B16*Summary!$F$6,$C26)</f>
        <v>31.473309608540927</v>
      </c>
      <c r="E26" s="6">
        <f>IF(AND(C16&lt;&gt;"",E$19=1),C16*Summary!$F$6,$C26)</f>
        <v>31.473309608540927</v>
      </c>
      <c r="F26" s="6">
        <f>IF(AND(D16&lt;&gt;"",F$19=1),D16*Summary!$F$6,$C26)</f>
        <v>31.473309608540927</v>
      </c>
      <c r="G26" s="6">
        <f>IF(AND(E16&lt;&gt;"",G$19=1),E16*Summary!$F$6,$C26)</f>
        <v>31.473309608540927</v>
      </c>
      <c r="H26" s="6">
        <f>IF(AND(F16&lt;&gt;"",H$19=1),F16*Summary!$F$6,$C26)</f>
        <v>31.473309608540927</v>
      </c>
      <c r="I26" s="6">
        <f>IF(AND(G16&lt;&gt;"",I$19=1),G16*Summary!$F$6,$C26)</f>
        <v>31.473309608540927</v>
      </c>
      <c r="J26" s="6">
        <f>IF(AND(H16&lt;&gt;"",J$19=1),H16*Summary!$F$6,$C26)</f>
        <v>31.473309608540927</v>
      </c>
      <c r="K26" s="6">
        <f>IF(AND(I16&lt;&gt;"",K$19=1),I16*Summary!$F$6,$C26)</f>
        <v>31.473309608540927</v>
      </c>
      <c r="L26" s="6">
        <f>IF(AND(J16&lt;&gt;"",L$19=1),J16*Summary!$F$6,$C26)</f>
        <v>31.473309608540927</v>
      </c>
      <c r="M26" s="6">
        <f>IF(AND(K16&lt;&gt;"",M$19=1),K16*Summary!$F$6,$C26)</f>
        <v>31.473309608540927</v>
      </c>
      <c r="N26" s="6">
        <f>IF(AND(L16&lt;&gt;"",N$19=1),L16*Summary!$F$6,$C26)</f>
        <v>31.473309608540927</v>
      </c>
      <c r="O26" s="6">
        <f>IF(AND(M16&lt;&gt;"",O$19=1),M16*Summary!$F$6,$C26)</f>
        <v>31.473309608540927</v>
      </c>
      <c r="P26" s="6">
        <f>IF(AND(N16&lt;&gt;"",P$19=1),N16*Summary!$F$6,$C26)</f>
        <v>31.473309608540927</v>
      </c>
      <c r="Q26" s="6">
        <f>IF(AND(O16&lt;&gt;"",Q$19=1),O16*Summary!$F$6,$C26)</f>
        <v>31.473309608540927</v>
      </c>
      <c r="R26" s="6">
        <f>IF(AND(P16&lt;&gt;"",R$19=1),P16*Summary!$F$6,$C26)</f>
        <v>31.473309608540927</v>
      </c>
      <c r="S26" s="6">
        <f>IF(AND(Q16&lt;&gt;"",S$19=1),Q16*Summary!$F$6,$C26)</f>
        <v>31.473309608540927</v>
      </c>
      <c r="T26" s="6">
        <f>IF(AND(R16&lt;&gt;"",T$19=1),R16*Summary!$F$6,$C26)</f>
        <v>31.473309608540927</v>
      </c>
      <c r="U26" s="6">
        <f>IF(AND(S16&lt;&gt;"",U$19=1),S16*Summary!$F$6,$C26)</f>
        <v>31.473309608540927</v>
      </c>
      <c r="V26" s="6">
        <f>IF(AND(T16&lt;&gt;"",V$19=1),T16*Summary!$F$6,$C26)</f>
        <v>31.473309608540927</v>
      </c>
      <c r="W26" s="6">
        <f>IF(AND(U16&lt;&gt;"",W$19=1),U16*Summary!$F$6,$C26)</f>
        <v>31.473309608540927</v>
      </c>
      <c r="X26" s="6">
        <f>IF(AND(V16&lt;&gt;"",X$19=1),V16*Summary!$F$6,$C26)</f>
        <v>31.473309608540927</v>
      </c>
      <c r="Y26" s="6">
        <f>IF(AND(W16&lt;&gt;"",Y$19=1),W16*Summary!$F$6,$C26)</f>
        <v>31.473309608540927</v>
      </c>
      <c r="Z26" s="6">
        <f>IF(AND(X16&lt;&gt;"",Z$19=1),X16*Summary!$F$6,$C26)</f>
        <v>31.473309608540927</v>
      </c>
      <c r="AA26" s="6">
        <f>IF(AND(Y16&lt;&gt;"",AA$19=1),Y16*Summary!$F$6,$C26)</f>
        <v>31.473309608540927</v>
      </c>
      <c r="AB26" s="6">
        <f>IF(AND(Z16&lt;&gt;"",AB$19=1),Z16*Summary!$F$6,$C26)</f>
        <v>31.473309608540927</v>
      </c>
      <c r="AC26" s="6">
        <f>IF(AND(AA16&lt;&gt;"",AC$19=1),AA16*Summary!$F$6,$C26)</f>
        <v>31.473309608540927</v>
      </c>
      <c r="AD26" s="6">
        <f>IF(AND(AB16&lt;&gt;"",AD$19=1),AB16*Summary!$F$6,$C26)</f>
        <v>31.473309608540927</v>
      </c>
      <c r="AE26" s="6">
        <f>IF(AND(AC16&lt;&gt;"",AE$19=1),AC16*Summary!$F$6,$C26)</f>
        <v>31.473309608540927</v>
      </c>
      <c r="AF26" s="6">
        <f>IF(AND(AD16&lt;&gt;"",AF$19=1),AD16*Summary!$F$6,$C26)</f>
        <v>31.473309608540927</v>
      </c>
      <c r="AG26" s="6">
        <f>IF(AND(AE16&lt;&gt;"",AG$19=1),AE16*Summary!$F$6,$C26)</f>
        <v>31.473309608540927</v>
      </c>
      <c r="AH26" s="6">
        <f>IF(AND(AF16&lt;&gt;"",AH$19=1),AF16*Summary!$F$6,$C26)</f>
        <v>31.473309608540927</v>
      </c>
      <c r="AI26" s="6">
        <f>IF(AND(AG16&lt;&gt;"",AI$19=1),AG16*Summary!$F$6,$C26)</f>
        <v>31.473309608540927</v>
      </c>
    </row>
    <row r="27" spans="1:36">
      <c r="A27" s="2">
        <f t="shared" si="9"/>
        <v>3</v>
      </c>
      <c r="B27" s="2">
        <f t="shared" si="10"/>
        <v>0</v>
      </c>
      <c r="C27" s="51">
        <f>AH17*Summary!$F$6</f>
        <v>64.654804270462634</v>
      </c>
      <c r="D27" s="6">
        <f>IF(AND(B17&lt;&gt;"",D$19=1),B17*Summary!$F$6,$C27)</f>
        <v>64.654804270462634</v>
      </c>
      <c r="E27" s="6">
        <f>IF(AND(C17&lt;&gt;"",E$19=1),C17*Summary!$F$6,$C27)</f>
        <v>64.654804270462634</v>
      </c>
      <c r="F27" s="6">
        <f>IF(AND(D17&lt;&gt;"",F$19=1),D17*Summary!$F$6,$C27)</f>
        <v>64.654804270462634</v>
      </c>
      <c r="G27" s="6">
        <f>IF(AND(E17&lt;&gt;"",G$19=1),E17*Summary!$F$6,$C27)</f>
        <v>64.654804270462634</v>
      </c>
      <c r="H27" s="6">
        <f>IF(AND(F17&lt;&gt;"",H$19=1),F17*Summary!$F$6,$C27)</f>
        <v>64.654804270462634</v>
      </c>
      <c r="I27" s="6">
        <f>IF(AND(G17&lt;&gt;"",I$19=1),G17*Summary!$F$6,$C27)</f>
        <v>64.654804270462634</v>
      </c>
      <c r="J27" s="6">
        <f>IF(AND(H17&lt;&gt;"",J$19=1),H17*Summary!$F$6,$C27)</f>
        <v>64.654804270462634</v>
      </c>
      <c r="K27" s="6">
        <f>IF(AND(I17&lt;&gt;"",K$19=1),I17*Summary!$F$6,$C27)</f>
        <v>64.654804270462634</v>
      </c>
      <c r="L27" s="6">
        <f>IF(AND(J17&lt;&gt;"",L$19=1),J17*Summary!$F$6,$C27)</f>
        <v>64.654804270462634</v>
      </c>
      <c r="M27" s="6">
        <f>IF(AND(K17&lt;&gt;"",M$19=1),K17*Summary!$F$6,$C27)</f>
        <v>64.654804270462634</v>
      </c>
      <c r="N27" s="6">
        <f>IF(AND(L17&lt;&gt;"",N$19=1),L17*Summary!$F$6,$C27)</f>
        <v>64.654804270462634</v>
      </c>
      <c r="O27" s="6">
        <f>IF(AND(M17&lt;&gt;"",O$19=1),M17*Summary!$F$6,$C27)</f>
        <v>64.654804270462634</v>
      </c>
      <c r="P27" s="6">
        <f>IF(AND(N17&lt;&gt;"",P$19=1),N17*Summary!$F$6,$C27)</f>
        <v>64.654804270462634</v>
      </c>
      <c r="Q27" s="6">
        <f>IF(AND(O17&lt;&gt;"",Q$19=1),O17*Summary!$F$6,$C27)</f>
        <v>64.654804270462634</v>
      </c>
      <c r="R27" s="6">
        <f>IF(AND(P17&lt;&gt;"",R$19=1),P17*Summary!$F$6,$C27)</f>
        <v>64.654804270462634</v>
      </c>
      <c r="S27" s="6">
        <f>IF(AND(Q17&lt;&gt;"",S$19=1),Q17*Summary!$F$6,$C27)</f>
        <v>64.654804270462634</v>
      </c>
      <c r="T27" s="6">
        <f>IF(AND(R17&lt;&gt;"",T$19=1),R17*Summary!$F$6,$C27)</f>
        <v>64.654804270462634</v>
      </c>
      <c r="U27" s="6">
        <f>IF(AND(S17&lt;&gt;"",U$19=1),S17*Summary!$F$6,$C27)</f>
        <v>64.654804270462634</v>
      </c>
      <c r="V27" s="6">
        <f>IF(AND(T17&lt;&gt;"",V$19=1),T17*Summary!$F$6,$C27)</f>
        <v>64.654804270462634</v>
      </c>
      <c r="W27" s="6">
        <f>IF(AND(U17&lt;&gt;"",W$19=1),U17*Summary!$F$6,$C27)</f>
        <v>64.654804270462634</v>
      </c>
      <c r="X27" s="6">
        <f>IF(AND(V17&lt;&gt;"",X$19=1),V17*Summary!$F$6,$C27)</f>
        <v>64.654804270462634</v>
      </c>
      <c r="Y27" s="6">
        <f>IF(AND(W17&lt;&gt;"",Y$19=1),W17*Summary!$F$6,$C27)</f>
        <v>64.654804270462634</v>
      </c>
      <c r="Z27" s="6">
        <f>IF(AND(X17&lt;&gt;"",Z$19=1),X17*Summary!$F$6,$C27)</f>
        <v>64.654804270462634</v>
      </c>
      <c r="AA27" s="6">
        <f>IF(AND(Y17&lt;&gt;"",AA$19=1),Y17*Summary!$F$6,$C27)</f>
        <v>64.654804270462634</v>
      </c>
      <c r="AB27" s="6">
        <f>IF(AND(Z17&lt;&gt;"",AB$19=1),Z17*Summary!$F$6,$C27)</f>
        <v>64.654804270462634</v>
      </c>
      <c r="AC27" s="6">
        <f>IF(AND(AA17&lt;&gt;"",AC$19=1),AA17*Summary!$F$6,$C27)</f>
        <v>64.654804270462634</v>
      </c>
      <c r="AD27" s="6">
        <f>IF(AND(AB17&lt;&gt;"",AD$19=1),AB17*Summary!$F$6,$C27)</f>
        <v>64.654804270462634</v>
      </c>
      <c r="AE27" s="6">
        <f>IF(AND(AC17&lt;&gt;"",AE$19=1),AC17*Summary!$F$6,$C27)</f>
        <v>64.654804270462634</v>
      </c>
      <c r="AF27" s="6">
        <f>IF(AND(AD17&lt;&gt;"",AF$19=1),AD17*Summary!$F$6,$C27)</f>
        <v>64.654804270462634</v>
      </c>
      <c r="AG27" s="6">
        <f>IF(AND(AE17&lt;&gt;"",AG$19=1),AE17*Summary!$F$6,$C27)</f>
        <v>64.654804270462634</v>
      </c>
      <c r="AH27" s="6">
        <f>IF(AND(AF17&lt;&gt;"",AH$19=1),AF17*Summary!$F$6,$C27)</f>
        <v>64.654804270462634</v>
      </c>
      <c r="AI27" s="6">
        <f>IF(AND(AG17&lt;&gt;"",AI$19=1),AG17*Summary!$F$6,$C27)</f>
        <v>64.654804270462634</v>
      </c>
    </row>
    <row r="28" spans="1:36">
      <c r="A28" s="2">
        <f t="shared" si="9"/>
        <v>3</v>
      </c>
      <c r="B28" s="2">
        <f t="shared" si="10"/>
        <v>1</v>
      </c>
      <c r="C28" s="51">
        <f>AH18*Summary!$F$6</f>
        <v>30.469750889679712</v>
      </c>
      <c r="D28" s="6">
        <f>IF(AND(B18&lt;&gt;"",D$19=1),B18*Summary!$F$6,$C28)</f>
        <v>30.469750889679712</v>
      </c>
      <c r="E28" s="6">
        <f>IF(AND(C18&lt;&gt;"",E$19=1),C18*Summary!$F$6,$C28)</f>
        <v>30.469750889679712</v>
      </c>
      <c r="F28" s="6">
        <f>IF(AND(D18&lt;&gt;"",F$19=1),D18*Summary!$F$6,$C28)</f>
        <v>30.469750889679712</v>
      </c>
      <c r="G28" s="6">
        <f>IF(AND(E18&lt;&gt;"",G$19=1),E18*Summary!$F$6,$C28)</f>
        <v>30.469750889679712</v>
      </c>
      <c r="H28" s="6">
        <f>IF(AND(F18&lt;&gt;"",H$19=1),F18*Summary!$F$6,$C28)</f>
        <v>30.469750889679712</v>
      </c>
      <c r="I28" s="6">
        <f>IF(AND(G18&lt;&gt;"",I$19=1),G18*Summary!$F$6,$C28)</f>
        <v>30.469750889679712</v>
      </c>
      <c r="J28" s="6">
        <f>IF(AND(H18&lt;&gt;"",J$19=1),H18*Summary!$F$6,$C28)</f>
        <v>30.469750889679712</v>
      </c>
      <c r="K28" s="6">
        <f>IF(AND(I18&lt;&gt;"",K$19=1),I18*Summary!$F$6,$C28)</f>
        <v>30.469750889679712</v>
      </c>
      <c r="L28" s="6">
        <f>IF(AND(J18&lt;&gt;"",L$19=1),J18*Summary!$F$6,$C28)</f>
        <v>30.469750889679712</v>
      </c>
      <c r="M28" s="6">
        <f>IF(AND(K18&lt;&gt;"",M$19=1),K18*Summary!$F$6,$C28)</f>
        <v>30.469750889679712</v>
      </c>
      <c r="N28" s="6">
        <f>IF(AND(L18&lt;&gt;"",N$19=1),L18*Summary!$F$6,$C28)</f>
        <v>30.469750889679712</v>
      </c>
      <c r="O28" s="6">
        <f>IF(AND(M18&lt;&gt;"",O$19=1),M18*Summary!$F$6,$C28)</f>
        <v>30.469750889679712</v>
      </c>
      <c r="P28" s="6">
        <f>IF(AND(N18&lt;&gt;"",P$19=1),N18*Summary!$F$6,$C28)</f>
        <v>30.469750889679712</v>
      </c>
      <c r="Q28" s="6">
        <f>IF(AND(O18&lt;&gt;"",Q$19=1),O18*Summary!$F$6,$C28)</f>
        <v>30.469750889679712</v>
      </c>
      <c r="R28" s="6">
        <f>IF(AND(P18&lt;&gt;"",R$19=1),P18*Summary!$F$6,$C28)</f>
        <v>30.469750889679712</v>
      </c>
      <c r="S28" s="6">
        <f>IF(AND(Q18&lt;&gt;"",S$19=1),Q18*Summary!$F$6,$C28)</f>
        <v>30.469750889679712</v>
      </c>
      <c r="T28" s="6">
        <f>IF(AND(R18&lt;&gt;"",T$19=1),R18*Summary!$F$6,$C28)</f>
        <v>30.469750889679712</v>
      </c>
      <c r="U28" s="6">
        <f>IF(AND(S18&lt;&gt;"",U$19=1),S18*Summary!$F$6,$C28)</f>
        <v>30.469750889679712</v>
      </c>
      <c r="V28" s="6">
        <f>IF(AND(T18&lt;&gt;"",V$19=1),T18*Summary!$F$6,$C28)</f>
        <v>30.469750889679712</v>
      </c>
      <c r="W28" s="6">
        <f>IF(AND(U18&lt;&gt;"",W$19=1),U18*Summary!$F$6,$C28)</f>
        <v>30.469750889679712</v>
      </c>
      <c r="X28" s="6">
        <f>IF(AND(V18&lt;&gt;"",X$19=1),V18*Summary!$F$6,$C28)</f>
        <v>30.469750889679712</v>
      </c>
      <c r="Y28" s="6">
        <f>IF(AND(W18&lt;&gt;"",Y$19=1),W18*Summary!$F$6,$C28)</f>
        <v>30.469750889679712</v>
      </c>
      <c r="Z28" s="6">
        <f>IF(AND(X18&lt;&gt;"",Z$19=1),X18*Summary!$F$6,$C28)</f>
        <v>30.469750889679712</v>
      </c>
      <c r="AA28" s="6">
        <f>IF(AND(Y18&lt;&gt;"",AA$19=1),Y18*Summary!$F$6,$C28)</f>
        <v>30.469750889679712</v>
      </c>
      <c r="AB28" s="6">
        <f>IF(AND(Z18&lt;&gt;"",AB$19=1),Z18*Summary!$F$6,$C28)</f>
        <v>30.469750889679712</v>
      </c>
      <c r="AC28" s="6">
        <f>IF(AND(AA18&lt;&gt;"",AC$19=1),AA18*Summary!$F$6,$C28)</f>
        <v>30.469750889679712</v>
      </c>
      <c r="AD28" s="6">
        <f>IF(AND(AB18&lt;&gt;"",AD$19=1),AB18*Summary!$F$6,$C28)</f>
        <v>30.469750889679712</v>
      </c>
      <c r="AE28" s="6">
        <f>IF(AND(AC18&lt;&gt;"",AE$19=1),AC18*Summary!$F$6,$C28)</f>
        <v>30.469750889679712</v>
      </c>
      <c r="AF28" s="6">
        <f>IF(AND(AD18&lt;&gt;"",AF$19=1),AD18*Summary!$F$6,$C28)</f>
        <v>30.469750889679712</v>
      </c>
      <c r="AG28" s="6">
        <f>IF(AND(AE18&lt;&gt;"",AG$19=1),AE18*Summary!$F$6,$C28)</f>
        <v>30.469750889679712</v>
      </c>
      <c r="AH28" s="6">
        <f>IF(AND(AF18&lt;&gt;"",AH$19=1),AF18*Summary!$F$6,$C28)</f>
        <v>30.469750889679712</v>
      </c>
      <c r="AI28" s="6">
        <f>IF(AND(AG18&lt;&gt;"",AI$19=1),AG18*Summary!$F$6,$C28)</f>
        <v>30.469750889679712</v>
      </c>
    </row>
  </sheetData>
  <mergeCells count="2">
    <mergeCell ref="A19:C19"/>
    <mergeCell ref="A10:AG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Calculations</vt:lpstr>
      <vt:lpstr>data0</vt:lpstr>
      <vt:lpstr>data1</vt:lpstr>
      <vt:lpstr>data2</vt:lpstr>
    </vt:vector>
  </TitlesOfParts>
  <Company>Intersil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jgetchel</dc:creator>
  <cp:lastModifiedBy>jgetchel</cp:lastModifiedBy>
  <dcterms:created xsi:type="dcterms:W3CDTF">2014-02-06T22:31:49Z</dcterms:created>
  <dcterms:modified xsi:type="dcterms:W3CDTF">2014-02-27T19:28:07Z</dcterms:modified>
</cp:coreProperties>
</file>