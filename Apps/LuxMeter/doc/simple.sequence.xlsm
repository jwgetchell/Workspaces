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-15" yWindow="8595" windowWidth="16575" windowHeight="1515"/>
  </bookViews>
  <sheets>
    <sheet name="Simple" sheetId="4" r:id="rId1"/>
  </sheets>
  <functionGroups/>
  <definedNames>
    <definedName name="AVG">#REF!</definedName>
    <definedName name="Bcomp">#REF!</definedName>
    <definedName name="Blue">#REF!</definedName>
    <definedName name="blueCount0">#REF!</definedName>
    <definedName name="blueCount1">#REF!</definedName>
    <definedName name="blueCount2">#REF!</definedName>
    <definedName name="blueCount3">#REF!</definedName>
    <definedName name="blueVal">#REF!</definedName>
    <definedName name="Bratio">#REF!</definedName>
    <definedName name="Btarget">#REF!</definedName>
    <definedName name="cmpA0">#REF!</definedName>
    <definedName name="cmpAN">#REF!</definedName>
    <definedName name="cmpCWF0">#REF!</definedName>
    <definedName name="cmpCWFN">#REF!</definedName>
    <definedName name="cmpSet">#REF!</definedName>
    <definedName name="cmpTest">#REF!</definedName>
    <definedName name="cmpThres">#REF!</definedName>
    <definedName name="code000">#REF!</definedName>
    <definedName name="code001">#REF!</definedName>
    <definedName name="code002">#REF!</definedName>
    <definedName name="code003">#REF!</definedName>
    <definedName name="code010">#REF!</definedName>
    <definedName name="code011">#REF!</definedName>
    <definedName name="code012">#REF!</definedName>
    <definedName name="code013">#REF!</definedName>
    <definedName name="code020">#REF!</definedName>
    <definedName name="code021">#REF!</definedName>
    <definedName name="code022">#REF!</definedName>
    <definedName name="code023">#REF!</definedName>
    <definedName name="code100">#REF!</definedName>
    <definedName name="code101">#REF!</definedName>
    <definedName name="code102">#REF!</definedName>
    <definedName name="code103">#REF!</definedName>
    <definedName name="code110">#REF!</definedName>
    <definedName name="code111">#REF!</definedName>
    <definedName name="code112">#REF!</definedName>
    <definedName name="code113">#REF!</definedName>
    <definedName name="code120">#REF!</definedName>
    <definedName name="code121">#REF!</definedName>
    <definedName name="code122">#REF!</definedName>
    <definedName name="code123">#REF!</definedName>
    <definedName name="code200">#REF!</definedName>
    <definedName name="code201">#REF!</definedName>
    <definedName name="code202">#REF!</definedName>
    <definedName name="code203">#REF!</definedName>
    <definedName name="code210">#REF!</definedName>
    <definedName name="code211">#REF!</definedName>
    <definedName name="code212">#REF!</definedName>
    <definedName name="code213">#REF!</definedName>
    <definedName name="code220">#REF!</definedName>
    <definedName name="code221">#REF!</definedName>
    <definedName name="code222">#REF!</definedName>
    <definedName name="code223">#REF!</definedName>
    <definedName name="FSR">Simple!$I$7</definedName>
    <definedName name="Gain">#REF!</definedName>
    <definedName name="Green">#REF!</definedName>
    <definedName name="greenCount0">#REF!</definedName>
    <definedName name="greenCount1">#REF!</definedName>
    <definedName name="greenCount2">#REF!</definedName>
    <definedName name="greenCount3">#REF!</definedName>
    <definedName name="greenVal">#REF!</definedName>
    <definedName name="HI">#REF!</definedName>
    <definedName name="HS">#REF!</definedName>
    <definedName name="LO">#REF!</definedName>
    <definedName name="RangeList">#REF!</definedName>
    <definedName name="Ratio">#REF!</definedName>
    <definedName name="Rcomp">#REF!</definedName>
    <definedName name="Red">#REF!</definedName>
    <definedName name="redCount0">#REF!</definedName>
    <definedName name="redCount1">#REF!</definedName>
    <definedName name="redCount2">#REF!</definedName>
    <definedName name="redCount3">#REF!</definedName>
    <definedName name="redVal">#REF!</definedName>
    <definedName name="RGBdata">#REF!</definedName>
    <definedName name="rng">Simple!$I$6</definedName>
    <definedName name="Rratio">#REF!</definedName>
    <definedName name="Rtarget">#REF!</definedName>
    <definedName name="setData">#REF!</definedName>
    <definedName name="sleepTime">Simple!$G$6</definedName>
  </definedNames>
  <calcPr calcId="125725" calcMode="manual" iterate="1"/>
</workbook>
</file>

<file path=xl/calcChain.xml><?xml version="1.0" encoding="utf-8"?>
<calcChain xmlns="http://schemas.openxmlformats.org/spreadsheetml/2006/main">
  <c r="I7" i="4"/>
  <c r="D49" s="1"/>
  <c r="H6"/>
  <c r="F6"/>
  <c r="G14"/>
  <c r="G15" s="1"/>
  <c r="G16" s="1"/>
  <c r="G3"/>
  <c r="G2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D4" l="1"/>
  <c r="D12"/>
  <c r="D20"/>
  <c r="D28"/>
  <c r="D36"/>
  <c r="D44"/>
  <c r="D52"/>
  <c r="D3"/>
  <c r="D11"/>
  <c r="D19"/>
  <c r="D27"/>
  <c r="D35"/>
  <c r="D43"/>
  <c r="D51"/>
  <c r="D8"/>
  <c r="D16"/>
  <c r="D24"/>
  <c r="D32"/>
  <c r="D40"/>
  <c r="D48"/>
  <c r="D7"/>
  <c r="D15"/>
  <c r="D23"/>
  <c r="D31"/>
  <c r="D39"/>
  <c r="D47"/>
  <c r="D2"/>
  <c r="D6"/>
  <c r="D10"/>
  <c r="D14"/>
  <c r="D18"/>
  <c r="D22"/>
  <c r="D26"/>
  <c r="D30"/>
  <c r="D34"/>
  <c r="D38"/>
  <c r="D42"/>
  <c r="D46"/>
  <c r="D50"/>
  <c r="D5"/>
  <c r="D9"/>
  <c r="D13"/>
  <c r="D17"/>
  <c r="D21"/>
  <c r="D25"/>
  <c r="D29"/>
  <c r="D33"/>
  <c r="D37"/>
  <c r="D41"/>
  <c r="D45"/>
  <c r="G5"/>
  <c r="G4"/>
</calcChain>
</file>

<file path=xl/comments1.xml><?xml version="1.0" encoding="utf-8"?>
<comments xmlns="http://schemas.openxmlformats.org/spreadsheetml/2006/main">
  <authors>
    <author>jgetchel</author>
  </authors>
  <commentList>
    <comment ref="F6" authorId="0">
      <text>
        <r>
          <rPr>
            <sz val="12"/>
            <color indexed="81"/>
            <rFont val="Tahoma"/>
            <family val="2"/>
          </rPr>
          <t>Period of output word read</t>
        </r>
      </text>
    </comment>
  </commentList>
</comments>
</file>

<file path=xl/sharedStrings.xml><?xml version="1.0" encoding="utf-8"?>
<sst xmlns="http://schemas.openxmlformats.org/spreadsheetml/2006/main" count="11" uniqueCount="11">
  <si>
    <r>
      <t>X</t>
    </r>
    <r>
      <rPr>
        <sz val="11"/>
        <color theme="1"/>
        <rFont val="Calibri"/>
        <family val="2"/>
      </rPr>
      <t>̅</t>
    </r>
  </si>
  <si>
    <t>σ</t>
  </si>
  <si>
    <t>m</t>
  </si>
  <si>
    <t>Period (ms)</t>
  </si>
  <si>
    <t>ms</t>
  </si>
  <si>
    <t>code</t>
  </si>
  <si>
    <r>
      <rPr>
        <sz val="11"/>
        <color theme="1"/>
        <rFont val="Calibri"/>
        <family val="2"/>
      </rPr>
      <t>σ</t>
    </r>
    <r>
      <rPr>
        <sz val="8.8000000000000007"/>
        <color theme="1"/>
        <rFont val="Calibri"/>
        <family val="2"/>
      </rPr>
      <t>/</t>
    </r>
    <r>
      <rPr>
        <sz val="11"/>
        <color theme="1"/>
        <rFont val="Calibri"/>
        <family val="2"/>
        <scheme val="minor"/>
      </rPr>
      <t>X̅</t>
    </r>
  </si>
  <si>
    <t>Range</t>
  </si>
  <si>
    <t>FSR</t>
  </si>
  <si>
    <t>HEX</t>
  </si>
  <si>
    <t>Lux</t>
  </si>
</sst>
</file>

<file path=xl/styles.xml><?xml version="1.0" encoding="utf-8"?>
<styleSheet xmlns="http://schemas.openxmlformats.org/spreadsheetml/2006/main">
  <numFmts count="1">
    <numFmt numFmtId="164" formatCode="0.0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.8000000000000007"/>
      <color theme="1"/>
      <name val="Calibri"/>
      <family val="2"/>
    </font>
    <font>
      <sz val="12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0" fontId="1" fillId="0" borderId="0" xfId="0" applyNumberFormat="1" applyFont="1" applyFill="1" applyBorder="1" applyAlignment="1">
      <alignment horizontal="center"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Simple!$D$1</c:f>
              <c:strCache>
                <c:ptCount val="1"/>
                <c:pt idx="0">
                  <c:v>Lux</c:v>
                </c:pt>
              </c:strCache>
            </c:strRef>
          </c:tx>
          <c:trendline>
            <c:trendlineType val="linear"/>
            <c:dispEq val="1"/>
            <c:trendlineLbl>
              <c:layout>
                <c:manualLayout>
                  <c:x val="-0.53820766880847137"/>
                  <c:y val="0.84358236337649417"/>
                </c:manualLayout>
              </c:layout>
              <c:numFmt formatCode="General" sourceLinked="0"/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 sz="1100" b="1"/>
                  </a:pPr>
                  <a:endParaRPr lang="en-US"/>
                </a:p>
              </c:txPr>
            </c:trendlineLbl>
          </c:trendline>
          <c:xVal>
            <c:numRef>
              <c:f>Simple!$A$2:$A$52</c:f>
              <c:numCache>
                <c:formatCode>General</c:formatCode>
                <c:ptCount val="5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</c:numCache>
            </c:numRef>
          </c:xVal>
          <c:yVal>
            <c:numRef>
              <c:f>Simple!$D$2:$D$52</c:f>
              <c:numCache>
                <c:formatCode>0.0</c:formatCode>
                <c:ptCount val="51"/>
                <c:pt idx="0">
                  <c:v>1563.6224917982756</c:v>
                </c:pt>
                <c:pt idx="1">
                  <c:v>1563.6224917982756</c:v>
                </c:pt>
                <c:pt idx="2">
                  <c:v>1563.6224917982756</c:v>
                </c:pt>
                <c:pt idx="3">
                  <c:v>1569.9702449073015</c:v>
                </c:pt>
                <c:pt idx="4">
                  <c:v>1569.9702449073015</c:v>
                </c:pt>
                <c:pt idx="5">
                  <c:v>1569.9702449073015</c:v>
                </c:pt>
                <c:pt idx="6">
                  <c:v>1569.9702449073015</c:v>
                </c:pt>
                <c:pt idx="7">
                  <c:v>1569.9702449073015</c:v>
                </c:pt>
                <c:pt idx="8">
                  <c:v>1569.9702449073015</c:v>
                </c:pt>
                <c:pt idx="9">
                  <c:v>1569.9702449073015</c:v>
                </c:pt>
                <c:pt idx="10">
                  <c:v>1569.9702449073015</c:v>
                </c:pt>
                <c:pt idx="11">
                  <c:v>1569.9702449073015</c:v>
                </c:pt>
                <c:pt idx="12">
                  <c:v>1569.9702449073015</c:v>
                </c:pt>
                <c:pt idx="13">
                  <c:v>1569.9702449073015</c:v>
                </c:pt>
                <c:pt idx="14">
                  <c:v>1569.9702449073015</c:v>
                </c:pt>
                <c:pt idx="15">
                  <c:v>1569.9702449073015</c:v>
                </c:pt>
                <c:pt idx="16">
                  <c:v>1569.9702449073015</c:v>
                </c:pt>
                <c:pt idx="17">
                  <c:v>1569.9702449073015</c:v>
                </c:pt>
                <c:pt idx="18">
                  <c:v>1569.9702449073015</c:v>
                </c:pt>
                <c:pt idx="19">
                  <c:v>1569.9702449073015</c:v>
                </c:pt>
                <c:pt idx="20">
                  <c:v>1569.9702449073015</c:v>
                </c:pt>
                <c:pt idx="21">
                  <c:v>1569.9702449073015</c:v>
                </c:pt>
                <c:pt idx="22">
                  <c:v>1569.9702449073015</c:v>
                </c:pt>
                <c:pt idx="23">
                  <c:v>1569.9702449073015</c:v>
                </c:pt>
                <c:pt idx="24">
                  <c:v>1569.9702449073015</c:v>
                </c:pt>
                <c:pt idx="25">
                  <c:v>1569.9702449073015</c:v>
                </c:pt>
                <c:pt idx="26">
                  <c:v>1569.9702449073015</c:v>
                </c:pt>
                <c:pt idx="27">
                  <c:v>1569.9702449073015</c:v>
                </c:pt>
                <c:pt idx="28">
                  <c:v>1569.9702449073015</c:v>
                </c:pt>
                <c:pt idx="29">
                  <c:v>1569.9702449073015</c:v>
                </c:pt>
                <c:pt idx="30">
                  <c:v>1569.9702449073015</c:v>
                </c:pt>
                <c:pt idx="31">
                  <c:v>1569.9702449073015</c:v>
                </c:pt>
                <c:pt idx="32">
                  <c:v>1569.9702449073015</c:v>
                </c:pt>
                <c:pt idx="33">
                  <c:v>1569.9702449073015</c:v>
                </c:pt>
                <c:pt idx="34">
                  <c:v>1569.9702449073015</c:v>
                </c:pt>
                <c:pt idx="35">
                  <c:v>1569.9702449073015</c:v>
                </c:pt>
                <c:pt idx="36">
                  <c:v>1569.9702449073015</c:v>
                </c:pt>
                <c:pt idx="37">
                  <c:v>1569.9702449073015</c:v>
                </c:pt>
                <c:pt idx="38">
                  <c:v>1569.9702449073015</c:v>
                </c:pt>
                <c:pt idx="39">
                  <c:v>1569.9702449073015</c:v>
                </c:pt>
                <c:pt idx="40">
                  <c:v>1569.9702449073015</c:v>
                </c:pt>
                <c:pt idx="41">
                  <c:v>1569.9702449073015</c:v>
                </c:pt>
                <c:pt idx="42">
                  <c:v>1569.9702449073015</c:v>
                </c:pt>
                <c:pt idx="43">
                  <c:v>1569.9702449073015</c:v>
                </c:pt>
                <c:pt idx="44">
                  <c:v>1569.9702449073015</c:v>
                </c:pt>
                <c:pt idx="45">
                  <c:v>1569.9702449073015</c:v>
                </c:pt>
                <c:pt idx="46">
                  <c:v>1569.9702449073015</c:v>
                </c:pt>
                <c:pt idx="47">
                  <c:v>1569.9702449073015</c:v>
                </c:pt>
                <c:pt idx="48">
                  <c:v>1569.9702449073015</c:v>
                </c:pt>
                <c:pt idx="49">
                  <c:v>1569.9702449073015</c:v>
                </c:pt>
                <c:pt idx="50">
                  <c:v>1569.9702449073015</c:v>
                </c:pt>
              </c:numCache>
            </c:numRef>
          </c:yVal>
        </c:ser>
        <c:axId val="168631296"/>
        <c:axId val="170547072"/>
      </c:scatterChart>
      <c:valAx>
        <c:axId val="168631296"/>
        <c:scaling>
          <c:orientation val="minMax"/>
        </c:scaling>
        <c:axPos val="b"/>
        <c:title>
          <c:tx>
            <c:strRef>
              <c:f>Simple!$A$1</c:f>
              <c:strCache>
                <c:ptCount val="1"/>
                <c:pt idx="0">
                  <c:v>ms</c:v>
                </c:pt>
              </c:strCache>
            </c:strRef>
          </c:tx>
          <c:layout/>
        </c:title>
        <c:numFmt formatCode="General" sourceLinked="1"/>
        <c:tickLblPos val="nextTo"/>
        <c:crossAx val="170547072"/>
        <c:crosses val="autoZero"/>
        <c:crossBetween val="midCat"/>
      </c:valAx>
      <c:valAx>
        <c:axId val="170547072"/>
        <c:scaling>
          <c:orientation val="minMax"/>
        </c:scaling>
        <c:axPos val="l"/>
        <c:majorGridlines/>
        <c:title>
          <c:tx>
            <c:strRef>
              <c:f>Simple!$B$1</c:f>
              <c:strCache>
                <c:ptCount val="1"/>
                <c:pt idx="0">
                  <c:v>code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" sourceLinked="1"/>
        <c:tickLblPos val="nextTo"/>
        <c:crossAx val="168631296"/>
        <c:crosses val="autoZero"/>
        <c:crossBetween val="midCat"/>
      </c:valAx>
    </c:plotArea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11</xdr:row>
      <xdr:rowOff>0</xdr:rowOff>
    </xdr:from>
    <xdr:to>
      <xdr:col>10</xdr:col>
      <xdr:colOff>464344</xdr:colOff>
      <xdr:row>25</xdr:row>
      <xdr:rowOff>71438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S285"/>
  <sheetViews>
    <sheetView tabSelected="1" zoomScale="80" zoomScaleNormal="80" workbookViewId="0">
      <selection activeCell="J8" sqref="J8"/>
    </sheetView>
  </sheetViews>
  <sheetFormatPr defaultColWidth="12.28515625" defaultRowHeight="15"/>
  <cols>
    <col min="1" max="6" width="12.28515625" style="2"/>
    <col min="7" max="7" width="12.28515625" style="2" customWidth="1"/>
    <col min="8" max="8" width="12.28515625" style="2"/>
    <col min="9" max="9" width="12.28515625" style="2" customWidth="1"/>
    <col min="10" max="12" width="12.28515625" style="2"/>
    <col min="13" max="16" width="12.28515625" style="1"/>
    <col min="17" max="16384" width="12.28515625" style="2"/>
  </cols>
  <sheetData>
    <row r="1" spans="1:9">
      <c r="A1" s="2" t="s">
        <v>4</v>
      </c>
      <c r="B1" s="2" t="s">
        <v>5</v>
      </c>
      <c r="C1" s="2" t="s">
        <v>9</v>
      </c>
      <c r="D1" s="2" t="s">
        <v>10</v>
      </c>
    </row>
    <row r="2" spans="1:9">
      <c r="A2" s="2">
        <v>0</v>
      </c>
      <c r="B2" s="1">
        <v>25618</v>
      </c>
      <c r="C2" s="1" t="str">
        <f>DEC2HEX(B2)</f>
        <v>6412</v>
      </c>
      <c r="D2" s="8">
        <f>FSR*B2/65535</f>
        <v>1563.6224917982756</v>
      </c>
      <c r="E2" s="1"/>
      <c r="F2" s="2" t="s">
        <v>0</v>
      </c>
      <c r="G2" s="6">
        <f>AVERAGE(B2:B52)</f>
        <v>25715.882352941175</v>
      </c>
    </row>
    <row r="3" spans="1:9">
      <c r="A3" s="2">
        <f t="shared" ref="A3:A52" si="0">A2+sleepTime</f>
        <v>10</v>
      </c>
      <c r="B3" s="1">
        <v>25618</v>
      </c>
      <c r="C3" s="1" t="str">
        <f>DEC2HEX(B3)</f>
        <v>6412</v>
      </c>
      <c r="D3" s="8">
        <f>FSR*B3/65535</f>
        <v>1563.6224917982756</v>
      </c>
      <c r="E3" s="1"/>
      <c r="F3" s="4" t="s">
        <v>1</v>
      </c>
      <c r="G3" s="6">
        <f>STDEV(B2:B52)</f>
        <v>24.714082672425402</v>
      </c>
    </row>
    <row r="4" spans="1:9">
      <c r="A4" s="2">
        <f t="shared" si="0"/>
        <v>20</v>
      </c>
      <c r="B4" s="1">
        <v>25618</v>
      </c>
      <c r="C4" s="1" t="str">
        <f>DEC2HEX(B4)</f>
        <v>6412</v>
      </c>
      <c r="D4" s="8">
        <f>FSR*B4/65535</f>
        <v>1563.6224917982756</v>
      </c>
      <c r="E4" s="1"/>
      <c r="F4" s="2" t="s">
        <v>6</v>
      </c>
      <c r="G4" s="5">
        <f>G3/G2</f>
        <v>9.6104354240051206E-4</v>
      </c>
    </row>
    <row r="5" spans="1:9">
      <c r="A5" s="2">
        <f t="shared" si="0"/>
        <v>30</v>
      </c>
      <c r="B5" s="1">
        <v>25722</v>
      </c>
      <c r="C5" s="1" t="str">
        <f>DEC2HEX(B5)</f>
        <v>647A</v>
      </c>
      <c r="D5" s="8">
        <f>FSR*B5/65535</f>
        <v>1569.9702449073015</v>
      </c>
      <c r="E5" s="1"/>
      <c r="F5" s="2" t="s">
        <v>2</v>
      </c>
      <c r="G5" s="2">
        <f>SLOPE(B2:B52,A2:A52)</f>
        <v>6.7764705882352935E-2</v>
      </c>
    </row>
    <row r="6" spans="1:9">
      <c r="A6" s="2">
        <f t="shared" si="0"/>
        <v>40</v>
      </c>
      <c r="B6" s="1">
        <v>25722</v>
      </c>
      <c r="C6" s="1" t="str">
        <f>DEC2HEX(B6)</f>
        <v>647A</v>
      </c>
      <c r="D6" s="8">
        <f>FSR*B6/65535</f>
        <v>1569.9702449073015</v>
      </c>
      <c r="E6" s="1"/>
      <c r="F6" s="2" t="str">
        <f>F12</f>
        <v>Period (ms)</v>
      </c>
      <c r="G6" s="7">
        <v>10</v>
      </c>
      <c r="H6" s="2" t="str">
        <f>G12</f>
        <v>Range</v>
      </c>
      <c r="I6" s="7">
        <v>1</v>
      </c>
    </row>
    <row r="7" spans="1:9">
      <c r="A7" s="2">
        <f t="shared" si="0"/>
        <v>50</v>
      </c>
      <c r="B7" s="1">
        <v>25722</v>
      </c>
      <c r="C7" s="1" t="str">
        <f>DEC2HEX(B7)</f>
        <v>647A</v>
      </c>
      <c r="D7" s="8">
        <f>FSR*B7/65535</f>
        <v>1569.9702449073015</v>
      </c>
      <c r="E7" s="1"/>
      <c r="H7" s="2" t="s">
        <v>8</v>
      </c>
      <c r="I7" s="2">
        <f>1000*4^rng</f>
        <v>4000</v>
      </c>
    </row>
    <row r="8" spans="1:9">
      <c r="A8" s="2">
        <f t="shared" si="0"/>
        <v>60</v>
      </c>
      <c r="B8" s="1">
        <v>25722</v>
      </c>
      <c r="C8" s="1" t="str">
        <f>DEC2HEX(B8)</f>
        <v>647A</v>
      </c>
      <c r="D8" s="8">
        <f>FSR*B8/65535</f>
        <v>1569.9702449073015</v>
      </c>
      <c r="E8" s="1"/>
    </row>
    <row r="9" spans="1:9">
      <c r="A9" s="2">
        <f t="shared" si="0"/>
        <v>70</v>
      </c>
      <c r="B9" s="1">
        <v>25722</v>
      </c>
      <c r="C9" s="1" t="str">
        <f>DEC2HEX(B9)</f>
        <v>647A</v>
      </c>
      <c r="D9" s="8">
        <f>FSR*B9/65535</f>
        <v>1569.9702449073015</v>
      </c>
      <c r="E9" s="1"/>
    </row>
    <row r="10" spans="1:9">
      <c r="A10" s="2">
        <f t="shared" si="0"/>
        <v>80</v>
      </c>
      <c r="B10" s="1">
        <v>25722</v>
      </c>
      <c r="C10" s="1" t="str">
        <f>DEC2HEX(B10)</f>
        <v>647A</v>
      </c>
      <c r="D10" s="8">
        <f>FSR*B10/65535</f>
        <v>1569.9702449073015</v>
      </c>
      <c r="E10" s="1"/>
    </row>
    <row r="11" spans="1:9">
      <c r="A11" s="2">
        <f t="shared" si="0"/>
        <v>90</v>
      </c>
      <c r="B11" s="1">
        <v>25722</v>
      </c>
      <c r="C11" s="1" t="str">
        <f>DEC2HEX(B11)</f>
        <v>647A</v>
      </c>
      <c r="D11" s="8">
        <f>FSR*B11/65535</f>
        <v>1569.9702449073015</v>
      </c>
      <c r="E11" s="1"/>
    </row>
    <row r="12" spans="1:9">
      <c r="A12" s="2">
        <f t="shared" si="0"/>
        <v>100</v>
      </c>
      <c r="B12" s="1">
        <v>25722</v>
      </c>
      <c r="C12" s="1" t="str">
        <f>DEC2HEX(B12)</f>
        <v>647A</v>
      </c>
      <c r="D12" s="8">
        <f>FSR*B12/65535</f>
        <v>1569.9702449073015</v>
      </c>
      <c r="E12" s="1"/>
      <c r="F12" s="2" t="s">
        <v>3</v>
      </c>
      <c r="G12" s="2" t="s">
        <v>7</v>
      </c>
    </row>
    <row r="13" spans="1:9">
      <c r="A13" s="2">
        <f t="shared" si="0"/>
        <v>110</v>
      </c>
      <c r="B13" s="1">
        <v>25722</v>
      </c>
      <c r="C13" s="1" t="str">
        <f>DEC2HEX(B13)</f>
        <v>647A</v>
      </c>
      <c r="D13" s="8">
        <f>FSR*B13/65535</f>
        <v>1569.9702449073015</v>
      </c>
      <c r="E13" s="1"/>
      <c r="F13" s="2">
        <v>10</v>
      </c>
      <c r="G13" s="2">
        <v>0</v>
      </c>
    </row>
    <row r="14" spans="1:9">
      <c r="A14" s="2">
        <f t="shared" si="0"/>
        <v>120</v>
      </c>
      <c r="B14" s="1">
        <v>25722</v>
      </c>
      <c r="C14" s="1" t="str">
        <f>DEC2HEX(B14)</f>
        <v>647A</v>
      </c>
      <c r="D14" s="8">
        <f>FSR*B14/65535</f>
        <v>1569.9702449073015</v>
      </c>
      <c r="E14" s="1"/>
      <c r="F14" s="2">
        <v>20</v>
      </c>
      <c r="G14" s="2">
        <f>G13+1</f>
        <v>1</v>
      </c>
    </row>
    <row r="15" spans="1:9">
      <c r="A15" s="2">
        <f t="shared" si="0"/>
        <v>130</v>
      </c>
      <c r="B15" s="1">
        <v>25722</v>
      </c>
      <c r="C15" s="1" t="str">
        <f>DEC2HEX(B15)</f>
        <v>647A</v>
      </c>
      <c r="D15" s="8">
        <f>FSR*B15/65535</f>
        <v>1569.9702449073015</v>
      </c>
      <c r="E15" s="1"/>
      <c r="F15" s="2">
        <v>50</v>
      </c>
      <c r="G15" s="2">
        <f t="shared" ref="G15:G16" si="1">G14+1</f>
        <v>2</v>
      </c>
    </row>
    <row r="16" spans="1:9">
      <c r="A16" s="2">
        <f t="shared" si="0"/>
        <v>140</v>
      </c>
      <c r="B16" s="1">
        <v>25722</v>
      </c>
      <c r="C16" s="1" t="str">
        <f>DEC2HEX(B16)</f>
        <v>647A</v>
      </c>
      <c r="D16" s="8">
        <f>FSR*B16/65535</f>
        <v>1569.9702449073015</v>
      </c>
      <c r="E16" s="1"/>
      <c r="F16" s="2">
        <v>100</v>
      </c>
      <c r="G16" s="2">
        <f t="shared" si="1"/>
        <v>3</v>
      </c>
    </row>
    <row r="17" spans="1:6">
      <c r="A17" s="2">
        <f t="shared" si="0"/>
        <v>150</v>
      </c>
      <c r="B17" s="1">
        <v>25722</v>
      </c>
      <c r="C17" s="1" t="str">
        <f>DEC2HEX(B17)</f>
        <v>647A</v>
      </c>
      <c r="D17" s="8">
        <f>FSR*B17/65535</f>
        <v>1569.9702449073015</v>
      </c>
      <c r="E17" s="1"/>
      <c r="F17" s="2">
        <v>200</v>
      </c>
    </row>
    <row r="18" spans="1:6">
      <c r="A18" s="2">
        <f t="shared" si="0"/>
        <v>160</v>
      </c>
      <c r="B18" s="1">
        <v>25722</v>
      </c>
      <c r="C18" s="1" t="str">
        <f>DEC2HEX(B18)</f>
        <v>647A</v>
      </c>
      <c r="D18" s="8">
        <f>FSR*B18/65535</f>
        <v>1569.9702449073015</v>
      </c>
      <c r="E18" s="1"/>
    </row>
    <row r="19" spans="1:6">
      <c r="A19" s="2">
        <f t="shared" si="0"/>
        <v>170</v>
      </c>
      <c r="B19" s="1">
        <v>25722</v>
      </c>
      <c r="C19" s="1" t="str">
        <f>DEC2HEX(B19)</f>
        <v>647A</v>
      </c>
      <c r="D19" s="8">
        <f>FSR*B19/65535</f>
        <v>1569.9702449073015</v>
      </c>
      <c r="E19" s="1"/>
    </row>
    <row r="20" spans="1:6">
      <c r="A20" s="2">
        <f t="shared" si="0"/>
        <v>180</v>
      </c>
      <c r="B20" s="1">
        <v>25722</v>
      </c>
      <c r="C20" s="1" t="str">
        <f>DEC2HEX(B20)</f>
        <v>647A</v>
      </c>
      <c r="D20" s="8">
        <f>FSR*B20/65535</f>
        <v>1569.9702449073015</v>
      </c>
      <c r="E20" s="1"/>
    </row>
    <row r="21" spans="1:6">
      <c r="A21" s="2">
        <f t="shared" si="0"/>
        <v>190</v>
      </c>
      <c r="B21" s="1">
        <v>25722</v>
      </c>
      <c r="C21" s="1" t="str">
        <f>DEC2HEX(B21)</f>
        <v>647A</v>
      </c>
      <c r="D21" s="8">
        <f>FSR*B21/65535</f>
        <v>1569.9702449073015</v>
      </c>
      <c r="E21" s="1"/>
    </row>
    <row r="22" spans="1:6">
      <c r="A22" s="2">
        <f t="shared" si="0"/>
        <v>200</v>
      </c>
      <c r="B22" s="1">
        <v>25722</v>
      </c>
      <c r="C22" s="1" t="str">
        <f>DEC2HEX(B22)</f>
        <v>647A</v>
      </c>
      <c r="D22" s="8">
        <f>FSR*B22/65535</f>
        <v>1569.9702449073015</v>
      </c>
      <c r="E22" s="1"/>
    </row>
    <row r="23" spans="1:6">
      <c r="A23" s="2">
        <f t="shared" si="0"/>
        <v>210</v>
      </c>
      <c r="B23" s="1">
        <v>25722</v>
      </c>
      <c r="C23" s="1" t="str">
        <f>DEC2HEX(B23)</f>
        <v>647A</v>
      </c>
      <c r="D23" s="8">
        <f>FSR*B23/65535</f>
        <v>1569.9702449073015</v>
      </c>
      <c r="E23" s="1"/>
    </row>
    <row r="24" spans="1:6">
      <c r="A24" s="2">
        <f t="shared" si="0"/>
        <v>220</v>
      </c>
      <c r="B24" s="1">
        <v>25722</v>
      </c>
      <c r="C24" s="1" t="str">
        <f>DEC2HEX(B24)</f>
        <v>647A</v>
      </c>
      <c r="D24" s="8">
        <f>FSR*B24/65535</f>
        <v>1569.9702449073015</v>
      </c>
      <c r="E24" s="1"/>
    </row>
    <row r="25" spans="1:6">
      <c r="A25" s="2">
        <f t="shared" si="0"/>
        <v>230</v>
      </c>
      <c r="B25" s="1">
        <v>25722</v>
      </c>
      <c r="C25" s="1" t="str">
        <f>DEC2HEX(B25)</f>
        <v>647A</v>
      </c>
      <c r="D25" s="8">
        <f>FSR*B25/65535</f>
        <v>1569.9702449073015</v>
      </c>
      <c r="E25" s="1"/>
    </row>
    <row r="26" spans="1:6">
      <c r="A26" s="2">
        <f t="shared" si="0"/>
        <v>240</v>
      </c>
      <c r="B26" s="1">
        <v>25722</v>
      </c>
      <c r="C26" s="1" t="str">
        <f>DEC2HEX(B26)</f>
        <v>647A</v>
      </c>
      <c r="D26" s="8">
        <f>FSR*B26/65535</f>
        <v>1569.9702449073015</v>
      </c>
      <c r="E26" s="1"/>
    </row>
    <row r="27" spans="1:6">
      <c r="A27" s="2">
        <f t="shared" si="0"/>
        <v>250</v>
      </c>
      <c r="B27" s="1">
        <v>25722</v>
      </c>
      <c r="C27" s="1" t="str">
        <f>DEC2HEX(B27)</f>
        <v>647A</v>
      </c>
      <c r="D27" s="8">
        <f>FSR*B27/65535</f>
        <v>1569.9702449073015</v>
      </c>
      <c r="E27" s="1"/>
    </row>
    <row r="28" spans="1:6">
      <c r="A28" s="2">
        <f t="shared" si="0"/>
        <v>260</v>
      </c>
      <c r="B28" s="1">
        <v>25722</v>
      </c>
      <c r="C28" s="1" t="str">
        <f>DEC2HEX(B28)</f>
        <v>647A</v>
      </c>
      <c r="D28" s="8">
        <f>FSR*B28/65535</f>
        <v>1569.9702449073015</v>
      </c>
      <c r="E28" s="1"/>
    </row>
    <row r="29" spans="1:6">
      <c r="A29" s="2">
        <f t="shared" si="0"/>
        <v>270</v>
      </c>
      <c r="B29" s="1">
        <v>25722</v>
      </c>
      <c r="C29" s="1" t="str">
        <f>DEC2HEX(B29)</f>
        <v>647A</v>
      </c>
      <c r="D29" s="8">
        <f>FSR*B29/65535</f>
        <v>1569.9702449073015</v>
      </c>
      <c r="E29" s="1"/>
    </row>
    <row r="30" spans="1:6">
      <c r="A30" s="2">
        <f t="shared" si="0"/>
        <v>280</v>
      </c>
      <c r="B30" s="1">
        <v>25722</v>
      </c>
      <c r="C30" s="1" t="str">
        <f>DEC2HEX(B30)</f>
        <v>647A</v>
      </c>
      <c r="D30" s="8">
        <f>FSR*B30/65535</f>
        <v>1569.9702449073015</v>
      </c>
      <c r="E30" s="1"/>
    </row>
    <row r="31" spans="1:6">
      <c r="A31" s="2">
        <f t="shared" si="0"/>
        <v>290</v>
      </c>
      <c r="B31" s="1">
        <v>25722</v>
      </c>
      <c r="C31" s="1" t="str">
        <f>DEC2HEX(B31)</f>
        <v>647A</v>
      </c>
      <c r="D31" s="8">
        <f>FSR*B31/65535</f>
        <v>1569.9702449073015</v>
      </c>
      <c r="E31" s="1"/>
    </row>
    <row r="32" spans="1:6">
      <c r="A32" s="2">
        <f t="shared" si="0"/>
        <v>300</v>
      </c>
      <c r="B32" s="1">
        <v>25722</v>
      </c>
      <c r="C32" s="1" t="str">
        <f>DEC2HEX(B32)</f>
        <v>647A</v>
      </c>
      <c r="D32" s="8">
        <f>FSR*B32/65535</f>
        <v>1569.9702449073015</v>
      </c>
      <c r="E32" s="1"/>
    </row>
    <row r="33" spans="1:5">
      <c r="A33" s="2">
        <f t="shared" si="0"/>
        <v>310</v>
      </c>
      <c r="B33" s="1">
        <v>25722</v>
      </c>
      <c r="C33" s="1" t="str">
        <f>DEC2HEX(B33)</f>
        <v>647A</v>
      </c>
      <c r="D33" s="8">
        <f>FSR*B33/65535</f>
        <v>1569.9702449073015</v>
      </c>
      <c r="E33" s="1"/>
    </row>
    <row r="34" spans="1:5">
      <c r="A34" s="2">
        <f t="shared" si="0"/>
        <v>320</v>
      </c>
      <c r="B34" s="1">
        <v>25722</v>
      </c>
      <c r="C34" s="1" t="str">
        <f>DEC2HEX(B34)</f>
        <v>647A</v>
      </c>
      <c r="D34" s="8">
        <f>FSR*B34/65535</f>
        <v>1569.9702449073015</v>
      </c>
      <c r="E34" s="1"/>
    </row>
    <row r="35" spans="1:5">
      <c r="A35" s="2">
        <f t="shared" si="0"/>
        <v>330</v>
      </c>
      <c r="B35" s="1">
        <v>25722</v>
      </c>
      <c r="C35" s="1" t="str">
        <f>DEC2HEX(B35)</f>
        <v>647A</v>
      </c>
      <c r="D35" s="8">
        <f>FSR*B35/65535</f>
        <v>1569.9702449073015</v>
      </c>
      <c r="E35" s="1"/>
    </row>
    <row r="36" spans="1:5">
      <c r="A36" s="2">
        <f t="shared" si="0"/>
        <v>340</v>
      </c>
      <c r="B36" s="1">
        <v>25722</v>
      </c>
      <c r="C36" s="1" t="str">
        <f>DEC2HEX(B36)</f>
        <v>647A</v>
      </c>
      <c r="D36" s="8">
        <f>FSR*B36/65535</f>
        <v>1569.9702449073015</v>
      </c>
      <c r="E36" s="1"/>
    </row>
    <row r="37" spans="1:5">
      <c r="A37" s="2">
        <f t="shared" si="0"/>
        <v>350</v>
      </c>
      <c r="B37" s="1">
        <v>25722</v>
      </c>
      <c r="C37" s="1" t="str">
        <f>DEC2HEX(B37)</f>
        <v>647A</v>
      </c>
      <c r="D37" s="8">
        <f>FSR*B37/65535</f>
        <v>1569.9702449073015</v>
      </c>
      <c r="E37" s="1"/>
    </row>
    <row r="38" spans="1:5">
      <c r="A38" s="2">
        <f t="shared" si="0"/>
        <v>360</v>
      </c>
      <c r="B38" s="1">
        <v>25722</v>
      </c>
      <c r="C38" s="1" t="str">
        <f>DEC2HEX(B38)</f>
        <v>647A</v>
      </c>
      <c r="D38" s="8">
        <f>FSR*B38/65535</f>
        <v>1569.9702449073015</v>
      </c>
      <c r="E38" s="1"/>
    </row>
    <row r="39" spans="1:5" ht="15" customHeight="1">
      <c r="A39" s="2">
        <f t="shared" si="0"/>
        <v>370</v>
      </c>
      <c r="B39" s="1">
        <v>25722</v>
      </c>
      <c r="C39" s="1" t="str">
        <f>DEC2HEX(B39)</f>
        <v>647A</v>
      </c>
      <c r="D39" s="8">
        <f>FSR*B39/65535</f>
        <v>1569.9702449073015</v>
      </c>
      <c r="E39" s="1"/>
    </row>
    <row r="40" spans="1:5" ht="15" customHeight="1">
      <c r="A40" s="2">
        <f t="shared" si="0"/>
        <v>380</v>
      </c>
      <c r="B40" s="1">
        <v>25722</v>
      </c>
      <c r="C40" s="1" t="str">
        <f>DEC2HEX(B40)</f>
        <v>647A</v>
      </c>
      <c r="D40" s="8">
        <f>FSR*B40/65535</f>
        <v>1569.9702449073015</v>
      </c>
      <c r="E40" s="1"/>
    </row>
    <row r="41" spans="1:5" ht="15" customHeight="1">
      <c r="A41" s="2">
        <f t="shared" si="0"/>
        <v>390</v>
      </c>
      <c r="B41" s="1">
        <v>25722</v>
      </c>
      <c r="C41" s="1" t="str">
        <f>DEC2HEX(B41)</f>
        <v>647A</v>
      </c>
      <c r="D41" s="8">
        <f>FSR*B41/65535</f>
        <v>1569.9702449073015</v>
      </c>
      <c r="E41" s="1"/>
    </row>
    <row r="42" spans="1:5" ht="15" customHeight="1">
      <c r="A42" s="2">
        <f t="shared" si="0"/>
        <v>400</v>
      </c>
      <c r="B42" s="1">
        <v>25722</v>
      </c>
      <c r="C42" s="1" t="str">
        <f>DEC2HEX(B42)</f>
        <v>647A</v>
      </c>
      <c r="D42" s="8">
        <f>FSR*B42/65535</f>
        <v>1569.9702449073015</v>
      </c>
      <c r="E42" s="1"/>
    </row>
    <row r="43" spans="1:5" ht="15" customHeight="1">
      <c r="A43" s="2">
        <f t="shared" si="0"/>
        <v>410</v>
      </c>
      <c r="B43" s="1">
        <v>25722</v>
      </c>
      <c r="C43" s="1" t="str">
        <f>DEC2HEX(B43)</f>
        <v>647A</v>
      </c>
      <c r="D43" s="8">
        <f>FSR*B43/65535</f>
        <v>1569.9702449073015</v>
      </c>
      <c r="E43" s="1"/>
    </row>
    <row r="44" spans="1:5" ht="15" customHeight="1">
      <c r="A44" s="2">
        <f t="shared" si="0"/>
        <v>420</v>
      </c>
      <c r="B44" s="1">
        <v>25722</v>
      </c>
      <c r="C44" s="1" t="str">
        <f>DEC2HEX(B44)</f>
        <v>647A</v>
      </c>
      <c r="D44" s="8">
        <f>FSR*B44/65535</f>
        <v>1569.9702449073015</v>
      </c>
      <c r="E44" s="1"/>
    </row>
    <row r="45" spans="1:5" ht="15" customHeight="1">
      <c r="A45" s="2">
        <f t="shared" si="0"/>
        <v>430</v>
      </c>
      <c r="B45" s="1">
        <v>25722</v>
      </c>
      <c r="C45" s="1" t="str">
        <f>DEC2HEX(B45)</f>
        <v>647A</v>
      </c>
      <c r="D45" s="8">
        <f>FSR*B45/65535</f>
        <v>1569.9702449073015</v>
      </c>
      <c r="E45" s="1"/>
    </row>
    <row r="46" spans="1:5" ht="15" customHeight="1">
      <c r="A46" s="2">
        <f t="shared" si="0"/>
        <v>440</v>
      </c>
      <c r="B46" s="1">
        <v>25722</v>
      </c>
      <c r="C46" s="1" t="str">
        <f>DEC2HEX(B46)</f>
        <v>647A</v>
      </c>
      <c r="D46" s="8">
        <f>FSR*B46/65535</f>
        <v>1569.9702449073015</v>
      </c>
      <c r="E46" s="1"/>
    </row>
    <row r="47" spans="1:5" ht="15" customHeight="1">
      <c r="A47" s="2">
        <f t="shared" si="0"/>
        <v>450</v>
      </c>
      <c r="B47" s="1">
        <v>25722</v>
      </c>
      <c r="C47" s="1" t="str">
        <f>DEC2HEX(B47)</f>
        <v>647A</v>
      </c>
      <c r="D47" s="8">
        <f>FSR*B47/65535</f>
        <v>1569.9702449073015</v>
      </c>
      <c r="E47" s="1"/>
    </row>
    <row r="48" spans="1:5" ht="15" customHeight="1">
      <c r="A48" s="2">
        <f t="shared" si="0"/>
        <v>460</v>
      </c>
      <c r="B48" s="1">
        <v>25722</v>
      </c>
      <c r="C48" s="1" t="str">
        <f>DEC2HEX(B48)</f>
        <v>647A</v>
      </c>
      <c r="D48" s="8">
        <f>FSR*B48/65535</f>
        <v>1569.9702449073015</v>
      </c>
      <c r="E48" s="1"/>
    </row>
    <row r="49" spans="1:5" ht="15" customHeight="1">
      <c r="A49" s="2">
        <f t="shared" si="0"/>
        <v>470</v>
      </c>
      <c r="B49" s="1">
        <v>25722</v>
      </c>
      <c r="C49" s="1" t="str">
        <f>DEC2HEX(B49)</f>
        <v>647A</v>
      </c>
      <c r="D49" s="8">
        <f>FSR*B49/65535</f>
        <v>1569.9702449073015</v>
      </c>
      <c r="E49" s="1"/>
    </row>
    <row r="50" spans="1:5" ht="15" customHeight="1">
      <c r="A50" s="2">
        <f t="shared" si="0"/>
        <v>480</v>
      </c>
      <c r="B50" s="1">
        <v>25722</v>
      </c>
      <c r="C50" s="1" t="str">
        <f>DEC2HEX(B50)</f>
        <v>647A</v>
      </c>
      <c r="D50" s="8">
        <f>FSR*B50/65535</f>
        <v>1569.9702449073015</v>
      </c>
      <c r="E50" s="1"/>
    </row>
    <row r="51" spans="1:5" ht="15" customHeight="1">
      <c r="A51" s="2">
        <f t="shared" si="0"/>
        <v>490</v>
      </c>
      <c r="B51" s="1">
        <v>25722</v>
      </c>
      <c r="C51" s="1" t="str">
        <f>DEC2HEX(B51)</f>
        <v>647A</v>
      </c>
      <c r="D51" s="8">
        <f>FSR*B51/65535</f>
        <v>1569.9702449073015</v>
      </c>
      <c r="E51" s="1"/>
    </row>
    <row r="52" spans="1:5" ht="15" customHeight="1">
      <c r="A52" s="2">
        <f t="shared" si="0"/>
        <v>500</v>
      </c>
      <c r="B52" s="1">
        <v>25722</v>
      </c>
      <c r="C52" s="1" t="str">
        <f>DEC2HEX(B52)</f>
        <v>647A</v>
      </c>
      <c r="D52" s="8">
        <f>FSR*B52/65535</f>
        <v>1569.9702449073015</v>
      </c>
      <c r="E52" s="1"/>
    </row>
    <row r="53" spans="1:5" ht="15" customHeight="1">
      <c r="B53" s="1"/>
      <c r="C53" s="1"/>
      <c r="D53" s="1"/>
      <c r="E53" s="1"/>
    </row>
    <row r="54" spans="1:5" ht="15" customHeight="1">
      <c r="B54" s="1"/>
      <c r="C54" s="1"/>
      <c r="D54" s="1"/>
      <c r="E54" s="1"/>
    </row>
    <row r="55" spans="1:5" ht="15" customHeight="1">
      <c r="B55" s="1"/>
      <c r="C55" s="1"/>
      <c r="D55" s="1"/>
      <c r="E55" s="1"/>
    </row>
    <row r="56" spans="1:5" ht="15" customHeight="1">
      <c r="B56" s="1"/>
      <c r="C56" s="1"/>
      <c r="D56" s="1"/>
      <c r="E56" s="1"/>
    </row>
    <row r="57" spans="1:5" ht="15" customHeight="1">
      <c r="B57" s="1"/>
      <c r="C57" s="1"/>
      <c r="D57" s="1"/>
      <c r="E57" s="1"/>
    </row>
    <row r="58" spans="1:5" ht="15" customHeight="1">
      <c r="B58" s="1"/>
      <c r="C58" s="1"/>
      <c r="D58" s="1"/>
      <c r="E58" s="1"/>
    </row>
    <row r="59" spans="1:5" ht="15" customHeight="1">
      <c r="B59" s="1"/>
      <c r="C59" s="1"/>
      <c r="D59" s="1"/>
      <c r="E59" s="1"/>
    </row>
    <row r="60" spans="1:5" ht="15" customHeight="1">
      <c r="B60" s="1"/>
      <c r="C60" s="1"/>
      <c r="D60" s="1"/>
      <c r="E60" s="1"/>
    </row>
    <row r="61" spans="1:5" ht="15" customHeight="1">
      <c r="B61" s="1"/>
      <c r="C61" s="1"/>
      <c r="D61" s="1"/>
      <c r="E61" s="1"/>
    </row>
    <row r="62" spans="1:5" ht="15" customHeight="1">
      <c r="B62" s="1"/>
      <c r="C62" s="1"/>
      <c r="D62" s="1"/>
      <c r="E62" s="1"/>
    </row>
    <row r="63" spans="1:5" ht="15" customHeight="1">
      <c r="B63" s="1"/>
      <c r="C63" s="1"/>
      <c r="D63" s="1"/>
      <c r="E63" s="1"/>
    </row>
    <row r="64" spans="1:5" ht="15" customHeight="1">
      <c r="B64" s="1"/>
      <c r="C64" s="1"/>
      <c r="D64" s="1"/>
      <c r="E64" s="1"/>
    </row>
    <row r="65" spans="2:19" ht="15" customHeight="1">
      <c r="B65" s="1"/>
      <c r="C65" s="1"/>
      <c r="D65" s="1"/>
      <c r="E65" s="1"/>
    </row>
    <row r="66" spans="2:19" ht="15" customHeight="1">
      <c r="B66" s="1"/>
      <c r="C66" s="1"/>
      <c r="D66" s="1"/>
      <c r="E66" s="1"/>
    </row>
    <row r="67" spans="2:19" ht="15" customHeight="1">
      <c r="B67" s="1"/>
      <c r="C67" s="1"/>
      <c r="D67" s="1"/>
      <c r="E67" s="1"/>
    </row>
    <row r="68" spans="2:19" ht="15" customHeight="1">
      <c r="B68" s="1"/>
      <c r="C68" s="1"/>
      <c r="D68" s="1"/>
      <c r="E68" s="1"/>
    </row>
    <row r="69" spans="2:19" ht="15" customHeight="1">
      <c r="B69" s="1"/>
      <c r="C69" s="1"/>
      <c r="D69" s="1"/>
      <c r="E69" s="1"/>
    </row>
    <row r="70" spans="2:19" ht="15" customHeight="1">
      <c r="B70" s="1"/>
      <c r="C70" s="1"/>
      <c r="D70" s="1"/>
      <c r="E70" s="1"/>
    </row>
    <row r="71" spans="2:19">
      <c r="B71" s="1"/>
      <c r="C71" s="1"/>
      <c r="D71" s="1"/>
      <c r="E71" s="1"/>
    </row>
    <row r="72" spans="2:19">
      <c r="B72" s="1"/>
      <c r="C72" s="1"/>
      <c r="D72" s="1"/>
      <c r="E72" s="1"/>
    </row>
    <row r="73" spans="2:19">
      <c r="B73" s="1"/>
      <c r="C73" s="1"/>
      <c r="D73" s="1"/>
      <c r="E73" s="1"/>
    </row>
    <row r="74" spans="2:19">
      <c r="B74" s="1"/>
      <c r="C74" s="1"/>
      <c r="D74" s="1"/>
      <c r="E74" s="1"/>
      <c r="S74" s="3"/>
    </row>
    <row r="75" spans="2:19">
      <c r="B75" s="1"/>
      <c r="C75" s="1"/>
      <c r="D75" s="1"/>
      <c r="E75" s="1"/>
      <c r="S75" s="3"/>
    </row>
    <row r="76" spans="2:19" ht="15" customHeight="1">
      <c r="B76" s="1"/>
      <c r="C76" s="1"/>
      <c r="D76" s="1"/>
      <c r="E76" s="1"/>
    </row>
    <row r="77" spans="2:19" ht="15" customHeight="1">
      <c r="B77" s="1"/>
      <c r="C77" s="1"/>
      <c r="D77" s="1"/>
      <c r="E77" s="1"/>
    </row>
    <row r="78" spans="2:19" ht="15" customHeight="1">
      <c r="B78" s="1"/>
      <c r="C78" s="1"/>
      <c r="D78" s="1"/>
      <c r="E78" s="1"/>
    </row>
    <row r="79" spans="2:19" ht="15" customHeight="1">
      <c r="B79" s="1"/>
      <c r="C79" s="1"/>
      <c r="D79" s="1"/>
      <c r="E79" s="1"/>
    </row>
    <row r="80" spans="2:19" ht="15" customHeight="1">
      <c r="B80" s="1"/>
      <c r="C80" s="1"/>
      <c r="D80" s="1"/>
      <c r="E80" s="1"/>
    </row>
    <row r="81" spans="2:5" ht="15" customHeight="1">
      <c r="B81" s="1"/>
      <c r="C81" s="1"/>
      <c r="D81" s="1"/>
      <c r="E81" s="1"/>
    </row>
    <row r="82" spans="2:5" ht="15" customHeight="1">
      <c r="B82" s="1"/>
      <c r="C82" s="1"/>
      <c r="D82" s="1"/>
      <c r="E82" s="1"/>
    </row>
    <row r="83" spans="2:5" ht="15" customHeight="1">
      <c r="B83" s="1"/>
      <c r="C83" s="1"/>
      <c r="D83" s="1"/>
      <c r="E83" s="1"/>
    </row>
    <row r="84" spans="2:5" ht="15" customHeight="1">
      <c r="B84" s="1"/>
      <c r="C84" s="1"/>
      <c r="D84" s="1"/>
      <c r="E84" s="1"/>
    </row>
    <row r="85" spans="2:5" ht="15" customHeight="1">
      <c r="B85" s="1"/>
      <c r="C85" s="1"/>
      <c r="D85" s="1"/>
      <c r="E85" s="1"/>
    </row>
    <row r="86" spans="2:5" ht="15" customHeight="1">
      <c r="B86" s="1"/>
      <c r="C86" s="1"/>
      <c r="D86" s="1"/>
      <c r="E86" s="1"/>
    </row>
    <row r="87" spans="2:5" ht="15" customHeight="1">
      <c r="B87" s="1"/>
      <c r="C87" s="1"/>
      <c r="D87" s="1"/>
      <c r="E87" s="1"/>
    </row>
    <row r="88" spans="2:5" ht="15" customHeight="1">
      <c r="B88" s="1"/>
      <c r="C88" s="1"/>
      <c r="D88" s="1"/>
      <c r="E88" s="1"/>
    </row>
    <row r="89" spans="2:5" ht="15" customHeight="1">
      <c r="B89" s="1"/>
      <c r="C89" s="1"/>
      <c r="D89" s="1"/>
      <c r="E89" s="1"/>
    </row>
    <row r="90" spans="2:5" ht="15" customHeight="1">
      <c r="B90" s="1"/>
      <c r="C90" s="1"/>
      <c r="D90" s="1"/>
      <c r="E90" s="1"/>
    </row>
    <row r="91" spans="2:5" ht="15" customHeight="1">
      <c r="B91" s="1"/>
      <c r="C91" s="1"/>
      <c r="D91" s="1"/>
      <c r="E91" s="1"/>
    </row>
    <row r="92" spans="2:5" ht="15" customHeight="1">
      <c r="B92" s="1"/>
      <c r="C92" s="1"/>
      <c r="D92" s="1"/>
      <c r="E92" s="1"/>
    </row>
    <row r="93" spans="2:5" ht="15" customHeight="1">
      <c r="B93" s="1"/>
      <c r="C93" s="1"/>
      <c r="D93" s="1"/>
      <c r="E93" s="1"/>
    </row>
    <row r="94" spans="2:5" ht="15" customHeight="1">
      <c r="B94" s="1"/>
      <c r="C94" s="1"/>
      <c r="D94" s="1"/>
      <c r="E94" s="1"/>
    </row>
    <row r="95" spans="2:5" ht="15" customHeight="1">
      <c r="B95" s="1"/>
      <c r="C95" s="1"/>
      <c r="D95" s="1"/>
      <c r="E95" s="1"/>
    </row>
    <row r="96" spans="2:5" ht="15" customHeight="1">
      <c r="B96" s="1"/>
      <c r="C96" s="1"/>
      <c r="D96" s="1"/>
      <c r="E96" s="1"/>
    </row>
    <row r="97" spans="2:5" ht="15" customHeight="1">
      <c r="B97" s="1"/>
      <c r="C97" s="1"/>
      <c r="D97" s="1"/>
      <c r="E97" s="1"/>
    </row>
    <row r="98" spans="2:5" ht="15" customHeight="1">
      <c r="B98" s="1"/>
      <c r="C98" s="1"/>
      <c r="D98" s="1"/>
      <c r="E98" s="1"/>
    </row>
    <row r="99" spans="2:5" ht="15" customHeight="1">
      <c r="B99" s="1"/>
      <c r="C99" s="1"/>
      <c r="D99" s="1"/>
      <c r="E99" s="1"/>
    </row>
    <row r="100" spans="2:5" ht="15" customHeight="1">
      <c r="B100" s="1"/>
      <c r="C100" s="1"/>
      <c r="D100" s="1"/>
      <c r="E100" s="1"/>
    </row>
    <row r="101" spans="2:5" ht="15" customHeight="1">
      <c r="B101" s="1"/>
      <c r="C101" s="1"/>
      <c r="D101" s="1"/>
      <c r="E101" s="1"/>
    </row>
    <row r="102" spans="2:5" ht="15" customHeight="1">
      <c r="B102" s="1"/>
      <c r="C102" s="1"/>
      <c r="D102" s="1"/>
      <c r="E102" s="1"/>
    </row>
    <row r="103" spans="2:5" ht="15" customHeight="1">
      <c r="B103" s="1"/>
      <c r="C103" s="1"/>
      <c r="D103" s="1"/>
      <c r="E103" s="1"/>
    </row>
    <row r="104" spans="2:5" ht="15" customHeight="1">
      <c r="B104" s="1"/>
      <c r="C104" s="1"/>
      <c r="D104" s="1"/>
      <c r="E104" s="1"/>
    </row>
    <row r="105" spans="2:5" ht="15" customHeight="1">
      <c r="B105" s="1"/>
      <c r="C105" s="1"/>
      <c r="D105" s="1"/>
      <c r="E105" s="1"/>
    </row>
    <row r="106" spans="2:5" ht="15" customHeight="1">
      <c r="B106" s="1"/>
      <c r="C106" s="1"/>
      <c r="D106" s="1"/>
      <c r="E106" s="1"/>
    </row>
    <row r="107" spans="2:5" ht="15" customHeight="1">
      <c r="B107" s="1"/>
      <c r="C107" s="1"/>
      <c r="D107" s="1"/>
      <c r="E107" s="1"/>
    </row>
    <row r="108" spans="2:5" ht="15" customHeight="1">
      <c r="B108" s="1"/>
      <c r="C108" s="1"/>
      <c r="D108" s="1"/>
      <c r="E108" s="1"/>
    </row>
    <row r="109" spans="2:5" ht="15" customHeight="1">
      <c r="B109" s="1"/>
      <c r="C109" s="1"/>
      <c r="D109" s="1"/>
      <c r="E109" s="1"/>
    </row>
    <row r="110" spans="2:5" ht="15" customHeight="1">
      <c r="B110" s="1"/>
      <c r="C110" s="1"/>
      <c r="D110" s="1"/>
      <c r="E110" s="1"/>
    </row>
    <row r="111" spans="2:5" ht="15" customHeight="1">
      <c r="B111" s="1"/>
      <c r="C111" s="1"/>
      <c r="D111" s="1"/>
      <c r="E111" s="1"/>
    </row>
    <row r="112" spans="2:5" ht="15" customHeight="1">
      <c r="B112" s="1"/>
      <c r="C112" s="1"/>
      <c r="D112" s="1"/>
      <c r="E112" s="1"/>
    </row>
    <row r="113" spans="2:5" ht="15" customHeight="1">
      <c r="B113" s="1"/>
      <c r="C113" s="1"/>
      <c r="D113" s="1"/>
      <c r="E113" s="1"/>
    </row>
    <row r="114" spans="2:5" ht="15" customHeight="1">
      <c r="B114" s="1"/>
      <c r="C114" s="1"/>
      <c r="D114" s="1"/>
      <c r="E114" s="1"/>
    </row>
    <row r="115" spans="2:5" ht="15" customHeight="1">
      <c r="B115" s="1"/>
      <c r="C115" s="1"/>
      <c r="D115" s="1"/>
      <c r="E115" s="1"/>
    </row>
    <row r="116" spans="2:5" ht="15" customHeight="1">
      <c r="B116" s="1"/>
      <c r="C116" s="1"/>
      <c r="D116" s="1"/>
      <c r="E116" s="1"/>
    </row>
    <row r="117" spans="2:5" ht="15" customHeight="1">
      <c r="B117" s="1"/>
      <c r="C117" s="1"/>
      <c r="D117" s="1"/>
      <c r="E117" s="1"/>
    </row>
    <row r="118" spans="2:5" ht="15" customHeight="1">
      <c r="B118" s="1"/>
      <c r="C118" s="1"/>
      <c r="D118" s="1"/>
      <c r="E118" s="1"/>
    </row>
    <row r="119" spans="2:5" ht="15" customHeight="1">
      <c r="B119" s="1"/>
      <c r="C119" s="1"/>
      <c r="D119" s="1"/>
      <c r="E119" s="1"/>
    </row>
    <row r="120" spans="2:5" ht="15" customHeight="1">
      <c r="B120" s="1"/>
      <c r="C120" s="1"/>
      <c r="D120" s="1"/>
      <c r="E120" s="1"/>
    </row>
    <row r="121" spans="2:5" ht="15" customHeight="1">
      <c r="B121" s="1"/>
      <c r="C121" s="1"/>
      <c r="D121" s="1"/>
      <c r="E121" s="1"/>
    </row>
    <row r="122" spans="2:5" ht="15" customHeight="1">
      <c r="B122" s="1"/>
      <c r="C122" s="1"/>
      <c r="D122" s="1"/>
      <c r="E122" s="1"/>
    </row>
    <row r="123" spans="2:5" ht="15" customHeight="1">
      <c r="B123" s="1"/>
      <c r="C123" s="1"/>
      <c r="D123" s="1"/>
      <c r="E123" s="1"/>
    </row>
    <row r="124" spans="2:5" ht="15" customHeight="1">
      <c r="B124" s="1"/>
      <c r="C124" s="1"/>
      <c r="D124" s="1"/>
      <c r="E124" s="1"/>
    </row>
    <row r="125" spans="2:5" ht="15" customHeight="1">
      <c r="B125" s="1"/>
      <c r="C125" s="1"/>
      <c r="D125" s="1"/>
      <c r="E125" s="1"/>
    </row>
    <row r="126" spans="2:5" ht="15" customHeight="1">
      <c r="B126" s="1"/>
      <c r="C126" s="1"/>
      <c r="D126" s="1"/>
      <c r="E126" s="1"/>
    </row>
    <row r="127" spans="2:5" ht="15" customHeight="1">
      <c r="B127" s="1"/>
      <c r="C127" s="1"/>
      <c r="D127" s="1"/>
      <c r="E127" s="1"/>
    </row>
    <row r="128" spans="2:5" ht="15" customHeight="1">
      <c r="B128" s="1"/>
      <c r="C128" s="1"/>
      <c r="D128" s="1"/>
      <c r="E128" s="1"/>
    </row>
    <row r="129" spans="2:5" ht="15" customHeight="1">
      <c r="B129" s="1"/>
      <c r="C129" s="1"/>
      <c r="D129" s="1"/>
      <c r="E129" s="1"/>
    </row>
    <row r="130" spans="2:5" ht="15" customHeight="1">
      <c r="B130" s="1"/>
      <c r="C130" s="1"/>
      <c r="D130" s="1"/>
      <c r="E130" s="1"/>
    </row>
    <row r="131" spans="2:5" ht="15" customHeight="1">
      <c r="B131" s="1"/>
      <c r="C131" s="1"/>
      <c r="D131" s="1"/>
      <c r="E131" s="1"/>
    </row>
    <row r="132" spans="2:5" ht="15" customHeight="1">
      <c r="B132" s="1"/>
      <c r="C132" s="1"/>
      <c r="D132" s="1"/>
      <c r="E132" s="1"/>
    </row>
    <row r="133" spans="2:5" ht="15" customHeight="1">
      <c r="B133" s="1"/>
      <c r="C133" s="1"/>
      <c r="D133" s="1"/>
      <c r="E133" s="1"/>
    </row>
    <row r="134" spans="2:5" ht="15" customHeight="1">
      <c r="B134" s="1"/>
      <c r="C134" s="1"/>
      <c r="D134" s="1"/>
      <c r="E134" s="1"/>
    </row>
    <row r="135" spans="2:5" ht="15" customHeight="1">
      <c r="B135" s="1"/>
      <c r="C135" s="1"/>
      <c r="D135" s="1"/>
      <c r="E135" s="1"/>
    </row>
    <row r="136" spans="2:5" ht="15" customHeight="1">
      <c r="B136" s="1"/>
      <c r="C136" s="1"/>
      <c r="D136" s="1"/>
      <c r="E136" s="1"/>
    </row>
    <row r="137" spans="2:5" ht="15" customHeight="1">
      <c r="B137" s="1"/>
      <c r="C137" s="1"/>
      <c r="D137" s="1"/>
      <c r="E137" s="1"/>
    </row>
    <row r="138" spans="2:5" ht="15" customHeight="1">
      <c r="B138" s="1"/>
      <c r="C138" s="1"/>
      <c r="D138" s="1"/>
      <c r="E138" s="1"/>
    </row>
    <row r="139" spans="2:5" ht="15" customHeight="1">
      <c r="B139" s="1"/>
      <c r="C139" s="1"/>
      <c r="D139" s="1"/>
      <c r="E139" s="1"/>
    </row>
    <row r="140" spans="2:5" ht="15" customHeight="1">
      <c r="B140" s="1"/>
      <c r="C140" s="1"/>
      <c r="D140" s="1"/>
      <c r="E140" s="1"/>
    </row>
    <row r="141" spans="2:5" ht="15" customHeight="1">
      <c r="B141" s="1"/>
      <c r="C141" s="1"/>
      <c r="D141" s="1"/>
      <c r="E141" s="1"/>
    </row>
    <row r="142" spans="2:5">
      <c r="B142" s="1"/>
      <c r="C142" s="1"/>
      <c r="D142" s="1"/>
      <c r="E142" s="1"/>
    </row>
    <row r="143" spans="2:5">
      <c r="B143" s="1"/>
      <c r="C143" s="1"/>
      <c r="D143" s="1"/>
      <c r="E143" s="1"/>
    </row>
    <row r="144" spans="2:5">
      <c r="B144" s="1"/>
      <c r="C144" s="1"/>
      <c r="D144" s="1"/>
      <c r="E144" s="1"/>
    </row>
    <row r="145" spans="2:5">
      <c r="B145" s="1"/>
      <c r="C145" s="1"/>
      <c r="D145" s="1"/>
      <c r="E145" s="1"/>
    </row>
    <row r="146" spans="2:5">
      <c r="B146" s="1"/>
      <c r="C146" s="1"/>
      <c r="D146" s="1"/>
      <c r="E146" s="1"/>
    </row>
    <row r="147" spans="2:5" ht="15" customHeight="1">
      <c r="B147" s="1"/>
      <c r="C147" s="1"/>
      <c r="D147" s="1"/>
      <c r="E147" s="1"/>
    </row>
    <row r="148" spans="2:5" ht="15" customHeight="1">
      <c r="B148" s="1"/>
      <c r="C148" s="1"/>
      <c r="D148" s="1"/>
      <c r="E148" s="1"/>
    </row>
    <row r="149" spans="2:5" ht="15" customHeight="1">
      <c r="B149" s="1"/>
      <c r="C149" s="1"/>
      <c r="D149" s="1"/>
      <c r="E149" s="1"/>
    </row>
    <row r="150" spans="2:5" ht="15" customHeight="1">
      <c r="B150" s="1"/>
      <c r="C150" s="1"/>
      <c r="D150" s="1"/>
      <c r="E150" s="1"/>
    </row>
    <row r="151" spans="2:5" ht="15" customHeight="1">
      <c r="B151" s="1"/>
      <c r="C151" s="1"/>
      <c r="D151" s="1"/>
      <c r="E151" s="1"/>
    </row>
    <row r="152" spans="2:5" ht="15" customHeight="1">
      <c r="B152" s="1"/>
      <c r="C152" s="1"/>
      <c r="D152" s="1"/>
      <c r="E152" s="1"/>
    </row>
    <row r="153" spans="2:5" ht="15" customHeight="1">
      <c r="B153" s="1"/>
      <c r="C153" s="1"/>
      <c r="D153" s="1"/>
      <c r="E153" s="1"/>
    </row>
    <row r="154" spans="2:5" ht="15" customHeight="1">
      <c r="B154" s="1"/>
      <c r="C154" s="1"/>
      <c r="D154" s="1"/>
      <c r="E154" s="1"/>
    </row>
    <row r="155" spans="2:5" ht="15" customHeight="1">
      <c r="B155" s="1"/>
      <c r="C155" s="1"/>
      <c r="D155" s="1"/>
      <c r="E155" s="1"/>
    </row>
    <row r="156" spans="2:5" ht="15" customHeight="1">
      <c r="B156" s="1"/>
      <c r="C156" s="1"/>
      <c r="D156" s="1"/>
      <c r="E156" s="1"/>
    </row>
    <row r="157" spans="2:5" ht="15" customHeight="1">
      <c r="B157" s="1"/>
      <c r="C157" s="1"/>
      <c r="D157" s="1"/>
      <c r="E157" s="1"/>
    </row>
    <row r="158" spans="2:5" ht="15" customHeight="1">
      <c r="B158" s="1"/>
      <c r="C158" s="1"/>
      <c r="D158" s="1"/>
      <c r="E158" s="1"/>
    </row>
    <row r="159" spans="2:5" ht="15" customHeight="1">
      <c r="B159" s="1"/>
      <c r="C159" s="1"/>
      <c r="D159" s="1"/>
      <c r="E159" s="1"/>
    </row>
    <row r="160" spans="2:5" ht="15" customHeight="1">
      <c r="B160" s="1"/>
      <c r="C160" s="1"/>
      <c r="D160" s="1"/>
      <c r="E160" s="1"/>
    </row>
    <row r="161" spans="2:5" ht="15" customHeight="1">
      <c r="B161" s="1"/>
      <c r="C161" s="1"/>
      <c r="D161" s="1"/>
      <c r="E161" s="1"/>
    </row>
    <row r="162" spans="2:5" ht="15" customHeight="1">
      <c r="B162" s="1"/>
      <c r="C162" s="1"/>
      <c r="D162" s="1"/>
      <c r="E162" s="1"/>
    </row>
    <row r="163" spans="2:5" ht="15" customHeight="1">
      <c r="B163" s="1"/>
      <c r="C163" s="1"/>
      <c r="D163" s="1"/>
      <c r="E163" s="1"/>
    </row>
    <row r="164" spans="2:5" ht="15" customHeight="1">
      <c r="B164" s="1"/>
      <c r="C164" s="1"/>
      <c r="D164" s="1"/>
      <c r="E164" s="1"/>
    </row>
    <row r="165" spans="2:5" ht="15" customHeight="1">
      <c r="B165" s="1"/>
      <c r="C165" s="1"/>
      <c r="D165" s="1"/>
      <c r="E165" s="1"/>
    </row>
    <row r="166" spans="2:5" ht="15" customHeight="1">
      <c r="B166" s="1"/>
      <c r="C166" s="1"/>
      <c r="D166" s="1"/>
      <c r="E166" s="1"/>
    </row>
    <row r="167" spans="2:5" ht="15" customHeight="1">
      <c r="B167" s="1"/>
      <c r="C167" s="1"/>
      <c r="D167" s="1"/>
      <c r="E167" s="1"/>
    </row>
    <row r="168" spans="2:5" ht="15" customHeight="1">
      <c r="B168" s="1"/>
      <c r="C168" s="1"/>
      <c r="D168" s="1"/>
      <c r="E168" s="1"/>
    </row>
    <row r="169" spans="2:5" ht="15" customHeight="1">
      <c r="B169" s="1"/>
      <c r="C169" s="1"/>
      <c r="D169" s="1"/>
      <c r="E169" s="1"/>
    </row>
    <row r="170" spans="2:5" ht="15" customHeight="1">
      <c r="B170" s="1"/>
      <c r="C170" s="1"/>
      <c r="D170" s="1"/>
      <c r="E170" s="1"/>
    </row>
    <row r="171" spans="2:5" ht="15" customHeight="1">
      <c r="B171" s="1"/>
      <c r="C171" s="1"/>
      <c r="D171" s="1"/>
      <c r="E171" s="1"/>
    </row>
    <row r="172" spans="2:5" ht="15" customHeight="1">
      <c r="B172" s="1"/>
      <c r="C172" s="1"/>
      <c r="D172" s="1"/>
      <c r="E172" s="1"/>
    </row>
    <row r="173" spans="2:5" ht="15" customHeight="1">
      <c r="B173" s="1"/>
      <c r="C173" s="1"/>
      <c r="D173" s="1"/>
      <c r="E173" s="1"/>
    </row>
    <row r="174" spans="2:5" ht="15" customHeight="1">
      <c r="B174" s="1"/>
      <c r="C174" s="1"/>
      <c r="D174" s="1"/>
      <c r="E174" s="1"/>
    </row>
    <row r="175" spans="2:5" ht="15" customHeight="1">
      <c r="B175" s="1"/>
      <c r="C175" s="1"/>
      <c r="D175" s="1"/>
      <c r="E175" s="1"/>
    </row>
    <row r="176" spans="2:5" ht="15" customHeight="1">
      <c r="B176" s="1"/>
      <c r="C176" s="1"/>
      <c r="D176" s="1"/>
      <c r="E176" s="1"/>
    </row>
    <row r="177" spans="2:5" ht="15" customHeight="1">
      <c r="B177" s="1"/>
      <c r="C177" s="1"/>
      <c r="D177" s="1"/>
      <c r="E177" s="1"/>
    </row>
    <row r="178" spans="2:5" ht="15" customHeight="1">
      <c r="B178" s="1"/>
      <c r="C178" s="1"/>
      <c r="D178" s="1"/>
      <c r="E178" s="1"/>
    </row>
    <row r="179" spans="2:5" ht="15" customHeight="1">
      <c r="B179" s="1"/>
      <c r="C179" s="1"/>
      <c r="D179" s="1"/>
      <c r="E179" s="1"/>
    </row>
    <row r="180" spans="2:5" ht="15" customHeight="1">
      <c r="B180" s="1"/>
      <c r="C180" s="1"/>
      <c r="D180" s="1"/>
      <c r="E180" s="1"/>
    </row>
    <row r="181" spans="2:5" ht="15" customHeight="1">
      <c r="B181" s="1"/>
      <c r="C181" s="1"/>
      <c r="D181" s="1"/>
      <c r="E181" s="1"/>
    </row>
    <row r="182" spans="2:5" ht="15" customHeight="1">
      <c r="B182" s="1"/>
      <c r="C182" s="1"/>
      <c r="D182" s="1"/>
      <c r="E182" s="1"/>
    </row>
    <row r="183" spans="2:5" ht="15" customHeight="1">
      <c r="B183" s="1"/>
      <c r="C183" s="1"/>
      <c r="D183" s="1"/>
      <c r="E183" s="1"/>
    </row>
    <row r="184" spans="2:5" ht="15" customHeight="1">
      <c r="B184" s="1"/>
      <c r="C184" s="1"/>
      <c r="D184" s="1"/>
      <c r="E184" s="1"/>
    </row>
    <row r="185" spans="2:5" ht="15" customHeight="1">
      <c r="B185" s="1"/>
      <c r="C185" s="1"/>
      <c r="D185" s="1"/>
      <c r="E185" s="1"/>
    </row>
    <row r="186" spans="2:5" ht="15" customHeight="1">
      <c r="B186" s="1"/>
      <c r="C186" s="1"/>
      <c r="D186" s="1"/>
      <c r="E186" s="1"/>
    </row>
    <row r="187" spans="2:5" ht="15" customHeight="1">
      <c r="B187" s="1"/>
      <c r="C187" s="1"/>
      <c r="D187" s="1"/>
      <c r="E187" s="1"/>
    </row>
    <row r="188" spans="2:5" ht="15" customHeight="1">
      <c r="B188" s="1"/>
      <c r="C188" s="1"/>
      <c r="D188" s="1"/>
      <c r="E188" s="1"/>
    </row>
    <row r="189" spans="2:5" ht="15" customHeight="1">
      <c r="B189" s="1"/>
      <c r="C189" s="1"/>
      <c r="D189" s="1"/>
      <c r="E189" s="1"/>
    </row>
    <row r="190" spans="2:5" ht="15" customHeight="1">
      <c r="B190" s="1"/>
      <c r="C190" s="1"/>
      <c r="D190" s="1"/>
      <c r="E190" s="1"/>
    </row>
    <row r="191" spans="2:5" ht="15" customHeight="1">
      <c r="B191" s="1"/>
      <c r="C191" s="1"/>
      <c r="D191" s="1"/>
      <c r="E191" s="1"/>
    </row>
    <row r="192" spans="2:5" ht="15" customHeight="1">
      <c r="B192" s="1"/>
      <c r="C192" s="1"/>
      <c r="D192" s="1"/>
      <c r="E192" s="1"/>
    </row>
    <row r="193" spans="2:5" ht="15" customHeight="1">
      <c r="B193" s="1"/>
      <c r="C193" s="1"/>
      <c r="D193" s="1"/>
      <c r="E193" s="1"/>
    </row>
    <row r="194" spans="2:5" ht="15" customHeight="1">
      <c r="B194" s="1"/>
      <c r="C194" s="1"/>
      <c r="D194" s="1"/>
      <c r="E194" s="1"/>
    </row>
    <row r="195" spans="2:5" ht="15" customHeight="1">
      <c r="B195" s="1"/>
      <c r="C195" s="1"/>
      <c r="D195" s="1"/>
      <c r="E195" s="1"/>
    </row>
    <row r="196" spans="2:5" ht="15" customHeight="1">
      <c r="B196" s="1"/>
      <c r="C196" s="1"/>
      <c r="D196" s="1"/>
      <c r="E196" s="1"/>
    </row>
    <row r="197" spans="2:5" ht="15" customHeight="1">
      <c r="B197" s="1"/>
      <c r="C197" s="1"/>
      <c r="D197" s="1"/>
      <c r="E197" s="1"/>
    </row>
    <row r="198" spans="2:5" ht="15" customHeight="1">
      <c r="B198" s="1"/>
      <c r="C198" s="1"/>
      <c r="D198" s="1"/>
      <c r="E198" s="1"/>
    </row>
    <row r="199" spans="2:5" ht="15" customHeight="1">
      <c r="B199" s="1"/>
      <c r="C199" s="1"/>
      <c r="D199" s="1"/>
      <c r="E199" s="1"/>
    </row>
    <row r="200" spans="2:5" ht="15" customHeight="1">
      <c r="B200" s="1"/>
      <c r="C200" s="1"/>
      <c r="D200" s="1"/>
      <c r="E200" s="1"/>
    </row>
    <row r="201" spans="2:5" ht="15" customHeight="1">
      <c r="B201" s="1"/>
      <c r="C201" s="1"/>
      <c r="D201" s="1"/>
      <c r="E201" s="1"/>
    </row>
    <row r="202" spans="2:5" ht="15" customHeight="1">
      <c r="B202" s="1"/>
      <c r="C202" s="1"/>
      <c r="D202" s="1"/>
      <c r="E202" s="1"/>
    </row>
    <row r="203" spans="2:5" ht="15" customHeight="1">
      <c r="B203" s="1"/>
      <c r="C203" s="1"/>
      <c r="D203" s="1"/>
      <c r="E203" s="1"/>
    </row>
    <row r="204" spans="2:5" ht="15" customHeight="1">
      <c r="B204" s="1"/>
      <c r="C204" s="1"/>
      <c r="D204" s="1"/>
      <c r="E204" s="1"/>
    </row>
    <row r="205" spans="2:5" ht="15" customHeight="1">
      <c r="B205" s="1"/>
      <c r="C205" s="1"/>
      <c r="D205" s="1"/>
      <c r="E205" s="1"/>
    </row>
    <row r="206" spans="2:5" ht="15" customHeight="1">
      <c r="B206" s="1"/>
      <c r="C206" s="1"/>
      <c r="D206" s="1"/>
      <c r="E206" s="1"/>
    </row>
    <row r="207" spans="2:5" ht="15" customHeight="1">
      <c r="B207" s="1"/>
      <c r="C207" s="1"/>
      <c r="D207" s="1"/>
      <c r="E207" s="1"/>
    </row>
    <row r="208" spans="2:5" ht="15" customHeight="1">
      <c r="B208" s="1"/>
      <c r="C208" s="1"/>
      <c r="D208" s="1"/>
      <c r="E208" s="1"/>
    </row>
    <row r="209" spans="2:5" ht="15" customHeight="1">
      <c r="B209" s="1"/>
      <c r="C209" s="1"/>
      <c r="D209" s="1"/>
      <c r="E209" s="1"/>
    </row>
    <row r="210" spans="2:5" ht="15" customHeight="1">
      <c r="B210" s="1"/>
      <c r="C210" s="1"/>
      <c r="D210" s="1"/>
      <c r="E210" s="1"/>
    </row>
    <row r="211" spans="2:5" ht="15" customHeight="1">
      <c r="B211" s="1"/>
      <c r="C211" s="1"/>
      <c r="D211" s="1"/>
      <c r="E211" s="1"/>
    </row>
    <row r="212" spans="2:5" ht="15" customHeight="1">
      <c r="B212" s="1"/>
      <c r="C212" s="1"/>
      <c r="D212" s="1"/>
      <c r="E212" s="1"/>
    </row>
    <row r="213" spans="2:5">
      <c r="B213" s="1"/>
      <c r="C213" s="1"/>
      <c r="D213" s="1"/>
      <c r="E213" s="1"/>
    </row>
    <row r="214" spans="2:5">
      <c r="B214" s="1"/>
      <c r="C214" s="1"/>
      <c r="D214" s="1"/>
      <c r="E214" s="1"/>
    </row>
    <row r="215" spans="2:5">
      <c r="B215" s="1"/>
      <c r="C215" s="1"/>
      <c r="D215" s="1"/>
      <c r="E215" s="1"/>
    </row>
    <row r="216" spans="2:5">
      <c r="B216" s="1"/>
      <c r="C216" s="1"/>
      <c r="D216" s="1"/>
      <c r="E216" s="1"/>
    </row>
    <row r="217" spans="2:5">
      <c r="B217" s="1"/>
      <c r="C217" s="1"/>
      <c r="D217" s="1"/>
      <c r="E217" s="1"/>
    </row>
    <row r="218" spans="2:5" ht="15" customHeight="1">
      <c r="B218" s="1">
        <v>0</v>
      </c>
      <c r="C218" s="1">
        <v>0</v>
      </c>
      <c r="D218" s="1"/>
      <c r="E218" s="1">
        <v>0</v>
      </c>
    </row>
    <row r="219" spans="2:5" ht="15" customHeight="1">
      <c r="B219" s="1">
        <v>0</v>
      </c>
      <c r="C219" s="1">
        <v>0</v>
      </c>
      <c r="D219" s="1"/>
      <c r="E219" s="1">
        <v>0</v>
      </c>
    </row>
    <row r="220" spans="2:5" ht="15" customHeight="1">
      <c r="B220" s="1">
        <v>0</v>
      </c>
      <c r="C220" s="1">
        <v>0</v>
      </c>
      <c r="D220" s="1"/>
      <c r="E220" s="1">
        <v>0</v>
      </c>
    </row>
    <row r="221" spans="2:5" ht="15" customHeight="1">
      <c r="B221" s="1">
        <v>0</v>
      </c>
      <c r="C221" s="1">
        <v>0</v>
      </c>
      <c r="D221" s="1"/>
      <c r="E221" s="1">
        <v>0</v>
      </c>
    </row>
    <row r="222" spans="2:5" ht="15" customHeight="1">
      <c r="B222" s="1">
        <v>0</v>
      </c>
      <c r="C222" s="1">
        <v>0</v>
      </c>
      <c r="D222" s="1"/>
      <c r="E222" s="1">
        <v>0</v>
      </c>
    </row>
    <row r="223" spans="2:5" ht="15" customHeight="1">
      <c r="B223" s="1">
        <v>0</v>
      </c>
      <c r="C223" s="1">
        <v>0</v>
      </c>
      <c r="D223" s="1"/>
      <c r="E223" s="1">
        <v>0</v>
      </c>
    </row>
    <row r="224" spans="2:5" ht="15" customHeight="1">
      <c r="B224" s="1">
        <v>0</v>
      </c>
      <c r="C224" s="1">
        <v>0</v>
      </c>
      <c r="D224" s="1"/>
      <c r="E224" s="1">
        <v>0</v>
      </c>
    </row>
    <row r="225" spans="2:5" ht="15" customHeight="1">
      <c r="B225" s="1">
        <v>392</v>
      </c>
      <c r="C225" s="1">
        <v>0</v>
      </c>
      <c r="D225" s="1"/>
      <c r="E225" s="1">
        <v>0</v>
      </c>
    </row>
    <row r="226" spans="2:5" ht="15" customHeight="1">
      <c r="B226" s="1">
        <v>0</v>
      </c>
      <c r="C226" s="1">
        <v>0</v>
      </c>
      <c r="D226" s="1"/>
      <c r="E226" s="1">
        <v>0</v>
      </c>
    </row>
    <row r="227" spans="2:5" ht="15" customHeight="1">
      <c r="B227" s="1">
        <v>0</v>
      </c>
      <c r="C227" s="1">
        <v>0</v>
      </c>
      <c r="D227" s="1"/>
      <c r="E227" s="1">
        <v>0</v>
      </c>
    </row>
    <row r="228" spans="2:5" ht="15" customHeight="1">
      <c r="B228" s="1">
        <v>0</v>
      </c>
      <c r="C228" s="1">
        <v>0</v>
      </c>
      <c r="D228" s="1"/>
      <c r="E228" s="1">
        <v>0</v>
      </c>
    </row>
    <row r="229" spans="2:5" ht="15" customHeight="1">
      <c r="B229" s="1">
        <v>0</v>
      </c>
      <c r="C229" s="1">
        <v>0</v>
      </c>
      <c r="D229" s="1"/>
      <c r="E229" s="1">
        <v>0</v>
      </c>
    </row>
    <row r="230" spans="2:5" ht="15" customHeight="1">
      <c r="B230" s="1">
        <v>0</v>
      </c>
      <c r="C230" s="1">
        <v>0</v>
      </c>
      <c r="D230" s="1"/>
      <c r="E230" s="1">
        <v>0</v>
      </c>
    </row>
    <row r="231" spans="2:5" ht="15" customHeight="1">
      <c r="B231" s="1">
        <v>0</v>
      </c>
      <c r="C231" s="1">
        <v>0</v>
      </c>
      <c r="D231" s="1"/>
      <c r="E231" s="1">
        <v>0</v>
      </c>
    </row>
    <row r="232" spans="2:5" ht="15" customHeight="1">
      <c r="B232" s="1">
        <v>0</v>
      </c>
      <c r="C232" s="1">
        <v>0</v>
      </c>
      <c r="D232" s="1"/>
      <c r="E232" s="1">
        <v>0</v>
      </c>
    </row>
    <row r="233" spans="2:5" ht="15" customHeight="1">
      <c r="B233" s="1">
        <v>0</v>
      </c>
      <c r="C233" s="1">
        <v>0</v>
      </c>
      <c r="D233" s="1"/>
      <c r="E233" s="1">
        <v>0</v>
      </c>
    </row>
    <row r="234" spans="2:5" ht="15" customHeight="1">
      <c r="B234" s="1">
        <v>0</v>
      </c>
      <c r="C234" s="1">
        <v>0</v>
      </c>
      <c r="D234" s="1"/>
      <c r="E234" s="1">
        <v>0</v>
      </c>
    </row>
    <row r="235" spans="2:5" ht="15" customHeight="1">
      <c r="B235" s="1">
        <v>0</v>
      </c>
      <c r="C235" s="1">
        <v>0</v>
      </c>
      <c r="D235" s="1"/>
      <c r="E235" s="1">
        <v>0</v>
      </c>
    </row>
    <row r="236" spans="2:5" ht="15" customHeight="1">
      <c r="B236" s="1">
        <v>0</v>
      </c>
      <c r="C236" s="1">
        <v>0</v>
      </c>
      <c r="D236" s="1"/>
      <c r="E236" s="1">
        <v>0</v>
      </c>
    </row>
    <row r="237" spans="2:5" ht="15" customHeight="1">
      <c r="B237" s="1">
        <v>0</v>
      </c>
      <c r="C237" s="1">
        <v>0</v>
      </c>
      <c r="D237" s="1"/>
      <c r="E237" s="1">
        <v>0</v>
      </c>
    </row>
    <row r="238" spans="2:5" ht="15" customHeight="1">
      <c r="B238" s="1">
        <v>0</v>
      </c>
      <c r="C238" s="1">
        <v>0</v>
      </c>
      <c r="D238" s="1"/>
      <c r="E238" s="1">
        <v>0</v>
      </c>
    </row>
    <row r="239" spans="2:5" ht="15" customHeight="1">
      <c r="B239" s="1">
        <v>0</v>
      </c>
      <c r="C239" s="1">
        <v>0</v>
      </c>
      <c r="D239" s="1"/>
      <c r="E239" s="1">
        <v>0</v>
      </c>
    </row>
    <row r="240" spans="2:5" ht="15" customHeight="1">
      <c r="B240" s="1">
        <v>0</v>
      </c>
      <c r="C240" s="1">
        <v>0</v>
      </c>
      <c r="D240" s="1"/>
      <c r="E240" s="1">
        <v>0</v>
      </c>
    </row>
    <row r="241" spans="2:5" ht="15" customHeight="1">
      <c r="B241" s="1">
        <v>0</v>
      </c>
      <c r="C241" s="1">
        <v>0</v>
      </c>
      <c r="D241" s="1"/>
      <c r="E241" s="1">
        <v>0</v>
      </c>
    </row>
    <row r="242" spans="2:5" ht="15" customHeight="1">
      <c r="B242" s="1">
        <v>0</v>
      </c>
      <c r="C242" s="1">
        <v>0</v>
      </c>
      <c r="D242" s="1"/>
      <c r="E242" s="1">
        <v>0</v>
      </c>
    </row>
    <row r="243" spans="2:5" ht="15" customHeight="1">
      <c r="B243" s="1">
        <v>0</v>
      </c>
      <c r="C243" s="1">
        <v>0</v>
      </c>
      <c r="D243" s="1"/>
      <c r="E243" s="1">
        <v>0</v>
      </c>
    </row>
    <row r="244" spans="2:5" ht="15" customHeight="1">
      <c r="B244" s="1">
        <v>0</v>
      </c>
      <c r="C244" s="1">
        <v>0</v>
      </c>
      <c r="D244" s="1"/>
      <c r="E244" s="1">
        <v>0</v>
      </c>
    </row>
    <row r="245" spans="2:5" ht="15" customHeight="1">
      <c r="B245" s="1">
        <v>0</v>
      </c>
      <c r="C245" s="1">
        <v>0</v>
      </c>
      <c r="D245" s="1"/>
      <c r="E245" s="1">
        <v>0</v>
      </c>
    </row>
    <row r="246" spans="2:5" ht="15" customHeight="1">
      <c r="B246" s="1">
        <v>0</v>
      </c>
      <c r="C246" s="1">
        <v>0</v>
      </c>
      <c r="D246" s="1"/>
      <c r="E246" s="1">
        <v>0</v>
      </c>
    </row>
    <row r="247" spans="2:5" ht="15" customHeight="1">
      <c r="B247" s="1">
        <v>0</v>
      </c>
      <c r="C247" s="1">
        <v>0</v>
      </c>
      <c r="D247" s="1"/>
      <c r="E247" s="1">
        <v>0</v>
      </c>
    </row>
    <row r="248" spans="2:5" ht="15" customHeight="1">
      <c r="B248" s="1">
        <v>0</v>
      </c>
      <c r="C248" s="1">
        <v>0</v>
      </c>
      <c r="D248" s="1"/>
      <c r="E248" s="1">
        <v>0</v>
      </c>
    </row>
    <row r="249" spans="2:5" ht="15" customHeight="1">
      <c r="B249" s="1">
        <v>0</v>
      </c>
      <c r="C249" s="1">
        <v>0</v>
      </c>
      <c r="D249" s="1"/>
      <c r="E249" s="1">
        <v>0</v>
      </c>
    </row>
    <row r="250" spans="2:5" ht="15" customHeight="1">
      <c r="B250" s="1">
        <v>0</v>
      </c>
      <c r="C250" s="1">
        <v>0</v>
      </c>
      <c r="D250" s="1"/>
      <c r="E250" s="1">
        <v>0</v>
      </c>
    </row>
    <row r="251" spans="2:5" ht="15" customHeight="1">
      <c r="B251" s="1">
        <v>0</v>
      </c>
      <c r="C251" s="1">
        <v>0</v>
      </c>
      <c r="D251" s="1"/>
      <c r="E251" s="1">
        <v>0</v>
      </c>
    </row>
    <row r="252" spans="2:5" ht="15" customHeight="1">
      <c r="B252" s="1">
        <v>0</v>
      </c>
      <c r="C252" s="1">
        <v>0</v>
      </c>
      <c r="D252" s="1"/>
      <c r="E252" s="1">
        <v>0</v>
      </c>
    </row>
    <row r="253" spans="2:5" ht="15" customHeight="1">
      <c r="B253" s="1">
        <v>0</v>
      </c>
      <c r="C253" s="1">
        <v>0</v>
      </c>
      <c r="D253" s="1"/>
      <c r="E253" s="1">
        <v>0</v>
      </c>
    </row>
    <row r="254" spans="2:5" ht="15" customHeight="1">
      <c r="B254" s="1">
        <v>0</v>
      </c>
      <c r="C254" s="1">
        <v>0</v>
      </c>
      <c r="D254" s="1"/>
      <c r="E254" s="1">
        <v>0</v>
      </c>
    </row>
    <row r="255" spans="2:5" ht="15" customHeight="1">
      <c r="B255" s="1">
        <v>0</v>
      </c>
      <c r="C255" s="1">
        <v>0</v>
      </c>
      <c r="D255" s="1"/>
      <c r="E255" s="1">
        <v>0</v>
      </c>
    </row>
    <row r="256" spans="2:5" ht="15" customHeight="1">
      <c r="B256" s="1">
        <v>0</v>
      </c>
      <c r="C256" s="1">
        <v>0</v>
      </c>
      <c r="D256" s="1"/>
      <c r="E256" s="1">
        <v>0</v>
      </c>
    </row>
    <row r="257" spans="2:5" ht="15" customHeight="1">
      <c r="B257" s="1">
        <v>0</v>
      </c>
      <c r="C257" s="1">
        <v>0</v>
      </c>
      <c r="D257" s="1"/>
      <c r="E257" s="1">
        <v>0</v>
      </c>
    </row>
    <row r="258" spans="2:5" ht="15" customHeight="1">
      <c r="B258" s="1">
        <v>0</v>
      </c>
      <c r="C258" s="1">
        <v>0</v>
      </c>
      <c r="D258" s="1"/>
      <c r="E258" s="1">
        <v>0</v>
      </c>
    </row>
    <row r="259" spans="2:5" ht="15" customHeight="1">
      <c r="B259" s="1">
        <v>0</v>
      </c>
      <c r="C259" s="1">
        <v>0</v>
      </c>
      <c r="D259" s="1"/>
      <c r="E259" s="1">
        <v>0</v>
      </c>
    </row>
    <row r="260" spans="2:5" ht="15" customHeight="1">
      <c r="B260" s="1">
        <v>0</v>
      </c>
      <c r="C260" s="1">
        <v>0</v>
      </c>
      <c r="D260" s="1"/>
      <c r="E260" s="1">
        <v>0</v>
      </c>
    </row>
    <row r="261" spans="2:5" ht="15" customHeight="1">
      <c r="B261" s="1">
        <v>0</v>
      </c>
      <c r="C261" s="1">
        <v>0</v>
      </c>
      <c r="D261" s="1"/>
      <c r="E261" s="1">
        <v>0</v>
      </c>
    </row>
    <row r="262" spans="2:5" ht="15" customHeight="1">
      <c r="B262" s="1">
        <v>0</v>
      </c>
      <c r="C262" s="1">
        <v>0</v>
      </c>
      <c r="D262" s="1"/>
      <c r="E262" s="1">
        <v>0</v>
      </c>
    </row>
    <row r="263" spans="2:5" ht="15" customHeight="1">
      <c r="B263" s="1">
        <v>0</v>
      </c>
      <c r="C263" s="1">
        <v>0</v>
      </c>
      <c r="D263" s="1"/>
      <c r="E263" s="1">
        <v>0</v>
      </c>
    </row>
    <row r="264" spans="2:5" ht="15" customHeight="1">
      <c r="B264" s="1">
        <v>0</v>
      </c>
      <c r="C264" s="1">
        <v>0</v>
      </c>
      <c r="D264" s="1"/>
      <c r="E264" s="1">
        <v>0</v>
      </c>
    </row>
    <row r="265" spans="2:5" ht="15" customHeight="1">
      <c r="B265" s="1">
        <v>0</v>
      </c>
      <c r="C265" s="1">
        <v>0</v>
      </c>
      <c r="D265" s="1"/>
      <c r="E265" s="1">
        <v>0</v>
      </c>
    </row>
    <row r="266" spans="2:5" ht="15" customHeight="1">
      <c r="B266" s="1">
        <v>0</v>
      </c>
      <c r="C266" s="1">
        <v>0</v>
      </c>
      <c r="D266" s="1"/>
      <c r="E266" s="1">
        <v>0</v>
      </c>
    </row>
    <row r="267" spans="2:5" ht="15" customHeight="1">
      <c r="B267" s="1">
        <v>0</v>
      </c>
      <c r="C267" s="1">
        <v>0</v>
      </c>
      <c r="D267" s="1"/>
      <c r="E267" s="1">
        <v>0</v>
      </c>
    </row>
    <row r="268" spans="2:5" ht="15" customHeight="1">
      <c r="B268" s="1">
        <v>0</v>
      </c>
      <c r="C268" s="1">
        <v>0</v>
      </c>
      <c r="D268" s="1"/>
      <c r="E268" s="1">
        <v>0</v>
      </c>
    </row>
    <row r="269" spans="2:5" ht="15" customHeight="1">
      <c r="B269" s="1">
        <v>0</v>
      </c>
      <c r="C269" s="1">
        <v>0</v>
      </c>
      <c r="D269" s="1"/>
      <c r="E269" s="1">
        <v>0</v>
      </c>
    </row>
    <row r="270" spans="2:5" ht="15" customHeight="1">
      <c r="B270" s="1">
        <v>0</v>
      </c>
      <c r="C270" s="1">
        <v>0</v>
      </c>
      <c r="D270" s="1"/>
      <c r="E270" s="1">
        <v>0</v>
      </c>
    </row>
    <row r="271" spans="2:5" ht="15" customHeight="1">
      <c r="B271" s="1">
        <v>0</v>
      </c>
      <c r="C271" s="1">
        <v>0</v>
      </c>
      <c r="D271" s="1"/>
      <c r="E271" s="1">
        <v>0</v>
      </c>
    </row>
    <row r="272" spans="2:5" ht="15" customHeight="1">
      <c r="B272" s="1">
        <v>0</v>
      </c>
      <c r="C272" s="1">
        <v>0</v>
      </c>
      <c r="D272" s="1"/>
      <c r="E272" s="1">
        <v>0</v>
      </c>
    </row>
    <row r="273" spans="2:5" ht="15" customHeight="1">
      <c r="B273" s="1">
        <v>0</v>
      </c>
      <c r="C273" s="1">
        <v>0</v>
      </c>
      <c r="D273" s="1"/>
      <c r="E273" s="1">
        <v>0</v>
      </c>
    </row>
    <row r="274" spans="2:5" ht="15" customHeight="1">
      <c r="B274" s="1">
        <v>0</v>
      </c>
      <c r="C274" s="1">
        <v>0</v>
      </c>
      <c r="D274" s="1"/>
      <c r="E274" s="1">
        <v>0</v>
      </c>
    </row>
    <row r="275" spans="2:5" ht="15" customHeight="1">
      <c r="B275" s="1">
        <v>0</v>
      </c>
      <c r="C275" s="1">
        <v>0</v>
      </c>
      <c r="D275" s="1"/>
      <c r="E275" s="1">
        <v>92</v>
      </c>
    </row>
    <row r="276" spans="2:5" ht="15" customHeight="1">
      <c r="B276" s="1">
        <v>0</v>
      </c>
      <c r="C276" s="1">
        <v>392</v>
      </c>
      <c r="D276" s="1"/>
      <c r="E276" s="1">
        <v>392</v>
      </c>
    </row>
    <row r="277" spans="2:5" ht="15" customHeight="1">
      <c r="B277" s="1">
        <v>392</v>
      </c>
      <c r="C277" s="1">
        <v>0</v>
      </c>
      <c r="D277" s="1"/>
      <c r="E277" s="1">
        <v>0</v>
      </c>
    </row>
    <row r="278" spans="2:5" ht="15" customHeight="1">
      <c r="B278" s="1">
        <v>0</v>
      </c>
      <c r="C278" s="1">
        <v>0</v>
      </c>
      <c r="D278" s="1"/>
      <c r="E278" s="1">
        <v>0</v>
      </c>
    </row>
    <row r="279" spans="2:5" ht="15" customHeight="1">
      <c r="B279" s="1">
        <v>0</v>
      </c>
      <c r="C279" s="1">
        <v>0</v>
      </c>
      <c r="D279" s="1"/>
      <c r="E279" s="1">
        <v>0</v>
      </c>
    </row>
    <row r="280" spans="2:5" ht="15" customHeight="1">
      <c r="B280" s="1">
        <v>0</v>
      </c>
      <c r="C280" s="1">
        <v>0</v>
      </c>
      <c r="D280" s="1"/>
      <c r="E280" s="1">
        <v>0</v>
      </c>
    </row>
    <row r="281" spans="2:5" ht="15" customHeight="1">
      <c r="B281" s="1">
        <v>0</v>
      </c>
      <c r="C281" s="1">
        <v>0</v>
      </c>
      <c r="D281" s="1"/>
      <c r="E281" s="1">
        <v>0</v>
      </c>
    </row>
    <row r="282" spans="2:5" ht="15" customHeight="1">
      <c r="B282" s="1">
        <v>0</v>
      </c>
      <c r="C282" s="1">
        <v>0</v>
      </c>
      <c r="D282" s="1"/>
      <c r="E282" s="1">
        <v>0</v>
      </c>
    </row>
    <row r="283" spans="2:5" ht="15" customHeight="1">
      <c r="B283" s="1">
        <v>0</v>
      </c>
      <c r="C283" s="1">
        <v>0</v>
      </c>
      <c r="D283" s="1"/>
      <c r="E283" s="1">
        <v>0</v>
      </c>
    </row>
    <row r="284" spans="2:5" ht="15" customHeight="1">
      <c r="B284" s="1">
        <v>0</v>
      </c>
      <c r="C284" s="1">
        <v>0</v>
      </c>
      <c r="D284" s="1"/>
      <c r="E284" s="1">
        <v>0</v>
      </c>
    </row>
    <row r="285" spans="2:5" ht="15" customHeight="1">
      <c r="B285" s="1">
        <v>0</v>
      </c>
      <c r="C285" s="1">
        <v>0</v>
      </c>
      <c r="D285" s="1"/>
      <c r="E285" s="1">
        <v>0</v>
      </c>
    </row>
  </sheetData>
  <dataValidations count="2">
    <dataValidation type="list" allowBlank="1" showInputMessage="1" showErrorMessage="1" sqref="G6">
      <formula1>$F$13:$F$17</formula1>
    </dataValidation>
    <dataValidation type="list" allowBlank="1" showInputMessage="1" showErrorMessage="1" sqref="I6">
      <formula1>$G$13:$G$16</formula1>
    </dataValidation>
  </dataValidations>
  <pageMargins left="0.7" right="0.7" top="0.75" bottom="0.75" header="0.3" footer="0.3"/>
  <pageSetup orientation="portrait" r:id="rId1"/>
  <drawing r:id="rId2"/>
  <legacyDrawing r:id="rId3"/>
  <controls>
    <control shapeId="4097" r:id="rId4" name="cbMeas"/>
    <control shapeId="4099" r:id="rId5" name="cmbMode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Simple</vt:lpstr>
      <vt:lpstr>FSR</vt:lpstr>
      <vt:lpstr>rng</vt:lpstr>
      <vt:lpstr>sleepTime</vt:lpstr>
    </vt:vector>
  </TitlesOfParts>
  <Company>Intersil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jgetchel</dc:creator>
  <cp:lastModifiedBy>jgetchel</cp:lastModifiedBy>
  <dcterms:created xsi:type="dcterms:W3CDTF">2014-04-15T02:33:46Z</dcterms:created>
  <dcterms:modified xsi:type="dcterms:W3CDTF">2014-12-19T17:44:34Z</dcterms:modified>
</cp:coreProperties>
</file>