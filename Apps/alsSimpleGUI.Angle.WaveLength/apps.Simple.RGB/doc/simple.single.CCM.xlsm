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-15" yWindow="-15" windowWidth="14025" windowHeight="7980"/>
  </bookViews>
  <sheets>
    <sheet name="Simple-CCM" sheetId="1" r:id="rId1"/>
  </sheets>
  <functionGroups/>
  <externalReferences>
    <externalReference r:id="rId2"/>
  </externalReferences>
  <definedNames>
    <definedName name="calSel">#REF!</definedName>
    <definedName name="Comp38">#REF!</definedName>
    <definedName name="Compensation">#REF!</definedName>
    <definedName name="InputN">#REF!</definedName>
    <definedName name="RangeN">#REF!</definedName>
    <definedName name="v_0">#REF!</definedName>
    <definedName name="v_1">#REF!</definedName>
    <definedName name="v_2">#REF!</definedName>
  </definedNames>
  <calcPr calcId="125725"/>
</workbook>
</file>

<file path=xl/calcChain.xml><?xml version="1.0" encoding="utf-8"?>
<calcChain xmlns="http://schemas.openxmlformats.org/spreadsheetml/2006/main">
  <c r="J18" i="1"/>
  <c r="J16"/>
  <c r="J14"/>
  <c r="L21"/>
  <c r="D5"/>
  <c r="F4" l="1"/>
  <c r="E6" l="1"/>
  <c r="F6" s="1"/>
  <c r="D6"/>
  <c r="E5"/>
  <c r="F5" s="1"/>
  <c r="H43"/>
  <c r="J39"/>
  <c r="J38"/>
  <c r="I38"/>
  <c r="H38"/>
  <c r="E27"/>
  <c r="E28" s="1"/>
  <c r="D27"/>
  <c r="D28" s="1"/>
  <c r="H25"/>
  <c r="D25"/>
  <c r="D26" s="1"/>
  <c r="E23"/>
  <c r="E24" s="1"/>
  <c r="I22"/>
  <c r="H22"/>
  <c r="G22"/>
  <c r="F22"/>
  <c r="E22"/>
  <c r="D22"/>
  <c r="J43"/>
  <c r="I43"/>
  <c r="J41"/>
  <c r="I41"/>
  <c r="H41"/>
  <c r="F23"/>
  <c r="F24" s="1"/>
  <c r="I39"/>
  <c r="D23"/>
  <c r="D24" s="1"/>
  <c r="I27"/>
  <c r="H27"/>
  <c r="I25"/>
  <c r="I23"/>
  <c r="H23"/>
  <c r="D7" l="1"/>
  <c r="F7"/>
  <c r="B6"/>
  <c r="L41"/>
  <c r="K41"/>
  <c r="L43"/>
  <c r="G25"/>
  <c r="E25"/>
  <c r="E26" s="1"/>
  <c r="F27"/>
  <c r="F28" s="1"/>
  <c r="H39"/>
  <c r="K43"/>
  <c r="G23"/>
  <c r="F25"/>
  <c r="F26" s="1"/>
  <c r="G27"/>
  <c r="M41"/>
  <c r="M43"/>
  <c r="C9" l="1"/>
  <c r="M11" s="1"/>
  <c r="K39"/>
  <c r="L39"/>
  <c r="M39"/>
  <c r="K13" l="1"/>
  <c r="G28" s="1"/>
  <c r="G24" l="1"/>
  <c r="I24"/>
  <c r="H24"/>
  <c r="H28"/>
  <c r="I28"/>
  <c r="G26"/>
  <c r="H26"/>
  <c r="I26"/>
  <c r="D32" l="1" a="1"/>
  <c r="E32" s="1"/>
  <c r="D31" a="1"/>
  <c r="E31" s="1"/>
  <c r="C31" s="1"/>
  <c r="D30" a="1"/>
  <c r="C32" l="1"/>
  <c r="D39"/>
  <c r="F31"/>
  <c r="D32"/>
  <c r="I32" s="1"/>
  <c r="D31"/>
  <c r="I31" s="1"/>
  <c r="F32"/>
  <c r="G32" s="1"/>
  <c r="G31"/>
  <c r="E30"/>
  <c r="H30" s="1"/>
  <c r="F30"/>
  <c r="G30" s="1"/>
  <c r="D30"/>
  <c r="I30" s="1"/>
  <c r="H31"/>
  <c r="H32"/>
  <c r="M29" l="1"/>
  <c r="M27"/>
  <c r="M28"/>
  <c r="D40"/>
  <c r="M31"/>
  <c r="M30"/>
  <c r="M32"/>
  <c r="P39"/>
  <c r="O39"/>
  <c r="D41"/>
  <c r="N39"/>
  <c r="F39" l="1"/>
  <c r="R39"/>
  <c r="D43"/>
  <c r="P41"/>
  <c r="O41"/>
  <c r="F41" s="1"/>
  <c r="N41"/>
  <c r="O40"/>
  <c r="F40" s="1"/>
  <c r="N40"/>
  <c r="D42"/>
  <c r="P40"/>
  <c r="Q39"/>
  <c r="S39"/>
  <c r="G39" l="1"/>
  <c r="E39"/>
  <c r="Q41"/>
  <c r="P43"/>
  <c r="O43"/>
  <c r="F43" s="1"/>
  <c r="N43"/>
  <c r="P42"/>
  <c r="O42"/>
  <c r="F42" s="1"/>
  <c r="N42"/>
  <c r="D44"/>
  <c r="R41"/>
  <c r="Q40"/>
  <c r="R40"/>
  <c r="S41"/>
  <c r="S40"/>
  <c r="G40" l="1"/>
  <c r="G41"/>
  <c r="E40"/>
  <c r="E41"/>
  <c r="Q43"/>
  <c r="R42"/>
  <c r="R43"/>
  <c r="Q42"/>
  <c r="N44"/>
  <c r="P44"/>
  <c r="O44"/>
  <c r="F44" s="1"/>
  <c r="S42"/>
  <c r="S43"/>
  <c r="G43" l="1"/>
  <c r="G42"/>
  <c r="E43"/>
  <c r="E42"/>
  <c r="Q44"/>
  <c r="R44"/>
  <c r="S44"/>
  <c r="G44" l="1"/>
  <c r="E44"/>
</calcChain>
</file>

<file path=xl/sharedStrings.xml><?xml version="1.0" encoding="utf-8"?>
<sst xmlns="http://schemas.openxmlformats.org/spreadsheetml/2006/main" count="74" uniqueCount="47">
  <si>
    <t>Range</t>
  </si>
  <si>
    <t>LO</t>
  </si>
  <si>
    <t>HI</t>
  </si>
  <si>
    <t>R</t>
  </si>
  <si>
    <t>G</t>
  </si>
  <si>
    <t>B</t>
  </si>
  <si>
    <t>A</t>
  </si>
  <si>
    <t>CWF</t>
  </si>
  <si>
    <t>D65</t>
  </si>
  <si>
    <t>X</t>
  </si>
  <si>
    <t>Y</t>
  </si>
  <si>
    <t>Z</t>
  </si>
  <si>
    <t>LINEST</t>
  </si>
  <si>
    <t>X'</t>
  </si>
  <si>
    <t>Y'</t>
  </si>
  <si>
    <t>Z'</t>
  </si>
  <si>
    <t>x</t>
  </si>
  <si>
    <t>y</t>
  </si>
  <si>
    <t>x'</t>
  </si>
  <si>
    <t>y'</t>
  </si>
  <si>
    <t>Re-Shuffle/Scale</t>
  </si>
  <si>
    <t>Δxy</t>
  </si>
  <si>
    <t>Lux</t>
  </si>
  <si>
    <t>Source</t>
  </si>
  <si>
    <t>CCM corrected</t>
  </si>
  <si>
    <t>Chroma Meter</t>
  </si>
  <si>
    <t>DUT</t>
  </si>
  <si>
    <t>m</t>
  </si>
  <si>
    <t>CWF'</t>
  </si>
  <si>
    <t>CompSet</t>
  </si>
  <si>
    <t>Range Lo</t>
  </si>
  <si>
    <t>Balance IR Compensation</t>
  </si>
  <si>
    <t>Measure XYZ, RGB</t>
  </si>
  <si>
    <t>Calculate CMM &amp; Ranges</t>
  </si>
  <si>
    <t>Verify Results</t>
  </si>
  <si>
    <t>LUX</t>
  </si>
  <si>
    <t>←</t>
  </si>
  <si>
    <r>
      <t>R</t>
    </r>
    <r>
      <rPr>
        <vertAlign val="subscript"/>
        <sz val="11"/>
        <color theme="1"/>
        <rFont val="Calibri"/>
        <family val="2"/>
        <scheme val="minor"/>
      </rPr>
      <t>LO</t>
    </r>
    <r>
      <rPr>
        <sz val="11"/>
        <color theme="1"/>
        <rFont val="Calibri"/>
        <family val="2"/>
        <scheme val="minor"/>
      </rPr>
      <t>/R</t>
    </r>
    <r>
      <rPr>
        <vertAlign val="subscript"/>
        <sz val="11"/>
        <color theme="1"/>
        <rFont val="Calibri"/>
        <family val="2"/>
        <scheme val="minor"/>
      </rPr>
      <t>HI</t>
    </r>
  </si>
  <si>
    <t>3) Increase the compensation until the ADC code is about 25% of the value measured at 0 compensation  with incandescent lighting (green value).</t>
  </si>
  <si>
    <t>2) Record Lux from (Chroma meter CL-200) and ADC code(ISL29125) with range &amp; compensation set to zero.</t>
  </si>
  <si>
    <r>
      <t xml:space="preserve">4) Set compensation to the intersection of the 2 lines (A and CWF') the result is at  (orange value). </t>
    </r>
    <r>
      <rPr>
        <b/>
        <sz val="11"/>
        <color theme="1"/>
        <rFont val="Calibri"/>
        <family val="2"/>
        <scheme val="minor"/>
      </rPr>
      <t>This is the best compensation setting</t>
    </r>
    <r>
      <rPr>
        <sz val="10"/>
        <color theme="1"/>
        <rFont val="Calibri"/>
        <family val="2"/>
        <scheme val="minor"/>
      </rPr>
      <t>.</t>
    </r>
  </si>
  <si>
    <t>1) Adjust compensation to balance IR stop band attenuation such that incandescent (A) and fluorescent(CWF) lighting measure the same value at equal lux levels.</t>
  </si>
  <si>
    <r>
      <rPr>
        <u/>
        <sz val="11"/>
        <color theme="1"/>
        <rFont val="Calibri"/>
        <family val="2"/>
      </rPr>
      <t>Δ</t>
    </r>
    <r>
      <rPr>
        <u/>
        <sz val="11"/>
        <color theme="1"/>
        <rFont val="Calibri"/>
        <family val="2"/>
        <scheme val="minor"/>
      </rPr>
      <t xml:space="preserve"> Range</t>
    </r>
  </si>
  <si>
    <t>CWF' is scaled so that it has same lux level with A</t>
  </si>
  <si>
    <t>Konica-Minolta CL-200A</t>
  </si>
  <si>
    <t>McCamy CCT Approximation</t>
  </si>
  <si>
    <t>CCT</t>
  </si>
</sst>
</file>

<file path=xl/styles.xml><?xml version="1.0" encoding="utf-8"?>
<styleSheet xmlns="http://schemas.openxmlformats.org/spreadsheetml/2006/main">
  <numFmts count="4">
    <numFmt numFmtId="164" formatCode="0.0"/>
    <numFmt numFmtId="165" formatCode="0.0000"/>
    <numFmt numFmtId="166" formatCode="0.0%"/>
    <numFmt numFmtId="167" formatCode="0.0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u/>
      <sz val="11"/>
      <color theme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2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7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5" borderId="0" xfId="0" applyNumberFormat="1" applyFill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166" fontId="0" fillId="5" borderId="7" xfId="0" applyNumberForma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 applyAlignment="1">
      <alignment vertical="center" wrapText="1"/>
    </xf>
    <xf numFmtId="0" fontId="0" fillId="7" borderId="0" xfId="0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 vertical="center"/>
    </xf>
    <xf numFmtId="164" fontId="0" fillId="7" borderId="7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5" borderId="0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8" fillId="0" borderId="0" xfId="1" applyAlignment="1" applyProtection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23" xfId="0" applyBorder="1" applyAlignment="1">
      <alignment vertical="center"/>
    </xf>
    <xf numFmtId="0" fontId="4" fillId="0" borderId="18" xfId="0" applyFont="1" applyBorder="1" applyAlignment="1">
      <alignment horizontal="left" vertical="center" wrapText="1"/>
    </xf>
    <xf numFmtId="0" fontId="0" fillId="0" borderId="19" xfId="0" applyBorder="1" applyAlignment="1">
      <alignment vertical="center"/>
    </xf>
    <xf numFmtId="0" fontId="0" fillId="0" borderId="22" xfId="0" applyBorder="1" applyAlignment="1">
      <alignment vertical="center"/>
    </xf>
    <xf numFmtId="0" fontId="1" fillId="0" borderId="1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4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1" fillId="0" borderId="6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4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2" fontId="1" fillId="0" borderId="1" xfId="0" applyNumberFormat="1" applyFont="1" applyBorder="1" applyAlignment="1">
      <alignment horizontal="left" vertical="center" wrapText="1"/>
    </xf>
    <xf numFmtId="2" fontId="1" fillId="0" borderId="2" xfId="0" applyNumberFormat="1" applyFont="1" applyBorder="1" applyAlignment="1">
      <alignment horizontal="left" vertical="center" wrapText="1"/>
    </xf>
    <xf numFmtId="2" fontId="1" fillId="0" borderId="3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left" vertical="center" wrapText="1"/>
    </xf>
    <xf numFmtId="2" fontId="1" fillId="0" borderId="8" xfId="0" applyNumberFormat="1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2" borderId="16" xfId="0" applyNumberForma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2" fontId="0" fillId="0" borderId="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7" fillId="0" borderId="25" xfId="0" applyFont="1" applyBorder="1" applyAlignment="1">
      <alignment horizontal="left"/>
    </xf>
    <xf numFmtId="0" fontId="0" fillId="0" borderId="6" xfId="0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0" fontId="7" fillId="0" borderId="25" xfId="0" applyFont="1" applyBorder="1" applyAlignment="1">
      <alignment horizontal="left" vertical="top"/>
    </xf>
    <xf numFmtId="0" fontId="7" fillId="0" borderId="23" xfId="0" applyFont="1" applyBorder="1" applyAlignment="1">
      <alignment horizontal="left" vertical="top"/>
    </xf>
    <xf numFmtId="0" fontId="0" fillId="6" borderId="19" xfId="0" applyFill="1" applyBorder="1" applyAlignment="1">
      <alignment horizontal="left" vertical="center"/>
    </xf>
    <xf numFmtId="0" fontId="0" fillId="6" borderId="20" xfId="0" applyFill="1" applyBorder="1" applyAlignment="1">
      <alignment horizontal="left" vertical="center"/>
    </xf>
    <xf numFmtId="0" fontId="0" fillId="7" borderId="0" xfId="0" applyFill="1" applyBorder="1" applyAlignment="1">
      <alignment horizontal="left" vertical="center"/>
    </xf>
    <xf numFmtId="0" fontId="0" fillId="7" borderId="25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5</xdr:row>
      <xdr:rowOff>171450</xdr:rowOff>
    </xdr:from>
    <xdr:to>
      <xdr:col>12</xdr:col>
      <xdr:colOff>19050</xdr:colOff>
      <xdr:row>6</xdr:row>
      <xdr:rowOff>66675</xdr:rowOff>
    </xdr:to>
    <xdr:cxnSp macro="">
      <xdr:nvCxnSpPr>
        <xdr:cNvPr id="4" name="Straight Arrow Connector 3"/>
        <xdr:cNvCxnSpPr/>
      </xdr:nvCxnSpPr>
      <xdr:spPr>
        <a:xfrm flipH="1" flipV="1">
          <a:off x="1247775" y="1143000"/>
          <a:ext cx="5667375" cy="857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38100</xdr:rowOff>
    </xdr:from>
    <xdr:to>
      <xdr:col>11</xdr:col>
      <xdr:colOff>590550</xdr:colOff>
      <xdr:row>8</xdr:row>
      <xdr:rowOff>123825</xdr:rowOff>
    </xdr:to>
    <xdr:cxnSp macro="">
      <xdr:nvCxnSpPr>
        <xdr:cNvPr id="6" name="Straight Arrow Connector 5"/>
        <xdr:cNvCxnSpPr/>
      </xdr:nvCxnSpPr>
      <xdr:spPr>
        <a:xfrm flipH="1">
          <a:off x="1409700" y="1581150"/>
          <a:ext cx="5467350" cy="857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</xdr:colOff>
      <xdr:row>12</xdr:row>
      <xdr:rowOff>95250</xdr:rowOff>
    </xdr:from>
    <xdr:to>
      <xdr:col>11</xdr:col>
      <xdr:colOff>600075</xdr:colOff>
      <xdr:row>13</xdr:row>
      <xdr:rowOff>133350</xdr:rowOff>
    </xdr:to>
    <xdr:cxnSp macro="">
      <xdr:nvCxnSpPr>
        <xdr:cNvPr id="8" name="Straight Arrow Connector 7"/>
        <xdr:cNvCxnSpPr/>
      </xdr:nvCxnSpPr>
      <xdr:spPr>
        <a:xfrm flipH="1">
          <a:off x="5067301" y="2419350"/>
          <a:ext cx="1819274" cy="2762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28</xdr:row>
      <xdr:rowOff>171450</xdr:rowOff>
    </xdr:from>
    <xdr:to>
      <xdr:col>10</xdr:col>
      <xdr:colOff>581025</xdr:colOff>
      <xdr:row>30</xdr:row>
      <xdr:rowOff>104775</xdr:rowOff>
    </xdr:to>
    <xdr:cxnSp macro="">
      <xdr:nvCxnSpPr>
        <xdr:cNvPr id="10" name="Straight Arrow Connector 9"/>
        <xdr:cNvCxnSpPr/>
      </xdr:nvCxnSpPr>
      <xdr:spPr>
        <a:xfrm flipV="1">
          <a:off x="5067300" y="5629275"/>
          <a:ext cx="1190625" cy="3143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381000</xdr:colOff>
      <xdr:row>20</xdr:row>
      <xdr:rowOff>142875</xdr:rowOff>
    </xdr:from>
    <xdr:to>
      <xdr:col>11</xdr:col>
      <xdr:colOff>9526</xdr:colOff>
      <xdr:row>28</xdr:row>
      <xdr:rowOff>114300</xdr:rowOff>
    </xdr:to>
    <xdr:cxnSp macro="">
      <xdr:nvCxnSpPr>
        <xdr:cNvPr id="12" name="Straight Arrow Connector 11"/>
        <xdr:cNvCxnSpPr/>
      </xdr:nvCxnSpPr>
      <xdr:spPr>
        <a:xfrm flipH="1">
          <a:off x="4838700" y="4067175"/>
          <a:ext cx="1457326" cy="1504950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142875</xdr:colOff>
      <xdr:row>32</xdr:row>
      <xdr:rowOff>66675</xdr:rowOff>
    </xdr:from>
    <xdr:to>
      <xdr:col>14</xdr:col>
      <xdr:colOff>171450</xdr:colOff>
      <xdr:row>36</xdr:row>
      <xdr:rowOff>123825</xdr:rowOff>
    </xdr:to>
    <xdr:cxnSp macro="">
      <xdr:nvCxnSpPr>
        <xdr:cNvPr id="14" name="Straight Arrow Connector 13"/>
        <xdr:cNvCxnSpPr/>
      </xdr:nvCxnSpPr>
      <xdr:spPr>
        <a:xfrm>
          <a:off x="8258175" y="6296025"/>
          <a:ext cx="28575" cy="82867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333375</xdr:colOff>
      <xdr:row>31</xdr:row>
      <xdr:rowOff>47625</xdr:rowOff>
    </xdr:from>
    <xdr:to>
      <xdr:col>19</xdr:col>
      <xdr:colOff>304800</xdr:colOff>
      <xdr:row>36</xdr:row>
      <xdr:rowOff>152400</xdr:rowOff>
    </xdr:to>
    <xdr:cxnSp macro="">
      <xdr:nvCxnSpPr>
        <xdr:cNvPr id="16" name="Straight Arrow Connector 15"/>
        <xdr:cNvCxnSpPr/>
      </xdr:nvCxnSpPr>
      <xdr:spPr>
        <a:xfrm flipH="1">
          <a:off x="10887075" y="6076950"/>
          <a:ext cx="581025" cy="10763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paris.mlp.intersil.com/Program%20Files/Intersil/RGB%20Chroma%20Meter/CCMfiles/SimpleCCMC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Dut 1"/>
      <sheetName val="Dut 2"/>
      <sheetName val="Dut 3"/>
      <sheetName val="Dut 4"/>
      <sheetName val="Dut 5"/>
      <sheetName val="Dut 6"/>
      <sheetName val="Dut 7"/>
      <sheetName val="Dut 8"/>
      <sheetName val="Dut 9"/>
      <sheetName val="Dut 10"/>
      <sheetName val="Dut 11"/>
      <sheetName val="Dut 12"/>
      <sheetName val="Dut 13"/>
      <sheetName val="Dut 14"/>
      <sheetName val="Dut 15"/>
      <sheetName val="Dut 16"/>
      <sheetName val="Dut 17"/>
      <sheetName val="Dut 18"/>
      <sheetName val="Dut 19"/>
      <sheetName val="Dut 20"/>
      <sheetName val="Dut 21"/>
      <sheetName val="Dut 22"/>
      <sheetName val="Dut 23"/>
      <sheetName val="Dut 24"/>
      <sheetName val="Dut 25"/>
      <sheetName val="Dut 26"/>
      <sheetName val="Dut 27"/>
      <sheetName val="Dut 28"/>
      <sheetName val="Dut 29"/>
      <sheetName val="Dut 30"/>
      <sheetName val="Dut 31"/>
      <sheetName val="Dut 32"/>
      <sheetName val="Dut 33"/>
      <sheetName val="Dut 34"/>
      <sheetName val="Dut 35"/>
      <sheetName val="Dut 36"/>
      <sheetName val="Dut 37"/>
      <sheetName val="Dut 38"/>
      <sheetName val="Dut 39"/>
      <sheetName val="Dut 40"/>
    </sheetNames>
    <sheetDataSet>
      <sheetData sheetId="0" refreshError="1"/>
      <sheetData sheetId="1" refreshError="1"/>
      <sheetData sheetId="2">
        <row r="5">
          <cell r="D5">
            <v>90.9</v>
          </cell>
          <cell r="E5">
            <v>80</v>
          </cell>
        </row>
        <row r="6">
          <cell r="D6">
            <v>23</v>
          </cell>
          <cell r="E6">
            <v>73.8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en.wikipedia.org/wiki/Color_temperature" TargetMode="External"/><Relationship Id="rId1" Type="http://schemas.openxmlformats.org/officeDocument/2006/relationships/hyperlink" Target="http://sensing.konicaminolta.us/products/cl-200a-chroma-meter/support/CL_200AChromaMeter_Manual.pdf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AI44"/>
  <sheetViews>
    <sheetView tabSelected="1" workbookViewId="0">
      <selection activeCell="H49" sqref="H49"/>
    </sheetView>
  </sheetViews>
  <sheetFormatPr defaultRowHeight="15"/>
  <cols>
    <col min="1" max="1" width="2.85546875" style="1" customWidth="1"/>
    <col min="2" max="24" width="9.140625" style="1"/>
    <col min="25" max="25" width="9.140625" style="44"/>
    <col min="26" max="28" width="9.140625" style="1"/>
    <col min="29" max="29" width="9.140625" style="44"/>
    <col min="30" max="34" width="9.140625" style="1"/>
    <col min="35" max="35" width="9.5703125" style="44" bestFit="1" customWidth="1"/>
    <col min="36" max="16384" width="9.140625" style="1"/>
  </cols>
  <sheetData>
    <row r="1" spans="2:22" ht="15.75" thickBot="1"/>
    <row r="2" spans="2:22" ht="15" customHeight="1">
      <c r="B2" s="61" t="s">
        <v>31</v>
      </c>
      <c r="C2" s="62"/>
      <c r="D2" s="62"/>
      <c r="E2" s="62"/>
      <c r="F2" s="63"/>
      <c r="M2" s="104" t="s">
        <v>41</v>
      </c>
      <c r="N2" s="105"/>
      <c r="O2" s="105"/>
      <c r="P2" s="105"/>
      <c r="Q2" s="105"/>
      <c r="R2" s="105"/>
      <c r="S2" s="105"/>
      <c r="T2" s="106"/>
    </row>
    <row r="3" spans="2:22" ht="15.75" thickBot="1">
      <c r="B3" s="2"/>
      <c r="C3" s="3" t="s">
        <v>30</v>
      </c>
      <c r="D3" s="3" t="s">
        <v>6</v>
      </c>
      <c r="E3" s="3" t="s">
        <v>7</v>
      </c>
      <c r="F3" s="4" t="s">
        <v>28</v>
      </c>
      <c r="G3" s="60" t="s">
        <v>43</v>
      </c>
      <c r="H3" s="66"/>
      <c r="I3" s="66"/>
      <c r="J3" s="66"/>
      <c r="K3" s="66"/>
      <c r="L3" s="64"/>
      <c r="M3" s="107"/>
      <c r="N3" s="108"/>
      <c r="O3" s="108"/>
      <c r="P3" s="108"/>
      <c r="Q3" s="108"/>
      <c r="R3" s="108"/>
      <c r="S3" s="108"/>
      <c r="T3" s="109"/>
    </row>
    <row r="4" spans="2:22" ht="15" customHeight="1">
      <c r="B4" s="2"/>
      <c r="C4" s="3" t="s">
        <v>22</v>
      </c>
      <c r="D4" s="15">
        <v>506</v>
      </c>
      <c r="E4" s="15">
        <v>1194</v>
      </c>
      <c r="F4" s="16">
        <f>D4/E4</f>
        <v>0.42378559463986598</v>
      </c>
      <c r="M4" s="88" t="s">
        <v>39</v>
      </c>
      <c r="N4" s="89"/>
      <c r="O4" s="89"/>
      <c r="P4" s="89"/>
      <c r="Q4" s="89"/>
      <c r="R4" s="90"/>
      <c r="T4" s="35"/>
      <c r="U4" s="35"/>
      <c r="V4" s="35"/>
    </row>
    <row r="5" spans="2:22">
      <c r="B5" s="2"/>
      <c r="C5" s="3">
        <v>0</v>
      </c>
      <c r="D5" s="15">
        <f>INT('[1]Dut 2'!D5*65535/375)</f>
        <v>15885</v>
      </c>
      <c r="E5" s="15">
        <f>INT('[1]Dut 2'!E5*65535/375)</f>
        <v>13980</v>
      </c>
      <c r="F5" s="17">
        <f>E5*F$4</f>
        <v>5924.5226130653264</v>
      </c>
      <c r="M5" s="70"/>
      <c r="N5" s="71"/>
      <c r="O5" s="71"/>
      <c r="P5" s="71"/>
      <c r="Q5" s="71"/>
      <c r="R5" s="91"/>
    </row>
    <row r="6" spans="2:22" ht="15" customHeight="1">
      <c r="B6" s="18">
        <f>INT(D5/4)</f>
        <v>3971</v>
      </c>
      <c r="C6" s="15">
        <v>45</v>
      </c>
      <c r="D6" s="15">
        <f>INT('[1]Dut 2'!D6*65535/375)</f>
        <v>4019</v>
      </c>
      <c r="E6" s="15">
        <f>INT('[1]Dut 2'!E6*65535/375)</f>
        <v>12897</v>
      </c>
      <c r="F6" s="17">
        <f>E6*F$4</f>
        <v>5465.5628140703511</v>
      </c>
      <c r="M6" s="67" t="s">
        <v>38</v>
      </c>
      <c r="N6" s="68"/>
      <c r="O6" s="68"/>
      <c r="P6" s="68"/>
      <c r="Q6" s="68"/>
      <c r="R6" s="68"/>
      <c r="S6" s="68"/>
      <c r="T6" s="69"/>
    </row>
    <row r="7" spans="2:22">
      <c r="B7" s="2"/>
      <c r="C7" s="3" t="s">
        <v>27</v>
      </c>
      <c r="D7" s="19">
        <f>SLOPE(D5:D6,$C5:$C6)</f>
        <v>-263.68888888888887</v>
      </c>
      <c r="E7" s="20"/>
      <c r="F7" s="21">
        <f>SLOPE(F5:F6,$C5:$C6)</f>
        <v>-10.199106644332783</v>
      </c>
      <c r="M7" s="70"/>
      <c r="N7" s="71"/>
      <c r="O7" s="71"/>
      <c r="P7" s="71"/>
      <c r="Q7" s="71"/>
      <c r="R7" s="71"/>
      <c r="S7" s="71"/>
      <c r="T7" s="72"/>
    </row>
    <row r="8" spans="2:22" ht="15" customHeight="1">
      <c r="B8" s="2"/>
      <c r="C8" s="3"/>
      <c r="D8" s="3"/>
      <c r="E8" s="3"/>
      <c r="F8" s="4"/>
      <c r="M8" s="73" t="s">
        <v>40</v>
      </c>
      <c r="N8" s="68"/>
      <c r="O8" s="68"/>
      <c r="P8" s="68"/>
      <c r="Q8" s="68"/>
      <c r="R8" s="74"/>
      <c r="S8" s="74"/>
      <c r="T8" s="69"/>
    </row>
    <row r="9" spans="2:22" ht="15.75" thickBot="1">
      <c r="B9" s="5" t="s">
        <v>29</v>
      </c>
      <c r="C9" s="22">
        <f>(D5-F5)/(F7-D7)</f>
        <v>39.293407800260887</v>
      </c>
      <c r="D9" s="6"/>
      <c r="E9" s="6"/>
      <c r="F9" s="7"/>
      <c r="M9" s="70"/>
      <c r="N9" s="71"/>
      <c r="O9" s="71"/>
      <c r="P9" s="71"/>
      <c r="Q9" s="71"/>
      <c r="R9" s="75"/>
      <c r="S9" s="75"/>
      <c r="T9" s="72"/>
    </row>
    <row r="10" spans="2:22" ht="15.75" thickBot="1"/>
    <row r="11" spans="2:22">
      <c r="B11" s="61" t="s">
        <v>32</v>
      </c>
      <c r="C11" s="62"/>
      <c r="D11" s="62"/>
      <c r="E11" s="62"/>
      <c r="F11" s="62"/>
      <c r="G11" s="62"/>
      <c r="H11" s="62"/>
      <c r="I11" s="62"/>
      <c r="J11" s="62"/>
      <c r="K11" s="63"/>
      <c r="M11" s="76" t="str">
        <f>"5) Set your IR Compset = "&amp; INT(C9) &amp; " then Measure XYZ(from CL-200) and RGB values(ISL29125) on LO(375lux) and HI(10k Lux) ranges on three different light sources near 2800K, 4000K and 6500kK values."&amp;" Use a (low IR)fluorescent source (same as used for balancing the IR compensation) for the middle, 4000K value.  Place values at yellow portion."</f>
        <v>5) Set your IR Compset = 39 then Measure XYZ(from CL-200) and RGB values(ISL29125) on LO(375lux) and HI(10k Lux) ranges on three different light sources near 2800K, 4000K and 6500kK values. Use a (low IR)fluorescent source (same as used for balancing the IR compensation) for the middle, 4000K value.  Place values at yellow portion.</v>
      </c>
      <c r="N11" s="77"/>
      <c r="O11" s="77"/>
      <c r="P11" s="77"/>
      <c r="Q11" s="77"/>
      <c r="R11" s="77"/>
      <c r="S11" s="78"/>
      <c r="T11" s="78"/>
      <c r="U11" s="79"/>
    </row>
    <row r="12" spans="2:22">
      <c r="B12" s="43"/>
      <c r="C12" s="46"/>
      <c r="D12" s="59" t="s">
        <v>25</v>
      </c>
      <c r="E12" s="59"/>
      <c r="F12" s="59"/>
      <c r="G12" s="59" t="s">
        <v>26</v>
      </c>
      <c r="H12" s="59"/>
      <c r="I12" s="59"/>
      <c r="J12" s="46"/>
      <c r="K12" s="45"/>
      <c r="M12" s="80"/>
      <c r="N12" s="81"/>
      <c r="O12" s="81"/>
      <c r="P12" s="81"/>
      <c r="Q12" s="81"/>
      <c r="R12" s="81"/>
      <c r="S12" s="82"/>
      <c r="T12" s="82"/>
      <c r="U12" s="83"/>
    </row>
    <row r="13" spans="2:22" ht="18.75" thickBot="1">
      <c r="B13" s="43" t="s">
        <v>23</v>
      </c>
      <c r="C13" s="46" t="s">
        <v>0</v>
      </c>
      <c r="D13" s="46" t="s">
        <v>9</v>
      </c>
      <c r="E13" s="46" t="s">
        <v>10</v>
      </c>
      <c r="F13" s="46" t="s">
        <v>11</v>
      </c>
      <c r="G13" s="46" t="s">
        <v>3</v>
      </c>
      <c r="H13" s="46" t="s">
        <v>4</v>
      </c>
      <c r="I13" s="46" t="s">
        <v>5</v>
      </c>
      <c r="J13" s="46" t="s">
        <v>37</v>
      </c>
      <c r="K13" s="23">
        <f>AVERAGE(J14:J19)</f>
        <v>24.522827126817095</v>
      </c>
      <c r="M13" s="80"/>
      <c r="N13" s="81"/>
      <c r="O13" s="81"/>
      <c r="P13" s="81"/>
      <c r="Q13" s="81"/>
      <c r="R13" s="81"/>
      <c r="S13" s="82"/>
      <c r="T13" s="82"/>
      <c r="U13" s="83"/>
    </row>
    <row r="14" spans="2:22" ht="15.75" thickBot="1">
      <c r="B14" s="60" t="s">
        <v>6</v>
      </c>
      <c r="C14" s="46" t="s">
        <v>1</v>
      </c>
      <c r="D14" s="117">
        <v>546.79999999999995</v>
      </c>
      <c r="E14" s="119">
        <v>499.3</v>
      </c>
      <c r="F14" s="119">
        <v>145.94999999999999</v>
      </c>
      <c r="G14" s="10">
        <v>15938</v>
      </c>
      <c r="H14" s="10">
        <v>5277</v>
      </c>
      <c r="I14" s="11">
        <v>7252</v>
      </c>
      <c r="J14" s="103">
        <f>((G14^2+H14^2+I14^2)^0.5)/((G15^2+H15^2+I15^2)^0.5)</f>
        <v>24.94250123703026</v>
      </c>
      <c r="K14" s="45"/>
      <c r="M14" s="84"/>
      <c r="N14" s="85"/>
      <c r="O14" s="85"/>
      <c r="P14" s="85"/>
      <c r="Q14" s="85"/>
      <c r="R14" s="85"/>
      <c r="S14" s="86"/>
      <c r="T14" s="86"/>
      <c r="U14" s="87"/>
    </row>
    <row r="15" spans="2:22">
      <c r="B15" s="60"/>
      <c r="C15" s="46" t="s">
        <v>2</v>
      </c>
      <c r="D15" s="118"/>
      <c r="E15" s="101"/>
      <c r="F15" s="101"/>
      <c r="G15" s="9">
        <v>631</v>
      </c>
      <c r="H15" s="9">
        <v>221</v>
      </c>
      <c r="I15" s="12">
        <v>301</v>
      </c>
      <c r="J15" s="103"/>
      <c r="K15" s="45"/>
    </row>
    <row r="16" spans="2:22">
      <c r="B16" s="60" t="s">
        <v>7</v>
      </c>
      <c r="C16" s="46" t="s">
        <v>1</v>
      </c>
      <c r="D16" s="118">
        <v>1185.5</v>
      </c>
      <c r="E16" s="101">
        <v>1196</v>
      </c>
      <c r="F16" s="101">
        <v>643.5</v>
      </c>
      <c r="G16" s="9">
        <v>11376</v>
      </c>
      <c r="H16" s="9">
        <v>13002</v>
      </c>
      <c r="I16" s="12">
        <v>7549</v>
      </c>
      <c r="J16" s="103">
        <f>((G16^2+H16^2+I16^2)^0.5)/((G17^2+H17^2+I17^2)^0.5)</f>
        <v>24.571860362819805</v>
      </c>
      <c r="K16" s="45"/>
    </row>
    <row r="17" spans="2:25">
      <c r="B17" s="60"/>
      <c r="C17" s="46" t="s">
        <v>2</v>
      </c>
      <c r="D17" s="118"/>
      <c r="E17" s="101"/>
      <c r="F17" s="101"/>
      <c r="G17" s="9">
        <v>462</v>
      </c>
      <c r="H17" s="9">
        <v>526</v>
      </c>
      <c r="I17" s="12">
        <v>314</v>
      </c>
      <c r="J17" s="103"/>
      <c r="K17" s="45"/>
    </row>
    <row r="18" spans="2:25">
      <c r="B18" s="60" t="s">
        <v>8</v>
      </c>
      <c r="C18" s="46" t="s">
        <v>1</v>
      </c>
      <c r="D18" s="118">
        <v>501.85</v>
      </c>
      <c r="E18" s="101">
        <v>567.90000000000009</v>
      </c>
      <c r="F18" s="101">
        <v>523.25</v>
      </c>
      <c r="G18" s="9">
        <v>4963</v>
      </c>
      <c r="H18" s="9">
        <v>6396</v>
      </c>
      <c r="I18" s="12">
        <v>5522</v>
      </c>
      <c r="J18" s="103">
        <f>((G18^2+H18^2+I18^2)^0.5)/((G19^2+H19^2+I19^2)^0.5)</f>
        <v>24.054119780601233</v>
      </c>
      <c r="K18" s="45"/>
    </row>
    <row r="19" spans="2:25" ht="15.75" thickBot="1">
      <c r="B19" s="116"/>
      <c r="C19" s="47" t="s">
        <v>2</v>
      </c>
      <c r="D19" s="120"/>
      <c r="E19" s="102"/>
      <c r="F19" s="102"/>
      <c r="G19" s="13">
        <v>207</v>
      </c>
      <c r="H19" s="13">
        <v>265</v>
      </c>
      <c r="I19" s="14">
        <v>230</v>
      </c>
      <c r="J19" s="110"/>
      <c r="K19" s="7"/>
    </row>
    <row r="20" spans="2:25" ht="15.75" thickBot="1"/>
    <row r="21" spans="2:25" ht="15" customHeight="1">
      <c r="B21" s="61" t="s">
        <v>33</v>
      </c>
      <c r="C21" s="62"/>
      <c r="D21" s="62"/>
      <c r="E21" s="62"/>
      <c r="F21" s="62"/>
      <c r="G21" s="62"/>
      <c r="H21" s="62"/>
      <c r="I21" s="63"/>
      <c r="L21" s="92" t="str">
        <f>"6) The CCM is calculated using a linear regression to provide the best fit to the data points measured.  Then plug these values back to formula to get corrected lux value comparing with a "&amp;S25</f>
        <v>6) The CCM is calculated using a linear regression to provide the best fit to the data points measured.  Then plug these values back to formula to get corrected lux value comparing with a Konica-Minolta CL-200A</v>
      </c>
      <c r="M21" s="93"/>
      <c r="N21" s="93"/>
      <c r="O21" s="93"/>
      <c r="P21" s="93"/>
      <c r="Q21" s="93"/>
      <c r="R21" s="93"/>
      <c r="S21" s="93"/>
      <c r="T21" s="93"/>
      <c r="U21" s="93"/>
      <c r="V21" s="94"/>
      <c r="X21" s="51"/>
      <c r="Y21" s="51"/>
    </row>
    <row r="22" spans="2:25" ht="15.75" thickBot="1">
      <c r="B22" s="2"/>
      <c r="C22" s="3"/>
      <c r="D22" s="3" t="str">
        <f t="shared" ref="D22:I23" si="0">D13</f>
        <v>X</v>
      </c>
      <c r="E22" s="3" t="str">
        <f t="shared" si="0"/>
        <v>Y</v>
      </c>
      <c r="F22" s="3" t="str">
        <f t="shared" si="0"/>
        <v>Z</v>
      </c>
      <c r="G22" s="3" t="str">
        <f t="shared" si="0"/>
        <v>R</v>
      </c>
      <c r="H22" s="3" t="str">
        <f t="shared" si="0"/>
        <v>G</v>
      </c>
      <c r="I22" s="4" t="str">
        <f t="shared" si="0"/>
        <v>B</v>
      </c>
      <c r="L22" s="95"/>
      <c r="M22" s="96"/>
      <c r="N22" s="96"/>
      <c r="O22" s="96"/>
      <c r="P22" s="96"/>
      <c r="Q22" s="96"/>
      <c r="R22" s="96"/>
      <c r="S22" s="96"/>
      <c r="T22" s="96"/>
      <c r="U22" s="96"/>
      <c r="V22" s="97"/>
      <c r="X22" s="51"/>
      <c r="Y22" s="51"/>
    </row>
    <row r="23" spans="2:25">
      <c r="B23" s="2"/>
      <c r="C23" s="3"/>
      <c r="D23" s="3">
        <f t="shared" si="0"/>
        <v>546.79999999999995</v>
      </c>
      <c r="E23" s="3">
        <f t="shared" si="0"/>
        <v>499.3</v>
      </c>
      <c r="F23" s="3">
        <f t="shared" si="0"/>
        <v>145.94999999999999</v>
      </c>
      <c r="G23" s="24">
        <f t="shared" si="0"/>
        <v>15938</v>
      </c>
      <c r="H23" s="24">
        <f t="shared" si="0"/>
        <v>5277</v>
      </c>
      <c r="I23" s="17">
        <f t="shared" si="0"/>
        <v>7252</v>
      </c>
      <c r="K23" s="36"/>
      <c r="L23" s="36"/>
      <c r="M23" s="36"/>
      <c r="N23" s="36"/>
      <c r="O23" s="36"/>
      <c r="P23" s="36"/>
    </row>
    <row r="24" spans="2:25">
      <c r="B24" s="2"/>
      <c r="C24" s="3"/>
      <c r="D24" s="3">
        <f>D23</f>
        <v>546.79999999999995</v>
      </c>
      <c r="E24" s="3">
        <f t="shared" ref="E24:F24" si="1">E23</f>
        <v>499.3</v>
      </c>
      <c r="F24" s="3">
        <f t="shared" si="1"/>
        <v>145.94999999999999</v>
      </c>
      <c r="G24" s="24">
        <f>G15*$K$13</f>
        <v>15473.903917021587</v>
      </c>
      <c r="H24" s="24">
        <f>H15*$K$13</f>
        <v>5419.544795026578</v>
      </c>
      <c r="I24" s="17">
        <f>I15*$K$13</f>
        <v>7381.3709651719455</v>
      </c>
    </row>
    <row r="25" spans="2:25">
      <c r="B25" s="2"/>
      <c r="C25" s="3"/>
      <c r="D25" s="3">
        <f t="shared" ref="D25:I25" si="2">D16</f>
        <v>1185.5</v>
      </c>
      <c r="E25" s="3">
        <f t="shared" si="2"/>
        <v>1196</v>
      </c>
      <c r="F25" s="3">
        <f t="shared" si="2"/>
        <v>643.5</v>
      </c>
      <c r="G25" s="24">
        <f t="shared" si="2"/>
        <v>11376</v>
      </c>
      <c r="H25" s="24">
        <f t="shared" si="2"/>
        <v>13002</v>
      </c>
      <c r="I25" s="17">
        <f t="shared" si="2"/>
        <v>7549</v>
      </c>
      <c r="S25" s="56" t="s">
        <v>44</v>
      </c>
      <c r="T25" s="56"/>
      <c r="U25" s="56"/>
    </row>
    <row r="26" spans="2:25">
      <c r="B26" s="2"/>
      <c r="C26" s="3"/>
      <c r="D26" s="3">
        <f>D25</f>
        <v>1185.5</v>
      </c>
      <c r="E26" s="3">
        <f t="shared" ref="E26" si="3">E25</f>
        <v>1196</v>
      </c>
      <c r="F26" s="3">
        <f t="shared" ref="F26" si="4">F25</f>
        <v>643.5</v>
      </c>
      <c r="G26" s="24">
        <f>G17*$K$13</f>
        <v>11329.546132589498</v>
      </c>
      <c r="H26" s="24">
        <f>H17*$K$13</f>
        <v>12899.007068705792</v>
      </c>
      <c r="I26" s="17">
        <f>I17*$K$13</f>
        <v>7700.1677178205682</v>
      </c>
      <c r="L26" s="112" t="s">
        <v>0</v>
      </c>
      <c r="M26" s="113"/>
      <c r="N26" s="113"/>
      <c r="O26" s="113"/>
      <c r="P26" s="113"/>
      <c r="Q26" s="113"/>
      <c r="R26" s="114"/>
    </row>
    <row r="27" spans="2:25">
      <c r="B27" s="2"/>
      <c r="C27" s="3"/>
      <c r="D27" s="3">
        <f t="shared" ref="D27:I27" si="5">D18</f>
        <v>501.85</v>
      </c>
      <c r="E27" s="3">
        <f t="shared" si="5"/>
        <v>567.90000000000009</v>
      </c>
      <c r="F27" s="3">
        <f t="shared" si="5"/>
        <v>523.25</v>
      </c>
      <c r="G27" s="24">
        <f t="shared" si="5"/>
        <v>4963</v>
      </c>
      <c r="H27" s="24">
        <f t="shared" si="5"/>
        <v>6396</v>
      </c>
      <c r="I27" s="17">
        <f t="shared" si="5"/>
        <v>5522</v>
      </c>
      <c r="L27" s="129" t="s">
        <v>1</v>
      </c>
      <c r="M27" s="123" t="str">
        <f>"X= ("&amp;ROUND(C31,4)&amp;")  [ ("&amp;ROUND(G30,4)&amp;")R + ("&amp;ROUND(H30,4)&amp;")G + ("&amp;ROUND(I30,4)&amp;")B ]"</f>
        <v>X= (0.0954)  [ (0.2202)R + (1.0244)G + (-0.4377)B ]</v>
      </c>
      <c r="N27" s="123"/>
      <c r="O27" s="123"/>
      <c r="P27" s="123"/>
      <c r="Q27" s="124"/>
      <c r="R27" s="115" t="s">
        <v>36</v>
      </c>
    </row>
    <row r="28" spans="2:25">
      <c r="B28" s="2"/>
      <c r="C28" s="3"/>
      <c r="D28" s="3">
        <f>D27</f>
        <v>501.85</v>
      </c>
      <c r="E28" s="3">
        <f t="shared" ref="E28" si="6">E27</f>
        <v>567.90000000000009</v>
      </c>
      <c r="F28" s="3">
        <f t="shared" ref="F28" si="7">F27</f>
        <v>523.25</v>
      </c>
      <c r="G28" s="24">
        <f>G19*$K$13</f>
        <v>5076.2252152511383</v>
      </c>
      <c r="H28" s="24">
        <f>H19*$K$13</f>
        <v>6498.5491886065302</v>
      </c>
      <c r="I28" s="17">
        <f>I19*$K$13</f>
        <v>5640.2502391679318</v>
      </c>
      <c r="L28" s="130"/>
      <c r="M28" s="125" t="str">
        <f>"Y= ("&amp;ROUND(C31,4)&amp;")  [ ("&amp;ROUND(G31,4)&amp;")R + ("&amp;ROUND(H31,4)&amp;")G + ("&amp;ROUND(I31,4)&amp;")B ]"</f>
        <v>Y= (0.0954)  [ (0.0586)R + (1)G + (-0.141)B ]</v>
      </c>
      <c r="N28" s="125"/>
      <c r="O28" s="125"/>
      <c r="P28" s="125"/>
      <c r="Q28" s="126"/>
      <c r="R28" s="115"/>
    </row>
    <row r="29" spans="2:25">
      <c r="B29" s="2"/>
      <c r="C29" s="3"/>
      <c r="D29" s="59" t="s">
        <v>12</v>
      </c>
      <c r="E29" s="59"/>
      <c r="F29" s="59"/>
      <c r="G29" s="59" t="s">
        <v>20</v>
      </c>
      <c r="H29" s="59"/>
      <c r="I29" s="64"/>
      <c r="L29" s="131"/>
      <c r="M29" s="127" t="str">
        <f>"Z= ("&amp;ROUND(C31,4)&amp;")  [ ("&amp;ROUND(G32,4)&amp;")R + ("&amp;ROUND(H32,4)&amp;")G + ("&amp;ROUND(I32,4)&amp;")B ]"</f>
        <v>Z= (0.0954)  [ (-0.4941)R + (0.3629)G + (1.0053)B ]</v>
      </c>
      <c r="N29" s="127"/>
      <c r="O29" s="127"/>
      <c r="P29" s="127"/>
      <c r="Q29" s="128"/>
      <c r="R29" s="111" t="s">
        <v>35</v>
      </c>
    </row>
    <row r="30" spans="2:25">
      <c r="B30" s="2"/>
      <c r="C30" s="3"/>
      <c r="D30" s="3">
        <f t="array" ref="D30:F30">LINEST(D23:D28,G23:I28,FALSE)</f>
        <v>-4.1741680813668816E-2</v>
      </c>
      <c r="E30" s="3">
        <v>9.7690839978327476E-2</v>
      </c>
      <c r="F30" s="3">
        <v>2.0995496796661652E-2</v>
      </c>
      <c r="G30" s="25">
        <f>F30/$E$31</f>
        <v>0.22016692957526737</v>
      </c>
      <c r="H30" s="25">
        <f>E30/$E$31</f>
        <v>1.024424070264297</v>
      </c>
      <c r="I30" s="26">
        <f>D30/$E$31</f>
        <v>-0.43771946856325739</v>
      </c>
      <c r="L30" s="129" t="s">
        <v>2</v>
      </c>
      <c r="M30" s="123" t="str">
        <f>"X= ("&amp;ROUND(C$32,4)&amp;")  [ ("&amp;ROUND(G30,4)&amp;")R + ("&amp;ROUND(H30,4)&amp;")G + ("&amp;ROUND(I30,4)&amp;")B ]"</f>
        <v>X= (2.3385)  [ (0.2202)R + (1.0244)G + (-0.4377)B ]</v>
      </c>
      <c r="N30" s="123"/>
      <c r="O30" s="123"/>
      <c r="P30" s="123"/>
      <c r="Q30" s="124"/>
      <c r="R30" s="111"/>
    </row>
    <row r="31" spans="2:25">
      <c r="B31" s="2" t="s">
        <v>1</v>
      </c>
      <c r="C31" s="25">
        <f>E31</f>
        <v>9.5361718661221673E-2</v>
      </c>
      <c r="D31" s="3">
        <f t="array" ref="D31:F31">LINEST(E23:E28,G23:I28,FALSE)</f>
        <v>-1.3447290723992526E-2</v>
      </c>
      <c r="E31" s="3">
        <v>9.5361718661221673E-2</v>
      </c>
      <c r="F31" s="3">
        <v>5.590006922195829E-3</v>
      </c>
      <c r="G31" s="25">
        <f>F31/$E$31</f>
        <v>5.8618982550583738E-2</v>
      </c>
      <c r="H31" s="25">
        <f>E31/$E$31</f>
        <v>1</v>
      </c>
      <c r="I31" s="26">
        <f>D31/$E$31</f>
        <v>-0.14101351058662071</v>
      </c>
      <c r="L31" s="130"/>
      <c r="M31" s="125" t="str">
        <f>"Y= ("&amp;ROUND(C$32,4)&amp;")  [ ("&amp;ROUND(G31,4)&amp;")R + ("&amp;ROUND(H31,4)&amp;")G + ("&amp;ROUND(I31,4)&amp;")B ]"</f>
        <v>Y= (2.3385)  [ (0.0586)R + (1)G + (-0.141)B ]</v>
      </c>
      <c r="N31" s="125"/>
      <c r="O31" s="125"/>
      <c r="P31" s="125"/>
      <c r="Q31" s="126"/>
      <c r="R31" s="121" t="s">
        <v>36</v>
      </c>
      <c r="S31" s="56" t="s">
        <v>45</v>
      </c>
      <c r="T31" s="56"/>
      <c r="U31" s="56"/>
    </row>
    <row r="32" spans="2:25" ht="15.75" thickBot="1">
      <c r="B32" s="5" t="s">
        <v>2</v>
      </c>
      <c r="C32" s="27">
        <f>C31*K13</f>
        <v>2.3385389412453068</v>
      </c>
      <c r="D32" s="6">
        <f t="array" ref="D32:F32">LINEST(F23:F28,G23:I28,FALSE)</f>
        <v>9.5862690501683265E-2</v>
      </c>
      <c r="E32" s="6">
        <v>3.4602377067768329E-2</v>
      </c>
      <c r="F32" s="6">
        <v>-4.7122274926788547E-2</v>
      </c>
      <c r="G32" s="27">
        <f>F32/$E$31</f>
        <v>-0.49414246710667314</v>
      </c>
      <c r="H32" s="27">
        <f>E32/$E$31</f>
        <v>0.36285395810341242</v>
      </c>
      <c r="I32" s="28">
        <f>D32/$E$31</f>
        <v>1.0052533851895153</v>
      </c>
      <c r="L32" s="131"/>
      <c r="M32" s="127" t="str">
        <f>"Z= ("&amp;ROUND(C$32,4)&amp;")  [ ("&amp;ROUND(G32,4)&amp;")R + ("&amp;ROUND(H32,4)&amp;")G + ("&amp;ROUND(I32,4)&amp;")B ]"</f>
        <v>Z= (2.3385)  [ (-0.4941)R + (0.3629)G + (1.0053)B ]</v>
      </c>
      <c r="N32" s="127"/>
      <c r="O32" s="127"/>
      <c r="P32" s="127"/>
      <c r="Q32" s="128"/>
      <c r="R32" s="122"/>
    </row>
    <row r="33" spans="2:19">
      <c r="E33" s="3"/>
      <c r="F33" s="3"/>
      <c r="G33" s="3"/>
      <c r="H33" s="8"/>
      <c r="I33" s="8"/>
      <c r="J33" s="8"/>
    </row>
    <row r="35" spans="2:19" ht="15.75" thickBot="1"/>
    <row r="36" spans="2:19">
      <c r="B36" s="61" t="s">
        <v>34</v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3"/>
    </row>
    <row r="37" spans="2:19">
      <c r="B37" s="60"/>
      <c r="C37" s="59"/>
      <c r="D37" s="59"/>
      <c r="E37" s="65" t="s">
        <v>42</v>
      </c>
      <c r="F37" s="65"/>
      <c r="G37" s="65"/>
      <c r="H37" s="59" t="s">
        <v>23</v>
      </c>
      <c r="I37" s="59"/>
      <c r="J37" s="59"/>
      <c r="K37" s="59"/>
      <c r="L37" s="59"/>
      <c r="M37" s="59"/>
      <c r="N37" s="59" t="s">
        <v>24</v>
      </c>
      <c r="O37" s="59"/>
      <c r="P37" s="59"/>
      <c r="Q37" s="59"/>
      <c r="R37" s="59"/>
      <c r="S37" s="64"/>
    </row>
    <row r="38" spans="2:19">
      <c r="B38" s="43" t="s">
        <v>23</v>
      </c>
      <c r="C38" s="59" t="s">
        <v>0</v>
      </c>
      <c r="D38" s="59"/>
      <c r="E38" s="34" t="s">
        <v>21</v>
      </c>
      <c r="F38" s="50" t="s">
        <v>22</v>
      </c>
      <c r="G38" s="50" t="s">
        <v>46</v>
      </c>
      <c r="H38" s="46" t="str">
        <f t="shared" ref="H38:J39" si="8">D13</f>
        <v>X</v>
      </c>
      <c r="I38" s="46" t="str">
        <f t="shared" si="8"/>
        <v>Y</v>
      </c>
      <c r="J38" s="46" t="str">
        <f t="shared" si="8"/>
        <v>Z</v>
      </c>
      <c r="K38" s="46" t="s">
        <v>16</v>
      </c>
      <c r="L38" s="46" t="s">
        <v>17</v>
      </c>
      <c r="M38" s="46" t="s">
        <v>46</v>
      </c>
      <c r="N38" s="40" t="s">
        <v>13</v>
      </c>
      <c r="O38" s="37" t="s">
        <v>14</v>
      </c>
      <c r="P38" s="53" t="s">
        <v>15</v>
      </c>
      <c r="Q38" s="46" t="s">
        <v>18</v>
      </c>
      <c r="R38" s="46" t="s">
        <v>19</v>
      </c>
      <c r="S38" s="45" t="s">
        <v>46</v>
      </c>
    </row>
    <row r="39" spans="2:19">
      <c r="B39" s="60" t="s">
        <v>6</v>
      </c>
      <c r="C39" s="46" t="s">
        <v>1</v>
      </c>
      <c r="D39" s="29">
        <f>C31</f>
        <v>9.5361718661221673E-2</v>
      </c>
      <c r="E39" s="30">
        <f>((K39-Q39)^2+(L39-R39)^2)^0.5</f>
        <v>1.0555823196238731E-2</v>
      </c>
      <c r="F39" s="31">
        <f>1-O39/I39</f>
        <v>9.0174897439815327E-3</v>
      </c>
      <c r="G39" s="31">
        <f>1-M39/S39</f>
        <v>-3.7991454699913607E-2</v>
      </c>
      <c r="H39" s="59">
        <f t="shared" si="8"/>
        <v>546.79999999999995</v>
      </c>
      <c r="I39" s="59">
        <f t="shared" si="8"/>
        <v>499.3</v>
      </c>
      <c r="J39" s="59">
        <f t="shared" si="8"/>
        <v>145.94999999999999</v>
      </c>
      <c r="K39" s="99">
        <f>H39/SUM(H39:J39)</f>
        <v>0.45870559120842247</v>
      </c>
      <c r="L39" s="99">
        <f>I39/SUM(H39:J39)</f>
        <v>0.41885826936789566</v>
      </c>
      <c r="M39" s="57">
        <f>cct(K39,L39)</f>
        <v>2772.4458085796823</v>
      </c>
      <c r="N39" s="41">
        <f>D39*(G30*G14+H30*H14+I30*I14)</f>
        <v>547.43012125010125</v>
      </c>
      <c r="O39" s="38">
        <f>D39*(G31*G14+H31*H14+I31*I14)</f>
        <v>494.79756737083005</v>
      </c>
      <c r="P39" s="52">
        <f>D39*(G32*G14+H32*H14+I32*I14)</f>
        <v>126.75815752166459</v>
      </c>
      <c r="Q39" s="48">
        <f>N39/SUM(N39:P39)</f>
        <v>0.46829490969159632</v>
      </c>
      <c r="R39" s="48">
        <f>O39/SUM(N39:P39)</f>
        <v>0.42327079408493828</v>
      </c>
      <c r="S39" s="17">
        <f>cct(Q39,R39)</f>
        <v>2670.9717079329948</v>
      </c>
    </row>
    <row r="40" spans="2:19">
      <c r="B40" s="60"/>
      <c r="C40" s="46" t="s">
        <v>2</v>
      </c>
      <c r="D40" s="29">
        <f>C32</f>
        <v>2.3385389412453068</v>
      </c>
      <c r="E40" s="30">
        <f>((K39-Q40)^2+(L39-R40)^2)^0.5</f>
        <v>1.0570254619856291E-2</v>
      </c>
      <c r="F40" s="31">
        <f>1-O40/I39</f>
        <v>-9.5271274072743495E-3</v>
      </c>
      <c r="G40" s="31">
        <f>1-M39/S40</f>
        <v>3.8445392536793577E-2</v>
      </c>
      <c r="H40" s="59"/>
      <c r="I40" s="59"/>
      <c r="J40" s="59"/>
      <c r="K40" s="99"/>
      <c r="L40" s="99"/>
      <c r="M40" s="57"/>
      <c r="N40" s="41">
        <f>D40*(G30*G15+H30*H15+I30*I15)</f>
        <v>546.21135265250621</v>
      </c>
      <c r="O40" s="38">
        <f>D40*(G31*G15+H31*H15+I31*I15)</f>
        <v>504.05689471445214</v>
      </c>
      <c r="P40" s="52">
        <f>D40*(G32*G15+H32*H15+I32*I15)</f>
        <v>165.96165827695873</v>
      </c>
      <c r="Q40" s="48">
        <f t="shared" ref="Q40:Q44" si="9">N40/SUM(N40:P40)</f>
        <v>0.44910205719972135</v>
      </c>
      <c r="R40" s="48">
        <f t="shared" ref="R40:R44" si="10">O40/SUM(N40:P40)</f>
        <v>0.41444211524102076</v>
      </c>
      <c r="S40" s="17">
        <f t="shared" ref="S40:S44" si="11">cct(Q40,R40)</f>
        <v>2883.2952253164353</v>
      </c>
    </row>
    <row r="41" spans="2:19">
      <c r="B41" s="60" t="s">
        <v>7</v>
      </c>
      <c r="C41" s="46" t="s">
        <v>1</v>
      </c>
      <c r="D41" s="46">
        <f>D39</f>
        <v>9.5361718661221673E-2</v>
      </c>
      <c r="E41" s="30">
        <f>((K41-Q41)^2+(L41-R41)^2)^0.5</f>
        <v>1.9028503190370693E-3</v>
      </c>
      <c r="F41" s="31">
        <f>1-O41/I41</f>
        <v>-4.9927985825120036E-3</v>
      </c>
      <c r="G41" s="31">
        <f>1-M41/S41</f>
        <v>-8.807715327904253E-3</v>
      </c>
      <c r="H41" s="59">
        <f>D16</f>
        <v>1185.5</v>
      </c>
      <c r="I41" s="59">
        <f>E16</f>
        <v>1196</v>
      </c>
      <c r="J41" s="59">
        <f>F16</f>
        <v>643.5</v>
      </c>
      <c r="K41" s="99">
        <f t="shared" ref="K41:K43" si="12">H41/SUM(H41:J41)</f>
        <v>0.39190082644628099</v>
      </c>
      <c r="L41" s="99">
        <f t="shared" ref="L41:L43" si="13">I41/SUM(H41:J41)</f>
        <v>0.3953719008264463</v>
      </c>
      <c r="M41" s="57">
        <f>cct(K41,L41)</f>
        <v>3846.3878751895904</v>
      </c>
      <c r="N41" s="41">
        <f>D41*(G30*G16+H30*H16+I30*I16)</f>
        <v>1193.9131244946509</v>
      </c>
      <c r="O41" s="38">
        <f>D41*(G31*G16+H31*H16+I31*I16)</f>
        <v>1201.9713871046845</v>
      </c>
      <c r="P41" s="52">
        <f>D41*(G32*G16+H32*H16+I32*I16)</f>
        <v>637.50455766518417</v>
      </c>
      <c r="Q41" s="48">
        <f t="shared" si="9"/>
        <v>0.39359050132798462</v>
      </c>
      <c r="R41" s="48">
        <f t="shared" si="10"/>
        <v>0.3962470226069999</v>
      </c>
      <c r="S41" s="17">
        <f t="shared" si="11"/>
        <v>3812.8057673898293</v>
      </c>
    </row>
    <row r="42" spans="2:19">
      <c r="B42" s="60"/>
      <c r="C42" s="46" t="s">
        <v>2</v>
      </c>
      <c r="D42" s="46">
        <f t="shared" ref="D42:D44" si="14">D40</f>
        <v>2.3385389412453068</v>
      </c>
      <c r="E42" s="30">
        <f>((K41-Q42)^2+(L41-R42)^2)^0.5</f>
        <v>2.1686647257979255E-3</v>
      </c>
      <c r="F42" s="31">
        <f>1-O42/I41</f>
        <v>5.1360113072673741E-3</v>
      </c>
      <c r="G42" s="31">
        <f>1-M41/S42</f>
        <v>1.0050050532287358E-2</v>
      </c>
      <c r="H42" s="59"/>
      <c r="I42" s="59"/>
      <c r="J42" s="59"/>
      <c r="K42" s="99"/>
      <c r="L42" s="99"/>
      <c r="M42" s="57"/>
      <c r="N42" s="41">
        <f>D42*(G30*G17+H30*H17+I30*I17)</f>
        <v>1176.5663418736829</v>
      </c>
      <c r="O42" s="38">
        <f>D42*(G31*G17+H31*H17+I31*I17)</f>
        <v>1189.8573304765082</v>
      </c>
      <c r="P42" s="52">
        <f>D42*(G32*G17+H32*H17+I32*I17)</f>
        <v>650.62111348003646</v>
      </c>
      <c r="Q42" s="48">
        <f t="shared" si="9"/>
        <v>0.38997311123769629</v>
      </c>
      <c r="R42" s="48">
        <f t="shared" si="10"/>
        <v>0.39437841163802428</v>
      </c>
      <c r="S42" s="17">
        <f t="shared" si="11"/>
        <v>3885.4367104698163</v>
      </c>
    </row>
    <row r="43" spans="2:19">
      <c r="B43" s="60" t="s">
        <v>8</v>
      </c>
      <c r="C43" s="46" t="s">
        <v>1</v>
      </c>
      <c r="D43" s="46">
        <f t="shared" si="14"/>
        <v>9.5361718661221673E-2</v>
      </c>
      <c r="E43" s="30">
        <f>((K43-Q43)^2+(L43-R43)^2)^0.5</f>
        <v>8.3274183426537663E-4</v>
      </c>
      <c r="F43" s="31">
        <f>1-O43/I43</f>
        <v>7.8872732274256618E-3</v>
      </c>
      <c r="G43" s="31">
        <f>1-M43/S43</f>
        <v>-5.526140081195674E-3</v>
      </c>
      <c r="H43" s="59">
        <f>D18</f>
        <v>501.85</v>
      </c>
      <c r="I43" s="59">
        <f>E18</f>
        <v>567.90000000000009</v>
      </c>
      <c r="J43" s="59">
        <f>F18</f>
        <v>523.25</v>
      </c>
      <c r="K43" s="99">
        <f t="shared" si="12"/>
        <v>0.31503452605147519</v>
      </c>
      <c r="L43" s="99">
        <f t="shared" si="13"/>
        <v>0.35649717514124302</v>
      </c>
      <c r="M43" s="57">
        <f>cct(K43,L43)</f>
        <v>6233.8037483580856</v>
      </c>
      <c r="N43" s="41">
        <f>D43*(G30*G18+H30*H18+I30*I18)</f>
        <v>498.53370165013507</v>
      </c>
      <c r="O43" s="38">
        <f>D43*(G31*G18+H31*H18+I31*I18)</f>
        <v>563.42081753414504</v>
      </c>
      <c r="P43" s="52">
        <f>D43*(G32*G18+H32*H18+I32*I18)</f>
        <v>516.80273021408959</v>
      </c>
      <c r="Q43" s="48">
        <f t="shared" si="9"/>
        <v>0.31577603323127446</v>
      </c>
      <c r="R43" s="48">
        <f t="shared" si="10"/>
        <v>0.3568761554373559</v>
      </c>
      <c r="S43" s="17">
        <f t="shared" si="11"/>
        <v>6199.5441986766346</v>
      </c>
    </row>
    <row r="44" spans="2:19" ht="15.75" thickBot="1">
      <c r="B44" s="116"/>
      <c r="C44" s="47" t="s">
        <v>2</v>
      </c>
      <c r="D44" s="47">
        <f t="shared" si="14"/>
        <v>2.3385389412453068</v>
      </c>
      <c r="E44" s="32">
        <f>((K43-Q44)^2+(L43-R44)^2)^0.5</f>
        <v>3.3422101667848075E-4</v>
      </c>
      <c r="F44" s="33">
        <f>1-O44/I43</f>
        <v>-7.6472421196083218E-3</v>
      </c>
      <c r="G44" s="33">
        <f>1-M43/S44</f>
        <v>-2.2693854655664314E-3</v>
      </c>
      <c r="H44" s="98"/>
      <c r="I44" s="98"/>
      <c r="J44" s="98"/>
      <c r="K44" s="100"/>
      <c r="L44" s="100"/>
      <c r="M44" s="58"/>
      <c r="N44" s="42">
        <f>D44*(G30*G19+H30*H19+I30*I19)</f>
        <v>505.99307392882173</v>
      </c>
      <c r="O44" s="39">
        <f>D44*(G31*G19+H31*H19+I31*I19)</f>
        <v>572.24286879972567</v>
      </c>
      <c r="P44" s="54">
        <f>D44*(G32*G19+H32*H19+I32*I19)</f>
        <v>526.35153226364298</v>
      </c>
      <c r="Q44" s="49">
        <f t="shared" si="9"/>
        <v>0.3153415328330943</v>
      </c>
      <c r="R44" s="49">
        <f t="shared" si="10"/>
        <v>0.35662927557284518</v>
      </c>
      <c r="S44" s="55">
        <f t="shared" si="11"/>
        <v>6219.6888768206836</v>
      </c>
    </row>
  </sheetData>
  <mergeCells count="70">
    <mergeCell ref="L27:L29"/>
    <mergeCell ref="L30:L32"/>
    <mergeCell ref="M30:Q30"/>
    <mergeCell ref="M31:Q31"/>
    <mergeCell ref="M32:Q32"/>
    <mergeCell ref="E18:E19"/>
    <mergeCell ref="B14:B15"/>
    <mergeCell ref="B16:B17"/>
    <mergeCell ref="B18:B19"/>
    <mergeCell ref="D29:F29"/>
    <mergeCell ref="H39:H40"/>
    <mergeCell ref="I39:I40"/>
    <mergeCell ref="J39:J40"/>
    <mergeCell ref="H43:H44"/>
    <mergeCell ref="B41:B42"/>
    <mergeCell ref="B43:B44"/>
    <mergeCell ref="B39:B40"/>
    <mergeCell ref="F18:F19"/>
    <mergeCell ref="B2:F2"/>
    <mergeCell ref="B21:I21"/>
    <mergeCell ref="B11:K11"/>
    <mergeCell ref="D12:F12"/>
    <mergeCell ref="G12:I12"/>
    <mergeCell ref="J14:J15"/>
    <mergeCell ref="J16:J17"/>
    <mergeCell ref="J18:J19"/>
    <mergeCell ref="D14:D15"/>
    <mergeCell ref="E14:E15"/>
    <mergeCell ref="F14:F15"/>
    <mergeCell ref="D16:D17"/>
    <mergeCell ref="E16:E17"/>
    <mergeCell ref="F16:F17"/>
    <mergeCell ref="D18:D19"/>
    <mergeCell ref="L21:V22"/>
    <mergeCell ref="I43:I44"/>
    <mergeCell ref="J43:J44"/>
    <mergeCell ref="K39:K40"/>
    <mergeCell ref="L39:L40"/>
    <mergeCell ref="K41:K42"/>
    <mergeCell ref="L41:L42"/>
    <mergeCell ref="K43:K44"/>
    <mergeCell ref="L43:L44"/>
    <mergeCell ref="G29:I29"/>
    <mergeCell ref="R29:R30"/>
    <mergeCell ref="L26:R26"/>
    <mergeCell ref="R27:R28"/>
    <mergeCell ref="H41:H42"/>
    <mergeCell ref="I41:I42"/>
    <mergeCell ref="J41:J42"/>
    <mergeCell ref="G3:L3"/>
    <mergeCell ref="M6:T7"/>
    <mergeCell ref="M8:T9"/>
    <mergeCell ref="M11:U14"/>
    <mergeCell ref="M4:R5"/>
    <mergeCell ref="M2:T3"/>
    <mergeCell ref="C38:D38"/>
    <mergeCell ref="B37:D37"/>
    <mergeCell ref="B36:S36"/>
    <mergeCell ref="H37:M37"/>
    <mergeCell ref="N37:S37"/>
    <mergeCell ref="E37:G37"/>
    <mergeCell ref="S25:U25"/>
    <mergeCell ref="S31:U31"/>
    <mergeCell ref="M39:M40"/>
    <mergeCell ref="M41:M42"/>
    <mergeCell ref="M43:M44"/>
    <mergeCell ref="R31:R32"/>
    <mergeCell ref="M27:Q27"/>
    <mergeCell ref="M28:Q28"/>
    <mergeCell ref="M29:Q29"/>
  </mergeCells>
  <hyperlinks>
    <hyperlink ref="S25:U25" r:id="rId1" display="Konica-Minolta CL-200A"/>
    <hyperlink ref="S31:U31" r:id="rId2" location="Approximation" display="McCamy CCT Approximation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Simple-CCM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2014-04-30T03:45:41Z</dcterms:created>
  <dcterms:modified xsi:type="dcterms:W3CDTF">2014-05-02T16:18:32Z</dcterms:modified>
</cp:coreProperties>
</file>