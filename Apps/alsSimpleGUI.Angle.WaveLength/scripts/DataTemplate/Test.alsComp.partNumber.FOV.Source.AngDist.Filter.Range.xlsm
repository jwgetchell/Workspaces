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0" yWindow="15" windowWidth="16170" windowHeight="3720"/>
  </bookViews>
  <sheets>
    <sheet name="Summary" sheetId="2" r:id="rId1"/>
    <sheet name="Graphs" sheetId="5" r:id="rId2"/>
    <sheet name="Calculations" sheetId="4" r:id="rId3"/>
    <sheet name="data0" sheetId="3" r:id="rId4"/>
  </sheets>
  <functionGroups/>
  <definedNames>
    <definedName name="DeltaComp" localSheetId="1">Graphs!#REF!</definedName>
    <definedName name="DeltaComp">Summary!$L$4</definedName>
    <definedName name="glass" localSheetId="1">Graphs!#REF!</definedName>
    <definedName name="glass">Summary!$L$16</definedName>
    <definedName name="inputN" localSheetId="1">Graphs!#REF!</definedName>
    <definedName name="inputN">Summary!$L$5</definedName>
    <definedName name="LotComp">Calculations!$G$25</definedName>
    <definedName name="Lux" localSheetId="1">Graphs!#REF!</definedName>
    <definedName name="Lux">Summary!$G$4</definedName>
    <definedName name="maxComp">Calculations!$J$6</definedName>
    <definedName name="maxCompCode" localSheetId="1">Graphs!#REF!</definedName>
    <definedName name="maxCompCode">Summary!$L$7</definedName>
    <definedName name="minComp" localSheetId="1">Graphs!#REF!</definedName>
    <definedName name="minComp">Summary!$F$4</definedName>
    <definedName name="partNumber" localSheetId="1">Graphs!#REF!</definedName>
    <definedName name="partNumber">Summary!$K$16</definedName>
    <definedName name="_xlnm.Print_Area" localSheetId="3">data0!$B$1:$AL$12</definedName>
    <definedName name="_xlnm.Print_Area" localSheetId="1">Graphs!#REF!</definedName>
    <definedName name="_xlnm.Print_Area" localSheetId="0">Summary!$A$4:$H$15</definedName>
    <definedName name="RangeN" localSheetId="1">Graphs!#REF!</definedName>
    <definedName name="RangeN">Summary!$L$6</definedName>
    <definedName name="xOffset" localSheetId="1">Graphs!#REF!</definedName>
    <definedName name="xOffset">Summary!$L$9</definedName>
    <definedName name="yOffset" localSheetId="1">Graphs!#REF!</definedName>
    <definedName name="yOffset">Summary!$L$10</definedName>
  </definedNames>
  <calcPr calcId="125725"/>
</workbook>
</file>

<file path=xl/calcChain.xml><?xml version="1.0" encoding="utf-8"?>
<calcChain xmlns="http://schemas.openxmlformats.org/spreadsheetml/2006/main">
  <c r="AM19" i="4"/>
  <c r="AM18"/>
  <c r="AM16"/>
  <c r="AM15"/>
  <c r="AM14"/>
  <c r="AM12"/>
  <c r="AM11"/>
  <c r="AM10"/>
  <c r="AI7" i="3" l="1"/>
  <c r="AJ7" s="1"/>
  <c r="AH7"/>
  <c r="AI6"/>
  <c r="AJ6" s="1"/>
  <c r="AH6"/>
  <c r="AI5"/>
  <c r="AJ5" s="1"/>
  <c r="AH5"/>
  <c r="AI4"/>
  <c r="AJ4" s="1"/>
  <c r="AH4"/>
  <c r="AI3"/>
  <c r="AJ3" s="1"/>
  <c r="AH3"/>
  <c r="AI2"/>
  <c r="AJ2" s="1"/>
  <c r="AH2"/>
  <c r="A1"/>
  <c r="B13"/>
  <c r="F30" i="4"/>
  <c r="Z19"/>
  <c r="Z18"/>
  <c r="Z16"/>
  <c r="Z15"/>
  <c r="Z14"/>
  <c r="Z12"/>
  <c r="Z11"/>
  <c r="Z10"/>
  <c r="L15" i="2"/>
  <c r="A4"/>
  <c r="J4" i="4"/>
  <c r="G4" i="2"/>
  <c r="AL12" i="4" s="1"/>
  <c r="A16" i="2"/>
  <c r="A17" s="1"/>
  <c r="J6" i="4"/>
  <c r="J5"/>
  <c r="F4" i="2"/>
  <c r="F14" i="4"/>
  <c r="AL19"/>
  <c r="AK19"/>
  <c r="AJ19"/>
  <c r="AH19"/>
  <c r="AG19"/>
  <c r="AF19"/>
  <c r="AE19"/>
  <c r="AD19"/>
  <c r="AC19"/>
  <c r="AB19"/>
  <c r="AA19"/>
  <c r="Y19"/>
  <c r="X19"/>
  <c r="W19"/>
  <c r="V19"/>
  <c r="U19"/>
  <c r="T19"/>
  <c r="S19"/>
  <c r="R19"/>
  <c r="Q19"/>
  <c r="P19"/>
  <c r="O19"/>
  <c r="N19"/>
  <c r="M19"/>
  <c r="L19"/>
  <c r="K19"/>
  <c r="J19"/>
  <c r="I19"/>
  <c r="AL18"/>
  <c r="AK18"/>
  <c r="AJ18"/>
  <c r="AH18"/>
  <c r="AG18"/>
  <c r="AF18"/>
  <c r="AE18"/>
  <c r="AD18"/>
  <c r="AC18"/>
  <c r="AB18"/>
  <c r="AA18"/>
  <c r="Y18"/>
  <c r="X18"/>
  <c r="W18"/>
  <c r="V18"/>
  <c r="U18"/>
  <c r="T18"/>
  <c r="S18"/>
  <c r="R18"/>
  <c r="Q18"/>
  <c r="P18"/>
  <c r="O18"/>
  <c r="N18"/>
  <c r="M18"/>
  <c r="L18"/>
  <c r="K18"/>
  <c r="J18"/>
  <c r="I18"/>
  <c r="AL16"/>
  <c r="AK16"/>
  <c r="AJ16"/>
  <c r="AH16"/>
  <c r="AG16"/>
  <c r="AF16"/>
  <c r="AE16"/>
  <c r="AD16"/>
  <c r="AC16"/>
  <c r="AB16"/>
  <c r="AA16"/>
  <c r="Y16"/>
  <c r="X16"/>
  <c r="W16"/>
  <c r="V16"/>
  <c r="U16"/>
  <c r="T16"/>
  <c r="S16"/>
  <c r="R16"/>
  <c r="Q16"/>
  <c r="P16"/>
  <c r="O16"/>
  <c r="N16"/>
  <c r="M16"/>
  <c r="L16"/>
  <c r="K16"/>
  <c r="J16"/>
  <c r="I16"/>
  <c r="AL15"/>
  <c r="AK15"/>
  <c r="AJ15"/>
  <c r="AH15"/>
  <c r="AG15"/>
  <c r="AF15"/>
  <c r="AE15"/>
  <c r="AD15"/>
  <c r="AC15"/>
  <c r="AB15"/>
  <c r="AA15"/>
  <c r="Y15"/>
  <c r="X15"/>
  <c r="W15"/>
  <c r="V15"/>
  <c r="U15"/>
  <c r="T15"/>
  <c r="S15"/>
  <c r="R15"/>
  <c r="Q15"/>
  <c r="P15"/>
  <c r="O15"/>
  <c r="N15"/>
  <c r="M15"/>
  <c r="L15"/>
  <c r="K15"/>
  <c r="J15"/>
  <c r="I15"/>
  <c r="AL14"/>
  <c r="AK14"/>
  <c r="AJ14"/>
  <c r="AH14"/>
  <c r="AG14"/>
  <c r="AF14"/>
  <c r="AE14"/>
  <c r="AD14"/>
  <c r="AC14"/>
  <c r="AB14"/>
  <c r="AA14"/>
  <c r="Y14"/>
  <c r="X14"/>
  <c r="W14"/>
  <c r="V14"/>
  <c r="U14"/>
  <c r="T14"/>
  <c r="S14"/>
  <c r="R14"/>
  <c r="Q14"/>
  <c r="P14"/>
  <c r="O14"/>
  <c r="N14"/>
  <c r="M14"/>
  <c r="L14"/>
  <c r="K14"/>
  <c r="J14"/>
  <c r="I14"/>
  <c r="AJ12"/>
  <c r="AH12"/>
  <c r="AG12"/>
  <c r="AF12"/>
  <c r="AE12"/>
  <c r="AD12"/>
  <c r="AC12"/>
  <c r="AB12"/>
  <c r="AA12"/>
  <c r="Y12"/>
  <c r="X12"/>
  <c r="W12"/>
  <c r="V12"/>
  <c r="U12"/>
  <c r="T12"/>
  <c r="S12"/>
  <c r="R12"/>
  <c r="Q12"/>
  <c r="P12"/>
  <c r="O12"/>
  <c r="N12"/>
  <c r="M12"/>
  <c r="L12"/>
  <c r="K12"/>
  <c r="J12"/>
  <c r="I12"/>
  <c r="AL11"/>
  <c r="AK11"/>
  <c r="AJ11"/>
  <c r="AH11"/>
  <c r="AG11"/>
  <c r="AF11"/>
  <c r="AE11"/>
  <c r="AD11"/>
  <c r="AC11"/>
  <c r="AB11"/>
  <c r="AA11"/>
  <c r="Y11"/>
  <c r="X11"/>
  <c r="W11"/>
  <c r="V11"/>
  <c r="U11"/>
  <c r="T11"/>
  <c r="S11"/>
  <c r="R11"/>
  <c r="Q11"/>
  <c r="P11"/>
  <c r="O11"/>
  <c r="N11"/>
  <c r="M11"/>
  <c r="L11"/>
  <c r="K11"/>
  <c r="J11"/>
  <c r="I11"/>
  <c r="AL10"/>
  <c r="AK10"/>
  <c r="AJ10"/>
  <c r="AH10"/>
  <c r="AG10"/>
  <c r="AF10"/>
  <c r="AE10"/>
  <c r="AD10"/>
  <c r="AC10"/>
  <c r="AB10"/>
  <c r="AA10"/>
  <c r="Y10"/>
  <c r="X10"/>
  <c r="W10"/>
  <c r="V10"/>
  <c r="U10"/>
  <c r="T10"/>
  <c r="S10"/>
  <c r="R10"/>
  <c r="Q10"/>
  <c r="P10"/>
  <c r="O10"/>
  <c r="N10"/>
  <c r="M10"/>
  <c r="L10"/>
  <c r="K10"/>
  <c r="J10"/>
  <c r="I10"/>
  <c r="Z9" l="1"/>
  <c r="AM9"/>
  <c r="H9"/>
  <c r="J9"/>
  <c r="L9"/>
  <c r="N9"/>
  <c r="P9"/>
  <c r="R9"/>
  <c r="T9"/>
  <c r="V9"/>
  <c r="X9"/>
  <c r="AA9"/>
  <c r="AC9"/>
  <c r="AE9"/>
  <c r="AG9"/>
  <c r="AJ9"/>
  <c r="AL9"/>
  <c r="I9"/>
  <c r="K9"/>
  <c r="M9"/>
  <c r="O9"/>
  <c r="Q9"/>
  <c r="S9"/>
  <c r="U9"/>
  <c r="W9"/>
  <c r="Y9"/>
  <c r="AB9"/>
  <c r="AD9"/>
  <c r="AF9"/>
  <c r="AH9"/>
  <c r="AK9"/>
  <c r="AK12"/>
  <c r="H14"/>
  <c r="C45" l="1"/>
  <c r="C52"/>
  <c r="H19" l="1"/>
  <c r="H16"/>
  <c r="H18"/>
  <c r="H15"/>
  <c r="B11"/>
  <c r="B10"/>
  <c r="B9"/>
  <c r="B8"/>
  <c r="B7"/>
  <c r="B6"/>
  <c r="B5"/>
  <c r="B4"/>
  <c r="B3"/>
  <c r="B2"/>
  <c r="B17" i="2"/>
  <c r="H12" i="4"/>
  <c r="H11"/>
  <c r="H10"/>
  <c r="H7"/>
  <c r="C57" l="1"/>
  <c r="C64"/>
  <c r="D12"/>
  <c r="F12"/>
  <c r="N40"/>
  <c r="F11"/>
  <c r="G27" s="1"/>
  <c r="N33"/>
  <c r="D11"/>
  <c r="C33"/>
  <c r="C40"/>
  <c r="F10"/>
  <c r="D10"/>
  <c r="D9"/>
  <c r="F9"/>
  <c r="H1"/>
  <c r="F8"/>
  <c r="F7"/>
  <c r="F6"/>
  <c r="F5"/>
  <c r="F4"/>
  <c r="F3"/>
  <c r="F2"/>
  <c r="D8"/>
  <c r="D7"/>
  <c r="D6"/>
  <c r="D5"/>
  <c r="D4"/>
  <c r="D3"/>
  <c r="D2"/>
  <c r="A6"/>
  <c r="A4"/>
  <c r="A2"/>
  <c r="J3"/>
  <c r="C1" i="3"/>
  <c r="A7" i="2"/>
  <c r="A8" s="1"/>
  <c r="A9" s="1"/>
  <c r="A10" s="1"/>
  <c r="A11" s="1"/>
  <c r="A12" s="1"/>
  <c r="A13" s="1"/>
  <c r="A14" s="1"/>
  <c r="A15" s="1"/>
  <c r="G25" i="4" l="1"/>
  <c r="B43"/>
  <c r="F42" s="1"/>
  <c r="C56"/>
  <c r="C58" s="1"/>
  <c r="C59" s="1"/>
  <c r="C60" s="1"/>
  <c r="C61" s="1"/>
  <c r="C62" s="1"/>
  <c r="C63" s="1"/>
  <c r="B55"/>
  <c r="F54" s="1"/>
  <c r="Z17"/>
  <c r="Z20"/>
  <c r="E6" i="2"/>
  <c r="C2" i="4"/>
  <c r="D6" i="2" s="1"/>
  <c r="E2" i="4"/>
  <c r="F6" i="2" s="1"/>
  <c r="E8"/>
  <c r="C4" i="4"/>
  <c r="D8" i="2" s="1"/>
  <c r="E4" i="4"/>
  <c r="F8" i="2" s="1"/>
  <c r="E10"/>
  <c r="C6" i="4"/>
  <c r="D10" i="2" s="1"/>
  <c r="E6" i="4"/>
  <c r="F10" i="2" s="1"/>
  <c r="C8" i="4"/>
  <c r="D12" i="2" s="1"/>
  <c r="E8" i="4"/>
  <c r="F12" i="2" s="1"/>
  <c r="C10" i="4"/>
  <c r="D14" i="2" s="1"/>
  <c r="E10" i="4"/>
  <c r="F14" i="2" s="1"/>
  <c r="E7"/>
  <c r="C3" i="4"/>
  <c r="D7" i="2" s="1"/>
  <c r="E3" i="4"/>
  <c r="E9" i="2"/>
  <c r="C5" i="4"/>
  <c r="D9" i="2" s="1"/>
  <c r="E5" i="4"/>
  <c r="F9" i="2" s="1"/>
  <c r="E11"/>
  <c r="C7" i="4"/>
  <c r="D11" i="2" s="1"/>
  <c r="E7" i="4"/>
  <c r="E13" i="2"/>
  <c r="C9" i="4"/>
  <c r="E9"/>
  <c r="F27"/>
  <c r="H27" s="1"/>
  <c r="N30" s="1"/>
  <c r="R30" s="1"/>
  <c r="C11"/>
  <c r="D15" i="2" s="1"/>
  <c r="E11" i="4"/>
  <c r="F15" i="2" s="1"/>
  <c r="E12" i="4"/>
  <c r="C12"/>
  <c r="E12" i="2"/>
  <c r="N32" i="4"/>
  <c r="N34" s="1"/>
  <c r="N35" s="1"/>
  <c r="N36" s="1"/>
  <c r="N37" s="1"/>
  <c r="N38" s="1"/>
  <c r="N39" s="1"/>
  <c r="C32"/>
  <c r="C34" s="1"/>
  <c r="C35" s="1"/>
  <c r="C36" s="1"/>
  <c r="C37" s="1"/>
  <c r="C38" s="1"/>
  <c r="C39" s="1"/>
  <c r="C44"/>
  <c r="D1" i="3"/>
  <c r="I1" i="4"/>
  <c r="E15" i="2"/>
  <c r="E14"/>
  <c r="E17"/>
  <c r="F7"/>
  <c r="F11"/>
  <c r="D64" i="4"/>
  <c r="D63"/>
  <c r="D62"/>
  <c r="D61"/>
  <c r="D60"/>
  <c r="D59"/>
  <c r="D58"/>
  <c r="D57"/>
  <c r="O40"/>
  <c r="O37"/>
  <c r="D40"/>
  <c r="D36"/>
  <c r="O38"/>
  <c r="D37"/>
  <c r="O35"/>
  <c r="D34"/>
  <c r="O33"/>
  <c r="O36"/>
  <c r="D39"/>
  <c r="D35"/>
  <c r="O34"/>
  <c r="D33"/>
  <c r="O39"/>
  <c r="D38"/>
  <c r="AM17" l="1"/>
  <c r="AM20"/>
  <c r="AM21" s="1"/>
  <c r="D17" i="2"/>
  <c r="D13"/>
  <c r="F17"/>
  <c r="F13"/>
  <c r="C46" i="4"/>
  <c r="C47" s="1"/>
  <c r="C48" s="1"/>
  <c r="C49" s="1"/>
  <c r="C50" s="1"/>
  <c r="C51" s="1"/>
  <c r="Z21"/>
  <c r="C16" i="2"/>
  <c r="L17" i="4"/>
  <c r="P17"/>
  <c r="T17"/>
  <c r="X17"/>
  <c r="AB17"/>
  <c r="AF17"/>
  <c r="AJ17"/>
  <c r="J20"/>
  <c r="N20"/>
  <c r="R20"/>
  <c r="V20"/>
  <c r="AD20"/>
  <c r="AH20"/>
  <c r="AL20"/>
  <c r="K17"/>
  <c r="O17"/>
  <c r="S17"/>
  <c r="W17"/>
  <c r="AA17"/>
  <c r="AE17"/>
  <c r="I20"/>
  <c r="M20"/>
  <c r="Q20"/>
  <c r="U20"/>
  <c r="Y20"/>
  <c r="AC20"/>
  <c r="AG20"/>
  <c r="AK20"/>
  <c r="J17"/>
  <c r="N17"/>
  <c r="R17"/>
  <c r="V17"/>
  <c r="AD17"/>
  <c r="AH17"/>
  <c r="AL17"/>
  <c r="L20"/>
  <c r="L21" s="1"/>
  <c r="P20"/>
  <c r="T20"/>
  <c r="X20"/>
  <c r="AB20"/>
  <c r="AB21" s="1"/>
  <c r="AF20"/>
  <c r="AJ20"/>
  <c r="I17"/>
  <c r="M17"/>
  <c r="Q17"/>
  <c r="U17"/>
  <c r="Y17"/>
  <c r="AC17"/>
  <c r="AG17"/>
  <c r="AK17"/>
  <c r="K20"/>
  <c r="O20"/>
  <c r="S20"/>
  <c r="W20"/>
  <c r="AA20"/>
  <c r="AE20"/>
  <c r="H20"/>
  <c r="H17"/>
  <c r="E1" i="3"/>
  <c r="J1" i="4"/>
  <c r="D50"/>
  <c r="D49"/>
  <c r="D47"/>
  <c r="D51"/>
  <c r="D46"/>
  <c r="D45"/>
  <c r="D48"/>
  <c r="D52"/>
  <c r="AJ21" l="1"/>
  <c r="T21"/>
  <c r="AF21"/>
  <c r="X21"/>
  <c r="AA21"/>
  <c r="S21"/>
  <c r="K21"/>
  <c r="AE21"/>
  <c r="W21"/>
  <c r="O21"/>
  <c r="P21"/>
  <c r="AG21"/>
  <c r="Y21"/>
  <c r="Q21"/>
  <c r="I21"/>
  <c r="AL21"/>
  <c r="AD21"/>
  <c r="V21"/>
  <c r="N21"/>
  <c r="AK21"/>
  <c r="AC21"/>
  <c r="U21"/>
  <c r="M21"/>
  <c r="AH21"/>
  <c r="R21"/>
  <c r="J21"/>
  <c r="H21"/>
  <c r="F1" i="3"/>
  <c r="K1" i="4"/>
  <c r="F28" l="1"/>
  <c r="N52"/>
  <c r="G28"/>
  <c r="N45"/>
  <c r="G1" i="3"/>
  <c r="L1" i="4"/>
  <c r="E16" i="2" l="1"/>
  <c r="F16" s="1"/>
  <c r="H28" i="4"/>
  <c r="D16" i="2"/>
  <c r="N44" i="4"/>
  <c r="N46" s="1"/>
  <c r="N47" s="1"/>
  <c r="N48" s="1"/>
  <c r="N49" s="1"/>
  <c r="N50" s="1"/>
  <c r="N51" s="1"/>
  <c r="H1" i="3"/>
  <c r="M1" i="4"/>
  <c r="O45"/>
  <c r="O48"/>
  <c r="O49"/>
  <c r="O50"/>
  <c r="O51"/>
  <c r="O47"/>
  <c r="O52"/>
  <c r="O46"/>
  <c r="N43" l="1"/>
  <c r="R42" s="1"/>
  <c r="I1" i="3"/>
  <c r="N1" i="4"/>
  <c r="J1" i="3" l="1"/>
  <c r="O1" i="4"/>
  <c r="K1" i="3" l="1"/>
  <c r="P1" i="4"/>
  <c r="L1" i="3" l="1"/>
  <c r="Q1" i="4"/>
  <c r="M1" i="3" l="1"/>
  <c r="R1" i="4"/>
  <c r="N1" i="3" l="1"/>
  <c r="S1" i="4"/>
  <c r="O1" i="3" l="1"/>
  <c r="T1" i="4"/>
  <c r="P1" i="3" l="1"/>
  <c r="U1" i="4"/>
  <c r="Q1" i="3" l="1"/>
  <c r="V1" i="4"/>
  <c r="R1" i="3" l="1"/>
  <c r="W1" i="4"/>
  <c r="S1" i="3" l="1"/>
  <c r="X1" i="4"/>
  <c r="T1" i="3" l="1"/>
  <c r="Y1" i="4"/>
  <c r="U1" i="3" l="1"/>
  <c r="Z1" i="4"/>
  <c r="V1" i="3" l="1"/>
  <c r="AA1" i="4"/>
  <c r="W1" i="3" l="1"/>
  <c r="AB1" i="4"/>
  <c r="X1" i="3" l="1"/>
  <c r="AC1" i="4"/>
  <c r="Y1" i="3" l="1"/>
  <c r="AD1" i="4"/>
  <c r="Z1" i="3" l="1"/>
  <c r="AE1" i="4"/>
  <c r="AA1" i="3" l="1"/>
  <c r="AF1" i="4"/>
  <c r="AB1" i="3" l="1"/>
  <c r="AG1" i="4"/>
  <c r="AC1" i="3" l="1"/>
  <c r="AH1" i="4"/>
  <c r="AD1" i="3" l="1"/>
  <c r="AI1" i="4"/>
  <c r="AE1" i="3" l="1"/>
  <c r="AJ1" i="4"/>
  <c r="AF1" i="3" l="1"/>
  <c r="AK1" i="4"/>
  <c r="AG1" i="3" l="1"/>
  <c r="AM1" i="4" s="1"/>
  <c r="AL1"/>
</calcChain>
</file>

<file path=xl/sharedStrings.xml><?xml version="1.0" encoding="utf-8"?>
<sst xmlns="http://schemas.openxmlformats.org/spreadsheetml/2006/main" count="95" uniqueCount="80">
  <si>
    <t>#</t>
  </si>
  <si>
    <t>Label</t>
  </si>
  <si>
    <t>%FSR</t>
  </si>
  <si>
    <t>Unit</t>
  </si>
  <si>
    <t>Conditions</t>
  </si>
  <si>
    <t>Sub Label</t>
  </si>
  <si>
    <t>average</t>
  </si>
  <si>
    <t>stdev</t>
  </si>
  <si>
    <t>Mean</t>
  </si>
  <si>
    <t>LED</t>
  </si>
  <si>
    <t>No Compensation</t>
  </si>
  <si>
    <t>Max Compensation</t>
  </si>
  <si>
    <t>QTH</t>
  </si>
  <si>
    <t>Compensation</t>
  </si>
  <si>
    <t>Percentage</t>
  </si>
  <si>
    <t>Error Uncompensated</t>
  </si>
  <si>
    <t>Error Compensated</t>
  </si>
  <si>
    <t>QTH:OFF; LED=ON</t>
  </si>
  <si>
    <t>QTH:ON; LED=OFF</t>
  </si>
  <si>
    <t>LED Compensated</t>
  </si>
  <si>
    <t>QTH Compensated</t>
  </si>
  <si>
    <t>Compensation Value</t>
  </si>
  <si>
    <t>Lux</t>
  </si>
  <si>
    <t>%</t>
  </si>
  <si>
    <t>Min Comp</t>
  </si>
  <si>
    <t>Max Comp</t>
  </si>
  <si>
    <t>#/devices</t>
  </si>
  <si>
    <t>Test</t>
  </si>
  <si>
    <t>-</t>
  </si>
  <si>
    <t>Compensated Gain Error</t>
  </si>
  <si>
    <t>%diode</t>
  </si>
  <si>
    <t>LED min</t>
  </si>
  <si>
    <t>LED max</t>
  </si>
  <si>
    <t>QTH min</t>
  </si>
  <si>
    <t>QTH max</t>
  </si>
  <si>
    <t>QTH @ Comp</t>
  </si>
  <si>
    <t>LED @ Comp</t>
  </si>
  <si>
    <t>Comp Value</t>
  </si>
  <si>
    <t>Error @0</t>
  </si>
  <si>
    <t>Error @Comp</t>
  </si>
  <si>
    <t>Percent</t>
  </si>
  <si>
    <t>Post-error</t>
  </si>
  <si>
    <t>Pre-error</t>
  </si>
  <si>
    <t>Gain error</t>
  </si>
  <si>
    <t>DeltaComp=</t>
  </si>
  <si>
    <r>
      <t>LED</t>
    </r>
    <r>
      <rPr>
        <vertAlign val="subscript"/>
        <sz val="12"/>
        <color theme="1"/>
        <rFont val="Calibri"/>
        <family val="2"/>
        <scheme val="minor"/>
      </rPr>
      <t>M</t>
    </r>
  </si>
  <si>
    <r>
      <t>LED</t>
    </r>
    <r>
      <rPr>
        <vertAlign val="subscript"/>
        <sz val="12"/>
        <color theme="1"/>
        <rFont val="Calibri"/>
        <family val="2"/>
        <scheme val="minor"/>
      </rPr>
      <t>B</t>
    </r>
  </si>
  <si>
    <r>
      <t>LED</t>
    </r>
    <r>
      <rPr>
        <vertAlign val="subscript"/>
        <sz val="12"/>
        <color theme="1"/>
        <rFont val="Calibri"/>
        <family val="2"/>
        <scheme val="minor"/>
      </rPr>
      <t>@LC</t>
    </r>
  </si>
  <si>
    <r>
      <t>QTH</t>
    </r>
    <r>
      <rPr>
        <vertAlign val="subscript"/>
        <sz val="12"/>
        <color theme="1"/>
        <rFont val="Calibri"/>
        <family val="2"/>
        <scheme val="minor"/>
      </rPr>
      <t>M</t>
    </r>
  </si>
  <si>
    <r>
      <t>QTH</t>
    </r>
    <r>
      <rPr>
        <vertAlign val="subscript"/>
        <sz val="12"/>
        <color theme="1"/>
        <rFont val="Calibri"/>
        <family val="2"/>
        <scheme val="minor"/>
      </rPr>
      <t>B</t>
    </r>
  </si>
  <si>
    <r>
      <t>QTH</t>
    </r>
    <r>
      <rPr>
        <vertAlign val="subscript"/>
        <sz val="12"/>
        <color theme="1"/>
        <rFont val="Calibri"/>
        <family val="2"/>
        <scheme val="minor"/>
      </rPr>
      <t>@LC</t>
    </r>
  </si>
  <si>
    <r>
      <t>ERROR</t>
    </r>
    <r>
      <rPr>
        <vertAlign val="subscript"/>
        <sz val="12"/>
        <color theme="1"/>
        <rFont val="Calibri"/>
        <family val="2"/>
        <scheme val="minor"/>
      </rPr>
      <t>@LC</t>
    </r>
  </si>
  <si>
    <r>
      <t>Value</t>
    </r>
    <r>
      <rPr>
        <vertAlign val="subscript"/>
        <sz val="12"/>
        <color theme="1"/>
        <rFont val="Calibri"/>
        <family val="2"/>
        <scheme val="minor"/>
      </rPr>
      <t>Comp</t>
    </r>
  </si>
  <si>
    <t>%/Diode</t>
  </si>
  <si>
    <t>Std</t>
  </si>
  <si>
    <r>
      <t>|X|+1.5</t>
    </r>
    <r>
      <rPr>
        <sz val="11"/>
        <color theme="1"/>
        <rFont val="Calibri"/>
        <family val="2"/>
      </rPr>
      <t>σ</t>
    </r>
  </si>
  <si>
    <t>Per DUT</t>
  </si>
  <si>
    <t>Lot</t>
  </si>
  <si>
    <t>LotComp=</t>
  </si>
  <si>
    <t>Error</t>
  </si>
  <si>
    <t>Names</t>
  </si>
  <si>
    <t>RangeN=</t>
  </si>
  <si>
    <t>Setup</t>
  </si>
  <si>
    <t>X=</t>
  </si>
  <si>
    <t>Y=</t>
  </si>
  <si>
    <t>Lux=</t>
  </si>
  <si>
    <t>Vled=</t>
  </si>
  <si>
    <t>QTH=</t>
  </si>
  <si>
    <t>Comp Range</t>
  </si>
  <si>
    <r>
      <rPr>
        <sz val="11"/>
        <color theme="1"/>
        <rFont val="Symbol"/>
        <family val="1"/>
        <charset val="2"/>
      </rPr>
      <t>3s</t>
    </r>
    <r>
      <rPr>
        <sz val="11"/>
        <color theme="1"/>
        <rFont val="Calibri"/>
        <family val="2"/>
        <scheme val="minor"/>
      </rPr>
      <t xml:space="preserve"> Min</t>
    </r>
  </si>
  <si>
    <r>
      <rPr>
        <sz val="11"/>
        <color theme="1"/>
        <rFont val="Symbol"/>
        <family val="1"/>
        <charset val="2"/>
      </rPr>
      <t>3s</t>
    </r>
    <r>
      <rPr>
        <sz val="11"/>
        <color theme="1"/>
        <rFont val="Calibri"/>
        <family val="2"/>
        <scheme val="minor"/>
      </rPr>
      <t xml:space="preserve"> Max</t>
    </r>
  </si>
  <si>
    <t>Glass Xmit</t>
  </si>
  <si>
    <t>NG</t>
  </si>
  <si>
    <t>125-trimmed</t>
  </si>
  <si>
    <t>InputN=</t>
  </si>
  <si>
    <t>maxCompCode=</t>
  </si>
  <si>
    <t>Max</t>
  </si>
  <si>
    <t>mean</t>
  </si>
  <si>
    <t>std</t>
  </si>
  <si>
    <t>%/value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</si>
</sst>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00"/>
  </numFmts>
  <fonts count="7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12"/>
      <color theme="1"/>
      <name val="Courier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Font="1" applyAlignment="1">
      <alignment horizontal="left"/>
    </xf>
    <xf numFmtId="0" fontId="0" fillId="0" borderId="1" xfId="0" applyBorder="1"/>
    <xf numFmtId="0" fontId="0" fillId="2" borderId="1" xfId="0" applyFill="1" applyBorder="1" applyAlignment="1">
      <alignment horizontal="right"/>
    </xf>
    <xf numFmtId="2" fontId="0" fillId="2" borderId="1" xfId="0" applyNumberFormat="1" applyFill="1" applyBorder="1"/>
    <xf numFmtId="0" fontId="0" fillId="0" borderId="0" xfId="0" applyAlignment="1">
      <alignment horizontal="center"/>
    </xf>
    <xf numFmtId="10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7" xfId="0" applyFill="1" applyBorder="1" applyAlignment="1"/>
    <xf numFmtId="0" fontId="0" fillId="2" borderId="8" xfId="0" applyFill="1" applyBorder="1" applyAlignment="1"/>
    <xf numFmtId="164" fontId="0" fillId="0" borderId="0" xfId="0" applyNumberForma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0" fontId="0" fillId="0" borderId="1" xfId="0" applyNumberFormat="1" applyBorder="1"/>
    <xf numFmtId="164" fontId="0" fillId="0" borderId="1" xfId="0" applyNumberFormat="1" applyBorder="1"/>
    <xf numFmtId="10" fontId="0" fillId="0" borderId="12" xfId="0" applyNumberFormat="1" applyBorder="1"/>
    <xf numFmtId="164" fontId="0" fillId="0" borderId="12" xfId="0" applyNumberFormat="1" applyBorder="1"/>
    <xf numFmtId="165" fontId="0" fillId="0" borderId="1" xfId="0" applyNumberFormat="1" applyBorder="1"/>
    <xf numFmtId="165" fontId="0" fillId="0" borderId="12" xfId="0" applyNumberFormat="1" applyBorder="1"/>
    <xf numFmtId="164" fontId="0" fillId="0" borderId="14" xfId="0" applyNumberFormat="1" applyBorder="1"/>
    <xf numFmtId="10" fontId="0" fillId="0" borderId="0" xfId="0" applyNumberFormat="1" applyFill="1" applyBorder="1"/>
    <xf numFmtId="164" fontId="0" fillId="0" borderId="0" xfId="0" applyNumberFormat="1" applyFill="1" applyBorder="1"/>
    <xf numFmtId="164" fontId="0" fillId="0" borderId="15" xfId="0" applyNumberFormat="1" applyBorder="1"/>
    <xf numFmtId="0" fontId="0" fillId="3" borderId="1" xfId="0" quotePrefix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0" fillId="0" borderId="22" xfId="0" applyBorder="1"/>
    <xf numFmtId="164" fontId="0" fillId="0" borderId="22" xfId="0" applyNumberFormat="1" applyBorder="1"/>
    <xf numFmtId="164" fontId="0" fillId="0" borderId="24" xfId="0" applyNumberFormat="1" applyBorder="1"/>
    <xf numFmtId="10" fontId="0" fillId="0" borderId="0" xfId="0" applyNumberFormat="1" applyBorder="1"/>
    <xf numFmtId="0" fontId="0" fillId="0" borderId="0" xfId="0" applyAlignment="1">
      <alignment horizontal="center"/>
    </xf>
    <xf numFmtId="0" fontId="0" fillId="0" borderId="2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0" applyFont="1" applyFill="1" applyBorder="1" applyAlignment="1">
      <alignment horizontal="right"/>
    </xf>
    <xf numFmtId="165" fontId="0" fillId="0" borderId="0" xfId="0" applyNumberFormat="1" applyFill="1" applyBorder="1"/>
    <xf numFmtId="165" fontId="0" fillId="0" borderId="0" xfId="0" applyNumberFormat="1"/>
    <xf numFmtId="10" fontId="0" fillId="0" borderId="0" xfId="0" applyNumberFormat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 applyAlignment="1">
      <alignment horizontal="right"/>
    </xf>
    <xf numFmtId="0" fontId="5" fillId="0" borderId="25" xfId="0" applyFont="1" applyBorder="1"/>
    <xf numFmtId="0" fontId="0" fillId="4" borderId="29" xfId="0" applyFill="1" applyBorder="1" applyAlignment="1">
      <alignment horizontal="left"/>
    </xf>
    <xf numFmtId="0" fontId="0" fillId="4" borderId="32" xfId="0" applyFill="1" applyBorder="1" applyAlignment="1">
      <alignment horizontal="left"/>
    </xf>
    <xf numFmtId="10" fontId="0" fillId="4" borderId="28" xfId="0" applyNumberFormat="1" applyFill="1" applyBorder="1"/>
    <xf numFmtId="0" fontId="0" fillId="4" borderId="30" xfId="0" applyFill="1" applyBorder="1"/>
    <xf numFmtId="0" fontId="0" fillId="0" borderId="0" xfId="0" applyBorder="1" applyAlignment="1">
      <alignment horizontal="left"/>
    </xf>
    <xf numFmtId="0" fontId="0" fillId="0" borderId="8" xfId="0" applyBorder="1"/>
    <xf numFmtId="0" fontId="0" fillId="0" borderId="22" xfId="0" applyFill="1" applyBorder="1"/>
    <xf numFmtId="0" fontId="0" fillId="3" borderId="8" xfId="0" applyFill="1" applyBorder="1"/>
    <xf numFmtId="10" fontId="0" fillId="0" borderId="14" xfId="0" applyNumberFormat="1" applyBorder="1"/>
    <xf numFmtId="0" fontId="0" fillId="4" borderId="28" xfId="0" applyFill="1" applyBorder="1"/>
    <xf numFmtId="0" fontId="0" fillId="4" borderId="29" xfId="0" applyFill="1" applyBorder="1" applyAlignment="1">
      <alignment horizontal="center"/>
    </xf>
    <xf numFmtId="10" fontId="0" fillId="4" borderId="29" xfId="0" applyNumberFormat="1" applyFill="1" applyBorder="1" applyAlignment="1">
      <alignment horizontal="center"/>
    </xf>
    <xf numFmtId="164" fontId="0" fillId="4" borderId="32" xfId="0" applyNumberFormat="1" applyFill="1" applyBorder="1" applyAlignment="1">
      <alignment horizontal="center"/>
    </xf>
    <xf numFmtId="0" fontId="0" fillId="0" borderId="0" xfId="0" applyAlignment="1"/>
    <xf numFmtId="0" fontId="0" fillId="0" borderId="0" xfId="0" applyBorder="1" applyAlignment="1">
      <alignment vertical="center"/>
    </xf>
    <xf numFmtId="0" fontId="0" fillId="2" borderId="6" xfId="0" applyFill="1" applyBorder="1" applyAlignment="1"/>
    <xf numFmtId="0" fontId="0" fillId="0" borderId="31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center"/>
    </xf>
    <xf numFmtId="166" fontId="0" fillId="4" borderId="29" xfId="0" applyNumberFormat="1" applyFill="1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8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4" borderId="25" xfId="0" applyFont="1" applyFill="1" applyBorder="1" applyAlignment="1">
      <alignment horizontal="center"/>
    </xf>
    <xf numFmtId="0" fontId="5" fillId="4" borderId="27" xfId="0" applyFont="1" applyFill="1" applyBorder="1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20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1" xfId="0" applyBorder="1" applyAlignment="1">
      <alignment horizontal="left" vertical="top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Fill="1" applyBorder="1" applyAlignment="1">
      <alignment vertical="top"/>
    </xf>
    <xf numFmtId="165" fontId="0" fillId="0" borderId="0" xfId="0" applyNumberFormat="1" applyBorder="1"/>
    <xf numFmtId="0" fontId="6" fillId="0" borderId="0" xfId="0" applyFont="1"/>
    <xf numFmtId="0" fontId="6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Calculations!$F$30</c:f>
          <c:strCache>
            <c:ptCount val="1"/>
            <c:pt idx="0">
              <c:v>125-trimmed: %/Diode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Calculations!$B$31</c:f>
              <c:strCache>
                <c:ptCount val="1"/>
                <c:pt idx="0">
                  <c:v>%/Diode</c:v>
                </c:pt>
              </c:strCache>
            </c:strRef>
          </c:tx>
          <c:cat>
            <c:numRef>
              <c:f>Calculations!$C$33:$C$40</c:f>
              <c:numCache>
                <c:formatCode>0.00%</c:formatCode>
                <c:ptCount val="8"/>
                <c:pt idx="0">
                  <c:v>5.2838709677419354E-2</c:v>
                </c:pt>
                <c:pt idx="1">
                  <c:v>5.5306451612903228E-2</c:v>
                </c:pt>
                <c:pt idx="2">
                  <c:v>5.7774193548387101E-2</c:v>
                </c:pt>
                <c:pt idx="3">
                  <c:v>6.0241935483870974E-2</c:v>
                </c:pt>
                <c:pt idx="4">
                  <c:v>6.2709677419354848E-2</c:v>
                </c:pt>
                <c:pt idx="5">
                  <c:v>6.5177419354838714E-2</c:v>
                </c:pt>
                <c:pt idx="6">
                  <c:v>6.7645161290322581E-2</c:v>
                </c:pt>
                <c:pt idx="7">
                  <c:v>7.0112903225806447E-2</c:v>
                </c:pt>
              </c:numCache>
            </c:numRef>
          </c:cat>
          <c:val>
            <c:numRef>
              <c:f>Calculations!$D$33:$D$40</c:f>
              <c:numCache>
                <c:formatCode>General</c:formatCode>
                <c:ptCount val="8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11</c:v>
                </c:pt>
                <c:pt idx="6">
                  <c:v>3</c:v>
                </c:pt>
                <c:pt idx="7">
                  <c:v>3</c:v>
                </c:pt>
              </c:numCache>
            </c:numRef>
          </c:val>
        </c:ser>
        <c:axId val="171176704"/>
        <c:axId val="171179008"/>
      </c:barChart>
      <c:catAx>
        <c:axId val="1711767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Diode %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71179008"/>
        <c:crosses val="autoZero"/>
        <c:auto val="1"/>
        <c:lblAlgn val="ctr"/>
        <c:lblOffset val="100"/>
      </c:catAx>
      <c:valAx>
        <c:axId val="1711790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1176704"/>
        <c:crosses val="autoZero"/>
        <c:crossBetween val="between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Calculations!$F$42</c:f>
          <c:strCache>
            <c:ptCount val="1"/>
            <c:pt idx="0">
              <c:v>125-trimmed: Compensation Value= 62 +/- 6.4 -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Calculations!$B$43</c:f>
              <c:strCache>
                <c:ptCount val="1"/>
                <c:pt idx="0">
                  <c:v>Compensation Value= 62 +/- 6.4</c:v>
                </c:pt>
              </c:strCache>
            </c:strRef>
          </c:tx>
          <c:cat>
            <c:numRef>
              <c:f>Calculations!$C$46:$C$51</c:f>
              <c:numCache>
                <c:formatCode>0.0</c:formatCode>
                <c:ptCount val="6"/>
                <c:pt idx="0">
                  <c:v>53.714285714285715</c:v>
                </c:pt>
                <c:pt idx="1">
                  <c:v>56.428571428571431</c:v>
                </c:pt>
                <c:pt idx="2">
                  <c:v>59.142857142857146</c:v>
                </c:pt>
                <c:pt idx="3">
                  <c:v>61.857142857142861</c:v>
                </c:pt>
                <c:pt idx="4">
                  <c:v>64.571428571428569</c:v>
                </c:pt>
                <c:pt idx="5">
                  <c:v>67.285714285714278</c:v>
                </c:pt>
              </c:numCache>
            </c:numRef>
          </c:cat>
          <c:val>
            <c:numRef>
              <c:f>Calculations!$D$46:$D$51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11</c:v>
                </c:pt>
                <c:pt idx="5">
                  <c:v>3</c:v>
                </c:pt>
              </c:numCache>
            </c:numRef>
          </c:val>
        </c:ser>
        <c:axId val="171530880"/>
        <c:axId val="171537152"/>
      </c:barChart>
      <c:catAx>
        <c:axId val="171530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  <c:layout/>
        </c:title>
        <c:numFmt formatCode="0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71537152"/>
        <c:crosses val="autoZero"/>
        <c:auto val="1"/>
        <c:lblAlgn val="ctr"/>
        <c:lblOffset val="100"/>
      </c:catAx>
      <c:valAx>
        <c:axId val="1715371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1530880"/>
        <c:crosses val="autoZero"/>
        <c:crossBetween val="between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Calculations!$R$30</c:f>
          <c:strCache>
            <c:ptCount val="1"/>
            <c:pt idx="0">
              <c:v>125-trimmed: Per DUT Compensation=+/-11.5%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Calculations!$N$30</c:f>
              <c:strCache>
                <c:ptCount val="1"/>
                <c:pt idx="0">
                  <c:v>Per DUT Compensation=+/-11.5%</c:v>
                </c:pt>
              </c:strCache>
            </c:strRef>
          </c:tx>
          <c:cat>
            <c:numRef>
              <c:f>Calculations!$N$33:$N$40</c:f>
              <c:numCache>
                <c:formatCode>0.00%</c:formatCode>
                <c:ptCount val="8"/>
                <c:pt idx="0">
                  <c:v>-1.087948552014093E-2</c:v>
                </c:pt>
                <c:pt idx="1">
                  <c:v>1.1589476332118541E-2</c:v>
                </c:pt>
                <c:pt idx="2">
                  <c:v>3.4058438184378009E-2</c:v>
                </c:pt>
                <c:pt idx="3">
                  <c:v>5.6527400036637476E-2</c:v>
                </c:pt>
                <c:pt idx="4">
                  <c:v>7.8996361888896943E-2</c:v>
                </c:pt>
                <c:pt idx="5">
                  <c:v>0.10146532374115641</c:v>
                </c:pt>
                <c:pt idx="6">
                  <c:v>0.12393428559341588</c:v>
                </c:pt>
                <c:pt idx="7">
                  <c:v>0.14640324744567537</c:v>
                </c:pt>
              </c:numCache>
            </c:numRef>
          </c:cat>
          <c:val>
            <c:numRef>
              <c:f>Calculations!$O$33:$O$40</c:f>
              <c:numCache>
                <c:formatCode>General</c:formatCode>
                <c:ptCount val="8"/>
                <c:pt idx="0">
                  <c:v>1</c:v>
                </c:pt>
                <c:pt idx="1">
                  <c:v>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</c:numCache>
            </c:numRef>
          </c:val>
        </c:ser>
        <c:axId val="171569536"/>
        <c:axId val="171571456"/>
      </c:barChart>
      <c:catAx>
        <c:axId val="171569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71571456"/>
        <c:crosses val="autoZero"/>
        <c:auto val="1"/>
        <c:lblAlgn val="ctr"/>
        <c:lblOffset val="100"/>
      </c:catAx>
      <c:valAx>
        <c:axId val="1715714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1569536"/>
        <c:crosses val="autoZero"/>
        <c:crossBetween val="between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Calculations!$R$42</c:f>
          <c:strCache>
            <c:ptCount val="1"/>
            <c:pt idx="0">
              <c:v>125-trimmed: Lot Compensation=+/-4.7%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Calculations!$N$43</c:f>
              <c:strCache>
                <c:ptCount val="1"/>
                <c:pt idx="0">
                  <c:v>Lot Compensation=+/-4.7%</c:v>
                </c:pt>
              </c:strCache>
            </c:strRef>
          </c:tx>
          <c:cat>
            <c:numRef>
              <c:f>Calculations!$N$45:$N$52</c:f>
              <c:numCache>
                <c:formatCode>0.00%</c:formatCode>
                <c:ptCount val="8"/>
                <c:pt idx="0">
                  <c:v>-6.7907173911578911E-2</c:v>
                </c:pt>
                <c:pt idx="1">
                  <c:v>-5.1474067001119221E-2</c:v>
                </c:pt>
                <c:pt idx="2">
                  <c:v>-3.5040960090659531E-2</c:v>
                </c:pt>
                <c:pt idx="3">
                  <c:v>-1.8607853180199842E-2</c:v>
                </c:pt>
                <c:pt idx="4">
                  <c:v>-2.1747462697401521E-3</c:v>
                </c:pt>
                <c:pt idx="5">
                  <c:v>1.4258360640719538E-2</c:v>
                </c:pt>
                <c:pt idx="6">
                  <c:v>3.0691467551179227E-2</c:v>
                </c:pt>
                <c:pt idx="7">
                  <c:v>4.712457446163891E-2</c:v>
                </c:pt>
              </c:numCache>
            </c:numRef>
          </c:cat>
          <c:val>
            <c:numRef>
              <c:f>Calculations!$O$45:$O$52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8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</c:numCache>
            </c:numRef>
          </c:val>
        </c:ser>
        <c:axId val="171612032"/>
        <c:axId val="171634688"/>
      </c:barChart>
      <c:catAx>
        <c:axId val="171612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71634688"/>
        <c:crosses val="autoZero"/>
        <c:auto val="1"/>
        <c:lblAlgn val="ctr"/>
        <c:lblOffset val="100"/>
      </c:catAx>
      <c:valAx>
        <c:axId val="1716346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1612032"/>
        <c:crosses val="autoZero"/>
        <c:crossBetween val="between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Calculations!$F$54</c:f>
          <c:strCache>
            <c:ptCount val="1"/>
            <c:pt idx="0">
              <c:v>125-trimmed: Gain Error=53.7 +/-6.6% :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Calculations!$B$43</c:f>
              <c:strCache>
                <c:ptCount val="1"/>
                <c:pt idx="0">
                  <c:v>Compensation Value= 62 +/- 6.4</c:v>
                </c:pt>
              </c:strCache>
            </c:strRef>
          </c:tx>
          <c:cat>
            <c:numRef>
              <c:f>Calculations!$C$58:$C$64</c:f>
              <c:numCache>
                <c:formatCode>0.0%</c:formatCode>
                <c:ptCount val="7"/>
                <c:pt idx="0">
                  <c:v>0.45965566968962956</c:v>
                </c:pt>
                <c:pt idx="1">
                  <c:v>0.48636942261666083</c:v>
                </c:pt>
                <c:pt idx="2">
                  <c:v>0.51308317554369209</c:v>
                </c:pt>
                <c:pt idx="3">
                  <c:v>0.53979692847072336</c:v>
                </c:pt>
                <c:pt idx="4">
                  <c:v>0.56651068139775462</c:v>
                </c:pt>
                <c:pt idx="5">
                  <c:v>0.59322443432478589</c:v>
                </c:pt>
                <c:pt idx="6">
                  <c:v>0.61993818725181726</c:v>
                </c:pt>
              </c:numCache>
            </c:numRef>
          </c:cat>
          <c:val>
            <c:numRef>
              <c:f>Calculations!$D$58:$D$64</c:f>
              <c:numCache>
                <c:formatCode>General</c:formatCode>
                <c:ptCount val="7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10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</c:ser>
        <c:axId val="194555264"/>
        <c:axId val="194995712"/>
      </c:barChart>
      <c:catAx>
        <c:axId val="194555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  <c:layout/>
        </c:title>
        <c:numFmt formatCode="0.0%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94995712"/>
        <c:crosses val="autoZero"/>
        <c:auto val="1"/>
        <c:lblAlgn val="ctr"/>
        <c:lblOffset val="100"/>
      </c:catAx>
      <c:valAx>
        <c:axId val="1949957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94555264"/>
        <c:crosses val="autoZero"/>
        <c:crossBetween val="between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Calculations!$R$30</c:f>
          <c:strCache>
            <c:ptCount val="1"/>
            <c:pt idx="0">
              <c:v>125-trimmed: Per DUT Compensation=+/-11.5%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Calculations!$N$30</c:f>
              <c:strCache>
                <c:ptCount val="1"/>
                <c:pt idx="0">
                  <c:v>Per DUT Compensation=+/-11.5%</c:v>
                </c:pt>
              </c:strCache>
            </c:strRef>
          </c:tx>
          <c:cat>
            <c:numRef>
              <c:f>Calculations!$N$33:$N$40</c:f>
              <c:numCache>
                <c:formatCode>0.00%</c:formatCode>
                <c:ptCount val="8"/>
                <c:pt idx="0">
                  <c:v>-1.087948552014093E-2</c:v>
                </c:pt>
                <c:pt idx="1">
                  <c:v>1.1589476332118541E-2</c:v>
                </c:pt>
                <c:pt idx="2">
                  <c:v>3.4058438184378009E-2</c:v>
                </c:pt>
                <c:pt idx="3">
                  <c:v>5.6527400036637476E-2</c:v>
                </c:pt>
                <c:pt idx="4">
                  <c:v>7.8996361888896943E-2</c:v>
                </c:pt>
                <c:pt idx="5">
                  <c:v>0.10146532374115641</c:v>
                </c:pt>
                <c:pt idx="6">
                  <c:v>0.12393428559341588</c:v>
                </c:pt>
                <c:pt idx="7">
                  <c:v>0.14640324744567537</c:v>
                </c:pt>
              </c:numCache>
            </c:numRef>
          </c:cat>
          <c:val>
            <c:numRef>
              <c:f>Calculations!$O$33:$O$40</c:f>
              <c:numCache>
                <c:formatCode>General</c:formatCode>
                <c:ptCount val="8"/>
                <c:pt idx="0">
                  <c:v>1</c:v>
                </c:pt>
                <c:pt idx="1">
                  <c:v>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</c:numCache>
            </c:numRef>
          </c:val>
        </c:ser>
        <c:axId val="202578176"/>
        <c:axId val="202602752"/>
      </c:barChart>
      <c:catAx>
        <c:axId val="202578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02602752"/>
        <c:crosses val="autoZero"/>
        <c:auto val="1"/>
        <c:lblAlgn val="ctr"/>
        <c:lblOffset val="100"/>
      </c:catAx>
      <c:valAx>
        <c:axId val="2026027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202578176"/>
        <c:crosses val="autoZero"/>
        <c:crossBetween val="between"/>
      </c:valAx>
    </c:plotArea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Calculations!$F$30</c:f>
          <c:strCache>
            <c:ptCount val="1"/>
            <c:pt idx="0">
              <c:v>125-trimmed: %/Diode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Calculations!$B$31</c:f>
              <c:strCache>
                <c:ptCount val="1"/>
                <c:pt idx="0">
                  <c:v>%/Diode</c:v>
                </c:pt>
              </c:strCache>
            </c:strRef>
          </c:tx>
          <c:cat>
            <c:numRef>
              <c:f>Calculations!$C$33:$C$40</c:f>
              <c:numCache>
                <c:formatCode>0.00%</c:formatCode>
                <c:ptCount val="8"/>
                <c:pt idx="0">
                  <c:v>5.2838709677419354E-2</c:v>
                </c:pt>
                <c:pt idx="1">
                  <c:v>5.5306451612903228E-2</c:v>
                </c:pt>
                <c:pt idx="2">
                  <c:v>5.7774193548387101E-2</c:v>
                </c:pt>
                <c:pt idx="3">
                  <c:v>6.0241935483870974E-2</c:v>
                </c:pt>
                <c:pt idx="4">
                  <c:v>6.2709677419354848E-2</c:v>
                </c:pt>
                <c:pt idx="5">
                  <c:v>6.5177419354838714E-2</c:v>
                </c:pt>
                <c:pt idx="6">
                  <c:v>6.7645161290322581E-2</c:v>
                </c:pt>
                <c:pt idx="7">
                  <c:v>7.0112903225806447E-2</c:v>
                </c:pt>
              </c:numCache>
            </c:numRef>
          </c:cat>
          <c:val>
            <c:numRef>
              <c:f>Calculations!$D$33:$D$40</c:f>
              <c:numCache>
                <c:formatCode>General</c:formatCode>
                <c:ptCount val="8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11</c:v>
                </c:pt>
                <c:pt idx="6">
                  <c:v>3</c:v>
                </c:pt>
                <c:pt idx="7">
                  <c:v>3</c:v>
                </c:pt>
              </c:numCache>
            </c:numRef>
          </c:val>
        </c:ser>
        <c:axId val="208452992"/>
        <c:axId val="208774656"/>
      </c:barChart>
      <c:catAx>
        <c:axId val="208452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Diode %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08774656"/>
        <c:crosses val="autoZero"/>
        <c:auto val="1"/>
        <c:lblAlgn val="ctr"/>
        <c:lblOffset val="100"/>
      </c:catAx>
      <c:valAx>
        <c:axId val="2087746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208452992"/>
        <c:crosses val="autoZero"/>
        <c:crossBetween val="between"/>
      </c:valAx>
    </c:plotArea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Calculations!$F$42</c:f>
          <c:strCache>
            <c:ptCount val="1"/>
            <c:pt idx="0">
              <c:v>125-trimmed: Compensation Value= 62 +/- 6.4 -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Calculations!$B$43</c:f>
              <c:strCache>
                <c:ptCount val="1"/>
                <c:pt idx="0">
                  <c:v>Compensation Value= 62 +/- 6.4</c:v>
                </c:pt>
              </c:strCache>
            </c:strRef>
          </c:tx>
          <c:cat>
            <c:numRef>
              <c:f>Calculations!$C$46:$C$51</c:f>
              <c:numCache>
                <c:formatCode>0.0</c:formatCode>
                <c:ptCount val="6"/>
                <c:pt idx="0">
                  <c:v>53.714285714285715</c:v>
                </c:pt>
                <c:pt idx="1">
                  <c:v>56.428571428571431</c:v>
                </c:pt>
                <c:pt idx="2">
                  <c:v>59.142857142857146</c:v>
                </c:pt>
                <c:pt idx="3">
                  <c:v>61.857142857142861</c:v>
                </c:pt>
                <c:pt idx="4">
                  <c:v>64.571428571428569</c:v>
                </c:pt>
                <c:pt idx="5">
                  <c:v>67.285714285714278</c:v>
                </c:pt>
              </c:numCache>
            </c:numRef>
          </c:cat>
          <c:val>
            <c:numRef>
              <c:f>Calculations!$D$46:$D$51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11</c:v>
                </c:pt>
                <c:pt idx="5">
                  <c:v>3</c:v>
                </c:pt>
              </c:numCache>
            </c:numRef>
          </c:val>
        </c:ser>
        <c:axId val="209176448"/>
        <c:axId val="209389824"/>
      </c:barChart>
      <c:catAx>
        <c:axId val="2091764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  <c:layout/>
        </c:title>
        <c:numFmt formatCode="0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09389824"/>
        <c:crosses val="autoZero"/>
        <c:auto val="1"/>
        <c:lblAlgn val="ctr"/>
        <c:lblOffset val="100"/>
      </c:catAx>
      <c:valAx>
        <c:axId val="2093898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209176448"/>
        <c:crosses val="autoZero"/>
        <c:crossBetween val="between"/>
      </c:valAx>
    </c:plotArea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Calculations!$F$54</c:f>
          <c:strCache>
            <c:ptCount val="1"/>
            <c:pt idx="0">
              <c:v>125-trimmed: Gain Error=53.7 +/-6.6% :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Calculations!$B$43</c:f>
              <c:strCache>
                <c:ptCount val="1"/>
                <c:pt idx="0">
                  <c:v>Compensation Value= 62 +/- 6.4</c:v>
                </c:pt>
              </c:strCache>
            </c:strRef>
          </c:tx>
          <c:cat>
            <c:numRef>
              <c:f>Calculations!$C$58:$C$64</c:f>
              <c:numCache>
                <c:formatCode>0.0%</c:formatCode>
                <c:ptCount val="7"/>
                <c:pt idx="0">
                  <c:v>0.45965566968962956</c:v>
                </c:pt>
                <c:pt idx="1">
                  <c:v>0.48636942261666083</c:v>
                </c:pt>
                <c:pt idx="2">
                  <c:v>0.51308317554369209</c:v>
                </c:pt>
                <c:pt idx="3">
                  <c:v>0.53979692847072336</c:v>
                </c:pt>
                <c:pt idx="4">
                  <c:v>0.56651068139775462</c:v>
                </c:pt>
                <c:pt idx="5">
                  <c:v>0.59322443432478589</c:v>
                </c:pt>
                <c:pt idx="6">
                  <c:v>0.61993818725181726</c:v>
                </c:pt>
              </c:numCache>
            </c:numRef>
          </c:cat>
          <c:val>
            <c:numRef>
              <c:f>Calculations!$D$58:$D$64</c:f>
              <c:numCache>
                <c:formatCode>General</c:formatCode>
                <c:ptCount val="7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10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</c:ser>
        <c:axId val="207346688"/>
        <c:axId val="207438976"/>
      </c:barChart>
      <c:catAx>
        <c:axId val="207346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  <c:layout/>
        </c:title>
        <c:numFmt formatCode="0.0%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07438976"/>
        <c:crosses val="autoZero"/>
        <c:auto val="1"/>
        <c:lblAlgn val="ctr"/>
        <c:lblOffset val="100"/>
      </c:catAx>
      <c:valAx>
        <c:axId val="2074389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207346688"/>
        <c:crosses val="autoZero"/>
        <c:crossBetween val="between"/>
      </c:valAx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Calculations!$R$42</c:f>
          <c:strCache>
            <c:ptCount val="1"/>
            <c:pt idx="0">
              <c:v>125-trimmed: Lot Compensation=+/-4.7%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Calculations!$N$43</c:f>
              <c:strCache>
                <c:ptCount val="1"/>
                <c:pt idx="0">
                  <c:v>Lot Compensation=+/-4.7%</c:v>
                </c:pt>
              </c:strCache>
            </c:strRef>
          </c:tx>
          <c:cat>
            <c:numRef>
              <c:f>Calculations!$N$45:$N$52</c:f>
              <c:numCache>
                <c:formatCode>0.00%</c:formatCode>
                <c:ptCount val="8"/>
                <c:pt idx="0">
                  <c:v>-6.7907173911578911E-2</c:v>
                </c:pt>
                <c:pt idx="1">
                  <c:v>-5.1474067001119221E-2</c:v>
                </c:pt>
                <c:pt idx="2">
                  <c:v>-3.5040960090659531E-2</c:v>
                </c:pt>
                <c:pt idx="3">
                  <c:v>-1.8607853180199842E-2</c:v>
                </c:pt>
                <c:pt idx="4">
                  <c:v>-2.1747462697401521E-3</c:v>
                </c:pt>
                <c:pt idx="5">
                  <c:v>1.4258360640719538E-2</c:v>
                </c:pt>
                <c:pt idx="6">
                  <c:v>3.0691467551179227E-2</c:v>
                </c:pt>
                <c:pt idx="7">
                  <c:v>4.712457446163891E-2</c:v>
                </c:pt>
              </c:numCache>
            </c:numRef>
          </c:cat>
          <c:val>
            <c:numRef>
              <c:f>Calculations!$O$45:$O$52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8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</c:numCache>
            </c:numRef>
          </c:val>
        </c:ser>
        <c:axId val="207932800"/>
        <c:axId val="55236096"/>
      </c:barChart>
      <c:catAx>
        <c:axId val="207932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55236096"/>
        <c:crosses val="autoZero"/>
        <c:auto val="1"/>
        <c:lblAlgn val="ctr"/>
        <c:lblOffset val="100"/>
      </c:catAx>
      <c:valAx>
        <c:axId val="552360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207932800"/>
        <c:crosses val="autoZero"/>
        <c:crossBetween val="between"/>
      </c:valAx>
    </c:plotArea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Calculations!$F$30</c:f>
          <c:strCache>
            <c:ptCount val="1"/>
            <c:pt idx="0">
              <c:v>125-trimmed: %/Diode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Calculations!$B$31</c:f>
              <c:strCache>
                <c:ptCount val="1"/>
                <c:pt idx="0">
                  <c:v>%/Diode</c:v>
                </c:pt>
              </c:strCache>
            </c:strRef>
          </c:tx>
          <c:cat>
            <c:numRef>
              <c:f>Calculations!$C$33:$C$40</c:f>
              <c:numCache>
                <c:formatCode>0.00%</c:formatCode>
                <c:ptCount val="8"/>
                <c:pt idx="0">
                  <c:v>5.2838709677419354E-2</c:v>
                </c:pt>
                <c:pt idx="1">
                  <c:v>5.5306451612903228E-2</c:v>
                </c:pt>
                <c:pt idx="2">
                  <c:v>5.7774193548387101E-2</c:v>
                </c:pt>
                <c:pt idx="3">
                  <c:v>6.0241935483870974E-2</c:v>
                </c:pt>
                <c:pt idx="4">
                  <c:v>6.2709677419354848E-2</c:v>
                </c:pt>
                <c:pt idx="5">
                  <c:v>6.5177419354838714E-2</c:v>
                </c:pt>
                <c:pt idx="6">
                  <c:v>6.7645161290322581E-2</c:v>
                </c:pt>
                <c:pt idx="7">
                  <c:v>7.0112903225806447E-2</c:v>
                </c:pt>
              </c:numCache>
            </c:numRef>
          </c:cat>
          <c:val>
            <c:numRef>
              <c:f>Calculations!$D$33:$D$40</c:f>
              <c:numCache>
                <c:formatCode>General</c:formatCode>
                <c:ptCount val="8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11</c:v>
                </c:pt>
                <c:pt idx="6">
                  <c:v>3</c:v>
                </c:pt>
                <c:pt idx="7">
                  <c:v>3</c:v>
                </c:pt>
              </c:numCache>
            </c:numRef>
          </c:val>
        </c:ser>
        <c:axId val="171839488"/>
        <c:axId val="171841408"/>
      </c:barChart>
      <c:catAx>
        <c:axId val="171839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Diode %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71841408"/>
        <c:crosses val="autoZero"/>
        <c:auto val="1"/>
        <c:lblAlgn val="ctr"/>
        <c:lblOffset val="100"/>
      </c:catAx>
      <c:valAx>
        <c:axId val="1718414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1839488"/>
        <c:crosses val="autoZero"/>
        <c:crossBetween val="between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Calculations!$F$42</c:f>
          <c:strCache>
            <c:ptCount val="1"/>
            <c:pt idx="0">
              <c:v>125-trimmed: Compensation Value= 62 +/- 6.4 -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Calculations!$B$43</c:f>
              <c:strCache>
                <c:ptCount val="1"/>
                <c:pt idx="0">
                  <c:v>Compensation Value= 62 +/- 6.4</c:v>
                </c:pt>
              </c:strCache>
            </c:strRef>
          </c:tx>
          <c:cat>
            <c:numRef>
              <c:f>Calculations!$C$46:$C$51</c:f>
              <c:numCache>
                <c:formatCode>0.0</c:formatCode>
                <c:ptCount val="6"/>
                <c:pt idx="0">
                  <c:v>53.714285714285715</c:v>
                </c:pt>
                <c:pt idx="1">
                  <c:v>56.428571428571431</c:v>
                </c:pt>
                <c:pt idx="2">
                  <c:v>59.142857142857146</c:v>
                </c:pt>
                <c:pt idx="3">
                  <c:v>61.857142857142861</c:v>
                </c:pt>
                <c:pt idx="4">
                  <c:v>64.571428571428569</c:v>
                </c:pt>
                <c:pt idx="5">
                  <c:v>67.285714285714278</c:v>
                </c:pt>
              </c:numCache>
            </c:numRef>
          </c:cat>
          <c:val>
            <c:numRef>
              <c:f>Calculations!$D$46:$D$51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11</c:v>
                </c:pt>
                <c:pt idx="5">
                  <c:v>3</c:v>
                </c:pt>
              </c:numCache>
            </c:numRef>
          </c:val>
        </c:ser>
        <c:axId val="171877888"/>
        <c:axId val="171879808"/>
      </c:barChart>
      <c:catAx>
        <c:axId val="1718778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  <c:layout/>
        </c:title>
        <c:numFmt formatCode="0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71879808"/>
        <c:crosses val="autoZero"/>
        <c:auto val="1"/>
        <c:lblAlgn val="ctr"/>
        <c:lblOffset val="100"/>
      </c:catAx>
      <c:valAx>
        <c:axId val="1718798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1877888"/>
        <c:crosses val="autoZero"/>
        <c:crossBetween val="between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Calculations!$R$30</c:f>
          <c:strCache>
            <c:ptCount val="1"/>
            <c:pt idx="0">
              <c:v>125-trimmed: Per DUT Compensation=+/-11.5%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Calculations!$N$30</c:f>
              <c:strCache>
                <c:ptCount val="1"/>
                <c:pt idx="0">
                  <c:v>Per DUT Compensation=+/-11.5%</c:v>
                </c:pt>
              </c:strCache>
            </c:strRef>
          </c:tx>
          <c:cat>
            <c:numRef>
              <c:f>Calculations!$N$33:$N$40</c:f>
              <c:numCache>
                <c:formatCode>0.00%</c:formatCode>
                <c:ptCount val="8"/>
                <c:pt idx="0">
                  <c:v>-1.087948552014093E-2</c:v>
                </c:pt>
                <c:pt idx="1">
                  <c:v>1.1589476332118541E-2</c:v>
                </c:pt>
                <c:pt idx="2">
                  <c:v>3.4058438184378009E-2</c:v>
                </c:pt>
                <c:pt idx="3">
                  <c:v>5.6527400036637476E-2</c:v>
                </c:pt>
                <c:pt idx="4">
                  <c:v>7.8996361888896943E-2</c:v>
                </c:pt>
                <c:pt idx="5">
                  <c:v>0.10146532374115641</c:v>
                </c:pt>
                <c:pt idx="6">
                  <c:v>0.12393428559341588</c:v>
                </c:pt>
                <c:pt idx="7">
                  <c:v>0.14640324744567537</c:v>
                </c:pt>
              </c:numCache>
            </c:numRef>
          </c:cat>
          <c:val>
            <c:numRef>
              <c:f>Calculations!$O$33:$O$40</c:f>
              <c:numCache>
                <c:formatCode>General</c:formatCode>
                <c:ptCount val="8"/>
                <c:pt idx="0">
                  <c:v>1</c:v>
                </c:pt>
                <c:pt idx="1">
                  <c:v>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</c:numCache>
            </c:numRef>
          </c:val>
        </c:ser>
        <c:axId val="171895808"/>
        <c:axId val="171906176"/>
      </c:barChart>
      <c:catAx>
        <c:axId val="171895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71906176"/>
        <c:crosses val="autoZero"/>
        <c:auto val="1"/>
        <c:lblAlgn val="ctr"/>
        <c:lblOffset val="100"/>
      </c:catAx>
      <c:valAx>
        <c:axId val="171906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1895808"/>
        <c:crosses val="autoZero"/>
        <c:crossBetween val="between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Calculations!$R$42</c:f>
          <c:strCache>
            <c:ptCount val="1"/>
            <c:pt idx="0">
              <c:v>125-trimmed: Lot Compensation=+/-4.7% -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Calculations!$N$43</c:f>
              <c:strCache>
                <c:ptCount val="1"/>
                <c:pt idx="0">
                  <c:v>Lot Compensation=+/-4.7%</c:v>
                </c:pt>
              </c:strCache>
            </c:strRef>
          </c:tx>
          <c:cat>
            <c:numRef>
              <c:f>Calculations!$N$45:$N$52</c:f>
              <c:numCache>
                <c:formatCode>0.00%</c:formatCode>
                <c:ptCount val="8"/>
                <c:pt idx="0">
                  <c:v>-6.7907173911578911E-2</c:v>
                </c:pt>
                <c:pt idx="1">
                  <c:v>-5.1474067001119221E-2</c:v>
                </c:pt>
                <c:pt idx="2">
                  <c:v>-3.5040960090659531E-2</c:v>
                </c:pt>
                <c:pt idx="3">
                  <c:v>-1.8607853180199842E-2</c:v>
                </c:pt>
                <c:pt idx="4">
                  <c:v>-2.1747462697401521E-3</c:v>
                </c:pt>
                <c:pt idx="5">
                  <c:v>1.4258360640719538E-2</c:v>
                </c:pt>
                <c:pt idx="6">
                  <c:v>3.0691467551179227E-2</c:v>
                </c:pt>
                <c:pt idx="7">
                  <c:v>4.712457446163891E-2</c:v>
                </c:pt>
              </c:numCache>
            </c:numRef>
          </c:cat>
          <c:val>
            <c:numRef>
              <c:f>Calculations!$O$45:$O$52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8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</c:numCache>
            </c:numRef>
          </c:val>
        </c:ser>
        <c:axId val="171925888"/>
        <c:axId val="171927808"/>
      </c:barChart>
      <c:catAx>
        <c:axId val="1719258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71927808"/>
        <c:crosses val="autoZero"/>
        <c:auto val="1"/>
        <c:lblAlgn val="ctr"/>
        <c:lblOffset val="100"/>
      </c:catAx>
      <c:valAx>
        <c:axId val="1719278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1925888"/>
        <c:crosses val="autoZero"/>
        <c:crossBetween val="between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Calculations!$F$54</c:f>
          <c:strCache>
            <c:ptCount val="1"/>
            <c:pt idx="0">
              <c:v>125-trimmed: Gain Error=53.7 +/-6.6% : NG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Calculations!$B$43</c:f>
              <c:strCache>
                <c:ptCount val="1"/>
                <c:pt idx="0">
                  <c:v>Compensation Value= 62 +/- 6.4</c:v>
                </c:pt>
              </c:strCache>
            </c:strRef>
          </c:tx>
          <c:cat>
            <c:numRef>
              <c:f>Calculations!$C$58:$C$64</c:f>
              <c:numCache>
                <c:formatCode>0.0%</c:formatCode>
                <c:ptCount val="7"/>
                <c:pt idx="0">
                  <c:v>0.45965566968962956</c:v>
                </c:pt>
                <c:pt idx="1">
                  <c:v>0.48636942261666083</c:v>
                </c:pt>
                <c:pt idx="2">
                  <c:v>0.51308317554369209</c:v>
                </c:pt>
                <c:pt idx="3">
                  <c:v>0.53979692847072336</c:v>
                </c:pt>
                <c:pt idx="4">
                  <c:v>0.56651068139775462</c:v>
                </c:pt>
                <c:pt idx="5">
                  <c:v>0.59322443432478589</c:v>
                </c:pt>
                <c:pt idx="6">
                  <c:v>0.61993818725181726</c:v>
                </c:pt>
              </c:numCache>
            </c:numRef>
          </c:cat>
          <c:val>
            <c:numRef>
              <c:f>Calculations!$D$58:$D$64</c:f>
              <c:numCache>
                <c:formatCode>General</c:formatCode>
                <c:ptCount val="7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10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</c:ser>
        <c:axId val="185312000"/>
        <c:axId val="185314688"/>
      </c:barChart>
      <c:catAx>
        <c:axId val="1853120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  <c:layout/>
        </c:title>
        <c:numFmt formatCode="0.0%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85314688"/>
        <c:crosses val="autoZero"/>
        <c:auto val="1"/>
        <c:lblAlgn val="ctr"/>
        <c:lblOffset val="100"/>
      </c:catAx>
      <c:valAx>
        <c:axId val="1853146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85312000"/>
        <c:crosses val="autoZero"/>
        <c:crossBetween val="between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4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data0!$A$2</c:f>
              <c:strCache>
                <c:ptCount val="1"/>
                <c:pt idx="0">
                  <c:v>LED min</c:v>
                </c:pt>
              </c:strCache>
            </c:strRef>
          </c:tx>
          <c:spPr>
            <a:ln w="28575">
              <a:noFill/>
            </a:ln>
          </c:spPr>
          <c:yVal>
            <c:numRef>
              <c:f>data0!$B$2:$AG$2</c:f>
              <c:numCache>
                <c:formatCode>0.0</c:formatCode>
                <c:ptCount val="32"/>
                <c:pt idx="0">
                  <c:v>92.290229797363281</c:v>
                </c:pt>
                <c:pt idx="1">
                  <c:v>72.072784423828125</c:v>
                </c:pt>
                <c:pt idx="2">
                  <c:v>74.590522766113281</c:v>
                </c:pt>
                <c:pt idx="3">
                  <c:v>84.787368774414063</c:v>
                </c:pt>
                <c:pt idx="4">
                  <c:v>76.775924682617188</c:v>
                </c:pt>
                <c:pt idx="5">
                  <c:v>82.486152648925781</c:v>
                </c:pt>
                <c:pt idx="6">
                  <c:v>71.030441284179687</c:v>
                </c:pt>
                <c:pt idx="7">
                  <c:v>76.06591796875</c:v>
                </c:pt>
                <c:pt idx="8">
                  <c:v>85.436943054199219</c:v>
                </c:pt>
                <c:pt idx="9">
                  <c:v>65.078506469726563</c:v>
                </c:pt>
                <c:pt idx="10">
                  <c:v>78.397346496582031</c:v>
                </c:pt>
                <c:pt idx="11">
                  <c:v>72.984207153320313</c:v>
                </c:pt>
                <c:pt idx="12">
                  <c:v>77.999542236328125</c:v>
                </c:pt>
                <c:pt idx="13">
                  <c:v>69.529869079589844</c:v>
                </c:pt>
                <c:pt idx="14">
                  <c:v>70.260017395019531</c:v>
                </c:pt>
                <c:pt idx="15">
                  <c:v>74.182647705078125</c:v>
                </c:pt>
                <c:pt idx="16">
                  <c:v>82.476081848144531</c:v>
                </c:pt>
                <c:pt idx="17">
                  <c:v>75.481803894042969</c:v>
                </c:pt>
                <c:pt idx="18">
                  <c:v>70.919662475585938</c:v>
                </c:pt>
                <c:pt idx="19">
                  <c:v>71.639732360839844</c:v>
                </c:pt>
                <c:pt idx="20">
                  <c:v>86.308082580566406</c:v>
                </c:pt>
                <c:pt idx="21">
                  <c:v>66.377662658691406</c:v>
                </c:pt>
                <c:pt idx="22">
                  <c:v>68.996109008789063</c:v>
                </c:pt>
                <c:pt idx="23">
                  <c:v>75.466697692871094</c:v>
                </c:pt>
                <c:pt idx="24">
                  <c:v>79.91302490234375</c:v>
                </c:pt>
                <c:pt idx="25">
                  <c:v>73.528038024902344</c:v>
                </c:pt>
                <c:pt idx="26">
                  <c:v>84.857864379882813</c:v>
                </c:pt>
                <c:pt idx="28">
                  <c:v>79.283592224121094</c:v>
                </c:pt>
                <c:pt idx="29">
                  <c:v>70.793777465820313</c:v>
                </c:pt>
                <c:pt idx="30">
                  <c:v>82.375373840332031</c:v>
                </c:pt>
                <c:pt idx="31">
                  <c:v>74.796981811523438</c:v>
                </c:pt>
              </c:numCache>
            </c:numRef>
          </c:yVal>
        </c:ser>
        <c:axId val="181271168"/>
        <c:axId val="192864640"/>
      </c:scatterChart>
      <c:valAx>
        <c:axId val="181271168"/>
        <c:scaling>
          <c:orientation val="minMax"/>
        </c:scaling>
        <c:axPos val="b"/>
        <c:tickLblPos val="nextTo"/>
        <c:crossAx val="192864640"/>
        <c:crosses val="autoZero"/>
        <c:crossBetween val="midCat"/>
      </c:valAx>
      <c:valAx>
        <c:axId val="192864640"/>
        <c:scaling>
          <c:orientation val="minMax"/>
        </c:scaling>
        <c:axPos val="l"/>
        <c:majorGridlines/>
        <c:numFmt formatCode="0.0" sourceLinked="1"/>
        <c:tickLblPos val="nextTo"/>
        <c:crossAx val="181271168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190499</xdr:rowOff>
    </xdr:from>
    <xdr:to>
      <xdr:col>6</xdr:col>
      <xdr:colOff>214313</xdr:colOff>
      <xdr:row>32</xdr:row>
      <xdr:rowOff>76199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2153</xdr:colOff>
      <xdr:row>32</xdr:row>
      <xdr:rowOff>28349</xdr:rowOff>
    </xdr:from>
    <xdr:to>
      <xdr:col>6</xdr:col>
      <xdr:colOff>216466</xdr:colOff>
      <xdr:row>46</xdr:row>
      <xdr:rowOff>104549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178594</xdr:colOff>
      <xdr:row>17</xdr:row>
      <xdr:rowOff>190499</xdr:rowOff>
    </xdr:from>
    <xdr:to>
      <xdr:col>11</xdr:col>
      <xdr:colOff>654844</xdr:colOff>
      <xdr:row>32</xdr:row>
      <xdr:rowOff>76199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178594</xdr:colOff>
      <xdr:row>32</xdr:row>
      <xdr:rowOff>23812</xdr:rowOff>
    </xdr:from>
    <xdr:to>
      <xdr:col>11</xdr:col>
      <xdr:colOff>654844</xdr:colOff>
      <xdr:row>46</xdr:row>
      <xdr:rowOff>100012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654844</xdr:colOff>
      <xdr:row>18</xdr:row>
      <xdr:rowOff>0</xdr:rowOff>
    </xdr:from>
    <xdr:to>
      <xdr:col>19</xdr:col>
      <xdr:colOff>119063</xdr:colOff>
      <xdr:row>32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3</xdr:col>
      <xdr:colOff>0</xdr:colOff>
      <xdr:row>1</xdr:row>
      <xdr:rowOff>2743200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3</xdr:row>
      <xdr:rowOff>2743200</xdr:rowOff>
    </xdr:to>
    <xdr:graphicFrame macro="">
      <xdr:nvGraphicFramePr>
        <xdr:cNvPr id="46" name="Chart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2</xdr:row>
      <xdr:rowOff>2743200</xdr:rowOff>
    </xdr:to>
    <xdr:graphicFrame macro="">
      <xdr:nvGraphicFramePr>
        <xdr:cNvPr id="47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2</xdr:row>
      <xdr:rowOff>2743200</xdr:rowOff>
    </xdr:to>
    <xdr:graphicFrame macro="">
      <xdr:nvGraphicFramePr>
        <xdr:cNvPr id="48" name="Chart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</xdr:row>
      <xdr:rowOff>1983</xdr:rowOff>
    </xdr:from>
    <xdr:to>
      <xdr:col>2</xdr:col>
      <xdr:colOff>0</xdr:colOff>
      <xdr:row>1</xdr:row>
      <xdr:rowOff>2745183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3137</xdr:colOff>
      <xdr:row>29</xdr:row>
      <xdr:rowOff>185963</xdr:rowOff>
    </xdr:from>
    <xdr:to>
      <xdr:col>12</xdr:col>
      <xdr:colOff>384137</xdr:colOff>
      <xdr:row>40</xdr:row>
      <xdr:rowOff>833663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10582</xdr:colOff>
      <xdr:row>42</xdr:row>
      <xdr:rowOff>0</xdr:rowOff>
    </xdr:from>
    <xdr:to>
      <xdr:col>12</xdr:col>
      <xdr:colOff>391582</xdr:colOff>
      <xdr:row>52</xdr:row>
      <xdr:rowOff>838200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30</xdr:row>
      <xdr:rowOff>0</xdr:rowOff>
    </xdr:from>
    <xdr:to>
      <xdr:col>25</xdr:col>
      <xdr:colOff>83344</xdr:colOff>
      <xdr:row>40</xdr:row>
      <xdr:rowOff>838200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42</xdr:row>
      <xdr:rowOff>0</xdr:rowOff>
    </xdr:from>
    <xdr:to>
      <xdr:col>25</xdr:col>
      <xdr:colOff>83344</xdr:colOff>
      <xdr:row>52</xdr:row>
      <xdr:rowOff>838200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10582</xdr:colOff>
      <xdr:row>54</xdr:row>
      <xdr:rowOff>0</xdr:rowOff>
    </xdr:from>
    <xdr:to>
      <xdr:col>12</xdr:col>
      <xdr:colOff>391582</xdr:colOff>
      <xdr:row>64</xdr:row>
      <xdr:rowOff>838200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10</xdr:col>
      <xdr:colOff>163286</xdr:colOff>
      <xdr:row>28</xdr:row>
      <xdr:rowOff>81643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3"/>
  <sheetViews>
    <sheetView showGridLines="0" tabSelected="1" zoomScale="80" zoomScaleNormal="80" workbookViewId="0">
      <selection activeCell="L6" sqref="L6"/>
    </sheetView>
  </sheetViews>
  <sheetFormatPr defaultRowHeight="14.25" customHeight="1"/>
  <cols>
    <col min="1" max="1" width="4.5703125" bestFit="1" customWidth="1"/>
    <col min="2" max="2" width="18" customWidth="1"/>
    <col min="3" max="3" width="22.140625" bestFit="1" customWidth="1"/>
    <col min="4" max="6" width="8.42578125" customWidth="1"/>
    <col min="7" max="7" width="5.7109375" bestFit="1" customWidth="1"/>
    <col min="8" max="8" width="17" bestFit="1" customWidth="1"/>
    <col min="9" max="9" width="10.28515625" customWidth="1"/>
    <col min="10" max="10" width="11.28515625" style="5" customWidth="1"/>
    <col min="11" max="11" width="17.140625" style="5" customWidth="1"/>
    <col min="12" max="12" width="11.5703125" bestFit="1" customWidth="1"/>
    <col min="13" max="13" width="10.28515625" bestFit="1" customWidth="1"/>
  </cols>
  <sheetData>
    <row r="1" spans="1:14" ht="14.25" customHeight="1">
      <c r="J1" s="73"/>
      <c r="K1" s="73"/>
    </row>
    <row r="2" spans="1:14" ht="14.25" customHeight="1" thickBot="1">
      <c r="J2" s="73"/>
      <c r="K2" s="73"/>
    </row>
    <row r="3" spans="1:14" ht="14.25" customHeight="1">
      <c r="J3" s="54" t="s">
        <v>60</v>
      </c>
      <c r="K3" s="51"/>
      <c r="L3" s="52"/>
    </row>
    <row r="4" spans="1:14" ht="14.25" customHeight="1">
      <c r="A4" s="70" t="str">
        <f>"ALS Comp:"&amp;partNumber&amp;" "&amp;glass</f>
        <v>ALS Comp:125-trimmed NG</v>
      </c>
      <c r="B4" s="16"/>
      <c r="C4" s="16"/>
      <c r="D4" s="16"/>
      <c r="E4" s="16"/>
      <c r="F4" s="21">
        <f>K15</f>
        <v>0</v>
      </c>
      <c r="G4" s="16">
        <f>L11*L17</f>
        <v>151</v>
      </c>
      <c r="H4" s="17" t="s">
        <v>22</v>
      </c>
      <c r="J4" s="78" t="s">
        <v>44</v>
      </c>
      <c r="K4" s="79"/>
      <c r="L4" s="55">
        <v>63</v>
      </c>
    </row>
    <row r="5" spans="1:14" ht="14.25" customHeight="1">
      <c r="A5" s="3" t="s">
        <v>0</v>
      </c>
      <c r="B5" s="2" t="s">
        <v>1</v>
      </c>
      <c r="C5" s="2" t="s">
        <v>5</v>
      </c>
      <c r="D5" s="33" t="s">
        <v>69</v>
      </c>
      <c r="E5" s="8" t="s">
        <v>8</v>
      </c>
      <c r="F5" s="33" t="s">
        <v>70</v>
      </c>
      <c r="G5" s="8" t="s">
        <v>3</v>
      </c>
      <c r="H5" s="8" t="s">
        <v>4</v>
      </c>
      <c r="J5" s="75"/>
      <c r="K5" s="72" t="s">
        <v>74</v>
      </c>
      <c r="L5" s="55">
        <v>0</v>
      </c>
    </row>
    <row r="6" spans="1:14" ht="14.25" customHeight="1">
      <c r="A6" s="4">
        <v>1</v>
      </c>
      <c r="B6" s="92" t="s">
        <v>9</v>
      </c>
      <c r="C6" s="2" t="s">
        <v>10</v>
      </c>
      <c r="D6" s="10">
        <f>Calculations!C2</f>
        <v>66.702693872386916</v>
      </c>
      <c r="E6" s="10">
        <f>Calculations!D2</f>
        <v>76.360738938854581</v>
      </c>
      <c r="F6" s="10">
        <f>Calculations!E2</f>
        <v>86.018784005322246</v>
      </c>
      <c r="G6" s="8" t="s">
        <v>22</v>
      </c>
      <c r="H6" s="92" t="s">
        <v>17</v>
      </c>
      <c r="I6" s="1"/>
      <c r="J6" s="78" t="s">
        <v>61</v>
      </c>
      <c r="K6" s="79"/>
      <c r="L6" s="55">
        <v>1</v>
      </c>
    </row>
    <row r="7" spans="1:14" ht="14.25" customHeight="1" thickBot="1">
      <c r="A7" s="4">
        <f>A6+0.01</f>
        <v>1.01</v>
      </c>
      <c r="B7" s="92"/>
      <c r="C7" s="2" t="s">
        <v>11</v>
      </c>
      <c r="D7" s="10">
        <f>Calculations!C3</f>
        <v>61.351148214317078</v>
      </c>
      <c r="E7" s="10">
        <f>Calculations!D3</f>
        <v>70.272521480437248</v>
      </c>
      <c r="F7" s="10">
        <f>Calculations!E3</f>
        <v>79.193894746557419</v>
      </c>
      <c r="G7" s="8" t="s">
        <v>22</v>
      </c>
      <c r="H7" s="92"/>
      <c r="I7" s="1"/>
      <c r="J7" s="76"/>
      <c r="K7" s="71" t="s">
        <v>75</v>
      </c>
      <c r="L7" s="56">
        <v>31</v>
      </c>
    </row>
    <row r="8" spans="1:14" ht="14.25" customHeight="1">
      <c r="A8" s="4">
        <f t="shared" ref="A8:A17" si="0">A7+0.01</f>
        <v>1.02</v>
      </c>
      <c r="B8" s="92" t="s">
        <v>12</v>
      </c>
      <c r="C8" s="2" t="s">
        <v>10</v>
      </c>
      <c r="D8" s="10">
        <f>Calculations!C4</f>
        <v>94.935774475208746</v>
      </c>
      <c r="E8" s="10">
        <f>Calculations!D4</f>
        <v>106.28414277107485</v>
      </c>
      <c r="F8" s="10">
        <f>Calculations!E4</f>
        <v>117.63251106694096</v>
      </c>
      <c r="G8" s="8" t="s">
        <v>22</v>
      </c>
      <c r="H8" s="92" t="s">
        <v>18</v>
      </c>
      <c r="J8" s="59"/>
      <c r="K8" s="88" t="s">
        <v>62</v>
      </c>
      <c r="L8" s="89"/>
      <c r="M8" s="69"/>
      <c r="N8" s="38"/>
    </row>
    <row r="9" spans="1:14" ht="14.25" customHeight="1">
      <c r="A9" s="4">
        <f t="shared" si="0"/>
        <v>1.03</v>
      </c>
      <c r="B9" s="92"/>
      <c r="C9" s="2" t="s">
        <v>11</v>
      </c>
      <c r="D9" s="10">
        <f>Calculations!C5</f>
        <v>61.837262705948099</v>
      </c>
      <c r="E9" s="10">
        <f>Calculations!D5</f>
        <v>69.48991074100617</v>
      </c>
      <c r="F9" s="10">
        <f>Calculations!E5</f>
        <v>77.142558776064234</v>
      </c>
      <c r="G9" s="8" t="s">
        <v>22</v>
      </c>
      <c r="H9" s="92"/>
      <c r="J9" s="59"/>
      <c r="K9" s="53" t="s">
        <v>63</v>
      </c>
      <c r="L9" s="55">
        <v>15.6</v>
      </c>
      <c r="M9" s="69"/>
      <c r="N9" s="7"/>
    </row>
    <row r="10" spans="1:14" ht="14.25" customHeight="1">
      <c r="A10" s="4">
        <f t="shared" si="0"/>
        <v>1.04</v>
      </c>
      <c r="B10" s="85" t="s">
        <v>13</v>
      </c>
      <c r="C10" s="61" t="s">
        <v>20</v>
      </c>
      <c r="D10" s="10">
        <f>Calculations!C6</f>
        <v>62.111074258379475</v>
      </c>
      <c r="E10" s="10">
        <f>Calculations!D6</f>
        <v>70.954422120125059</v>
      </c>
      <c r="F10" s="10">
        <f>Calculations!E6</f>
        <v>79.797769981870644</v>
      </c>
      <c r="G10" s="8" t="s">
        <v>22</v>
      </c>
      <c r="H10" s="80"/>
      <c r="K10" s="53" t="s">
        <v>64</v>
      </c>
      <c r="L10" s="55">
        <v>6.4</v>
      </c>
    </row>
    <row r="11" spans="1:14" ht="14.25" customHeight="1">
      <c r="A11" s="4">
        <f t="shared" si="0"/>
        <v>1.05</v>
      </c>
      <c r="B11" s="86"/>
      <c r="C11" s="60" t="s">
        <v>19</v>
      </c>
      <c r="D11" s="10">
        <f>Calculations!C7</f>
        <v>57.655059215078644</v>
      </c>
      <c r="E11" s="10">
        <f>Calculations!D7</f>
        <v>68.914078620172319</v>
      </c>
      <c r="F11" s="10">
        <f>Calculations!E7</f>
        <v>80.173098025266</v>
      </c>
      <c r="G11" s="8" t="s">
        <v>22</v>
      </c>
      <c r="H11" s="81"/>
      <c r="K11" s="53" t="s">
        <v>65</v>
      </c>
      <c r="L11" s="55">
        <v>151</v>
      </c>
    </row>
    <row r="12" spans="1:14" ht="14.25" customHeight="1">
      <c r="A12" s="4">
        <f t="shared" si="0"/>
        <v>1.06</v>
      </c>
      <c r="B12" s="86"/>
      <c r="C12" s="62" t="s">
        <v>21</v>
      </c>
      <c r="D12" s="11">
        <f>Calculations!C8</f>
        <v>55.13934610364484</v>
      </c>
      <c r="E12" s="11">
        <f>Calculations!D8</f>
        <v>61.548387096774192</v>
      </c>
      <c r="F12" s="11">
        <f>Calculations!E8</f>
        <v>67.957428089903544</v>
      </c>
      <c r="G12" s="32" t="s">
        <v>28</v>
      </c>
      <c r="H12" s="81"/>
      <c r="K12" s="53" t="s">
        <v>66</v>
      </c>
      <c r="L12" s="74">
        <v>1.9896</v>
      </c>
    </row>
    <row r="13" spans="1:14" ht="14.25" customHeight="1" thickBot="1">
      <c r="A13" s="4">
        <f t="shared" si="0"/>
        <v>1.07</v>
      </c>
      <c r="B13" s="86"/>
      <c r="C13" s="60" t="s">
        <v>14</v>
      </c>
      <c r="D13" s="9">
        <f>Calculations!C9</f>
        <v>5.6837341089193721E-2</v>
      </c>
      <c r="E13" s="9">
        <f>Calculations!D9</f>
        <v>6.2864516129032252E-2</v>
      </c>
      <c r="F13" s="9">
        <f>Calculations!E9</f>
        <v>6.8891691168870783E-2</v>
      </c>
      <c r="G13" s="8" t="s">
        <v>23</v>
      </c>
      <c r="H13" s="81"/>
      <c r="K13" s="53" t="s">
        <v>67</v>
      </c>
      <c r="L13" s="55">
        <v>137</v>
      </c>
    </row>
    <row r="14" spans="1:14" ht="14.25" customHeight="1">
      <c r="A14" s="4">
        <f t="shared" si="0"/>
        <v>1.08</v>
      </c>
      <c r="B14" s="86"/>
      <c r="C14" s="60" t="s">
        <v>15</v>
      </c>
      <c r="D14" s="9">
        <f>Calculations!C10</f>
        <v>0.29769651747116149</v>
      </c>
      <c r="E14" s="9">
        <f>Calculations!D10</f>
        <v>0.33053808806892676</v>
      </c>
      <c r="F14" s="9">
        <f>Calculations!E10</f>
        <v>0.36337965866669203</v>
      </c>
      <c r="G14" s="8" t="s">
        <v>2</v>
      </c>
      <c r="H14" s="81"/>
      <c r="K14" s="90" t="s">
        <v>68</v>
      </c>
      <c r="L14" s="91"/>
    </row>
    <row r="15" spans="1:14" ht="14.25" customHeight="1">
      <c r="A15" s="4">
        <f t="shared" si="0"/>
        <v>1.0900000000000001</v>
      </c>
      <c r="B15" s="86"/>
      <c r="C15" s="60" t="s">
        <v>16</v>
      </c>
      <c r="D15" s="9">
        <f>Calculations!C11</f>
        <v>-5.1456371431471769E-2</v>
      </c>
      <c r="E15" s="9">
        <f>Calculations!D11</f>
        <v>3.1640415732543857E-2</v>
      </c>
      <c r="F15" s="9">
        <f>Calculations!E11</f>
        <v>0.11473720289655948</v>
      </c>
      <c r="G15" s="8" t="s">
        <v>2</v>
      </c>
      <c r="H15" s="81"/>
      <c r="K15" s="57">
        <v>0</v>
      </c>
      <c r="L15" s="66">
        <f>63*0.05%</f>
        <v>3.15E-2</v>
      </c>
    </row>
    <row r="16" spans="1:14" ht="14.25" customHeight="1">
      <c r="A16" s="4">
        <f t="shared" si="0"/>
        <v>1.1000000000000001</v>
      </c>
      <c r="B16" s="87"/>
      <c r="C16" s="60" t="str">
        <f>"Lot Compensation ("&amp;INT(E12)&amp;")"</f>
        <v>Lot Compensation (61)</v>
      </c>
      <c r="D16" s="9">
        <f>E16-1.5*Calculations!G28</f>
        <v>-4.7274026068159336E-2</v>
      </c>
      <c r="E16" s="9">
        <f>Calculations!F28</f>
        <v>-3.3882967606229382E-3</v>
      </c>
      <c r="F16" s="9">
        <f>E16+1.5*Calculations!G28</f>
        <v>4.0497432546913459E-2</v>
      </c>
      <c r="G16" s="8"/>
      <c r="H16" s="81"/>
      <c r="J16" s="44"/>
      <c r="K16" s="64" t="s">
        <v>73</v>
      </c>
      <c r="L16" s="65" t="s">
        <v>72</v>
      </c>
    </row>
    <row r="17" spans="1:16" ht="14.25" customHeight="1" thickBot="1">
      <c r="A17" s="4">
        <f t="shared" si="0"/>
        <v>1.1100000000000001</v>
      </c>
      <c r="B17" s="83" t="str">
        <f>Calculations!A12</f>
        <v>Compensated Gain Error</v>
      </c>
      <c r="C17" s="84"/>
      <c r="D17" s="9">
        <f>Calculations!C12</f>
        <v>0.4709570907048789</v>
      </c>
      <c r="E17" s="9">
        <f>Calculations!D12</f>
        <v>0.53667773989915324</v>
      </c>
      <c r="F17" s="9">
        <f>Calculations!E12</f>
        <v>0.60239838909342758</v>
      </c>
      <c r="G17" s="8" t="s">
        <v>2</v>
      </c>
      <c r="H17" s="82"/>
      <c r="K17" s="58" t="s">
        <v>71</v>
      </c>
      <c r="L17" s="67">
        <v>1</v>
      </c>
      <c r="P17" s="5"/>
    </row>
    <row r="18" spans="1:16" ht="14.25" customHeight="1">
      <c r="P18" s="5"/>
    </row>
    <row r="19" spans="1:16" ht="14.25" customHeight="1">
      <c r="P19" s="5"/>
    </row>
    <row r="20" spans="1:16" ht="14.25" customHeight="1">
      <c r="P20" s="5"/>
    </row>
    <row r="21" spans="1:16" ht="14.25" customHeight="1">
      <c r="P21" s="5"/>
    </row>
    <row r="22" spans="1:16" ht="14.25" customHeight="1">
      <c r="P22" s="5"/>
    </row>
    <row r="23" spans="1:16" ht="14.25" customHeight="1">
      <c r="P23" s="5"/>
    </row>
    <row r="24" spans="1:16" ht="14.25" customHeight="1">
      <c r="P24" s="5"/>
    </row>
    <row r="25" spans="1:16" ht="14.25" customHeight="1">
      <c r="P25" s="5"/>
    </row>
    <row r="26" spans="1:16" ht="14.25" customHeight="1">
      <c r="P26" s="5"/>
    </row>
    <row r="27" spans="1:16" ht="14.25" customHeight="1">
      <c r="P27" s="5"/>
    </row>
    <row r="28" spans="1:16" ht="14.25" customHeight="1">
      <c r="P28" s="5"/>
    </row>
    <row r="29" spans="1:16" ht="14.25" customHeight="1">
      <c r="P29" s="5"/>
    </row>
    <row r="30" spans="1:16" ht="14.25" customHeight="1">
      <c r="P30" s="5"/>
    </row>
    <row r="31" spans="1:16" ht="14.25" customHeight="1">
      <c r="P31" s="5"/>
    </row>
    <row r="32" spans="1:16" ht="14.25" customHeight="1">
      <c r="P32" s="5"/>
    </row>
    <row r="33" spans="16:16" ht="14.25" customHeight="1">
      <c r="P33" s="5"/>
    </row>
  </sheetData>
  <mergeCells count="11">
    <mergeCell ref="J4:K4"/>
    <mergeCell ref="H10:H17"/>
    <mergeCell ref="B17:C17"/>
    <mergeCell ref="B10:B16"/>
    <mergeCell ref="K8:L8"/>
    <mergeCell ref="K14:L14"/>
    <mergeCell ref="J6:K6"/>
    <mergeCell ref="H8:H9"/>
    <mergeCell ref="B6:B7"/>
    <mergeCell ref="H6:H7"/>
    <mergeCell ref="B8:B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J2:P18"/>
  <sheetViews>
    <sheetView zoomScale="70" zoomScaleNormal="70" zoomScalePageLayoutView="50" workbookViewId="0">
      <selection activeCell="F3" sqref="F3"/>
    </sheetView>
  </sheetViews>
  <sheetFormatPr defaultColWidth="7.5703125" defaultRowHeight="36" customHeight="1"/>
  <cols>
    <col min="1" max="1" width="7.5703125" style="110"/>
    <col min="2" max="3" width="68.5703125" style="110" customWidth="1"/>
    <col min="4" max="9" width="7.5703125" style="110"/>
    <col min="10" max="11" width="7.5703125" style="111"/>
    <col min="12" max="16384" width="7.5703125" style="110"/>
  </cols>
  <sheetData>
    <row r="2" spans="16:16" ht="216" customHeight="1"/>
    <row r="3" spans="16:16" ht="216" customHeight="1">
      <c r="P3" s="111"/>
    </row>
    <row r="4" spans="16:16" ht="216" customHeight="1">
      <c r="P4" s="111"/>
    </row>
    <row r="5" spans="16:16" ht="36" customHeight="1">
      <c r="P5" s="111"/>
    </row>
    <row r="6" spans="16:16" ht="36" customHeight="1">
      <c r="P6" s="111"/>
    </row>
    <row r="7" spans="16:16" ht="36" customHeight="1">
      <c r="P7" s="111"/>
    </row>
    <row r="8" spans="16:16" ht="36" customHeight="1">
      <c r="P8" s="111"/>
    </row>
    <row r="9" spans="16:16" ht="36" customHeight="1">
      <c r="P9" s="111"/>
    </row>
    <row r="10" spans="16:16" ht="36" customHeight="1">
      <c r="P10" s="111"/>
    </row>
    <row r="11" spans="16:16" ht="36" customHeight="1">
      <c r="P11" s="111"/>
    </row>
    <row r="12" spans="16:16" ht="36" customHeight="1">
      <c r="P12" s="111"/>
    </row>
    <row r="13" spans="16:16" ht="36" customHeight="1">
      <c r="P13" s="111"/>
    </row>
    <row r="14" spans="16:16" ht="36" customHeight="1">
      <c r="P14" s="111"/>
    </row>
    <row r="15" spans="16:16" ht="36" customHeight="1">
      <c r="P15" s="111"/>
    </row>
    <row r="16" spans="16:16" ht="36" customHeight="1">
      <c r="P16" s="111"/>
    </row>
    <row r="17" spans="16:16" ht="36" customHeight="1">
      <c r="P17" s="111"/>
    </row>
    <row r="18" spans="16:16" ht="36" customHeight="1">
      <c r="P18" s="1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M65"/>
  <sheetViews>
    <sheetView topLeftCell="A22" zoomScale="80" zoomScaleNormal="80" workbookViewId="0">
      <pane xSplit="18525" topLeftCell="AH1"/>
      <selection activeCell="B43" sqref="B43:D43"/>
      <selection pane="topRight" activeCell="AK47" sqref="AK47"/>
    </sheetView>
  </sheetViews>
  <sheetFormatPr defaultRowHeight="15"/>
  <cols>
    <col min="1" max="1" width="14" bestFit="1" customWidth="1"/>
    <col min="2" max="2" width="20.42578125" bestFit="1" customWidth="1"/>
    <col min="5" max="5" width="9.140625" customWidth="1"/>
    <col min="7" max="7" width="10.7109375" customWidth="1"/>
    <col min="8" max="8" width="7.28515625" bestFit="1" customWidth="1"/>
    <col min="9" max="10" width="6.5703125" customWidth="1"/>
    <col min="11" max="11" width="7.28515625" bestFit="1" customWidth="1"/>
    <col min="12" max="15" width="6.5703125" customWidth="1"/>
    <col min="16" max="16" width="7.28515625" bestFit="1" customWidth="1"/>
    <col min="17" max="23" width="6.5703125" customWidth="1"/>
    <col min="24" max="24" width="7.28515625" bestFit="1" customWidth="1"/>
    <col min="25" max="27" width="6.5703125" bestFit="1" customWidth="1"/>
    <col min="28" max="28" width="7.28515625" bestFit="1" customWidth="1"/>
    <col min="29" max="33" width="6.5703125" bestFit="1" customWidth="1"/>
    <col min="34" max="34" width="7.28515625" bestFit="1" customWidth="1"/>
    <col min="35" max="35" width="6.140625" bestFit="1" customWidth="1"/>
    <col min="36" max="37" width="6.5703125" bestFit="1" customWidth="1"/>
    <col min="38" max="38" width="7.28515625" bestFit="1" customWidth="1"/>
    <col min="39" max="39" width="6.5703125" bestFit="1" customWidth="1"/>
  </cols>
  <sheetData>
    <row r="1" spans="1:39">
      <c r="A1" s="93" t="s">
        <v>27</v>
      </c>
      <c r="B1" s="94"/>
      <c r="C1" s="19" t="s">
        <v>69</v>
      </c>
      <c r="D1" s="19" t="s">
        <v>6</v>
      </c>
      <c r="E1" s="19" t="s">
        <v>70</v>
      </c>
      <c r="F1" s="20" t="s">
        <v>7</v>
      </c>
      <c r="H1">
        <f>data0!B1</f>
        <v>0</v>
      </c>
      <c r="I1">
        <f>data0!C1</f>
        <v>1</v>
      </c>
      <c r="J1">
        <f>data0!D1</f>
        <v>2</v>
      </c>
      <c r="K1">
        <f>data0!E1</f>
        <v>3</v>
      </c>
      <c r="L1">
        <f>data0!F1</f>
        <v>4</v>
      </c>
      <c r="M1">
        <f>data0!G1</f>
        <v>5</v>
      </c>
      <c r="N1">
        <f>data0!H1</f>
        <v>6</v>
      </c>
      <c r="O1">
        <f>data0!I1</f>
        <v>7</v>
      </c>
      <c r="P1">
        <f>data0!J1</f>
        <v>8</v>
      </c>
      <c r="Q1">
        <f>data0!K1</f>
        <v>9</v>
      </c>
      <c r="R1">
        <f>data0!L1</f>
        <v>10</v>
      </c>
      <c r="S1">
        <f>data0!M1</f>
        <v>11</v>
      </c>
      <c r="T1">
        <f>data0!N1</f>
        <v>12</v>
      </c>
      <c r="U1">
        <f>data0!O1</f>
        <v>13</v>
      </c>
      <c r="V1">
        <f>data0!P1</f>
        <v>14</v>
      </c>
      <c r="W1">
        <f>data0!Q1</f>
        <v>15</v>
      </c>
      <c r="X1">
        <f>data0!R1</f>
        <v>16</v>
      </c>
      <c r="Y1">
        <f>data0!S1</f>
        <v>17</v>
      </c>
      <c r="Z1">
        <f>data0!T1</f>
        <v>18</v>
      </c>
      <c r="AA1">
        <f>data0!U1</f>
        <v>19</v>
      </c>
      <c r="AB1">
        <f>data0!V1</f>
        <v>20</v>
      </c>
      <c r="AC1">
        <f>data0!W1</f>
        <v>21</v>
      </c>
      <c r="AD1">
        <f>data0!X1</f>
        <v>22</v>
      </c>
      <c r="AE1">
        <f>data0!Y1</f>
        <v>23</v>
      </c>
      <c r="AF1">
        <f>data0!Z1</f>
        <v>24</v>
      </c>
      <c r="AG1">
        <f>data0!AA1</f>
        <v>25</v>
      </c>
      <c r="AH1">
        <f>data0!AB1</f>
        <v>26</v>
      </c>
      <c r="AI1">
        <f>data0!AC1</f>
        <v>27</v>
      </c>
      <c r="AJ1">
        <f>data0!AD1</f>
        <v>28</v>
      </c>
      <c r="AK1">
        <f>data0!AE1</f>
        <v>29</v>
      </c>
      <c r="AL1">
        <f>data0!AF1</f>
        <v>30</v>
      </c>
      <c r="AM1">
        <f>data0!AG1</f>
        <v>31</v>
      </c>
    </row>
    <row r="2" spans="1:39">
      <c r="A2" s="105" t="str">
        <f>data0!A2</f>
        <v>LED min</v>
      </c>
      <c r="B2" s="2" t="str">
        <f>data0!A2</f>
        <v>LED min</v>
      </c>
      <c r="C2" s="26">
        <f>D2-1.5*F2</f>
        <v>66.702693872386916</v>
      </c>
      <c r="D2" s="26">
        <f>AVERAGE(data0!B2:AG2)</f>
        <v>76.360738938854581</v>
      </c>
      <c r="E2" s="26">
        <f>D2+1.5*F2</f>
        <v>86.018784005322246</v>
      </c>
      <c r="F2" s="27">
        <f>STDEV(data0!B2:AG2)</f>
        <v>6.4386967109784408</v>
      </c>
    </row>
    <row r="3" spans="1:39">
      <c r="A3" s="105"/>
      <c r="B3" s="2" t="str">
        <f>data0!A3</f>
        <v>LED max</v>
      </c>
      <c r="C3" s="26">
        <f t="shared" ref="C3:C8" si="0">D3-1.5*F3</f>
        <v>61.351148214317078</v>
      </c>
      <c r="D3" s="26">
        <f>AVERAGE(data0!B3:AG3)</f>
        <v>70.272521480437248</v>
      </c>
      <c r="E3" s="26">
        <f t="shared" ref="E3:E8" si="1">D3+1.5*F3</f>
        <v>79.193894746557419</v>
      </c>
      <c r="F3" s="27">
        <f>STDEV(data0!B3:AG3)</f>
        <v>5.9475821774134454</v>
      </c>
      <c r="H3" s="96" t="s">
        <v>26</v>
      </c>
      <c r="I3" s="97"/>
      <c r="J3" s="34">
        <f>data0!A1</f>
        <v>31</v>
      </c>
    </row>
    <row r="4" spans="1:39">
      <c r="A4" s="105" t="str">
        <f>data0!A4</f>
        <v>QTH min</v>
      </c>
      <c r="B4" s="2" t="str">
        <f>data0!A4</f>
        <v>QTH min</v>
      </c>
      <c r="C4" s="26">
        <f t="shared" si="0"/>
        <v>94.935774475208746</v>
      </c>
      <c r="D4" s="26">
        <f>AVERAGE(data0!B4:AG4)</f>
        <v>106.28414277107485</v>
      </c>
      <c r="E4" s="26">
        <f t="shared" si="1"/>
        <v>117.63251106694096</v>
      </c>
      <c r="F4" s="27">
        <f>STDEV(data0!B4:AG4)</f>
        <v>7.5655788639107389</v>
      </c>
      <c r="H4" s="98" t="s">
        <v>22</v>
      </c>
      <c r="I4" s="99"/>
      <c r="J4" s="35">
        <f>Summary!L11</f>
        <v>151</v>
      </c>
    </row>
    <row r="5" spans="1:39">
      <c r="A5" s="105"/>
      <c r="B5" s="2" t="str">
        <f>data0!A5</f>
        <v>QTH max</v>
      </c>
      <c r="C5" s="26">
        <f t="shared" si="0"/>
        <v>61.837262705948099</v>
      </c>
      <c r="D5" s="26">
        <f>AVERAGE(data0!B5:AG5)</f>
        <v>69.48991074100617</v>
      </c>
      <c r="E5" s="26">
        <f t="shared" si="1"/>
        <v>77.142558776064234</v>
      </c>
      <c r="F5" s="27">
        <f>STDEV(data0!B5:AG5)</f>
        <v>5.1017653567053793</v>
      </c>
      <c r="H5" s="98" t="s">
        <v>24</v>
      </c>
      <c r="I5" s="99"/>
      <c r="J5" s="36">
        <f>Summary!K15</f>
        <v>0</v>
      </c>
    </row>
    <row r="6" spans="1:39">
      <c r="A6" s="105" t="str">
        <f>data0!A6</f>
        <v>QTH @ Comp</v>
      </c>
      <c r="B6" s="2" t="str">
        <f>data0!A6</f>
        <v>QTH @ Comp</v>
      </c>
      <c r="C6" s="26">
        <f t="shared" si="0"/>
        <v>62.111074258379475</v>
      </c>
      <c r="D6" s="26">
        <f>AVERAGE(data0!B6:AG6)</f>
        <v>70.954422120125059</v>
      </c>
      <c r="E6" s="26">
        <f t="shared" si="1"/>
        <v>79.797769981870644</v>
      </c>
      <c r="F6" s="27">
        <f>STDEV(data0!B6:AG6)</f>
        <v>5.8955652411637249</v>
      </c>
      <c r="H6" s="100" t="s">
        <v>25</v>
      </c>
      <c r="I6" s="101"/>
      <c r="J6" s="37">
        <f>Summary!L15</f>
        <v>3.15E-2</v>
      </c>
    </row>
    <row r="7" spans="1:39">
      <c r="A7" s="105"/>
      <c r="B7" s="2" t="str">
        <f>data0!A7</f>
        <v>LED @ Comp</v>
      </c>
      <c r="C7" s="26">
        <f t="shared" si="0"/>
        <v>57.655059215078644</v>
      </c>
      <c r="D7" s="26">
        <f>AVERAGE(data0!B7:AG7)</f>
        <v>68.914078620172319</v>
      </c>
      <c r="E7" s="26">
        <f t="shared" si="1"/>
        <v>80.173098025266</v>
      </c>
      <c r="F7" s="27">
        <f>STDEV(data0!B7:AG7)</f>
        <v>7.5060129367291166</v>
      </c>
      <c r="H7" s="102" t="str">
        <f>setCalcEnable(J7)</f>
        <v>Calc Enable=</v>
      </c>
      <c r="I7" s="102"/>
      <c r="J7">
        <v>1</v>
      </c>
    </row>
    <row r="8" spans="1:39">
      <c r="A8" s="105"/>
      <c r="B8" s="2" t="str">
        <f>data0!A8</f>
        <v>Comp Value</v>
      </c>
      <c r="C8" s="26">
        <f t="shared" si="0"/>
        <v>55.13934610364484</v>
      </c>
      <c r="D8" s="26">
        <f>AVERAGE(data0!B8:AG8)</f>
        <v>61.548387096774192</v>
      </c>
      <c r="E8" s="26">
        <f t="shared" si="1"/>
        <v>67.957428089903544</v>
      </c>
      <c r="F8" s="27">
        <f>STDEV(data0!B8:AG8)</f>
        <v>4.2726939954195702</v>
      </c>
    </row>
    <row r="9" spans="1:39">
      <c r="A9" s="105"/>
      <c r="B9" s="2" t="str">
        <f>data0!A9</f>
        <v>Percent</v>
      </c>
      <c r="C9" s="22">
        <f>D9-1.5*F9</f>
        <v>5.6837341089193721E-2</v>
      </c>
      <c r="D9" s="22">
        <f>AVERAGE(I9:AM9)</f>
        <v>6.2864516129032252E-2</v>
      </c>
      <c r="E9" s="22">
        <f>D9+1.5*F9</f>
        <v>6.8891691168870783E-2</v>
      </c>
      <c r="F9" s="24">
        <f>STDEV(I9:AM9)</f>
        <v>4.0181166932256847E-3</v>
      </c>
      <c r="G9" s="43" t="s">
        <v>30</v>
      </c>
      <c r="H9" s="29">
        <f>minComp+data0!B8/maxCompCode*(maxComp-minComp)</f>
        <v>5.2838709677419354E-2</v>
      </c>
      <c r="I9" s="29">
        <f>minComp+data0!C8/maxCompCode*(maxComp-minComp)</f>
        <v>6.4016129032258062E-2</v>
      </c>
      <c r="J9" s="29">
        <f>minComp+data0!D8/maxCompCode*(maxComp-minComp)</f>
        <v>6.3E-2</v>
      </c>
      <c r="K9" s="29">
        <f>minComp+data0!E8/maxCompCode*(maxComp-minComp)</f>
        <v>6.3E-2</v>
      </c>
      <c r="L9" s="29">
        <f>minComp+data0!F8/maxCompCode*(maxComp-minComp)</f>
        <v>6.096774193548387E-2</v>
      </c>
      <c r="M9" s="29">
        <f>minComp+data0!G8/maxCompCode*(maxComp-minComp)</f>
        <v>6.5032258064516124E-2</v>
      </c>
      <c r="N9" s="29">
        <f>minComp+data0!H8/maxCompCode*(maxComp-minComp)</f>
        <v>6.1983870967741939E-2</v>
      </c>
      <c r="O9" s="29">
        <f>minComp+data0!I8/maxCompCode*(maxComp-minComp)</f>
        <v>6.1983870967741939E-2</v>
      </c>
      <c r="P9" s="29">
        <f>minComp+data0!J8/maxCompCode*(maxComp-minComp)</f>
        <v>6.1983870967741939E-2</v>
      </c>
      <c r="Q9" s="29">
        <f>minComp+data0!K8/maxCompCode*(maxComp-minComp)</f>
        <v>6.7064516129032262E-2</v>
      </c>
      <c r="R9" s="29">
        <f>minComp+data0!L8/maxCompCode*(maxComp-minComp)</f>
        <v>7.0112903225806447E-2</v>
      </c>
      <c r="S9" s="29">
        <f>minComp+data0!M8/maxCompCode*(maxComp-minComp)</f>
        <v>7.0112903225806447E-2</v>
      </c>
      <c r="T9" s="29">
        <f>minComp+data0!N8/maxCompCode*(maxComp-minComp)</f>
        <v>6.4016129032258062E-2</v>
      </c>
      <c r="U9" s="29">
        <f>minComp+data0!O8/maxCompCode*(maxComp-minComp)</f>
        <v>5.2838709677419354E-2</v>
      </c>
      <c r="V9" s="29">
        <f>minComp+data0!P8/maxCompCode*(maxComp-minComp)</f>
        <v>6.4016129032258062E-2</v>
      </c>
      <c r="W9" s="29">
        <f>minComp+data0!Q8/maxCompCode*(maxComp-minComp)</f>
        <v>6.096774193548387E-2</v>
      </c>
      <c r="X9" s="29">
        <f>minComp+data0!R8/maxCompCode*(maxComp-minComp)</f>
        <v>5.5887096774193547E-2</v>
      </c>
      <c r="Y9" s="29">
        <f>minComp+data0!S8/maxCompCode*(maxComp-minComp)</f>
        <v>6.3E-2</v>
      </c>
      <c r="Z9" s="29">
        <f>minComp+data0!T8/maxCompCode*(maxComp-minComp)</f>
        <v>6.4016129032258062E-2</v>
      </c>
      <c r="AA9" s="29">
        <f>minComp+data0!U8/maxCompCode*(maxComp-minComp)</f>
        <v>6.7064516129032262E-2</v>
      </c>
      <c r="AB9" s="29">
        <f>minComp+data0!V8/maxCompCode*(maxComp-minComp)</f>
        <v>5.9951612903225808E-2</v>
      </c>
      <c r="AC9" s="29">
        <f>minComp+data0!W8/maxCompCode*(maxComp-minComp)</f>
        <v>7.0112903225806447E-2</v>
      </c>
      <c r="AD9" s="29">
        <f>minComp+data0!X8/maxCompCode*(maxComp-minComp)</f>
        <v>6.6048387096774186E-2</v>
      </c>
      <c r="AE9" s="29">
        <f>minComp+data0!Y8/maxCompCode*(maxComp-minComp)</f>
        <v>6.1983870967741939E-2</v>
      </c>
      <c r="AF9" s="29">
        <f>minComp+data0!Z8/maxCompCode*(maxComp-minComp)</f>
        <v>5.9951612903225808E-2</v>
      </c>
      <c r="AG9" s="29">
        <f>minComp+data0!AA8/maxCompCode*(maxComp-minComp)</f>
        <v>6.4016129032258062E-2</v>
      </c>
      <c r="AH9" s="29">
        <f>minComp+data0!AB8/maxCompCode*(maxComp-minComp)</f>
        <v>5.8935483870967739E-2</v>
      </c>
      <c r="AI9" s="29"/>
      <c r="AJ9" s="29">
        <f>minComp+data0!AD8/maxCompCode*(maxComp-minComp)</f>
        <v>6.5032258064516124E-2</v>
      </c>
      <c r="AK9" s="29">
        <f>minComp+data0!AE8/maxCompCode*(maxComp-minComp)</f>
        <v>6.3E-2</v>
      </c>
      <c r="AL9" s="29">
        <f>minComp+data0!AF8/maxCompCode*(maxComp-minComp)</f>
        <v>5.5887096774193547E-2</v>
      </c>
      <c r="AM9" s="29">
        <f>minComp+data0!AG8/maxCompCode*(maxComp-minComp)</f>
        <v>5.9951612903225808E-2</v>
      </c>
    </row>
    <row r="10" spans="1:39">
      <c r="A10" s="105"/>
      <c r="B10" s="2" t="str">
        <f>data0!A10</f>
        <v>Error @0</v>
      </c>
      <c r="C10" s="22">
        <f t="shared" ref="C10:C12" si="2">D10-1.5*F10</f>
        <v>0.29769651747116149</v>
      </c>
      <c r="D10" s="23">
        <f>AVERAGE(I10:AM10)</f>
        <v>0.33053808806892676</v>
      </c>
      <c r="E10" s="22">
        <f t="shared" ref="E10:E12" si="3">D10+1.5*F10</f>
        <v>0.36337965866669203</v>
      </c>
      <c r="F10" s="25">
        <f>STDEV(I10:AM10)</f>
        <v>2.1894380398510167E-2</v>
      </c>
      <c r="G10" s="43" t="s">
        <v>42</v>
      </c>
      <c r="H10" s="30">
        <f>2*(data0!B4-data0!B2)/(data0!B4+data0!B2)</f>
        <v>0.26841133433967324</v>
      </c>
      <c r="I10" s="30">
        <f>2*(data0!C4-data0!C2)/(data0!C4+data0!C2)</f>
        <v>0.3347295019828439</v>
      </c>
      <c r="J10" s="30">
        <f>2*(data0!D4-data0!D2)/(data0!D4+data0!D2)</f>
        <v>0.34800793373565814</v>
      </c>
      <c r="K10" s="30">
        <f>2*(data0!E4-data0!E2)/(data0!E4+data0!E2)</f>
        <v>0.32694932251854025</v>
      </c>
      <c r="L10" s="30">
        <f>2*(data0!F4-data0!F2)/(data0!F4+data0!F2)</f>
        <v>0.32905006569610556</v>
      </c>
      <c r="M10" s="30">
        <f>2*(data0!G4-data0!G2)/(data0!G4+data0!G2)</f>
        <v>0.32851203694345332</v>
      </c>
      <c r="N10" s="30">
        <f>2*(data0!H4-data0!H2)/(data0!H4+data0!H2)</f>
        <v>0.34988592891719672</v>
      </c>
      <c r="O10" s="30">
        <f>2*(data0!I4-data0!I2)/(data0!I4+data0!I2)</f>
        <v>0.31368612275254582</v>
      </c>
      <c r="P10" s="30">
        <f>2*(data0!J4-data0!J2)/(data0!J4+data0!J2)</f>
        <v>0.3171832091163469</v>
      </c>
      <c r="Q10" s="30">
        <f>2*(data0!K4-data0!K2)/(data0!K4+data0!K2)</f>
        <v>0.35237127058504936</v>
      </c>
      <c r="R10" s="30">
        <f>2*(data0!L4-data0!L2)/(data0!L4+data0!L2)</f>
        <v>0.34270964077180299</v>
      </c>
      <c r="S10" s="30">
        <f>2*(data0!M4-data0!M2)/(data0!M4+data0!M2)</f>
        <v>0.36119510170294661</v>
      </c>
      <c r="T10" s="30">
        <f>2*(data0!N4-data0!N2)/(data0!N4+data0!N2)</f>
        <v>0.33207708898919958</v>
      </c>
      <c r="U10" s="30">
        <f>2*(data0!O4-data0!O2)/(data0!O4+data0!O2)</f>
        <v>0.27846523343947843</v>
      </c>
      <c r="V10" s="30">
        <f>2*(data0!P4-data0!P2)/(data0!P4+data0!P2)</f>
        <v>0.34434880942642659</v>
      </c>
      <c r="W10" s="30">
        <f>2*(data0!Q4-data0!Q2)/(data0!Q4+data0!Q2)</f>
        <v>0.31792881383083532</v>
      </c>
      <c r="X10" s="30">
        <f>2*(data0!R4-data0!R2)/(data0!R4+data0!R2)</f>
        <v>0.28590863603759559</v>
      </c>
      <c r="Y10" s="30">
        <f>2*(data0!S4-data0!S2)/(data0!S4+data0!S2)</f>
        <v>0.33444446955629425</v>
      </c>
      <c r="Z10" s="30">
        <f>2*(data0!T4-data0!T2)/(data0!T4+data0!T2)</f>
        <v>0.33988506366039478</v>
      </c>
      <c r="AA10" s="30">
        <f>2*(data0!U4-data0!U2)/(data0!U4+data0!U2)</f>
        <v>0.37294147695216601</v>
      </c>
      <c r="AB10" s="30">
        <f>2*(data0!V4-data0!V2)/(data0!V4+data0!V2)</f>
        <v>0.32211641715246492</v>
      </c>
      <c r="AC10" s="30">
        <f>2*(data0!W4-data0!W2)/(data0!W4+data0!W2)</f>
        <v>0.360192782947104</v>
      </c>
      <c r="AD10" s="30">
        <f>2*(data0!X4-data0!X2)/(data0!X4+data0!X2)</f>
        <v>0.36188654632736689</v>
      </c>
      <c r="AE10" s="30">
        <f>2*(data0!Y4-data0!Y2)/(data0!Y4+data0!Y2)</f>
        <v>0.32911530106980025</v>
      </c>
      <c r="AF10" s="30">
        <f>2*(data0!Z4-data0!Z2)/(data0!Z4+data0!Z2)</f>
        <v>0.31573361719712911</v>
      </c>
      <c r="AG10" s="30">
        <f>2*(data0!AA4-data0!AA2)/(data0!AA4+data0!AA2)</f>
        <v>0.3285256565903229</v>
      </c>
      <c r="AH10" s="30">
        <f>2*(data0!AB4-data0!AB2)/(data0!AB4+data0!AB2)</f>
        <v>0.31875090600097256</v>
      </c>
      <c r="AI10" s="30"/>
      <c r="AJ10" s="30">
        <f>2*(data0!AD4-data0!AD2)/(data0!AD4+data0!AD2)</f>
        <v>0.32459893192538836</v>
      </c>
      <c r="AK10" s="30">
        <f>2*(data0!AE4-data0!AE2)/(data0!AE4+data0!AE2)</f>
        <v>0.3419523709076413</v>
      </c>
      <c r="AL10" s="30">
        <f>2*(data0!AF4-data0!AF2)/(data0!AF4+data0!AF2)</f>
        <v>0.2963811231491697</v>
      </c>
      <c r="AM10" s="30">
        <f>2*(data0!AG4-data0!AG2)/(data0!AG4+data0!AG2)</f>
        <v>0.30660926218556239</v>
      </c>
    </row>
    <row r="11" spans="1:39">
      <c r="A11" s="105"/>
      <c r="B11" s="2" t="str">
        <f>data0!A11</f>
        <v>Error @Comp</v>
      </c>
      <c r="C11" s="22">
        <f t="shared" si="2"/>
        <v>-5.1456371431471769E-2</v>
      </c>
      <c r="D11" s="23">
        <f>AVERAGE(H11:AM11)</f>
        <v>3.1640415732543857E-2</v>
      </c>
      <c r="E11" s="22">
        <f t="shared" si="3"/>
        <v>0.11473720289655948</v>
      </c>
      <c r="F11" s="25">
        <f>STDEV(H11:AM11)</f>
        <v>5.5397858109343751E-2</v>
      </c>
      <c r="G11" s="43" t="s">
        <v>41</v>
      </c>
      <c r="H11" s="18">
        <f>2*(data0!B6-data0!B7)/(data0!B6+data0!B7)</f>
        <v>-1.087948552014093E-2</v>
      </c>
      <c r="I11" s="18">
        <f>2*(data0!C6-data0!C7)/(data0!C6+data0!C7)</f>
        <v>2.7379242141978327E-3</v>
      </c>
      <c r="J11" s="18">
        <f>2*(data0!D6-data0!D7)/(data0!D6+data0!D7)</f>
        <v>-4.4224280984106397E-4</v>
      </c>
      <c r="K11" s="18">
        <f>2*(data0!E6-data0!E7)/(data0!E6+data0!E7)</f>
        <v>5.6409545534927734E-3</v>
      </c>
      <c r="L11" s="18">
        <f>2*(data0!F6-data0!F7)/(data0!F6+data0!F7)</f>
        <v>-3.2102239471681446E-3</v>
      </c>
      <c r="M11" s="18">
        <f>2*(data0!G6-data0!G7)/(data0!G6+data0!G7)</f>
        <v>0.10610254189744624</v>
      </c>
      <c r="N11" s="18">
        <f>2*(data0!H6-data0!H7)/(data0!H6+data0!H7)</f>
        <v>1.0250139125958244E-2</v>
      </c>
      <c r="O11" s="18">
        <f>2*(data0!I6-data0!I7)/(data0!I6+data0!I7)</f>
        <v>-9.3493485421881179E-4</v>
      </c>
      <c r="P11" s="18">
        <f>2*(data0!J6-data0!J7)/(data0!J6+data0!J7)</f>
        <v>2.9643214514730562E-3</v>
      </c>
      <c r="Q11" s="18">
        <f>2*(data0!K6-data0!K7)/(data0!K6+data0!K7)</f>
        <v>0.11546901629221679</v>
      </c>
      <c r="R11" s="18">
        <f>2*(data0!L6-data0!L7)/(data0!L6+data0!L7)</f>
        <v>0.13688003363563286</v>
      </c>
      <c r="S11" s="18">
        <f>2*(data0!M6-data0!M7)/(data0!M6+data0!M7)</f>
        <v>0.13634948798016058</v>
      </c>
      <c r="T11" s="18">
        <f>2*(data0!N6-data0!N7)/(data0!N6+data0!N7)</f>
        <v>-2.0415753922112725E-3</v>
      </c>
      <c r="U11" s="18">
        <f>2*(data0!O6-data0!O7)/(data0!O6+data0!O7)</f>
        <v>2.0777704101008093E-3</v>
      </c>
      <c r="V11" s="18">
        <f>2*(data0!P6-data0!P7)/(data0!P6+data0!P7)</f>
        <v>-2.8676175288699333E-3</v>
      </c>
      <c r="W11" s="18">
        <f>2*(data0!Q6-data0!Q7)/(data0!Q6+data0!Q7)</f>
        <v>-3.6795257916360364E-4</v>
      </c>
      <c r="X11" s="18">
        <f>2*(data0!R6-data0!R7)/(data0!R6+data0!R7)</f>
        <v>1.5810035240209231E-3</v>
      </c>
      <c r="Y11" s="18">
        <f>2*(data0!S6-data0!S7)/(data0!S6+data0!S7)</f>
        <v>-5.8054265124812821E-4</v>
      </c>
      <c r="Z11" s="18">
        <f>2*(data0!T6-data0!T7)/(data0!T6+data0!T7)</f>
        <v>-4.2866397023139172E-3</v>
      </c>
      <c r="AA11" s="18">
        <f>2*(data0!U6-data0!U7)/(data0!U6+data0!U7)</f>
        <v>0.12051822420424321</v>
      </c>
      <c r="AB11" s="18">
        <f>2*(data0!V6-data0!V7)/(data0!V6+data0!V7)</f>
        <v>-1.2502153543304476E-3</v>
      </c>
      <c r="AC11" s="18">
        <f>2*(data0!W6-data0!W7)/(data0!W6+data0!W7)</f>
        <v>0.14640324744567537</v>
      </c>
      <c r="AD11" s="18">
        <f>2*(data0!X6-data0!X7)/(data0!X6+data0!X7)</f>
        <v>0.11625224131982084</v>
      </c>
      <c r="AE11" s="18">
        <f>2*(data0!Y6-data0!Y7)/(data0!Y6+data0!Y7)</f>
        <v>-9.8429493807587146E-3</v>
      </c>
      <c r="AF11" s="18">
        <f>2*(data0!Z6-data0!Z7)/(data0!Z6+data0!Z7)</f>
        <v>-1.0250997220115935E-3</v>
      </c>
      <c r="AG11" s="18">
        <f>2*(data0!AA6-data0!AA7)/(data0!AA6+data0!AA7)</f>
        <v>5.9946633871619289E-4</v>
      </c>
      <c r="AH11" s="18">
        <f>2*(data0!AB6-data0!AB7)/(data0!AB6+data0!AB7)</f>
        <v>-2.4172084889786962E-3</v>
      </c>
      <c r="AI11" s="18"/>
      <c r="AJ11" s="18">
        <f>2*(data0!AD6-data0!AD7)/(data0!AD6+data0!AD7)</f>
        <v>0.10560558069270098</v>
      </c>
      <c r="AK11" s="18">
        <f>2*(data0!AE6-data0!AE7)/(data0!AE6+data0!AE7)</f>
        <v>6.419091868874351E-3</v>
      </c>
      <c r="AL11" s="18">
        <f>2*(data0!AF6-data0!AF7)/(data0!AF6+data0!AF7)</f>
        <v>8.7914624373755801E-3</v>
      </c>
      <c r="AM11" s="18">
        <f>2*(data0!AG6-data0!AG7)/(data0!AG6+data0!AG7)</f>
        <v>-3.6429317519918558E-3</v>
      </c>
    </row>
    <row r="12" spans="1:39" ht="15.75" thickBot="1">
      <c r="A12" s="106" t="s">
        <v>29</v>
      </c>
      <c r="B12" s="107"/>
      <c r="C12" s="63">
        <f t="shared" si="2"/>
        <v>0.4709570907048789</v>
      </c>
      <c r="D12" s="28">
        <f>AVERAGE(H12:AL12)</f>
        <v>0.53667773989915324</v>
      </c>
      <c r="E12" s="63">
        <f t="shared" si="3"/>
        <v>0.60239838909342758</v>
      </c>
      <c r="F12" s="31">
        <f>STDEV(H12:AL12)</f>
        <v>4.3813766129516214E-2</v>
      </c>
      <c r="G12" s="43" t="s">
        <v>43</v>
      </c>
      <c r="H12" s="30">
        <f>1-(data0!B6+data0!B7)/2/Lux</f>
        <v>0.4329419167625983</v>
      </c>
      <c r="I12" s="30">
        <f>1-(data0!C6+data0!C7)/2/Lux</f>
        <v>0.56151330707878466</v>
      </c>
      <c r="J12" s="30">
        <f>1-(data0!D6+data0!D7)/2/Lux</f>
        <v>0.54757402432675395</v>
      </c>
      <c r="K12" s="30">
        <f>1-(data0!E6+data0!E7)/2/Lux</f>
        <v>0.47385934488662818</v>
      </c>
      <c r="L12" s="30">
        <f>1-(data0!F6+data0!F7)/2/Lux</f>
        <v>0.53255098860784877</v>
      </c>
      <c r="M12" s="30">
        <f>1-(data0!G6+data0!G7)/2/Lux</f>
        <v>0.52321367074322223</v>
      </c>
      <c r="N12" s="30">
        <f>1-(data0!H6+data0!H7)/2/Lux</f>
        <v>0.56079634609601348</v>
      </c>
      <c r="O12" s="30">
        <f>1-(data0!I6+data0!I7)/2/Lux</f>
        <v>0.53631925267099545</v>
      </c>
      <c r="P12" s="30">
        <f>1-(data0!J6+data0!J7)/2/Lux</f>
        <v>0.47125822660938799</v>
      </c>
      <c r="Q12" s="30">
        <f>1-(data0!K6+data0!K7)/2/Lux</f>
        <v>0.61993818725181726</v>
      </c>
      <c r="R12" s="30">
        <f>1-(data0!L6+data0!L7)/2/Lux</f>
        <v>0.53613584404749592</v>
      </c>
      <c r="S12" s="30">
        <f>1-(data0!M6+data0!M7)/2/Lux</f>
        <v>0.57101737268713137</v>
      </c>
      <c r="T12" s="30">
        <f>1-(data0!N6+data0!N7)/2/Lux</f>
        <v>0.52631499435727958</v>
      </c>
      <c r="U12" s="30">
        <f>1-(data0!O6+data0!O7)/2/Lux</f>
        <v>0.56666549783668763</v>
      </c>
      <c r="V12" s="30">
        <f>1-(data0!P6+data0!P7)/2/Lux</f>
        <v>0.56973347442829059</v>
      </c>
      <c r="W12" s="30">
        <f>1-(data0!Q6+data0!Q7)/2/Lux</f>
        <v>0.54685706334398287</v>
      </c>
      <c r="X12" s="30">
        <f>1-(data0!R6+data0!R7)/2/Lux</f>
        <v>0.4937844686950279</v>
      </c>
      <c r="Y12" s="30">
        <f>1-(data0!S6+data0!S7)/2/Lux</f>
        <v>0.54047100749236865</v>
      </c>
      <c r="Z12" s="30">
        <f>1-(data0!T6+data0!T7)/2/Lux</f>
        <v>0.56434785451320624</v>
      </c>
      <c r="AA12" s="30">
        <f>1-(data0!U6+data0!U7)/2/Lux</f>
        <v>0.57913747370637803</v>
      </c>
      <c r="AB12" s="30">
        <f>1-(data0!V6+data0!V7)/2/Lux</f>
        <v>0.46653954714339296</v>
      </c>
      <c r="AC12" s="30">
        <f>1-(data0!W6+data0!W7)/2/Lux</f>
        <v>0.60503184084860695</v>
      </c>
      <c r="AD12" s="30">
        <f>1-(data0!X6+data0!X7)/2/Lux</f>
        <v>0.59496090112143007</v>
      </c>
      <c r="AE12" s="30">
        <f>1-(data0!Y6+data0!Y7)/2/Lux</f>
        <v>0.54262194096647354</v>
      </c>
      <c r="AF12" s="30">
        <f>1-(data0!Z6+data0!Z7)/2/Lux</f>
        <v>0.51204226664359997</v>
      </c>
      <c r="AG12" s="30">
        <f>1-(data0!AA6+data0!AA7)/2/Lux</f>
        <v>0.55497721488902108</v>
      </c>
      <c r="AH12" s="30">
        <f>1-(data0!AB6+data0!AB7)/2/Lux</f>
        <v>0.47574345165530574</v>
      </c>
      <c r="AI12" s="30"/>
      <c r="AJ12" s="30">
        <f>1-(data0!AD6+data0!AD7)/2/Lux</f>
        <v>0.5386535695057042</v>
      </c>
      <c r="AK12" s="30">
        <f>1-(data0!AE6+data0!AE7)/2/Lux</f>
        <v>0.56361422001920791</v>
      </c>
      <c r="AL12" s="30">
        <f>1-(data0!AF6+data0!AF7)/2/Lux</f>
        <v>0.49171692803995504</v>
      </c>
      <c r="AM12" s="30">
        <f>1-(data0!AG6+data0!AG7)/2/Lux</f>
        <v>0.54230514425315612</v>
      </c>
    </row>
    <row r="14" spans="1:39" ht="18.75">
      <c r="D14" s="103" t="s">
        <v>44</v>
      </c>
      <c r="E14" s="103"/>
      <c r="F14" s="45">
        <f>DeltaComp</f>
        <v>63</v>
      </c>
      <c r="G14" s="47" t="s">
        <v>52</v>
      </c>
      <c r="H14">
        <f>data0!B8</f>
        <v>52</v>
      </c>
      <c r="I14">
        <f>data0!C8</f>
        <v>63</v>
      </c>
      <c r="J14">
        <f>data0!D8</f>
        <v>62</v>
      </c>
      <c r="K14">
        <f>data0!E8</f>
        <v>62</v>
      </c>
      <c r="L14">
        <f>data0!F8</f>
        <v>60</v>
      </c>
      <c r="M14">
        <f>data0!G8</f>
        <v>64</v>
      </c>
      <c r="N14">
        <f>data0!H8</f>
        <v>61</v>
      </c>
      <c r="O14">
        <f>data0!I8</f>
        <v>61</v>
      </c>
      <c r="P14">
        <f>data0!J8</f>
        <v>61</v>
      </c>
      <c r="Q14">
        <f>data0!K8</f>
        <v>66</v>
      </c>
      <c r="R14">
        <f>data0!L8</f>
        <v>69</v>
      </c>
      <c r="S14">
        <f>data0!M8</f>
        <v>69</v>
      </c>
      <c r="T14">
        <f>data0!N8</f>
        <v>63</v>
      </c>
      <c r="U14">
        <f>data0!O8</f>
        <v>52</v>
      </c>
      <c r="V14">
        <f>data0!P8</f>
        <v>63</v>
      </c>
      <c r="W14">
        <f>data0!Q8</f>
        <v>60</v>
      </c>
      <c r="X14">
        <f>data0!R8</f>
        <v>55</v>
      </c>
      <c r="Y14">
        <f>data0!S8</f>
        <v>62</v>
      </c>
      <c r="Z14">
        <f>data0!T8</f>
        <v>63</v>
      </c>
      <c r="AA14">
        <f>data0!U8</f>
        <v>66</v>
      </c>
      <c r="AB14">
        <f>data0!V8</f>
        <v>59</v>
      </c>
      <c r="AC14">
        <f>data0!W8</f>
        <v>69</v>
      </c>
      <c r="AD14">
        <f>data0!X8</f>
        <v>65</v>
      </c>
      <c r="AE14">
        <f>data0!Y8</f>
        <v>61</v>
      </c>
      <c r="AF14">
        <f>data0!Z8</f>
        <v>59</v>
      </c>
      <c r="AG14">
        <f>data0!AA8</f>
        <v>63</v>
      </c>
      <c r="AH14">
        <f>data0!AB8</f>
        <v>58</v>
      </c>
      <c r="AJ14">
        <f>data0!AD8</f>
        <v>64</v>
      </c>
      <c r="AK14">
        <f>data0!AE8</f>
        <v>62</v>
      </c>
      <c r="AL14">
        <f>data0!AF8</f>
        <v>55</v>
      </c>
      <c r="AM14">
        <f>data0!AG8</f>
        <v>59</v>
      </c>
    </row>
    <row r="15" spans="1:39" ht="18.75">
      <c r="G15" s="47" t="s">
        <v>45</v>
      </c>
      <c r="H15">
        <f>(data0!B3-data0!B2)/DeltaComp</f>
        <v>-0.12221030583457342</v>
      </c>
      <c r="I15">
        <f>(data0!C3-data0!C2)/DeltaComp</f>
        <v>-9.4874790736607137E-2</v>
      </c>
      <c r="J15">
        <f>(data0!D3-data0!D2)/DeltaComp</f>
        <v>-0.10222819494822669</v>
      </c>
      <c r="K15">
        <f>(data0!E3-data0!E2)/DeltaComp</f>
        <v>-9.1597784133184521E-2</v>
      </c>
      <c r="L15">
        <f>(data0!F3-data0!F2)/DeltaComp</f>
        <v>-0.10238804892888145</v>
      </c>
      <c r="M15">
        <f>(data0!G3-data0!G2)/DeltaComp</f>
        <v>-0.10918196420820933</v>
      </c>
      <c r="N15">
        <f>(data0!H3-data0!H2)/DeltaComp</f>
        <v>-8.1366887168278765E-2</v>
      </c>
      <c r="O15">
        <f>(data0!I3-data0!I2)/DeltaComp</f>
        <v>-0.1000700451078869</v>
      </c>
      <c r="P15">
        <f>(data0!J3-data0!J2)/DeltaComp</f>
        <v>-9.63134765625E-2</v>
      </c>
      <c r="Q15">
        <f>(data0!K3-data0!K2)/DeltaComp</f>
        <v>-9.0398758176773314E-2</v>
      </c>
      <c r="R15">
        <f>(data0!L3-data0!L2)/DeltaComp</f>
        <v>-0.10238804892888145</v>
      </c>
      <c r="S15">
        <f>(data0!M3-data0!M2)/DeltaComp</f>
        <v>-0.10390666174510169</v>
      </c>
      <c r="T15">
        <f>(data0!N3-data0!N2)/DeltaComp</f>
        <v>-0.10190848698691717</v>
      </c>
      <c r="U15">
        <f>(data0!O3-data0!O2)/DeltaComp</f>
        <v>-7.9768347361731148E-2</v>
      </c>
      <c r="V15">
        <f>(data0!P3-data0!P2)/DeltaComp</f>
        <v>-8.328525603763641E-2</v>
      </c>
      <c r="W15">
        <f>(data0!Q3-data0!Q2)/DeltaComp</f>
        <v>-9.7352527436755959E-2</v>
      </c>
      <c r="X15">
        <f>(data0!R3-data0!R2)/DeltaComp</f>
        <v>-0.11110021197606647</v>
      </c>
      <c r="Y15">
        <f>(data0!S3-data0!S2)/DeltaComp</f>
        <v>-9.8871140252976192E-2</v>
      </c>
      <c r="Z15">
        <f>(data0!T3-data0!T2)/DeltaComp</f>
        <v>-7.9688420371403765E-2</v>
      </c>
      <c r="AA15">
        <f>(data0!U3-data0!U2)/DeltaComp</f>
        <v>-8.9759342254154259E-2</v>
      </c>
      <c r="AB15">
        <f>(data0!V3-data0!V2)/DeltaComp</f>
        <v>-0.10015009319971478</v>
      </c>
      <c r="AC15">
        <f>(data0!W3-data0!W2)/DeltaComp</f>
        <v>-7.4493105449373764E-2</v>
      </c>
      <c r="AD15">
        <f>(data0!X3-data0!X2)/DeltaComp</f>
        <v>-8.2565852573939738E-2</v>
      </c>
      <c r="AE15">
        <f>(data0!Y3-data0!Y2)/DeltaComp</f>
        <v>-0.10023002019004217</v>
      </c>
      <c r="AF15">
        <f>(data0!Z3-data0!Z2)/DeltaComp</f>
        <v>-0.10470593164837549</v>
      </c>
      <c r="AG15">
        <f>(data0!AA3-data0!AA2)/DeltaComp</f>
        <v>-0.10166870601593501</v>
      </c>
      <c r="AH15">
        <f>(data0!AB3-data0!AB2)/DeltaComp</f>
        <v>-9.9111042325458823E-2</v>
      </c>
      <c r="AJ15">
        <f>(data0!AD3-data0!AD2)/DeltaComp</f>
        <v>-0.10518561469184028</v>
      </c>
      <c r="AK15">
        <f>(data0!AE3-data0!AE2)/DeltaComp</f>
        <v>-8.3764817979600698E-2</v>
      </c>
      <c r="AL15">
        <f>(data0!AF3-data0!AF2)/DeltaComp</f>
        <v>-0.10958159915984624</v>
      </c>
      <c r="AM15">
        <f>(data0!AG3-data0!AG2)/DeltaComp</f>
        <v>-9.5674060639880959E-2</v>
      </c>
    </row>
    <row r="16" spans="1:39" ht="18.75">
      <c r="G16" s="47" t="s">
        <v>46</v>
      </c>
      <c r="H16">
        <f>data0!B2</f>
        <v>92.290229797363281</v>
      </c>
      <c r="I16">
        <f>data0!C2</f>
        <v>72.072784423828125</v>
      </c>
      <c r="J16">
        <f>data0!D2</f>
        <v>74.590522766113281</v>
      </c>
      <c r="K16">
        <f>data0!E2</f>
        <v>84.787368774414063</v>
      </c>
      <c r="L16">
        <f>data0!F2</f>
        <v>76.775924682617188</v>
      </c>
      <c r="M16">
        <f>data0!G2</f>
        <v>82.486152648925781</v>
      </c>
      <c r="N16">
        <f>data0!H2</f>
        <v>71.030441284179687</v>
      </c>
      <c r="O16">
        <f>data0!I2</f>
        <v>76.06591796875</v>
      </c>
      <c r="P16">
        <f>data0!J2</f>
        <v>85.436943054199219</v>
      </c>
      <c r="Q16">
        <f>data0!K2</f>
        <v>65.078506469726563</v>
      </c>
      <c r="R16">
        <f>data0!L2</f>
        <v>78.397346496582031</v>
      </c>
      <c r="S16">
        <f>data0!M2</f>
        <v>72.984207153320313</v>
      </c>
      <c r="T16">
        <f>data0!N2</f>
        <v>77.999542236328125</v>
      </c>
      <c r="U16">
        <f>data0!O2</f>
        <v>69.529869079589844</v>
      </c>
      <c r="V16">
        <f>data0!P2</f>
        <v>70.260017395019531</v>
      </c>
      <c r="W16">
        <f>data0!Q2</f>
        <v>74.182647705078125</v>
      </c>
      <c r="X16">
        <f>data0!R2</f>
        <v>82.476081848144531</v>
      </c>
      <c r="Y16">
        <f>data0!S2</f>
        <v>75.481803894042969</v>
      </c>
      <c r="Z16">
        <f>data0!T2</f>
        <v>70.919662475585938</v>
      </c>
      <c r="AA16">
        <f>data0!U2</f>
        <v>71.639732360839844</v>
      </c>
      <c r="AB16">
        <f>data0!V2</f>
        <v>86.308082580566406</v>
      </c>
      <c r="AC16">
        <f>data0!W2</f>
        <v>66.377662658691406</v>
      </c>
      <c r="AD16">
        <f>data0!X2</f>
        <v>68.996109008789063</v>
      </c>
      <c r="AE16">
        <f>data0!Y2</f>
        <v>75.466697692871094</v>
      </c>
      <c r="AF16">
        <f>data0!Z2</f>
        <v>79.91302490234375</v>
      </c>
      <c r="AG16">
        <f>data0!AA2</f>
        <v>73.528038024902344</v>
      </c>
      <c r="AH16">
        <f>data0!AB2</f>
        <v>84.857864379882813</v>
      </c>
      <c r="AJ16">
        <f>data0!AD2</f>
        <v>79.283592224121094</v>
      </c>
      <c r="AK16">
        <f>data0!AE2</f>
        <v>70.793777465820313</v>
      </c>
      <c r="AL16">
        <f>data0!AF2</f>
        <v>82.375373840332031</v>
      </c>
      <c r="AM16">
        <f>data0!AG2</f>
        <v>74.796981811523438</v>
      </c>
    </row>
    <row r="17" spans="2:39" ht="18.75">
      <c r="G17" s="47" t="s">
        <v>47</v>
      </c>
      <c r="H17">
        <f t="shared" ref="H17" si="4">H15*LotComp+H16</f>
        <v>84.713190835619727</v>
      </c>
      <c r="I17">
        <f t="shared" ref="I17:AL17" si="5">I15*LotComp+I16</f>
        <v>66.190547398158486</v>
      </c>
      <c r="J17">
        <f t="shared" si="5"/>
        <v>68.252374679323225</v>
      </c>
      <c r="K17">
        <f t="shared" si="5"/>
        <v>79.108306158156623</v>
      </c>
      <c r="L17">
        <f t="shared" si="5"/>
        <v>70.427865649026543</v>
      </c>
      <c r="M17">
        <f t="shared" si="5"/>
        <v>75.716870868016798</v>
      </c>
      <c r="N17">
        <f t="shared" si="5"/>
        <v>65.985694279746411</v>
      </c>
      <c r="O17">
        <f t="shared" si="5"/>
        <v>69.861575172061009</v>
      </c>
      <c r="P17">
        <f t="shared" si="5"/>
        <v>79.465507507324219</v>
      </c>
      <c r="Q17">
        <f t="shared" si="5"/>
        <v>59.473783462766619</v>
      </c>
      <c r="R17">
        <f t="shared" si="5"/>
        <v>72.049287462991387</v>
      </c>
      <c r="S17">
        <f t="shared" si="5"/>
        <v>66.541994125124006</v>
      </c>
      <c r="T17">
        <f t="shared" si="5"/>
        <v>71.681216043139258</v>
      </c>
      <c r="U17">
        <f t="shared" si="5"/>
        <v>64.584231543162517</v>
      </c>
      <c r="V17">
        <f t="shared" si="5"/>
        <v>65.096331520686078</v>
      </c>
      <c r="W17">
        <f t="shared" si="5"/>
        <v>68.146791003999255</v>
      </c>
      <c r="X17">
        <f t="shared" si="5"/>
        <v>75.587868705628409</v>
      </c>
      <c r="Y17">
        <f t="shared" si="5"/>
        <v>69.35179319835845</v>
      </c>
      <c r="Z17">
        <f t="shared" ref="Z17" si="6">Z15*LotComp+Z16</f>
        <v>65.978980412558911</v>
      </c>
      <c r="AA17">
        <f t="shared" si="5"/>
        <v>66.07465314108228</v>
      </c>
      <c r="AB17">
        <f t="shared" si="5"/>
        <v>80.098776802184091</v>
      </c>
      <c r="AC17">
        <f t="shared" si="5"/>
        <v>61.75909012083023</v>
      </c>
      <c r="AD17">
        <f t="shared" si="5"/>
        <v>63.877026149204795</v>
      </c>
      <c r="AE17">
        <f t="shared" si="5"/>
        <v>69.252436441088477</v>
      </c>
      <c r="AF17">
        <f t="shared" si="5"/>
        <v>73.421257140144462</v>
      </c>
      <c r="AG17">
        <f t="shared" si="5"/>
        <v>67.22457825191438</v>
      </c>
      <c r="AH17">
        <f t="shared" si="5"/>
        <v>78.712979755704367</v>
      </c>
      <c r="AJ17">
        <f t="shared" si="5"/>
        <v>72.76208411322699</v>
      </c>
      <c r="AK17">
        <f t="shared" si="5"/>
        <v>65.600358751085068</v>
      </c>
      <c r="AL17">
        <f t="shared" si="5"/>
        <v>75.581314692421557</v>
      </c>
      <c r="AM17">
        <f t="shared" ref="AM17" si="7">AM15*LotComp+AM16</f>
        <v>68.865190051850817</v>
      </c>
    </row>
    <row r="18" spans="2:39" ht="18.75">
      <c r="G18" s="47" t="s">
        <v>48</v>
      </c>
      <c r="H18">
        <f>(data0!B5-data0!B4)/DeltaComp</f>
        <v>-0.67315540616474456</v>
      </c>
      <c r="I18">
        <f>(data0!C5-data0!C4)/DeltaComp</f>
        <v>-0.55158451625279015</v>
      </c>
      <c r="J18">
        <f>(data0!D5-data0!D4)/DeltaComp</f>
        <v>-0.60521637447296628</v>
      </c>
      <c r="K18">
        <f>(data0!E5-data0!E4)/DeltaComp</f>
        <v>-0.62200140574621776</v>
      </c>
      <c r="L18">
        <f>(data0!F5-data0!F4)/DeltaComp</f>
        <v>-0.60401746961805558</v>
      </c>
      <c r="M18">
        <f>(data0!G5-data0!G4)/DeltaComp</f>
        <v>-0.61976332891555064</v>
      </c>
      <c r="N18">
        <f>(data0!H5-data0!H4)/DeltaComp</f>
        <v>-0.5711669921875</v>
      </c>
      <c r="O18">
        <f>(data0!I5-data0!I4)/DeltaComp</f>
        <v>-0.56597173781622023</v>
      </c>
      <c r="P18">
        <f>(data0!J5-data0!J4)/DeltaComp</f>
        <v>-0.62312026250930064</v>
      </c>
      <c r="Q18">
        <f>(data0!K5-data0!K4)/DeltaComp</f>
        <v>-0.51130076817103798</v>
      </c>
      <c r="R18">
        <f>(data0!L5-data0!L4)/DeltaComp</f>
        <v>-0.5716465541294643</v>
      </c>
      <c r="S18">
        <f>(data0!M5-data0!M4)/DeltaComp</f>
        <v>-0.57100713820684523</v>
      </c>
      <c r="T18">
        <f>(data0!N5-data0!N4)/DeltaComp</f>
        <v>-0.59666406540643602</v>
      </c>
      <c r="U18">
        <f>(data0!O5-data0!O4)/DeltaComp</f>
        <v>-0.51098106020972844</v>
      </c>
      <c r="V18">
        <f>(data0!P5-data0!P4)/DeltaComp</f>
        <v>-0.54926663353329608</v>
      </c>
      <c r="W18">
        <f>(data0!Q5-data0!Q4)/DeltaComp</f>
        <v>-0.56860920739552334</v>
      </c>
      <c r="X18">
        <f>(data0!R5-data0!R4)/DeltaComp</f>
        <v>-0.61336904858785968</v>
      </c>
      <c r="Y18">
        <f>(data0!S5-data0!S4)/DeltaComp</f>
        <v>-0.59082939511253718</v>
      </c>
      <c r="Z18">
        <f>(data0!T5-data0!T4)/DeltaComp</f>
        <v>-0.54383159819103422</v>
      </c>
      <c r="AA18">
        <f>(data0!U5-data0!U4)/DeltaComp</f>
        <v>-0.58843146430121529</v>
      </c>
      <c r="AB18">
        <f>(data0!V5-data0!V4)/DeltaComp</f>
        <v>-0.66636149088541663</v>
      </c>
      <c r="AC18">
        <f>(data0!W5-data0!W4)/DeltaComp</f>
        <v>-0.50019073486328125</v>
      </c>
      <c r="AD18">
        <f>(data0!X5-data0!X4)/DeltaComp</f>
        <v>-0.55126480829148061</v>
      </c>
      <c r="AE18">
        <f>(data0!Y5-data0!Y4)/DeltaComp</f>
        <v>-0.58915080721416169</v>
      </c>
      <c r="AF18">
        <f>(data0!Z5-data0!Z4)/DeltaComp</f>
        <v>-0.6153673444475446</v>
      </c>
      <c r="AG18">
        <f>(data0!AA5-data0!AA4)/DeltaComp</f>
        <v>-0.55853840661427334</v>
      </c>
      <c r="AH18">
        <f>(data0!AB5-data0!AB4)/DeltaComp</f>
        <v>-0.65724969288659474</v>
      </c>
      <c r="AJ18">
        <f>(data0!AD5-data0!AD4)/DeltaComp</f>
        <v>-0.5817174760122148</v>
      </c>
      <c r="AK18">
        <f>(data0!AE5-data0!AE4)/DeltaComp</f>
        <v>-0.55118488130115328</v>
      </c>
      <c r="AL18">
        <f>(data0!AF5-data0!AF4)/DeltaComp</f>
        <v>-0.62927476186600939</v>
      </c>
      <c r="AM18">
        <f>(data0!AG5-data0!AG4)/DeltaComp</f>
        <v>-0.55286346919952878</v>
      </c>
    </row>
    <row r="19" spans="2:39" ht="18.75">
      <c r="G19" s="47" t="s">
        <v>49</v>
      </c>
      <c r="H19">
        <f>data0!B4</f>
        <v>120.90180969238281</v>
      </c>
      <c r="I19">
        <f>data0!C4</f>
        <v>101.04692077636719</v>
      </c>
      <c r="J19">
        <f>data0!D4</f>
        <v>106.01693725585937</v>
      </c>
      <c r="K19">
        <f>data0!E4</f>
        <v>117.92584228515625</v>
      </c>
      <c r="L19">
        <f>data0!F4</f>
        <v>107.01396179199219</v>
      </c>
      <c r="M19">
        <f>data0!G4</f>
        <v>114.90959167480469</v>
      </c>
      <c r="N19">
        <f>data0!H4</f>
        <v>101.15266418457031</v>
      </c>
      <c r="O19">
        <f>data0!I4</f>
        <v>104.36530303955078</v>
      </c>
      <c r="P19">
        <f>data0!J4</f>
        <v>117.64385223388672</v>
      </c>
      <c r="Q19">
        <f>data0!K4</f>
        <v>92.914627075195313</v>
      </c>
      <c r="R19">
        <f>data0!L4</f>
        <v>110.82078552246094</v>
      </c>
      <c r="S19">
        <f>data0!M4</f>
        <v>105.15586853027344</v>
      </c>
      <c r="T19">
        <f>data0!N4</f>
        <v>109.05836486816406</v>
      </c>
      <c r="U19">
        <f>data0!O4</f>
        <v>92.023345947265625</v>
      </c>
      <c r="V19">
        <f>data0!P4</f>
        <v>99.485923767089844</v>
      </c>
      <c r="W19">
        <f>data0!Q4</f>
        <v>102.2252197265625</v>
      </c>
      <c r="X19">
        <f>data0!R4</f>
        <v>109.98992919921875</v>
      </c>
      <c r="Y19">
        <f>data0!S4</f>
        <v>105.79537963867187</v>
      </c>
      <c r="Z19">
        <f>data0!T4</f>
        <v>99.959259033203125</v>
      </c>
      <c r="AA19">
        <f>data0!U4</f>
        <v>104.48111724853516</v>
      </c>
      <c r="AB19">
        <f>data0!V4</f>
        <v>119.44655609130859</v>
      </c>
      <c r="AC19">
        <f>data0!W4</f>
        <v>95.538108825683594</v>
      </c>
      <c r="AD19">
        <f>data0!X4</f>
        <v>99.480888366699219</v>
      </c>
      <c r="AE19">
        <f>data0!Y4</f>
        <v>105.19615173339844</v>
      </c>
      <c r="AF19">
        <f>data0!Z4</f>
        <v>109.87411499023437</v>
      </c>
      <c r="AG19">
        <f>data0!AA4</f>
        <v>102.43167877197266</v>
      </c>
      <c r="AH19">
        <f>data0!AB4</f>
        <v>117.03456115722656</v>
      </c>
      <c r="AJ19">
        <f>data0!AD4</f>
        <v>110.00503540039062</v>
      </c>
      <c r="AK19">
        <f>data0!AE4</f>
        <v>99.9945068359375</v>
      </c>
      <c r="AL19">
        <f>data0!AF4</f>
        <v>111.03730773925781</v>
      </c>
      <c r="AM19">
        <f>data0!AG4</f>
        <v>101.8828125</v>
      </c>
    </row>
    <row r="20" spans="2:39" ht="18.75">
      <c r="G20" s="47" t="s">
        <v>50</v>
      </c>
      <c r="H20">
        <f t="shared" ref="H20" si="8">H18*LotComp+H19</f>
        <v>79.166174510168645</v>
      </c>
      <c r="I20">
        <f t="shared" ref="I20:AL20" si="9">I18*LotComp+I19</f>
        <v>66.848680768694209</v>
      </c>
      <c r="J20">
        <f t="shared" si="9"/>
        <v>68.493522038535474</v>
      </c>
      <c r="K20">
        <f t="shared" si="9"/>
        <v>79.361755128890749</v>
      </c>
      <c r="L20">
        <f t="shared" si="9"/>
        <v>69.564878675672745</v>
      </c>
      <c r="M20">
        <f t="shared" si="9"/>
        <v>76.484265282040553</v>
      </c>
      <c r="N20">
        <f t="shared" si="9"/>
        <v>65.740310668945312</v>
      </c>
      <c r="O20">
        <f t="shared" si="9"/>
        <v>69.275055294945133</v>
      </c>
      <c r="P20">
        <f t="shared" si="9"/>
        <v>79.010395958310085</v>
      </c>
      <c r="Q20">
        <f t="shared" si="9"/>
        <v>61.213979448590962</v>
      </c>
      <c r="R20">
        <f t="shared" si="9"/>
        <v>75.37869916643416</v>
      </c>
      <c r="S20">
        <f t="shared" si="9"/>
        <v>69.75342596144904</v>
      </c>
      <c r="T20">
        <f t="shared" si="9"/>
        <v>72.065192812965023</v>
      </c>
      <c r="U20">
        <f t="shared" si="9"/>
        <v>60.342520214262464</v>
      </c>
      <c r="V20">
        <f t="shared" si="9"/>
        <v>65.431392488025494</v>
      </c>
      <c r="W20">
        <f t="shared" si="9"/>
        <v>66.971448868040056</v>
      </c>
      <c r="X20">
        <f t="shared" si="9"/>
        <v>71.96104818677145</v>
      </c>
      <c r="Y20">
        <f t="shared" si="9"/>
        <v>69.163957141694567</v>
      </c>
      <c r="Z20">
        <f t="shared" ref="Z20" si="10">Z18*LotComp+Z19</f>
        <v>66.241699945359002</v>
      </c>
      <c r="AA20">
        <f t="shared" si="9"/>
        <v>67.998366461859803</v>
      </c>
      <c r="AB20">
        <f t="shared" si="9"/>
        <v>78.132143656412765</v>
      </c>
      <c r="AC20">
        <f t="shared" si="9"/>
        <v>64.526283264160156</v>
      </c>
      <c r="AD20">
        <f t="shared" si="9"/>
        <v>65.302470252627415</v>
      </c>
      <c r="AE20">
        <f t="shared" si="9"/>
        <v>68.668801686120418</v>
      </c>
      <c r="AF20">
        <f t="shared" si="9"/>
        <v>71.721339634486611</v>
      </c>
      <c r="AG20">
        <f t="shared" si="9"/>
        <v>67.802297561887713</v>
      </c>
      <c r="AH20">
        <f t="shared" si="9"/>
        <v>76.285080198257688</v>
      </c>
      <c r="AJ20">
        <f t="shared" si="9"/>
        <v>73.938551887633309</v>
      </c>
      <c r="AK20">
        <f t="shared" si="9"/>
        <v>65.821044195265998</v>
      </c>
      <c r="AL20">
        <f t="shared" si="9"/>
        <v>72.022272503565233</v>
      </c>
      <c r="AM20">
        <f t="shared" ref="AM20" si="11">AM18*LotComp+AM19</f>
        <v>67.605277409629224</v>
      </c>
    </row>
    <row r="21" spans="2:39" ht="18.75">
      <c r="G21" s="47" t="s">
        <v>51</v>
      </c>
      <c r="H21" s="18">
        <f>2*(H20-H17)/(H20+H17)</f>
        <v>-6.7696336433165694E-2</v>
      </c>
      <c r="I21" s="18">
        <f t="shared" ref="I21:AL21" si="12">2*(I20-I17)/(I20+I17)</f>
        <v>9.8938242442344424E-3</v>
      </c>
      <c r="J21" s="18">
        <f t="shared" si="12"/>
        <v>3.5269410636839353E-3</v>
      </c>
      <c r="K21" s="18">
        <f t="shared" si="12"/>
        <v>3.1986984629864884E-3</v>
      </c>
      <c r="L21" s="18">
        <f t="shared" si="12"/>
        <v>-1.2329024300747844E-2</v>
      </c>
      <c r="M21" s="18">
        <f t="shared" si="12"/>
        <v>1.0083951190313975E-2</v>
      </c>
      <c r="N21" s="18">
        <f t="shared" si="12"/>
        <v>-3.725666938683485E-3</v>
      </c>
      <c r="O21" s="18">
        <f t="shared" si="12"/>
        <v>-8.4308477953971873E-3</v>
      </c>
      <c r="P21" s="18">
        <f t="shared" si="12"/>
        <v>-5.7436056720487566E-3</v>
      </c>
      <c r="Q21" s="18">
        <f t="shared" si="12"/>
        <v>2.8837985622493928E-2</v>
      </c>
      <c r="R21" s="18">
        <f t="shared" si="12"/>
        <v>4.5166616998054375E-2</v>
      </c>
      <c r="S21" s="18">
        <f t="shared" si="12"/>
        <v>4.712457446163891E-2</v>
      </c>
      <c r="T21" s="18">
        <f t="shared" si="12"/>
        <v>5.3424189568469877E-3</v>
      </c>
      <c r="U21" s="18">
        <f t="shared" si="12"/>
        <v>-6.7907173911578911E-2</v>
      </c>
      <c r="V21" s="18">
        <f t="shared" si="12"/>
        <v>5.1339433041374975E-3</v>
      </c>
      <c r="W21" s="18">
        <f t="shared" si="12"/>
        <v>-1.7397238701041096E-2</v>
      </c>
      <c r="X21" s="18">
        <f t="shared" si="12"/>
        <v>-4.9160923648146067E-2</v>
      </c>
      <c r="Y21" s="18">
        <f t="shared" si="12"/>
        <v>-2.712125605972606E-3</v>
      </c>
      <c r="Z21" s="18">
        <f t="shared" ref="Z21" si="13">2*(Z20-Z17)/(Z20+Z17)</f>
        <v>3.9739552404195171E-3</v>
      </c>
      <c r="AA21" s="18">
        <f t="shared" si="12"/>
        <v>2.8696501749190247E-2</v>
      </c>
      <c r="AB21" s="18">
        <f t="shared" si="12"/>
        <v>-2.4857760292002096E-2</v>
      </c>
      <c r="AC21" s="18">
        <f t="shared" si="12"/>
        <v>4.3824444100805431E-2</v>
      </c>
      <c r="AD21" s="18">
        <f t="shared" si="12"/>
        <v>2.2069200502045038E-2</v>
      </c>
      <c r="AE21" s="18">
        <f t="shared" si="12"/>
        <v>-8.4633050412403609E-3</v>
      </c>
      <c r="AF21" s="18">
        <f t="shared" si="12"/>
        <v>-2.3424102137257242E-2</v>
      </c>
      <c r="AG21" s="18">
        <f t="shared" si="12"/>
        <v>8.5571010436468892E-3</v>
      </c>
      <c r="AH21" s="18">
        <f t="shared" si="12"/>
        <v>-3.1328128341320143E-2</v>
      </c>
      <c r="AI21" s="18"/>
      <c r="AJ21" s="18">
        <f t="shared" si="12"/>
        <v>1.6039027593573896E-2</v>
      </c>
      <c r="AK21" s="18">
        <f t="shared" si="12"/>
        <v>3.358439937991199E-3</v>
      </c>
      <c r="AL21" s="18">
        <f t="shared" si="12"/>
        <v>-4.8224331894192493E-2</v>
      </c>
      <c r="AM21" s="18">
        <f t="shared" ref="AM21" si="14">2*(AM20-AM17)/(AM20+AM17)</f>
        <v>-1.8464253338579855E-2</v>
      </c>
    </row>
    <row r="22" spans="2:39" ht="15.75">
      <c r="G22" s="47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</row>
    <row r="23" spans="2:39" ht="15.75">
      <c r="G23" s="47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</row>
    <row r="24" spans="2:39" ht="15.75">
      <c r="G24" s="47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</row>
    <row r="25" spans="2:39">
      <c r="E25" s="103" t="s">
        <v>58</v>
      </c>
      <c r="F25" s="103"/>
      <c r="G25" s="46">
        <f>INT(D8+0.5)</f>
        <v>62</v>
      </c>
      <c r="H25" s="18"/>
      <c r="I25" s="18"/>
      <c r="J25" s="18"/>
      <c r="K25" s="18"/>
      <c r="L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</row>
    <row r="26" spans="2:39">
      <c r="E26" t="s">
        <v>59</v>
      </c>
      <c r="F26" s="44" t="s">
        <v>8</v>
      </c>
      <c r="G26" s="44" t="s">
        <v>54</v>
      </c>
      <c r="H26" s="44" t="s">
        <v>55</v>
      </c>
      <c r="I26" s="18"/>
      <c r="J26" s="18"/>
      <c r="K26" s="18"/>
      <c r="L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</row>
    <row r="27" spans="2:39">
      <c r="E27" t="s">
        <v>56</v>
      </c>
      <c r="F27" s="50">
        <f>D11</f>
        <v>3.1640415732543857E-2</v>
      </c>
      <c r="G27" s="50">
        <f>F11</f>
        <v>5.5397858109343751E-2</v>
      </c>
      <c r="H27" s="50">
        <f>ABS(F27)+1.5*G27</f>
        <v>0.11473720289655948</v>
      </c>
      <c r="I27" s="18"/>
      <c r="J27" s="18"/>
      <c r="K27" s="18"/>
      <c r="L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</row>
    <row r="28" spans="2:39">
      <c r="E28" t="s">
        <v>57</v>
      </c>
      <c r="F28" s="50">
        <f>AVERAGE(H21:AM21)</f>
        <v>-3.3882967606229382E-3</v>
      </c>
      <c r="G28" s="50">
        <f>STDEV(H21:AM21)</f>
        <v>2.9257152871690929E-2</v>
      </c>
      <c r="H28" s="50">
        <f>ABS(F28)+1.5*G28</f>
        <v>4.7274026068159336E-2</v>
      </c>
      <c r="J28" s="18"/>
      <c r="K28" s="18"/>
      <c r="L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</row>
    <row r="30" spans="2:39">
      <c r="F30" s="104" t="str">
        <f>partNumber&amp;": "&amp;B31&amp;" - "&amp;glass</f>
        <v>125-trimmed: %/Diode - NG</v>
      </c>
      <c r="G30" s="104"/>
      <c r="H30" s="104"/>
      <c r="I30" s="104"/>
      <c r="J30" s="104"/>
      <c r="K30" s="104"/>
      <c r="L30" s="104"/>
      <c r="N30" s="95" t="str">
        <f>"Per DUT Compensation=+/-"&amp;INT(H27*10^3+0.5)/10^1&amp;"%"</f>
        <v>Per DUT Compensation=+/-11.5%</v>
      </c>
      <c r="O30" s="95"/>
      <c r="P30" s="95"/>
      <c r="R30" s="104" t="str">
        <f>partNumber&amp;": "&amp;N30&amp;" - "&amp;glass</f>
        <v>125-trimmed: Per DUT Compensation=+/-11.5% - NG</v>
      </c>
      <c r="S30" s="104"/>
      <c r="T30" s="104"/>
      <c r="U30" s="104"/>
      <c r="V30" s="104"/>
      <c r="W30" s="104"/>
      <c r="X30" s="104"/>
      <c r="Y30" s="68"/>
    </row>
    <row r="31" spans="2:39">
      <c r="B31" s="95" t="s">
        <v>53</v>
      </c>
      <c r="C31" s="95"/>
      <c r="D31" s="95"/>
    </row>
    <row r="32" spans="2:39">
      <c r="C32" s="30">
        <f>(C40-C33)/7</f>
        <v>2.4677419354838703E-3</v>
      </c>
      <c r="N32" s="30">
        <f>(N40-N33)/7</f>
        <v>2.246896185225947E-2</v>
      </c>
    </row>
    <row r="33" spans="2:25">
      <c r="C33" s="6">
        <f>MIN(H9:AM9)</f>
        <v>5.2838709677419354E-2</v>
      </c>
      <c r="D33">
        <f>histo($H$9:$AM$9,$C$33:C$40,C33)</f>
        <v>2</v>
      </c>
      <c r="N33" s="6">
        <f>MIN(H11:AM11)</f>
        <v>-1.087948552014093E-2</v>
      </c>
      <c r="O33">
        <f>histo($H$11:$AM$11,$N$33:N$40,N33)</f>
        <v>1</v>
      </c>
    </row>
    <row r="34" spans="2:25">
      <c r="C34" s="6">
        <f t="shared" ref="C34:C39" si="15">C33+C$32</f>
        <v>5.5306451612903228E-2</v>
      </c>
      <c r="D34">
        <f>histo($H$9:$AM$9,$C$33:C$40,C34)</f>
        <v>0</v>
      </c>
      <c r="N34" s="6">
        <f t="shared" ref="N34:N39" si="16">N33+N$32</f>
        <v>1.1589476332118541E-2</v>
      </c>
      <c r="O34">
        <f>histo($H$11:$AM$11,$N$33:N$40,N34)</f>
        <v>22</v>
      </c>
    </row>
    <row r="35" spans="2:25">
      <c r="C35" s="6">
        <f t="shared" si="15"/>
        <v>5.7774193548387101E-2</v>
      </c>
      <c r="D35">
        <f>histo($H$9:$AM$9,$C$33:C$40,C35)</f>
        <v>2</v>
      </c>
      <c r="N35" s="6">
        <f t="shared" si="16"/>
        <v>3.4058438184378009E-2</v>
      </c>
      <c r="O35">
        <f>histo($H$11:$AM$11,$N$33:N$40,N35)</f>
        <v>0</v>
      </c>
    </row>
    <row r="36" spans="2:25">
      <c r="C36" s="6">
        <f t="shared" si="15"/>
        <v>6.0241935483870974E-2</v>
      </c>
      <c r="D36">
        <f>histo($H$9:$AM$9,$C$33:C$40,C36)</f>
        <v>4</v>
      </c>
      <c r="N36" s="6">
        <f t="shared" si="16"/>
        <v>5.6527400036637476E-2</v>
      </c>
      <c r="O36">
        <f>histo($H$11:$AM$11,$N$33:N$40,N36)</f>
        <v>0</v>
      </c>
    </row>
    <row r="37" spans="2:25">
      <c r="C37" s="6">
        <f t="shared" si="15"/>
        <v>6.2709677419354848E-2</v>
      </c>
      <c r="D37">
        <f>histo($H$9:$AM$9,$C$33:C$40,C37)</f>
        <v>6</v>
      </c>
      <c r="N37" s="6">
        <f t="shared" si="16"/>
        <v>7.8996361888896943E-2</v>
      </c>
      <c r="O37">
        <f>histo($H$11:$AM$11,$N$33:N$40,N37)</f>
        <v>0</v>
      </c>
    </row>
    <row r="38" spans="2:25">
      <c r="C38" s="6">
        <f t="shared" si="15"/>
        <v>6.5177419354838714E-2</v>
      </c>
      <c r="D38">
        <f>histo($H$9:$AM$9,$C$33:C$40,C38)</f>
        <v>11</v>
      </c>
      <c r="N38" s="6">
        <f t="shared" si="16"/>
        <v>0.10146532374115641</v>
      </c>
      <c r="O38">
        <f>histo($H$11:$AM$11,$N$33:N$40,N38)</f>
        <v>0</v>
      </c>
    </row>
    <row r="39" spans="2:25">
      <c r="C39" s="6">
        <f t="shared" si="15"/>
        <v>6.7645161290322581E-2</v>
      </c>
      <c r="D39">
        <f>histo($H$9:$AM$9,$C$33:C$40,C39)</f>
        <v>3</v>
      </c>
      <c r="N39" s="6">
        <f t="shared" si="16"/>
        <v>0.12393428559341588</v>
      </c>
      <c r="O39">
        <f>histo($H$11:$AM$11,$N$33:N$40,N39)</f>
        <v>5</v>
      </c>
    </row>
    <row r="40" spans="2:25">
      <c r="C40" s="6">
        <f>MAX(H9:AM9)</f>
        <v>7.0112903225806447E-2</v>
      </c>
      <c r="D40">
        <f>histo($H$9:$AM$9,$C$33:C$40,C40)</f>
        <v>3</v>
      </c>
      <c r="N40" s="6">
        <f>MAX(H11:AM11)</f>
        <v>0.14640324744567537</v>
      </c>
      <c r="O40">
        <f>histo($H$11:$AM$11,$N$33:N$40,N40)</f>
        <v>3</v>
      </c>
    </row>
    <row r="41" spans="2:25" ht="75" customHeight="1"/>
    <row r="42" spans="2:25">
      <c r="F42" s="104" t="str">
        <f>partNumber&amp;": "&amp;B43&amp;" - "&amp;glass</f>
        <v>125-trimmed: Compensation Value= 62 +/- 6.4 - NG</v>
      </c>
      <c r="G42" s="104"/>
      <c r="H42" s="104"/>
      <c r="I42" s="104"/>
      <c r="J42" s="104"/>
      <c r="K42" s="104"/>
      <c r="L42" s="104"/>
      <c r="R42" s="104" t="str">
        <f>partNumber&amp;": "&amp;N43&amp;" - "&amp;glass</f>
        <v>125-trimmed: Lot Compensation=+/-4.7% - NG</v>
      </c>
      <c r="S42" s="104"/>
      <c r="T42" s="104"/>
      <c r="U42" s="104"/>
      <c r="V42" s="104"/>
      <c r="W42" s="104"/>
      <c r="X42" s="104"/>
      <c r="Y42" s="68"/>
    </row>
    <row r="43" spans="2:25">
      <c r="B43" s="95" t="str">
        <f>"Compensation Value= " &amp; INT(D8+0.5)&amp;" +/- "&amp;INT(1.5*F8*10+0.5)/10</f>
        <v>Compensation Value= 62 +/- 6.4</v>
      </c>
      <c r="C43" s="95"/>
      <c r="D43" s="95"/>
      <c r="N43" s="95" t="str">
        <f>"Lot Compensation=+/-"&amp;INT(H28*10^3+0.5)/10^1&amp;"%"</f>
        <v>Lot Compensation=+/-4.7%</v>
      </c>
      <c r="O43" s="95"/>
      <c r="P43" s="95"/>
    </row>
    <row r="44" spans="2:25">
      <c r="C44" s="48">
        <f>(C52-C45)/7</f>
        <v>2.7142857142857144</v>
      </c>
      <c r="D44">
        <v>1</v>
      </c>
      <c r="N44" s="30">
        <f>(N52-N45)/7</f>
        <v>1.643310691045969E-2</v>
      </c>
    </row>
    <row r="45" spans="2:25">
      <c r="C45" s="49">
        <f>MIN(H14:AM14)-D44</f>
        <v>51</v>
      </c>
      <c r="D45">
        <f>histo($H$14:$AM$14,$C$45:C$52,C45)</f>
        <v>0</v>
      </c>
      <c r="N45" s="6">
        <f>MIN(H21:AM21)</f>
        <v>-6.7907173911578911E-2</v>
      </c>
      <c r="O45">
        <f>histo($H$21:$AM$21,$N$45:N$52,N45)</f>
        <v>1</v>
      </c>
    </row>
    <row r="46" spans="2:25">
      <c r="C46" s="49">
        <f>C45+C$44</f>
        <v>53.714285714285715</v>
      </c>
      <c r="D46">
        <f>histo($H$14:$AM$14,$C$45:C$52,C46)</f>
        <v>2</v>
      </c>
      <c r="N46" s="6">
        <f>N45+N$44</f>
        <v>-5.1474067001119221E-2</v>
      </c>
      <c r="O46">
        <f>histo($H$21:$AM$21,$N$45:N$52,N46)</f>
        <v>1</v>
      </c>
    </row>
    <row r="47" spans="2:25">
      <c r="C47" s="49">
        <f>C46+C$44</f>
        <v>56.428571428571431</v>
      </c>
      <c r="D47">
        <f>histo($H$14:$AM$14,$C$45:C$52,C47)</f>
        <v>2</v>
      </c>
      <c r="N47" s="6">
        <f>N46+N$44</f>
        <v>-3.5040960090659531E-2</v>
      </c>
      <c r="O47">
        <f>histo($H$21:$AM$21,$N$45:N$52,N47)</f>
        <v>2</v>
      </c>
    </row>
    <row r="48" spans="2:25">
      <c r="C48" s="49">
        <f>C47+C$44</f>
        <v>59.142857142857146</v>
      </c>
      <c r="D48">
        <f>histo($H$14:$AM$14,$C$45:C$52,C48)</f>
        <v>4</v>
      </c>
      <c r="N48" s="6">
        <f>N47+N$44</f>
        <v>-1.8607853180199842E-2</v>
      </c>
      <c r="O48">
        <f>histo($H$21:$AM$21,$N$45:N$52,N48)</f>
        <v>3</v>
      </c>
    </row>
    <row r="49" spans="2:15">
      <c r="C49" s="49">
        <f>C48+C$44</f>
        <v>61.857142857142861</v>
      </c>
      <c r="D49">
        <f>histo($H$14:$AM$14,$C$45:C$52,C49)</f>
        <v>6</v>
      </c>
      <c r="N49" s="6">
        <f>N48+N$44</f>
        <v>-2.1747462697401521E-3</v>
      </c>
      <c r="O49">
        <f>histo($H$21:$AM$21,$N$45:N$52,N49)</f>
        <v>8</v>
      </c>
    </row>
    <row r="50" spans="2:15">
      <c r="C50" s="49">
        <f>C49+C$44</f>
        <v>64.571428571428569</v>
      </c>
      <c r="D50">
        <f>histo($H$14:$AM$14,$C$45:C$52,C50)</f>
        <v>11</v>
      </c>
      <c r="N50" s="6">
        <f>N49+N$44</f>
        <v>1.4258360640719538E-2</v>
      </c>
      <c r="O50">
        <f>histo($H$21:$AM$21,$N$45:N$52,N50)</f>
        <v>9</v>
      </c>
    </row>
    <row r="51" spans="2:15">
      <c r="C51" s="49">
        <f>C50+C$44</f>
        <v>67.285714285714278</v>
      </c>
      <c r="D51">
        <f>histo($H$14:$AM$14,$C$45:C$52,C51)</f>
        <v>3</v>
      </c>
      <c r="N51" s="6">
        <f>N50+N$44</f>
        <v>3.0691467551179227E-2</v>
      </c>
      <c r="O51">
        <f>histo($H$21:$AM$21,$N$45:N$52,N51)</f>
        <v>4</v>
      </c>
    </row>
    <row r="52" spans="2:15" ht="15" customHeight="1">
      <c r="C52" s="49">
        <f>MAX(H14:AM14)+D44</f>
        <v>70</v>
      </c>
      <c r="D52">
        <f>histo($H$14:$AM$14,$C$45:C$52,C52)</f>
        <v>3</v>
      </c>
      <c r="M52" s="6"/>
      <c r="N52" s="6">
        <f>MAX(H21:AM21)</f>
        <v>4.712457446163891E-2</v>
      </c>
      <c r="O52">
        <f>histo($H$21:$AM$21,$N$45:N$52,N52)</f>
        <v>3</v>
      </c>
    </row>
    <row r="53" spans="2:15" ht="75" customHeight="1"/>
    <row r="54" spans="2:15">
      <c r="F54" s="104" t="str">
        <f>partNumber&amp;": "&amp;B55&amp;" : "&amp;glass</f>
        <v>125-trimmed: Gain Error=53.7 +/-6.6% : NG</v>
      </c>
      <c r="G54" s="104"/>
      <c r="H54" s="104"/>
      <c r="I54" s="104"/>
      <c r="J54" s="104"/>
      <c r="K54" s="104"/>
      <c r="L54" s="104"/>
    </row>
    <row r="55" spans="2:15">
      <c r="B55" s="95" t="str">
        <f>"Gain Error=" &amp; INT(D12*10^3+0.5)/10^1 &amp; " +/-"&amp;INT(1.5*F12*10^3+0.5)/10^1&amp;"%"</f>
        <v>Gain Error=53.7 +/-6.6%</v>
      </c>
      <c r="C55" s="95"/>
      <c r="D55" s="95"/>
    </row>
    <row r="56" spans="2:15">
      <c r="C56" s="30">
        <f>(C64-C57)/7</f>
        <v>2.6713752927031282E-2</v>
      </c>
      <c r="D56">
        <v>1</v>
      </c>
    </row>
    <row r="57" spans="2:15">
      <c r="C57" s="18">
        <f>MIN(H12:AM12)</f>
        <v>0.4329419167625983</v>
      </c>
      <c r="D57">
        <f>histo($H$12:$AM$12,$C$57:C$64,C57)</f>
        <v>1</v>
      </c>
    </row>
    <row r="58" spans="2:15">
      <c r="C58" s="18">
        <f>C57+C$56</f>
        <v>0.45965566968962956</v>
      </c>
      <c r="D58">
        <f>histo($H$12:$AM$12,$C$57:C$64,C58)</f>
        <v>0</v>
      </c>
    </row>
    <row r="59" spans="2:15">
      <c r="C59" s="18">
        <f t="shared" ref="C59:C63" si="17">C58+C$56</f>
        <v>0.48636942261666083</v>
      </c>
      <c r="D59">
        <f>histo($H$12:$AM$12,$C$57:C$64,C59)</f>
        <v>4</v>
      </c>
    </row>
    <row r="60" spans="2:15">
      <c r="C60" s="18">
        <f t="shared" si="17"/>
        <v>0.51308317554369209</v>
      </c>
      <c r="D60">
        <f>histo($H$12:$AM$12,$C$57:C$64,C60)</f>
        <v>3</v>
      </c>
    </row>
    <row r="61" spans="2:15">
      <c r="C61" s="18">
        <f t="shared" si="17"/>
        <v>0.53979692847072336</v>
      </c>
      <c r="D61">
        <f>histo($H$12:$AM$12,$C$57:C$64,C61)</f>
        <v>6</v>
      </c>
    </row>
    <row r="62" spans="2:15">
      <c r="C62" s="18">
        <f t="shared" si="17"/>
        <v>0.56651068139775462</v>
      </c>
      <c r="D62">
        <f>histo($H$12:$AM$12,$C$57:C$64,C62)</f>
        <v>10</v>
      </c>
    </row>
    <row r="63" spans="2:15">
      <c r="C63" s="18">
        <f t="shared" si="17"/>
        <v>0.59322443432478589</v>
      </c>
      <c r="D63">
        <f>histo($H$12:$AM$12,$C$57:C$64,C63)</f>
        <v>4</v>
      </c>
    </row>
    <row r="64" spans="2:15">
      <c r="C64" s="18">
        <f>MAX(H12:AM12)</f>
        <v>0.61993818725181726</v>
      </c>
      <c r="D64">
        <f>histo($H$12:$AM$12,$C$57:C$64,C64)</f>
        <v>3</v>
      </c>
      <c r="M64" s="6"/>
    </row>
    <row r="65" ht="75" customHeight="1"/>
  </sheetData>
  <mergeCells count="22">
    <mergeCell ref="F54:L54"/>
    <mergeCell ref="B55:D55"/>
    <mergeCell ref="R30:X30"/>
    <mergeCell ref="R42:X42"/>
    <mergeCell ref="A2:A3"/>
    <mergeCell ref="A4:A5"/>
    <mergeCell ref="A6:A11"/>
    <mergeCell ref="A12:B12"/>
    <mergeCell ref="A1:B1"/>
    <mergeCell ref="B31:D31"/>
    <mergeCell ref="B43:D43"/>
    <mergeCell ref="N30:P30"/>
    <mergeCell ref="N43:P43"/>
    <mergeCell ref="H3:I3"/>
    <mergeCell ref="H4:I4"/>
    <mergeCell ref="H5:I5"/>
    <mergeCell ref="H6:I6"/>
    <mergeCell ref="H7:I7"/>
    <mergeCell ref="D14:E14"/>
    <mergeCell ref="E25:F25"/>
    <mergeCell ref="F30:L30"/>
    <mergeCell ref="F42:L42"/>
  </mergeCells>
  <conditionalFormatting sqref="H9:AM9">
    <cfRule type="top10" dxfId="11" priority="11" percent="1" bottom="1" rank="10"/>
    <cfRule type="top10" dxfId="10" priority="12" percent="1" rank="10"/>
  </conditionalFormatting>
  <conditionalFormatting sqref="H12:AM12">
    <cfRule type="top10" dxfId="9" priority="9" percent="1" bottom="1" rank="10"/>
    <cfRule type="top10" dxfId="8" priority="10" percent="1" rank="10"/>
  </conditionalFormatting>
  <conditionalFormatting sqref="H21:AL21">
    <cfRule type="top10" dxfId="7" priority="7" percent="1" bottom="1" rank="10"/>
    <cfRule type="top10" dxfId="6" priority="8" percent="1" rank="10"/>
  </conditionalFormatting>
  <conditionalFormatting sqref="H14:AL14">
    <cfRule type="top10" dxfId="5" priority="5" percent="1" bottom="1" rank="10"/>
    <cfRule type="top10" dxfId="4" priority="6" percent="1" rank="10"/>
  </conditionalFormatting>
  <conditionalFormatting sqref="AM21">
    <cfRule type="top10" dxfId="3" priority="3" percent="1" bottom="1" rank="10"/>
    <cfRule type="top10" dxfId="2" priority="4" percent="1" rank="10"/>
  </conditionalFormatting>
  <conditionalFormatting sqref="AM14">
    <cfRule type="top10" dxfId="1" priority="1" percent="1" bottom="1" rank="10"/>
    <cfRule type="top10" dxfId="0" priority="2" percent="1" rank="10"/>
  </conditionalFormatting>
  <pageMargins left="0.7" right="0.7" top="0.75" bottom="0.75" header="0.3" footer="0.3"/>
  <pageSetup orientation="portrait" r:id="rId1"/>
  <ignoredErrors>
    <ignoredError sqref="D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L19"/>
  <sheetViews>
    <sheetView zoomScale="70" zoomScaleNormal="70" workbookViewId="0">
      <pane xSplit="12285" topLeftCell="AA1"/>
      <selection activeCell="B2" sqref="B2:AG11"/>
      <selection pane="topRight" activeCell="AI15" sqref="AI15"/>
    </sheetView>
  </sheetViews>
  <sheetFormatPr defaultRowHeight="15"/>
  <cols>
    <col min="1" max="1" width="14" bestFit="1" customWidth="1"/>
    <col min="2" max="33" width="7.28515625" customWidth="1"/>
    <col min="34" max="34" width="9.7109375" customWidth="1"/>
    <col min="35" max="35" width="7.7109375" style="5" bestFit="1" customWidth="1"/>
    <col min="36" max="36" width="8.85546875" style="5" bestFit="1" customWidth="1"/>
    <col min="37" max="37" width="7.85546875" style="5" bestFit="1" customWidth="1"/>
    <col min="38" max="38" width="6.42578125" style="5" bestFit="1" customWidth="1"/>
  </cols>
  <sheetData>
    <row r="1" spans="1:38">
      <c r="A1">
        <f>COUNT(B2:AG2)</f>
        <v>31</v>
      </c>
      <c r="B1" s="5">
        <v>0</v>
      </c>
      <c r="C1" s="5">
        <f>B1+1</f>
        <v>1</v>
      </c>
      <c r="D1" s="5">
        <f t="shared" ref="D1:AG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R1" s="5">
        <f t="shared" si="0"/>
        <v>16</v>
      </c>
      <c r="S1" s="5">
        <f t="shared" si="0"/>
        <v>17</v>
      </c>
      <c r="T1" s="5">
        <f t="shared" si="0"/>
        <v>18</v>
      </c>
      <c r="U1" s="5">
        <f t="shared" si="0"/>
        <v>19</v>
      </c>
      <c r="V1" s="5">
        <f t="shared" si="0"/>
        <v>20</v>
      </c>
      <c r="W1" s="5">
        <f t="shared" si="0"/>
        <v>21</v>
      </c>
      <c r="X1" s="5">
        <f t="shared" si="0"/>
        <v>22</v>
      </c>
      <c r="Y1" s="5">
        <f t="shared" si="0"/>
        <v>23</v>
      </c>
      <c r="Z1" s="5">
        <f t="shared" si="0"/>
        <v>24</v>
      </c>
      <c r="AA1" s="5">
        <f t="shared" si="0"/>
        <v>25</v>
      </c>
      <c r="AB1" s="5">
        <f t="shared" si="0"/>
        <v>26</v>
      </c>
      <c r="AC1" s="5">
        <f t="shared" si="0"/>
        <v>27</v>
      </c>
      <c r="AD1" s="5">
        <f t="shared" si="0"/>
        <v>28</v>
      </c>
      <c r="AE1" s="5">
        <f t="shared" si="0"/>
        <v>29</v>
      </c>
      <c r="AF1" s="5">
        <f t="shared" si="0"/>
        <v>30</v>
      </c>
      <c r="AG1" s="5">
        <f t="shared" si="0"/>
        <v>31</v>
      </c>
      <c r="AH1" s="77" t="s">
        <v>77</v>
      </c>
      <c r="AI1" s="77" t="s">
        <v>78</v>
      </c>
      <c r="AJ1" s="77" t="s">
        <v>79</v>
      </c>
      <c r="AK1" s="39"/>
    </row>
    <row r="2" spans="1:38">
      <c r="A2" s="40" t="s">
        <v>31</v>
      </c>
      <c r="B2" s="112">
        <v>92.290229797363281</v>
      </c>
      <c r="C2" s="112">
        <v>72.072784423828125</v>
      </c>
      <c r="D2" s="112">
        <v>74.590522766113281</v>
      </c>
      <c r="E2" s="112">
        <v>84.787368774414063</v>
      </c>
      <c r="F2" s="112">
        <v>76.775924682617188</v>
      </c>
      <c r="G2" s="112">
        <v>82.486152648925781</v>
      </c>
      <c r="H2" s="112">
        <v>71.030441284179687</v>
      </c>
      <c r="I2" s="112">
        <v>76.06591796875</v>
      </c>
      <c r="J2" s="112">
        <v>85.436943054199219</v>
      </c>
      <c r="K2" s="112">
        <v>65.078506469726563</v>
      </c>
      <c r="L2" s="112">
        <v>78.397346496582031</v>
      </c>
      <c r="M2" s="112">
        <v>72.984207153320313</v>
      </c>
      <c r="N2" s="112">
        <v>77.999542236328125</v>
      </c>
      <c r="O2" s="112">
        <v>69.529869079589844</v>
      </c>
      <c r="P2" s="112">
        <v>70.260017395019531</v>
      </c>
      <c r="Q2" s="112">
        <v>74.182647705078125</v>
      </c>
      <c r="R2" s="112">
        <v>82.476081848144531</v>
      </c>
      <c r="S2" s="112">
        <v>75.481803894042969</v>
      </c>
      <c r="T2" s="112">
        <v>70.919662475585938</v>
      </c>
      <c r="U2" s="112">
        <v>71.639732360839844</v>
      </c>
      <c r="V2" s="112">
        <v>86.308082580566406</v>
      </c>
      <c r="W2" s="112">
        <v>66.377662658691406</v>
      </c>
      <c r="X2" s="112">
        <v>68.996109008789063</v>
      </c>
      <c r="Y2" s="112">
        <v>75.466697692871094</v>
      </c>
      <c r="Z2" s="112">
        <v>79.91302490234375</v>
      </c>
      <c r="AA2" s="112">
        <v>73.528038024902344</v>
      </c>
      <c r="AB2" s="112">
        <v>84.857864379882813</v>
      </c>
      <c r="AC2" s="112"/>
      <c r="AD2" s="112">
        <v>79.283592224121094</v>
      </c>
      <c r="AE2" s="112">
        <v>70.793777465820313</v>
      </c>
      <c r="AF2" s="112">
        <v>82.375373840332031</v>
      </c>
      <c r="AG2" s="112">
        <v>74.796981811523438</v>
      </c>
      <c r="AH2" s="12">
        <f>AVERAGE(B2:AG2)</f>
        <v>76.360738938854581</v>
      </c>
      <c r="AI2" s="12">
        <f>STDEV(B2:AG2)</f>
        <v>6.4386967109784408</v>
      </c>
      <c r="AJ2" s="15">
        <f>AI2/AH2</f>
        <v>8.431946574186755E-2</v>
      </c>
      <c r="AK2" s="12"/>
      <c r="AL2" s="12"/>
    </row>
    <row r="3" spans="1:38">
      <c r="A3" s="41" t="s">
        <v>32</v>
      </c>
      <c r="B3" s="112">
        <v>84.590980529785156</v>
      </c>
      <c r="C3" s="112">
        <v>66.095672607421875</v>
      </c>
      <c r="D3" s="112">
        <v>68.150146484375</v>
      </c>
      <c r="E3" s="112">
        <v>79.016708374023437</v>
      </c>
      <c r="F3" s="112">
        <v>70.325477600097656</v>
      </c>
      <c r="G3" s="112">
        <v>75.607688903808594</v>
      </c>
      <c r="H3" s="112">
        <v>65.904327392578125</v>
      </c>
      <c r="I3" s="112">
        <v>69.761505126953125</v>
      </c>
      <c r="J3" s="112">
        <v>79.369194030761719</v>
      </c>
      <c r="K3" s="112">
        <v>59.383384704589844</v>
      </c>
      <c r="L3" s="112">
        <v>71.9468994140625</v>
      </c>
      <c r="M3" s="112">
        <v>66.438087463378906</v>
      </c>
      <c r="N3" s="112">
        <v>71.579307556152344</v>
      </c>
      <c r="O3" s="112">
        <v>64.504463195800781</v>
      </c>
      <c r="P3" s="112">
        <v>65.013046264648437</v>
      </c>
      <c r="Q3" s="112">
        <v>68.0494384765625</v>
      </c>
      <c r="R3" s="112">
        <v>75.476768493652344</v>
      </c>
      <c r="S3" s="112">
        <v>69.252922058105469</v>
      </c>
      <c r="T3" s="112">
        <v>65.8992919921875</v>
      </c>
      <c r="U3" s="112">
        <v>65.984893798828125</v>
      </c>
      <c r="V3" s="112">
        <v>79.998626708984375</v>
      </c>
      <c r="W3" s="112">
        <v>61.684597015380859</v>
      </c>
      <c r="X3" s="112">
        <v>63.794460296630859</v>
      </c>
      <c r="Y3" s="112">
        <v>69.152206420898437</v>
      </c>
      <c r="Z3" s="112">
        <v>73.316551208496094</v>
      </c>
      <c r="AA3" s="112">
        <v>67.122909545898438</v>
      </c>
      <c r="AB3" s="112">
        <v>78.613868713378906</v>
      </c>
      <c r="AC3" s="112"/>
      <c r="AD3" s="112">
        <v>72.656898498535156</v>
      </c>
      <c r="AE3" s="112">
        <v>65.516593933105469</v>
      </c>
      <c r="AF3" s="112">
        <v>75.471733093261719</v>
      </c>
      <c r="AG3" s="112">
        <v>68.769515991210938</v>
      </c>
      <c r="AH3" s="12">
        <f t="shared" ref="AH3:AH7" si="1">AVERAGE(B3:AG3)</f>
        <v>70.272521480437248</v>
      </c>
      <c r="AI3" s="12">
        <f t="shared" ref="AI3:AI7" si="2">STDEV(B3:AG3)</f>
        <v>5.9475821774134454</v>
      </c>
      <c r="AJ3" s="15">
        <f t="shared" ref="AJ3:AJ7" si="3">AI3/AH3</f>
        <v>8.4635958011968562E-2</v>
      </c>
      <c r="AK3" s="12"/>
      <c r="AL3" s="12"/>
    </row>
    <row r="4" spans="1:38">
      <c r="A4" s="40" t="s">
        <v>33</v>
      </c>
      <c r="B4" s="112">
        <v>120.90180969238281</v>
      </c>
      <c r="C4" s="112">
        <v>101.04692077636719</v>
      </c>
      <c r="D4" s="112">
        <v>106.01693725585937</v>
      </c>
      <c r="E4" s="112">
        <v>117.92584228515625</v>
      </c>
      <c r="F4" s="112">
        <v>107.01396179199219</v>
      </c>
      <c r="G4" s="112">
        <v>114.90959167480469</v>
      </c>
      <c r="H4" s="112">
        <v>101.15266418457031</v>
      </c>
      <c r="I4" s="112">
        <v>104.36530303955078</v>
      </c>
      <c r="J4" s="112">
        <v>117.64385223388672</v>
      </c>
      <c r="K4" s="112">
        <v>92.914627075195313</v>
      </c>
      <c r="L4" s="112">
        <v>110.82078552246094</v>
      </c>
      <c r="M4" s="112">
        <v>105.15586853027344</v>
      </c>
      <c r="N4" s="112">
        <v>109.05836486816406</v>
      </c>
      <c r="O4" s="112">
        <v>92.023345947265625</v>
      </c>
      <c r="P4" s="112">
        <v>99.485923767089844</v>
      </c>
      <c r="Q4" s="112">
        <v>102.2252197265625</v>
      </c>
      <c r="R4" s="112">
        <v>109.98992919921875</v>
      </c>
      <c r="S4" s="112">
        <v>105.79537963867187</v>
      </c>
      <c r="T4" s="112">
        <v>99.959259033203125</v>
      </c>
      <c r="U4" s="112">
        <v>104.48111724853516</v>
      </c>
      <c r="V4" s="112">
        <v>119.44655609130859</v>
      </c>
      <c r="W4" s="112">
        <v>95.538108825683594</v>
      </c>
      <c r="X4" s="112">
        <v>99.480888366699219</v>
      </c>
      <c r="Y4" s="112">
        <v>105.19615173339844</v>
      </c>
      <c r="Z4" s="112">
        <v>109.87411499023437</v>
      </c>
      <c r="AA4" s="112">
        <v>102.43167877197266</v>
      </c>
      <c r="AB4" s="112">
        <v>117.03456115722656</v>
      </c>
      <c r="AC4" s="112"/>
      <c r="AD4" s="112">
        <v>110.00503540039062</v>
      </c>
      <c r="AE4" s="112">
        <v>99.9945068359375</v>
      </c>
      <c r="AF4" s="112">
        <v>111.03730773925781</v>
      </c>
      <c r="AG4" s="112">
        <v>101.8828125</v>
      </c>
      <c r="AH4" s="12">
        <f t="shared" si="1"/>
        <v>106.28414277107485</v>
      </c>
      <c r="AI4" s="12">
        <f t="shared" si="2"/>
        <v>7.5655788639107389</v>
      </c>
      <c r="AJ4" s="15">
        <f t="shared" si="3"/>
        <v>7.1182574057225265E-2</v>
      </c>
      <c r="AK4" s="12"/>
      <c r="AL4" s="12"/>
    </row>
    <row r="5" spans="1:38">
      <c r="A5" s="41" t="s">
        <v>34</v>
      </c>
      <c r="B5" s="112">
        <v>78.493019104003906</v>
      </c>
      <c r="C5" s="112">
        <v>66.297096252441406</v>
      </c>
      <c r="D5" s="112">
        <v>67.8883056640625</v>
      </c>
      <c r="E5" s="112">
        <v>78.739753723144531</v>
      </c>
      <c r="F5" s="112">
        <v>68.960861206054687</v>
      </c>
      <c r="G5" s="112">
        <v>75.864501953125</v>
      </c>
      <c r="H5" s="112">
        <v>65.169143676757813</v>
      </c>
      <c r="I5" s="112">
        <v>68.709083557128906</v>
      </c>
      <c r="J5" s="112">
        <v>78.387275695800781</v>
      </c>
      <c r="K5" s="112">
        <v>60.702678680419922</v>
      </c>
      <c r="L5" s="112">
        <v>74.807052612304688</v>
      </c>
      <c r="M5" s="112">
        <v>69.182418823242187</v>
      </c>
      <c r="N5" s="112">
        <v>71.468528747558594</v>
      </c>
      <c r="O5" s="112">
        <v>59.831539154052734</v>
      </c>
      <c r="P5" s="112">
        <v>64.882125854492187</v>
      </c>
      <c r="Q5" s="112">
        <v>66.402839660644531</v>
      </c>
      <c r="R5" s="112">
        <v>71.347679138183594</v>
      </c>
      <c r="S5" s="112">
        <v>68.573127746582031</v>
      </c>
      <c r="T5" s="112">
        <v>65.697868347167969</v>
      </c>
      <c r="U5" s="112">
        <v>67.409934997558594</v>
      </c>
      <c r="V5" s="112">
        <v>77.465782165527344</v>
      </c>
      <c r="W5" s="112">
        <v>64.026092529296875</v>
      </c>
      <c r="X5" s="112">
        <v>64.751205444335938</v>
      </c>
      <c r="Y5" s="112">
        <v>68.07965087890625</v>
      </c>
      <c r="Z5" s="112">
        <v>71.105972290039062</v>
      </c>
      <c r="AA5" s="112">
        <v>67.243759155273438</v>
      </c>
      <c r="AB5" s="112">
        <v>75.627830505371094</v>
      </c>
      <c r="AC5" s="112"/>
      <c r="AD5" s="112">
        <v>73.356834411621094</v>
      </c>
      <c r="AE5" s="112">
        <v>65.269859313964844</v>
      </c>
      <c r="AF5" s="112">
        <v>71.392997741699219</v>
      </c>
      <c r="AG5" s="112">
        <v>67.052413940429687</v>
      </c>
      <c r="AH5" s="12">
        <f t="shared" si="1"/>
        <v>69.48991074100617</v>
      </c>
      <c r="AI5" s="12">
        <f t="shared" si="2"/>
        <v>5.1017653567053793</v>
      </c>
      <c r="AJ5" s="15">
        <f t="shared" si="3"/>
        <v>7.3417353718009809E-2</v>
      </c>
      <c r="AK5" s="12"/>
      <c r="AL5" s="12"/>
    </row>
    <row r="6" spans="1:38">
      <c r="A6" s="40" t="s">
        <v>35</v>
      </c>
      <c r="B6" s="112">
        <v>85.159988403320312</v>
      </c>
      <c r="C6" s="112">
        <v>66.302131652832031</v>
      </c>
      <c r="D6" s="112">
        <v>68.301216125488281</v>
      </c>
      <c r="E6" s="112">
        <v>79.671318054199219</v>
      </c>
      <c r="F6" s="112">
        <v>70.471504211425781</v>
      </c>
      <c r="G6" s="112">
        <v>75.81414794921875</v>
      </c>
      <c r="H6" s="112">
        <v>66.659645080566406</v>
      </c>
      <c r="I6" s="112">
        <v>69.983062744140625</v>
      </c>
      <c r="J6" s="112">
        <v>79.958343505859375</v>
      </c>
      <c r="K6" s="112">
        <v>60.702678680419922</v>
      </c>
      <c r="L6" s="112">
        <v>74.837265014648438</v>
      </c>
      <c r="M6" s="112">
        <v>69.192489624023438</v>
      </c>
      <c r="N6" s="112">
        <v>71.453422546386719</v>
      </c>
      <c r="O6" s="112">
        <v>65.501487731933594</v>
      </c>
      <c r="P6" s="112">
        <v>64.877090454101563</v>
      </c>
      <c r="Q6" s="112">
        <v>68.411994934082031</v>
      </c>
      <c r="R6" s="112">
        <v>76.498970031738281</v>
      </c>
      <c r="S6" s="112">
        <v>69.368736267089844</v>
      </c>
      <c r="T6" s="112">
        <v>65.642478942871094</v>
      </c>
      <c r="U6" s="112">
        <v>67.379722595214844</v>
      </c>
      <c r="V6" s="112">
        <v>80.502174377441406</v>
      </c>
      <c r="W6" s="112">
        <v>64.005950927734375</v>
      </c>
      <c r="X6" s="112">
        <v>64.715950012207031</v>
      </c>
      <c r="Y6" s="112">
        <v>68.724189758300781</v>
      </c>
      <c r="Z6" s="112">
        <v>73.643852233886719</v>
      </c>
      <c r="AA6" s="112">
        <v>67.218582153320313</v>
      </c>
      <c r="AB6" s="112">
        <v>79.067062377929688</v>
      </c>
      <c r="AC6" s="112"/>
      <c r="AD6" s="112">
        <v>73.341728210449219</v>
      </c>
      <c r="AE6" s="112">
        <v>66.105743408203125</v>
      </c>
      <c r="AF6" s="112">
        <v>77.088119506835938</v>
      </c>
      <c r="AG6" s="112">
        <v>68.986038208007812</v>
      </c>
      <c r="AH6" s="12">
        <f t="shared" si="1"/>
        <v>70.954422120125059</v>
      </c>
      <c r="AI6" s="12">
        <f t="shared" si="2"/>
        <v>5.8955652411637249</v>
      </c>
      <c r="AJ6" s="15">
        <f t="shared" si="3"/>
        <v>8.3089468774512704E-2</v>
      </c>
      <c r="AK6" s="12"/>
      <c r="AL6" s="12"/>
    </row>
    <row r="7" spans="1:38">
      <c r="A7" s="40" t="s">
        <v>36</v>
      </c>
      <c r="B7" s="112">
        <v>86.091552734375</v>
      </c>
      <c r="C7" s="112">
        <v>66.120849609375</v>
      </c>
      <c r="D7" s="112">
        <v>68.331428527832031</v>
      </c>
      <c r="E7" s="112">
        <v>79.223159790039062</v>
      </c>
      <c r="F7" s="112">
        <v>70.698097229003906</v>
      </c>
      <c r="G7" s="112">
        <v>68.175323486328125</v>
      </c>
      <c r="H7" s="112">
        <v>65.9798583984375</v>
      </c>
      <c r="I7" s="112">
        <v>70.04852294921875</v>
      </c>
      <c r="J7" s="112">
        <v>79.721672058105469</v>
      </c>
      <c r="K7" s="112">
        <v>54.07598876953125</v>
      </c>
      <c r="L7" s="112">
        <v>65.249710083007813</v>
      </c>
      <c r="M7" s="112">
        <v>60.360263824462891</v>
      </c>
      <c r="N7" s="112">
        <v>71.599449157714844</v>
      </c>
      <c r="O7" s="112">
        <v>65.365531921386719</v>
      </c>
      <c r="P7" s="112">
        <v>65.063400268554687</v>
      </c>
      <c r="Q7" s="112">
        <v>68.437171936035156</v>
      </c>
      <c r="R7" s="112">
        <v>76.378120422363281</v>
      </c>
      <c r="S7" s="112">
        <v>69.409019470214844</v>
      </c>
      <c r="T7" s="112">
        <v>65.924468994140625</v>
      </c>
      <c r="U7" s="112">
        <v>59.720760345458984</v>
      </c>
      <c r="V7" s="112">
        <v>80.602882385253906</v>
      </c>
      <c r="W7" s="112">
        <v>55.274433135986328</v>
      </c>
      <c r="X7" s="112">
        <v>57.605857849121094</v>
      </c>
      <c r="Y7" s="112">
        <v>69.403984069824219</v>
      </c>
      <c r="Z7" s="112">
        <v>73.719383239746094</v>
      </c>
      <c r="AA7" s="112">
        <v>67.178298950195313</v>
      </c>
      <c r="AB7" s="112">
        <v>79.258415222167969</v>
      </c>
      <c r="AC7" s="112"/>
      <c r="AD7" s="112">
        <v>65.984893798828125</v>
      </c>
      <c r="AE7" s="112">
        <v>65.682762145996094</v>
      </c>
      <c r="AF7" s="112">
        <v>76.413368225097656</v>
      </c>
      <c r="AG7" s="112">
        <v>69.237808227539062</v>
      </c>
      <c r="AH7" s="12">
        <f t="shared" si="1"/>
        <v>68.914078620172319</v>
      </c>
      <c r="AI7" s="12">
        <f t="shared" si="2"/>
        <v>7.5060129367291166</v>
      </c>
      <c r="AJ7" s="15">
        <f t="shared" si="3"/>
        <v>0.10891842548021791</v>
      </c>
      <c r="AK7" s="12"/>
      <c r="AL7" s="12"/>
    </row>
    <row r="8" spans="1:38">
      <c r="A8" s="42" t="s">
        <v>37</v>
      </c>
      <c r="B8" s="112">
        <v>52</v>
      </c>
      <c r="C8" s="112">
        <v>63</v>
      </c>
      <c r="D8" s="112">
        <v>62</v>
      </c>
      <c r="E8" s="112">
        <v>62</v>
      </c>
      <c r="F8" s="112">
        <v>60</v>
      </c>
      <c r="G8" s="112">
        <v>64</v>
      </c>
      <c r="H8" s="112">
        <v>61</v>
      </c>
      <c r="I8" s="112">
        <v>61</v>
      </c>
      <c r="J8" s="112">
        <v>61</v>
      </c>
      <c r="K8" s="112">
        <v>66</v>
      </c>
      <c r="L8" s="112">
        <v>69</v>
      </c>
      <c r="M8" s="112">
        <v>69</v>
      </c>
      <c r="N8" s="112">
        <v>63</v>
      </c>
      <c r="O8" s="112">
        <v>52</v>
      </c>
      <c r="P8" s="112">
        <v>63</v>
      </c>
      <c r="Q8" s="112">
        <v>60</v>
      </c>
      <c r="R8" s="112">
        <v>55</v>
      </c>
      <c r="S8" s="112">
        <v>62</v>
      </c>
      <c r="T8" s="112">
        <v>63</v>
      </c>
      <c r="U8" s="112">
        <v>66</v>
      </c>
      <c r="V8" s="112">
        <v>59</v>
      </c>
      <c r="W8" s="112">
        <v>69</v>
      </c>
      <c r="X8" s="112">
        <v>65</v>
      </c>
      <c r="Y8" s="112">
        <v>61</v>
      </c>
      <c r="Z8" s="112">
        <v>59</v>
      </c>
      <c r="AA8" s="112">
        <v>63</v>
      </c>
      <c r="AB8" s="112">
        <v>58</v>
      </c>
      <c r="AC8" s="112"/>
      <c r="AD8" s="112">
        <v>64</v>
      </c>
      <c r="AE8" s="112">
        <v>62</v>
      </c>
      <c r="AF8" s="112">
        <v>55</v>
      </c>
      <c r="AG8" s="112">
        <v>59</v>
      </c>
      <c r="AI8"/>
      <c r="AJ8" s="14"/>
      <c r="AK8" s="14"/>
      <c r="AL8" s="12"/>
    </row>
    <row r="9" spans="1:38">
      <c r="A9" s="42" t="s">
        <v>40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/>
      <c r="AD9" s="113">
        <v>0</v>
      </c>
      <c r="AE9" s="113">
        <v>0</v>
      </c>
      <c r="AF9" s="113">
        <v>0</v>
      </c>
      <c r="AG9" s="113">
        <v>0</v>
      </c>
      <c r="AI9"/>
      <c r="AJ9" s="13"/>
      <c r="AK9" s="13"/>
      <c r="AL9" s="12"/>
    </row>
    <row r="10" spans="1:38">
      <c r="A10" s="42" t="s">
        <v>38</v>
      </c>
      <c r="B10" s="114">
        <v>0.31001743042400531</v>
      </c>
      <c r="C10" s="114">
        <v>0.40201216845120064</v>
      </c>
      <c r="D10" s="114">
        <v>0.42131913444670505</v>
      </c>
      <c r="E10" s="114">
        <v>0.39084210289519267</v>
      </c>
      <c r="F10" s="114">
        <v>0.39384790524341523</v>
      </c>
      <c r="G10" s="114">
        <v>0.39307735886141076</v>
      </c>
      <c r="H10" s="114">
        <v>0.42407483827781911</v>
      </c>
      <c r="I10" s="114">
        <v>0.37203764611671364</v>
      </c>
      <c r="J10" s="114">
        <v>0.37696701249313408</v>
      </c>
      <c r="K10" s="114">
        <v>0.42773139882086336</v>
      </c>
      <c r="L10" s="114">
        <v>0.41357827113820111</v>
      </c>
      <c r="M10" s="114">
        <v>0.44080305358896432</v>
      </c>
      <c r="N10" s="114">
        <v>0.39819237063894403</v>
      </c>
      <c r="O10" s="114">
        <v>0.32350811479204455</v>
      </c>
      <c r="P10" s="114">
        <v>0.41596782146743427</v>
      </c>
      <c r="Q10" s="114">
        <v>0.37802064079690079</v>
      </c>
      <c r="R10" s="114">
        <v>0.33359789571154558</v>
      </c>
      <c r="S10" s="114">
        <v>0.40160110358757944</v>
      </c>
      <c r="T10" s="114">
        <v>0.40947172538524212</v>
      </c>
      <c r="U10" s="114">
        <v>0.45842417057447404</v>
      </c>
      <c r="V10" s="114">
        <v>0.38395562176703746</v>
      </c>
      <c r="W10" s="114">
        <v>0.43931113267625665</v>
      </c>
      <c r="X10" s="114">
        <v>0.44183331199193937</v>
      </c>
      <c r="Y10" s="114">
        <v>0.39394136684658076</v>
      </c>
      <c r="Z10" s="114">
        <v>0.37492123623782264</v>
      </c>
      <c r="AA10" s="114">
        <v>0.39309685833424901</v>
      </c>
      <c r="AB10" s="114">
        <v>0.37918343824089751</v>
      </c>
      <c r="AC10" s="114"/>
      <c r="AD10" s="114">
        <v>0.38748803269944287</v>
      </c>
      <c r="AE10" s="114">
        <v>0.41247593242521191</v>
      </c>
      <c r="AF10" s="114">
        <v>0.34794299027378173</v>
      </c>
      <c r="AG10" s="114">
        <v>0.36212464771277231</v>
      </c>
      <c r="AI10"/>
      <c r="AJ10" s="15"/>
      <c r="AK10" s="15"/>
      <c r="AL10" s="15"/>
    </row>
    <row r="11" spans="1:38">
      <c r="A11" s="41" t="s">
        <v>39</v>
      </c>
      <c r="B11" s="114">
        <v>-1.0820624108487342E-2</v>
      </c>
      <c r="C11" s="114">
        <v>2.7416774667597139E-3</v>
      </c>
      <c r="D11" s="114">
        <v>-4.4214504210817433E-4</v>
      </c>
      <c r="E11" s="114">
        <v>5.6569097388678557E-3</v>
      </c>
      <c r="F11" s="114">
        <v>-3.2050794357894709E-3</v>
      </c>
      <c r="G11" s="114">
        <v>0.11204676519683129</v>
      </c>
      <c r="H11" s="114">
        <v>1.0302942422577321E-2</v>
      </c>
      <c r="I11" s="114">
        <v>-9.3449800683991554E-4</v>
      </c>
      <c r="J11" s="114">
        <v>2.9687215739956797E-3</v>
      </c>
      <c r="K11" s="114">
        <v>0.12254403593305048</v>
      </c>
      <c r="L11" s="114">
        <v>0.14693636062817381</v>
      </c>
      <c r="M11" s="114">
        <v>0.14632516890989813</v>
      </c>
      <c r="N11" s="114">
        <v>-2.0394935023377988E-3</v>
      </c>
      <c r="O11" s="114">
        <v>2.0799312198726575E-3</v>
      </c>
      <c r="P11" s="114">
        <v>-2.863511800553237E-3</v>
      </c>
      <c r="Q11" s="114">
        <v>-3.6788489706524838E-4</v>
      </c>
      <c r="R11" s="114">
        <v>1.5822542988320986E-3</v>
      </c>
      <c r="S11" s="114">
        <v>-5.8037418526401359E-4</v>
      </c>
      <c r="T11" s="114">
        <v>-4.2774717122802241E-3</v>
      </c>
      <c r="U11" s="114">
        <v>0.12824622803614769</v>
      </c>
      <c r="V11" s="114">
        <v>-1.2494343233428124E-3</v>
      </c>
      <c r="W11" s="114">
        <v>0.15796666372437942</v>
      </c>
      <c r="X11" s="114">
        <v>0.12342654772555249</v>
      </c>
      <c r="Y11" s="114">
        <v>-9.7947447921653483E-3</v>
      </c>
      <c r="Z11" s="114">
        <v>-1.0245745764548416E-3</v>
      </c>
      <c r="AA11" s="114">
        <v>5.9964607253400659E-4</v>
      </c>
      <c r="AB11" s="114">
        <v>-2.4142905671518059E-3</v>
      </c>
      <c r="AC11" s="114"/>
      <c r="AD11" s="114">
        <v>0.11149270671027055</v>
      </c>
      <c r="AE11" s="114">
        <v>6.4397605762506055E-3</v>
      </c>
      <c r="AF11" s="114">
        <v>8.8302779658999773E-3</v>
      </c>
      <c r="AG11" s="114">
        <v>-3.6363083404351536E-3</v>
      </c>
      <c r="AI11"/>
      <c r="AJ11" s="15"/>
      <c r="AK11" s="15"/>
      <c r="AL11" s="15"/>
    </row>
    <row r="12" spans="1:38">
      <c r="B12" s="7"/>
      <c r="E12" s="6"/>
    </row>
    <row r="13" spans="1:38">
      <c r="A13" s="108" t="s">
        <v>76</v>
      </c>
      <c r="B13" s="109">
        <f>MAX(B2:AG7)</f>
        <v>120.90180969238281</v>
      </c>
      <c r="E13" s="6"/>
    </row>
    <row r="14" spans="1:38">
      <c r="B14" s="7"/>
      <c r="E14" s="6"/>
    </row>
    <row r="15" spans="1:38">
      <c r="B15" s="7"/>
      <c r="E15" s="6"/>
    </row>
    <row r="16" spans="1:38">
      <c r="B16" s="7"/>
      <c r="E16" s="6"/>
    </row>
    <row r="17" spans="2:5">
      <c r="B17" s="7"/>
      <c r="E17" s="6"/>
    </row>
    <row r="18" spans="2:5">
      <c r="B18" s="7"/>
    </row>
    <row r="19" spans="2:5">
      <c r="B19" s="7"/>
    </row>
  </sheetData>
  <pageMargins left="0.7" right="0.7" top="0.75" bottom="0.75" header="0.3" footer="0.3"/>
  <pageSetup paperSize="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Summary</vt:lpstr>
      <vt:lpstr>Graphs</vt:lpstr>
      <vt:lpstr>Calculations</vt:lpstr>
      <vt:lpstr>data0</vt:lpstr>
      <vt:lpstr>DeltaComp</vt:lpstr>
      <vt:lpstr>glass</vt:lpstr>
      <vt:lpstr>inputN</vt:lpstr>
      <vt:lpstr>LotComp</vt:lpstr>
      <vt:lpstr>Lux</vt:lpstr>
      <vt:lpstr>maxComp</vt:lpstr>
      <vt:lpstr>maxCompCode</vt:lpstr>
      <vt:lpstr>minComp</vt:lpstr>
      <vt:lpstr>partNumber</vt:lpstr>
      <vt:lpstr>data0!Print_Area</vt:lpstr>
      <vt:lpstr>Summary!Print_Area</vt:lpstr>
      <vt:lpstr>RangeN</vt:lpstr>
      <vt:lpstr>xOffset</vt:lpstr>
      <vt:lpstr>yOffset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2013-09-30T02:28:51Z</dcterms:modified>
</cp:coreProperties>
</file>