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0" yWindow="45" windowWidth="17490" windowHeight="8595" tabRatio="799"/>
  </bookViews>
  <sheets>
    <sheet name="Summary" sheetId="1" r:id="rId1"/>
    <sheet name="Calculations" sheetId="2" r:id="rId2"/>
    <sheet name="data0" sheetId="3" r:id="rId3"/>
    <sheet name="data1" sheetId="4" r:id="rId4"/>
    <sheet name="data2" sheetId="5" r:id="rId5"/>
    <sheet name="data3" sheetId="6" r:id="rId6"/>
    <sheet name="data4" sheetId="7" r:id="rId7"/>
  </sheets>
  <functionGroups/>
  <definedNames>
    <definedName name="count">Calculations!$C$2</definedName>
    <definedName name="v_0">Summary!$E$3</definedName>
    <definedName name="v_1">Summary!$E$4</definedName>
    <definedName name="v_2">Summary!$E$5</definedName>
    <definedName name="v_3">Summary!$K$2</definedName>
    <definedName name="v_4">Summary!$J$3</definedName>
  </definedNames>
  <calcPr calcId="125725"/>
</workbook>
</file>

<file path=xl/calcChain.xml><?xml version="1.0" encoding="utf-8"?>
<calcChain xmlns="http://schemas.openxmlformats.org/spreadsheetml/2006/main">
  <c r="H24" i="7"/>
  <c r="H23"/>
  <c r="H22"/>
  <c r="H21"/>
  <c r="H20"/>
  <c r="H19"/>
  <c r="H18"/>
  <c r="H17"/>
  <c r="H16"/>
  <c r="I1" i="2"/>
  <c r="C2"/>
  <c r="K5" i="1" s="1"/>
  <c r="K10"/>
  <c r="F24" i="7"/>
  <c r="F23"/>
  <c r="F22"/>
  <c r="F21"/>
  <c r="F20"/>
  <c r="F19"/>
  <c r="F18"/>
  <c r="F17"/>
  <c r="F16"/>
  <c r="C1"/>
  <c r="D1" s="1"/>
  <c r="E1" s="1"/>
  <c r="F1" s="1"/>
  <c r="G1" s="1"/>
  <c r="H1" s="1"/>
  <c r="I1" s="1"/>
  <c r="J1" s="1"/>
  <c r="K1" s="1"/>
  <c r="A8" i="3"/>
  <c r="A9" s="1"/>
  <c r="A10" s="1"/>
  <c r="D24" i="7"/>
  <c r="D23"/>
  <c r="D22"/>
  <c r="D21"/>
  <c r="D20"/>
  <c r="D19"/>
  <c r="D18"/>
  <c r="D17"/>
  <c r="D16"/>
  <c r="A7" i="2"/>
  <c r="A6"/>
  <c r="A5"/>
  <c r="AO1"/>
  <c r="AN1"/>
  <c r="AM1"/>
  <c r="AL1"/>
  <c r="AK1"/>
  <c r="AJ1"/>
  <c r="AI1"/>
  <c r="AH1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A8" i="7"/>
  <c r="H16" i="2" s="1"/>
  <c r="A16" s="1"/>
  <c r="A7" i="7"/>
  <c r="H15" i="2" s="1"/>
  <c r="A15" s="1"/>
  <c r="A6" i="7"/>
  <c r="H14" i="2" s="1"/>
  <c r="A14" s="1"/>
  <c r="A5" i="7"/>
  <c r="H13" i="2" s="1"/>
  <c r="A13" s="1"/>
  <c r="A4" i="7"/>
  <c r="H12" i="2" s="1"/>
  <c r="A12" s="1"/>
  <c r="A3" i="7"/>
  <c r="H11" i="2" s="1"/>
  <c r="A11" s="1"/>
  <c r="A2" i="7"/>
  <c r="H10" i="2" s="1"/>
  <c r="A10" s="1"/>
  <c r="AA1" i="3"/>
  <c r="AB1" s="1"/>
  <c r="AC1" s="1"/>
  <c r="AD1" s="1"/>
  <c r="AE1" s="1"/>
  <c r="AF1" s="1"/>
  <c r="AG1" s="1"/>
  <c r="D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C1"/>
  <c r="A5"/>
  <c r="A6" s="1"/>
  <c r="A7" s="1"/>
  <c r="A4"/>
  <c r="A3"/>
  <c r="A1" i="2"/>
  <c r="A16" i="7" l="1"/>
  <c r="A18"/>
  <c r="A20"/>
  <c r="A22"/>
  <c r="A17"/>
  <c r="A19"/>
  <c r="A21"/>
  <c r="B21"/>
  <c r="I15" i="2" s="1"/>
  <c r="B15" s="1"/>
  <c r="B24" i="7"/>
  <c r="I18" i="2" s="1"/>
  <c r="B18" s="1"/>
  <c r="B23" i="7"/>
  <c r="I17" i="2" s="1"/>
  <c r="B17" s="1"/>
  <c r="B22" i="7"/>
  <c r="I16" i="2" s="1"/>
  <c r="B16" s="1"/>
  <c r="B20" i="7"/>
  <c r="I14" i="2" s="1"/>
  <c r="B14" s="1"/>
  <c r="B19" i="7"/>
  <c r="I13" i="2" s="1"/>
  <c r="B13" s="1"/>
  <c r="B18" i="7"/>
  <c r="I12" i="2" s="1"/>
  <c r="B12" s="1"/>
  <c r="B17" i="7"/>
  <c r="I11" i="2" s="1"/>
  <c r="B11" s="1"/>
  <c r="B16" i="7"/>
  <c r="I10" i="2" s="1"/>
  <c r="B10" s="1"/>
  <c r="A10" i="7"/>
  <c r="A9"/>
  <c r="H17" i="2" l="1"/>
  <c r="A17" s="1"/>
  <c r="A23" i="7"/>
  <c r="H18" i="2"/>
  <c r="A18" s="1"/>
  <c r="A24" i="7"/>
  <c r="I3" i="2"/>
  <c r="I2" s="1"/>
  <c r="AN2" l="1"/>
  <c r="AO2"/>
  <c r="AL2"/>
  <c r="AI2"/>
  <c r="AG2"/>
  <c r="AK2"/>
  <c r="AH2"/>
  <c r="AF2"/>
  <c r="AE2"/>
  <c r="AC2"/>
  <c r="AA2"/>
  <c r="W2"/>
  <c r="AB2"/>
  <c r="Z2"/>
  <c r="X2"/>
  <c r="V2"/>
  <c r="S2"/>
  <c r="P2"/>
  <c r="N2"/>
  <c r="L2"/>
  <c r="T2"/>
  <c r="Q2"/>
  <c r="O2"/>
  <c r="M2"/>
  <c r="K2"/>
  <c r="J2"/>
  <c r="J3" l="1"/>
  <c r="J18" s="1"/>
  <c r="J16"/>
  <c r="J12"/>
  <c r="J10"/>
  <c r="J17"/>
  <c r="J15"/>
  <c r="J13"/>
  <c r="J11"/>
  <c r="AL3"/>
  <c r="AL6" s="1"/>
  <c r="AL5"/>
  <c r="AN3"/>
  <c r="AN6" s="1"/>
  <c r="AN5"/>
  <c r="AO5"/>
  <c r="AO3"/>
  <c r="AO6" s="1"/>
  <c r="AF3"/>
  <c r="AF6" s="1"/>
  <c r="AF5"/>
  <c r="AK5"/>
  <c r="AK3"/>
  <c r="AK6" s="1"/>
  <c r="AI3"/>
  <c r="AI6" s="1"/>
  <c r="AI5"/>
  <c r="AH3"/>
  <c r="AH6" s="1"/>
  <c r="AH5"/>
  <c r="AG5"/>
  <c r="AG3"/>
  <c r="AG6" s="1"/>
  <c r="V3"/>
  <c r="V6" s="1"/>
  <c r="V5"/>
  <c r="Z3"/>
  <c r="Z6" s="1"/>
  <c r="Z5"/>
  <c r="W5"/>
  <c r="W3"/>
  <c r="W6" s="1"/>
  <c r="AA5"/>
  <c r="AA3"/>
  <c r="AA6" s="1"/>
  <c r="AE5"/>
  <c r="AE3"/>
  <c r="AE6" s="1"/>
  <c r="X3"/>
  <c r="X6" s="1"/>
  <c r="X5"/>
  <c r="AB3"/>
  <c r="AB6" s="1"/>
  <c r="AB5"/>
  <c r="AC5"/>
  <c r="AC3"/>
  <c r="AC6" s="1"/>
  <c r="K5"/>
  <c r="K3"/>
  <c r="K6" s="1"/>
  <c r="O5"/>
  <c r="O3"/>
  <c r="O6" s="1"/>
  <c r="T3"/>
  <c r="T6" s="1"/>
  <c r="T5"/>
  <c r="N3"/>
  <c r="N6" s="1"/>
  <c r="N5"/>
  <c r="S5"/>
  <c r="S3"/>
  <c r="S6" s="1"/>
  <c r="M3"/>
  <c r="M6" s="1"/>
  <c r="M5"/>
  <c r="Q3"/>
  <c r="Q6" s="1"/>
  <c r="Q5"/>
  <c r="L3"/>
  <c r="L6" s="1"/>
  <c r="L5"/>
  <c r="P3"/>
  <c r="P6" s="1"/>
  <c r="P5"/>
  <c r="J5"/>
  <c r="J6"/>
  <c r="AO10" l="1"/>
  <c r="AO14"/>
  <c r="AO18"/>
  <c r="AO13"/>
  <c r="AO17"/>
  <c r="AI12"/>
  <c r="AI16"/>
  <c r="AI11"/>
  <c r="AI15"/>
  <c r="AK11"/>
  <c r="AK15"/>
  <c r="AK10"/>
  <c r="AK14"/>
  <c r="AK18"/>
  <c r="AF13"/>
  <c r="AF17"/>
  <c r="AF12"/>
  <c r="AF16"/>
  <c r="AC11"/>
  <c r="AC15"/>
  <c r="AC10"/>
  <c r="AC14"/>
  <c r="AC18"/>
  <c r="W12"/>
  <c r="W16"/>
  <c r="W11"/>
  <c r="W15"/>
  <c r="Z10"/>
  <c r="Z14"/>
  <c r="Z18"/>
  <c r="Z13"/>
  <c r="Z17"/>
  <c r="V13"/>
  <c r="V17"/>
  <c r="V12"/>
  <c r="V16"/>
  <c r="P11"/>
  <c r="P15"/>
  <c r="P10"/>
  <c r="P14"/>
  <c r="P18"/>
  <c r="L13"/>
  <c r="L17"/>
  <c r="L12"/>
  <c r="L16"/>
  <c r="Q10"/>
  <c r="Q14"/>
  <c r="Q18"/>
  <c r="Q13"/>
  <c r="Q17"/>
  <c r="M12"/>
  <c r="M16"/>
  <c r="M11"/>
  <c r="M15"/>
  <c r="J14"/>
  <c r="AN11"/>
  <c r="AN15"/>
  <c r="AN10"/>
  <c r="AN14"/>
  <c r="AN18"/>
  <c r="AL12"/>
  <c r="AL16"/>
  <c r="AL11"/>
  <c r="AL15"/>
  <c r="AG10"/>
  <c r="AG14"/>
  <c r="AG18"/>
  <c r="AG13"/>
  <c r="AG17"/>
  <c r="AH13"/>
  <c r="AH17"/>
  <c r="AH12"/>
  <c r="AH16"/>
  <c r="AE10"/>
  <c r="AE14"/>
  <c r="AE18"/>
  <c r="AE13"/>
  <c r="AE17"/>
  <c r="AA13"/>
  <c r="AA17"/>
  <c r="AA12"/>
  <c r="AA16"/>
  <c r="AB10"/>
  <c r="AB14"/>
  <c r="AB18"/>
  <c r="AB13"/>
  <c r="AB17"/>
  <c r="X13"/>
  <c r="X17"/>
  <c r="X12"/>
  <c r="X16"/>
  <c r="S11"/>
  <c r="S15"/>
  <c r="S10"/>
  <c r="S14"/>
  <c r="S18"/>
  <c r="N13"/>
  <c r="N17"/>
  <c r="N12"/>
  <c r="N16"/>
  <c r="T10"/>
  <c r="T14"/>
  <c r="T18"/>
  <c r="T13"/>
  <c r="T17"/>
  <c r="O12"/>
  <c r="O16"/>
  <c r="O11"/>
  <c r="O15"/>
  <c r="K10"/>
  <c r="K14"/>
  <c r="K18"/>
  <c r="K13"/>
  <c r="K17"/>
  <c r="AO12"/>
  <c r="AO16"/>
  <c r="AO11"/>
  <c r="AO15"/>
  <c r="AI10"/>
  <c r="AI14"/>
  <c r="AI18"/>
  <c r="AI13"/>
  <c r="AI17"/>
  <c r="AK13"/>
  <c r="AK17"/>
  <c r="AK12"/>
  <c r="AK16"/>
  <c r="AF11"/>
  <c r="AF15"/>
  <c r="AF10"/>
  <c r="AF14"/>
  <c r="AF18"/>
  <c r="AC13"/>
  <c r="AC17"/>
  <c r="AC12"/>
  <c r="AC16"/>
  <c r="W10"/>
  <c r="W14"/>
  <c r="W18"/>
  <c r="W13"/>
  <c r="W17"/>
  <c r="Z12"/>
  <c r="Z16"/>
  <c r="Z11"/>
  <c r="Z15"/>
  <c r="V11"/>
  <c r="V15"/>
  <c r="V10"/>
  <c r="V14"/>
  <c r="V18"/>
  <c r="P13"/>
  <c r="P17"/>
  <c r="P12"/>
  <c r="P16"/>
  <c r="L11"/>
  <c r="L15"/>
  <c r="L10"/>
  <c r="L14"/>
  <c r="L18"/>
  <c r="Q12"/>
  <c r="Q16"/>
  <c r="Q11"/>
  <c r="Q15"/>
  <c r="M10"/>
  <c r="M14"/>
  <c r="M18"/>
  <c r="M13"/>
  <c r="M17"/>
  <c r="AN13"/>
  <c r="AN17"/>
  <c r="AN12"/>
  <c r="AN16"/>
  <c r="AL10"/>
  <c r="AL14"/>
  <c r="AL18"/>
  <c r="AL13"/>
  <c r="AL17"/>
  <c r="AG12"/>
  <c r="AG16"/>
  <c r="AG11"/>
  <c r="AG15"/>
  <c r="AH11"/>
  <c r="AH15"/>
  <c r="AH10"/>
  <c r="AH14"/>
  <c r="AH18"/>
  <c r="AE12"/>
  <c r="AE16"/>
  <c r="AE11"/>
  <c r="AE15"/>
  <c r="AA11"/>
  <c r="AA15"/>
  <c r="AA10"/>
  <c r="AA14"/>
  <c r="AA18"/>
  <c r="AB12"/>
  <c r="AB16"/>
  <c r="AB11"/>
  <c r="AB15"/>
  <c r="X11"/>
  <c r="X15"/>
  <c r="X10"/>
  <c r="X14"/>
  <c r="X18"/>
  <c r="S13"/>
  <c r="S17"/>
  <c r="S12"/>
  <c r="S16"/>
  <c r="N11"/>
  <c r="N15"/>
  <c r="N10"/>
  <c r="N14"/>
  <c r="N18"/>
  <c r="T12"/>
  <c r="T16"/>
  <c r="T11"/>
  <c r="T15"/>
  <c r="O10"/>
  <c r="O14"/>
  <c r="O18"/>
  <c r="O13"/>
  <c r="O17"/>
  <c r="K12"/>
  <c r="K16"/>
  <c r="K11"/>
  <c r="K15"/>
  <c r="AO7"/>
  <c r="AN7"/>
  <c r="AL7"/>
  <c r="AH7"/>
  <c r="AI7"/>
  <c r="AF7"/>
  <c r="D5"/>
  <c r="F6"/>
  <c r="F5"/>
  <c r="D6"/>
  <c r="E4" i="1" s="1"/>
  <c r="J7" i="2"/>
  <c r="AG7" l="1"/>
  <c r="W7"/>
  <c r="V7"/>
  <c r="X7"/>
  <c r="AK7"/>
  <c r="AE7"/>
  <c r="AA7"/>
  <c r="Z7"/>
  <c r="AB7"/>
  <c r="AC7"/>
  <c r="T7"/>
  <c r="Q7"/>
  <c r="N7"/>
  <c r="O7"/>
  <c r="M7"/>
  <c r="P7"/>
  <c r="L7"/>
  <c r="K7"/>
  <c r="S7"/>
  <c r="D18"/>
  <c r="B37"/>
  <c r="E3" i="1"/>
  <c r="D3" s="1"/>
  <c r="B38" i="2"/>
  <c r="F13"/>
  <c r="D11"/>
  <c r="D15"/>
  <c r="F18"/>
  <c r="F16"/>
  <c r="D10"/>
  <c r="F11"/>
  <c r="F10"/>
  <c r="C10" s="1"/>
  <c r="D16"/>
  <c r="F14"/>
  <c r="D13"/>
  <c r="D12"/>
  <c r="F17"/>
  <c r="D14"/>
  <c r="D17"/>
  <c r="F12"/>
  <c r="F15"/>
  <c r="C15" s="1"/>
  <c r="D4" i="1"/>
  <c r="F4"/>
  <c r="C18" i="2" l="1"/>
  <c r="E10"/>
  <c r="C11"/>
  <c r="E11"/>
  <c r="E13"/>
  <c r="C13"/>
  <c r="F3" i="1"/>
  <c r="C17" i="2"/>
  <c r="E18"/>
  <c r="C12"/>
  <c r="B36"/>
  <c r="B39" s="1"/>
  <c r="B40" s="1"/>
  <c r="B41" s="1"/>
  <c r="B42" s="1"/>
  <c r="B43" s="1"/>
  <c r="D7"/>
  <c r="E16"/>
  <c r="E12"/>
  <c r="C16"/>
  <c r="C14"/>
  <c r="E17"/>
  <c r="F7"/>
  <c r="E14"/>
  <c r="E15"/>
  <c r="C39"/>
  <c r="C41"/>
  <c r="C43"/>
  <c r="C40"/>
  <c r="C42"/>
  <c r="C38"/>
  <c r="E5" i="1" l="1"/>
  <c r="F5" s="1"/>
  <c r="B53" i="2"/>
  <c r="B54"/>
  <c r="D5" i="1" l="1"/>
  <c r="B52" i="2"/>
  <c r="B55" s="1"/>
  <c r="B56" s="1"/>
  <c r="B57" s="1"/>
  <c r="B58" s="1"/>
  <c r="B59" s="1"/>
  <c r="C55"/>
  <c r="C57"/>
  <c r="C59"/>
  <c r="C54"/>
  <c r="C56"/>
  <c r="C58"/>
</calcChain>
</file>

<file path=xl/sharedStrings.xml><?xml version="1.0" encoding="utf-8"?>
<sst xmlns="http://schemas.openxmlformats.org/spreadsheetml/2006/main" count="49" uniqueCount="42">
  <si>
    <t>m</t>
  </si>
  <si>
    <t>b</t>
  </si>
  <si>
    <t>Gain (%FSR)</t>
  </si>
  <si>
    <t>Offset (Lux)</t>
  </si>
  <si>
    <t>Linearity (%FSR)</t>
  </si>
  <si>
    <t>Range</t>
  </si>
  <si>
    <t>Mean</t>
  </si>
  <si>
    <t>Stdev</t>
  </si>
  <si>
    <t>average</t>
  </si>
  <si>
    <t>calibrated</t>
  </si>
  <si>
    <t>+1.5S</t>
  </si>
  <si>
    <t>-1.5S</t>
  </si>
  <si>
    <t>DUT</t>
  </si>
  <si>
    <t>CAL</t>
  </si>
  <si>
    <t>#</t>
  </si>
  <si>
    <t>Label</t>
  </si>
  <si>
    <t>Sub Label</t>
  </si>
  <si>
    <r>
      <t>6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Min</t>
    </r>
  </si>
  <si>
    <r>
      <t>6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Max</t>
    </r>
  </si>
  <si>
    <t>Unit</t>
  </si>
  <si>
    <t>Xfer Function</t>
  </si>
  <si>
    <t>Gain</t>
  </si>
  <si>
    <t>Offset</t>
  </si>
  <si>
    <t>Xfer</t>
  </si>
  <si>
    <t>Lux</t>
  </si>
  <si>
    <t>%FSR</t>
  </si>
  <si>
    <t>select= { 0, 1 }</t>
  </si>
  <si>
    <t>IRV:</t>
  </si>
  <si>
    <t>amps:</t>
  </si>
  <si>
    <t>volts:</t>
  </si>
  <si>
    <t>watts:</t>
  </si>
  <si>
    <t>Gain Histogram</t>
  </si>
  <si>
    <t>max</t>
  </si>
  <si>
    <t>min</t>
  </si>
  <si>
    <t>step</t>
  </si>
  <si>
    <t>count=</t>
  </si>
  <si>
    <t>QTH</t>
  </si>
  <si>
    <t>DUT Range:</t>
  </si>
  <si>
    <t>INL Histogram</t>
  </si>
  <si>
    <t>#/samples</t>
  </si>
  <si>
    <t>Solar</t>
  </si>
  <si>
    <t>ND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</si>
</sst>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%"/>
    <numFmt numFmtId="166" formatCode="0.000"/>
  </numFmts>
  <fonts count="2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quotePrefix="1" applyAlignment="1">
      <alignment horizontal="center"/>
    </xf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2" borderId="2" xfId="0" applyFill="1" applyBorder="1" applyAlignment="1">
      <alignment horizontal="right"/>
    </xf>
    <xf numFmtId="0" fontId="0" fillId="0" borderId="3" xfId="0" applyBorder="1" applyAlignment="1">
      <alignment horizontal="center"/>
    </xf>
    <xf numFmtId="2" fontId="0" fillId="2" borderId="2" xfId="0" applyNumberFormat="1" applyFill="1" applyBorder="1"/>
    <xf numFmtId="2" fontId="0" fillId="2" borderId="4" xfId="0" applyNumberFormat="1" applyFill="1" applyBorder="1"/>
    <xf numFmtId="0" fontId="0" fillId="0" borderId="5" xfId="0" applyBorder="1"/>
    <xf numFmtId="1" fontId="0" fillId="2" borderId="8" xfId="0" applyNumberFormat="1" applyFill="1" applyBorder="1" applyAlignment="1">
      <alignment horizontal="right"/>
    </xf>
    <xf numFmtId="0" fontId="0" fillId="0" borderId="10" xfId="0" applyBorder="1"/>
    <xf numFmtId="164" fontId="0" fillId="0" borderId="10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/>
    <xf numFmtId="1" fontId="0" fillId="2" borderId="9" xfId="0" applyNumberFormat="1" applyFill="1" applyBorder="1" applyAlignment="1">
      <alignment horizontal="left"/>
    </xf>
    <xf numFmtId="0" fontId="0" fillId="0" borderId="11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Fill="1" applyBorder="1" applyAlignment="1">
      <alignment vertical="top"/>
    </xf>
    <xf numFmtId="0" fontId="0" fillId="0" borderId="0" xfId="0" applyFill="1" applyBorder="1" applyAlignment="1">
      <alignment horizontal="right"/>
    </xf>
    <xf numFmtId="0" fontId="0" fillId="0" borderId="0" xfId="0" applyAlignment="1">
      <alignment horizontal="right"/>
    </xf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164" fontId="0" fillId="3" borderId="0" xfId="0" applyNumberFormat="1" applyFill="1" applyAlignment="1">
      <alignment horizontal="left"/>
    </xf>
    <xf numFmtId="0" fontId="0" fillId="2" borderId="7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0" borderId="1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4" fontId="0" fillId="0" borderId="5" xfId="0" applyNumberFormat="1" applyFont="1" applyBorder="1" applyAlignment="1">
      <alignment horizontal="center"/>
    </xf>
  </cellXfs>
  <cellStyles count="1"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Xfer Function Error in Lux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Calculations!$C$9</c:f>
              <c:strCache>
                <c:ptCount val="1"/>
                <c:pt idx="0">
                  <c:v>-1.5S</c:v>
                </c:pt>
              </c:strCache>
            </c:strRef>
          </c:tx>
          <c:xVal>
            <c:numRef>
              <c:f>Calculations!$B$10:$B$18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Calculations!$C$10:$C$18</c:f>
              <c:numCache>
                <c:formatCode>0.0</c:formatCode>
                <c:ptCount val="9"/>
                <c:pt idx="0">
                  <c:v>0</c:v>
                </c:pt>
                <c:pt idx="1">
                  <c:v>0.16627022281904758</c:v>
                </c:pt>
                <c:pt idx="2">
                  <c:v>3.7312378876260865</c:v>
                </c:pt>
                <c:pt idx="3">
                  <c:v>-5.5848452239879718</c:v>
                </c:pt>
                <c:pt idx="4">
                  <c:v>1.3233435915034937</c:v>
                </c:pt>
                <c:pt idx="5">
                  <c:v>1.9370882397472764</c:v>
                </c:pt>
                <c:pt idx="6">
                  <c:v>12.227507885858842</c:v>
                </c:pt>
                <c:pt idx="7">
                  <c:v>5.1066368283689059</c:v>
                </c:pt>
                <c:pt idx="8">
                  <c:v>-1.827024591197126E-13</c:v>
                </c:pt>
              </c:numCache>
            </c:numRef>
          </c:yVal>
        </c:ser>
        <c:ser>
          <c:idx val="1"/>
          <c:order val="1"/>
          <c:tx>
            <c:strRef>
              <c:f>Calculations!$D$9</c:f>
              <c:strCache>
                <c:ptCount val="1"/>
                <c:pt idx="0">
                  <c:v>Mean</c:v>
                </c:pt>
              </c:strCache>
            </c:strRef>
          </c:tx>
          <c:xVal>
            <c:numRef>
              <c:f>Calculations!$B$10:$B$18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Calculations!$D$10:$D$18</c:f>
              <c:numCache>
                <c:formatCode>0.0</c:formatCode>
                <c:ptCount val="9"/>
                <c:pt idx="0">
                  <c:v>0</c:v>
                </c:pt>
                <c:pt idx="1">
                  <c:v>4.2955932841112094</c:v>
                </c:pt>
                <c:pt idx="2">
                  <c:v>6.8051196107579521</c:v>
                </c:pt>
                <c:pt idx="3">
                  <c:v>-1.4262345465181301</c:v>
                </c:pt>
                <c:pt idx="4">
                  <c:v>7.1905560055881734</c:v>
                </c:pt>
                <c:pt idx="5">
                  <c:v>7.638031411270215</c:v>
                </c:pt>
                <c:pt idx="6">
                  <c:v>19.029102840555741</c:v>
                </c:pt>
                <c:pt idx="7">
                  <c:v>9.271124179377205</c:v>
                </c:pt>
                <c:pt idx="8">
                  <c:v>-8.0943798672286415E-14</c:v>
                </c:pt>
              </c:numCache>
            </c:numRef>
          </c:yVal>
        </c:ser>
        <c:ser>
          <c:idx val="2"/>
          <c:order val="2"/>
          <c:tx>
            <c:strRef>
              <c:f>Calculations!$E$9</c:f>
              <c:strCache>
                <c:ptCount val="1"/>
                <c:pt idx="0">
                  <c:v>+1.5S</c:v>
                </c:pt>
              </c:strCache>
            </c:strRef>
          </c:tx>
          <c:xVal>
            <c:numRef>
              <c:f>Calculations!$B$10:$B$18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Calculations!$E$10:$E$18</c:f>
              <c:numCache>
                <c:formatCode>0.0</c:formatCode>
                <c:ptCount val="9"/>
                <c:pt idx="0">
                  <c:v>0</c:v>
                </c:pt>
                <c:pt idx="1">
                  <c:v>8.4249163454033713</c:v>
                </c:pt>
                <c:pt idx="2">
                  <c:v>9.8790013338898177</c:v>
                </c:pt>
                <c:pt idx="3">
                  <c:v>2.7323761309517112</c:v>
                </c:pt>
                <c:pt idx="4">
                  <c:v>13.057768419672854</c:v>
                </c:pt>
                <c:pt idx="5">
                  <c:v>13.338974582793153</c:v>
                </c:pt>
                <c:pt idx="6">
                  <c:v>25.83069779525264</c:v>
                </c:pt>
                <c:pt idx="7">
                  <c:v>13.435611530385504</c:v>
                </c:pt>
                <c:pt idx="8">
                  <c:v>2.0814861775139765E-14</c:v>
                </c:pt>
              </c:numCache>
            </c:numRef>
          </c:yVal>
        </c:ser>
        <c:axId val="179227648"/>
        <c:axId val="179406336"/>
      </c:scatterChart>
      <c:valAx>
        <c:axId val="17922764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Input Level in Lux</a:t>
                </a:r>
              </a:p>
            </c:rich>
          </c:tx>
          <c:layout/>
        </c:title>
        <c:numFmt formatCode="General" sourceLinked="0"/>
        <c:tickLblPos val="nextTo"/>
        <c:crossAx val="179406336"/>
        <c:crosses val="autoZero"/>
        <c:crossBetween val="midCat"/>
      </c:valAx>
      <c:valAx>
        <c:axId val="1794063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Deviation from Nominal</a:t>
                </a:r>
                <a:r>
                  <a:rPr lang="en-US" baseline="0"/>
                  <a:t> in %FSR</a:t>
                </a:r>
                <a:endParaRPr lang="en-US"/>
              </a:p>
            </c:rich>
          </c:tx>
          <c:layout/>
        </c:title>
        <c:numFmt formatCode="0.0" sourceLinked="1"/>
        <c:tickLblPos val="nextTo"/>
        <c:crossAx val="17922764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Calculations!$B$35</c:f>
              <c:strCache>
                <c:ptCount val="1"/>
                <c:pt idx="0">
                  <c:v>Gain Histogram</c:v>
                </c:pt>
              </c:strCache>
            </c:strRef>
          </c:tx>
          <c:cat>
            <c:numRef>
              <c:f>Calculations!$B$38:$B$43</c:f>
              <c:numCache>
                <c:formatCode>0.0%</c:formatCode>
                <c:ptCount val="6"/>
                <c:pt idx="0">
                  <c:v>0.19862821393789476</c:v>
                </c:pt>
                <c:pt idx="1">
                  <c:v>0.28904156902637734</c:v>
                </c:pt>
                <c:pt idx="2">
                  <c:v>0.37945492411485993</c:v>
                </c:pt>
                <c:pt idx="3">
                  <c:v>0.46986827920334251</c:v>
                </c:pt>
                <c:pt idx="4">
                  <c:v>0.56028163429182509</c:v>
                </c:pt>
                <c:pt idx="5">
                  <c:v>0.65069498938030768</c:v>
                </c:pt>
              </c:numCache>
            </c:numRef>
          </c:cat>
          <c:val>
            <c:numRef>
              <c:f>Calculations!$C$38:$C$43</c:f>
              <c:numCache>
                <c:formatCode>0.0%</c:formatCode>
                <c:ptCount val="6"/>
                <c:pt idx="0">
                  <c:v>0</c:v>
                </c:pt>
                <c:pt idx="1">
                  <c:v>0.15384615384615385</c:v>
                </c:pt>
                <c:pt idx="2">
                  <c:v>0.42307692307692307</c:v>
                </c:pt>
                <c:pt idx="3">
                  <c:v>0.11538461538461539</c:v>
                </c:pt>
                <c:pt idx="4">
                  <c:v>7.6923076923076927E-2</c:v>
                </c:pt>
                <c:pt idx="5">
                  <c:v>0.23076923076923078</c:v>
                </c:pt>
              </c:numCache>
            </c:numRef>
          </c:val>
        </c:ser>
        <c:axId val="179430912"/>
        <c:axId val="179432448"/>
      </c:barChart>
      <c:catAx>
        <c:axId val="179430912"/>
        <c:scaling>
          <c:orientation val="minMax"/>
        </c:scaling>
        <c:axPos val="b"/>
        <c:numFmt formatCode="0.0%" sourceLinked="1"/>
        <c:tickLblPos val="nextTo"/>
        <c:crossAx val="179432448"/>
        <c:crosses val="autoZero"/>
        <c:auto val="1"/>
        <c:lblAlgn val="ctr"/>
        <c:lblOffset val="100"/>
      </c:catAx>
      <c:valAx>
        <c:axId val="179432448"/>
        <c:scaling>
          <c:orientation val="minMax"/>
        </c:scaling>
        <c:axPos val="l"/>
        <c:majorGridlines/>
        <c:numFmt formatCode="0%" sourceLinked="0"/>
        <c:tickLblPos val="nextTo"/>
        <c:crossAx val="179430912"/>
        <c:crosses val="autoZero"/>
        <c:crossBetween val="between"/>
      </c:valAx>
    </c:plotArea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Xfer Error Histogram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Calculations!$B$51</c:f>
              <c:strCache>
                <c:ptCount val="1"/>
                <c:pt idx="0">
                  <c:v>INL Histogram</c:v>
                </c:pt>
              </c:strCache>
            </c:strRef>
          </c:tx>
          <c:cat>
            <c:numRef>
              <c:f>Calculations!$B$54:$B$59</c:f>
              <c:numCache>
                <c:formatCode>0.0</c:formatCode>
                <c:ptCount val="6"/>
                <c:pt idx="0">
                  <c:v>12.227507885858842</c:v>
                </c:pt>
                <c:pt idx="1">
                  <c:v>14.948145867737601</c:v>
                </c:pt>
                <c:pt idx="2">
                  <c:v>17.668783849616361</c:v>
                </c:pt>
                <c:pt idx="3">
                  <c:v>20.38942183149512</c:v>
                </c:pt>
                <c:pt idx="4">
                  <c:v>23.11005981337388</c:v>
                </c:pt>
                <c:pt idx="5">
                  <c:v>25.83069779525264</c:v>
                </c:pt>
              </c:numCache>
            </c:numRef>
          </c:cat>
          <c:val>
            <c:numRef>
              <c:f>Calculations!$C$54:$C$59</c:f>
              <c:numCache>
                <c:formatCode>0.0</c:formatCode>
                <c:ptCount val="6"/>
                <c:pt idx="0">
                  <c:v>3.8461538461538464E-2</c:v>
                </c:pt>
                <c:pt idx="1">
                  <c:v>0.15384615384615385</c:v>
                </c:pt>
                <c:pt idx="2">
                  <c:v>0.30769230769230771</c:v>
                </c:pt>
                <c:pt idx="3">
                  <c:v>0.15384615384615385</c:v>
                </c:pt>
                <c:pt idx="4">
                  <c:v>7.6923076923076927E-2</c:v>
                </c:pt>
                <c:pt idx="5">
                  <c:v>0.26923076923076922</c:v>
                </c:pt>
              </c:numCache>
            </c:numRef>
          </c:val>
        </c:ser>
        <c:axId val="179321088"/>
        <c:axId val="179339264"/>
      </c:barChart>
      <c:catAx>
        <c:axId val="179321088"/>
        <c:scaling>
          <c:orientation val="minMax"/>
        </c:scaling>
        <c:axPos val="b"/>
        <c:numFmt formatCode="0.0" sourceLinked="1"/>
        <c:tickLblPos val="nextTo"/>
        <c:crossAx val="179339264"/>
        <c:crosses val="autoZero"/>
        <c:auto val="1"/>
        <c:lblAlgn val="ctr"/>
        <c:lblOffset val="100"/>
      </c:catAx>
      <c:valAx>
        <c:axId val="179339264"/>
        <c:scaling>
          <c:orientation val="minMax"/>
        </c:scaling>
        <c:axPos val="l"/>
        <c:majorGridlines/>
        <c:numFmt formatCode="0%" sourceLinked="0"/>
        <c:tickLblPos val="nextTo"/>
        <c:crossAx val="179321088"/>
        <c:crosses val="autoZero"/>
        <c:crossBetween val="between"/>
      </c:valAx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Calculations!$J$1</c:f>
              <c:strCache>
                <c:ptCount val="1"/>
                <c:pt idx="0">
                  <c:v>0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Calculations!$J$10:$J$18</c:f>
              <c:numCache>
                <c:formatCode>0.0</c:formatCode>
                <c:ptCount val="9"/>
                <c:pt idx="0">
                  <c:v>0</c:v>
                </c:pt>
                <c:pt idx="1">
                  <c:v>4.323145191278627</c:v>
                </c:pt>
                <c:pt idx="2">
                  <c:v>6.1559294589908404</c:v>
                </c:pt>
                <c:pt idx="3">
                  <c:v>-1.1745166911250635</c:v>
                </c:pt>
                <c:pt idx="4">
                  <c:v>7.5442324301297958</c:v>
                </c:pt>
                <c:pt idx="5">
                  <c:v>6.997654853875872</c:v>
                </c:pt>
                <c:pt idx="6">
                  <c:v>20.470211096830894</c:v>
                </c:pt>
                <c:pt idx="7">
                  <c:v>8.8894833582832433</c:v>
                </c:pt>
                <c:pt idx="8">
                  <c:v>-6.0396132539608516E-14</c:v>
                </c:pt>
              </c:numCache>
            </c:numRef>
          </c:yVal>
        </c:ser>
        <c:ser>
          <c:idx val="1"/>
          <c:order val="1"/>
          <c:tx>
            <c:strRef>
              <c:f>Calculations!$K$1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Calculations!$K$10:$K$18</c:f>
              <c:numCache>
                <c:formatCode>0.0</c:formatCode>
                <c:ptCount val="9"/>
                <c:pt idx="0">
                  <c:v>0</c:v>
                </c:pt>
                <c:pt idx="1">
                  <c:v>6.9734970950389652</c:v>
                </c:pt>
                <c:pt idx="2">
                  <c:v>8.6144118756933494</c:v>
                </c:pt>
                <c:pt idx="3">
                  <c:v>1.8854918085704639</c:v>
                </c:pt>
                <c:pt idx="4">
                  <c:v>7.6907759620003162</c:v>
                </c:pt>
                <c:pt idx="5">
                  <c:v>7.3745879695942449</c:v>
                </c:pt>
                <c:pt idx="6">
                  <c:v>19.532889514772819</c:v>
                </c:pt>
                <c:pt idx="7">
                  <c:v>9.0375874409481867</c:v>
                </c:pt>
                <c:pt idx="8">
                  <c:v>-1.1812772982011666E-13</c:v>
                </c:pt>
              </c:numCache>
            </c:numRef>
          </c:yVal>
        </c:ser>
        <c:ser>
          <c:idx val="2"/>
          <c:order val="2"/>
          <c:tx>
            <c:strRef>
              <c:f>Calculations!$L$1</c:f>
              <c:strCache>
                <c:ptCount val="1"/>
                <c:pt idx="0">
                  <c:v>2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Calculations!$L$10:$L$18</c:f>
              <c:numCache>
                <c:formatCode>0.0</c:formatCode>
                <c:ptCount val="9"/>
                <c:pt idx="0">
                  <c:v>0</c:v>
                </c:pt>
                <c:pt idx="1">
                  <c:v>5.6372476556250604</c:v>
                </c:pt>
                <c:pt idx="2">
                  <c:v>4.9820765778040368</c:v>
                </c:pt>
                <c:pt idx="3">
                  <c:v>-6.9469401748870041</c:v>
                </c:pt>
                <c:pt idx="4">
                  <c:v>14.686102352932721</c:v>
                </c:pt>
                <c:pt idx="5">
                  <c:v>13.484128004264335</c:v>
                </c:pt>
                <c:pt idx="6">
                  <c:v>27.734174923487842</c:v>
                </c:pt>
                <c:pt idx="7">
                  <c:v>14.252538235606607</c:v>
                </c:pt>
                <c:pt idx="8">
                  <c:v>-4.7073456244106637E-14</c:v>
                </c:pt>
              </c:numCache>
            </c:numRef>
          </c:yVal>
        </c:ser>
        <c:ser>
          <c:idx val="3"/>
          <c:order val="3"/>
          <c:tx>
            <c:strRef>
              <c:f>Calculations!$M$1</c:f>
              <c:strCache>
                <c:ptCount val="1"/>
                <c:pt idx="0">
                  <c:v>3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Calculations!$M$10:$M$18</c:f>
              <c:numCache>
                <c:formatCode>0.0</c:formatCode>
                <c:ptCount val="9"/>
                <c:pt idx="0">
                  <c:v>0</c:v>
                </c:pt>
                <c:pt idx="1">
                  <c:v>8.4861877246842141</c:v>
                </c:pt>
                <c:pt idx="2">
                  <c:v>9.1592450978689612</c:v>
                </c:pt>
                <c:pt idx="3">
                  <c:v>-1.2521765041814206</c:v>
                </c:pt>
                <c:pt idx="4">
                  <c:v>9.46549068478555</c:v>
                </c:pt>
                <c:pt idx="5">
                  <c:v>10.544957538340554</c:v>
                </c:pt>
                <c:pt idx="6">
                  <c:v>23.131339079536588</c:v>
                </c:pt>
                <c:pt idx="7">
                  <c:v>11.794330741836561</c:v>
                </c:pt>
                <c:pt idx="8">
                  <c:v>-1.5099033134902129E-13</c:v>
                </c:pt>
              </c:numCache>
            </c:numRef>
          </c:yVal>
        </c:ser>
        <c:ser>
          <c:idx val="4"/>
          <c:order val="4"/>
          <c:tx>
            <c:strRef>
              <c:f>Calculations!$N$1</c:f>
              <c:strCache>
                <c:ptCount val="1"/>
                <c:pt idx="0">
                  <c:v>4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Calculations!$N$10:$N$18</c:f>
              <c:numCache>
                <c:formatCode>0.0</c:formatCode>
                <c:ptCount val="9"/>
                <c:pt idx="0">
                  <c:v>0</c:v>
                </c:pt>
                <c:pt idx="1">
                  <c:v>0.39490029783689806</c:v>
                </c:pt>
                <c:pt idx="2">
                  <c:v>4.8132216522186582</c:v>
                </c:pt>
                <c:pt idx="3">
                  <c:v>0.1908336396006689</c:v>
                </c:pt>
                <c:pt idx="4">
                  <c:v>-0.51989120037904968</c:v>
                </c:pt>
                <c:pt idx="5">
                  <c:v>1.5720788194603301</c:v>
                </c:pt>
                <c:pt idx="6">
                  <c:v>11.745270362840529</c:v>
                </c:pt>
                <c:pt idx="7">
                  <c:v>4.8915785938598049</c:v>
                </c:pt>
                <c:pt idx="8">
                  <c:v>-1.1723955140041653E-13</c:v>
                </c:pt>
              </c:numCache>
            </c:numRef>
          </c:yVal>
        </c:ser>
        <c:ser>
          <c:idx val="5"/>
          <c:order val="5"/>
          <c:tx>
            <c:strRef>
              <c:f>Calculations!$O$1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Calculations!$O$10:$O$18</c:f>
              <c:numCache>
                <c:formatCode>0.0</c:formatCode>
                <c:ptCount val="9"/>
                <c:pt idx="0">
                  <c:v>0</c:v>
                </c:pt>
                <c:pt idx="1">
                  <c:v>6.7990373090883622</c:v>
                </c:pt>
                <c:pt idx="2">
                  <c:v>8.2715103020194647</c:v>
                </c:pt>
                <c:pt idx="3">
                  <c:v>1.6408206366494369</c:v>
                </c:pt>
                <c:pt idx="4">
                  <c:v>5.6178098678851711</c:v>
                </c:pt>
                <c:pt idx="5">
                  <c:v>5.7896736656521171</c:v>
                </c:pt>
                <c:pt idx="6">
                  <c:v>16.590618438621107</c:v>
                </c:pt>
                <c:pt idx="7">
                  <c:v>7.6141406241562066</c:v>
                </c:pt>
                <c:pt idx="8">
                  <c:v>-8.2600593032111647E-14</c:v>
                </c:pt>
              </c:numCache>
            </c:numRef>
          </c:yVal>
        </c:ser>
        <c:ser>
          <c:idx val="6"/>
          <c:order val="6"/>
          <c:tx>
            <c:strRef>
              <c:f>Calculations!$P$1</c:f>
              <c:strCache>
                <c:ptCount val="1"/>
                <c:pt idx="0">
                  <c:v>6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Calculations!$P$10:$P$18</c:f>
              <c:numCache>
                <c:formatCode>0.0</c:formatCode>
                <c:ptCount val="9"/>
                <c:pt idx="0">
                  <c:v>0</c:v>
                </c:pt>
                <c:pt idx="1">
                  <c:v>4.2412766442932934</c:v>
                </c:pt>
                <c:pt idx="2">
                  <c:v>6.6343814722674779</c:v>
                </c:pt>
                <c:pt idx="3">
                  <c:v>-0.60182588672751081</c:v>
                </c:pt>
                <c:pt idx="4">
                  <c:v>3.9626524928761455</c:v>
                </c:pt>
                <c:pt idx="5">
                  <c:v>5.2004125480519292</c:v>
                </c:pt>
                <c:pt idx="6">
                  <c:v>13.475492512660935</c:v>
                </c:pt>
                <c:pt idx="7">
                  <c:v>6.2837238231554267</c:v>
                </c:pt>
                <c:pt idx="8">
                  <c:v>6.2172489379008766E-15</c:v>
                </c:pt>
              </c:numCache>
            </c:numRef>
          </c:yVal>
        </c:ser>
        <c:ser>
          <c:idx val="7"/>
          <c:order val="7"/>
          <c:tx>
            <c:strRef>
              <c:f>Calculations!$Q$1</c:f>
              <c:strCache>
                <c:ptCount val="1"/>
                <c:pt idx="0">
                  <c:v>7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Calculations!$Q$10:$Q$18</c:f>
              <c:numCache>
                <c:formatCode>0.0</c:formatCode>
                <c:ptCount val="9"/>
                <c:pt idx="0">
                  <c:v>0</c:v>
                </c:pt>
                <c:pt idx="1">
                  <c:v>0.17707831461234491</c:v>
                </c:pt>
                <c:pt idx="2">
                  <c:v>4.8521884602762384</c:v>
                </c:pt>
                <c:pt idx="3">
                  <c:v>-3.8982830253763723</c:v>
                </c:pt>
                <c:pt idx="4">
                  <c:v>4.2665610770430931</c:v>
                </c:pt>
                <c:pt idx="5">
                  <c:v>3.7950700174058056</c:v>
                </c:pt>
                <c:pt idx="6">
                  <c:v>15.4350161122602</c:v>
                </c:pt>
                <c:pt idx="7">
                  <c:v>7.2396527064049394</c:v>
                </c:pt>
                <c:pt idx="8">
                  <c:v>-1.1546319456101628E-14</c:v>
                </c:pt>
              </c:numCache>
            </c:numRef>
          </c:yVal>
        </c:ser>
        <c:axId val="180016640"/>
        <c:axId val="180018176"/>
      </c:scatterChart>
      <c:valAx>
        <c:axId val="180016640"/>
        <c:scaling>
          <c:orientation val="minMax"/>
        </c:scaling>
        <c:axPos val="b"/>
        <c:numFmt formatCode="General" sourceLinked="0"/>
        <c:tickLblPos val="nextTo"/>
        <c:crossAx val="180018176"/>
        <c:crosses val="autoZero"/>
        <c:crossBetween val="midCat"/>
      </c:valAx>
      <c:valAx>
        <c:axId val="180018176"/>
        <c:scaling>
          <c:orientation val="minMax"/>
        </c:scaling>
        <c:axPos val="l"/>
        <c:majorGridlines/>
        <c:numFmt formatCode="0.0" sourceLinked="1"/>
        <c:tickLblPos val="nextTo"/>
        <c:crossAx val="18001664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Calculations!$R$1</c:f>
              <c:strCache>
                <c:ptCount val="1"/>
                <c:pt idx="0">
                  <c:v>8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Calculations!$R$10:$R$18</c:f>
              <c:numCache>
                <c:formatCode>0.0</c:formatCode>
                <c:ptCount val="9"/>
              </c:numCache>
            </c:numRef>
          </c:yVal>
        </c:ser>
        <c:ser>
          <c:idx val="1"/>
          <c:order val="1"/>
          <c:tx>
            <c:strRef>
              <c:f>Calculations!$S$1</c:f>
              <c:strCache>
                <c:ptCount val="1"/>
                <c:pt idx="0">
                  <c:v>9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Calculations!$S$10:$S$18</c:f>
              <c:numCache>
                <c:formatCode>0.0</c:formatCode>
                <c:ptCount val="9"/>
                <c:pt idx="0">
                  <c:v>0</c:v>
                </c:pt>
                <c:pt idx="1">
                  <c:v>3.5571676191623283</c:v>
                </c:pt>
                <c:pt idx="2">
                  <c:v>7.417517636105913</c:v>
                </c:pt>
                <c:pt idx="3">
                  <c:v>-2.765247389136448</c:v>
                </c:pt>
                <c:pt idx="4">
                  <c:v>13.237166590347101</c:v>
                </c:pt>
                <c:pt idx="5">
                  <c:v>12.462451110385473</c:v>
                </c:pt>
                <c:pt idx="6">
                  <c:v>25.898209718622013</c:v>
                </c:pt>
                <c:pt idx="7">
                  <c:v>13.779796654378032</c:v>
                </c:pt>
                <c:pt idx="8">
                  <c:v>-5.773159728050814E-14</c:v>
                </c:pt>
              </c:numCache>
            </c:numRef>
          </c:yVal>
        </c:ser>
        <c:ser>
          <c:idx val="2"/>
          <c:order val="2"/>
          <c:tx>
            <c:strRef>
              <c:f>Calculations!$T$1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Calculations!$T$10:$T$18</c:f>
              <c:numCache>
                <c:formatCode>0.0</c:formatCode>
                <c:ptCount val="9"/>
                <c:pt idx="0">
                  <c:v>0</c:v>
                </c:pt>
                <c:pt idx="1">
                  <c:v>4.7206425247652533</c:v>
                </c:pt>
                <c:pt idx="2">
                  <c:v>5.0161542388767657</c:v>
                </c:pt>
                <c:pt idx="3">
                  <c:v>-0.90449224114684057</c:v>
                </c:pt>
                <c:pt idx="4">
                  <c:v>4.8146594604440907</c:v>
                </c:pt>
                <c:pt idx="5">
                  <c:v>4.7047630809574912</c:v>
                </c:pt>
                <c:pt idx="6">
                  <c:v>16.666214588133016</c:v>
                </c:pt>
                <c:pt idx="7">
                  <c:v>7.9506526297828515</c:v>
                </c:pt>
                <c:pt idx="8">
                  <c:v>-1.0746958878371515E-13</c:v>
                </c:pt>
              </c:numCache>
            </c:numRef>
          </c:yVal>
        </c:ser>
        <c:ser>
          <c:idx val="3"/>
          <c:order val="3"/>
          <c:tx>
            <c:strRef>
              <c:f>Calculations!$U$1</c:f>
              <c:strCache>
                <c:ptCount val="1"/>
                <c:pt idx="0">
                  <c:v>11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Calculations!$U$10:$U$18</c:f>
              <c:numCache>
                <c:formatCode>0.0</c:formatCode>
                <c:ptCount val="9"/>
              </c:numCache>
            </c:numRef>
          </c:yVal>
        </c:ser>
        <c:ser>
          <c:idx val="4"/>
          <c:order val="4"/>
          <c:tx>
            <c:strRef>
              <c:f>Calculations!$V$1</c:f>
              <c:strCache>
                <c:ptCount val="1"/>
                <c:pt idx="0">
                  <c:v>12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Calculations!$V$10:$V$18</c:f>
              <c:numCache>
                <c:formatCode>0.0</c:formatCode>
                <c:ptCount val="9"/>
                <c:pt idx="0">
                  <c:v>0</c:v>
                </c:pt>
                <c:pt idx="1">
                  <c:v>3.2052673021839837</c:v>
                </c:pt>
                <c:pt idx="2">
                  <c:v>10.090591600861103</c:v>
                </c:pt>
                <c:pt idx="3">
                  <c:v>1.6463871556145477</c:v>
                </c:pt>
                <c:pt idx="4">
                  <c:v>7.137319900900934</c:v>
                </c:pt>
                <c:pt idx="5">
                  <c:v>9.2539113044047099</c:v>
                </c:pt>
                <c:pt idx="6">
                  <c:v>18.582432110734374</c:v>
                </c:pt>
                <c:pt idx="7">
                  <c:v>9.4619302774433294</c:v>
                </c:pt>
                <c:pt idx="8">
                  <c:v>-2.3092638912203256E-14</c:v>
                </c:pt>
              </c:numCache>
            </c:numRef>
          </c:yVal>
        </c:ser>
        <c:ser>
          <c:idx val="5"/>
          <c:order val="5"/>
          <c:tx>
            <c:strRef>
              <c:f>Calculations!$W$1</c:f>
              <c:strCache>
                <c:ptCount val="1"/>
                <c:pt idx="0">
                  <c:v>13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Calculations!$W$10:$W$18</c:f>
              <c:numCache>
                <c:formatCode>0.0</c:formatCode>
                <c:ptCount val="9"/>
                <c:pt idx="0">
                  <c:v>0</c:v>
                </c:pt>
                <c:pt idx="1">
                  <c:v>5.9988637503520295</c:v>
                </c:pt>
                <c:pt idx="2">
                  <c:v>8.0875615254076365</c:v>
                </c:pt>
                <c:pt idx="3">
                  <c:v>-0.6961801397334284</c:v>
                </c:pt>
                <c:pt idx="4">
                  <c:v>4.2556242041995347</c:v>
                </c:pt>
                <c:pt idx="5">
                  <c:v>4.2158501098147667</c:v>
                </c:pt>
                <c:pt idx="6">
                  <c:v>14.556757352587852</c:v>
                </c:pt>
                <c:pt idx="7">
                  <c:v>6.5756098349097698</c:v>
                </c:pt>
                <c:pt idx="8">
                  <c:v>-5.1514348342607263E-14</c:v>
                </c:pt>
              </c:numCache>
            </c:numRef>
          </c:yVal>
        </c:ser>
        <c:ser>
          <c:idx val="6"/>
          <c:order val="6"/>
          <c:tx>
            <c:strRef>
              <c:f>Calculations!$X$1</c:f>
              <c:strCache>
                <c:ptCount val="1"/>
                <c:pt idx="0">
                  <c:v>14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Calculations!$X$10:$X$18</c:f>
              <c:numCache>
                <c:formatCode>0.0</c:formatCode>
                <c:ptCount val="9"/>
                <c:pt idx="0">
                  <c:v>0</c:v>
                </c:pt>
                <c:pt idx="1">
                  <c:v>6.5403153253048458</c:v>
                </c:pt>
                <c:pt idx="2">
                  <c:v>9.422234982930604</c:v>
                </c:pt>
                <c:pt idx="3">
                  <c:v>0.15475636837390994</c:v>
                </c:pt>
                <c:pt idx="4">
                  <c:v>5.3518599905544306</c:v>
                </c:pt>
                <c:pt idx="5">
                  <c:v>7.0314315791197828</c:v>
                </c:pt>
                <c:pt idx="6">
                  <c:v>17.490548985608712</c:v>
                </c:pt>
                <c:pt idx="7">
                  <c:v>8.0004980581687306</c:v>
                </c:pt>
                <c:pt idx="8">
                  <c:v>-1.936228954946273E-13</c:v>
                </c:pt>
              </c:numCache>
            </c:numRef>
          </c:yVal>
        </c:ser>
        <c:ser>
          <c:idx val="7"/>
          <c:order val="7"/>
          <c:tx>
            <c:strRef>
              <c:f>Calculations!$Y$1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Calculations!$Y$10:$Y$18</c:f>
              <c:numCache>
                <c:formatCode>0.0</c:formatCode>
                <c:ptCount val="9"/>
              </c:numCache>
            </c:numRef>
          </c:yVal>
        </c:ser>
        <c:axId val="179933184"/>
        <c:axId val="179934720"/>
      </c:scatterChart>
      <c:valAx>
        <c:axId val="179933184"/>
        <c:scaling>
          <c:orientation val="minMax"/>
        </c:scaling>
        <c:axPos val="b"/>
        <c:numFmt formatCode="General" sourceLinked="0"/>
        <c:tickLblPos val="nextTo"/>
        <c:crossAx val="179934720"/>
        <c:crosses val="autoZero"/>
        <c:crossBetween val="midCat"/>
      </c:valAx>
      <c:valAx>
        <c:axId val="179934720"/>
        <c:scaling>
          <c:orientation val="minMax"/>
        </c:scaling>
        <c:axPos val="l"/>
        <c:majorGridlines/>
        <c:numFmt formatCode="0.0" sourceLinked="1"/>
        <c:tickLblPos val="nextTo"/>
        <c:crossAx val="1799331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Calculations!$Z$1</c:f>
              <c:strCache>
                <c:ptCount val="1"/>
                <c:pt idx="0">
                  <c:v>16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Calculations!$Z$10:$Z$18</c:f>
              <c:numCache>
                <c:formatCode>0.0</c:formatCode>
                <c:ptCount val="9"/>
                <c:pt idx="0">
                  <c:v>0</c:v>
                </c:pt>
                <c:pt idx="1">
                  <c:v>2.4209937296425323</c:v>
                </c:pt>
                <c:pt idx="2">
                  <c:v>7.3207016133043226</c:v>
                </c:pt>
                <c:pt idx="3">
                  <c:v>-0.43409375836631625</c:v>
                </c:pt>
                <c:pt idx="4">
                  <c:v>6.041179114773513</c:v>
                </c:pt>
                <c:pt idx="5">
                  <c:v>5.9692787364311926</c:v>
                </c:pt>
                <c:pt idx="6">
                  <c:v>18.562075508700786</c:v>
                </c:pt>
                <c:pt idx="7">
                  <c:v>9.0167215261395199</c:v>
                </c:pt>
                <c:pt idx="8">
                  <c:v>-2.1582735598713043E-13</c:v>
                </c:pt>
              </c:numCache>
            </c:numRef>
          </c:yVal>
        </c:ser>
        <c:ser>
          <c:idx val="1"/>
          <c:order val="1"/>
          <c:tx>
            <c:strRef>
              <c:f>Calculations!$AA$1</c:f>
              <c:strCache>
                <c:ptCount val="1"/>
                <c:pt idx="0">
                  <c:v>17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Calculations!$AA$10:$AA$18</c:f>
              <c:numCache>
                <c:formatCode>0.0</c:formatCode>
                <c:ptCount val="9"/>
                <c:pt idx="0">
                  <c:v>0</c:v>
                </c:pt>
                <c:pt idx="1">
                  <c:v>6.2569756200243773</c:v>
                </c:pt>
                <c:pt idx="2">
                  <c:v>7.1452655616186576</c:v>
                </c:pt>
                <c:pt idx="3">
                  <c:v>-0.9134940202945927</c:v>
                </c:pt>
                <c:pt idx="4">
                  <c:v>6.6488979132255963</c:v>
                </c:pt>
                <c:pt idx="5">
                  <c:v>7.0464335235139401</c:v>
                </c:pt>
                <c:pt idx="6">
                  <c:v>16.637354794819146</c:v>
                </c:pt>
                <c:pt idx="7">
                  <c:v>7.9952888916424314</c:v>
                </c:pt>
                <c:pt idx="8">
                  <c:v>-2.1316282072803006E-14</c:v>
                </c:pt>
              </c:numCache>
            </c:numRef>
          </c:yVal>
        </c:ser>
        <c:ser>
          <c:idx val="2"/>
          <c:order val="2"/>
          <c:tx>
            <c:strRef>
              <c:f>Calculations!$AB$1</c:f>
              <c:strCache>
                <c:ptCount val="1"/>
                <c:pt idx="0">
                  <c:v>18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Calculations!$AB$10:$AB$18</c:f>
              <c:numCache>
                <c:formatCode>0.0</c:formatCode>
                <c:ptCount val="9"/>
                <c:pt idx="0">
                  <c:v>0</c:v>
                </c:pt>
                <c:pt idx="1">
                  <c:v>4.6230723916451097</c:v>
                </c:pt>
                <c:pt idx="2">
                  <c:v>4.9685480073901545</c:v>
                </c:pt>
                <c:pt idx="3">
                  <c:v>-5.5878084704294224</c:v>
                </c:pt>
                <c:pt idx="4">
                  <c:v>14.832549199748428</c:v>
                </c:pt>
                <c:pt idx="5">
                  <c:v>13.841706910886955</c:v>
                </c:pt>
                <c:pt idx="6">
                  <c:v>27.790673134044198</c:v>
                </c:pt>
                <c:pt idx="7">
                  <c:v>14.397759218953894</c:v>
                </c:pt>
                <c:pt idx="8">
                  <c:v>-4.9737991503207013E-14</c:v>
                </c:pt>
              </c:numCache>
            </c:numRef>
          </c:yVal>
        </c:ser>
        <c:ser>
          <c:idx val="3"/>
          <c:order val="3"/>
          <c:tx>
            <c:strRef>
              <c:f>Calculations!$AC$1</c:f>
              <c:strCache>
                <c:ptCount val="1"/>
                <c:pt idx="0">
                  <c:v>19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Calculations!$AC$10:$AC$18</c:f>
              <c:numCache>
                <c:formatCode>0.0</c:formatCode>
                <c:ptCount val="9"/>
                <c:pt idx="0">
                  <c:v>0</c:v>
                </c:pt>
                <c:pt idx="1">
                  <c:v>5.3169280211591285</c:v>
                </c:pt>
                <c:pt idx="2">
                  <c:v>4.4366818116166087</c:v>
                </c:pt>
                <c:pt idx="3">
                  <c:v>-2.5107926334150079</c:v>
                </c:pt>
                <c:pt idx="4">
                  <c:v>9.1181799032448225</c:v>
                </c:pt>
                <c:pt idx="5">
                  <c:v>10.761167413931275</c:v>
                </c:pt>
                <c:pt idx="6">
                  <c:v>23.956955677613962</c:v>
                </c:pt>
                <c:pt idx="7">
                  <c:v>12.098100751011941</c:v>
                </c:pt>
                <c:pt idx="8">
                  <c:v>-4.8849813083506888E-14</c:v>
                </c:pt>
              </c:numCache>
            </c:numRef>
          </c:yVal>
        </c:ser>
        <c:ser>
          <c:idx val="4"/>
          <c:order val="4"/>
          <c:tx>
            <c:strRef>
              <c:f>Calculations!$AD$1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Calculations!$AD$10:$AD$18</c:f>
              <c:numCache>
                <c:formatCode>0.0</c:formatCode>
                <c:ptCount val="9"/>
              </c:numCache>
            </c:numRef>
          </c:yVal>
        </c:ser>
        <c:ser>
          <c:idx val="5"/>
          <c:order val="5"/>
          <c:tx>
            <c:strRef>
              <c:f>Calculations!$AE$1</c:f>
              <c:strCache>
                <c:ptCount val="1"/>
                <c:pt idx="0">
                  <c:v>21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Calculations!$AE$10:$AE$18</c:f>
              <c:numCache>
                <c:formatCode>0.0</c:formatCode>
                <c:ptCount val="9"/>
                <c:pt idx="0">
                  <c:v>0</c:v>
                </c:pt>
                <c:pt idx="1">
                  <c:v>0.80000920986503843</c:v>
                </c:pt>
                <c:pt idx="2">
                  <c:v>3.4749024040218046</c:v>
                </c:pt>
                <c:pt idx="3">
                  <c:v>-6.7885592211173389</c:v>
                </c:pt>
                <c:pt idx="4">
                  <c:v>8.141390245155435</c:v>
                </c:pt>
                <c:pt idx="5">
                  <c:v>9.061416644870576</c:v>
                </c:pt>
                <c:pt idx="6">
                  <c:v>21.994834692131178</c:v>
                </c:pt>
                <c:pt idx="7">
                  <c:v>11.122738155446655</c:v>
                </c:pt>
                <c:pt idx="8">
                  <c:v>-1.0302869668521453E-13</c:v>
                </c:pt>
              </c:numCache>
            </c:numRef>
          </c:yVal>
        </c:ser>
        <c:ser>
          <c:idx val="6"/>
          <c:order val="6"/>
          <c:tx>
            <c:strRef>
              <c:f>Calculations!$AF$1</c:f>
              <c:strCache>
                <c:ptCount val="1"/>
                <c:pt idx="0">
                  <c:v>22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Calculations!$AF$10:$AF$18</c:f>
              <c:numCache>
                <c:formatCode>0.0</c:formatCode>
                <c:ptCount val="9"/>
                <c:pt idx="0">
                  <c:v>0</c:v>
                </c:pt>
                <c:pt idx="1">
                  <c:v>7.1831289552069393</c:v>
                </c:pt>
                <c:pt idx="2">
                  <c:v>9.9861150391625415</c:v>
                </c:pt>
                <c:pt idx="3">
                  <c:v>-1.0427994129948956</c:v>
                </c:pt>
                <c:pt idx="4">
                  <c:v>15.006169783034011</c:v>
                </c:pt>
                <c:pt idx="5">
                  <c:v>15.667862038971634</c:v>
                </c:pt>
                <c:pt idx="6">
                  <c:v>23.976055873045595</c:v>
                </c:pt>
                <c:pt idx="7">
                  <c:v>12.777790102801987</c:v>
                </c:pt>
                <c:pt idx="8">
                  <c:v>-1.865174681370263E-14</c:v>
                </c:pt>
              </c:numCache>
            </c:numRef>
          </c:yVal>
        </c:ser>
        <c:ser>
          <c:idx val="7"/>
          <c:order val="7"/>
          <c:tx>
            <c:strRef>
              <c:f>Calculations!$AG$1</c:f>
              <c:strCache>
                <c:ptCount val="1"/>
                <c:pt idx="0">
                  <c:v>23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Calculations!$AG$10:$AG$18</c:f>
              <c:numCache>
                <c:formatCode>0.0</c:formatCode>
                <c:ptCount val="9"/>
                <c:pt idx="0">
                  <c:v>0</c:v>
                </c:pt>
                <c:pt idx="1">
                  <c:v>6.7102063779799437</c:v>
                </c:pt>
                <c:pt idx="2">
                  <c:v>8.5584186631340344</c:v>
                </c:pt>
                <c:pt idx="3">
                  <c:v>3.7247381966521971</c:v>
                </c:pt>
                <c:pt idx="4">
                  <c:v>3.8485462786009634</c:v>
                </c:pt>
                <c:pt idx="5">
                  <c:v>2.7800580202326159</c:v>
                </c:pt>
                <c:pt idx="6">
                  <c:v>14.64805412394918</c:v>
                </c:pt>
                <c:pt idx="7">
                  <c:v>6.1669263187886401</c:v>
                </c:pt>
                <c:pt idx="8">
                  <c:v>-1.4788170688007085E-13</c:v>
                </c:pt>
              </c:numCache>
            </c:numRef>
          </c:yVal>
        </c:ser>
        <c:axId val="180202112"/>
        <c:axId val="180208000"/>
      </c:scatterChart>
      <c:valAx>
        <c:axId val="180202112"/>
        <c:scaling>
          <c:orientation val="minMax"/>
        </c:scaling>
        <c:axPos val="b"/>
        <c:numFmt formatCode="General" sourceLinked="0"/>
        <c:tickLblPos val="nextTo"/>
        <c:crossAx val="180208000"/>
        <c:crosses val="autoZero"/>
        <c:crossBetween val="midCat"/>
      </c:valAx>
      <c:valAx>
        <c:axId val="180208000"/>
        <c:scaling>
          <c:orientation val="minMax"/>
        </c:scaling>
        <c:axPos val="l"/>
        <c:majorGridlines/>
        <c:numFmt formatCode="0.0" sourceLinked="1"/>
        <c:tickLblPos val="nextTo"/>
        <c:crossAx val="1802021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Calculations!$AH$1</c:f>
              <c:strCache>
                <c:ptCount val="1"/>
                <c:pt idx="0">
                  <c:v>24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Calculations!$AH$10:$AH$18</c:f>
              <c:numCache>
                <c:formatCode>0.0</c:formatCode>
                <c:ptCount val="9"/>
                <c:pt idx="0">
                  <c:v>0</c:v>
                </c:pt>
                <c:pt idx="1">
                  <c:v>2.3505575716958447</c:v>
                </c:pt>
                <c:pt idx="2">
                  <c:v>2.8480917833198873</c:v>
                </c:pt>
                <c:pt idx="3">
                  <c:v>-6.6516196442986484</c:v>
                </c:pt>
                <c:pt idx="4">
                  <c:v>10.084232190333864</c:v>
                </c:pt>
                <c:pt idx="5">
                  <c:v>12.685903157855137</c:v>
                </c:pt>
                <c:pt idx="6">
                  <c:v>24.509906368899863</c:v>
                </c:pt>
                <c:pt idx="7">
                  <c:v>13.393431590970778</c:v>
                </c:pt>
                <c:pt idx="8">
                  <c:v>-1.7408297026122455E-13</c:v>
                </c:pt>
              </c:numCache>
            </c:numRef>
          </c:yVal>
        </c:ser>
        <c:ser>
          <c:idx val="1"/>
          <c:order val="1"/>
          <c:tx>
            <c:strRef>
              <c:f>Calculations!$AI$1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Calculations!$AI$10:$AI$18</c:f>
              <c:numCache>
                <c:formatCode>0.0</c:formatCode>
                <c:ptCount val="9"/>
                <c:pt idx="0">
                  <c:v>0</c:v>
                </c:pt>
                <c:pt idx="1">
                  <c:v>1.8828138418555227</c:v>
                </c:pt>
                <c:pt idx="2">
                  <c:v>6.3259111461396742</c:v>
                </c:pt>
                <c:pt idx="3">
                  <c:v>-3.5059535070156471</c:v>
                </c:pt>
                <c:pt idx="4">
                  <c:v>5.7480622188680854</c:v>
                </c:pt>
                <c:pt idx="5">
                  <c:v>6.9344516806381762</c:v>
                </c:pt>
                <c:pt idx="6">
                  <c:v>18.474576406286644</c:v>
                </c:pt>
                <c:pt idx="7">
                  <c:v>8.7219455633024978</c:v>
                </c:pt>
                <c:pt idx="8">
                  <c:v>-7.638334409421077E-14</c:v>
                </c:pt>
              </c:numCache>
            </c:numRef>
          </c:yVal>
        </c:ser>
        <c:ser>
          <c:idx val="2"/>
          <c:order val="2"/>
          <c:tx>
            <c:strRef>
              <c:f>Calculations!$AJ$1</c:f>
              <c:strCache>
                <c:ptCount val="1"/>
                <c:pt idx="0">
                  <c:v>26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Calculations!$AJ$10:$AJ$18</c:f>
              <c:numCache>
                <c:formatCode>0.0</c:formatCode>
                <c:ptCount val="9"/>
              </c:numCache>
            </c:numRef>
          </c:yVal>
        </c:ser>
        <c:ser>
          <c:idx val="3"/>
          <c:order val="3"/>
          <c:tx>
            <c:strRef>
              <c:f>Calculations!$AK$1</c:f>
              <c:strCache>
                <c:ptCount val="1"/>
                <c:pt idx="0">
                  <c:v>27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Calculations!$AK$10:$AK$18</c:f>
              <c:numCache>
                <c:formatCode>0.0</c:formatCode>
                <c:ptCount val="9"/>
                <c:pt idx="0">
                  <c:v>0</c:v>
                </c:pt>
                <c:pt idx="1">
                  <c:v>-1.4912891217918514</c:v>
                </c:pt>
                <c:pt idx="2">
                  <c:v>5.8340099917392081</c:v>
                </c:pt>
                <c:pt idx="3">
                  <c:v>-1.7425800000872869</c:v>
                </c:pt>
                <c:pt idx="4">
                  <c:v>5.0805669699814189</c:v>
                </c:pt>
                <c:pt idx="5">
                  <c:v>4.6937068253336633</c:v>
                </c:pt>
                <c:pt idx="6">
                  <c:v>15.269405790654389</c:v>
                </c:pt>
                <c:pt idx="7">
                  <c:v>7.0773309297157567</c:v>
                </c:pt>
                <c:pt idx="8">
                  <c:v>1.7763568394002505E-15</c:v>
                </c:pt>
              </c:numCache>
            </c:numRef>
          </c:yVal>
        </c:ser>
        <c:ser>
          <c:idx val="4"/>
          <c:order val="4"/>
          <c:tx>
            <c:strRef>
              <c:f>Calculations!$AL$1</c:f>
              <c:strCache>
                <c:ptCount val="1"/>
                <c:pt idx="0">
                  <c:v>28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Calculations!$AL$10:$AL$18</c:f>
              <c:numCache>
                <c:formatCode>0.0</c:formatCode>
                <c:ptCount val="9"/>
                <c:pt idx="0">
                  <c:v>0</c:v>
                </c:pt>
                <c:pt idx="1">
                  <c:v>5.7963214585015521E-2</c:v>
                </c:pt>
                <c:pt idx="2">
                  <c:v>5.3171729382954709</c:v>
                </c:pt>
                <c:pt idx="3">
                  <c:v>0.47549504988512581</c:v>
                </c:pt>
                <c:pt idx="4">
                  <c:v>1.808234627230263</c:v>
                </c:pt>
                <c:pt idx="5">
                  <c:v>1.8670032978920972</c:v>
                </c:pt>
                <c:pt idx="6">
                  <c:v>13.869201744506086</c:v>
                </c:pt>
                <c:pt idx="7">
                  <c:v>6.2443164861674205</c:v>
                </c:pt>
                <c:pt idx="8">
                  <c:v>5.4178883601707639E-14</c:v>
                </c:pt>
              </c:numCache>
            </c:numRef>
          </c:yVal>
        </c:ser>
        <c:ser>
          <c:idx val="5"/>
          <c:order val="5"/>
          <c:tx>
            <c:strRef>
              <c:f>Calculations!$AM$1</c:f>
              <c:strCache>
                <c:ptCount val="1"/>
                <c:pt idx="0">
                  <c:v>29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Calculations!$AM$10:$AM$18</c:f>
              <c:numCache>
                <c:formatCode>0.0</c:formatCode>
                <c:ptCount val="9"/>
              </c:numCache>
            </c:numRef>
          </c:yVal>
        </c:ser>
        <c:ser>
          <c:idx val="6"/>
          <c:order val="6"/>
          <c:tx>
            <c:strRef>
              <c:f>Calculations!$AN$1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Calculations!$AN$10:$AN$18</c:f>
              <c:numCache>
                <c:formatCode>0.0</c:formatCode>
                <c:ptCount val="9"/>
                <c:pt idx="0">
                  <c:v>0</c:v>
                </c:pt>
                <c:pt idx="1">
                  <c:v>8.002154781963327</c:v>
                </c:pt>
                <c:pt idx="2">
                  <c:v>9.0822716086328228</c:v>
                </c:pt>
                <c:pt idx="3">
                  <c:v>0.91046447281121345</c:v>
                </c:pt>
                <c:pt idx="4">
                  <c:v>7.9675158427652377</c:v>
                </c:pt>
                <c:pt idx="5">
                  <c:v>8.1346445662201745</c:v>
                </c:pt>
                <c:pt idx="6">
                  <c:v>16.109442878415905</c:v>
                </c:pt>
                <c:pt idx="7">
                  <c:v>7.8471779572122244</c:v>
                </c:pt>
                <c:pt idx="8">
                  <c:v>-1.6431300764452317E-13</c:v>
                </c:pt>
              </c:numCache>
            </c:numRef>
          </c:yVal>
        </c:ser>
        <c:ser>
          <c:idx val="7"/>
          <c:order val="7"/>
          <c:tx>
            <c:strRef>
              <c:f>Calculations!$AO$1</c:f>
              <c:strCache>
                <c:ptCount val="1"/>
                <c:pt idx="0">
                  <c:v>31</c:v>
                </c:pt>
              </c:strCache>
            </c:strRef>
          </c:tx>
          <c:xVal>
            <c:numRef>
              <c:f>Calculations!$I$10:$I$18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Calculations!$AO$10:$AO$18</c:f>
              <c:numCache>
                <c:formatCode>0.0</c:formatCode>
                <c:ptCount val="9"/>
                <c:pt idx="0">
                  <c:v>0</c:v>
                </c:pt>
                <c:pt idx="1">
                  <c:v>6.5172840388343047</c:v>
                </c:pt>
                <c:pt idx="2">
                  <c:v>8.1179944300105262</c:v>
                </c:pt>
                <c:pt idx="3">
                  <c:v>-0.29372281729570204</c:v>
                </c:pt>
                <c:pt idx="4">
                  <c:v>5.1185680446110382</c:v>
                </c:pt>
                <c:pt idx="5">
                  <c:v>6.7182132749207426</c:v>
                </c:pt>
                <c:pt idx="6">
                  <c:v>17.648962064685406</c:v>
                </c:pt>
                <c:pt idx="7">
                  <c:v>8.4181781927198642</c:v>
                </c:pt>
                <c:pt idx="8">
                  <c:v>-1.2523315717771766E-13</c:v>
                </c:pt>
              </c:numCache>
            </c:numRef>
          </c:yVal>
        </c:ser>
        <c:axId val="180253824"/>
        <c:axId val="180255360"/>
      </c:scatterChart>
      <c:valAx>
        <c:axId val="180253824"/>
        <c:scaling>
          <c:orientation val="minMax"/>
        </c:scaling>
        <c:axPos val="b"/>
        <c:numFmt formatCode="General" sourceLinked="0"/>
        <c:tickLblPos val="nextTo"/>
        <c:crossAx val="180255360"/>
        <c:crosses val="autoZero"/>
        <c:crossBetween val="midCat"/>
      </c:valAx>
      <c:valAx>
        <c:axId val="180255360"/>
        <c:scaling>
          <c:orientation val="minMax"/>
        </c:scaling>
        <c:axPos val="l"/>
        <c:majorGridlines/>
        <c:numFmt formatCode="0.0" sourceLinked="1"/>
        <c:tickLblPos val="nextTo"/>
        <c:crossAx val="1802538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Calculations!$C$9</c:f>
              <c:strCache>
                <c:ptCount val="1"/>
                <c:pt idx="0">
                  <c:v>-1.5S</c:v>
                </c:pt>
              </c:strCache>
            </c:strRef>
          </c:tx>
          <c:xVal>
            <c:numRef>
              <c:f>Calculations!$B$10:$B$18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Calculations!$C$10:$C$18</c:f>
              <c:numCache>
                <c:formatCode>0.0</c:formatCode>
                <c:ptCount val="9"/>
                <c:pt idx="0">
                  <c:v>0</c:v>
                </c:pt>
                <c:pt idx="1">
                  <c:v>0.16627022281904758</c:v>
                </c:pt>
                <c:pt idx="2">
                  <c:v>3.7312378876260865</c:v>
                </c:pt>
                <c:pt idx="3">
                  <c:v>-5.5848452239879718</c:v>
                </c:pt>
                <c:pt idx="4">
                  <c:v>1.3233435915034937</c:v>
                </c:pt>
                <c:pt idx="5">
                  <c:v>1.9370882397472764</c:v>
                </c:pt>
                <c:pt idx="6">
                  <c:v>12.227507885858842</c:v>
                </c:pt>
                <c:pt idx="7">
                  <c:v>5.1066368283689059</c:v>
                </c:pt>
                <c:pt idx="8">
                  <c:v>-1.827024591197126E-13</c:v>
                </c:pt>
              </c:numCache>
            </c:numRef>
          </c:yVal>
        </c:ser>
        <c:ser>
          <c:idx val="1"/>
          <c:order val="1"/>
          <c:tx>
            <c:strRef>
              <c:f>Calculations!$D$9</c:f>
              <c:strCache>
                <c:ptCount val="1"/>
                <c:pt idx="0">
                  <c:v>Mean</c:v>
                </c:pt>
              </c:strCache>
            </c:strRef>
          </c:tx>
          <c:xVal>
            <c:numRef>
              <c:f>Calculations!$B$10:$B$18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Calculations!$D$10:$D$18</c:f>
              <c:numCache>
                <c:formatCode>0.0</c:formatCode>
                <c:ptCount val="9"/>
                <c:pt idx="0">
                  <c:v>0</c:v>
                </c:pt>
                <c:pt idx="1">
                  <c:v>4.2955932841112094</c:v>
                </c:pt>
                <c:pt idx="2">
                  <c:v>6.8051196107579521</c:v>
                </c:pt>
                <c:pt idx="3">
                  <c:v>-1.4262345465181301</c:v>
                </c:pt>
                <c:pt idx="4">
                  <c:v>7.1905560055881734</c:v>
                </c:pt>
                <c:pt idx="5">
                  <c:v>7.638031411270215</c:v>
                </c:pt>
                <c:pt idx="6">
                  <c:v>19.029102840555741</c:v>
                </c:pt>
                <c:pt idx="7">
                  <c:v>9.271124179377205</c:v>
                </c:pt>
                <c:pt idx="8">
                  <c:v>-8.0943798672286415E-14</c:v>
                </c:pt>
              </c:numCache>
            </c:numRef>
          </c:yVal>
        </c:ser>
        <c:ser>
          <c:idx val="2"/>
          <c:order val="2"/>
          <c:tx>
            <c:strRef>
              <c:f>Calculations!$E$9</c:f>
              <c:strCache>
                <c:ptCount val="1"/>
                <c:pt idx="0">
                  <c:v>+1.5S</c:v>
                </c:pt>
              </c:strCache>
            </c:strRef>
          </c:tx>
          <c:xVal>
            <c:numRef>
              <c:f>Calculations!$B$10:$B$18</c:f>
              <c:numCache>
                <c:formatCode>0.00</c:formatCode>
                <c:ptCount val="9"/>
                <c:pt idx="0">
                  <c:v>1006.0000244140625</c:v>
                </c:pt>
                <c:pt idx="1">
                  <c:v>819.30002441406248</c:v>
                </c:pt>
                <c:pt idx="2">
                  <c:v>671.30002441406248</c:v>
                </c:pt>
                <c:pt idx="3">
                  <c:v>557.50002441406252</c:v>
                </c:pt>
                <c:pt idx="4">
                  <c:v>415.29999389648435</c:v>
                </c:pt>
                <c:pt idx="5">
                  <c:v>309.19999389648439</c:v>
                </c:pt>
                <c:pt idx="6">
                  <c:v>214.88000030517577</c:v>
                </c:pt>
                <c:pt idx="7">
                  <c:v>80.91000061035156</c:v>
                </c:pt>
                <c:pt idx="8">
                  <c:v>2.9259999275207518</c:v>
                </c:pt>
              </c:numCache>
            </c:numRef>
          </c:xVal>
          <c:yVal>
            <c:numRef>
              <c:f>Calculations!$E$10:$E$18</c:f>
              <c:numCache>
                <c:formatCode>0.0</c:formatCode>
                <c:ptCount val="9"/>
                <c:pt idx="0">
                  <c:v>0</c:v>
                </c:pt>
                <c:pt idx="1">
                  <c:v>8.4249163454033713</c:v>
                </c:pt>
                <c:pt idx="2">
                  <c:v>9.8790013338898177</c:v>
                </c:pt>
                <c:pt idx="3">
                  <c:v>2.7323761309517112</c:v>
                </c:pt>
                <c:pt idx="4">
                  <c:v>13.057768419672854</c:v>
                </c:pt>
                <c:pt idx="5">
                  <c:v>13.338974582793153</c:v>
                </c:pt>
                <c:pt idx="6">
                  <c:v>25.83069779525264</c:v>
                </c:pt>
                <c:pt idx="7">
                  <c:v>13.435611530385504</c:v>
                </c:pt>
                <c:pt idx="8">
                  <c:v>2.0814861775139765E-14</c:v>
                </c:pt>
              </c:numCache>
            </c:numRef>
          </c:yVal>
        </c:ser>
        <c:axId val="180096000"/>
        <c:axId val="180110080"/>
      </c:scatterChart>
      <c:valAx>
        <c:axId val="180096000"/>
        <c:scaling>
          <c:orientation val="minMax"/>
        </c:scaling>
        <c:axPos val="b"/>
        <c:numFmt formatCode="General" sourceLinked="0"/>
        <c:tickLblPos val="nextTo"/>
        <c:crossAx val="180110080"/>
        <c:crosses val="autoZero"/>
        <c:crossBetween val="midCat"/>
      </c:valAx>
      <c:valAx>
        <c:axId val="180110080"/>
        <c:scaling>
          <c:orientation val="minMax"/>
        </c:scaling>
        <c:axPos val="l"/>
        <c:majorGridlines/>
        <c:numFmt formatCode="0.0" sourceLinked="1"/>
        <c:tickLblPos val="nextTo"/>
        <c:crossAx val="1800960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Calculations!$B$35</c:f>
              <c:strCache>
                <c:ptCount val="1"/>
                <c:pt idx="0">
                  <c:v>Gain Histogram</c:v>
                </c:pt>
              </c:strCache>
            </c:strRef>
          </c:tx>
          <c:cat>
            <c:numRef>
              <c:f>Calculations!$B$38:$B$43</c:f>
              <c:numCache>
                <c:formatCode>0.0%</c:formatCode>
                <c:ptCount val="6"/>
                <c:pt idx="0">
                  <c:v>0.19862821393789476</c:v>
                </c:pt>
                <c:pt idx="1">
                  <c:v>0.28904156902637734</c:v>
                </c:pt>
                <c:pt idx="2">
                  <c:v>0.37945492411485993</c:v>
                </c:pt>
                <c:pt idx="3">
                  <c:v>0.46986827920334251</c:v>
                </c:pt>
                <c:pt idx="4">
                  <c:v>0.56028163429182509</c:v>
                </c:pt>
                <c:pt idx="5">
                  <c:v>0.65069498938030768</c:v>
                </c:pt>
              </c:numCache>
            </c:numRef>
          </c:cat>
          <c:val>
            <c:numRef>
              <c:f>Calculations!$C$38:$C$43</c:f>
              <c:numCache>
                <c:formatCode>0.0%</c:formatCode>
                <c:ptCount val="6"/>
                <c:pt idx="0">
                  <c:v>0</c:v>
                </c:pt>
                <c:pt idx="1">
                  <c:v>0.15384615384615385</c:v>
                </c:pt>
                <c:pt idx="2">
                  <c:v>0.42307692307692307</c:v>
                </c:pt>
                <c:pt idx="3">
                  <c:v>0.11538461538461539</c:v>
                </c:pt>
                <c:pt idx="4">
                  <c:v>7.6923076923076927E-2</c:v>
                </c:pt>
                <c:pt idx="5">
                  <c:v>0.23076923076923078</c:v>
                </c:pt>
              </c:numCache>
            </c:numRef>
          </c:val>
        </c:ser>
        <c:axId val="180137984"/>
        <c:axId val="180139520"/>
      </c:barChart>
      <c:catAx>
        <c:axId val="180137984"/>
        <c:scaling>
          <c:orientation val="minMax"/>
        </c:scaling>
        <c:axPos val="b"/>
        <c:numFmt formatCode="0.0%" sourceLinked="1"/>
        <c:tickLblPos val="nextTo"/>
        <c:crossAx val="180139520"/>
        <c:crosses val="autoZero"/>
        <c:auto val="1"/>
        <c:lblAlgn val="ctr"/>
        <c:lblOffset val="100"/>
      </c:catAx>
      <c:valAx>
        <c:axId val="180139520"/>
        <c:scaling>
          <c:orientation val="minMax"/>
        </c:scaling>
        <c:axPos val="l"/>
        <c:majorGridlines/>
        <c:numFmt formatCode="0%" sourceLinked="0"/>
        <c:tickLblPos val="nextTo"/>
        <c:crossAx val="180137984"/>
        <c:crosses val="autoZero"/>
        <c:crossBetween val="between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Calculations!$B$51</c:f>
              <c:strCache>
                <c:ptCount val="1"/>
                <c:pt idx="0">
                  <c:v>INL Histogram</c:v>
                </c:pt>
              </c:strCache>
            </c:strRef>
          </c:tx>
          <c:cat>
            <c:numRef>
              <c:f>Calculations!$B$54:$B$59</c:f>
              <c:numCache>
                <c:formatCode>0.0</c:formatCode>
                <c:ptCount val="6"/>
                <c:pt idx="0">
                  <c:v>12.227507885858842</c:v>
                </c:pt>
                <c:pt idx="1">
                  <c:v>14.948145867737601</c:v>
                </c:pt>
                <c:pt idx="2">
                  <c:v>17.668783849616361</c:v>
                </c:pt>
                <c:pt idx="3">
                  <c:v>20.38942183149512</c:v>
                </c:pt>
                <c:pt idx="4">
                  <c:v>23.11005981337388</c:v>
                </c:pt>
                <c:pt idx="5">
                  <c:v>25.83069779525264</c:v>
                </c:pt>
              </c:numCache>
            </c:numRef>
          </c:cat>
          <c:val>
            <c:numRef>
              <c:f>Calculations!$C$54:$C$59</c:f>
              <c:numCache>
                <c:formatCode>0.0</c:formatCode>
                <c:ptCount val="6"/>
                <c:pt idx="0">
                  <c:v>3.8461538461538464E-2</c:v>
                </c:pt>
                <c:pt idx="1">
                  <c:v>0.15384615384615385</c:v>
                </c:pt>
                <c:pt idx="2">
                  <c:v>0.30769230769230771</c:v>
                </c:pt>
                <c:pt idx="3">
                  <c:v>0.15384615384615385</c:v>
                </c:pt>
                <c:pt idx="4">
                  <c:v>7.6923076923076927E-2</c:v>
                </c:pt>
                <c:pt idx="5">
                  <c:v>0.26923076923076922</c:v>
                </c:pt>
              </c:numCache>
            </c:numRef>
          </c:val>
        </c:ser>
        <c:axId val="180298496"/>
        <c:axId val="180300032"/>
      </c:barChart>
      <c:catAx>
        <c:axId val="180298496"/>
        <c:scaling>
          <c:orientation val="minMax"/>
        </c:scaling>
        <c:axPos val="b"/>
        <c:numFmt formatCode="0.0" sourceLinked="1"/>
        <c:tickLblPos val="nextTo"/>
        <c:crossAx val="180300032"/>
        <c:crosses val="autoZero"/>
        <c:auto val="1"/>
        <c:lblAlgn val="ctr"/>
        <c:lblOffset val="100"/>
      </c:catAx>
      <c:valAx>
        <c:axId val="180300032"/>
        <c:scaling>
          <c:orientation val="minMax"/>
        </c:scaling>
        <c:axPos val="l"/>
        <c:majorGridlines/>
        <c:numFmt formatCode="0%" sourceLinked="0"/>
        <c:tickLblPos val="nextTo"/>
        <c:crossAx val="180298496"/>
        <c:crosses val="autoZero"/>
        <c:crossBetween val="between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data0!$B$1</c:f>
              <c:strCache>
                <c:ptCount val="1"/>
                <c:pt idx="0">
                  <c:v>0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data0!$B$2:$B$10</c:f>
              <c:numCache>
                <c:formatCode>0.0</c:formatCode>
                <c:ptCount val="9"/>
                <c:pt idx="0">
                  <c:v>1347.9853515625</c:v>
                </c:pt>
                <c:pt idx="1">
                  <c:v>1102.3199462890625</c:v>
                </c:pt>
                <c:pt idx="2">
                  <c:v>905.98291015625</c:v>
                </c:pt>
                <c:pt idx="3">
                  <c:v>746.27593994140625</c:v>
                </c:pt>
                <c:pt idx="4">
                  <c:v>564.5909423828125</c:v>
                </c:pt>
                <c:pt idx="5">
                  <c:v>421.97802734375</c:v>
                </c:pt>
                <c:pt idx="6">
                  <c:v>309.15750122070312</c:v>
                </c:pt>
                <c:pt idx="7">
                  <c:v>118.19291687011719</c:v>
                </c:pt>
                <c:pt idx="8">
                  <c:v>4.884005069732666</c:v>
                </c:pt>
              </c:numCache>
            </c:numRef>
          </c:yVal>
        </c:ser>
        <c:ser>
          <c:idx val="1"/>
          <c:order val="1"/>
          <c:tx>
            <c:strRef>
              <c:f>data0!$C$1</c:f>
              <c:strCache>
                <c:ptCount val="1"/>
                <c:pt idx="0">
                  <c:v>1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data0!$C$2:$C$10</c:f>
              <c:numCache>
                <c:formatCode>0.0</c:formatCode>
                <c:ptCount val="9"/>
                <c:pt idx="0">
                  <c:v>1396.825439453125</c:v>
                </c:pt>
                <c:pt idx="1">
                  <c:v>1144.810791015625</c:v>
                </c:pt>
                <c:pt idx="2">
                  <c:v>941.14776611328125</c:v>
                </c:pt>
                <c:pt idx="3">
                  <c:v>776.5567626953125</c:v>
                </c:pt>
                <c:pt idx="4">
                  <c:v>585.103759765625</c:v>
                </c:pt>
                <c:pt idx="5">
                  <c:v>437.60684204101562</c:v>
                </c:pt>
                <c:pt idx="6">
                  <c:v>318.92550659179687</c:v>
                </c:pt>
                <c:pt idx="7">
                  <c:v>122.58852386474609</c:v>
                </c:pt>
                <c:pt idx="8">
                  <c:v>5.3724055290222168</c:v>
                </c:pt>
              </c:numCache>
            </c:numRef>
          </c:yVal>
        </c:ser>
        <c:ser>
          <c:idx val="2"/>
          <c:order val="2"/>
          <c:tx>
            <c:strRef>
              <c:f>data0!$D$1</c:f>
              <c:strCache>
                <c:ptCount val="1"/>
                <c:pt idx="0">
                  <c:v>2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data0!$D$2:$D$10</c:f>
              <c:numCache>
                <c:formatCode>General</c:formatCode>
                <c:ptCount val="9"/>
                <c:pt idx="0">
                  <c:v>1727.4725341796875</c:v>
                </c:pt>
                <c:pt idx="1">
                  <c:v>1412.942626953125</c:v>
                </c:pt>
                <c:pt idx="2">
                  <c:v>1158.4859619140625</c:v>
                </c:pt>
                <c:pt idx="3">
                  <c:v>951.4041748046875</c:v>
                </c:pt>
                <c:pt idx="4">
                  <c:v>729.18194580078125</c:v>
                </c:pt>
                <c:pt idx="5">
                  <c:v>546.03173828125</c:v>
                </c:pt>
                <c:pt idx="6">
                  <c:v>398.5347900390625</c:v>
                </c:pt>
                <c:pt idx="7">
                  <c:v>155.31135559082031</c:v>
                </c:pt>
                <c:pt idx="8">
                  <c:v>7.3260073661804199</c:v>
                </c:pt>
              </c:numCache>
            </c:numRef>
          </c:yVal>
        </c:ser>
        <c:ser>
          <c:idx val="3"/>
          <c:order val="3"/>
          <c:tx>
            <c:strRef>
              <c:f>data0!$E$1</c:f>
              <c:strCache>
                <c:ptCount val="1"/>
                <c:pt idx="0">
                  <c:v>3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data0!$E$2:$E$10</c:f>
              <c:numCache>
                <c:formatCode>General</c:formatCode>
                <c:ptCount val="9"/>
                <c:pt idx="0">
                  <c:v>1562.881591796875</c:v>
                </c:pt>
                <c:pt idx="1">
                  <c:v>1281.5628662109375</c:v>
                </c:pt>
                <c:pt idx="2">
                  <c:v>1052.5030517578125</c:v>
                </c:pt>
                <c:pt idx="3">
                  <c:v>865.4456787109375</c:v>
                </c:pt>
                <c:pt idx="4">
                  <c:v>655.4334716796875</c:v>
                </c:pt>
                <c:pt idx="5">
                  <c:v>491.81930541992187</c:v>
                </c:pt>
                <c:pt idx="6">
                  <c:v>357.99755859375</c:v>
                </c:pt>
                <c:pt idx="7">
                  <c:v>138.70573425292969</c:v>
                </c:pt>
                <c:pt idx="8">
                  <c:v>5.8608059883117676</c:v>
                </c:pt>
              </c:numCache>
            </c:numRef>
          </c:yVal>
        </c:ser>
        <c:ser>
          <c:idx val="4"/>
          <c:order val="4"/>
          <c:tx>
            <c:strRef>
              <c:f>data0!$F$1</c:f>
              <c:strCache>
                <c:ptCount val="1"/>
                <c:pt idx="0">
                  <c:v>4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data0!$F$2:$F$10</c:f>
              <c:numCache>
                <c:formatCode>General</c:formatCode>
                <c:ptCount val="9"/>
                <c:pt idx="0">
                  <c:v>1228.815673828125</c:v>
                </c:pt>
                <c:pt idx="1">
                  <c:v>1001.2210083007812</c:v>
                </c:pt>
                <c:pt idx="2">
                  <c:v>824.908447265625</c:v>
                </c:pt>
                <c:pt idx="3">
                  <c:v>681.31866455078125</c:v>
                </c:pt>
                <c:pt idx="4">
                  <c:v>506.959716796875</c:v>
                </c:pt>
                <c:pt idx="5">
                  <c:v>379.4871826171875</c:v>
                </c:pt>
                <c:pt idx="6">
                  <c:v>274.4810791015625</c:v>
                </c:pt>
                <c:pt idx="7">
                  <c:v>104.02930450439453</c:v>
                </c:pt>
                <c:pt idx="8">
                  <c:v>3.9072039127349854</c:v>
                </c:pt>
              </c:numCache>
            </c:numRef>
          </c:yVal>
        </c:ser>
        <c:ser>
          <c:idx val="5"/>
          <c:order val="5"/>
          <c:tx>
            <c:strRef>
              <c:f>data0!$G$1</c:f>
              <c:strCache>
                <c:ptCount val="1"/>
                <c:pt idx="0">
                  <c:v>5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data0!$G$2:$G$10</c:f>
              <c:numCache>
                <c:formatCode>General</c:formatCode>
                <c:ptCount val="9"/>
                <c:pt idx="0">
                  <c:v>1345.054931640625</c:v>
                </c:pt>
                <c:pt idx="1">
                  <c:v>1102.3199462890625</c:v>
                </c:pt>
                <c:pt idx="2">
                  <c:v>905.98291015625</c:v>
                </c:pt>
                <c:pt idx="3">
                  <c:v>747.25274658203125</c:v>
                </c:pt>
                <c:pt idx="4">
                  <c:v>561.17218017578125</c:v>
                </c:pt>
                <c:pt idx="5">
                  <c:v>419.5360107421875</c:v>
                </c:pt>
                <c:pt idx="6">
                  <c:v>304.27349853515625</c:v>
                </c:pt>
                <c:pt idx="7">
                  <c:v>116.23931884765625</c:v>
                </c:pt>
                <c:pt idx="8">
                  <c:v>4.3956046104431152</c:v>
                </c:pt>
              </c:numCache>
            </c:numRef>
          </c:yVal>
        </c:ser>
        <c:ser>
          <c:idx val="6"/>
          <c:order val="6"/>
          <c:tx>
            <c:strRef>
              <c:f>data0!$H$1</c:f>
              <c:strCache>
                <c:ptCount val="1"/>
                <c:pt idx="0">
                  <c:v>6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data0!$H$2:$H$10</c:f>
              <c:numCache>
                <c:formatCode>General</c:formatCode>
                <c:ptCount val="9"/>
                <c:pt idx="0">
                  <c:v>1318.19287109375</c:v>
                </c:pt>
                <c:pt idx="1">
                  <c:v>1077.89990234375</c:v>
                </c:pt>
                <c:pt idx="2">
                  <c:v>886.4468994140625</c:v>
                </c:pt>
                <c:pt idx="3">
                  <c:v>730.15875244140625</c:v>
                </c:pt>
                <c:pt idx="4">
                  <c:v>548.4737548828125</c:v>
                </c:pt>
                <c:pt idx="5">
                  <c:v>410.74481201171875</c:v>
                </c:pt>
                <c:pt idx="6">
                  <c:v>295.4822998046875</c:v>
                </c:pt>
                <c:pt idx="7">
                  <c:v>112.82051086425781</c:v>
                </c:pt>
                <c:pt idx="8">
                  <c:v>4.3956046104431152</c:v>
                </c:pt>
              </c:numCache>
            </c:numRef>
          </c:yVal>
        </c:ser>
        <c:ser>
          <c:idx val="7"/>
          <c:order val="7"/>
          <c:tx>
            <c:strRef>
              <c:f>data0!$I$1</c:f>
              <c:strCache>
                <c:ptCount val="1"/>
                <c:pt idx="0">
                  <c:v>7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data0!$I$2:$I$10</c:f>
              <c:numCache>
                <c:formatCode>General</c:formatCode>
                <c:ptCount val="9"/>
                <c:pt idx="0">
                  <c:v>1344.078125</c:v>
                </c:pt>
                <c:pt idx="1">
                  <c:v>1094.993896484375</c:v>
                </c:pt>
                <c:pt idx="2">
                  <c:v>902.07568359375</c:v>
                </c:pt>
                <c:pt idx="3">
                  <c:v>741.3919677734375</c:v>
                </c:pt>
                <c:pt idx="4">
                  <c:v>559.70697021484375</c:v>
                </c:pt>
                <c:pt idx="5">
                  <c:v>417.58242797851562</c:v>
                </c:pt>
                <c:pt idx="6">
                  <c:v>303.29669189453125</c:v>
                </c:pt>
                <c:pt idx="7">
                  <c:v>116.23931884765625</c:v>
                </c:pt>
                <c:pt idx="8">
                  <c:v>4.884005069732666</c:v>
                </c:pt>
              </c:numCache>
            </c:numRef>
          </c:yVal>
        </c:ser>
        <c:axId val="180366720"/>
        <c:axId val="180376704"/>
      </c:scatterChart>
      <c:valAx>
        <c:axId val="180366720"/>
        <c:scaling>
          <c:orientation val="minMax"/>
          <c:max val="8"/>
        </c:scaling>
        <c:axPos val="b"/>
        <c:numFmt formatCode="General" sourceLinked="1"/>
        <c:tickLblPos val="nextTo"/>
        <c:crossAx val="180376704"/>
        <c:crosses val="autoZero"/>
        <c:crossBetween val="midCat"/>
      </c:valAx>
      <c:valAx>
        <c:axId val="180376704"/>
        <c:scaling>
          <c:orientation val="minMax"/>
        </c:scaling>
        <c:axPos val="l"/>
        <c:majorGridlines/>
        <c:numFmt formatCode="0.0" sourceLinked="1"/>
        <c:tickLblPos val="nextTo"/>
        <c:crossAx val="1803667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data0!$J$1</c:f>
              <c:strCache>
                <c:ptCount val="1"/>
                <c:pt idx="0">
                  <c:v>8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data0!$J$2:$J$10</c:f>
              <c:numCache>
                <c:formatCode>General</c:formatCode>
                <c:ptCount val="9"/>
              </c:numCache>
            </c:numRef>
          </c:yVal>
        </c:ser>
        <c:ser>
          <c:idx val="1"/>
          <c:order val="1"/>
          <c:tx>
            <c:strRef>
              <c:f>data0!$K$1</c:f>
              <c:strCache>
                <c:ptCount val="1"/>
                <c:pt idx="0">
                  <c:v>9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data0!$K$2:$K$10</c:f>
              <c:numCache>
                <c:formatCode>General</c:formatCode>
                <c:ptCount val="9"/>
                <c:pt idx="0">
                  <c:v>1708.4249267578125</c:v>
                </c:pt>
                <c:pt idx="1">
                  <c:v>1395.3602294921875</c:v>
                </c:pt>
                <c:pt idx="2">
                  <c:v>1148.2294921875</c:v>
                </c:pt>
                <c:pt idx="3">
                  <c:v>945.054931640625</c:v>
                </c:pt>
                <c:pt idx="4">
                  <c:v>719.90234375</c:v>
                </c:pt>
                <c:pt idx="5">
                  <c:v>539.19415283203125</c:v>
                </c:pt>
                <c:pt idx="6">
                  <c:v>392.67398071289062</c:v>
                </c:pt>
                <c:pt idx="7">
                  <c:v>153.35775756835937</c:v>
                </c:pt>
                <c:pt idx="8">
                  <c:v>7.3260073661804199</c:v>
                </c:pt>
              </c:numCache>
            </c:numRef>
          </c:yVal>
        </c:ser>
        <c:ser>
          <c:idx val="2"/>
          <c:order val="2"/>
          <c:tx>
            <c:strRef>
              <c:f>data0!$L$1</c:f>
              <c:strCache>
                <c:ptCount val="1"/>
                <c:pt idx="0">
                  <c:v>10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data0!$L$2:$L$10</c:f>
              <c:numCache>
                <c:formatCode>General</c:formatCode>
                <c:ptCount val="9"/>
                <c:pt idx="0">
                  <c:v>1347.008544921875</c:v>
                </c:pt>
                <c:pt idx="1">
                  <c:v>1101.83154296875</c:v>
                </c:pt>
                <c:pt idx="2">
                  <c:v>904.029296875</c:v>
                </c:pt>
                <c:pt idx="3">
                  <c:v>745.78753662109375</c:v>
                </c:pt>
                <c:pt idx="4">
                  <c:v>561.17218017578125</c:v>
                </c:pt>
                <c:pt idx="5">
                  <c:v>419.047607421875</c:v>
                </c:pt>
                <c:pt idx="6">
                  <c:v>304.76190185546875</c:v>
                </c:pt>
                <c:pt idx="7">
                  <c:v>116.72771453857422</c:v>
                </c:pt>
                <c:pt idx="8">
                  <c:v>4.3956046104431152</c:v>
                </c:pt>
              </c:numCache>
            </c:numRef>
          </c:yVal>
        </c:ser>
        <c:ser>
          <c:idx val="3"/>
          <c:order val="3"/>
          <c:tx>
            <c:strRef>
              <c:f>data0!$M$1</c:f>
              <c:strCache>
                <c:ptCount val="1"/>
                <c:pt idx="0">
                  <c:v>11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data0!$M$2:$M$10</c:f>
              <c:numCache>
                <c:formatCode>General</c:formatCode>
                <c:ptCount val="9"/>
              </c:numCache>
            </c:numRef>
          </c:yVal>
        </c:ser>
        <c:ser>
          <c:idx val="4"/>
          <c:order val="4"/>
          <c:tx>
            <c:strRef>
              <c:f>data0!$N$1</c:f>
              <c:strCache>
                <c:ptCount val="1"/>
                <c:pt idx="0">
                  <c:v>12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data0!$N$2:$N$10</c:f>
              <c:numCache>
                <c:formatCode>General</c:formatCode>
                <c:ptCount val="9"/>
                <c:pt idx="0">
                  <c:v>1429.059814453125</c:v>
                </c:pt>
                <c:pt idx="1">
                  <c:v>1167.2772216796875</c:v>
                </c:pt>
                <c:pt idx="2">
                  <c:v>964.1025390625</c:v>
                </c:pt>
                <c:pt idx="3">
                  <c:v>794.13922119140625</c:v>
                </c:pt>
                <c:pt idx="4">
                  <c:v>597.80218505859375</c:v>
                </c:pt>
                <c:pt idx="5">
                  <c:v>449.32846069335937</c:v>
                </c:pt>
                <c:pt idx="6">
                  <c:v>324.78631591796875</c:v>
                </c:pt>
                <c:pt idx="7">
                  <c:v>125.51892852783203</c:v>
                </c:pt>
                <c:pt idx="8">
                  <c:v>5.3724055290222168</c:v>
                </c:pt>
              </c:numCache>
            </c:numRef>
          </c:yVal>
        </c:ser>
        <c:ser>
          <c:idx val="5"/>
          <c:order val="5"/>
          <c:tx>
            <c:strRef>
              <c:f>data0!$O$1</c:f>
              <c:strCache>
                <c:ptCount val="1"/>
                <c:pt idx="0">
                  <c:v>13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data0!$O$2:$O$10</c:f>
              <c:numCache>
                <c:formatCode>General</c:formatCode>
                <c:ptCount val="9"/>
                <c:pt idx="0">
                  <c:v>1283.028076171875</c:v>
                </c:pt>
                <c:pt idx="1">
                  <c:v>1051.037841796875</c:v>
                </c:pt>
                <c:pt idx="2">
                  <c:v>864.4688720703125</c:v>
                </c:pt>
                <c:pt idx="3">
                  <c:v>710.6226806640625</c:v>
                </c:pt>
                <c:pt idx="4">
                  <c:v>534.31011962890625</c:v>
                </c:pt>
                <c:pt idx="5">
                  <c:v>399.023193359375</c:v>
                </c:pt>
                <c:pt idx="6">
                  <c:v>289.13308715820312</c:v>
                </c:pt>
                <c:pt idx="7">
                  <c:v>110.37850952148437</c:v>
                </c:pt>
                <c:pt idx="8">
                  <c:v>4.3956046104431152</c:v>
                </c:pt>
              </c:numCache>
            </c:numRef>
          </c:yVal>
        </c:ser>
        <c:ser>
          <c:idx val="6"/>
          <c:order val="6"/>
          <c:tx>
            <c:strRef>
              <c:f>data0!$P$1</c:f>
              <c:strCache>
                <c:ptCount val="1"/>
                <c:pt idx="0">
                  <c:v>14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data0!$P$2:$P$10</c:f>
              <c:numCache>
                <c:formatCode>General</c:formatCode>
                <c:ptCount val="9"/>
                <c:pt idx="0">
                  <c:v>1378.2662353515625</c:v>
                </c:pt>
                <c:pt idx="1">
                  <c:v>1129.181884765625</c:v>
                </c:pt>
                <c:pt idx="2">
                  <c:v>929.4261474609375</c:v>
                </c:pt>
                <c:pt idx="3">
                  <c:v>764.34674072265625</c:v>
                </c:pt>
                <c:pt idx="4">
                  <c:v>574.84735107421875</c:v>
                </c:pt>
                <c:pt idx="5">
                  <c:v>431.25762939453125</c:v>
                </c:pt>
                <c:pt idx="6">
                  <c:v>312.57632446289062</c:v>
                </c:pt>
                <c:pt idx="7">
                  <c:v>119.65811920166016</c:v>
                </c:pt>
                <c:pt idx="8">
                  <c:v>4.884005069732666</c:v>
                </c:pt>
              </c:numCache>
            </c:numRef>
          </c:yVal>
        </c:ser>
        <c:ser>
          <c:idx val="7"/>
          <c:order val="7"/>
          <c:tx>
            <c:strRef>
              <c:f>data0!$Q$1</c:f>
              <c:strCache>
                <c:ptCount val="1"/>
                <c:pt idx="0">
                  <c:v>15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data0!$Q$2:$Q$10</c:f>
              <c:numCache>
                <c:formatCode>General</c:formatCode>
                <c:ptCount val="9"/>
              </c:numCache>
            </c:numRef>
          </c:yVal>
        </c:ser>
        <c:axId val="180430720"/>
        <c:axId val="180432256"/>
      </c:scatterChart>
      <c:valAx>
        <c:axId val="180430720"/>
        <c:scaling>
          <c:orientation val="minMax"/>
          <c:max val="8"/>
        </c:scaling>
        <c:axPos val="b"/>
        <c:numFmt formatCode="General" sourceLinked="1"/>
        <c:tickLblPos val="nextTo"/>
        <c:crossAx val="180432256"/>
        <c:crosses val="autoZero"/>
        <c:crossBetween val="midCat"/>
      </c:valAx>
      <c:valAx>
        <c:axId val="180432256"/>
        <c:scaling>
          <c:orientation val="minMax"/>
        </c:scaling>
        <c:axPos val="l"/>
        <c:majorGridlines/>
        <c:numFmt formatCode="General" sourceLinked="1"/>
        <c:tickLblPos val="nextTo"/>
        <c:crossAx val="18043072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data0!$R$1</c:f>
              <c:strCache>
                <c:ptCount val="1"/>
                <c:pt idx="0">
                  <c:v>16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data0!$R$2:$R$10</c:f>
              <c:numCache>
                <c:formatCode>General</c:formatCode>
                <c:ptCount val="9"/>
                <c:pt idx="0">
                  <c:v>1421.7337646484375</c:v>
                </c:pt>
                <c:pt idx="1">
                  <c:v>1160.4395751953125</c:v>
                </c:pt>
                <c:pt idx="2">
                  <c:v>956.28814697265625</c:v>
                </c:pt>
                <c:pt idx="3">
                  <c:v>787.78997802734375</c:v>
                </c:pt>
                <c:pt idx="4">
                  <c:v>593.4066162109375</c:v>
                </c:pt>
                <c:pt idx="5">
                  <c:v>443.4676513671875</c:v>
                </c:pt>
                <c:pt idx="6">
                  <c:v>322.83273315429687</c:v>
                </c:pt>
                <c:pt idx="7">
                  <c:v>124.05372619628906</c:v>
                </c:pt>
                <c:pt idx="8">
                  <c:v>4.884005069732666</c:v>
                </c:pt>
              </c:numCache>
            </c:numRef>
          </c:yVal>
        </c:ser>
        <c:ser>
          <c:idx val="1"/>
          <c:order val="1"/>
          <c:tx>
            <c:strRef>
              <c:f>data0!$S$1</c:f>
              <c:strCache>
                <c:ptCount val="1"/>
                <c:pt idx="0">
                  <c:v>17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data0!$S$2:$S$10</c:f>
              <c:numCache>
                <c:formatCode>General</c:formatCode>
                <c:ptCount val="9"/>
                <c:pt idx="0">
                  <c:v>1384.6153564453125</c:v>
                </c:pt>
                <c:pt idx="1">
                  <c:v>1134.06591796875</c:v>
                </c:pt>
                <c:pt idx="2">
                  <c:v>931.3797607421875</c:v>
                </c:pt>
                <c:pt idx="3">
                  <c:v>766.78875732421875</c:v>
                </c:pt>
                <c:pt idx="4">
                  <c:v>578.75457763671875</c:v>
                </c:pt>
                <c:pt idx="5">
                  <c:v>433.21124267578125</c:v>
                </c:pt>
                <c:pt idx="6">
                  <c:v>313.06472778320312</c:v>
                </c:pt>
                <c:pt idx="7">
                  <c:v>120.14652252197266</c:v>
                </c:pt>
                <c:pt idx="8">
                  <c:v>4.884005069732666</c:v>
                </c:pt>
              </c:numCache>
            </c:numRef>
          </c:yVal>
        </c:ser>
        <c:ser>
          <c:idx val="2"/>
          <c:order val="2"/>
          <c:tx>
            <c:strRef>
              <c:f>data0!$T$1</c:f>
              <c:strCache>
                <c:ptCount val="1"/>
                <c:pt idx="0">
                  <c:v>18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data0!$T$2:$T$10</c:f>
              <c:numCache>
                <c:formatCode>General</c:formatCode>
                <c:ptCount val="9"/>
                <c:pt idx="0">
                  <c:v>1687.912109375</c:v>
                </c:pt>
                <c:pt idx="1">
                  <c:v>1379.7313232421875</c:v>
                </c:pt>
                <c:pt idx="2">
                  <c:v>1132.1123046875</c:v>
                </c:pt>
                <c:pt idx="3">
                  <c:v>930.891357421875</c:v>
                </c:pt>
                <c:pt idx="4">
                  <c:v>713.064697265625</c:v>
                </c:pt>
                <c:pt idx="5">
                  <c:v>534.31011962890625</c:v>
                </c:pt>
                <c:pt idx="6">
                  <c:v>390.23199462890625</c:v>
                </c:pt>
                <c:pt idx="7">
                  <c:v>152.38095092773437</c:v>
                </c:pt>
                <c:pt idx="8">
                  <c:v>7.3260073661804199</c:v>
                </c:pt>
              </c:numCache>
            </c:numRef>
          </c:yVal>
        </c:ser>
        <c:ser>
          <c:idx val="3"/>
          <c:order val="3"/>
          <c:tx>
            <c:strRef>
              <c:f>data0!$U$1</c:f>
              <c:strCache>
                <c:ptCount val="1"/>
                <c:pt idx="0">
                  <c:v>19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data0!$U$2:$U$10</c:f>
              <c:numCache>
                <c:formatCode>General</c:formatCode>
                <c:ptCount val="9"/>
                <c:pt idx="0">
                  <c:v>1559.4627685546875</c:v>
                </c:pt>
                <c:pt idx="1">
                  <c:v>1275.7020263671875</c:v>
                </c:pt>
                <c:pt idx="2">
                  <c:v>1045.6654052734375</c:v>
                </c:pt>
                <c:pt idx="3">
                  <c:v>862.5152587890625</c:v>
                </c:pt>
                <c:pt idx="4">
                  <c:v>653.96826171875</c:v>
                </c:pt>
                <c:pt idx="5">
                  <c:v>491.33090209960937</c:v>
                </c:pt>
                <c:pt idx="6">
                  <c:v>358.4859619140625</c:v>
                </c:pt>
                <c:pt idx="7">
                  <c:v>139.19413757324219</c:v>
                </c:pt>
                <c:pt idx="8">
                  <c:v>6.3492064476013184</c:v>
                </c:pt>
              </c:numCache>
            </c:numRef>
          </c:yVal>
        </c:ser>
        <c:ser>
          <c:idx val="4"/>
          <c:order val="4"/>
          <c:tx>
            <c:strRef>
              <c:f>data0!$V$1</c:f>
              <c:strCache>
                <c:ptCount val="1"/>
                <c:pt idx="0">
                  <c:v>20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data0!$V$2:$V$10</c:f>
              <c:numCache>
                <c:formatCode>General</c:formatCode>
                <c:ptCount val="9"/>
              </c:numCache>
            </c:numRef>
          </c:yVal>
        </c:ser>
        <c:ser>
          <c:idx val="5"/>
          <c:order val="5"/>
          <c:tx>
            <c:strRef>
              <c:f>data0!$W$1</c:f>
              <c:strCache>
                <c:ptCount val="1"/>
                <c:pt idx="0">
                  <c:v>21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data0!$W$2:$W$10</c:f>
              <c:numCache>
                <c:formatCode>General</c:formatCode>
                <c:ptCount val="9"/>
                <c:pt idx="0">
                  <c:v>1603.4188232421875</c:v>
                </c:pt>
                <c:pt idx="1">
                  <c:v>1306.959716796875</c:v>
                </c:pt>
                <c:pt idx="2">
                  <c:v>1073.99267578125</c:v>
                </c:pt>
                <c:pt idx="3">
                  <c:v>882.5396728515625</c:v>
                </c:pt>
                <c:pt idx="4">
                  <c:v>671.062255859375</c:v>
                </c:pt>
                <c:pt idx="5">
                  <c:v>503.052490234375</c:v>
                </c:pt>
                <c:pt idx="6">
                  <c:v>365.81195068359375</c:v>
                </c:pt>
                <c:pt idx="7">
                  <c:v>141.63613891601562</c:v>
                </c:pt>
                <c:pt idx="8">
                  <c:v>6.3492064476013184</c:v>
                </c:pt>
              </c:numCache>
            </c:numRef>
          </c:yVal>
        </c:ser>
        <c:ser>
          <c:idx val="6"/>
          <c:order val="6"/>
          <c:tx>
            <c:strRef>
              <c:f>data0!$X$1</c:f>
              <c:strCache>
                <c:ptCount val="1"/>
                <c:pt idx="0">
                  <c:v>22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data0!$X$2:$X$10</c:f>
              <c:numCache>
                <c:formatCode>General</c:formatCode>
                <c:ptCount val="9"/>
                <c:pt idx="0">
                  <c:v>1601.4652099609375</c:v>
                </c:pt>
                <c:pt idx="1">
                  <c:v>1311.84375</c:v>
                </c:pt>
                <c:pt idx="2">
                  <c:v>1079.3651123046875</c:v>
                </c:pt>
                <c:pt idx="3">
                  <c:v>887.4237060546875</c:v>
                </c:pt>
                <c:pt idx="4">
                  <c:v>677.4114990234375</c:v>
                </c:pt>
                <c:pt idx="5">
                  <c:v>509.40170288085937</c:v>
                </c:pt>
                <c:pt idx="6">
                  <c:v>367.76556396484375</c:v>
                </c:pt>
                <c:pt idx="7">
                  <c:v>143.58973693847656</c:v>
                </c:pt>
                <c:pt idx="8">
                  <c:v>6.8376069068908691</c:v>
                </c:pt>
              </c:numCache>
            </c:numRef>
          </c:yVal>
        </c:ser>
        <c:ser>
          <c:idx val="7"/>
          <c:order val="7"/>
          <c:tx>
            <c:strRef>
              <c:f>data0!$Y$1</c:f>
              <c:strCache>
                <c:ptCount val="1"/>
                <c:pt idx="0">
                  <c:v>23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data0!$Y$2:$Y$10</c:f>
              <c:numCache>
                <c:formatCode>General</c:formatCode>
                <c:ptCount val="9"/>
                <c:pt idx="0">
                  <c:v>1231.2576904296875</c:v>
                </c:pt>
                <c:pt idx="1">
                  <c:v>1009.5238037109375</c:v>
                </c:pt>
                <c:pt idx="2">
                  <c:v>830.28082275390625</c:v>
                </c:pt>
                <c:pt idx="3">
                  <c:v>686.20269775390625</c:v>
                </c:pt>
                <c:pt idx="4">
                  <c:v>512.33209228515625</c:v>
                </c:pt>
                <c:pt idx="5">
                  <c:v>381.4407958984375</c:v>
                </c:pt>
                <c:pt idx="6">
                  <c:v>277.89987182617187</c:v>
                </c:pt>
                <c:pt idx="7">
                  <c:v>105.4945068359375</c:v>
                </c:pt>
                <c:pt idx="8">
                  <c:v>3.9072039127349854</c:v>
                </c:pt>
              </c:numCache>
            </c:numRef>
          </c:yVal>
        </c:ser>
        <c:axId val="180499200"/>
        <c:axId val="180500736"/>
      </c:scatterChart>
      <c:valAx>
        <c:axId val="180499200"/>
        <c:scaling>
          <c:orientation val="minMax"/>
          <c:max val="8"/>
        </c:scaling>
        <c:axPos val="b"/>
        <c:numFmt formatCode="General" sourceLinked="1"/>
        <c:tickLblPos val="nextTo"/>
        <c:crossAx val="180500736"/>
        <c:crosses val="autoZero"/>
        <c:crossBetween val="midCat"/>
      </c:valAx>
      <c:valAx>
        <c:axId val="180500736"/>
        <c:scaling>
          <c:orientation val="minMax"/>
        </c:scaling>
        <c:axPos val="l"/>
        <c:majorGridlines/>
        <c:numFmt formatCode="General" sourceLinked="1"/>
        <c:tickLblPos val="nextTo"/>
        <c:crossAx val="1804992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data0!$Z$1</c:f>
              <c:strCache>
                <c:ptCount val="1"/>
                <c:pt idx="0">
                  <c:v>24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data0!$Z$2:$Z$10</c:f>
              <c:numCache>
                <c:formatCode>General</c:formatCode>
                <c:ptCount val="9"/>
                <c:pt idx="0">
                  <c:v>1675.213623046875</c:v>
                </c:pt>
                <c:pt idx="1">
                  <c:v>1367.032958984375</c:v>
                </c:pt>
                <c:pt idx="2">
                  <c:v>1121.3675537109375</c:v>
                </c:pt>
                <c:pt idx="3">
                  <c:v>922.5885009765625</c:v>
                </c:pt>
                <c:pt idx="4">
                  <c:v>702.80828857421875</c:v>
                </c:pt>
                <c:pt idx="5">
                  <c:v>528.937744140625</c:v>
                </c:pt>
                <c:pt idx="6">
                  <c:v>383.88278198242187</c:v>
                </c:pt>
                <c:pt idx="7">
                  <c:v>149.93894958496094</c:v>
                </c:pt>
                <c:pt idx="8">
                  <c:v>6.8376069068908691</c:v>
                </c:pt>
              </c:numCache>
            </c:numRef>
          </c:yVal>
        </c:ser>
        <c:ser>
          <c:idx val="1"/>
          <c:order val="1"/>
          <c:tx>
            <c:strRef>
              <c:f>data0!$AA$1</c:f>
              <c:strCache>
                <c:ptCount val="1"/>
                <c:pt idx="0">
                  <c:v>25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data0!$AA$2:$AA$10</c:f>
              <c:numCache>
                <c:formatCode>General</c:formatCode>
                <c:ptCount val="9"/>
                <c:pt idx="0">
                  <c:v>1368.986572265625</c:v>
                </c:pt>
                <c:pt idx="1">
                  <c:v>1116.971923828125</c:v>
                </c:pt>
                <c:pt idx="2">
                  <c:v>920.14654541015625</c:v>
                </c:pt>
                <c:pt idx="3">
                  <c:v>755.5555419921875</c:v>
                </c:pt>
                <c:pt idx="4">
                  <c:v>571.4285888671875</c:v>
                </c:pt>
                <c:pt idx="5">
                  <c:v>428.32723999023437</c:v>
                </c:pt>
                <c:pt idx="6">
                  <c:v>311.59951782226562</c:v>
                </c:pt>
                <c:pt idx="7">
                  <c:v>119.65811920166016</c:v>
                </c:pt>
                <c:pt idx="8">
                  <c:v>4.884005069732666</c:v>
                </c:pt>
              </c:numCache>
            </c:numRef>
          </c:yVal>
        </c:ser>
        <c:ser>
          <c:idx val="2"/>
          <c:order val="2"/>
          <c:tx>
            <c:strRef>
              <c:f>data0!$AB$1</c:f>
              <c:strCache>
                <c:ptCount val="1"/>
                <c:pt idx="0">
                  <c:v>26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data0!$AB$2:$AB$10</c:f>
              <c:numCache>
                <c:formatCode>General</c:formatCode>
                <c:ptCount val="9"/>
              </c:numCache>
            </c:numRef>
          </c:yVal>
        </c:ser>
        <c:ser>
          <c:idx val="3"/>
          <c:order val="3"/>
          <c:tx>
            <c:strRef>
              <c:f>data0!$AC$1</c:f>
              <c:strCache>
                <c:ptCount val="1"/>
                <c:pt idx="0">
                  <c:v>27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data0!$AC$2:$AC$10</c:f>
              <c:numCache>
                <c:formatCode>General</c:formatCode>
                <c:ptCount val="9"/>
                <c:pt idx="0">
                  <c:v>1358.24169921875</c:v>
                </c:pt>
                <c:pt idx="1">
                  <c:v>1104.761962890625</c:v>
                </c:pt>
                <c:pt idx="2">
                  <c:v>912.33209228515625</c:v>
                </c:pt>
                <c:pt idx="3">
                  <c:v>751.15997314453125</c:v>
                </c:pt>
                <c:pt idx="4">
                  <c:v>566.05615234375</c:v>
                </c:pt>
                <c:pt idx="5">
                  <c:v>422.4664306640625</c:v>
                </c:pt>
                <c:pt idx="6">
                  <c:v>305.73870849609375</c:v>
                </c:pt>
                <c:pt idx="7">
                  <c:v>116.72771453857422</c:v>
                </c:pt>
                <c:pt idx="8">
                  <c:v>4.3956046104431152</c:v>
                </c:pt>
              </c:numCache>
            </c:numRef>
          </c:yVal>
        </c:ser>
        <c:ser>
          <c:idx val="4"/>
          <c:order val="4"/>
          <c:tx>
            <c:strRef>
              <c:f>data0!$AD$1</c:f>
              <c:strCache>
                <c:ptCount val="1"/>
                <c:pt idx="0">
                  <c:v>28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data0!$AD$2:$AD$10</c:f>
              <c:numCache>
                <c:formatCode>General</c:formatCode>
                <c:ptCount val="9"/>
                <c:pt idx="0">
                  <c:v>1274.7252197265625</c:v>
                </c:pt>
                <c:pt idx="1">
                  <c:v>1038.3394775390625</c:v>
                </c:pt>
                <c:pt idx="2">
                  <c:v>856.16607666015625</c:v>
                </c:pt>
                <c:pt idx="3">
                  <c:v>707.20391845703125</c:v>
                </c:pt>
                <c:pt idx="4">
                  <c:v>528.4493408203125</c:v>
                </c:pt>
                <c:pt idx="5">
                  <c:v>394.13919067382812</c:v>
                </c:pt>
                <c:pt idx="6">
                  <c:v>286.69110107421875</c:v>
                </c:pt>
                <c:pt idx="7">
                  <c:v>109.40171051025391</c:v>
                </c:pt>
                <c:pt idx="8">
                  <c:v>4.3956046104431152</c:v>
                </c:pt>
              </c:numCache>
            </c:numRef>
          </c:yVal>
        </c:ser>
        <c:ser>
          <c:idx val="5"/>
          <c:order val="5"/>
          <c:tx>
            <c:strRef>
              <c:f>data0!$AE$1</c:f>
              <c:strCache>
                <c:ptCount val="1"/>
                <c:pt idx="0">
                  <c:v>29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data0!$AE$2:$AE$10</c:f>
              <c:numCache>
                <c:formatCode>General</c:formatCode>
                <c:ptCount val="9"/>
              </c:numCache>
            </c:numRef>
          </c:yVal>
        </c:ser>
        <c:ser>
          <c:idx val="6"/>
          <c:order val="6"/>
          <c:tx>
            <c:strRef>
              <c:f>data0!$AF$1</c:f>
              <c:strCache>
                <c:ptCount val="1"/>
                <c:pt idx="0">
                  <c:v>30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data0!$AF$2:$AF$10</c:f>
              <c:numCache>
                <c:formatCode>General</c:formatCode>
                <c:ptCount val="9"/>
                <c:pt idx="0">
                  <c:v>1336.2637939453125</c:v>
                </c:pt>
                <c:pt idx="1">
                  <c:v>1096.4591064453125</c:v>
                </c:pt>
                <c:pt idx="2">
                  <c:v>901.098876953125</c:v>
                </c:pt>
                <c:pt idx="3">
                  <c:v>741.88037109375</c:v>
                </c:pt>
                <c:pt idx="4">
                  <c:v>560.19537353515625</c:v>
                </c:pt>
                <c:pt idx="5">
                  <c:v>419.5360107421875</c:v>
                </c:pt>
                <c:pt idx="6">
                  <c:v>302.31991577148437</c:v>
                </c:pt>
                <c:pt idx="7">
                  <c:v>116.23931884765625</c:v>
                </c:pt>
                <c:pt idx="8">
                  <c:v>4.884005069732666</c:v>
                </c:pt>
              </c:numCache>
            </c:numRef>
          </c:yVal>
        </c:ser>
        <c:ser>
          <c:idx val="7"/>
          <c:order val="7"/>
          <c:tx>
            <c:strRef>
              <c:f>data0!$AG$1</c:f>
              <c:strCache>
                <c:ptCount val="1"/>
                <c:pt idx="0">
                  <c:v>31</c:v>
                </c:pt>
              </c:strCache>
            </c:strRef>
          </c:tx>
          <c:xVal>
            <c:numRef>
              <c:f>data0!$A$2:$A$10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data0!$AG$2:$AG$10</c:f>
              <c:numCache>
                <c:formatCode>General</c:formatCode>
                <c:ptCount val="9"/>
                <c:pt idx="0">
                  <c:v>1372.893798828125</c:v>
                </c:pt>
                <c:pt idx="1">
                  <c:v>1124.786376953125</c:v>
                </c:pt>
                <c:pt idx="2">
                  <c:v>924.5421142578125</c:v>
                </c:pt>
                <c:pt idx="3">
                  <c:v>760.927978515625</c:v>
                </c:pt>
                <c:pt idx="4">
                  <c:v>572.4053955078125</c:v>
                </c:pt>
                <c:pt idx="5">
                  <c:v>429.30401611328125</c:v>
                </c:pt>
                <c:pt idx="6">
                  <c:v>311.59951782226562</c:v>
                </c:pt>
                <c:pt idx="7">
                  <c:v>119.65811920166016</c:v>
                </c:pt>
                <c:pt idx="8">
                  <c:v>4.884005069732666</c:v>
                </c:pt>
              </c:numCache>
            </c:numRef>
          </c:yVal>
        </c:ser>
        <c:axId val="180562560"/>
        <c:axId val="180572544"/>
      </c:scatterChart>
      <c:valAx>
        <c:axId val="180562560"/>
        <c:scaling>
          <c:orientation val="minMax"/>
          <c:max val="8"/>
        </c:scaling>
        <c:axPos val="b"/>
        <c:numFmt formatCode="General" sourceLinked="1"/>
        <c:tickLblPos val="nextTo"/>
        <c:crossAx val="180572544"/>
        <c:crosses val="autoZero"/>
        <c:crossBetween val="midCat"/>
      </c:valAx>
      <c:valAx>
        <c:axId val="180572544"/>
        <c:scaling>
          <c:orientation val="minMax"/>
        </c:scaling>
        <c:axPos val="l"/>
        <c:majorGridlines/>
        <c:numFmt formatCode="General" sourceLinked="1"/>
        <c:tickLblPos val="nextTo"/>
        <c:crossAx val="18056256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7</xdr:col>
      <xdr:colOff>693965</xdr:colOff>
      <xdr:row>20</xdr:row>
      <xdr:rowOff>13607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21</xdr:row>
      <xdr:rowOff>0</xdr:rowOff>
    </xdr:from>
    <xdr:to>
      <xdr:col>7</xdr:col>
      <xdr:colOff>666750</xdr:colOff>
      <xdr:row>35</xdr:row>
      <xdr:rowOff>81643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21</xdr:row>
      <xdr:rowOff>0</xdr:rowOff>
    </xdr:from>
    <xdr:to>
      <xdr:col>15</xdr:col>
      <xdr:colOff>219075</xdr:colOff>
      <xdr:row>35</xdr:row>
      <xdr:rowOff>81643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31297</xdr:colOff>
      <xdr:row>19</xdr:row>
      <xdr:rowOff>0</xdr:rowOff>
    </xdr:from>
    <xdr:to>
      <xdr:col>16</xdr:col>
      <xdr:colOff>517073</xdr:colOff>
      <xdr:row>33</xdr:row>
      <xdr:rowOff>13607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19</xdr:row>
      <xdr:rowOff>0</xdr:rowOff>
    </xdr:from>
    <xdr:to>
      <xdr:col>24</xdr:col>
      <xdr:colOff>485776</xdr:colOff>
      <xdr:row>33</xdr:row>
      <xdr:rowOff>13607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19</xdr:row>
      <xdr:rowOff>0</xdr:rowOff>
    </xdr:from>
    <xdr:to>
      <xdr:col>32</xdr:col>
      <xdr:colOff>485776</xdr:colOff>
      <xdr:row>33</xdr:row>
      <xdr:rowOff>13607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485776</xdr:colOff>
      <xdr:row>33</xdr:row>
      <xdr:rowOff>13607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95249</xdr:colOff>
      <xdr:row>19</xdr:row>
      <xdr:rowOff>0</xdr:rowOff>
    </xdr:from>
    <xdr:to>
      <xdr:col>8</xdr:col>
      <xdr:colOff>476250</xdr:colOff>
      <xdr:row>33</xdr:row>
      <xdr:rowOff>13607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34</xdr:row>
      <xdr:rowOff>0</xdr:rowOff>
    </xdr:from>
    <xdr:to>
      <xdr:col>12</xdr:col>
      <xdr:colOff>272143</xdr:colOff>
      <xdr:row>48</xdr:row>
      <xdr:rowOff>81643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27214</xdr:colOff>
      <xdr:row>50</xdr:row>
      <xdr:rowOff>27214</xdr:rowOff>
    </xdr:from>
    <xdr:to>
      <xdr:col>12</xdr:col>
      <xdr:colOff>299357</xdr:colOff>
      <xdr:row>64</xdr:row>
      <xdr:rowOff>108857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0</xdr:rowOff>
    </xdr:from>
    <xdr:to>
      <xdr:col>8</xdr:col>
      <xdr:colOff>381000</xdr:colOff>
      <xdr:row>22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13607</xdr:colOff>
      <xdr:row>11</xdr:row>
      <xdr:rowOff>0</xdr:rowOff>
    </xdr:from>
    <xdr:to>
      <xdr:col>17</xdr:col>
      <xdr:colOff>0</xdr:colOff>
      <xdr:row>22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11</xdr:row>
      <xdr:rowOff>0</xdr:rowOff>
    </xdr:from>
    <xdr:to>
      <xdr:col>24</xdr:col>
      <xdr:colOff>381000</xdr:colOff>
      <xdr:row>22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11</xdr:row>
      <xdr:rowOff>0</xdr:rowOff>
    </xdr:from>
    <xdr:to>
      <xdr:col>32</xdr:col>
      <xdr:colOff>381000</xdr:colOff>
      <xdr:row>22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10"/>
  <sheetViews>
    <sheetView tabSelected="1" workbookViewId="0">
      <selection activeCell="M6" sqref="M6"/>
    </sheetView>
  </sheetViews>
  <sheetFormatPr defaultRowHeight="15"/>
  <cols>
    <col min="2" max="2" width="12.85546875" bestFit="1" customWidth="1"/>
    <col min="8" max="8" width="12.28515625" customWidth="1"/>
    <col min="10" max="10" width="10.42578125" bestFit="1" customWidth="1"/>
  </cols>
  <sheetData>
    <row r="1" spans="1:11">
      <c r="A1" s="35"/>
      <c r="B1" s="36"/>
      <c r="C1" s="36"/>
      <c r="D1" s="36"/>
      <c r="E1" s="36"/>
      <c r="F1" s="19"/>
      <c r="G1" s="26"/>
      <c r="H1" s="25"/>
      <c r="J1" s="41">
        <v>29044</v>
      </c>
      <c r="K1" s="41"/>
    </row>
    <row r="2" spans="1:11">
      <c r="A2" s="14" t="s">
        <v>14</v>
      </c>
      <c r="B2" s="10" t="s">
        <v>15</v>
      </c>
      <c r="C2" s="10" t="s">
        <v>16</v>
      </c>
      <c r="D2" s="13" t="s">
        <v>17</v>
      </c>
      <c r="E2" s="11" t="s">
        <v>6</v>
      </c>
      <c r="F2" s="13" t="s">
        <v>18</v>
      </c>
      <c r="G2" s="15" t="s">
        <v>19</v>
      </c>
      <c r="H2" s="24"/>
      <c r="J2" s="30" t="s">
        <v>27</v>
      </c>
      <c r="K2" s="22">
        <v>1</v>
      </c>
    </row>
    <row r="3" spans="1:11">
      <c r="A3" s="16">
        <v>1</v>
      </c>
      <c r="B3" s="37" t="s">
        <v>20</v>
      </c>
      <c r="C3" s="10" t="s">
        <v>21</v>
      </c>
      <c r="D3" s="12">
        <f>E3-3*Calculations!F5</f>
        <v>-2.7405173783311698E-2</v>
      </c>
      <c r="E3" s="12">
        <f>Calculations!D5</f>
        <v>0.42466160165910122</v>
      </c>
      <c r="F3" s="12">
        <f>E3+3*Calculations!F5</f>
        <v>0.87672837710151419</v>
      </c>
      <c r="G3" s="15" t="s">
        <v>25</v>
      </c>
      <c r="H3" s="29"/>
      <c r="J3" s="41" t="s">
        <v>40</v>
      </c>
      <c r="K3" s="41"/>
    </row>
    <row r="4" spans="1:11" s="9" customFormat="1" ht="15.75" thickBot="1">
      <c r="A4" s="17">
        <v>1.01</v>
      </c>
      <c r="B4" s="38"/>
      <c r="C4" s="20" t="s">
        <v>22</v>
      </c>
      <c r="D4" s="21">
        <f>E4-3*Calculations!F6</f>
        <v>-0.84558821030432352</v>
      </c>
      <c r="E4" s="21">
        <f>Calculations!D6</f>
        <v>1.1474918683374846</v>
      </c>
      <c r="F4" s="21">
        <f>E4+3*Calculations!F6</f>
        <v>3.1405719469792928</v>
      </c>
      <c r="G4" s="27" t="s">
        <v>24</v>
      </c>
      <c r="H4" s="29"/>
      <c r="J4" s="31" t="s">
        <v>37</v>
      </c>
      <c r="K4" s="23">
        <v>2000</v>
      </c>
    </row>
    <row r="5" spans="1:11" ht="15.75" thickBot="1">
      <c r="A5" s="17">
        <v>1.01</v>
      </c>
      <c r="B5" s="39"/>
      <c r="C5" s="18" t="s">
        <v>23</v>
      </c>
      <c r="D5" s="44">
        <f>E5-3*Calculations!F7</f>
        <v>5.4259129311619425</v>
      </c>
      <c r="E5" s="44">
        <f>Calculations!D7</f>
        <v>19.029102840555741</v>
      </c>
      <c r="F5" s="44">
        <f>E5+3*Calculations!F7</f>
        <v>32.632292749949542</v>
      </c>
      <c r="G5" s="28" t="s">
        <v>24</v>
      </c>
      <c r="H5" s="29"/>
      <c r="J5" s="9" t="s">
        <v>39</v>
      </c>
      <c r="K5" s="9">
        <f>count</f>
        <v>26</v>
      </c>
    </row>
    <row r="7" spans="1:11">
      <c r="J7" s="40" t="s">
        <v>36</v>
      </c>
      <c r="K7" s="40"/>
    </row>
    <row r="8" spans="1:11">
      <c r="J8" s="32" t="s">
        <v>28</v>
      </c>
      <c r="K8" s="33">
        <v>7</v>
      </c>
    </row>
    <row r="9" spans="1:11">
      <c r="J9" s="32" t="s">
        <v>29</v>
      </c>
      <c r="K9" s="33">
        <v>8.5500000000000007</v>
      </c>
    </row>
    <row r="10" spans="1:11">
      <c r="J10" s="32" t="s">
        <v>30</v>
      </c>
      <c r="K10" s="34">
        <f>K9*K8</f>
        <v>59.850000000000009</v>
      </c>
    </row>
  </sheetData>
  <mergeCells count="6">
    <mergeCell ref="A1:B1"/>
    <mergeCell ref="C1:E1"/>
    <mergeCell ref="B3:B5"/>
    <mergeCell ref="J7:K7"/>
    <mergeCell ref="J1:K1"/>
    <mergeCell ref="J3:K3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O59"/>
  <sheetViews>
    <sheetView zoomScale="70" zoomScaleNormal="70" workbookViewId="0">
      <pane xSplit="10320" ySplit="7320" topLeftCell="Z38" activePane="bottomLeft"/>
      <selection activeCell="A16" sqref="A16"/>
      <selection pane="topRight" activeCell="AO7" sqref="J7:AO7"/>
      <selection pane="bottomLeft" activeCell="P50" sqref="P50"/>
      <selection pane="bottomRight" activeCell="AF34" sqref="AF34"/>
    </sheetView>
  </sheetViews>
  <sheetFormatPr defaultRowHeight="15"/>
  <cols>
    <col min="2" max="2" width="9.5703125" bestFit="1" customWidth="1"/>
    <col min="3" max="3" width="7.5703125" customWidth="1"/>
    <col min="4" max="4" width="6.85546875" bestFit="1" customWidth="1"/>
    <col min="5" max="5" width="6.28515625" customWidth="1"/>
    <col min="6" max="6" width="8.28515625" bestFit="1" customWidth="1"/>
    <col min="9" max="9" width="7.5703125" bestFit="1" customWidth="1"/>
    <col min="10" max="41" width="7.85546875" customWidth="1"/>
  </cols>
  <sheetData>
    <row r="1" spans="1:41">
      <c r="A1" s="43" t="str">
        <f>setCalcEnable(C1)</f>
        <v>setCalcEnable=</v>
      </c>
      <c r="B1" s="43"/>
      <c r="C1" s="22">
        <v>1</v>
      </c>
      <c r="H1" t="s">
        <v>5</v>
      </c>
      <c r="I1">
        <f>Summary!K4</f>
        <v>2000</v>
      </c>
      <c r="J1">
        <f>data0!B1</f>
        <v>0</v>
      </c>
      <c r="K1">
        <f>data0!C1</f>
        <v>1</v>
      </c>
      <c r="L1">
        <f>data0!D1</f>
        <v>2</v>
      </c>
      <c r="M1">
        <f>data0!E1</f>
        <v>3</v>
      </c>
      <c r="N1">
        <f>data0!F1</f>
        <v>4</v>
      </c>
      <c r="O1">
        <f>data0!G1</f>
        <v>5</v>
      </c>
      <c r="P1">
        <f>data0!H1</f>
        <v>6</v>
      </c>
      <c r="Q1">
        <f>data0!I1</f>
        <v>7</v>
      </c>
      <c r="R1">
        <f>data0!J1</f>
        <v>8</v>
      </c>
      <c r="S1">
        <f>data0!K1</f>
        <v>9</v>
      </c>
      <c r="T1">
        <f>data0!L1</f>
        <v>10</v>
      </c>
      <c r="U1">
        <f>data0!M1</f>
        <v>11</v>
      </c>
      <c r="V1">
        <f>data0!N1</f>
        <v>12</v>
      </c>
      <c r="W1">
        <f>data0!O1</f>
        <v>13</v>
      </c>
      <c r="X1">
        <f>data0!P1</f>
        <v>14</v>
      </c>
      <c r="Y1">
        <f>data0!Q1</f>
        <v>15</v>
      </c>
      <c r="Z1">
        <f>data0!R1</f>
        <v>16</v>
      </c>
      <c r="AA1">
        <f>data0!S1</f>
        <v>17</v>
      </c>
      <c r="AB1">
        <f>data0!T1</f>
        <v>18</v>
      </c>
      <c r="AC1">
        <f>data0!U1</f>
        <v>19</v>
      </c>
      <c r="AD1">
        <f>data0!V1</f>
        <v>20</v>
      </c>
      <c r="AE1">
        <f>data0!W1</f>
        <v>21</v>
      </c>
      <c r="AF1">
        <f>data0!X1</f>
        <v>22</v>
      </c>
      <c r="AG1">
        <f>data0!Y1</f>
        <v>23</v>
      </c>
      <c r="AH1">
        <f>data0!Z1</f>
        <v>24</v>
      </c>
      <c r="AI1">
        <f>data0!AA1</f>
        <v>25</v>
      </c>
      <c r="AJ1">
        <f>data0!AB1</f>
        <v>26</v>
      </c>
      <c r="AK1">
        <f>data0!AC1</f>
        <v>27</v>
      </c>
      <c r="AL1">
        <f>data0!AD1</f>
        <v>28</v>
      </c>
      <c r="AM1">
        <f>data0!AE1</f>
        <v>29</v>
      </c>
      <c r="AN1">
        <f>data0!AF1</f>
        <v>30</v>
      </c>
      <c r="AO1">
        <f>data0!AG1</f>
        <v>31</v>
      </c>
    </row>
    <row r="2" spans="1:41">
      <c r="A2" s="43" t="s">
        <v>35</v>
      </c>
      <c r="B2" s="43"/>
      <c r="C2" s="22">
        <f>COUNT(data0!B2:AG2)</f>
        <v>26</v>
      </c>
      <c r="H2" t="s">
        <v>0</v>
      </c>
      <c r="I2" s="3">
        <f>MAX(I10:I18)-I3</f>
        <v>1003.0740244865418</v>
      </c>
      <c r="J2" s="4">
        <f>(MAX(data0!B2:B10)-MIN(data0!B2:B10))/Calculations!$I2</f>
        <v>1.3389852729765186</v>
      </c>
      <c r="K2" s="4">
        <f>(MAX(data0!C2:C10)-MIN(data0!C2:C10))/Calculations!$I2</f>
        <v>1.3871887816418795</v>
      </c>
      <c r="L2" s="4">
        <f>(MAX(data0!D2:D10)-MIN(data0!D2:D10))/Calculations!$I2</f>
        <v>1.7148749591975763</v>
      </c>
      <c r="M2" s="4">
        <f>(MAX(data0!E2:E10)-MIN(data0!E2:E10))/Calculations!$I2</f>
        <v>1.5522491339615521</v>
      </c>
      <c r="N2" s="4">
        <f>(MAX(data0!F2:F10)-MIN(data0!F2:F10))/Calculations!$I2</f>
        <v>1.2211546107401214</v>
      </c>
      <c r="O2" s="4">
        <f>(MAX(data0!G2:G10)-MIN(data0!G2:G10))/Calculations!$I2</f>
        <v>1.3365507373361052</v>
      </c>
      <c r="P2" s="4">
        <f>(MAX(data0!H2:H10)-MIN(data0!H2:H10))/Calculations!$I2</f>
        <v>1.309770998362578</v>
      </c>
      <c r="Q2" s="4">
        <f>(MAX(data0!I2:I10)-MIN(data0!I2:I10))/Calculations!$I2</f>
        <v>1.3350900205154652</v>
      </c>
      <c r="R2" s="4"/>
      <c r="S2" s="4">
        <f>(MAX(data0!K2:K10)-MIN(data0!K2:K10))/Calculations!$I2</f>
        <v>1.6958857251461561</v>
      </c>
      <c r="T2" s="4">
        <f>(MAX(data0!L2:L10)-MIN(data0!L2:L10))/Calculations!$I2</f>
        <v>1.3384983635666319</v>
      </c>
      <c r="U2" s="4"/>
      <c r="V2" s="4">
        <f>(MAX(data0!N2:N10)-MIN(data0!N2:N10))/Calculations!$I2</f>
        <v>1.4193243710531398</v>
      </c>
      <c r="W2" s="4">
        <f>(MAX(data0!O2:O10)-MIN(data0!O2:O10))/Calculations!$I2</f>
        <v>1.2747139696055276</v>
      </c>
      <c r="X2" s="4">
        <f>(MAX(data0!P2:P10)-MIN(data0!P2:P10))/Calculations!$I2</f>
        <v>1.3691733578534675</v>
      </c>
      <c r="Y2" s="4"/>
      <c r="Z2" s="4">
        <f>(MAX(data0!R2:R10)-MIN(data0!R2:R10))/Calculations!$I2</f>
        <v>1.4125076763940412</v>
      </c>
      <c r="AA2" s="4">
        <f>(MAX(data0!S2:S10)-MIN(data0!S2:S10))/Calculations!$I2</f>
        <v>1.3755030214064641</v>
      </c>
      <c r="AB2" s="4">
        <f>(MAX(data0!T2:T10)-MIN(data0!T2:T10))/Calculations!$I2</f>
        <v>1.6754357714218409</v>
      </c>
      <c r="AC2" s="4">
        <f>(MAX(data0!U2:U10)-MIN(data0!U2:U10))/Calculations!$I2</f>
        <v>1.5483538843527538</v>
      </c>
      <c r="AD2" s="4"/>
      <c r="AE2" s="4">
        <f>(MAX(data0!W2:W10)-MIN(data0!W2:W10))/Calculations!$I2</f>
        <v>1.5921752311471744</v>
      </c>
      <c r="AF2" s="4">
        <f>(MAX(data0!X2:X10)-MIN(data0!X2:X10))/Calculations!$I2</f>
        <v>1.589740701211271</v>
      </c>
      <c r="AG2" s="4">
        <f>(MAX(data0!Y2:Y10)-MIN(data0!Y2:Y10))/Calculations!$I2</f>
        <v>1.2235891435282797</v>
      </c>
      <c r="AH2" s="4">
        <f>(MAX(data0!Z2:Z10)-MIN(data0!Z2:Z10))/Calculations!$I2</f>
        <v>1.6632631046287936</v>
      </c>
      <c r="AI2" s="4">
        <f>(MAX(data0!AA2:AA10)-MIN(data0!AA2:AA10))/Calculations!$I2</f>
        <v>1.3599221332584657</v>
      </c>
      <c r="AJ2" s="4"/>
      <c r="AK2" s="4">
        <f>(MAX(data0!AC2:AC10)-MIN(data0!AC2:AC10))/Calculations!$I2</f>
        <v>1.3496970926959453</v>
      </c>
      <c r="AL2" s="4">
        <f>(MAX(data0!AD2:AD10)-MIN(data0!AD2:AD10))/Calculations!$I2</f>
        <v>1.266436558125789</v>
      </c>
      <c r="AM2" s="4"/>
      <c r="AN2" s="4">
        <f>(MAX(data0!AF2:AF10)-MIN(data0!AF2:AF10))/Calculations!$I2</f>
        <v>1.3272996372895736</v>
      </c>
      <c r="AO2" s="4">
        <f>(MAX(data0!AG2:AG10)-MIN(data0!AG2:AG10))/Calculations!$I2</f>
        <v>1.363817385719519</v>
      </c>
    </row>
    <row r="3" spans="1:41">
      <c r="H3" t="s">
        <v>1</v>
      </c>
      <c r="I3" s="4">
        <f>MIN(I10:I18)</f>
        <v>2.9259999275207518</v>
      </c>
      <c r="J3" s="4">
        <f>data0!B2-Calculations!J2*Calculations!$I10</f>
        <v>0.96613425805207953</v>
      </c>
      <c r="K3" s="4">
        <f>data0!C2-Calculations!K2*Calculations!$I10</f>
        <v>1.3134912544805957</v>
      </c>
      <c r="L3" s="4">
        <f>data0!D2-Calculations!L2*Calculations!$I10</f>
        <v>2.3082833598612069</v>
      </c>
      <c r="M3" s="4">
        <f>data0!E2-Calculations!M2*Calculations!$I10</f>
        <v>1.3189251348462676</v>
      </c>
      <c r="N3" s="4">
        <f>data0!F2-Calculations!N2*Calculations!$I10</f>
        <v>0.33410561021787544</v>
      </c>
      <c r="O3" s="4">
        <f>data0!G2-Calculations!O2*Calculations!$I10</f>
        <v>0.48485724986994683</v>
      </c>
      <c r="P3" s="4">
        <f>data0!H2-Calculations!P2*Calculations!$I10</f>
        <v>0.56321476416542282</v>
      </c>
      <c r="Q3" s="4">
        <f>data0!I2-Calculations!Q2*Calculations!$I10</f>
        <v>0.97753176647074724</v>
      </c>
      <c r="R3" s="4"/>
      <c r="S3" s="4">
        <f>data0!K2-Calculations!S2*Calculations!$I10</f>
        <v>2.3638458573193475</v>
      </c>
      <c r="T3" s="4">
        <f>data0!L2-Calculations!T2*Calculations!$I10</f>
        <v>0.47915849566061297</v>
      </c>
      <c r="U3" s="4"/>
      <c r="V3" s="4">
        <f>data0!N2-Calculations!V2*Calculations!$I10</f>
        <v>1.2194625221923161</v>
      </c>
      <c r="W3" s="4">
        <f>data0!O2-Calculations!W2*Calculations!$I10</f>
        <v>0.66579162776770318</v>
      </c>
      <c r="X3" s="4">
        <f>data0!P2-Calculations!X2*Calculations!$I10</f>
        <v>0.87780392389026929</v>
      </c>
      <c r="Y3" s="4"/>
      <c r="Z3" s="4">
        <f>data0!R2-Calculations!Z2*Calculations!$I10</f>
        <v>0.75100771098141195</v>
      </c>
      <c r="AA3" s="4">
        <f>data0!S2-Calculations!AA2*Calculations!$I10</f>
        <v>0.85928332879279878</v>
      </c>
      <c r="AB3" s="4">
        <f>data0!T2-Calculations!AB2*Calculations!$I10</f>
        <v>2.4236824204344884</v>
      </c>
      <c r="AC3" s="4">
        <f>data0!U2-Calculations!AC2*Calculations!$I10</f>
        <v>1.8187230942087353</v>
      </c>
      <c r="AD3" s="4"/>
      <c r="AE3" s="4">
        <f>data0!W2-Calculations!AE2*Calculations!$I10</f>
        <v>1.6905018366644526</v>
      </c>
      <c r="AF3" s="4">
        <f>data0!X2-Calculations!AF2*Calculations!$I10</f>
        <v>2.18602573036992</v>
      </c>
      <c r="AG3" s="4">
        <f>data0!Y2-Calculations!AG2*Calculations!$I10</f>
        <v>0.32698216745620812</v>
      </c>
      <c r="AH3" s="4">
        <f>data0!Z2-Calculations!AH2*Calculations!$I10</f>
        <v>1.9708991832992524</v>
      </c>
      <c r="AI3" s="4">
        <f>data0!AA2-Calculations!AI2*Calculations!$I10</f>
        <v>0.90487300638460511</v>
      </c>
      <c r="AJ3" s="4"/>
      <c r="AK3" s="4">
        <f>data0!AC2-Calculations!AK2*Calculations!$I10</f>
        <v>0.44639101503980783</v>
      </c>
      <c r="AL3" s="4">
        <f>data0!AD2-Calculations!AL2*Calculations!$I10</f>
        <v>0.69001133315737206</v>
      </c>
      <c r="AM3" s="4"/>
      <c r="AN3" s="4">
        <f>data0!AF2-Calculations!AN2*Calculations!$I10</f>
        <v>1.0003264272252181</v>
      </c>
      <c r="AO3" s="4">
        <f>data0!AG2-Calculations!AO2*Calculations!$I10</f>
        <v>0.89347549796593739</v>
      </c>
    </row>
    <row r="4" spans="1:41">
      <c r="D4" s="5" t="s">
        <v>6</v>
      </c>
      <c r="E4" s="5"/>
      <c r="F4" s="5" t="s">
        <v>7</v>
      </c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</row>
    <row r="5" spans="1:41">
      <c r="A5" s="42" t="str">
        <f>H5</f>
        <v>Gain (%FSR)</v>
      </c>
      <c r="B5" s="42"/>
      <c r="C5" s="7"/>
      <c r="D5" s="2">
        <f>AVERAGE(J5:AO5)</f>
        <v>0.42466160165910122</v>
      </c>
      <c r="E5" s="2"/>
      <c r="F5" s="6">
        <f>STDEV(J5:AO5)</f>
        <v>0.15068892514747098</v>
      </c>
      <c r="H5" s="42" t="s">
        <v>2</v>
      </c>
      <c r="I5" s="42"/>
      <c r="J5" s="2">
        <f>J2-1</f>
        <v>0.33898527297651859</v>
      </c>
      <c r="K5" s="2">
        <f t="shared" ref="K5:T5" si="0">K2-1</f>
        <v>0.38718878164187953</v>
      </c>
      <c r="L5" s="2">
        <f t="shared" si="0"/>
        <v>0.71487495919757627</v>
      </c>
      <c r="M5" s="2">
        <f t="shared" si="0"/>
        <v>0.55224913396155206</v>
      </c>
      <c r="N5" s="2">
        <f t="shared" si="0"/>
        <v>0.22115461074012144</v>
      </c>
      <c r="O5" s="2">
        <f t="shared" si="0"/>
        <v>0.33655073733610519</v>
      </c>
      <c r="P5" s="2">
        <f t="shared" si="0"/>
        <v>0.30977099836257804</v>
      </c>
      <c r="Q5" s="2">
        <f t="shared" si="0"/>
        <v>0.33509002051546521</v>
      </c>
      <c r="R5" s="2"/>
      <c r="S5" s="2">
        <f t="shared" si="0"/>
        <v>0.6958857251461561</v>
      </c>
      <c r="T5" s="2">
        <f t="shared" si="0"/>
        <v>0.33849836356663188</v>
      </c>
      <c r="U5" s="2"/>
      <c r="V5" s="2">
        <f t="shared" ref="U5:AE5" si="1">V2-1</f>
        <v>0.4193243710531398</v>
      </c>
      <c r="W5" s="2">
        <f t="shared" si="1"/>
        <v>0.27471396960552763</v>
      </c>
      <c r="X5" s="2">
        <f t="shared" si="1"/>
        <v>0.3691733578534675</v>
      </c>
      <c r="Y5" s="2"/>
      <c r="Z5" s="2">
        <f t="shared" si="1"/>
        <v>0.41250767639404118</v>
      </c>
      <c r="AA5" s="2">
        <f t="shared" si="1"/>
        <v>0.37550302140646408</v>
      </c>
      <c r="AB5" s="2">
        <f t="shared" si="1"/>
        <v>0.67543577142184086</v>
      </c>
      <c r="AC5" s="2">
        <f t="shared" si="1"/>
        <v>0.54835388435275378</v>
      </c>
      <c r="AD5" s="2"/>
      <c r="AE5" s="2">
        <f t="shared" si="1"/>
        <v>0.59217523114717441</v>
      </c>
      <c r="AF5" s="2">
        <f t="shared" ref="AF5:AK5" si="2">AF2-1</f>
        <v>0.58974070121127098</v>
      </c>
      <c r="AG5" s="2">
        <f t="shared" si="2"/>
        <v>0.22358914352827974</v>
      </c>
      <c r="AH5" s="2">
        <f t="shared" si="2"/>
        <v>0.66326310462879356</v>
      </c>
      <c r="AI5" s="2">
        <f t="shared" si="2"/>
        <v>0.35992213325846567</v>
      </c>
      <c r="AJ5" s="2"/>
      <c r="AK5" s="2">
        <f t="shared" si="2"/>
        <v>0.34969709269594529</v>
      </c>
      <c r="AL5" s="2">
        <f t="shared" ref="AL5:AO5" si="3">AL2-1</f>
        <v>0.26643655812578904</v>
      </c>
      <c r="AM5" s="2"/>
      <c r="AN5" s="2">
        <f t="shared" si="3"/>
        <v>0.32729963728957356</v>
      </c>
      <c r="AO5" s="2">
        <f t="shared" si="3"/>
        <v>0.36381738571951905</v>
      </c>
    </row>
    <row r="6" spans="1:41">
      <c r="A6" s="42" t="str">
        <f t="shared" ref="A6:A7" si="4">H6</f>
        <v>Offset (Lux)</v>
      </c>
      <c r="B6" s="42"/>
      <c r="C6" s="7"/>
      <c r="D6" s="3">
        <f>AVERAGE(J6:AO6)</f>
        <v>1.1474918683374846</v>
      </c>
      <c r="E6" s="3"/>
      <c r="F6" s="3">
        <f t="shared" ref="F6:F18" si="5">STDEV(J6:AO6)</f>
        <v>0.66436002621393608</v>
      </c>
      <c r="H6" s="42" t="s">
        <v>3</v>
      </c>
      <c r="I6" s="42"/>
      <c r="J6" s="3">
        <f>J3</f>
        <v>0.96613425805207953</v>
      </c>
      <c r="K6" s="3">
        <f t="shared" ref="K6:T6" si="6">K3</f>
        <v>1.3134912544805957</v>
      </c>
      <c r="L6" s="3">
        <f t="shared" si="6"/>
        <v>2.3082833598612069</v>
      </c>
      <c r="M6" s="3">
        <f t="shared" si="6"/>
        <v>1.3189251348462676</v>
      </c>
      <c r="N6" s="3">
        <f t="shared" si="6"/>
        <v>0.33410561021787544</v>
      </c>
      <c r="O6" s="3">
        <f t="shared" si="6"/>
        <v>0.48485724986994683</v>
      </c>
      <c r="P6" s="3">
        <f t="shared" si="6"/>
        <v>0.56321476416542282</v>
      </c>
      <c r="Q6" s="3">
        <f t="shared" si="6"/>
        <v>0.97753176647074724</v>
      </c>
      <c r="R6" s="3"/>
      <c r="S6" s="3">
        <f t="shared" si="6"/>
        <v>2.3638458573193475</v>
      </c>
      <c r="T6" s="3">
        <f t="shared" si="6"/>
        <v>0.47915849566061297</v>
      </c>
      <c r="U6" s="3"/>
      <c r="V6" s="3">
        <f t="shared" ref="U6:AE6" si="7">V3</f>
        <v>1.2194625221923161</v>
      </c>
      <c r="W6" s="3">
        <f t="shared" si="7"/>
        <v>0.66579162776770318</v>
      </c>
      <c r="X6" s="3">
        <f t="shared" si="7"/>
        <v>0.87780392389026929</v>
      </c>
      <c r="Y6" s="3"/>
      <c r="Z6" s="3">
        <f t="shared" si="7"/>
        <v>0.75100771098141195</v>
      </c>
      <c r="AA6" s="3">
        <f t="shared" si="7"/>
        <v>0.85928332879279878</v>
      </c>
      <c r="AB6" s="3">
        <f t="shared" si="7"/>
        <v>2.4236824204344884</v>
      </c>
      <c r="AC6" s="3">
        <f t="shared" si="7"/>
        <v>1.8187230942087353</v>
      </c>
      <c r="AD6" s="3"/>
      <c r="AE6" s="3">
        <f t="shared" si="7"/>
        <v>1.6905018366644526</v>
      </c>
      <c r="AF6" s="3">
        <f t="shared" ref="AF6:AK6" si="8">AF3</f>
        <v>2.18602573036992</v>
      </c>
      <c r="AG6" s="3">
        <f t="shared" si="8"/>
        <v>0.32698216745620812</v>
      </c>
      <c r="AH6" s="3">
        <f t="shared" si="8"/>
        <v>1.9708991832992524</v>
      </c>
      <c r="AI6" s="3">
        <f t="shared" si="8"/>
        <v>0.90487300638460511</v>
      </c>
      <c r="AJ6" s="3"/>
      <c r="AK6" s="3">
        <f t="shared" si="8"/>
        <v>0.44639101503980783</v>
      </c>
      <c r="AL6" s="3">
        <f t="shared" ref="AL6:AO6" si="9">AL3</f>
        <v>0.69001133315737206</v>
      </c>
      <c r="AM6" s="3"/>
      <c r="AN6" s="3">
        <f t="shared" si="9"/>
        <v>1.0003264272252181</v>
      </c>
      <c r="AO6" s="3">
        <f t="shared" si="9"/>
        <v>0.89347549796593739</v>
      </c>
    </row>
    <row r="7" spans="1:41">
      <c r="A7" s="42" t="str">
        <f t="shared" si="4"/>
        <v>Linearity (%FSR)</v>
      </c>
      <c r="B7" s="42"/>
      <c r="C7" s="7"/>
      <c r="D7" s="1">
        <f>AVERAGE(J7:AO7)</f>
        <v>19.029102840555741</v>
      </c>
      <c r="E7" s="1"/>
      <c r="F7" s="1">
        <f t="shared" si="5"/>
        <v>4.5343966364645993</v>
      </c>
      <c r="H7" s="42" t="s">
        <v>4</v>
      </c>
      <c r="I7" s="42"/>
      <c r="J7" s="1">
        <f>MAX(MAX(J10:J18),-MIN(J10:J18))</f>
        <v>20.470211096830894</v>
      </c>
      <c r="K7" s="1">
        <f t="shared" ref="K7:T7" si="10">MAX(MAX(K10:K18),-MIN(K10:K18))</f>
        <v>19.532889514772819</v>
      </c>
      <c r="L7" s="1">
        <f t="shared" si="10"/>
        <v>27.734174923487842</v>
      </c>
      <c r="M7" s="1">
        <f t="shared" si="10"/>
        <v>23.131339079536588</v>
      </c>
      <c r="N7" s="1">
        <f t="shared" si="10"/>
        <v>11.745270362840529</v>
      </c>
      <c r="O7" s="1">
        <f t="shared" si="10"/>
        <v>16.590618438621107</v>
      </c>
      <c r="P7" s="1">
        <f t="shared" si="10"/>
        <v>13.475492512660935</v>
      </c>
      <c r="Q7" s="1">
        <f t="shared" si="10"/>
        <v>15.4350161122602</v>
      </c>
      <c r="R7" s="1"/>
      <c r="S7" s="1">
        <f t="shared" si="10"/>
        <v>25.898209718622013</v>
      </c>
      <c r="T7" s="1">
        <f t="shared" si="10"/>
        <v>16.666214588133016</v>
      </c>
      <c r="U7" s="1"/>
      <c r="V7" s="1">
        <f t="shared" ref="U7:AE7" si="11">MAX(MAX(V10:V18),-MIN(V10:V18))</f>
        <v>18.582432110734374</v>
      </c>
      <c r="W7" s="1">
        <f t="shared" si="11"/>
        <v>14.556757352587852</v>
      </c>
      <c r="X7" s="1">
        <f t="shared" si="11"/>
        <v>17.490548985608712</v>
      </c>
      <c r="Y7" s="1"/>
      <c r="Z7" s="1">
        <f t="shared" si="11"/>
        <v>18.562075508700786</v>
      </c>
      <c r="AA7" s="1">
        <f t="shared" si="11"/>
        <v>16.637354794819146</v>
      </c>
      <c r="AB7" s="1">
        <f t="shared" si="11"/>
        <v>27.790673134044198</v>
      </c>
      <c r="AC7" s="1">
        <f t="shared" si="11"/>
        <v>23.956955677613962</v>
      </c>
      <c r="AD7" s="1"/>
      <c r="AE7" s="1">
        <f t="shared" si="11"/>
        <v>21.994834692131178</v>
      </c>
      <c r="AF7" s="1">
        <f t="shared" ref="AF7:AK7" si="12">MAX(MAX(AF10:AF18),-MIN(AF10:AF18))</f>
        <v>23.976055873045595</v>
      </c>
      <c r="AG7" s="1">
        <f t="shared" si="12"/>
        <v>14.64805412394918</v>
      </c>
      <c r="AH7" s="1">
        <f t="shared" si="12"/>
        <v>24.509906368899863</v>
      </c>
      <c r="AI7" s="1">
        <f t="shared" si="12"/>
        <v>18.474576406286644</v>
      </c>
      <c r="AJ7" s="1"/>
      <c r="AK7" s="1">
        <f t="shared" si="12"/>
        <v>15.269405790654389</v>
      </c>
      <c r="AL7" s="1">
        <f t="shared" ref="AL7:AO7" si="13">MAX(MAX(AL10:AL18),-MIN(AL10:AL18))</f>
        <v>13.869201744506086</v>
      </c>
      <c r="AM7" s="1"/>
      <c r="AN7" s="1">
        <f t="shared" si="13"/>
        <v>16.109442878415905</v>
      </c>
      <c r="AO7" s="1">
        <f t="shared" si="13"/>
        <v>17.648962064685406</v>
      </c>
    </row>
    <row r="8" spans="1:41"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</row>
    <row r="9" spans="1:41">
      <c r="C9" s="8" t="s">
        <v>11</v>
      </c>
      <c r="D9" s="5" t="s">
        <v>6</v>
      </c>
      <c r="E9" s="8" t="s">
        <v>10</v>
      </c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</row>
    <row r="10" spans="1:41">
      <c r="A10">
        <f>H10</f>
        <v>0</v>
      </c>
      <c r="B10" s="3">
        <f t="shared" ref="B10:B18" si="14">I10</f>
        <v>1006.0000244140625</v>
      </c>
      <c r="C10" s="1">
        <f>D10-1.5*F10</f>
        <v>0</v>
      </c>
      <c r="D10" s="1">
        <f>AVERAGE(J10:AO10)</f>
        <v>0</v>
      </c>
      <c r="E10" s="1">
        <f>D10+1.5*F10</f>
        <v>0</v>
      </c>
      <c r="F10" s="1">
        <f t="shared" si="5"/>
        <v>0</v>
      </c>
      <c r="H10">
        <f>data4!A2</f>
        <v>0</v>
      </c>
      <c r="I10" s="3">
        <f>data4!B16</f>
        <v>1006.0000244140625</v>
      </c>
      <c r="J10" s="1">
        <f>(data0!B2-(J$2*$I10+J$3))</f>
        <v>0</v>
      </c>
      <c r="K10" s="1">
        <f>(data0!C2-(K$2*$I10+K$3))</f>
        <v>0</v>
      </c>
      <c r="L10" s="1">
        <f>(data0!D2-(L$2*$I10+L$3))</f>
        <v>0</v>
      </c>
      <c r="M10" s="1">
        <f>(data0!E2-(M$2*$I10+M$3))</f>
        <v>0</v>
      </c>
      <c r="N10" s="1">
        <f>(data0!F2-(N$2*$I10+N$3))</f>
        <v>0</v>
      </c>
      <c r="O10" s="1">
        <f>(data0!G2-(O$2*$I10+O$3))</f>
        <v>0</v>
      </c>
      <c r="P10" s="1">
        <f>(data0!H2-(P$2*$I10+P$3))</f>
        <v>0</v>
      </c>
      <c r="Q10" s="1">
        <f>(data0!I2-(Q$2*$I10+Q$3))</f>
        <v>0</v>
      </c>
      <c r="R10" s="1"/>
      <c r="S10" s="1">
        <f>(data0!K2-(S$2*$I10+S$3))</f>
        <v>0</v>
      </c>
      <c r="T10" s="1">
        <f>(data0!L2-(T$2*$I10+T$3))</f>
        <v>0</v>
      </c>
      <c r="U10" s="1"/>
      <c r="V10" s="1">
        <f>(data0!N2-(V$2*$I10+V$3))</f>
        <v>0</v>
      </c>
      <c r="W10" s="1">
        <f>(data0!O2-(W$2*$I10+W$3))</f>
        <v>0</v>
      </c>
      <c r="X10" s="1">
        <f>(data0!P2-(X$2*$I10+X$3))</f>
        <v>0</v>
      </c>
      <c r="Y10" s="1"/>
      <c r="Z10" s="1">
        <f>(data0!R2-(Z$2*$I10+Z$3))</f>
        <v>0</v>
      </c>
      <c r="AA10" s="1">
        <f>(data0!S2-(AA$2*$I10+AA$3))</f>
        <v>0</v>
      </c>
      <c r="AB10" s="1">
        <f>(data0!T2-(AB$2*$I10+AB$3))</f>
        <v>0</v>
      </c>
      <c r="AC10" s="1">
        <f>(data0!U2-(AC$2*$I10+AC$3))</f>
        <v>0</v>
      </c>
      <c r="AD10" s="1"/>
      <c r="AE10" s="1">
        <f>(data0!W2-(AE$2*$I10+AE$3))</f>
        <v>0</v>
      </c>
      <c r="AF10" s="1">
        <f>(data0!X2-(AF$2*$I10+AF$3))</f>
        <v>0</v>
      </c>
      <c r="AG10" s="1">
        <f>(data0!Y2-(AG$2*$I10+AG$3))</f>
        <v>0</v>
      </c>
      <c r="AH10" s="1">
        <f>(data0!Z2-(AH$2*$I10+AH$3))</f>
        <v>0</v>
      </c>
      <c r="AI10" s="1">
        <f>(data0!AA2-(AI$2*$I10+AI$3))</f>
        <v>0</v>
      </c>
      <c r="AJ10" s="1"/>
      <c r="AK10" s="1">
        <f>(data0!AC2-(AK$2*$I10+AK$3))</f>
        <v>0</v>
      </c>
      <c r="AL10" s="1">
        <f>(data0!AD2-(AL$2*$I10+AL$3))</f>
        <v>0</v>
      </c>
      <c r="AM10" s="1"/>
      <c r="AN10" s="1">
        <f>(data0!AF2-(AN$2*$I10+AN$3))</f>
        <v>0</v>
      </c>
      <c r="AO10" s="1">
        <f>(data0!AG2-(AO$2*$I10+AO$3))</f>
        <v>0</v>
      </c>
    </row>
    <row r="11" spans="1:41">
      <c r="A11">
        <f t="shared" ref="A11:A18" si="15">H11</f>
        <v>1</v>
      </c>
      <c r="B11" s="3">
        <f t="shared" si="14"/>
        <v>819.30002441406248</v>
      </c>
      <c r="C11" s="1">
        <f t="shared" ref="C11:C18" si="16">D11-1.5*F11</f>
        <v>0.16627022281904758</v>
      </c>
      <c r="D11" s="1">
        <f t="shared" ref="D11:D18" si="17">AVERAGE(J11:AO11)</f>
        <v>4.2955932841112094</v>
      </c>
      <c r="E11" s="1">
        <f t="shared" ref="E11:E18" si="18">D11+1.5*F11</f>
        <v>8.4249163454033713</v>
      </c>
      <c r="F11" s="1">
        <f t="shared" si="5"/>
        <v>2.7528820408614414</v>
      </c>
      <c r="H11">
        <f>data4!A3</f>
        <v>1</v>
      </c>
      <c r="I11" s="3">
        <f>data4!B17</f>
        <v>819.30002441406248</v>
      </c>
      <c r="J11" s="1">
        <f>(data0!B3-(J$2*$I11+J$3))</f>
        <v>4.323145191278627</v>
      </c>
      <c r="K11" s="1">
        <f>(data0!C3-(K$2*$I11+K$3))</f>
        <v>6.9734970950389652</v>
      </c>
      <c r="L11" s="1">
        <f>(data0!D3-(L$2*$I11+L$3))</f>
        <v>5.6372476556250604</v>
      </c>
      <c r="M11" s="1">
        <f>(data0!E3-(M$2*$I11+M$3))</f>
        <v>8.4861877246842141</v>
      </c>
      <c r="N11" s="1">
        <f>(data0!F3-(N$2*$I11+N$3))</f>
        <v>0.39490029783689806</v>
      </c>
      <c r="O11" s="1">
        <f>(data0!G3-(O$2*$I11+O$3))</f>
        <v>6.7990373090883622</v>
      </c>
      <c r="P11" s="1">
        <f>(data0!H3-(P$2*$I11+P$3))</f>
        <v>4.2412766442932934</v>
      </c>
      <c r="Q11" s="1">
        <f>(data0!I3-(Q$2*$I11+Q$3))</f>
        <v>0.17707831461234491</v>
      </c>
      <c r="R11" s="1"/>
      <c r="S11" s="1">
        <f>(data0!K3-(S$2*$I11+S$3))</f>
        <v>3.5571676191623283</v>
      </c>
      <c r="T11" s="1">
        <f>(data0!L3-(T$2*$I11+T$3))</f>
        <v>4.7206425247652533</v>
      </c>
      <c r="U11" s="1"/>
      <c r="V11" s="1">
        <f>(data0!N3-(V$2*$I11+V$3))</f>
        <v>3.2052673021839837</v>
      </c>
      <c r="W11" s="1">
        <f>(data0!O3-(W$2*$I11+W$3))</f>
        <v>5.9988637503520295</v>
      </c>
      <c r="X11" s="1">
        <f>(data0!P3-(X$2*$I11+X$3))</f>
        <v>6.5403153253048458</v>
      </c>
      <c r="Y11" s="1"/>
      <c r="Z11" s="1">
        <f>(data0!R3-(Z$2*$I11+Z$3))</f>
        <v>2.4209937296425323</v>
      </c>
      <c r="AA11" s="1">
        <f>(data0!S3-(AA$2*$I11+AA$3))</f>
        <v>6.2569756200243773</v>
      </c>
      <c r="AB11" s="1">
        <f>(data0!T3-(AB$2*$I11+AB$3))</f>
        <v>4.6230723916451097</v>
      </c>
      <c r="AC11" s="1">
        <f>(data0!U3-(AC$2*$I11+AC$3))</f>
        <v>5.3169280211591285</v>
      </c>
      <c r="AD11" s="1"/>
      <c r="AE11" s="1">
        <f>(data0!W3-(AE$2*$I11+AE$3))</f>
        <v>0.80000920986503843</v>
      </c>
      <c r="AF11" s="1">
        <f>(data0!X3-(AF$2*$I11+AF$3))</f>
        <v>7.1831289552069393</v>
      </c>
      <c r="AG11" s="1">
        <f>(data0!Y3-(AG$2*$I11+AG$3))</f>
        <v>6.7102063779799437</v>
      </c>
      <c r="AH11" s="1">
        <f>(data0!Z3-(AH$2*$I11+AH$3))</f>
        <v>2.3505575716958447</v>
      </c>
      <c r="AI11" s="1">
        <f>(data0!AA3-(AI$2*$I11+AI$3))</f>
        <v>1.8828138418555227</v>
      </c>
      <c r="AJ11" s="1"/>
      <c r="AK11" s="1">
        <f>(data0!AC3-(AK$2*$I11+AK$3))</f>
        <v>-1.4912891217918514</v>
      </c>
      <c r="AL11" s="1">
        <f>(data0!AD3-(AL$2*$I11+AL$3))</f>
        <v>5.7963214585015521E-2</v>
      </c>
      <c r="AM11" s="1"/>
      <c r="AN11" s="1">
        <f>(data0!AF3-(AN$2*$I11+AN$3))</f>
        <v>8.002154781963327</v>
      </c>
      <c r="AO11" s="1">
        <f>(data0!AG3-(AO$2*$I11+AO$3))</f>
        <v>6.5172840388343047</v>
      </c>
    </row>
    <row r="12" spans="1:41">
      <c r="A12">
        <f t="shared" si="15"/>
        <v>2</v>
      </c>
      <c r="B12" s="3">
        <f t="shared" si="14"/>
        <v>671.30002441406248</v>
      </c>
      <c r="C12" s="1">
        <f t="shared" si="16"/>
        <v>3.7312378876260865</v>
      </c>
      <c r="D12" s="1">
        <f t="shared" si="17"/>
        <v>6.8051196107579521</v>
      </c>
      <c r="E12" s="1">
        <f t="shared" si="18"/>
        <v>9.8790013338898177</v>
      </c>
      <c r="F12" s="1">
        <f t="shared" si="5"/>
        <v>2.0492544820879104</v>
      </c>
      <c r="H12">
        <f>data4!A4</f>
        <v>2</v>
      </c>
      <c r="I12" s="3">
        <f>data4!B18</f>
        <v>671.30002441406248</v>
      </c>
      <c r="J12" s="1">
        <f>(data0!B4-(J$2*$I12+J$3))</f>
        <v>6.1559294589908404</v>
      </c>
      <c r="K12" s="1">
        <f>(data0!C4-(K$2*$I12+K$3))</f>
        <v>8.6144118756933494</v>
      </c>
      <c r="L12" s="1">
        <f>(data0!D4-(L$2*$I12+L$3))</f>
        <v>4.9820765778040368</v>
      </c>
      <c r="M12" s="1">
        <f>(data0!E4-(M$2*$I12+M$3))</f>
        <v>9.1592450978689612</v>
      </c>
      <c r="N12" s="1">
        <f>(data0!F4-(N$2*$I12+N$3))</f>
        <v>4.8132216522186582</v>
      </c>
      <c r="O12" s="1">
        <f>(data0!G4-(O$2*$I12+O$3))</f>
        <v>8.2715103020194647</v>
      </c>
      <c r="P12" s="1">
        <f>(data0!H4-(P$2*$I12+P$3))</f>
        <v>6.6343814722674779</v>
      </c>
      <c r="Q12" s="1">
        <f>(data0!I4-(Q$2*$I12+Q$3))</f>
        <v>4.8521884602762384</v>
      </c>
      <c r="R12" s="1"/>
      <c r="S12" s="1">
        <f>(data0!K4-(S$2*$I12+S$3))</f>
        <v>7.417517636105913</v>
      </c>
      <c r="T12" s="1">
        <f>(data0!L4-(T$2*$I12+T$3))</f>
        <v>5.0161542388767657</v>
      </c>
      <c r="U12" s="1"/>
      <c r="V12" s="1">
        <f>(data0!N4-(V$2*$I12+V$3))</f>
        <v>10.090591600861103</v>
      </c>
      <c r="W12" s="1">
        <f>(data0!O4-(W$2*$I12+W$3))</f>
        <v>8.0875615254076365</v>
      </c>
      <c r="X12" s="1">
        <f>(data0!P4-(X$2*$I12+X$3))</f>
        <v>9.422234982930604</v>
      </c>
      <c r="Y12" s="1"/>
      <c r="Z12" s="1">
        <f>(data0!R4-(Z$2*$I12+Z$3))</f>
        <v>7.3207016133043226</v>
      </c>
      <c r="AA12" s="1">
        <f>(data0!S4-(AA$2*$I12+AA$3))</f>
        <v>7.1452655616186576</v>
      </c>
      <c r="AB12" s="1">
        <f>(data0!T4-(AB$2*$I12+AB$3))</f>
        <v>4.9685480073901545</v>
      </c>
      <c r="AC12" s="1">
        <f>(data0!U4-(AC$2*$I12+AC$3))</f>
        <v>4.4366818116166087</v>
      </c>
      <c r="AD12" s="1"/>
      <c r="AE12" s="1">
        <f>(data0!W4-(AE$2*$I12+AE$3))</f>
        <v>3.4749024040218046</v>
      </c>
      <c r="AF12" s="1">
        <f>(data0!X4-(AF$2*$I12+AF$3))</f>
        <v>9.9861150391625415</v>
      </c>
      <c r="AG12" s="1">
        <f>(data0!Y4-(AG$2*$I12+AG$3))</f>
        <v>8.5584186631340344</v>
      </c>
      <c r="AH12" s="1">
        <f>(data0!Z4-(AH$2*$I12+AH$3))</f>
        <v>2.8480917833198873</v>
      </c>
      <c r="AI12" s="1">
        <f>(data0!AA4-(AI$2*$I12+AI$3))</f>
        <v>6.3259111461396742</v>
      </c>
      <c r="AJ12" s="1"/>
      <c r="AK12" s="1">
        <f>(data0!AC4-(AK$2*$I12+AK$3))</f>
        <v>5.8340099917392081</v>
      </c>
      <c r="AL12" s="1">
        <f>(data0!AD4-(AL$2*$I12+AL$3))</f>
        <v>5.3171729382954709</v>
      </c>
      <c r="AM12" s="1"/>
      <c r="AN12" s="1">
        <f>(data0!AF4-(AN$2*$I12+AN$3))</f>
        <v>9.0822716086328228</v>
      </c>
      <c r="AO12" s="1">
        <f>(data0!AG4-(AO$2*$I12+AO$3))</f>
        <v>8.1179944300105262</v>
      </c>
    </row>
    <row r="13" spans="1:41">
      <c r="A13">
        <f t="shared" si="15"/>
        <v>3</v>
      </c>
      <c r="B13" s="3">
        <f t="shared" si="14"/>
        <v>557.50002441406252</v>
      </c>
      <c r="C13" s="1">
        <f t="shared" si="16"/>
        <v>-5.5848452239879718</v>
      </c>
      <c r="D13" s="1">
        <f t="shared" si="17"/>
        <v>-1.4262345465181301</v>
      </c>
      <c r="E13" s="1">
        <f t="shared" si="18"/>
        <v>2.7323761309517112</v>
      </c>
      <c r="F13" s="1">
        <f t="shared" si="5"/>
        <v>2.7724071183132275</v>
      </c>
      <c r="H13">
        <f>data4!A5</f>
        <v>3</v>
      </c>
      <c r="I13" s="3">
        <f>data4!B19</f>
        <v>557.50002441406252</v>
      </c>
      <c r="J13" s="1">
        <f>(data0!B5-(J$2*$I13+J$3))</f>
        <v>-1.1745166911250635</v>
      </c>
      <c r="K13" s="1">
        <f>(data0!C5-(K$2*$I13+K$3))</f>
        <v>1.8854918085704639</v>
      </c>
      <c r="L13" s="1">
        <f>(data0!D5-(L$2*$I13+L$3))</f>
        <v>-6.9469401748870041</v>
      </c>
      <c r="M13" s="1">
        <f>(data0!E5-(M$2*$I13+M$3))</f>
        <v>-1.2521765041814206</v>
      </c>
      <c r="N13" s="1">
        <f>(data0!F5-(N$2*$I13+N$3))</f>
        <v>0.1908336396006689</v>
      </c>
      <c r="O13" s="1">
        <f>(data0!G5-(O$2*$I13+O$3))</f>
        <v>1.6408206366494369</v>
      </c>
      <c r="P13" s="1">
        <f>(data0!H5-(P$2*$I13+P$3))</f>
        <v>-0.60182588672751081</v>
      </c>
      <c r="Q13" s="1">
        <f>(data0!I5-(Q$2*$I13+Q$3))</f>
        <v>-3.8982830253763723</v>
      </c>
      <c r="R13" s="1"/>
      <c r="S13" s="1">
        <f>(data0!K5-(S$2*$I13+S$3))</f>
        <v>-2.765247389136448</v>
      </c>
      <c r="T13" s="1">
        <f>(data0!L5-(T$2*$I13+T$3))</f>
        <v>-0.90449224114684057</v>
      </c>
      <c r="U13" s="1"/>
      <c r="V13" s="1">
        <f>(data0!N5-(V$2*$I13+V$3))</f>
        <v>1.6463871556145477</v>
      </c>
      <c r="W13" s="1">
        <f>(data0!O5-(W$2*$I13+W$3))</f>
        <v>-0.6961801397334284</v>
      </c>
      <c r="X13" s="1">
        <f>(data0!P5-(X$2*$I13+X$3))</f>
        <v>0.15475636837390994</v>
      </c>
      <c r="Y13" s="1"/>
      <c r="Z13" s="1">
        <f>(data0!R5-(Z$2*$I13+Z$3))</f>
        <v>-0.43409375836631625</v>
      </c>
      <c r="AA13" s="1">
        <f>(data0!S5-(AA$2*$I13+AA$3))</f>
        <v>-0.9134940202945927</v>
      </c>
      <c r="AB13" s="1">
        <f>(data0!T5-(AB$2*$I13+AB$3))</f>
        <v>-5.5878084704294224</v>
      </c>
      <c r="AC13" s="1">
        <f>(data0!U5-(AC$2*$I13+AC$3))</f>
        <v>-2.5107926334150079</v>
      </c>
      <c r="AD13" s="1"/>
      <c r="AE13" s="1">
        <f>(data0!W5-(AE$2*$I13+AE$3))</f>
        <v>-6.7885592211173389</v>
      </c>
      <c r="AF13" s="1">
        <f>(data0!X5-(AF$2*$I13+AF$3))</f>
        <v>-1.0427994129948956</v>
      </c>
      <c r="AG13" s="1">
        <f>(data0!Y5-(AG$2*$I13+AG$3))</f>
        <v>3.7247381966521971</v>
      </c>
      <c r="AH13" s="1">
        <f>(data0!Z5-(AH$2*$I13+AH$3))</f>
        <v>-6.6516196442986484</v>
      </c>
      <c r="AI13" s="1">
        <f>(data0!AA5-(AI$2*$I13+AI$3))</f>
        <v>-3.5059535070156471</v>
      </c>
      <c r="AJ13" s="1"/>
      <c r="AK13" s="1">
        <f>(data0!AC5-(AK$2*$I13+AK$3))</f>
        <v>-1.7425800000872869</v>
      </c>
      <c r="AL13" s="1">
        <f>(data0!AD5-(AL$2*$I13+AL$3))</f>
        <v>0.47549504988512581</v>
      </c>
      <c r="AM13" s="1"/>
      <c r="AN13" s="1">
        <f>(data0!AF5-(AN$2*$I13+AN$3))</f>
        <v>0.91046447281121345</v>
      </c>
      <c r="AO13" s="1">
        <f>(data0!AG5-(AO$2*$I13+AO$3))</f>
        <v>-0.29372281729570204</v>
      </c>
    </row>
    <row r="14" spans="1:41">
      <c r="A14">
        <f t="shared" si="15"/>
        <v>4</v>
      </c>
      <c r="B14" s="3">
        <f t="shared" si="14"/>
        <v>415.29999389648435</v>
      </c>
      <c r="C14" s="1">
        <f t="shared" si="16"/>
        <v>1.3233435915034937</v>
      </c>
      <c r="D14" s="1">
        <f t="shared" si="17"/>
        <v>7.1905560055881734</v>
      </c>
      <c r="E14" s="1">
        <f t="shared" si="18"/>
        <v>13.057768419672854</v>
      </c>
      <c r="F14" s="1">
        <f t="shared" si="5"/>
        <v>3.9114749427231201</v>
      </c>
      <c r="H14">
        <f>data4!A6</f>
        <v>4</v>
      </c>
      <c r="I14" s="3">
        <f>data4!B20</f>
        <v>415.29999389648435</v>
      </c>
      <c r="J14" s="1">
        <f>(data0!B6-(J$2*$I14+J$3))</f>
        <v>7.5442324301297958</v>
      </c>
      <c r="K14" s="1">
        <f>(data0!C6-(K$2*$I14+K$3))</f>
        <v>7.6907759620003162</v>
      </c>
      <c r="L14" s="1">
        <f>(data0!D6-(L$2*$I14+L$3))</f>
        <v>14.686102352932721</v>
      </c>
      <c r="M14" s="1">
        <f>(data0!E6-(M$2*$I14+M$3))</f>
        <v>9.46549068478555</v>
      </c>
      <c r="N14" s="1">
        <f>(data0!F6-(N$2*$I14+N$3))</f>
        <v>-0.51989120037904968</v>
      </c>
      <c r="O14" s="1">
        <f>(data0!G6-(O$2*$I14+O$3))</f>
        <v>5.6178098678851711</v>
      </c>
      <c r="P14" s="1">
        <f>(data0!H6-(P$2*$I14+P$3))</f>
        <v>3.9626524928761455</v>
      </c>
      <c r="Q14" s="1">
        <f>(data0!I6-(Q$2*$I14+Q$3))</f>
        <v>4.2665610770430931</v>
      </c>
      <c r="R14" s="1"/>
      <c r="S14" s="1">
        <f>(data0!K6-(S$2*$I14+S$3))</f>
        <v>13.237166590347101</v>
      </c>
      <c r="T14" s="1">
        <f>(data0!L6-(T$2*$I14+T$3))</f>
        <v>4.8146594604440907</v>
      </c>
      <c r="U14" s="1"/>
      <c r="V14" s="1">
        <f>(data0!N6-(V$2*$I14+V$3))</f>
        <v>7.137319900900934</v>
      </c>
      <c r="W14" s="1">
        <f>(data0!O6-(W$2*$I14+W$3))</f>
        <v>4.2556242041995347</v>
      </c>
      <c r="X14" s="1">
        <f>(data0!P6-(X$2*$I14+X$3))</f>
        <v>5.3518599905544306</v>
      </c>
      <c r="Y14" s="1"/>
      <c r="Z14" s="1">
        <f>(data0!R6-(Z$2*$I14+Z$3))</f>
        <v>6.041179114773513</v>
      </c>
      <c r="AA14" s="1">
        <f>(data0!S6-(AA$2*$I14+AA$3))</f>
        <v>6.6488979132255963</v>
      </c>
      <c r="AB14" s="1">
        <f>(data0!T6-(AB$2*$I14+AB$3))</f>
        <v>14.832549199748428</v>
      </c>
      <c r="AC14" s="1">
        <f>(data0!U6-(AC$2*$I14+AC$3))</f>
        <v>9.1181799032448225</v>
      </c>
      <c r="AD14" s="1"/>
      <c r="AE14" s="1">
        <f>(data0!W6-(AE$2*$I14+AE$3))</f>
        <v>8.141390245155435</v>
      </c>
      <c r="AF14" s="1">
        <f>(data0!X6-(AF$2*$I14+AF$3))</f>
        <v>15.006169783034011</v>
      </c>
      <c r="AG14" s="1">
        <f>(data0!Y6-(AG$2*$I14+AG$3))</f>
        <v>3.8485462786009634</v>
      </c>
      <c r="AH14" s="1">
        <f>(data0!Z6-(AH$2*$I14+AH$3))</f>
        <v>10.084232190333864</v>
      </c>
      <c r="AI14" s="1">
        <f>(data0!AA6-(AI$2*$I14+AI$3))</f>
        <v>5.7480622188680854</v>
      </c>
      <c r="AJ14" s="1"/>
      <c r="AK14" s="1">
        <f>(data0!AC6-(AK$2*$I14+AK$3))</f>
        <v>5.0805669699814189</v>
      </c>
      <c r="AL14" s="1">
        <f>(data0!AD6-(AL$2*$I14+AL$3))</f>
        <v>1.808234627230263</v>
      </c>
      <c r="AM14" s="1"/>
      <c r="AN14" s="1">
        <f>(data0!AF6-(AN$2*$I14+AN$3))</f>
        <v>7.9675158427652377</v>
      </c>
      <c r="AO14" s="1">
        <f>(data0!AG6-(AO$2*$I14+AO$3))</f>
        <v>5.1185680446110382</v>
      </c>
    </row>
    <row r="15" spans="1:41">
      <c r="A15">
        <f t="shared" si="15"/>
        <v>5</v>
      </c>
      <c r="B15" s="3">
        <f t="shared" si="14"/>
        <v>309.19999389648439</v>
      </c>
      <c r="C15" s="1">
        <f t="shared" si="16"/>
        <v>1.9370882397472764</v>
      </c>
      <c r="D15" s="1">
        <f t="shared" si="17"/>
        <v>7.638031411270215</v>
      </c>
      <c r="E15" s="1">
        <f t="shared" si="18"/>
        <v>13.338974582793153</v>
      </c>
      <c r="F15" s="1">
        <f t="shared" si="5"/>
        <v>3.8006287810152921</v>
      </c>
      <c r="H15">
        <f>data4!A7</f>
        <v>5</v>
      </c>
      <c r="I15" s="3">
        <f>data4!B21</f>
        <v>309.19999389648439</v>
      </c>
      <c r="J15" s="1">
        <f>(data0!B7-(J$2*$I15+J$3))</f>
        <v>6.997654853875872</v>
      </c>
      <c r="K15" s="1">
        <f>(data0!C7-(K$2*$I15+K$3))</f>
        <v>7.3745879695942449</v>
      </c>
      <c r="L15" s="1">
        <f>(data0!D7-(L$2*$I15+L$3))</f>
        <v>13.484128004264335</v>
      </c>
      <c r="M15" s="1">
        <f>(data0!E7-(M$2*$I15+M$3))</f>
        <v>10.544957538340554</v>
      </c>
      <c r="N15" s="1">
        <f>(data0!F7-(N$2*$I15+N$3))</f>
        <v>1.5720788194603301</v>
      </c>
      <c r="O15" s="1">
        <f>(data0!G7-(O$2*$I15+O$3))</f>
        <v>5.7896736656521171</v>
      </c>
      <c r="P15" s="1">
        <f>(data0!H7-(P$2*$I15+P$3))</f>
        <v>5.2004125480519292</v>
      </c>
      <c r="Q15" s="1">
        <f>(data0!I7-(Q$2*$I15+Q$3))</f>
        <v>3.7950700174058056</v>
      </c>
      <c r="R15" s="1"/>
      <c r="S15" s="1">
        <f>(data0!K7-(S$2*$I15+S$3))</f>
        <v>12.462451110385473</v>
      </c>
      <c r="T15" s="1">
        <f>(data0!L7-(T$2*$I15+T$3))</f>
        <v>4.7047630809574912</v>
      </c>
      <c r="U15" s="1"/>
      <c r="V15" s="1">
        <f>(data0!N7-(V$2*$I15+V$3))</f>
        <v>9.2539113044047099</v>
      </c>
      <c r="W15" s="1">
        <f>(data0!O7-(W$2*$I15+W$3))</f>
        <v>4.2158501098147667</v>
      </c>
      <c r="X15" s="1">
        <f>(data0!P7-(X$2*$I15+X$3))</f>
        <v>7.0314315791197828</v>
      </c>
      <c r="Y15" s="1"/>
      <c r="Z15" s="1">
        <f>(data0!R7-(Z$2*$I15+Z$3))</f>
        <v>5.9692787364311926</v>
      </c>
      <c r="AA15" s="1">
        <f>(data0!S7-(AA$2*$I15+AA$3))</f>
        <v>7.0464335235139401</v>
      </c>
      <c r="AB15" s="1">
        <f>(data0!T7-(AB$2*$I15+AB$3))</f>
        <v>13.841706910886955</v>
      </c>
      <c r="AC15" s="1">
        <f>(data0!U7-(AC$2*$I15+AC$3))</f>
        <v>10.761167413931275</v>
      </c>
      <c r="AD15" s="1"/>
      <c r="AE15" s="1">
        <f>(data0!W7-(AE$2*$I15+AE$3))</f>
        <v>9.061416644870576</v>
      </c>
      <c r="AF15" s="1">
        <f>(data0!X7-(AF$2*$I15+AF$3))</f>
        <v>15.667862038971634</v>
      </c>
      <c r="AG15" s="1">
        <f>(data0!Y7-(AG$2*$I15+AG$3))</f>
        <v>2.7800580202326159</v>
      </c>
      <c r="AH15" s="1">
        <f>(data0!Z7-(AH$2*$I15+AH$3))</f>
        <v>12.685903157855137</v>
      </c>
      <c r="AI15" s="1">
        <f>(data0!AA7-(AI$2*$I15+AI$3))</f>
        <v>6.9344516806381762</v>
      </c>
      <c r="AJ15" s="1"/>
      <c r="AK15" s="1">
        <f>(data0!AC7-(AK$2*$I15+AK$3))</f>
        <v>4.6937068253336633</v>
      </c>
      <c r="AL15" s="1">
        <f>(data0!AD7-(AL$2*$I15+AL$3))</f>
        <v>1.8670032978920972</v>
      </c>
      <c r="AM15" s="1"/>
      <c r="AN15" s="1">
        <f>(data0!AF7-(AN$2*$I15+AN$3))</f>
        <v>8.1346445662201745</v>
      </c>
      <c r="AO15" s="1">
        <f>(data0!AG7-(AO$2*$I15+AO$3))</f>
        <v>6.7182132749207426</v>
      </c>
    </row>
    <row r="16" spans="1:41">
      <c r="A16">
        <f t="shared" si="15"/>
        <v>6</v>
      </c>
      <c r="B16" s="3">
        <f t="shared" si="14"/>
        <v>214.88000030517577</v>
      </c>
      <c r="C16" s="1">
        <f t="shared" si="16"/>
        <v>12.227507885858842</v>
      </c>
      <c r="D16" s="1">
        <f t="shared" si="17"/>
        <v>19.029102840555741</v>
      </c>
      <c r="E16" s="1">
        <f t="shared" si="18"/>
        <v>25.83069779525264</v>
      </c>
      <c r="F16" s="1">
        <f t="shared" si="5"/>
        <v>4.5343966364645993</v>
      </c>
      <c r="H16">
        <f>data4!A8</f>
        <v>6</v>
      </c>
      <c r="I16" s="3">
        <f>data4!B22</f>
        <v>214.88000030517577</v>
      </c>
      <c r="J16" s="1">
        <f>(data0!B8-(J$2*$I16+J$3))</f>
        <v>20.470211096830894</v>
      </c>
      <c r="K16" s="1">
        <f>(data0!C8-(K$2*$I16+K$3))</f>
        <v>19.532889514772819</v>
      </c>
      <c r="L16" s="1">
        <f>(data0!D8-(L$2*$I16+L$3))</f>
        <v>27.734174923487842</v>
      </c>
      <c r="M16" s="1">
        <f>(data0!E8-(M$2*$I16+M$3))</f>
        <v>23.131339079536588</v>
      </c>
      <c r="N16" s="1">
        <f>(data0!F8-(N$2*$I16+N$3))</f>
        <v>11.745270362840529</v>
      </c>
      <c r="O16" s="1">
        <f>(data0!G8-(O$2*$I16+O$3))</f>
        <v>16.590618438621107</v>
      </c>
      <c r="P16" s="1">
        <f>(data0!H8-(P$2*$I16+P$3))</f>
        <v>13.475492512660935</v>
      </c>
      <c r="Q16" s="1">
        <f>(data0!I8-(Q$2*$I16+Q$3))</f>
        <v>15.4350161122602</v>
      </c>
      <c r="R16" s="1"/>
      <c r="S16" s="1">
        <f>(data0!K8-(S$2*$I16+S$3))</f>
        <v>25.898209718622013</v>
      </c>
      <c r="T16" s="1">
        <f>(data0!L8-(T$2*$I16+T$3))</f>
        <v>16.666214588133016</v>
      </c>
      <c r="U16" s="1"/>
      <c r="V16" s="1">
        <f>(data0!N8-(V$2*$I16+V$3))</f>
        <v>18.582432110734374</v>
      </c>
      <c r="W16" s="1">
        <f>(data0!O8-(W$2*$I16+W$3))</f>
        <v>14.556757352587852</v>
      </c>
      <c r="X16" s="1">
        <f>(data0!P8-(X$2*$I16+X$3))</f>
        <v>17.490548985608712</v>
      </c>
      <c r="Y16" s="1"/>
      <c r="Z16" s="1">
        <f>(data0!R8-(Z$2*$I16+Z$3))</f>
        <v>18.562075508700786</v>
      </c>
      <c r="AA16" s="1">
        <f>(data0!S8-(AA$2*$I16+AA$3))</f>
        <v>16.637354794819146</v>
      </c>
      <c r="AB16" s="1">
        <f>(data0!T8-(AB$2*$I16+AB$3))</f>
        <v>27.790673134044198</v>
      </c>
      <c r="AC16" s="1">
        <f>(data0!U8-(AC$2*$I16+AC$3))</f>
        <v>23.956955677613962</v>
      </c>
      <c r="AD16" s="1"/>
      <c r="AE16" s="1">
        <f>(data0!W8-(AE$2*$I16+AE$3))</f>
        <v>21.994834692131178</v>
      </c>
      <c r="AF16" s="1">
        <f>(data0!X8-(AF$2*$I16+AF$3))</f>
        <v>23.976055873045595</v>
      </c>
      <c r="AG16" s="1">
        <f>(data0!Y8-(AG$2*$I16+AG$3))</f>
        <v>14.64805412394918</v>
      </c>
      <c r="AH16" s="1">
        <f>(data0!Z8-(AH$2*$I16+AH$3))</f>
        <v>24.509906368899863</v>
      </c>
      <c r="AI16" s="1">
        <f>(data0!AA8-(AI$2*$I16+AI$3))</f>
        <v>18.474576406286644</v>
      </c>
      <c r="AJ16" s="1"/>
      <c r="AK16" s="1">
        <f>(data0!AC8-(AK$2*$I16+AK$3))</f>
        <v>15.269405790654389</v>
      </c>
      <c r="AL16" s="1">
        <f>(data0!AD8-(AL$2*$I16+AL$3))</f>
        <v>13.869201744506086</v>
      </c>
      <c r="AM16" s="1"/>
      <c r="AN16" s="1">
        <f>(data0!AF8-(AN$2*$I16+AN$3))</f>
        <v>16.109442878415905</v>
      </c>
      <c r="AO16" s="1">
        <f>(data0!AG8-(AO$2*$I16+AO$3))</f>
        <v>17.648962064685406</v>
      </c>
    </row>
    <row r="17" spans="1:41">
      <c r="A17">
        <f t="shared" si="15"/>
        <v>7</v>
      </c>
      <c r="B17" s="3">
        <f t="shared" si="14"/>
        <v>80.91000061035156</v>
      </c>
      <c r="C17" s="1">
        <f t="shared" si="16"/>
        <v>5.1066368283689059</v>
      </c>
      <c r="D17" s="1">
        <f t="shared" si="17"/>
        <v>9.271124179377205</v>
      </c>
      <c r="E17" s="1">
        <f t="shared" si="18"/>
        <v>13.435611530385504</v>
      </c>
      <c r="F17" s="1">
        <f t="shared" si="5"/>
        <v>2.7763249006721993</v>
      </c>
      <c r="H17">
        <f>data4!A9</f>
        <v>7</v>
      </c>
      <c r="I17" s="3">
        <f>data4!B23</f>
        <v>80.91000061035156</v>
      </c>
      <c r="J17" s="1">
        <f>(data0!B9-(J$2*$I17+J$3))</f>
        <v>8.8894833582832433</v>
      </c>
      <c r="K17" s="1">
        <f>(data0!C9-(K$2*$I17+K$3))</f>
        <v>9.0375874409481867</v>
      </c>
      <c r="L17" s="1">
        <f>(data0!D9-(L$2*$I17+L$3))</f>
        <v>14.252538235606607</v>
      </c>
      <c r="M17" s="1">
        <f>(data0!E9-(M$2*$I17+M$3))</f>
        <v>11.794330741836561</v>
      </c>
      <c r="N17" s="1">
        <f>(data0!F9-(N$2*$I17+N$3))</f>
        <v>4.8915785938598049</v>
      </c>
      <c r="O17" s="1">
        <f>(data0!G9-(O$2*$I17+O$3))</f>
        <v>7.6141406241562066</v>
      </c>
      <c r="P17" s="1">
        <f>(data0!H9-(P$2*$I17+P$3))</f>
        <v>6.2837238231554267</v>
      </c>
      <c r="Q17" s="1">
        <f>(data0!I9-(Q$2*$I17+Q$3))</f>
        <v>7.2396527064049394</v>
      </c>
      <c r="R17" s="1"/>
      <c r="S17" s="1">
        <f>(data0!K9-(S$2*$I17+S$3))</f>
        <v>13.779796654378032</v>
      </c>
      <c r="T17" s="1">
        <f>(data0!L9-(T$2*$I17+T$3))</f>
        <v>7.9506526297828515</v>
      </c>
      <c r="U17" s="1"/>
      <c r="V17" s="1">
        <f>(data0!N9-(V$2*$I17+V$3))</f>
        <v>9.4619302774433294</v>
      </c>
      <c r="W17" s="1">
        <f>(data0!O9-(W$2*$I17+W$3))</f>
        <v>6.5756098349097698</v>
      </c>
      <c r="X17" s="1">
        <f>(data0!P9-(X$2*$I17+X$3))</f>
        <v>8.0004980581687306</v>
      </c>
      <c r="Y17" s="1"/>
      <c r="Z17" s="1">
        <f>(data0!R9-(Z$2*$I17+Z$3))</f>
        <v>9.0167215261395199</v>
      </c>
      <c r="AA17" s="1">
        <f>(data0!S9-(AA$2*$I17+AA$3))</f>
        <v>7.9952888916424314</v>
      </c>
      <c r="AB17" s="1">
        <f>(data0!T9-(AB$2*$I17+AB$3))</f>
        <v>14.397759218953894</v>
      </c>
      <c r="AC17" s="1">
        <f>(data0!U9-(AC$2*$I17+AC$3))</f>
        <v>12.098100751011941</v>
      </c>
      <c r="AD17" s="1"/>
      <c r="AE17" s="1">
        <f>(data0!W9-(AE$2*$I17+AE$3))</f>
        <v>11.122738155446655</v>
      </c>
      <c r="AF17" s="1">
        <f>(data0!X9-(AF$2*$I17+AF$3))</f>
        <v>12.777790102801987</v>
      </c>
      <c r="AG17" s="1">
        <f>(data0!Y9-(AG$2*$I17+AG$3))</f>
        <v>6.1669263187886401</v>
      </c>
      <c r="AH17" s="1">
        <f>(data0!Z9-(AH$2*$I17+AH$3))</f>
        <v>13.393431590970778</v>
      </c>
      <c r="AI17" s="1">
        <f>(data0!AA9-(AI$2*$I17+AI$3))</f>
        <v>8.7219455633024978</v>
      </c>
      <c r="AJ17" s="1"/>
      <c r="AK17" s="1">
        <f>(data0!AC9-(AK$2*$I17+AK$3))</f>
        <v>7.0773309297157567</v>
      </c>
      <c r="AL17" s="1">
        <f>(data0!AD9-(AL$2*$I17+AL$3))</f>
        <v>6.2443164861674205</v>
      </c>
      <c r="AM17" s="1"/>
      <c r="AN17" s="1">
        <f>(data0!AF9-(AN$2*$I17+AN$3))</f>
        <v>7.8471779572122244</v>
      </c>
      <c r="AO17" s="1">
        <f>(data0!AG9-(AO$2*$I17+AO$3))</f>
        <v>8.4181781927198642</v>
      </c>
    </row>
    <row r="18" spans="1:41">
      <c r="A18">
        <f t="shared" si="15"/>
        <v>8</v>
      </c>
      <c r="B18" s="3">
        <f t="shared" si="14"/>
        <v>2.9259999275207518</v>
      </c>
      <c r="C18" s="1">
        <f t="shared" si="16"/>
        <v>-1.827024591197126E-13</v>
      </c>
      <c r="D18" s="1">
        <f t="shared" si="17"/>
        <v>-8.0943798672286415E-14</v>
      </c>
      <c r="E18" s="1">
        <f t="shared" si="18"/>
        <v>2.0814861775139765E-14</v>
      </c>
      <c r="F18" s="1">
        <f t="shared" si="5"/>
        <v>6.7839106964950791E-14</v>
      </c>
      <c r="H18">
        <f>data4!A10</f>
        <v>8</v>
      </c>
      <c r="I18" s="3">
        <f>data4!B24</f>
        <v>2.9259999275207518</v>
      </c>
      <c r="J18" s="1">
        <f>(data0!B10-(J$2*$I18+J$3))</f>
        <v>-6.0396132539608516E-14</v>
      </c>
      <c r="K18" s="1">
        <f>(data0!C10-(K$2*$I18+K$3))</f>
        <v>-1.1812772982011666E-13</v>
      </c>
      <c r="L18" s="1">
        <f>(data0!D10-(L$2*$I18+L$3))</f>
        <v>-4.7073456244106637E-14</v>
      </c>
      <c r="M18" s="1">
        <f>(data0!E10-(M$2*$I18+M$3))</f>
        <v>-1.5099033134902129E-13</v>
      </c>
      <c r="N18" s="1">
        <f>(data0!F10-(N$2*$I18+N$3))</f>
        <v>-1.1723955140041653E-13</v>
      </c>
      <c r="O18" s="1">
        <f>(data0!G10-(O$2*$I18+O$3))</f>
        <v>-8.2600593032111647E-14</v>
      </c>
      <c r="P18" s="1">
        <f>(data0!H10-(P$2*$I18+P$3))</f>
        <v>6.2172489379008766E-15</v>
      </c>
      <c r="Q18" s="1">
        <f>(data0!I10-(Q$2*$I18+Q$3))</f>
        <v>-1.1546319456101628E-14</v>
      </c>
      <c r="R18" s="1"/>
      <c r="S18" s="1">
        <f>(data0!K10-(S$2*$I18+S$3))</f>
        <v>-5.773159728050814E-14</v>
      </c>
      <c r="T18" s="1">
        <f>(data0!L10-(T$2*$I18+T$3))</f>
        <v>-1.0746958878371515E-13</v>
      </c>
      <c r="U18" s="1"/>
      <c r="V18" s="1">
        <f>(data0!N10-(V$2*$I18+V$3))</f>
        <v>-2.3092638912203256E-14</v>
      </c>
      <c r="W18" s="1">
        <f>(data0!O10-(W$2*$I18+W$3))</f>
        <v>-5.1514348342607263E-14</v>
      </c>
      <c r="X18" s="1">
        <f>(data0!P10-(X$2*$I18+X$3))</f>
        <v>-1.936228954946273E-13</v>
      </c>
      <c r="Y18" s="1"/>
      <c r="Z18" s="1">
        <f>(data0!R10-(Z$2*$I18+Z$3))</f>
        <v>-2.1582735598713043E-13</v>
      </c>
      <c r="AA18" s="1">
        <f>(data0!S10-(AA$2*$I18+AA$3))</f>
        <v>-2.1316282072803006E-14</v>
      </c>
      <c r="AB18" s="1">
        <f>(data0!T10-(AB$2*$I18+AB$3))</f>
        <v>-4.9737991503207013E-14</v>
      </c>
      <c r="AC18" s="1">
        <f>(data0!U10-(AC$2*$I18+AC$3))</f>
        <v>-4.8849813083506888E-14</v>
      </c>
      <c r="AD18" s="1"/>
      <c r="AE18" s="1">
        <f>(data0!W10-(AE$2*$I18+AE$3))</f>
        <v>-1.0302869668521453E-13</v>
      </c>
      <c r="AF18" s="1">
        <f>(data0!X10-(AF$2*$I18+AF$3))</f>
        <v>-1.865174681370263E-14</v>
      </c>
      <c r="AG18" s="1">
        <f>(data0!Y10-(AG$2*$I18+AG$3))</f>
        <v>-1.4788170688007085E-13</v>
      </c>
      <c r="AH18" s="1">
        <f>(data0!Z10-(AH$2*$I18+AH$3))</f>
        <v>-1.7408297026122455E-13</v>
      </c>
      <c r="AI18" s="1">
        <f>(data0!AA10-(AI$2*$I18+AI$3))</f>
        <v>-7.638334409421077E-14</v>
      </c>
      <c r="AJ18" s="1"/>
      <c r="AK18" s="1">
        <f>(data0!AC10-(AK$2*$I18+AK$3))</f>
        <v>1.7763568394002505E-15</v>
      </c>
      <c r="AL18" s="1">
        <f>(data0!AD10-(AL$2*$I18+AL$3))</f>
        <v>5.4178883601707639E-14</v>
      </c>
      <c r="AM18" s="1"/>
      <c r="AN18" s="1">
        <f>(data0!AF10-(AN$2*$I18+AN$3))</f>
        <v>-1.6431300764452317E-13</v>
      </c>
      <c r="AO18" s="1">
        <f>(data0!AG10-(AO$2*$I18+AO$3))</f>
        <v>-1.2523315717771766E-13</v>
      </c>
    </row>
    <row r="35" spans="1:3">
      <c r="B35" s="42" t="s">
        <v>31</v>
      </c>
      <c r="C35" s="42"/>
    </row>
    <row r="36" spans="1:3">
      <c r="A36" s="9" t="s">
        <v>34</v>
      </c>
      <c r="B36" s="2">
        <f>(B37-B38)/5</f>
        <v>9.0413355088482583E-2</v>
      </c>
    </row>
    <row r="37" spans="1:3">
      <c r="A37" s="9" t="s">
        <v>32</v>
      </c>
      <c r="B37" s="2">
        <f>D5+1.5*F5</f>
        <v>0.65069498938030768</v>
      </c>
    </row>
    <row r="38" spans="1:3">
      <c r="A38" s="9" t="s">
        <v>33</v>
      </c>
      <c r="B38" s="2">
        <f>D5-1.5*F5</f>
        <v>0.19862821393789476</v>
      </c>
      <c r="C38" s="2">
        <f t="shared" ref="C38:C43" si="19">histogram(J$5:AO$5,B$38:B$43,B38)/count</f>
        <v>0</v>
      </c>
    </row>
    <row r="39" spans="1:3">
      <c r="B39" s="2">
        <f>B38+B$36</f>
        <v>0.28904156902637734</v>
      </c>
      <c r="C39" s="2">
        <f t="shared" si="19"/>
        <v>0.15384615384615385</v>
      </c>
    </row>
    <row r="40" spans="1:3">
      <c r="B40" s="2">
        <f t="shared" ref="B40:B43" si="20">B39+B$36</f>
        <v>0.37945492411485993</v>
      </c>
      <c r="C40" s="2">
        <f t="shared" si="19"/>
        <v>0.42307692307692307</v>
      </c>
    </row>
    <row r="41" spans="1:3">
      <c r="B41" s="2">
        <f t="shared" si="20"/>
        <v>0.46986827920334251</v>
      </c>
      <c r="C41" s="2">
        <f t="shared" si="19"/>
        <v>0.11538461538461539</v>
      </c>
    </row>
    <row r="42" spans="1:3">
      <c r="B42" s="2">
        <f t="shared" si="20"/>
        <v>0.56028163429182509</v>
      </c>
      <c r="C42" s="2">
        <f t="shared" si="19"/>
        <v>7.6923076923076927E-2</v>
      </c>
    </row>
    <row r="43" spans="1:3">
      <c r="B43" s="2">
        <f t="shared" si="20"/>
        <v>0.65069498938030768</v>
      </c>
      <c r="C43" s="2">
        <f t="shared" si="19"/>
        <v>0.23076923076923078</v>
      </c>
    </row>
    <row r="44" spans="1:3">
      <c r="B44" s="2"/>
      <c r="C44" s="9"/>
    </row>
    <row r="45" spans="1:3">
      <c r="B45" s="2"/>
      <c r="C45" s="9"/>
    </row>
    <row r="46" spans="1:3">
      <c r="B46" s="2"/>
      <c r="C46" s="9"/>
    </row>
    <row r="47" spans="1:3">
      <c r="B47" s="9"/>
    </row>
    <row r="48" spans="1:3">
      <c r="B48" s="9"/>
    </row>
    <row r="51" spans="1:3">
      <c r="B51" s="41" t="s">
        <v>38</v>
      </c>
      <c r="C51" s="41"/>
    </row>
    <row r="52" spans="1:3">
      <c r="A52" s="9" t="s">
        <v>34</v>
      </c>
      <c r="B52" s="1">
        <f>(B53-B54)/5</f>
        <v>2.7206379818787596</v>
      </c>
      <c r="C52" s="1"/>
    </row>
    <row r="53" spans="1:3">
      <c r="A53" s="9" t="s">
        <v>32</v>
      </c>
      <c r="B53" s="1">
        <f>D7+1.5*F7</f>
        <v>25.83069779525264</v>
      </c>
      <c r="C53" s="1"/>
    </row>
    <row r="54" spans="1:3">
      <c r="A54" s="9" t="s">
        <v>33</v>
      </c>
      <c r="B54" s="1">
        <f>D7-1.5*F7</f>
        <v>12.227507885858842</v>
      </c>
      <c r="C54" s="1">
        <f t="shared" ref="C54:C59" si="21">histogram(J$7:AO$7,B$54:B$59,B54)/count</f>
        <v>3.8461538461538464E-2</v>
      </c>
    </row>
    <row r="55" spans="1:3">
      <c r="A55" s="9"/>
      <c r="B55" s="1">
        <f>B54+B$52</f>
        <v>14.948145867737601</v>
      </c>
      <c r="C55" s="1">
        <f t="shared" si="21"/>
        <v>0.15384615384615385</v>
      </c>
    </row>
    <row r="56" spans="1:3">
      <c r="A56" s="9"/>
      <c r="B56" s="1">
        <f t="shared" ref="B56:B59" si="22">B55+B$52</f>
        <v>17.668783849616361</v>
      </c>
      <c r="C56" s="1">
        <f t="shared" si="21"/>
        <v>0.30769230769230771</v>
      </c>
    </row>
    <row r="57" spans="1:3">
      <c r="A57" s="9"/>
      <c r="B57" s="1">
        <f t="shared" si="22"/>
        <v>20.38942183149512</v>
      </c>
      <c r="C57" s="1">
        <f t="shared" si="21"/>
        <v>0.15384615384615385</v>
      </c>
    </row>
    <row r="58" spans="1:3">
      <c r="A58" s="9"/>
      <c r="B58" s="1">
        <f t="shared" si="22"/>
        <v>23.11005981337388</v>
      </c>
      <c r="C58" s="1">
        <f t="shared" si="21"/>
        <v>7.6923076923076927E-2</v>
      </c>
    </row>
    <row r="59" spans="1:3">
      <c r="A59" s="9"/>
      <c r="B59" s="1">
        <f t="shared" si="22"/>
        <v>25.83069779525264</v>
      </c>
      <c r="C59" s="1">
        <f t="shared" si="21"/>
        <v>0.26923076923076922</v>
      </c>
    </row>
  </sheetData>
  <mergeCells count="10">
    <mergeCell ref="B51:C51"/>
    <mergeCell ref="B35:C35"/>
    <mergeCell ref="A1:B1"/>
    <mergeCell ref="A2:B2"/>
    <mergeCell ref="H5:I5"/>
    <mergeCell ref="H6:I6"/>
    <mergeCell ref="H7:I7"/>
    <mergeCell ref="A5:B5"/>
    <mergeCell ref="A6:B6"/>
    <mergeCell ref="A7:B7"/>
  </mergeCells>
  <conditionalFormatting sqref="J5:AO5">
    <cfRule type="top10" dxfId="5" priority="5" percent="1" bottom="1" rank="10"/>
    <cfRule type="top10" dxfId="4" priority="6" percent="1" rank="10"/>
  </conditionalFormatting>
  <conditionalFormatting sqref="J6:AO6">
    <cfRule type="top10" dxfId="3" priority="3" percent="1" bottom="1" rank="10"/>
    <cfRule type="top10" dxfId="2" priority="4" percent="1" rank="10"/>
  </conditionalFormatting>
  <conditionalFormatting sqref="J7:AO7">
    <cfRule type="top10" dxfId="1" priority="1" percent="1" bottom="1" rank="10"/>
    <cfRule type="top10" dxfId="0" priority="2" percent="1" rank="10"/>
  </conditionalFormatting>
  <pageMargins left="0.7" right="0.7" top="0.75" bottom="0.75" header="0.3" footer="0.3"/>
  <pageSetup orientation="portrait" r:id="rId1"/>
  <ignoredErrors>
    <ignoredError sqref="C2" formulaRang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G10"/>
  <sheetViews>
    <sheetView zoomScale="70" zoomScaleNormal="70" workbookViewId="0">
      <selection activeCell="F5" sqref="F5"/>
    </sheetView>
  </sheetViews>
  <sheetFormatPr defaultRowHeight="15"/>
  <cols>
    <col min="2" max="33" width="6.5703125" customWidth="1"/>
  </cols>
  <sheetData>
    <row r="1" spans="1:33">
      <c r="B1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3">
      <c r="A2">
        <v>0</v>
      </c>
      <c r="B2" s="1">
        <v>1347.9853515625</v>
      </c>
      <c r="C2" s="1">
        <v>1396.825439453125</v>
      </c>
      <c r="D2">
        <v>1727.4725341796875</v>
      </c>
      <c r="E2">
        <v>1562.881591796875</v>
      </c>
      <c r="F2">
        <v>1228.815673828125</v>
      </c>
      <c r="G2">
        <v>1345.054931640625</v>
      </c>
      <c r="H2">
        <v>1318.19287109375</v>
      </c>
      <c r="I2">
        <v>1344.078125</v>
      </c>
      <c r="K2">
        <v>1708.4249267578125</v>
      </c>
      <c r="L2">
        <v>1347.008544921875</v>
      </c>
      <c r="N2">
        <v>1429.059814453125</v>
      </c>
      <c r="O2">
        <v>1283.028076171875</v>
      </c>
      <c r="P2">
        <v>1378.2662353515625</v>
      </c>
      <c r="R2">
        <v>1421.7337646484375</v>
      </c>
      <c r="S2">
        <v>1384.6153564453125</v>
      </c>
      <c r="T2">
        <v>1687.912109375</v>
      </c>
      <c r="U2">
        <v>1559.4627685546875</v>
      </c>
      <c r="W2">
        <v>1603.4188232421875</v>
      </c>
      <c r="X2">
        <v>1601.4652099609375</v>
      </c>
      <c r="Y2">
        <v>1231.2576904296875</v>
      </c>
      <c r="Z2">
        <v>1675.213623046875</v>
      </c>
      <c r="AA2">
        <v>1368.986572265625</v>
      </c>
      <c r="AC2">
        <v>1358.24169921875</v>
      </c>
      <c r="AD2">
        <v>1274.7252197265625</v>
      </c>
      <c r="AF2">
        <v>1336.2637939453125</v>
      </c>
      <c r="AG2">
        <v>1372.893798828125</v>
      </c>
    </row>
    <row r="3" spans="1:33">
      <c r="A3">
        <f>A2+1</f>
        <v>1</v>
      </c>
      <c r="B3" s="1">
        <v>1102.3199462890625</v>
      </c>
      <c r="C3" s="1">
        <v>1144.810791015625</v>
      </c>
      <c r="D3">
        <v>1412.942626953125</v>
      </c>
      <c r="E3">
        <v>1281.5628662109375</v>
      </c>
      <c r="F3">
        <v>1001.2210083007812</v>
      </c>
      <c r="G3">
        <v>1102.3199462890625</v>
      </c>
      <c r="H3">
        <v>1077.89990234375</v>
      </c>
      <c r="I3">
        <v>1094.993896484375</v>
      </c>
      <c r="K3">
        <v>1395.3602294921875</v>
      </c>
      <c r="L3">
        <v>1101.83154296875</v>
      </c>
      <c r="N3">
        <v>1167.2772216796875</v>
      </c>
      <c r="O3">
        <v>1051.037841796875</v>
      </c>
      <c r="P3">
        <v>1129.181884765625</v>
      </c>
      <c r="R3">
        <v>1160.4395751953125</v>
      </c>
      <c r="S3">
        <v>1134.06591796875</v>
      </c>
      <c r="T3">
        <v>1379.7313232421875</v>
      </c>
      <c r="U3">
        <v>1275.7020263671875</v>
      </c>
      <c r="W3">
        <v>1306.959716796875</v>
      </c>
      <c r="X3">
        <v>1311.84375</v>
      </c>
      <c r="Y3">
        <v>1009.5238037109375</v>
      </c>
      <c r="Z3">
        <v>1367.032958984375</v>
      </c>
      <c r="AA3">
        <v>1116.971923828125</v>
      </c>
      <c r="AC3">
        <v>1104.761962890625</v>
      </c>
      <c r="AD3">
        <v>1038.3394775390625</v>
      </c>
      <c r="AF3">
        <v>1096.4591064453125</v>
      </c>
      <c r="AG3">
        <v>1124.786376953125</v>
      </c>
    </row>
    <row r="4" spans="1:33">
      <c r="A4">
        <f t="shared" ref="A4:A10" si="1">A3+1</f>
        <v>2</v>
      </c>
      <c r="B4" s="1">
        <v>905.98291015625</v>
      </c>
      <c r="C4" s="1">
        <v>941.14776611328125</v>
      </c>
      <c r="D4">
        <v>1158.4859619140625</v>
      </c>
      <c r="E4">
        <v>1052.5030517578125</v>
      </c>
      <c r="F4">
        <v>824.908447265625</v>
      </c>
      <c r="G4">
        <v>905.98291015625</v>
      </c>
      <c r="H4">
        <v>886.4468994140625</v>
      </c>
      <c r="I4">
        <v>902.07568359375</v>
      </c>
      <c r="K4">
        <v>1148.2294921875</v>
      </c>
      <c r="L4">
        <v>904.029296875</v>
      </c>
      <c r="N4">
        <v>964.1025390625</v>
      </c>
      <c r="O4">
        <v>864.4688720703125</v>
      </c>
      <c r="P4">
        <v>929.4261474609375</v>
      </c>
      <c r="R4">
        <v>956.28814697265625</v>
      </c>
      <c r="S4">
        <v>931.3797607421875</v>
      </c>
      <c r="T4">
        <v>1132.1123046875</v>
      </c>
      <c r="U4">
        <v>1045.6654052734375</v>
      </c>
      <c r="W4">
        <v>1073.99267578125</v>
      </c>
      <c r="X4">
        <v>1079.3651123046875</v>
      </c>
      <c r="Y4">
        <v>830.28082275390625</v>
      </c>
      <c r="Z4">
        <v>1121.3675537109375</v>
      </c>
      <c r="AA4">
        <v>920.14654541015625</v>
      </c>
      <c r="AC4">
        <v>912.33209228515625</v>
      </c>
      <c r="AD4">
        <v>856.16607666015625</v>
      </c>
      <c r="AF4">
        <v>901.098876953125</v>
      </c>
      <c r="AG4">
        <v>924.5421142578125</v>
      </c>
    </row>
    <row r="5" spans="1:33">
      <c r="A5">
        <f t="shared" si="1"/>
        <v>3</v>
      </c>
      <c r="B5" s="1">
        <v>746.27593994140625</v>
      </c>
      <c r="C5" s="1">
        <v>776.5567626953125</v>
      </c>
      <c r="D5">
        <v>951.4041748046875</v>
      </c>
      <c r="E5">
        <v>865.4456787109375</v>
      </c>
      <c r="F5">
        <v>681.31866455078125</v>
      </c>
      <c r="G5">
        <v>747.25274658203125</v>
      </c>
      <c r="H5">
        <v>730.15875244140625</v>
      </c>
      <c r="I5">
        <v>741.3919677734375</v>
      </c>
      <c r="K5">
        <v>945.054931640625</v>
      </c>
      <c r="L5">
        <v>745.78753662109375</v>
      </c>
      <c r="N5">
        <v>794.13922119140625</v>
      </c>
      <c r="O5">
        <v>710.6226806640625</v>
      </c>
      <c r="P5">
        <v>764.34674072265625</v>
      </c>
      <c r="R5">
        <v>787.78997802734375</v>
      </c>
      <c r="S5">
        <v>766.78875732421875</v>
      </c>
      <c r="T5">
        <v>930.891357421875</v>
      </c>
      <c r="U5">
        <v>862.5152587890625</v>
      </c>
      <c r="W5">
        <v>882.5396728515625</v>
      </c>
      <c r="X5">
        <v>887.4237060546875</v>
      </c>
      <c r="Y5">
        <v>686.20269775390625</v>
      </c>
      <c r="Z5">
        <v>922.5885009765625</v>
      </c>
      <c r="AA5">
        <v>755.5555419921875</v>
      </c>
      <c r="AC5">
        <v>751.15997314453125</v>
      </c>
      <c r="AD5">
        <v>707.20391845703125</v>
      </c>
      <c r="AF5">
        <v>741.88037109375</v>
      </c>
      <c r="AG5">
        <v>760.927978515625</v>
      </c>
    </row>
    <row r="6" spans="1:33">
      <c r="A6">
        <f t="shared" si="1"/>
        <v>4</v>
      </c>
      <c r="B6" s="1">
        <v>564.5909423828125</v>
      </c>
      <c r="C6" s="1">
        <v>585.103759765625</v>
      </c>
      <c r="D6">
        <v>729.18194580078125</v>
      </c>
      <c r="E6">
        <v>655.4334716796875</v>
      </c>
      <c r="F6">
        <v>506.959716796875</v>
      </c>
      <c r="G6">
        <v>561.17218017578125</v>
      </c>
      <c r="H6">
        <v>548.4737548828125</v>
      </c>
      <c r="I6">
        <v>559.70697021484375</v>
      </c>
      <c r="K6">
        <v>719.90234375</v>
      </c>
      <c r="L6">
        <v>561.17218017578125</v>
      </c>
      <c r="N6">
        <v>597.80218505859375</v>
      </c>
      <c r="O6">
        <v>534.31011962890625</v>
      </c>
      <c r="P6">
        <v>574.84735107421875</v>
      </c>
      <c r="R6">
        <v>593.4066162109375</v>
      </c>
      <c r="S6">
        <v>578.75457763671875</v>
      </c>
      <c r="T6">
        <v>713.064697265625</v>
      </c>
      <c r="U6">
        <v>653.96826171875</v>
      </c>
      <c r="W6">
        <v>671.062255859375</v>
      </c>
      <c r="X6">
        <v>677.4114990234375</v>
      </c>
      <c r="Y6">
        <v>512.33209228515625</v>
      </c>
      <c r="Z6">
        <v>702.80828857421875</v>
      </c>
      <c r="AA6">
        <v>571.4285888671875</v>
      </c>
      <c r="AC6">
        <v>566.05615234375</v>
      </c>
      <c r="AD6">
        <v>528.4493408203125</v>
      </c>
      <c r="AF6">
        <v>560.19537353515625</v>
      </c>
      <c r="AG6">
        <v>572.4053955078125</v>
      </c>
    </row>
    <row r="7" spans="1:33">
      <c r="A7">
        <f t="shared" si="1"/>
        <v>5</v>
      </c>
      <c r="B7" s="1">
        <v>421.97802734375</v>
      </c>
      <c r="C7" s="1">
        <v>437.60684204101562</v>
      </c>
      <c r="D7">
        <v>546.03173828125</v>
      </c>
      <c r="E7">
        <v>491.81930541992187</v>
      </c>
      <c r="F7">
        <v>379.4871826171875</v>
      </c>
      <c r="G7">
        <v>419.5360107421875</v>
      </c>
      <c r="H7">
        <v>410.74481201171875</v>
      </c>
      <c r="I7">
        <v>417.58242797851562</v>
      </c>
      <c r="K7">
        <v>539.19415283203125</v>
      </c>
      <c r="L7">
        <v>419.047607421875</v>
      </c>
      <c r="N7">
        <v>449.32846069335937</v>
      </c>
      <c r="O7">
        <v>399.023193359375</v>
      </c>
      <c r="P7">
        <v>431.25762939453125</v>
      </c>
      <c r="R7">
        <v>443.4676513671875</v>
      </c>
      <c r="S7">
        <v>433.21124267578125</v>
      </c>
      <c r="T7">
        <v>534.31011962890625</v>
      </c>
      <c r="U7">
        <v>491.33090209960937</v>
      </c>
      <c r="W7">
        <v>503.052490234375</v>
      </c>
      <c r="X7">
        <v>509.40170288085937</v>
      </c>
      <c r="Y7">
        <v>381.4407958984375</v>
      </c>
      <c r="Z7">
        <v>528.937744140625</v>
      </c>
      <c r="AA7">
        <v>428.32723999023437</v>
      </c>
      <c r="AC7">
        <v>422.4664306640625</v>
      </c>
      <c r="AD7">
        <v>394.13919067382812</v>
      </c>
      <c r="AF7">
        <v>419.5360107421875</v>
      </c>
      <c r="AG7">
        <v>429.30401611328125</v>
      </c>
    </row>
    <row r="8" spans="1:33">
      <c r="A8">
        <f t="shared" si="1"/>
        <v>6</v>
      </c>
      <c r="B8" s="1">
        <v>309.15750122070312</v>
      </c>
      <c r="C8" s="1">
        <v>318.92550659179687</v>
      </c>
      <c r="D8">
        <v>398.5347900390625</v>
      </c>
      <c r="E8">
        <v>357.99755859375</v>
      </c>
      <c r="F8">
        <v>274.4810791015625</v>
      </c>
      <c r="G8">
        <v>304.27349853515625</v>
      </c>
      <c r="H8">
        <v>295.4822998046875</v>
      </c>
      <c r="I8">
        <v>303.29669189453125</v>
      </c>
      <c r="K8">
        <v>392.67398071289062</v>
      </c>
      <c r="L8">
        <v>304.76190185546875</v>
      </c>
      <c r="N8">
        <v>324.78631591796875</v>
      </c>
      <c r="O8">
        <v>289.13308715820312</v>
      </c>
      <c r="P8">
        <v>312.57632446289062</v>
      </c>
      <c r="R8">
        <v>322.83273315429687</v>
      </c>
      <c r="S8">
        <v>313.06472778320312</v>
      </c>
      <c r="T8">
        <v>390.23199462890625</v>
      </c>
      <c r="U8">
        <v>358.4859619140625</v>
      </c>
      <c r="W8">
        <v>365.81195068359375</v>
      </c>
      <c r="X8">
        <v>367.76556396484375</v>
      </c>
      <c r="Y8">
        <v>277.89987182617187</v>
      </c>
      <c r="Z8">
        <v>383.88278198242187</v>
      </c>
      <c r="AA8">
        <v>311.59951782226562</v>
      </c>
      <c r="AC8">
        <v>305.73870849609375</v>
      </c>
      <c r="AD8">
        <v>286.69110107421875</v>
      </c>
      <c r="AF8">
        <v>302.31991577148437</v>
      </c>
      <c r="AG8">
        <v>311.59951782226562</v>
      </c>
    </row>
    <row r="9" spans="1:33">
      <c r="A9">
        <f t="shared" si="1"/>
        <v>7</v>
      </c>
      <c r="B9" s="1">
        <v>118.19291687011719</v>
      </c>
      <c r="C9" s="1">
        <v>122.58852386474609</v>
      </c>
      <c r="D9">
        <v>155.31135559082031</v>
      </c>
      <c r="E9">
        <v>138.70573425292969</v>
      </c>
      <c r="F9">
        <v>104.02930450439453</v>
      </c>
      <c r="G9">
        <v>116.23931884765625</v>
      </c>
      <c r="H9">
        <v>112.82051086425781</v>
      </c>
      <c r="I9">
        <v>116.23931884765625</v>
      </c>
      <c r="K9">
        <v>153.35775756835937</v>
      </c>
      <c r="L9">
        <v>116.72771453857422</v>
      </c>
      <c r="N9">
        <v>125.51892852783203</v>
      </c>
      <c r="O9">
        <v>110.37850952148437</v>
      </c>
      <c r="P9">
        <v>119.65811920166016</v>
      </c>
      <c r="R9">
        <v>124.05372619628906</v>
      </c>
      <c r="S9">
        <v>120.14652252197266</v>
      </c>
      <c r="T9">
        <v>152.38095092773437</v>
      </c>
      <c r="U9">
        <v>139.19413757324219</v>
      </c>
      <c r="W9">
        <v>141.63613891601562</v>
      </c>
      <c r="X9">
        <v>143.58973693847656</v>
      </c>
      <c r="Y9">
        <v>105.4945068359375</v>
      </c>
      <c r="Z9">
        <v>149.93894958496094</v>
      </c>
      <c r="AA9">
        <v>119.65811920166016</v>
      </c>
      <c r="AC9">
        <v>116.72771453857422</v>
      </c>
      <c r="AD9">
        <v>109.40171051025391</v>
      </c>
      <c r="AF9">
        <v>116.23931884765625</v>
      </c>
      <c r="AG9">
        <v>119.65811920166016</v>
      </c>
    </row>
    <row r="10" spans="1:33">
      <c r="A10">
        <f t="shared" si="1"/>
        <v>8</v>
      </c>
      <c r="B10" s="1">
        <v>4.884005069732666</v>
      </c>
      <c r="C10" s="1">
        <v>5.3724055290222168</v>
      </c>
      <c r="D10">
        <v>7.3260073661804199</v>
      </c>
      <c r="E10">
        <v>5.8608059883117676</v>
      </c>
      <c r="F10">
        <v>3.9072039127349854</v>
      </c>
      <c r="G10">
        <v>4.3956046104431152</v>
      </c>
      <c r="H10">
        <v>4.3956046104431152</v>
      </c>
      <c r="I10">
        <v>4.884005069732666</v>
      </c>
      <c r="K10">
        <v>7.3260073661804199</v>
      </c>
      <c r="L10">
        <v>4.3956046104431152</v>
      </c>
      <c r="N10">
        <v>5.3724055290222168</v>
      </c>
      <c r="O10">
        <v>4.3956046104431152</v>
      </c>
      <c r="P10">
        <v>4.884005069732666</v>
      </c>
      <c r="R10">
        <v>4.884005069732666</v>
      </c>
      <c r="S10">
        <v>4.884005069732666</v>
      </c>
      <c r="T10">
        <v>7.3260073661804199</v>
      </c>
      <c r="U10">
        <v>6.3492064476013184</v>
      </c>
      <c r="W10">
        <v>6.3492064476013184</v>
      </c>
      <c r="X10">
        <v>6.8376069068908691</v>
      </c>
      <c r="Y10">
        <v>3.9072039127349854</v>
      </c>
      <c r="Z10">
        <v>6.8376069068908691</v>
      </c>
      <c r="AA10">
        <v>4.884005069732666</v>
      </c>
      <c r="AC10">
        <v>4.3956046104431152</v>
      </c>
      <c r="AD10">
        <v>4.3956046104431152</v>
      </c>
      <c r="AF10">
        <v>4.884005069732666</v>
      </c>
      <c r="AG10">
        <v>4.884005069732666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G24"/>
  <sheetViews>
    <sheetView zoomScale="70" zoomScaleNormal="70" workbookViewId="0">
      <selection activeCell="D22" sqref="D22"/>
    </sheetView>
  </sheetViews>
  <sheetFormatPr defaultRowHeight="15"/>
  <sheetData>
    <row r="1" spans="1:33">
      <c r="A1" t="s">
        <v>9</v>
      </c>
      <c r="B1">
        <v>0</v>
      </c>
      <c r="C1">
        <f t="shared" ref="C1:K1" si="0">B1+1</f>
        <v>1</v>
      </c>
      <c r="D1">
        <f t="shared" si="0"/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</row>
    <row r="2" spans="1:33">
      <c r="A2">
        <f>data0!A2</f>
        <v>0</v>
      </c>
      <c r="B2">
        <v>1003.4000244140625</v>
      </c>
      <c r="C2">
        <v>1003.4000244140625</v>
      </c>
      <c r="D2">
        <v>1007.4000244140625</v>
      </c>
      <c r="E2">
        <v>1005.4000244140625</v>
      </c>
      <c r="F2">
        <v>1008.4000244140625</v>
      </c>
      <c r="G2">
        <v>1004.4000244140625</v>
      </c>
      <c r="H2">
        <v>1007.4000244140625</v>
      </c>
      <c r="I2">
        <v>1007.4000244140625</v>
      </c>
      <c r="J2">
        <v>1008.4000244140625</v>
      </c>
      <c r="K2">
        <v>1004.4000244140625</v>
      </c>
      <c r="AG2">
        <v>0</v>
      </c>
    </row>
    <row r="3" spans="1:33">
      <c r="A3">
        <f>data0!A3</f>
        <v>1</v>
      </c>
      <c r="B3" s="9">
        <v>818.4000244140625</v>
      </c>
      <c r="C3">
        <v>818.4000244140625</v>
      </c>
      <c r="D3">
        <v>817.4000244140625</v>
      </c>
      <c r="E3">
        <v>820.4000244140625</v>
      </c>
      <c r="F3">
        <v>823.4000244140625</v>
      </c>
      <c r="G3">
        <v>816.4000244140625</v>
      </c>
      <c r="H3">
        <v>820.4000244140625</v>
      </c>
      <c r="I3">
        <v>818.4000244140625</v>
      </c>
      <c r="J3">
        <v>822.4000244140625</v>
      </c>
      <c r="K3">
        <v>817.4000244140625</v>
      </c>
      <c r="AG3">
        <v>0</v>
      </c>
    </row>
    <row r="4" spans="1:33">
      <c r="A4">
        <f>data0!A4</f>
        <v>2</v>
      </c>
      <c r="B4" s="9">
        <v>670.4000244140625</v>
      </c>
      <c r="C4">
        <v>673.4000244140625</v>
      </c>
      <c r="D4">
        <v>669.4000244140625</v>
      </c>
      <c r="E4">
        <v>673.4000244140625</v>
      </c>
      <c r="F4">
        <v>672.4000244140625</v>
      </c>
      <c r="G4">
        <v>671.4000244140625</v>
      </c>
      <c r="H4">
        <v>671.4000244140625</v>
      </c>
      <c r="I4">
        <v>670.4000244140625</v>
      </c>
      <c r="J4">
        <v>670.4000244140625</v>
      </c>
      <c r="K4">
        <v>670.4000244140625</v>
      </c>
      <c r="AG4">
        <v>0</v>
      </c>
    </row>
    <row r="5" spans="1:33">
      <c r="A5">
        <f>data0!A5</f>
        <v>3</v>
      </c>
      <c r="B5" s="9">
        <v>556.4000244140625</v>
      </c>
      <c r="C5">
        <v>556.4000244140625</v>
      </c>
      <c r="D5">
        <v>556.4000244140625</v>
      </c>
      <c r="E5">
        <v>557.4000244140625</v>
      </c>
      <c r="F5">
        <v>559.4000244140625</v>
      </c>
      <c r="G5">
        <v>557.4000244140625</v>
      </c>
      <c r="H5">
        <v>558.4000244140625</v>
      </c>
      <c r="I5">
        <v>558.4000244140625</v>
      </c>
      <c r="J5">
        <v>557.4000244140625</v>
      </c>
      <c r="K5">
        <v>557.4000244140625</v>
      </c>
      <c r="AG5">
        <v>0</v>
      </c>
    </row>
    <row r="6" spans="1:33">
      <c r="A6">
        <f>data0!A6</f>
        <v>4</v>
      </c>
      <c r="B6" s="9">
        <v>415.39999389648437</v>
      </c>
      <c r="C6">
        <v>415.39999389648437</v>
      </c>
      <c r="D6">
        <v>414.39999389648437</v>
      </c>
      <c r="E6">
        <v>416.39999389648437</v>
      </c>
      <c r="F6">
        <v>416.39999389648437</v>
      </c>
      <c r="G6">
        <v>414.39999389648437</v>
      </c>
      <c r="H6">
        <v>416.39999389648437</v>
      </c>
      <c r="I6">
        <v>413.39999389648437</v>
      </c>
      <c r="J6">
        <v>415.39999389648437</v>
      </c>
      <c r="K6">
        <v>415.39999389648437</v>
      </c>
      <c r="AG6">
        <v>0</v>
      </c>
    </row>
    <row r="7" spans="1:33">
      <c r="A7">
        <f>data0!A7</f>
        <v>5</v>
      </c>
      <c r="B7" s="9">
        <v>308.39999389648437</v>
      </c>
      <c r="C7">
        <v>308.39999389648437</v>
      </c>
      <c r="D7">
        <v>310.39999389648437</v>
      </c>
      <c r="E7">
        <v>310.39999389648437</v>
      </c>
      <c r="F7">
        <v>309.39999389648437</v>
      </c>
      <c r="G7">
        <v>308.39999389648437</v>
      </c>
      <c r="H7">
        <v>309.39999389648437</v>
      </c>
      <c r="I7">
        <v>309.39999389648437</v>
      </c>
      <c r="J7">
        <v>308.39999389648437</v>
      </c>
      <c r="K7">
        <v>309.39999389648437</v>
      </c>
      <c r="AG7">
        <v>0</v>
      </c>
    </row>
    <row r="8" spans="1:33">
      <c r="A8">
        <f>data0!A8</f>
        <v>6</v>
      </c>
      <c r="B8" s="9">
        <v>214.52999877929687</v>
      </c>
      <c r="C8">
        <v>215.1300048828125</v>
      </c>
      <c r="D8">
        <v>215.33000183105469</v>
      </c>
      <c r="E8">
        <v>214.83000183105469</v>
      </c>
      <c r="F8">
        <v>214.6300048828125</v>
      </c>
      <c r="G8">
        <v>214.52999877929687</v>
      </c>
      <c r="H8">
        <v>214.52999877929687</v>
      </c>
      <c r="I8">
        <v>215.6300048828125</v>
      </c>
      <c r="J8">
        <v>214.72999572753906</v>
      </c>
      <c r="K8">
        <v>214.92999267578125</v>
      </c>
      <c r="AG8">
        <v>0</v>
      </c>
    </row>
    <row r="9" spans="1:33">
      <c r="A9">
        <f>data0!A9</f>
        <v>7</v>
      </c>
      <c r="B9" s="9">
        <v>80.830001831054688</v>
      </c>
      <c r="C9">
        <v>81.029998779296875</v>
      </c>
      <c r="D9">
        <v>80.930000305175781</v>
      </c>
      <c r="E9">
        <v>80.830001831054688</v>
      </c>
      <c r="F9">
        <v>80.930000305175781</v>
      </c>
      <c r="G9">
        <v>81.029998779296875</v>
      </c>
      <c r="H9">
        <v>80.830001831054688</v>
      </c>
      <c r="I9">
        <v>80.830001831054688</v>
      </c>
      <c r="J9">
        <v>80.830001831054688</v>
      </c>
      <c r="K9">
        <v>81.029998779296875</v>
      </c>
      <c r="AG9">
        <v>0</v>
      </c>
    </row>
    <row r="10" spans="1:33">
      <c r="A10">
        <f>data0!A10</f>
        <v>8</v>
      </c>
      <c r="B10" s="9">
        <v>2.9319999217987061</v>
      </c>
      <c r="C10">
        <v>2.9219999313354492</v>
      </c>
      <c r="D10">
        <v>2.9219999313354492</v>
      </c>
      <c r="E10">
        <v>2.9219999313354492</v>
      </c>
      <c r="F10">
        <v>2.9219999313354492</v>
      </c>
      <c r="G10">
        <v>2.9219999313354492</v>
      </c>
      <c r="H10">
        <v>2.9319999217987061</v>
      </c>
      <c r="I10">
        <v>2.9319999217987061</v>
      </c>
      <c r="J10">
        <v>2.9219999313354492</v>
      </c>
      <c r="K10">
        <v>2.9319999217987061</v>
      </c>
      <c r="AG10">
        <v>0</v>
      </c>
    </row>
    <row r="14" spans="1:33">
      <c r="B14" s="9" t="s">
        <v>26</v>
      </c>
      <c r="D14" s="5" t="s">
        <v>12</v>
      </c>
      <c r="F14" s="5" t="s">
        <v>13</v>
      </c>
      <c r="H14" s="9" t="s">
        <v>41</v>
      </c>
    </row>
    <row r="15" spans="1:33">
      <c r="B15">
        <v>1</v>
      </c>
      <c r="D15" t="s">
        <v>8</v>
      </c>
      <c r="F15" t="s">
        <v>8</v>
      </c>
    </row>
    <row r="16" spans="1:33">
      <c r="A16">
        <f>A2</f>
        <v>0</v>
      </c>
      <c r="B16" s="4">
        <f>(1-B$15)*D16+B$15*F16</f>
        <v>1006.0000244140625</v>
      </c>
      <c r="D16" s="4">
        <f>AVERAGE(data0!B2:AG2)</f>
        <v>1434.3570979191707</v>
      </c>
      <c r="F16" s="4">
        <f t="shared" ref="F16:F24" si="1">AVERAGE(B2:K2)</f>
        <v>1006.0000244140625</v>
      </c>
      <c r="H16" s="1">
        <f>LOG(F$16/F16)</f>
        <v>0</v>
      </c>
    </row>
    <row r="17" spans="1:8">
      <c r="A17" s="9">
        <f t="shared" ref="A17:A24" si="2">A3</f>
        <v>1</v>
      </c>
      <c r="B17" s="4">
        <f t="shared" ref="B17:B24" si="3">(1-B$15)*D17+B$15*F17</f>
        <v>819.30002441406248</v>
      </c>
      <c r="D17" s="4">
        <f>AVERAGE(data0!B3:AG3)</f>
        <v>1172.6683701735276</v>
      </c>
      <c r="F17" s="4">
        <f t="shared" si="1"/>
        <v>819.30002441406248</v>
      </c>
      <c r="H17" s="1">
        <f t="shared" ref="H17:H24" si="4">LOG(F$16/F17)</f>
        <v>8.9155023458763222E-2</v>
      </c>
    </row>
    <row r="18" spans="1:8">
      <c r="A18" s="9">
        <f t="shared" si="2"/>
        <v>2</v>
      </c>
      <c r="B18" s="4">
        <f t="shared" si="3"/>
        <v>671.30002441406248</v>
      </c>
      <c r="D18" s="4">
        <f>AVERAGE(data0!B4:AG4)</f>
        <v>964.32797945462744</v>
      </c>
      <c r="F18" s="4">
        <f t="shared" si="1"/>
        <v>671.30002441406248</v>
      </c>
      <c r="H18" s="1">
        <f t="shared" si="4"/>
        <v>0.17568132828007632</v>
      </c>
    </row>
    <row r="19" spans="1:8">
      <c r="A19" s="9">
        <f t="shared" si="2"/>
        <v>3</v>
      </c>
      <c r="B19" s="4">
        <f t="shared" si="3"/>
        <v>557.50002441406252</v>
      </c>
      <c r="D19" s="4">
        <f>AVERAGE(data0!B5:AG5)</f>
        <v>793.97013502854566</v>
      </c>
      <c r="F19" s="4">
        <f t="shared" si="1"/>
        <v>557.50002441406252</v>
      </c>
      <c r="H19" s="1">
        <f t="shared" si="4"/>
        <v>0.2563531005207238</v>
      </c>
    </row>
    <row r="20" spans="1:8">
      <c r="A20" s="9">
        <f t="shared" si="2"/>
        <v>4</v>
      </c>
      <c r="B20" s="4">
        <f t="shared" si="3"/>
        <v>415.29999389648435</v>
      </c>
      <c r="D20" s="4">
        <f>AVERAGE(data0!B6:AG6)</f>
        <v>600.00000234750598</v>
      </c>
      <c r="F20" s="4">
        <f t="shared" si="1"/>
        <v>415.29999389648435</v>
      </c>
      <c r="H20" s="1">
        <f t="shared" si="4"/>
        <v>0.38423606653235587</v>
      </c>
    </row>
    <row r="21" spans="1:8">
      <c r="A21" s="9">
        <f t="shared" si="2"/>
        <v>5</v>
      </c>
      <c r="B21" s="4">
        <f t="shared" si="3"/>
        <v>309.19999389648439</v>
      </c>
      <c r="D21" s="4">
        <f>AVERAGE(data0!B7:AG7)</f>
        <v>449.29088181715747</v>
      </c>
      <c r="F21" s="4">
        <f t="shared" si="1"/>
        <v>309.19999389648439</v>
      </c>
      <c r="H21" s="1">
        <f t="shared" si="4"/>
        <v>0.51235851458611925</v>
      </c>
    </row>
    <row r="22" spans="1:8">
      <c r="A22" s="9">
        <f t="shared" si="2"/>
        <v>6</v>
      </c>
      <c r="B22" s="4">
        <f t="shared" si="3"/>
        <v>214.88000030517577</v>
      </c>
      <c r="D22" s="4">
        <f>AVERAGE(data0!B8:AG8)</f>
        <v>326.30788010817309</v>
      </c>
      <c r="F22" s="4">
        <f t="shared" si="1"/>
        <v>214.88000030517577</v>
      </c>
      <c r="H22" s="1">
        <f t="shared" si="4"/>
        <v>0.67040199531813149</v>
      </c>
    </row>
    <row r="23" spans="1:8">
      <c r="A23" s="9">
        <f t="shared" si="2"/>
        <v>7</v>
      </c>
      <c r="B23" s="4">
        <f t="shared" si="3"/>
        <v>80.91000061035156</v>
      </c>
      <c r="D23" s="4">
        <f>AVERAGE(data0!B9:AG9)</f>
        <v>125.68798710749699</v>
      </c>
      <c r="F23" s="4">
        <f t="shared" si="1"/>
        <v>80.91000061035156</v>
      </c>
      <c r="H23" s="1">
        <f t="shared" si="4"/>
        <v>1.0945957868108718</v>
      </c>
    </row>
    <row r="24" spans="1:8">
      <c r="A24" s="9">
        <f t="shared" si="2"/>
        <v>8</v>
      </c>
      <c r="B24" s="4">
        <f t="shared" si="3"/>
        <v>2.9259999275207518</v>
      </c>
      <c r="D24" s="4">
        <f>AVERAGE(data0!B10:AG10)</f>
        <v>5.3160516115335321</v>
      </c>
      <c r="F24" s="4">
        <f t="shared" si="1"/>
        <v>2.9259999275207518</v>
      </c>
      <c r="H24" s="1">
        <f t="shared" si="4"/>
        <v>2.5363236802280764</v>
      </c>
    </row>
  </sheetData>
  <pageMargins left="0.7" right="0.7" top="0.75" bottom="0.75" header="0.3" footer="0.3"/>
  <pageSetup orientation="portrait" r:id="rId1"/>
  <ignoredErrors>
    <ignoredError sqref="D16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Summary</vt:lpstr>
      <vt:lpstr>Calculations</vt:lpstr>
      <vt:lpstr>data0</vt:lpstr>
      <vt:lpstr>data1</vt:lpstr>
      <vt:lpstr>data2</vt:lpstr>
      <vt:lpstr>data3</vt:lpstr>
      <vt:lpstr>data4</vt:lpstr>
      <vt:lpstr>count</vt:lpstr>
      <vt:lpstr>v_0</vt:lpstr>
      <vt:lpstr>v_1</vt:lpstr>
      <vt:lpstr>v_2</vt:lpstr>
      <vt:lpstr>v_3</vt:lpstr>
      <vt:lpstr>v_4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2012-07-16T20:05:22Z</dcterms:modified>
</cp:coreProperties>
</file>