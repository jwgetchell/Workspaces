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 defaultThemeVersion="124226"/>
  <bookViews>
    <workbookView xWindow="240" yWindow="90" windowWidth="19320" windowHeight="11385"/>
  </bookViews>
  <sheets>
    <sheet name="Sheet1" sheetId="1" r:id="rId1"/>
  </sheets>
  <functionGroups/>
  <definedNames>
    <definedName name="comp">Sheet1!$M$5</definedName>
    <definedName name="compLSB">Sheet1!$T$5</definedName>
    <definedName name="compMSB">Sheet1!$W$5</definedName>
    <definedName name="compTarget">Sheet1!$Q$6</definedName>
    <definedName name="fsr">Sheet1!$B$5</definedName>
  </definedNames>
  <calcPr calcId="125725"/>
</workbook>
</file>

<file path=xl/calcChain.xml><?xml version="1.0" encoding="utf-8"?>
<calcChain xmlns="http://schemas.openxmlformats.org/spreadsheetml/2006/main">
  <c r="Q6" i="1"/>
  <c r="N10"/>
  <c r="N9"/>
  <c r="N8"/>
  <c r="N7"/>
  <c r="T33"/>
  <c r="T32"/>
  <c r="T31"/>
  <c r="S13"/>
  <c r="R13"/>
  <c r="G43"/>
  <c r="F43"/>
  <c r="E43"/>
  <c r="D43"/>
  <c r="C43"/>
  <c r="T30"/>
  <c r="B28" l="1"/>
  <c r="M10"/>
  <c r="E47" s="1"/>
  <c r="M9"/>
  <c r="E46" s="1"/>
  <c r="M8"/>
  <c r="E45" s="1"/>
  <c r="M7"/>
  <c r="E44" s="1"/>
  <c r="M6"/>
  <c r="J10"/>
  <c r="J9"/>
  <c r="J8"/>
  <c r="J7"/>
  <c r="O8"/>
  <c r="P7"/>
  <c r="O7"/>
  <c r="I30" l="1"/>
  <c r="K30"/>
  <c r="I31"/>
  <c r="K31"/>
  <c r="I32"/>
  <c r="K32"/>
  <c r="I33"/>
  <c r="K33"/>
  <c r="F33"/>
  <c r="E33"/>
  <c r="D33"/>
  <c r="F47" s="1"/>
  <c r="C33"/>
  <c r="C47" s="1"/>
  <c r="F32"/>
  <c r="E32"/>
  <c r="D32"/>
  <c r="F46" s="1"/>
  <c r="C32"/>
  <c r="C46" s="1"/>
  <c r="F31"/>
  <c r="E31"/>
  <c r="D31"/>
  <c r="F45" s="1"/>
  <c r="C31"/>
  <c r="C45" s="1"/>
  <c r="F30"/>
  <c r="E30"/>
  <c r="D30"/>
  <c r="F44" s="1"/>
  <c r="C30"/>
  <c r="C44" s="1"/>
  <c r="M12"/>
  <c r="T8"/>
  <c r="T7"/>
  <c r="W6"/>
  <c r="V6"/>
  <c r="U6"/>
  <c r="P6"/>
  <c r="S7" s="1"/>
  <c r="P10"/>
  <c r="P9"/>
  <c r="P8"/>
  <c r="O10"/>
  <c r="T10" s="1"/>
  <c r="O9"/>
  <c r="T9" s="1"/>
  <c r="G32"/>
  <c r="G31"/>
  <c r="G30"/>
  <c r="H30" s="1"/>
  <c r="H32"/>
  <c r="G33"/>
  <c r="S9" l="1"/>
  <c r="S8"/>
  <c r="S10"/>
  <c r="H31"/>
  <c r="H33"/>
  <c r="U10" l="1"/>
  <c r="W10"/>
  <c r="U9"/>
  <c r="V9"/>
  <c r="V10"/>
  <c r="U8"/>
  <c r="Q9" l="1"/>
  <c r="J32" s="1"/>
  <c r="Q10"/>
  <c r="J33" s="1"/>
  <c r="Q7"/>
  <c r="J30" s="1"/>
  <c r="Q8"/>
  <c r="J31" s="1"/>
  <c r="P12"/>
  <c r="I28"/>
  <c r="L32" l="1"/>
  <c r="D46"/>
  <c r="L31"/>
  <c r="D45"/>
  <c r="L33"/>
  <c r="D47"/>
  <c r="L30"/>
  <c r="D44"/>
  <c r="C48" s="1" a="1"/>
  <c r="R6"/>
  <c r="R9" s="1"/>
  <c r="N33"/>
  <c r="M33"/>
  <c r="N32"/>
  <c r="M32"/>
  <c r="N31"/>
  <c r="M31"/>
  <c r="N30"/>
  <c r="M30"/>
  <c r="E48" l="1"/>
  <c r="C49" s="1"/>
  <c r="M46" s="1"/>
  <c r="F48"/>
  <c r="F49" s="1"/>
  <c r="M49" s="1"/>
  <c r="D48"/>
  <c r="D49" s="1"/>
  <c r="M47" s="1"/>
  <c r="C48"/>
  <c r="E49" s="1"/>
  <c r="M48" s="1"/>
  <c r="O31" a="1"/>
  <c r="O30" a="1"/>
  <c r="R7"/>
  <c r="R8"/>
  <c r="R10"/>
  <c r="G44" l="1"/>
  <c r="H44" s="1"/>
  <c r="G45"/>
  <c r="H45" s="1"/>
  <c r="G46"/>
  <c r="H46" s="1"/>
  <c r="G47"/>
  <c r="H47" s="1"/>
  <c r="O30"/>
  <c r="P32" s="1"/>
  <c r="Q37" s="1"/>
  <c r="P30"/>
  <c r="O32" s="1"/>
  <c r="Q36" s="1"/>
  <c r="Q30"/>
  <c r="Q32" s="1"/>
  <c r="Q38" s="1"/>
  <c r="O31"/>
  <c r="Q31"/>
  <c r="P31"/>
  <c r="O33" s="1"/>
  <c r="V36" s="1"/>
  <c r="P14"/>
  <c r="P33"/>
  <c r="V37" s="1"/>
  <c r="Q33"/>
  <c r="V38" s="1"/>
  <c r="S31" l="1"/>
  <c r="R33"/>
  <c r="R32"/>
  <c r="R31"/>
  <c r="R30"/>
  <c r="S33"/>
  <c r="S32"/>
  <c r="S30"/>
  <c r="U30"/>
  <c r="U31"/>
  <c r="U33"/>
  <c r="V30"/>
  <c r="V33"/>
  <c r="U32"/>
  <c r="V31"/>
  <c r="V32"/>
  <c r="W31" l="1"/>
  <c r="W32"/>
  <c r="W33"/>
  <c r="W30"/>
</calcChain>
</file>

<file path=xl/comments1.xml><?xml version="1.0" encoding="utf-8"?>
<comments xmlns="http://schemas.openxmlformats.org/spreadsheetml/2006/main">
  <authors>
    <author>jgetchel</author>
  </authors>
  <commentList>
    <comment ref="T29" authorId="0">
      <text>
        <r>
          <rPr>
            <b/>
            <sz val="11"/>
            <color indexed="81"/>
            <rFont val="Tahoma"/>
            <family val="2"/>
          </rPr>
          <t>Binary search of Plankian locus approximation with CIE1931 2deg CMF</t>
        </r>
      </text>
    </comment>
    <comment ref="W29" authorId="0">
      <text>
        <r>
          <rPr>
            <b/>
            <sz val="11"/>
            <color indexed="81"/>
            <rFont val="Tahoma"/>
            <family val="2"/>
          </rPr>
          <t>Relative to CL-200A value</t>
        </r>
      </text>
    </comment>
  </commentList>
</comments>
</file>

<file path=xl/sharedStrings.xml><?xml version="1.0" encoding="utf-8"?>
<sst xmlns="http://schemas.openxmlformats.org/spreadsheetml/2006/main" count="75" uniqueCount="49">
  <si>
    <t>HZ</t>
  </si>
  <si>
    <t>A</t>
  </si>
  <si>
    <t>CWF</t>
  </si>
  <si>
    <t>D65</t>
  </si>
  <si>
    <t>Lux</t>
  </si>
  <si>
    <t>CCT</t>
  </si>
  <si>
    <t>x</t>
  </si>
  <si>
    <t>y</t>
  </si>
  <si>
    <t>CL-200A</t>
  </si>
  <si>
    <t>R</t>
  </si>
  <si>
    <t>G</t>
  </si>
  <si>
    <t>B</t>
  </si>
  <si>
    <t>Comp=0</t>
  </si>
  <si>
    <t>Comp=</t>
  </si>
  <si>
    <t>IR</t>
  </si>
  <si>
    <t>Lux Range</t>
  </si>
  <si>
    <t>Fullscale @ CompX</t>
  </si>
  <si>
    <t>m</t>
  </si>
  <si>
    <t>b</t>
  </si>
  <si>
    <t>Comp Resolution=</t>
  </si>
  <si>
    <t>Comp MSB=</t>
  </si>
  <si>
    <t>GUI set=</t>
  </si>
  <si>
    <t>Rerun with Compensation Setting - calculate xy transform correction</t>
  </si>
  <si>
    <t>xy</t>
  </si>
  <si>
    <t>Linear Regression</t>
  </si>
  <si>
    <t>Reshuffle</t>
  </si>
  <si>
    <t>xy'</t>
  </si>
  <si>
    <t>x'</t>
  </si>
  <si>
    <t>y'</t>
  </si>
  <si>
    <t>u</t>
  </si>
  <si>
    <t>v</t>
  </si>
  <si>
    <t>duv</t>
  </si>
  <si>
    <t>uv</t>
  </si>
  <si>
    <t>LS2LS &amp; CCT/IR: Lux compensation transform</t>
  </si>
  <si>
    <t>Gain</t>
  </si>
  <si>
    <t>Find Compensation Setting (Green/Lux/Reference Channel Balance)</t>
  </si>
  <si>
    <t>Ignoring "strange" D65 Values</t>
  </si>
  <si>
    <t>Error</t>
  </si>
  <si>
    <t>&lt;&lt; Linest</t>
  </si>
  <si>
    <t>&lt;&lt; Rescramble</t>
  </si>
  <si>
    <r>
      <t>Lux</t>
    </r>
    <r>
      <rPr>
        <b/>
        <vertAlign val="subscript"/>
        <sz val="16"/>
        <color theme="1"/>
        <rFont val="Calibri"/>
        <family val="2"/>
        <scheme val="minor"/>
      </rPr>
      <t>OUT</t>
    </r>
    <r>
      <rPr>
        <b/>
        <sz val="16"/>
        <color theme="1"/>
        <rFont val="Calibri"/>
        <family val="2"/>
        <scheme val="minor"/>
      </rPr>
      <t xml:space="preserve"> = C</t>
    </r>
    <r>
      <rPr>
        <b/>
        <vertAlign val="subscript"/>
        <sz val="16"/>
        <color theme="1"/>
        <rFont val="Calibri"/>
        <family val="2"/>
        <scheme val="minor"/>
      </rPr>
      <t>0</t>
    </r>
    <r>
      <rPr>
        <b/>
        <sz val="16"/>
        <color theme="1"/>
        <rFont val="Calibri"/>
        <family val="2"/>
        <scheme val="minor"/>
      </rPr>
      <t>Green + C</t>
    </r>
    <r>
      <rPr>
        <b/>
        <vertAlign val="subscript"/>
        <sz val="16"/>
        <color theme="1"/>
        <rFont val="Calibri"/>
        <family val="2"/>
        <scheme val="minor"/>
      </rPr>
      <t>1</t>
    </r>
    <r>
      <rPr>
        <b/>
        <sz val="16"/>
        <color theme="1"/>
        <rFont val="Symbol"/>
        <family val="1"/>
        <charset val="2"/>
      </rPr>
      <t>D</t>
    </r>
    <r>
      <rPr>
        <b/>
        <sz val="16"/>
        <color theme="1"/>
        <rFont val="Calibri"/>
        <family val="2"/>
        <scheme val="minor"/>
      </rPr>
      <t>IR + C</t>
    </r>
    <r>
      <rPr>
        <b/>
        <vertAlign val="subscript"/>
        <sz val="16"/>
        <color theme="1"/>
        <rFont val="Calibri"/>
        <family val="2"/>
        <scheme val="minor"/>
      </rPr>
      <t>2</t>
    </r>
    <r>
      <rPr>
        <b/>
        <sz val="16"/>
        <color theme="1"/>
        <rFont val="Calibri"/>
        <family val="2"/>
        <scheme val="minor"/>
      </rPr>
      <t>CCT + C</t>
    </r>
    <r>
      <rPr>
        <b/>
        <vertAlign val="subscript"/>
        <sz val="16"/>
        <color theme="1"/>
        <rFont val="Calibri"/>
        <family val="2"/>
        <scheme val="minor"/>
      </rPr>
      <t>3</t>
    </r>
  </si>
  <si>
    <r>
      <t>C</t>
    </r>
    <r>
      <rPr>
        <b/>
        <vertAlign val="subscript"/>
        <sz val="14"/>
        <color theme="1"/>
        <rFont val="Calibri"/>
        <family val="2"/>
        <scheme val="minor"/>
      </rPr>
      <t>0</t>
    </r>
  </si>
  <si>
    <r>
      <t>C</t>
    </r>
    <r>
      <rPr>
        <b/>
        <vertAlign val="subscript"/>
        <sz val="14"/>
        <color theme="1"/>
        <rFont val="Calibri"/>
        <family val="2"/>
        <scheme val="minor"/>
      </rPr>
      <t>1</t>
    </r>
  </si>
  <si>
    <r>
      <t>C</t>
    </r>
    <r>
      <rPr>
        <b/>
        <vertAlign val="subscript"/>
        <sz val="14"/>
        <color theme="1"/>
        <rFont val="Calibri"/>
        <family val="2"/>
        <scheme val="minor"/>
      </rPr>
      <t>2</t>
    </r>
  </si>
  <si>
    <r>
      <t>C</t>
    </r>
    <r>
      <rPr>
        <b/>
        <vertAlign val="subscript"/>
        <sz val="14"/>
        <color theme="1"/>
        <rFont val="Calibri"/>
        <family val="2"/>
        <scheme val="minor"/>
      </rPr>
      <t>3</t>
    </r>
  </si>
  <si>
    <r>
      <t>x' = C</t>
    </r>
    <r>
      <rPr>
        <b/>
        <vertAlign val="subscript"/>
        <sz val="16"/>
        <color theme="1"/>
        <rFont val="Calibri"/>
        <family val="2"/>
        <scheme val="minor"/>
      </rPr>
      <t>0</t>
    </r>
    <r>
      <rPr>
        <b/>
        <sz val="16"/>
        <color theme="1"/>
        <rFont val="Calibri"/>
        <family val="2"/>
        <scheme val="minor"/>
      </rPr>
      <t>x + C</t>
    </r>
    <r>
      <rPr>
        <b/>
        <vertAlign val="subscript"/>
        <sz val="16"/>
        <color theme="1"/>
        <rFont val="Calibri"/>
        <family val="2"/>
        <scheme val="minor"/>
      </rPr>
      <t>1</t>
    </r>
    <r>
      <rPr>
        <b/>
        <sz val="16"/>
        <color theme="1"/>
        <rFont val="Calibri"/>
        <family val="2"/>
        <scheme val="minor"/>
      </rPr>
      <t>y + C</t>
    </r>
    <r>
      <rPr>
        <b/>
        <vertAlign val="subscript"/>
        <sz val="16"/>
        <color theme="1"/>
        <rFont val="Calibri"/>
        <family val="2"/>
        <scheme val="minor"/>
      </rPr>
      <t>2</t>
    </r>
  </si>
  <si>
    <r>
      <t>y' = C</t>
    </r>
    <r>
      <rPr>
        <b/>
        <vertAlign val="subscript"/>
        <sz val="16"/>
        <color theme="1"/>
        <rFont val="Calibri"/>
        <family val="2"/>
        <scheme val="minor"/>
      </rPr>
      <t>0</t>
    </r>
    <r>
      <rPr>
        <b/>
        <sz val="16"/>
        <color theme="1"/>
        <rFont val="Calibri"/>
        <family val="2"/>
        <scheme val="minor"/>
      </rPr>
      <t>x + C</t>
    </r>
    <r>
      <rPr>
        <b/>
        <vertAlign val="subscript"/>
        <sz val="16"/>
        <color theme="1"/>
        <rFont val="Calibri"/>
        <family val="2"/>
        <scheme val="minor"/>
      </rPr>
      <t>1</t>
    </r>
    <r>
      <rPr>
        <b/>
        <sz val="16"/>
        <color theme="1"/>
        <rFont val="Calibri"/>
        <family val="2"/>
        <scheme val="minor"/>
      </rPr>
      <t>y + C</t>
    </r>
    <r>
      <rPr>
        <b/>
        <vertAlign val="subscript"/>
        <sz val="16"/>
        <color theme="1"/>
        <rFont val="Calibri"/>
        <family val="2"/>
        <scheme val="minor"/>
      </rPr>
      <t>2</t>
    </r>
  </si>
  <si>
    <t>x = R / ( R + G + B )</t>
  </si>
  <si>
    <t>y = G / ( R + G + B )</t>
  </si>
</sst>
</file>

<file path=xl/styles.xml><?xml version="1.0" encoding="utf-8"?>
<styleSheet xmlns="http://schemas.openxmlformats.org/spreadsheetml/2006/main">
  <numFmts count="3">
    <numFmt numFmtId="164" formatCode="0.0"/>
    <numFmt numFmtId="165" formatCode="0.0%"/>
    <numFmt numFmtId="166" formatCode="0.000"/>
  </numFmts>
  <fonts count="10">
    <font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vertAlign val="subscript"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vertAlign val="subscript"/>
      <sz val="16"/>
      <color theme="1"/>
      <name val="Calibri"/>
      <family val="2"/>
      <scheme val="minor"/>
    </font>
    <font>
      <b/>
      <sz val="16"/>
      <color theme="1"/>
      <name val="Symbol"/>
      <family val="1"/>
      <charset val="2"/>
    </font>
    <font>
      <b/>
      <sz val="18"/>
      <color theme="1"/>
      <name val="Calibri"/>
      <family val="2"/>
      <scheme val="minor"/>
    </font>
    <font>
      <b/>
      <sz val="11"/>
      <color indexed="81"/>
      <name val="Tahoma"/>
      <family val="2"/>
    </font>
  </fonts>
  <fills count="12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14999847407452621"/>
        <bgColor indexed="64"/>
      </patternFill>
    </fill>
  </fills>
  <borders count="5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33">
    <xf numFmtId="0" fontId="0" fillId="0" borderId="0" xfId="0"/>
    <xf numFmtId="0" fontId="0" fillId="0" borderId="0" xfId="0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3" borderId="14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0" fontId="0" fillId="6" borderId="12" xfId="0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1" fontId="0" fillId="7" borderId="6" xfId="0" applyNumberFormat="1" applyFill="1" applyBorder="1" applyAlignment="1">
      <alignment horizontal="center" vertical="center"/>
    </xf>
    <xf numFmtId="1" fontId="0" fillId="7" borderId="8" xfId="0" applyNumberFormat="1" applyFill="1" applyBorder="1" applyAlignment="1">
      <alignment horizontal="center" vertical="center"/>
    </xf>
    <xf numFmtId="0" fontId="0" fillId="9" borderId="3" xfId="0" applyFill="1" applyBorder="1" applyAlignment="1">
      <alignment horizontal="center" vertical="center"/>
    </xf>
    <xf numFmtId="0" fontId="0" fillId="9" borderId="6" xfId="0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0" fillId="9" borderId="6" xfId="0" applyFill="1" applyBorder="1" applyAlignment="1">
      <alignment horizontal="center" vertical="center"/>
    </xf>
    <xf numFmtId="0" fontId="0" fillId="9" borderId="8" xfId="0" applyFill="1" applyBorder="1" applyAlignment="1">
      <alignment horizontal="center" vertical="center"/>
    </xf>
    <xf numFmtId="0" fontId="0" fillId="9" borderId="9" xfId="0" applyFill="1" applyBorder="1" applyAlignment="1">
      <alignment horizontal="center" vertical="center"/>
    </xf>
    <xf numFmtId="0" fontId="0" fillId="9" borderId="8" xfId="0" applyFill="1" applyBorder="1" applyAlignment="1">
      <alignment horizontal="center" vertical="center"/>
    </xf>
    <xf numFmtId="0" fontId="0" fillId="9" borderId="1" xfId="0" applyFont="1" applyFill="1" applyBorder="1" applyAlignment="1">
      <alignment horizontal="center" vertical="center"/>
    </xf>
    <xf numFmtId="0" fontId="0" fillId="9" borderId="9" xfId="0" applyFont="1" applyFill="1" applyBorder="1" applyAlignment="1">
      <alignment horizontal="center" vertical="center"/>
    </xf>
    <xf numFmtId="0" fontId="0" fillId="0" borderId="23" xfId="0" applyBorder="1" applyAlignment="1">
      <alignment horizontal="center" vertical="center" wrapText="1"/>
    </xf>
    <xf numFmtId="0" fontId="0" fillId="0" borderId="25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8" borderId="6" xfId="0" applyFill="1" applyBorder="1" applyAlignment="1">
      <alignment horizontal="center" vertical="center"/>
    </xf>
    <xf numFmtId="0" fontId="0" fillId="8" borderId="7" xfId="0" applyFill="1" applyBorder="1" applyAlignment="1">
      <alignment horizontal="center" vertical="center"/>
    </xf>
    <xf numFmtId="0" fontId="0" fillId="8" borderId="10" xfId="0" applyFill="1" applyBorder="1" applyAlignment="1">
      <alignment horizontal="center" vertical="center"/>
    </xf>
    <xf numFmtId="0" fontId="0" fillId="8" borderId="32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7" borderId="6" xfId="0" applyFill="1" applyBorder="1" applyAlignment="1">
      <alignment horizontal="center" vertical="center"/>
    </xf>
    <xf numFmtId="0" fontId="0" fillId="7" borderId="8" xfId="0" applyFill="1" applyBorder="1" applyAlignment="1">
      <alignment horizontal="center" vertical="center"/>
    </xf>
    <xf numFmtId="0" fontId="0" fillId="7" borderId="9" xfId="0" applyFill="1" applyBorder="1" applyAlignment="1">
      <alignment horizontal="center" vertical="center"/>
    </xf>
    <xf numFmtId="0" fontId="0" fillId="7" borderId="32" xfId="0" applyFill="1" applyBorder="1" applyAlignment="1">
      <alignment horizontal="center" vertical="center"/>
    </xf>
    <xf numFmtId="0" fontId="0" fillId="7" borderId="33" xfId="0" applyFill="1" applyBorder="1" applyAlignment="1">
      <alignment horizontal="center" vertical="center"/>
    </xf>
    <xf numFmtId="166" fontId="0" fillId="7" borderId="7" xfId="0" applyNumberFormat="1" applyFill="1" applyBorder="1" applyAlignment="1">
      <alignment horizontal="center" vertical="center"/>
    </xf>
    <xf numFmtId="166" fontId="0" fillId="7" borderId="10" xfId="0" applyNumberFormat="1" applyFill="1" applyBorder="1" applyAlignment="1">
      <alignment horizontal="center" vertical="center"/>
    </xf>
    <xf numFmtId="0" fontId="0" fillId="7" borderId="30" xfId="0" applyFill="1" applyBorder="1" applyAlignment="1">
      <alignment horizontal="center" vertical="center"/>
    </xf>
    <xf numFmtId="0" fontId="0" fillId="7" borderId="34" xfId="0" applyFill="1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165" fontId="0" fillId="7" borderId="7" xfId="0" applyNumberFormat="1" applyFill="1" applyBorder="1" applyAlignment="1">
      <alignment horizontal="center" vertical="center"/>
    </xf>
    <xf numFmtId="165" fontId="0" fillId="7" borderId="10" xfId="0" applyNumberFormat="1" applyFill="1" applyBorder="1" applyAlignment="1">
      <alignment horizontal="center" vertical="center"/>
    </xf>
    <xf numFmtId="165" fontId="0" fillId="7" borderId="39" xfId="0" applyNumberFormat="1" applyFill="1" applyBorder="1" applyAlignment="1">
      <alignment horizontal="center" vertical="center"/>
    </xf>
    <xf numFmtId="165" fontId="0" fillId="7" borderId="32" xfId="0" applyNumberFormat="1" applyFill="1" applyBorder="1" applyAlignment="1">
      <alignment horizontal="center" vertical="center"/>
    </xf>
    <xf numFmtId="165" fontId="0" fillId="7" borderId="33" xfId="0" applyNumberFormat="1" applyFill="1" applyBorder="1" applyAlignment="1">
      <alignment horizontal="center" vertical="center"/>
    </xf>
    <xf numFmtId="165" fontId="0" fillId="7" borderId="31" xfId="0" applyNumberFormat="1" applyFill="1" applyBorder="1" applyAlignment="1">
      <alignment horizontal="center" vertical="center"/>
    </xf>
    <xf numFmtId="0" fontId="0" fillId="8" borderId="30" xfId="0" applyFill="1" applyBorder="1" applyAlignment="1">
      <alignment horizontal="center" vertical="center"/>
    </xf>
    <xf numFmtId="0" fontId="0" fillId="8" borderId="34" xfId="0" applyFill="1" applyBorder="1" applyAlignment="1">
      <alignment horizontal="center" vertical="center"/>
    </xf>
    <xf numFmtId="165" fontId="0" fillId="7" borderId="1" xfId="0" applyNumberFormat="1" applyFill="1" applyBorder="1" applyAlignment="1">
      <alignment horizontal="center" vertical="center"/>
    </xf>
    <xf numFmtId="0" fontId="0" fillId="9" borderId="13" xfId="0" applyFill="1" applyBorder="1" applyAlignment="1">
      <alignment horizontal="left" vertical="center"/>
    </xf>
    <xf numFmtId="1" fontId="0" fillId="7" borderId="30" xfId="0" applyNumberFormat="1" applyFill="1" applyBorder="1" applyAlignment="1">
      <alignment horizontal="center" vertical="center"/>
    </xf>
    <xf numFmtId="1" fontId="0" fillId="7" borderId="34" xfId="0" applyNumberFormat="1" applyFill="1" applyBorder="1" applyAlignment="1">
      <alignment horizontal="center" vertical="center"/>
    </xf>
    <xf numFmtId="1" fontId="0" fillId="7" borderId="41" xfId="0" applyNumberFormat="1" applyFill="1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8" borderId="26" xfId="0" applyFill="1" applyBorder="1" applyAlignment="1">
      <alignment horizontal="center" vertical="center"/>
    </xf>
    <xf numFmtId="0" fontId="0" fillId="8" borderId="27" xfId="0" applyFill="1" applyBorder="1" applyAlignment="1">
      <alignment horizontal="center" vertical="center"/>
    </xf>
    <xf numFmtId="0" fontId="1" fillId="8" borderId="21" xfId="0" applyFont="1" applyFill="1" applyBorder="1" applyAlignment="1">
      <alignment horizontal="left" vertical="center"/>
    </xf>
    <xf numFmtId="10" fontId="0" fillId="0" borderId="24" xfId="0" applyNumberFormat="1" applyBorder="1" applyAlignment="1">
      <alignment horizontal="left" vertical="center"/>
    </xf>
    <xf numFmtId="1" fontId="0" fillId="7" borderId="25" xfId="0" applyNumberFormat="1" applyFill="1" applyBorder="1" applyAlignment="1">
      <alignment horizontal="center" vertical="center"/>
    </xf>
    <xf numFmtId="1" fontId="0" fillId="7" borderId="26" xfId="0" applyNumberFormat="1" applyFill="1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5" borderId="26" xfId="0" applyFill="1" applyBorder="1" applyAlignment="1">
      <alignment horizontal="center" vertical="center"/>
    </xf>
    <xf numFmtId="0" fontId="0" fillId="4" borderId="27" xfId="0" applyFill="1" applyBorder="1" applyAlignment="1">
      <alignment horizontal="center" vertical="center"/>
    </xf>
    <xf numFmtId="0" fontId="0" fillId="9" borderId="4" xfId="0" applyFont="1" applyFill="1" applyBorder="1" applyAlignment="1">
      <alignment horizontal="center" vertical="center"/>
    </xf>
    <xf numFmtId="0" fontId="0" fillId="9" borderId="38" xfId="0" applyFont="1" applyFill="1" applyBorder="1" applyAlignment="1">
      <alignment horizontal="center" vertical="center"/>
    </xf>
    <xf numFmtId="0" fontId="0" fillId="3" borderId="14" xfId="0" applyFont="1" applyFill="1" applyBorder="1" applyAlignment="1">
      <alignment horizontal="center" vertical="center"/>
    </xf>
    <xf numFmtId="0" fontId="0" fillId="7" borderId="4" xfId="0" applyFont="1" applyFill="1" applyBorder="1" applyAlignment="1">
      <alignment horizontal="center" vertical="center"/>
    </xf>
    <xf numFmtId="0" fontId="0" fillId="7" borderId="31" xfId="0" applyFont="1" applyFill="1" applyBorder="1" applyAlignment="1">
      <alignment horizontal="center" vertical="center"/>
    </xf>
    <xf numFmtId="0" fontId="0" fillId="9" borderId="37" xfId="0" applyFont="1" applyFill="1" applyBorder="1" applyAlignment="1">
      <alignment horizontal="center" vertical="center"/>
    </xf>
    <xf numFmtId="165" fontId="0" fillId="7" borderId="40" xfId="0" applyNumberFormat="1" applyFont="1" applyFill="1" applyBorder="1" applyAlignment="1">
      <alignment horizontal="center" vertical="center"/>
    </xf>
    <xf numFmtId="0" fontId="0" fillId="8" borderId="28" xfId="0" applyFont="1" applyFill="1" applyBorder="1" applyAlignment="1">
      <alignment horizontal="center" vertical="center"/>
    </xf>
    <xf numFmtId="0" fontId="0" fillId="8" borderId="5" xfId="0" applyFont="1" applyFill="1" applyBorder="1" applyAlignment="1">
      <alignment horizontal="center" vertical="center"/>
    </xf>
    <xf numFmtId="0" fontId="0" fillId="8" borderId="3" xfId="0" applyFont="1" applyFill="1" applyBorder="1" applyAlignment="1">
      <alignment horizontal="center" vertical="center"/>
    </xf>
    <xf numFmtId="0" fontId="0" fillId="8" borderId="4" xfId="0" applyFont="1" applyFill="1" applyBorder="1" applyAlignment="1">
      <alignment horizontal="center" vertical="center"/>
    </xf>
    <xf numFmtId="0" fontId="0" fillId="8" borderId="31" xfId="0" applyFont="1" applyFill="1" applyBorder="1" applyAlignment="1">
      <alignment horizontal="center" vertical="center"/>
    </xf>
    <xf numFmtId="0" fontId="0" fillId="7" borderId="3" xfId="0" applyFont="1" applyFill="1" applyBorder="1" applyAlignment="1">
      <alignment horizontal="center" vertical="center"/>
    </xf>
    <xf numFmtId="0" fontId="0" fillId="7" borderId="5" xfId="0" applyFont="1" applyFill="1" applyBorder="1" applyAlignment="1">
      <alignment horizontal="center" vertical="center"/>
    </xf>
    <xf numFmtId="0" fontId="0" fillId="7" borderId="28" xfId="0" applyFont="1" applyFill="1" applyBorder="1" applyAlignment="1">
      <alignment horizontal="center" vertical="center"/>
    </xf>
    <xf numFmtId="166" fontId="0" fillId="7" borderId="5" xfId="0" applyNumberFormat="1" applyFont="1" applyFill="1" applyBorder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0" fillId="9" borderId="18" xfId="0" applyFill="1" applyBorder="1" applyAlignment="1">
      <alignment horizontal="center" vertical="center" wrapText="1"/>
    </xf>
    <xf numFmtId="0" fontId="0" fillId="9" borderId="5" xfId="0" applyFont="1" applyFill="1" applyBorder="1" applyAlignment="1">
      <alignment horizontal="center" vertical="center"/>
    </xf>
    <xf numFmtId="0" fontId="0" fillId="9" borderId="39" xfId="0" applyFont="1" applyFill="1" applyBorder="1" applyAlignment="1">
      <alignment horizontal="center" vertical="center"/>
    </xf>
    <xf numFmtId="0" fontId="0" fillId="9" borderId="7" xfId="0" applyFont="1" applyFill="1" applyBorder="1" applyAlignment="1">
      <alignment horizontal="center" vertical="center"/>
    </xf>
    <xf numFmtId="0" fontId="0" fillId="9" borderId="6" xfId="0" applyFont="1" applyFill="1" applyBorder="1" applyAlignment="1">
      <alignment horizontal="center" vertical="center"/>
    </xf>
    <xf numFmtId="0" fontId="0" fillId="9" borderId="32" xfId="0" applyFont="1" applyFill="1" applyBorder="1" applyAlignment="1">
      <alignment horizontal="center" vertical="center"/>
    </xf>
    <xf numFmtId="0" fontId="0" fillId="9" borderId="10" xfId="0" applyFont="1" applyFill="1" applyBorder="1" applyAlignment="1">
      <alignment horizontal="center" vertical="center"/>
    </xf>
    <xf numFmtId="0" fontId="0" fillId="9" borderId="8" xfId="0" applyFont="1" applyFill="1" applyBorder="1" applyAlignment="1">
      <alignment horizontal="center" vertical="center"/>
    </xf>
    <xf numFmtId="0" fontId="0" fillId="9" borderId="33" xfId="0" applyFont="1" applyFill="1" applyBorder="1" applyAlignment="1">
      <alignment horizontal="center" vertical="center"/>
    </xf>
    <xf numFmtId="0" fontId="0" fillId="10" borderId="3" xfId="0" applyFont="1" applyFill="1" applyBorder="1" applyAlignment="1">
      <alignment horizontal="center" vertical="center"/>
    </xf>
    <xf numFmtId="0" fontId="0" fillId="10" borderId="4" xfId="0" applyFont="1" applyFill="1" applyBorder="1" applyAlignment="1">
      <alignment horizontal="center" vertical="center"/>
    </xf>
    <xf numFmtId="0" fontId="0" fillId="10" borderId="6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10" borderId="8" xfId="0" applyFill="1" applyBorder="1" applyAlignment="1">
      <alignment horizontal="center" vertical="center"/>
    </xf>
    <xf numFmtId="0" fontId="0" fillId="10" borderId="9" xfId="0" applyFill="1" applyBorder="1" applyAlignment="1">
      <alignment horizontal="center" vertical="center"/>
    </xf>
    <xf numFmtId="1" fontId="0" fillId="7" borderId="39" xfId="0" applyNumberFormat="1" applyFill="1" applyBorder="1" applyAlignment="1">
      <alignment horizontal="center" vertical="center"/>
    </xf>
    <xf numFmtId="1" fontId="0" fillId="7" borderId="32" xfId="0" applyNumberFormat="1" applyFill="1" applyBorder="1" applyAlignment="1">
      <alignment horizontal="center" vertical="center"/>
    </xf>
    <xf numFmtId="1" fontId="0" fillId="7" borderId="33" xfId="0" applyNumberFormat="1" applyFill="1" applyBorder="1" applyAlignment="1">
      <alignment horizontal="center" vertical="center"/>
    </xf>
    <xf numFmtId="164" fontId="0" fillId="7" borderId="1" xfId="0" applyNumberForma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64" fontId="0" fillId="7" borderId="7" xfId="0" applyNumberFormat="1" applyFill="1" applyBorder="1" applyAlignment="1">
      <alignment horizontal="center" vertical="center"/>
    </xf>
    <xf numFmtId="165" fontId="0" fillId="7" borderId="9" xfId="0" applyNumberFormat="1" applyFill="1" applyBorder="1" applyAlignment="1">
      <alignment horizontal="center" vertical="center"/>
    </xf>
    <xf numFmtId="164" fontId="0" fillId="7" borderId="9" xfId="0" applyNumberFormat="1" applyFill="1" applyBorder="1" applyAlignment="1">
      <alignment horizontal="center" vertical="center"/>
    </xf>
    <xf numFmtId="164" fontId="0" fillId="7" borderId="10" xfId="0" applyNumberFormat="1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164" fontId="0" fillId="7" borderId="6" xfId="0" applyNumberFormat="1" applyFill="1" applyBorder="1" applyAlignment="1">
      <alignment horizontal="center" vertical="center"/>
    </xf>
    <xf numFmtId="164" fontId="0" fillId="7" borderId="8" xfId="0" applyNumberFormat="1" applyFill="1" applyBorder="1" applyAlignment="1">
      <alignment horizontal="center" vertical="center"/>
    </xf>
    <xf numFmtId="1" fontId="0" fillId="7" borderId="37" xfId="0" applyNumberFormat="1" applyFill="1" applyBorder="1" applyAlignment="1">
      <alignment horizontal="center" vertical="center"/>
    </xf>
    <xf numFmtId="165" fontId="0" fillId="7" borderId="38" xfId="0" applyNumberFormat="1" applyFill="1" applyBorder="1" applyAlignment="1">
      <alignment horizontal="center" vertical="center"/>
    </xf>
    <xf numFmtId="164" fontId="0" fillId="7" borderId="38" xfId="0" applyNumberFormat="1" applyFill="1" applyBorder="1" applyAlignment="1">
      <alignment horizontal="center" vertical="center"/>
    </xf>
    <xf numFmtId="164" fontId="0" fillId="7" borderId="40" xfId="0" applyNumberFormat="1" applyFill="1" applyBorder="1" applyAlignment="1">
      <alignment horizontal="center" vertical="center"/>
    </xf>
    <xf numFmtId="0" fontId="0" fillId="2" borderId="37" xfId="0" applyFill="1" applyBorder="1" applyAlignment="1">
      <alignment horizontal="center" vertical="center"/>
    </xf>
    <xf numFmtId="0" fontId="0" fillId="2" borderId="38" xfId="0" applyFill="1" applyBorder="1" applyAlignment="1">
      <alignment horizontal="center" vertical="center"/>
    </xf>
    <xf numFmtId="0" fontId="0" fillId="2" borderId="40" xfId="0" applyFill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3" borderId="25" xfId="0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0" fontId="0" fillId="0" borderId="1" xfId="0" applyNumberForma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10" fontId="0" fillId="0" borderId="7" xfId="0" applyNumberFormat="1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10" fontId="0" fillId="0" borderId="38" xfId="0" applyNumberFormat="1" applyBorder="1" applyAlignment="1">
      <alignment horizontal="center" vertical="center"/>
    </xf>
    <xf numFmtId="10" fontId="0" fillId="0" borderId="40" xfId="0" applyNumberFormat="1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0" fontId="0" fillId="0" borderId="16" xfId="0" applyNumberFormat="1" applyBorder="1" applyAlignment="1">
      <alignment horizontal="center" vertical="center"/>
    </xf>
    <xf numFmtId="0" fontId="0" fillId="0" borderId="4" xfId="0" applyNumberForma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7" borderId="15" xfId="0" applyFill="1" applyBorder="1" applyAlignment="1">
      <alignment horizontal="center" vertical="center"/>
    </xf>
    <xf numFmtId="0" fontId="0" fillId="7" borderId="2" xfId="0" applyFill="1" applyBorder="1" applyAlignment="1">
      <alignment horizontal="center" vertical="center"/>
    </xf>
    <xf numFmtId="0" fontId="0" fillId="7" borderId="36" xfId="0" applyFill="1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8" borderId="23" xfId="0" applyFill="1" applyBorder="1" applyAlignment="1">
      <alignment horizontal="left" vertical="center"/>
    </xf>
    <xf numFmtId="0" fontId="0" fillId="8" borderId="20" xfId="0" applyFill="1" applyBorder="1" applyAlignment="1">
      <alignment horizontal="left" vertical="center"/>
    </xf>
    <xf numFmtId="0" fontId="0" fillId="8" borderId="24" xfId="0" applyFill="1" applyBorder="1" applyAlignment="1">
      <alignment horizontal="left" vertical="center"/>
    </xf>
    <xf numFmtId="0" fontId="0" fillId="0" borderId="23" xfId="0" applyBorder="1" applyAlignment="1">
      <alignment horizontal="right" vertical="center"/>
    </xf>
    <xf numFmtId="0" fontId="0" fillId="0" borderId="20" xfId="0" applyBorder="1" applyAlignment="1">
      <alignment horizontal="right" vertical="center"/>
    </xf>
    <xf numFmtId="0" fontId="0" fillId="9" borderId="8" xfId="0" applyFill="1" applyBorder="1" applyAlignment="1">
      <alignment horizontal="center" vertical="center"/>
    </xf>
    <xf numFmtId="0" fontId="0" fillId="9" borderId="33" xfId="0" applyFill="1" applyBorder="1" applyAlignment="1">
      <alignment horizontal="center" vertical="center"/>
    </xf>
    <xf numFmtId="0" fontId="2" fillId="11" borderId="23" xfId="0" applyFont="1" applyFill="1" applyBorder="1" applyAlignment="1">
      <alignment horizontal="center" vertical="center"/>
    </xf>
    <xf numFmtId="0" fontId="2" fillId="11" borderId="20" xfId="0" applyFont="1" applyFill="1" applyBorder="1" applyAlignment="1">
      <alignment horizontal="center" vertical="center"/>
    </xf>
    <xf numFmtId="0" fontId="2" fillId="11" borderId="24" xfId="0" applyFont="1" applyFill="1" applyBorder="1" applyAlignment="1">
      <alignment horizontal="center" vertical="center"/>
    </xf>
    <xf numFmtId="0" fontId="2" fillId="11" borderId="25" xfId="0" applyFont="1" applyFill="1" applyBorder="1" applyAlignment="1">
      <alignment horizontal="center" vertical="center"/>
    </xf>
    <xf numFmtId="0" fontId="2" fillId="11" borderId="26" xfId="0" applyFont="1" applyFill="1" applyBorder="1" applyAlignment="1">
      <alignment horizontal="center" vertical="center"/>
    </xf>
    <xf numFmtId="0" fontId="2" fillId="11" borderId="27" xfId="0" applyFont="1" applyFill="1" applyBorder="1" applyAlignment="1">
      <alignment horizontal="center" vertical="center"/>
    </xf>
    <xf numFmtId="0" fontId="3" fillId="0" borderId="23" xfId="0" applyFont="1" applyBorder="1" applyAlignment="1">
      <alignment horizontal="center" vertical="center" wrapText="1"/>
    </xf>
    <xf numFmtId="0" fontId="3" fillId="0" borderId="20" xfId="0" applyFont="1" applyBorder="1" applyAlignment="1">
      <alignment horizontal="center" vertical="center" wrapText="1"/>
    </xf>
    <xf numFmtId="0" fontId="3" fillId="0" borderId="24" xfId="0" applyFont="1" applyBorder="1" applyAlignment="1">
      <alignment horizontal="center" vertical="center" wrapText="1"/>
    </xf>
    <xf numFmtId="0" fontId="3" fillId="0" borderId="22" xfId="0" applyFont="1" applyBorder="1" applyAlignment="1">
      <alignment horizontal="center" vertical="center" wrapText="1"/>
    </xf>
    <xf numFmtId="0" fontId="3" fillId="0" borderId="0" xfId="0" applyFont="1" applyBorder="1" applyAlignment="1">
      <alignment horizontal="center" vertical="center" wrapText="1"/>
    </xf>
    <xf numFmtId="0" fontId="3" fillId="0" borderId="35" xfId="0" applyFont="1" applyBorder="1" applyAlignment="1">
      <alignment horizontal="center" vertical="center" wrapText="1"/>
    </xf>
    <xf numFmtId="0" fontId="3" fillId="0" borderId="25" xfId="0" applyFont="1" applyBorder="1" applyAlignment="1">
      <alignment horizontal="center" vertical="center" wrapText="1"/>
    </xf>
    <xf numFmtId="0" fontId="3" fillId="0" borderId="26" xfId="0" applyFont="1" applyBorder="1" applyAlignment="1">
      <alignment horizontal="center" vertical="center" wrapText="1"/>
    </xf>
    <xf numFmtId="0" fontId="3" fillId="0" borderId="27" xfId="0" applyFont="1" applyBorder="1" applyAlignment="1">
      <alignment horizontal="center" vertical="center" wrapText="1"/>
    </xf>
    <xf numFmtId="0" fontId="0" fillId="9" borderId="3" xfId="0" applyFill="1" applyBorder="1" applyAlignment="1">
      <alignment horizontal="center" vertical="center"/>
    </xf>
    <xf numFmtId="0" fontId="0" fillId="9" borderId="31" xfId="0" applyFill="1" applyBorder="1" applyAlignment="1">
      <alignment horizontal="center" vertical="center"/>
    </xf>
    <xf numFmtId="0" fontId="0" fillId="9" borderId="6" xfId="0" applyFill="1" applyBorder="1" applyAlignment="1">
      <alignment horizontal="center" vertical="center"/>
    </xf>
    <xf numFmtId="0" fontId="0" fillId="9" borderId="32" xfId="0" applyFill="1" applyBorder="1" applyAlignment="1">
      <alignment horizontal="center" vertical="center"/>
    </xf>
    <xf numFmtId="0" fontId="0" fillId="0" borderId="17" xfId="0" applyBorder="1" applyAlignment="1">
      <alignment horizontal="right" vertical="center"/>
    </xf>
    <xf numFmtId="0" fontId="0" fillId="0" borderId="13" xfId="0" applyBorder="1" applyAlignment="1">
      <alignment horizontal="right" vertical="center"/>
    </xf>
    <xf numFmtId="0" fontId="1" fillId="8" borderId="11" xfId="0" applyFont="1" applyFill="1" applyBorder="1" applyAlignment="1">
      <alignment horizontal="right" vertical="center"/>
    </xf>
    <xf numFmtId="0" fontId="1" fillId="8" borderId="21" xfId="0" applyFont="1" applyFill="1" applyBorder="1" applyAlignment="1">
      <alignment horizontal="right" vertical="center"/>
    </xf>
    <xf numFmtId="0" fontId="0" fillId="8" borderId="3" xfId="0" applyFill="1" applyBorder="1" applyAlignment="1">
      <alignment horizontal="center" vertical="center"/>
    </xf>
    <xf numFmtId="0" fontId="0" fillId="8" borderId="4" xfId="0" applyFill="1" applyBorder="1" applyAlignment="1">
      <alignment horizontal="center" vertical="center"/>
    </xf>
    <xf numFmtId="0" fontId="0" fillId="8" borderId="31" xfId="0" applyFill="1" applyBorder="1" applyAlignment="1">
      <alignment horizontal="center" vertical="center"/>
    </xf>
    <xf numFmtId="0" fontId="0" fillId="8" borderId="25" xfId="0" applyFill="1" applyBorder="1" applyAlignment="1">
      <alignment horizontal="center" vertical="center"/>
    </xf>
    <xf numFmtId="0" fontId="0" fillId="8" borderId="26" xfId="0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5" fillId="4" borderId="43" xfId="0" applyFont="1" applyFill="1" applyBorder="1" applyAlignment="1">
      <alignment horizontal="center" vertical="center"/>
    </xf>
    <xf numFmtId="0" fontId="5" fillId="4" borderId="44" xfId="0" applyFont="1" applyFill="1" applyBorder="1" applyAlignment="1">
      <alignment horizontal="center" vertical="center"/>
    </xf>
    <xf numFmtId="0" fontId="5" fillId="4" borderId="45" xfId="0" applyFont="1" applyFill="1" applyBorder="1" applyAlignment="1">
      <alignment horizontal="center" vertical="center"/>
    </xf>
    <xf numFmtId="0" fontId="3" fillId="4" borderId="14" xfId="0" applyFont="1" applyFill="1" applyBorder="1" applyAlignment="1">
      <alignment horizontal="center" vertical="center"/>
    </xf>
    <xf numFmtId="0" fontId="3" fillId="4" borderId="41" xfId="0" applyFont="1" applyFill="1" applyBorder="1" applyAlignment="1">
      <alignment horizontal="center" vertical="center"/>
    </xf>
    <xf numFmtId="0" fontId="3" fillId="4" borderId="38" xfId="0" applyFont="1" applyFill="1" applyBorder="1" applyAlignment="1">
      <alignment horizontal="center" vertical="center"/>
    </xf>
    <xf numFmtId="0" fontId="3" fillId="4" borderId="40" xfId="0" applyFont="1" applyFill="1" applyBorder="1" applyAlignment="1">
      <alignment horizontal="center" vertical="center"/>
    </xf>
    <xf numFmtId="0" fontId="3" fillId="4" borderId="11" xfId="0" applyFont="1" applyFill="1" applyBorder="1" applyAlignment="1">
      <alignment horizontal="center" vertical="center"/>
    </xf>
    <xf numFmtId="0" fontId="3" fillId="4" borderId="30" xfId="0" applyFont="1" applyFill="1" applyBorder="1" applyAlignment="1">
      <alignment horizontal="center" vertical="center"/>
    </xf>
    <xf numFmtId="0" fontId="3" fillId="4" borderId="32" xfId="0" applyFont="1" applyFill="1" applyBorder="1" applyAlignment="1">
      <alignment horizontal="center" vertical="center"/>
    </xf>
    <xf numFmtId="0" fontId="3" fillId="4" borderId="42" xfId="0" applyFont="1" applyFill="1" applyBorder="1" applyAlignment="1">
      <alignment horizontal="center" vertical="center"/>
    </xf>
    <xf numFmtId="0" fontId="3" fillId="4" borderId="12" xfId="0" applyFont="1" applyFill="1" applyBorder="1" applyAlignment="1">
      <alignment horizontal="center" vertical="center"/>
    </xf>
    <xf numFmtId="0" fontId="3" fillId="4" borderId="34" xfId="0" applyFont="1" applyFill="1" applyBorder="1" applyAlignment="1">
      <alignment horizontal="center" vertical="center"/>
    </xf>
    <xf numFmtId="0" fontId="3" fillId="4" borderId="33" xfId="0" applyFont="1" applyFill="1" applyBorder="1" applyAlignment="1">
      <alignment horizontal="center" vertical="center"/>
    </xf>
    <xf numFmtId="0" fontId="3" fillId="4" borderId="46" xfId="0" applyFont="1" applyFill="1" applyBorder="1" applyAlignment="1">
      <alignment horizontal="center" vertical="center"/>
    </xf>
    <xf numFmtId="0" fontId="5" fillId="4" borderId="23" xfId="0" applyFont="1" applyFill="1" applyBorder="1" applyAlignment="1">
      <alignment horizontal="center" vertical="center"/>
    </xf>
    <xf numFmtId="0" fontId="5" fillId="4" borderId="20" xfId="0" applyFont="1" applyFill="1" applyBorder="1" applyAlignment="1">
      <alignment horizontal="center" vertical="center"/>
    </xf>
    <xf numFmtId="0" fontId="5" fillId="4" borderId="24" xfId="0" applyFont="1" applyFill="1" applyBorder="1" applyAlignment="1">
      <alignment horizontal="center" vertical="center"/>
    </xf>
    <xf numFmtId="0" fontId="5" fillId="4" borderId="22" xfId="0" applyFont="1" applyFill="1" applyBorder="1" applyAlignment="1">
      <alignment horizontal="center" vertical="center"/>
    </xf>
    <xf numFmtId="0" fontId="5" fillId="4" borderId="0" xfId="0" applyFont="1" applyFill="1" applyBorder="1" applyAlignment="1">
      <alignment horizontal="center" vertical="center"/>
    </xf>
    <xf numFmtId="0" fontId="5" fillId="4" borderId="35" xfId="0" applyFont="1" applyFill="1" applyBorder="1" applyAlignment="1">
      <alignment horizontal="center" vertical="center"/>
    </xf>
    <xf numFmtId="0" fontId="5" fillId="4" borderId="25" xfId="0" applyFont="1" applyFill="1" applyBorder="1" applyAlignment="1">
      <alignment horizontal="center" vertical="center"/>
    </xf>
    <xf numFmtId="0" fontId="5" fillId="4" borderId="26" xfId="0" applyFont="1" applyFill="1" applyBorder="1" applyAlignment="1">
      <alignment horizontal="center" vertical="center"/>
    </xf>
    <xf numFmtId="0" fontId="5" fillId="4" borderId="27" xfId="0" applyFont="1" applyFill="1" applyBorder="1" applyAlignment="1">
      <alignment horizontal="center" vertical="center"/>
    </xf>
    <xf numFmtId="0" fontId="3" fillId="4" borderId="37" xfId="0" applyFont="1" applyFill="1" applyBorder="1" applyAlignment="1">
      <alignment horizontal="center" vertical="center"/>
    </xf>
    <xf numFmtId="0" fontId="3" fillId="4" borderId="6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3" fillId="4" borderId="7" xfId="0" applyFont="1" applyFill="1" applyBorder="1" applyAlignment="1">
      <alignment horizontal="center" vertical="center"/>
    </xf>
    <xf numFmtId="0" fontId="3" fillId="4" borderId="8" xfId="0" applyFont="1" applyFill="1" applyBorder="1" applyAlignment="1">
      <alignment horizontal="center" vertical="center"/>
    </xf>
    <xf numFmtId="0" fontId="3" fillId="4" borderId="9" xfId="0" applyFont="1" applyFill="1" applyBorder="1" applyAlignment="1">
      <alignment horizontal="center" vertical="center"/>
    </xf>
    <xf numFmtId="0" fontId="3" fillId="4" borderId="10" xfId="0" applyFont="1" applyFill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8" fillId="8" borderId="42" xfId="0" applyFont="1" applyFill="1" applyBorder="1" applyAlignment="1">
      <alignment horizontal="center" vertical="center"/>
    </xf>
    <xf numFmtId="0" fontId="0" fillId="7" borderId="7" xfId="0" applyFont="1" applyFill="1" applyBorder="1" applyAlignment="1">
      <alignment horizontal="center" vertical="center"/>
    </xf>
    <xf numFmtId="0" fontId="0" fillId="7" borderId="10" xfId="0" applyFont="1" applyFill="1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10" fontId="0" fillId="7" borderId="49" xfId="0" applyNumberFormat="1" applyFill="1" applyBorder="1" applyAlignment="1">
      <alignment horizontal="center" vertical="center"/>
    </xf>
    <xf numFmtId="10" fontId="0" fillId="7" borderId="19" xfId="0" applyNumberForma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Sheet1!$B$7</c:f>
              <c:strCache>
                <c:ptCount val="1"/>
                <c:pt idx="0">
                  <c:v>HZ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Sheet1!$O$6:$Q$6</c:f>
              <c:numCache>
                <c:formatCode>General</c:formatCode>
                <c:ptCount val="3"/>
                <c:pt idx="0">
                  <c:v>0</c:v>
                </c:pt>
                <c:pt idx="1">
                  <c:v>40</c:v>
                </c:pt>
                <c:pt idx="2" formatCode="0">
                  <c:v>150</c:v>
                </c:pt>
              </c:numCache>
            </c:numRef>
          </c:xVal>
          <c:yVal>
            <c:numRef>
              <c:f>Sheet1!$O$7:$Q$7</c:f>
              <c:numCache>
                <c:formatCode>0</c:formatCode>
                <c:ptCount val="3"/>
                <c:pt idx="0">
                  <c:v>6708.7466185752928</c:v>
                </c:pt>
                <c:pt idx="1">
                  <c:v>9276.8079800498745</c:v>
                </c:pt>
                <c:pt idx="2">
                  <c:v>16338.976724104974</c:v>
                </c:pt>
              </c:numCache>
            </c:numRef>
          </c:yVal>
        </c:ser>
        <c:ser>
          <c:idx val="1"/>
          <c:order val="1"/>
          <c:tx>
            <c:strRef>
              <c:f>Sheet1!$B$8</c:f>
              <c:strCache>
                <c:ptCount val="1"/>
                <c:pt idx="0">
                  <c:v>A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Sheet1!$O$6:$Q$6</c:f>
              <c:numCache>
                <c:formatCode>General</c:formatCode>
                <c:ptCount val="3"/>
                <c:pt idx="0">
                  <c:v>0</c:v>
                </c:pt>
                <c:pt idx="1">
                  <c:v>40</c:v>
                </c:pt>
                <c:pt idx="2" formatCode="0">
                  <c:v>150</c:v>
                </c:pt>
              </c:numCache>
            </c:numRef>
          </c:xVal>
          <c:yVal>
            <c:numRef>
              <c:f>Sheet1!$O$8:$Q$8</c:f>
              <c:numCache>
                <c:formatCode>0</c:formatCode>
                <c:ptCount val="3"/>
                <c:pt idx="0">
                  <c:v>8172.6230613621037</c:v>
                </c:pt>
                <c:pt idx="1">
                  <c:v>10306.122448979591</c:v>
                </c:pt>
                <c:pt idx="2">
                  <c:v>16173.245764927684</c:v>
                </c:pt>
              </c:numCache>
            </c:numRef>
          </c:yVal>
        </c:ser>
        <c:ser>
          <c:idx val="2"/>
          <c:order val="2"/>
          <c:tx>
            <c:strRef>
              <c:f>Sheet1!$B$9</c:f>
              <c:strCache>
                <c:ptCount val="1"/>
                <c:pt idx="0">
                  <c:v>CWF</c:v>
                </c:pt>
              </c:strCache>
            </c:strRef>
          </c:tx>
          <c:spPr>
            <a:ln>
              <a:solidFill>
                <a:srgbClr val="FFFF00"/>
              </a:solidFill>
            </a:ln>
          </c:spPr>
          <c:marker>
            <c:symbol val="none"/>
          </c:marker>
          <c:xVal>
            <c:numRef>
              <c:f>Sheet1!$O$6:$Q$6</c:f>
              <c:numCache>
                <c:formatCode>General</c:formatCode>
                <c:ptCount val="3"/>
                <c:pt idx="0">
                  <c:v>0</c:v>
                </c:pt>
                <c:pt idx="1">
                  <c:v>40</c:v>
                </c:pt>
                <c:pt idx="2" formatCode="0">
                  <c:v>150</c:v>
                </c:pt>
              </c:numCache>
            </c:numRef>
          </c:xVal>
          <c:yVal>
            <c:numRef>
              <c:f>Sheet1!$O$9:$Q$9</c:f>
              <c:numCache>
                <c:formatCode>0</c:formatCode>
                <c:ptCount val="3"/>
                <c:pt idx="0">
                  <c:v>12868.803503882142</c:v>
                </c:pt>
                <c:pt idx="1">
                  <c:v>13841.541755888651</c:v>
                </c:pt>
                <c:pt idx="2">
                  <c:v>16516.571948906552</c:v>
                </c:pt>
              </c:numCache>
            </c:numRef>
          </c:yVal>
        </c:ser>
        <c:ser>
          <c:idx val="3"/>
          <c:order val="3"/>
          <c:tx>
            <c:strRef>
              <c:f>Sheet1!$B$10</c:f>
              <c:strCache>
                <c:ptCount val="1"/>
                <c:pt idx="0">
                  <c:v>D65</c:v>
                </c:pt>
              </c:strCache>
            </c:strRef>
          </c:tx>
          <c:spPr>
            <a:ln>
              <a:solidFill>
                <a:srgbClr val="0070C0"/>
              </a:solidFill>
            </a:ln>
          </c:spPr>
          <c:marker>
            <c:symbol val="none"/>
          </c:marker>
          <c:xVal>
            <c:numRef>
              <c:f>Sheet1!$O$6:$Q$6</c:f>
              <c:numCache>
                <c:formatCode>General</c:formatCode>
                <c:ptCount val="3"/>
                <c:pt idx="0">
                  <c:v>0</c:v>
                </c:pt>
                <c:pt idx="1">
                  <c:v>40</c:v>
                </c:pt>
                <c:pt idx="2" formatCode="0">
                  <c:v>150</c:v>
                </c:pt>
              </c:numCache>
            </c:numRef>
          </c:xVal>
          <c:yVal>
            <c:numRef>
              <c:f>Sheet1!$O$10:$Q$10</c:f>
              <c:numCache>
                <c:formatCode>0</c:formatCode>
                <c:ptCount val="3"/>
                <c:pt idx="0">
                  <c:v>11219.053588216859</c:v>
                </c:pt>
                <c:pt idx="1">
                  <c:v>13077.625570776256</c:v>
                </c:pt>
                <c:pt idx="2">
                  <c:v>18188.698522814597</c:v>
                </c:pt>
              </c:numCache>
            </c:numRef>
          </c:yVal>
        </c:ser>
        <c:axId val="223539968"/>
        <c:axId val="223541504"/>
      </c:scatterChart>
      <c:valAx>
        <c:axId val="223539968"/>
        <c:scaling>
          <c:orientation val="minMax"/>
        </c:scaling>
        <c:axPos val="b"/>
        <c:majorGridlines/>
        <c:numFmt formatCode="General" sourceLinked="1"/>
        <c:tickLblPos val="nextTo"/>
        <c:crossAx val="223541504"/>
        <c:crosses val="autoZero"/>
        <c:crossBetween val="midCat"/>
      </c:valAx>
      <c:valAx>
        <c:axId val="223541504"/>
        <c:scaling>
          <c:orientation val="minMax"/>
          <c:min val="5000"/>
        </c:scaling>
        <c:axPos val="l"/>
        <c:majorGridlines/>
        <c:numFmt formatCode="0" sourceLinked="1"/>
        <c:tickLblPos val="nextTo"/>
        <c:crossAx val="223539968"/>
        <c:crosses val="autoZero"/>
        <c:crossBetween val="midCat"/>
      </c:valAx>
      <c:spPr>
        <a:solidFill>
          <a:schemeClr val="bg1">
            <a:lumMod val="95000"/>
          </a:schemeClr>
        </a:solidFill>
      </c:spPr>
    </c:plotArea>
    <c:legend>
      <c:legendPos val="r"/>
      <c:layout/>
    </c:legend>
    <c:plotVisOnly val="1"/>
    <c:dispBlanksAs val="gap"/>
  </c:chart>
  <c:spPr>
    <a:solidFill>
      <a:schemeClr val="bg1">
        <a:lumMod val="85000"/>
      </a:schemeClr>
    </a:solidFill>
    <a:ln w="25400">
      <a:solidFill>
        <a:schemeClr val="tx1"/>
      </a:solidFill>
    </a:ln>
  </c:sp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11</xdr:row>
      <xdr:rowOff>0</xdr:rowOff>
    </xdr:from>
    <xdr:to>
      <xdr:col>13</xdr:col>
      <xdr:colOff>638735</xdr:colOff>
      <xdr:row>22</xdr:row>
      <xdr:rowOff>156882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560295</xdr:colOff>
      <xdr:row>4</xdr:row>
      <xdr:rowOff>134470</xdr:rowOff>
    </xdr:from>
    <xdr:to>
      <xdr:col>17</xdr:col>
      <xdr:colOff>100853</xdr:colOff>
      <xdr:row>6</xdr:row>
      <xdr:rowOff>44823</xdr:rowOff>
    </xdr:to>
    <xdr:sp macro="" textlink="">
      <xdr:nvSpPr>
        <xdr:cNvPr id="8" name="Oval 7"/>
        <xdr:cNvSpPr/>
      </xdr:nvSpPr>
      <xdr:spPr>
        <a:xfrm>
          <a:off x="9087971" y="930088"/>
          <a:ext cx="705970" cy="302559"/>
        </a:xfrm>
        <a:prstGeom prst="ellipse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8672</xdr:colOff>
      <xdr:row>6</xdr:row>
      <xdr:rowOff>11720</xdr:rowOff>
    </xdr:from>
    <xdr:to>
      <xdr:col>20</xdr:col>
      <xdr:colOff>381000</xdr:colOff>
      <xdr:row>10</xdr:row>
      <xdr:rowOff>179295</xdr:rowOff>
    </xdr:to>
    <xdr:cxnSp macro="">
      <xdr:nvCxnSpPr>
        <xdr:cNvPr id="10" name="Straight Arrow Connector 9"/>
        <xdr:cNvCxnSpPr/>
      </xdr:nvCxnSpPr>
      <xdr:spPr>
        <a:xfrm flipH="1" flipV="1">
          <a:off x="9701760" y="1199544"/>
          <a:ext cx="1918740" cy="940780"/>
        </a:xfrm>
        <a:prstGeom prst="straightConnector1">
          <a:avLst/>
        </a:prstGeom>
        <a:ln w="25400">
          <a:solidFill>
            <a:schemeClr val="tx1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1:X49"/>
  <sheetViews>
    <sheetView showGridLines="0" tabSelected="1" zoomScale="70" zoomScaleNormal="70" workbookViewId="0">
      <selection activeCell="R18" sqref="R18"/>
    </sheetView>
  </sheetViews>
  <sheetFormatPr defaultColWidth="13.5703125" defaultRowHeight="15"/>
  <cols>
    <col min="1" max="1" width="13.5703125" style="1"/>
    <col min="2" max="2" width="10.28515625" style="1" customWidth="1"/>
    <col min="3" max="3" width="8.85546875" style="1" customWidth="1"/>
    <col min="4" max="9" width="7.7109375" style="1" customWidth="1"/>
    <col min="10" max="10" width="7.140625" style="1" customWidth="1"/>
    <col min="11" max="13" width="7.7109375" style="1" customWidth="1"/>
    <col min="14" max="16" width="9.7109375" style="1" customWidth="1"/>
    <col min="17" max="18" width="7.7109375" style="1" customWidth="1"/>
    <col min="19" max="19" width="9.140625" style="1" customWidth="1"/>
    <col min="20" max="24" width="7.7109375" style="1" customWidth="1"/>
    <col min="25" max="16384" width="13.5703125" style="1"/>
  </cols>
  <sheetData>
    <row r="1" spans="2:24" ht="15.75" thickBot="1"/>
    <row r="2" spans="2:24" ht="15" customHeight="1">
      <c r="B2" s="160" t="s">
        <v>35</v>
      </c>
      <c r="C2" s="161"/>
      <c r="D2" s="161"/>
      <c r="E2" s="161"/>
      <c r="F2" s="161"/>
      <c r="G2" s="161"/>
      <c r="H2" s="161"/>
      <c r="I2" s="161"/>
      <c r="J2" s="161"/>
      <c r="K2" s="161"/>
      <c r="L2" s="161"/>
      <c r="M2" s="161"/>
      <c r="N2" s="161"/>
      <c r="O2" s="161"/>
      <c r="P2" s="161"/>
      <c r="Q2" s="161"/>
      <c r="R2" s="161"/>
      <c r="S2" s="161"/>
      <c r="T2" s="161"/>
      <c r="U2" s="161"/>
      <c r="V2" s="161"/>
      <c r="W2" s="162"/>
    </row>
    <row r="3" spans="2:24" ht="15.75" customHeight="1" thickBot="1">
      <c r="B3" s="163"/>
      <c r="C3" s="164"/>
      <c r="D3" s="164"/>
      <c r="E3" s="164"/>
      <c r="F3" s="164"/>
      <c r="G3" s="164"/>
      <c r="H3" s="164"/>
      <c r="I3" s="164"/>
      <c r="J3" s="164"/>
      <c r="K3" s="164"/>
      <c r="L3" s="164"/>
      <c r="M3" s="164"/>
      <c r="N3" s="164"/>
      <c r="O3" s="164"/>
      <c r="P3" s="164"/>
      <c r="Q3" s="164"/>
      <c r="R3" s="164"/>
      <c r="S3" s="164"/>
      <c r="T3" s="164"/>
      <c r="U3" s="164"/>
      <c r="V3" s="164"/>
      <c r="W3" s="165"/>
    </row>
    <row r="4" spans="2:24" ht="15.75" thickBot="1"/>
    <row r="5" spans="2:24" ht="15" customHeight="1">
      <c r="B5" s="85">
        <v>4000</v>
      </c>
      <c r="C5" s="143" t="s">
        <v>8</v>
      </c>
      <c r="D5" s="139"/>
      <c r="E5" s="139"/>
      <c r="F5" s="140"/>
      <c r="G5" s="150" t="s">
        <v>12</v>
      </c>
      <c r="H5" s="151"/>
      <c r="I5" s="151"/>
      <c r="J5" s="151"/>
      <c r="K5" s="179" t="s">
        <v>13</v>
      </c>
      <c r="L5" s="180"/>
      <c r="M5" s="54">
        <v>40</v>
      </c>
      <c r="N5" s="229" t="s">
        <v>14</v>
      </c>
      <c r="O5" s="148" t="s">
        <v>16</v>
      </c>
      <c r="P5" s="149"/>
      <c r="Q5" s="156" t="s">
        <v>19</v>
      </c>
      <c r="R5" s="157"/>
      <c r="S5" s="157"/>
      <c r="T5" s="62">
        <v>5.0000000000000001E-4</v>
      </c>
      <c r="U5" s="156" t="s">
        <v>20</v>
      </c>
      <c r="V5" s="157"/>
      <c r="W5" s="62">
        <v>5.2999999999999999E-2</v>
      </c>
    </row>
    <row r="6" spans="2:24" ht="15.75" thickBot="1">
      <c r="B6" s="2" t="s">
        <v>15</v>
      </c>
      <c r="C6" s="3" t="s">
        <v>4</v>
      </c>
      <c r="D6" s="4" t="s">
        <v>5</v>
      </c>
      <c r="E6" s="4" t="s">
        <v>6</v>
      </c>
      <c r="F6" s="5" t="s">
        <v>7</v>
      </c>
      <c r="G6" s="42" t="s">
        <v>9</v>
      </c>
      <c r="H6" s="43" t="s">
        <v>10</v>
      </c>
      <c r="I6" s="44" t="s">
        <v>11</v>
      </c>
      <c r="J6" s="44" t="s">
        <v>34</v>
      </c>
      <c r="K6" s="144" t="s">
        <v>10</v>
      </c>
      <c r="L6" s="141"/>
      <c r="M6" s="44" t="str">
        <f>J6</f>
        <v>Gain</v>
      </c>
      <c r="N6" s="230"/>
      <c r="O6" s="58">
        <v>0</v>
      </c>
      <c r="P6" s="44">
        <f>comp</f>
        <v>40</v>
      </c>
      <c r="Q6" s="63">
        <f>INT(AVERAGE(U8:W9)+0.5)</f>
        <v>150</v>
      </c>
      <c r="R6" s="64">
        <f>AVERAGE(Q7:Q10)</f>
        <v>16804.373240188452</v>
      </c>
      <c r="S6" s="65" t="s">
        <v>17</v>
      </c>
      <c r="T6" s="119" t="s">
        <v>18</v>
      </c>
      <c r="U6" s="120" t="str">
        <f>B7</f>
        <v>HZ</v>
      </c>
      <c r="V6" s="66" t="str">
        <f>B8</f>
        <v>A</v>
      </c>
      <c r="W6" s="67" t="str">
        <f>B9</f>
        <v>CWF</v>
      </c>
    </row>
    <row r="7" spans="2:24">
      <c r="B7" s="6" t="s">
        <v>0</v>
      </c>
      <c r="C7" s="13">
        <v>1860</v>
      </c>
      <c r="D7" s="68">
        <v>2348</v>
      </c>
      <c r="E7" s="68">
        <v>0.49399999999999999</v>
      </c>
      <c r="F7" s="86">
        <v>0.41799999999999998</v>
      </c>
      <c r="G7" s="73">
        <v>1455</v>
      </c>
      <c r="H7" s="69">
        <v>1109</v>
      </c>
      <c r="I7" s="87">
        <v>677</v>
      </c>
      <c r="J7" s="47">
        <f>H7/C7</f>
        <v>0.59623655913978491</v>
      </c>
      <c r="K7" s="175">
        <v>802</v>
      </c>
      <c r="L7" s="176"/>
      <c r="M7" s="50">
        <f>K7/C7</f>
        <v>0.4311827956989247</v>
      </c>
      <c r="N7" s="231">
        <f>(1-K7/H7)/comp</f>
        <v>6.9206492335437322E-3</v>
      </c>
      <c r="O7" s="57">
        <f>$C7*$B$5/H7</f>
        <v>6708.7466185752928</v>
      </c>
      <c r="P7" s="100">
        <f>$C7*$B$5/K7</f>
        <v>9276.8079800498745</v>
      </c>
      <c r="Q7" s="112">
        <f>S7*Q$6+T7</f>
        <v>16338.976724104974</v>
      </c>
      <c r="R7" s="113">
        <f>Q7/R$6-1</f>
        <v>-2.7694964247191312E-2</v>
      </c>
      <c r="S7" s="114">
        <f>(P7-O7)/P$6</f>
        <v>64.201534036864544</v>
      </c>
      <c r="T7" s="115">
        <f>O7</f>
        <v>6708.7466185752928</v>
      </c>
      <c r="U7" s="116"/>
      <c r="V7" s="117"/>
      <c r="W7" s="118"/>
      <c r="X7" s="10"/>
    </row>
    <row r="8" spans="2:24">
      <c r="B8" s="8" t="s">
        <v>1</v>
      </c>
      <c r="C8" s="14">
        <v>3030</v>
      </c>
      <c r="D8" s="20">
        <v>2865</v>
      </c>
      <c r="E8" s="20">
        <v>0.44919999999999999</v>
      </c>
      <c r="F8" s="88">
        <v>0.41120000000000001</v>
      </c>
      <c r="G8" s="89">
        <v>1671</v>
      </c>
      <c r="H8" s="20">
        <v>1483</v>
      </c>
      <c r="I8" s="90">
        <v>817</v>
      </c>
      <c r="J8" s="48">
        <f t="shared" ref="J8:J10" si="0">H8/C8</f>
        <v>0.48943894389438947</v>
      </c>
      <c r="K8" s="177">
        <v>1176</v>
      </c>
      <c r="L8" s="178"/>
      <c r="M8" s="48">
        <f t="shared" ref="M8:M10" si="1">K8/C8</f>
        <v>0.38811881188118813</v>
      </c>
      <c r="N8" s="231">
        <f>(1-K8/H8)/comp</f>
        <v>5.1753202966958872E-3</v>
      </c>
      <c r="O8" s="55">
        <f>$C8*$B$5/H8</f>
        <v>8172.6230613621037</v>
      </c>
      <c r="P8" s="101">
        <f>$C8*$B$5/K8</f>
        <v>10306.122448979591</v>
      </c>
      <c r="Q8" s="11">
        <f>S8*Q$6+T8</f>
        <v>16173.245764927684</v>
      </c>
      <c r="R8" s="53">
        <f>Q8/R$6-1</f>
        <v>-3.7557335000831582E-2</v>
      </c>
      <c r="S8" s="103">
        <f>(P8-O8)/P$6</f>
        <v>53.337484690437194</v>
      </c>
      <c r="T8" s="105">
        <f>O8</f>
        <v>8172.6230613621037</v>
      </c>
      <c r="U8" s="110">
        <f>-($T$7-$T8)/($S$7-$S8)</f>
        <v>134.74501045673247</v>
      </c>
      <c r="V8" s="104"/>
      <c r="W8" s="109"/>
      <c r="X8" s="10"/>
    </row>
    <row r="9" spans="2:24">
      <c r="B9" s="7" t="s">
        <v>2</v>
      </c>
      <c r="C9" s="14">
        <v>1616</v>
      </c>
      <c r="D9" s="20">
        <v>4044</v>
      </c>
      <c r="E9" s="20">
        <v>0.38579999999999998</v>
      </c>
      <c r="F9" s="88">
        <v>0.40260000000000001</v>
      </c>
      <c r="G9" s="89">
        <v>305.5</v>
      </c>
      <c r="H9" s="20">
        <v>502.3</v>
      </c>
      <c r="I9" s="90">
        <v>254.3</v>
      </c>
      <c r="J9" s="48">
        <f t="shared" si="0"/>
        <v>0.31082920792079211</v>
      </c>
      <c r="K9" s="177">
        <v>467</v>
      </c>
      <c r="L9" s="178"/>
      <c r="M9" s="48">
        <f t="shared" si="1"/>
        <v>0.28898514851485146</v>
      </c>
      <c r="N9" s="231">
        <f>(1-K9/H9)/comp</f>
        <v>1.7569181763886139E-3</v>
      </c>
      <c r="O9" s="55">
        <f>$C9*$B$5/H9</f>
        <v>12868.803503882142</v>
      </c>
      <c r="P9" s="101">
        <f>$C9*$B$5/K9</f>
        <v>13841.541755888651</v>
      </c>
      <c r="Q9" s="11">
        <f>S9*Q$6+T9</f>
        <v>16516.571948906552</v>
      </c>
      <c r="R9" s="53">
        <f>Q9/R$6-1</f>
        <v>-1.7126570992460954E-2</v>
      </c>
      <c r="S9" s="103">
        <f>(P9-O9)/P$6</f>
        <v>24.318456300162733</v>
      </c>
      <c r="T9" s="105">
        <f>O9</f>
        <v>12868.803503882142</v>
      </c>
      <c r="U9" s="110">
        <f>-($T$7-$T9)/($S$7-$S9)</f>
        <v>154.45289668901728</v>
      </c>
      <c r="V9" s="103">
        <f>-($T$8-$T9)/($S$8-$S9)</f>
        <v>161.83107095666691</v>
      </c>
      <c r="W9" s="109"/>
      <c r="X9" s="10"/>
    </row>
    <row r="10" spans="2:24" ht="15.75" thickBot="1">
      <c r="B10" s="9" t="s">
        <v>3</v>
      </c>
      <c r="C10" s="17">
        <v>1790</v>
      </c>
      <c r="D10" s="21">
        <v>6520</v>
      </c>
      <c r="E10" s="21">
        <v>0.313</v>
      </c>
      <c r="F10" s="91">
        <v>0.32519999999999999</v>
      </c>
      <c r="G10" s="92">
        <v>426.8</v>
      </c>
      <c r="H10" s="21">
        <v>638.20000000000005</v>
      </c>
      <c r="I10" s="93">
        <v>573.9</v>
      </c>
      <c r="J10" s="49">
        <f t="shared" si="0"/>
        <v>0.35653631284916204</v>
      </c>
      <c r="K10" s="158">
        <v>547.5</v>
      </c>
      <c r="L10" s="159"/>
      <c r="M10" s="49">
        <f t="shared" si="1"/>
        <v>0.30586592178770949</v>
      </c>
      <c r="N10" s="232">
        <f>(1-K10/H10)/comp</f>
        <v>3.5529614540896286E-3</v>
      </c>
      <c r="O10" s="56">
        <f>$C10*$B$5/H10</f>
        <v>11219.053588216859</v>
      </c>
      <c r="P10" s="102">
        <f>$C10*$B$5/K10</f>
        <v>13077.625570776256</v>
      </c>
      <c r="Q10" s="12">
        <f>S10*Q$6+T10</f>
        <v>18188.698522814597</v>
      </c>
      <c r="R10" s="106">
        <f>Q10/R$6-1</f>
        <v>8.2378870240483959E-2</v>
      </c>
      <c r="S10" s="107">
        <f>(P10-O10)/P$6</f>
        <v>46.464299563984923</v>
      </c>
      <c r="T10" s="108">
        <f>O10</f>
        <v>11219.053588216859</v>
      </c>
      <c r="U10" s="111">
        <f>-($T$7-$T10)/($S$7-$S10)</f>
        <v>254.2846787382702</v>
      </c>
      <c r="V10" s="107">
        <f>-($T$8-$T10)/($S$8-$S10)</f>
        <v>443.23417321180608</v>
      </c>
      <c r="W10" s="108">
        <f>-($T$9-$T10)/($S$9-$S10)</f>
        <v>74.494788751636349</v>
      </c>
      <c r="X10" s="10"/>
    </row>
    <row r="11" spans="2:24" ht="15.75" thickBot="1"/>
    <row r="12" spans="2:24">
      <c r="M12" s="1">
        <f>compMSB/compLSB</f>
        <v>106</v>
      </c>
      <c r="P12" s="153" t="str">
        <f>"Comp Set="&amp;Q6&amp;", "&amp;Q6*0.05&amp;"% diode"</f>
        <v>Comp Set=150, 7.5% diode</v>
      </c>
      <c r="Q12" s="154"/>
      <c r="R12" s="154"/>
      <c r="S12" s="155"/>
      <c r="U12" s="166" t="s">
        <v>36</v>
      </c>
      <c r="V12" s="167"/>
      <c r="W12" s="168"/>
    </row>
    <row r="13" spans="2:24" ht="26.25">
      <c r="P13" s="181" t="s">
        <v>21</v>
      </c>
      <c r="Q13" s="182"/>
      <c r="R13" s="61">
        <f>IF(Q6&lt;64,Q6,IF(Q6&lt;(63+M12)/2, 63,IF(Q6&lt;M12,M12,IF(Q6&lt;63+M12,64+(Q6-M12),127) )))</f>
        <v>108</v>
      </c>
      <c r="S13" s="226" t="str">
        <f>"0x"&amp;DEC2HEX(IF(R13&lt;64,R13,128+R13-64))</f>
        <v>0xAC</v>
      </c>
      <c r="U13" s="169"/>
      <c r="V13" s="170"/>
      <c r="W13" s="171"/>
    </row>
    <row r="14" spans="2:24" ht="15.75" thickBot="1">
      <c r="P14" s="186" t="str">
        <f>"LS2LS= +/-"&amp;INT(((MAX(R7:R10)-MIN(R7:R10))*100+2)/2+0.5) &amp; "%"</f>
        <v>LS2LS= +/-7%</v>
      </c>
      <c r="Q14" s="187"/>
      <c r="R14" s="59"/>
      <c r="S14" s="60"/>
      <c r="U14" s="172"/>
      <c r="V14" s="173"/>
      <c r="W14" s="174"/>
    </row>
    <row r="16" spans="2:24" ht="15" customHeight="1"/>
    <row r="17" spans="2:23" ht="15" customHeight="1"/>
    <row r="18" spans="2:23" ht="15" customHeight="1"/>
    <row r="19" spans="2:23" ht="15" customHeight="1"/>
    <row r="20" spans="2:23" ht="15" customHeight="1"/>
    <row r="21" spans="2:23" ht="15" customHeight="1"/>
    <row r="22" spans="2:23" ht="15" customHeight="1"/>
    <row r="23" spans="2:23" ht="15.75" customHeight="1"/>
    <row r="24" spans="2:23" ht="15.75" thickBot="1">
      <c r="P24" s="84"/>
    </row>
    <row r="25" spans="2:23" ht="15" customHeight="1">
      <c r="B25" s="160" t="s">
        <v>22</v>
      </c>
      <c r="C25" s="161"/>
      <c r="D25" s="161"/>
      <c r="E25" s="161"/>
      <c r="F25" s="161"/>
      <c r="G25" s="161"/>
      <c r="H25" s="161"/>
      <c r="I25" s="161"/>
      <c r="J25" s="161"/>
      <c r="K25" s="161"/>
      <c r="L25" s="161"/>
      <c r="M25" s="161"/>
      <c r="N25" s="161"/>
      <c r="O25" s="161"/>
      <c r="P25" s="161"/>
      <c r="Q25" s="161"/>
      <c r="R25" s="161"/>
      <c r="S25" s="161"/>
      <c r="T25" s="161"/>
      <c r="U25" s="161"/>
      <c r="V25" s="161"/>
      <c r="W25" s="162"/>
    </row>
    <row r="26" spans="2:23" ht="15.75" customHeight="1" thickBot="1">
      <c r="B26" s="163"/>
      <c r="C26" s="164"/>
      <c r="D26" s="164"/>
      <c r="E26" s="164"/>
      <c r="F26" s="164"/>
      <c r="G26" s="164"/>
      <c r="H26" s="164"/>
      <c r="I26" s="164"/>
      <c r="J26" s="164"/>
      <c r="K26" s="164"/>
      <c r="L26" s="164"/>
      <c r="M26" s="164"/>
      <c r="N26" s="164"/>
      <c r="O26" s="164"/>
      <c r="P26" s="164"/>
      <c r="Q26" s="164"/>
      <c r="R26" s="164"/>
      <c r="S26" s="164"/>
      <c r="T26" s="164"/>
      <c r="U26" s="164"/>
      <c r="V26" s="164"/>
      <c r="W26" s="165"/>
    </row>
    <row r="27" spans="2:23" ht="15.75" thickBot="1"/>
    <row r="28" spans="2:23">
      <c r="B28" s="22">
        <f>fsr</f>
        <v>4000</v>
      </c>
      <c r="C28" s="143" t="s">
        <v>8</v>
      </c>
      <c r="D28" s="139"/>
      <c r="E28" s="139"/>
      <c r="F28" s="139"/>
      <c r="G28" s="139"/>
      <c r="H28" s="149"/>
      <c r="I28" s="150" t="str">
        <f>"Comp="&amp;R13&amp; " (GUI)"</f>
        <v>Comp=108 (GUI)</v>
      </c>
      <c r="J28" s="151"/>
      <c r="K28" s="151"/>
      <c r="L28" s="152"/>
      <c r="M28" s="148" t="s">
        <v>23</v>
      </c>
      <c r="N28" s="140"/>
      <c r="O28" s="183" t="s">
        <v>24</v>
      </c>
      <c r="P28" s="184"/>
      <c r="Q28" s="185"/>
      <c r="R28" s="150" t="s">
        <v>26</v>
      </c>
      <c r="S28" s="151"/>
      <c r="T28" s="152"/>
      <c r="U28" s="148" t="s">
        <v>32</v>
      </c>
      <c r="V28" s="139"/>
      <c r="W28" s="140"/>
    </row>
    <row r="29" spans="2:23" ht="15.75" thickBot="1">
      <c r="B29" s="23" t="s">
        <v>15</v>
      </c>
      <c r="C29" s="3" t="s">
        <v>4</v>
      </c>
      <c r="D29" s="4" t="s">
        <v>5</v>
      </c>
      <c r="E29" s="4" t="s">
        <v>6</v>
      </c>
      <c r="F29" s="4" t="s">
        <v>7</v>
      </c>
      <c r="G29" s="4" t="s">
        <v>29</v>
      </c>
      <c r="H29" s="40" t="s">
        <v>30</v>
      </c>
      <c r="I29" s="42" t="s">
        <v>9</v>
      </c>
      <c r="J29" s="43" t="s">
        <v>10</v>
      </c>
      <c r="K29" s="43" t="s">
        <v>11</v>
      </c>
      <c r="L29" s="41" t="s">
        <v>34</v>
      </c>
      <c r="M29" s="24" t="s">
        <v>6</v>
      </c>
      <c r="N29" s="5" t="s">
        <v>7</v>
      </c>
      <c r="O29" s="145" t="s">
        <v>25</v>
      </c>
      <c r="P29" s="146"/>
      <c r="Q29" s="147"/>
      <c r="R29" s="3" t="s">
        <v>27</v>
      </c>
      <c r="S29" s="4" t="s">
        <v>28</v>
      </c>
      <c r="T29" s="5" t="s">
        <v>5</v>
      </c>
      <c r="U29" s="24" t="s">
        <v>29</v>
      </c>
      <c r="V29" s="4" t="s">
        <v>30</v>
      </c>
      <c r="W29" s="5" t="s">
        <v>31</v>
      </c>
    </row>
    <row r="30" spans="2:23" s="84" customFormat="1">
      <c r="B30" s="70" t="s">
        <v>0</v>
      </c>
      <c r="C30" s="94">
        <f t="shared" ref="C30:F33" si="2">C7</f>
        <v>1860</v>
      </c>
      <c r="D30" s="95">
        <f t="shared" si="2"/>
        <v>2348</v>
      </c>
      <c r="E30" s="95">
        <f t="shared" si="2"/>
        <v>0.49399999999999999</v>
      </c>
      <c r="F30" s="95">
        <f t="shared" si="2"/>
        <v>0.41799999999999998</v>
      </c>
      <c r="G30" s="71">
        <f t="shared" ref="G30:H30" si="3">getUfromXY(E30,F30)</f>
        <v>0.28116107000569152</v>
      </c>
      <c r="H30" s="72">
        <f t="shared" si="3"/>
        <v>0.30191770978200949</v>
      </c>
      <c r="I30" s="73">
        <f>G7</f>
        <v>1455</v>
      </c>
      <c r="J30" s="69">
        <f>B$5/Q7*C7</f>
        <v>455.35287341610143</v>
      </c>
      <c r="K30" s="69">
        <f>I7</f>
        <v>677</v>
      </c>
      <c r="L30" s="74">
        <f>J30/C30</f>
        <v>0.24481337280435561</v>
      </c>
      <c r="M30" s="75">
        <f t="shared" ref="M30:N33" si="4">I30/SUM($I30:$K30)</f>
        <v>0.56235081613701676</v>
      </c>
      <c r="N30" s="76">
        <f t="shared" si="4"/>
        <v>0.1759917938116016</v>
      </c>
      <c r="O30" s="77">
        <f t="array" ref="O30:Q30">LINEST(E30:E33,M30:N33)</f>
        <v>0.42323107766163848</v>
      </c>
      <c r="P30" s="78">
        <v>0.82471252424748465</v>
      </c>
      <c r="Q30" s="79">
        <v>-5.7716172642480176E-2</v>
      </c>
      <c r="R30" s="80">
        <f>O$32*M30+P$32*N30+Q$32</f>
        <v>0.48054678500100101</v>
      </c>
      <c r="S30" s="71">
        <f>O$33*M30+P$33*N30+Q$33</f>
        <v>0.41363047873833603</v>
      </c>
      <c r="T30" s="81">
        <f>getCCTfromXY(R30,S30,4)</f>
        <v>2460</v>
      </c>
      <c r="U30" s="82">
        <f>getUfromXY(R30,S30)</f>
        <v>0.2745012178563887</v>
      </c>
      <c r="V30" s="71">
        <f>getUfromXY(S30,U30)</f>
        <v>0.30265163181357463</v>
      </c>
      <c r="W30" s="83">
        <f>((U30-G30)^2+(V30-H30)^2)^0.5</f>
        <v>6.7001695649431146E-3</v>
      </c>
    </row>
    <row r="31" spans="2:23">
      <c r="B31" s="8" t="s">
        <v>1</v>
      </c>
      <c r="C31" s="96">
        <f t="shared" si="2"/>
        <v>3030</v>
      </c>
      <c r="D31" s="97">
        <f t="shared" si="2"/>
        <v>2865</v>
      </c>
      <c r="E31" s="97">
        <f t="shared" si="2"/>
        <v>0.44919999999999999</v>
      </c>
      <c r="F31" s="97">
        <f t="shared" si="2"/>
        <v>0.41120000000000001</v>
      </c>
      <c r="G31" s="30">
        <f t="shared" ref="G31:H31" si="5">getUfromXY(E31,F31)</f>
        <v>0.25537237066515062</v>
      </c>
      <c r="H31" s="34">
        <f t="shared" si="5"/>
        <v>0.3137692718669568</v>
      </c>
      <c r="I31" s="16">
        <f>G8</f>
        <v>1671</v>
      </c>
      <c r="J31" s="20">
        <f t="shared" ref="J31:J33" si="6">B$5/Q8*C8</f>
        <v>749.38575572027071</v>
      </c>
      <c r="K31" s="15">
        <f>I8</f>
        <v>817</v>
      </c>
      <c r="L31" s="45">
        <f>J31/C31</f>
        <v>0.24732203159084842</v>
      </c>
      <c r="M31" s="51">
        <f t="shared" si="4"/>
        <v>0.51615721019573924</v>
      </c>
      <c r="N31" s="26">
        <f t="shared" si="4"/>
        <v>0.23147867207241213</v>
      </c>
      <c r="O31" s="25">
        <f t="array" ref="O31:Q31">LINEST(F30:F33,M30:N33)</f>
        <v>0.51967054268002089</v>
      </c>
      <c r="P31" s="29">
        <v>0.55917346839996718</v>
      </c>
      <c r="Q31" s="28">
        <v>7.7210714241428002E-3</v>
      </c>
      <c r="R31" s="31">
        <f>O$32*M31+P$32*N31+Q$32</f>
        <v>0.46593411092347947</v>
      </c>
      <c r="S31" s="30">
        <f>O$33*M31+P$33*N31+Q$33</f>
        <v>0.4166351360236662</v>
      </c>
      <c r="T31" s="227">
        <f t="shared" ref="T31:T33" si="7">getCCTfromXY(R31,S31,4)</f>
        <v>2610</v>
      </c>
      <c r="U31" s="38">
        <f>getUfromXY(R31,S31)</f>
        <v>0.26369573688602604</v>
      </c>
      <c r="V31" s="30">
        <f>getUfromXY(S31,U31)</f>
        <v>0.31260851289831865</v>
      </c>
      <c r="W31" s="36">
        <f>((U31-G31)^2+(V31-H31)^2)^0.5</f>
        <v>8.4039149585228429E-3</v>
      </c>
    </row>
    <row r="32" spans="2:23">
      <c r="B32" s="7" t="s">
        <v>2</v>
      </c>
      <c r="C32" s="96">
        <f t="shared" si="2"/>
        <v>1616</v>
      </c>
      <c r="D32" s="97">
        <f t="shared" si="2"/>
        <v>4044</v>
      </c>
      <c r="E32" s="97">
        <f t="shared" si="2"/>
        <v>0.38579999999999998</v>
      </c>
      <c r="F32" s="97">
        <f t="shared" si="2"/>
        <v>0.40260000000000001</v>
      </c>
      <c r="G32" s="30">
        <f t="shared" ref="G32:H32" si="8">getUfromXY(E32,F32)</f>
        <v>0.21859595444501104</v>
      </c>
      <c r="H32" s="34">
        <f t="shared" si="8"/>
        <v>0.33424994327901769</v>
      </c>
      <c r="I32" s="16">
        <f>G9</f>
        <v>305.5</v>
      </c>
      <c r="J32" s="20">
        <f t="shared" si="6"/>
        <v>391.36450469238787</v>
      </c>
      <c r="K32" s="15">
        <f>I9</f>
        <v>254.3</v>
      </c>
      <c r="L32" s="45">
        <f t="shared" ref="L32:L33" si="9">J32/C32</f>
        <v>0.2421810053789529</v>
      </c>
      <c r="M32" s="51">
        <f t="shared" si="4"/>
        <v>0.32118524029531614</v>
      </c>
      <c r="N32" s="26">
        <f t="shared" si="4"/>
        <v>0.41145827326573481</v>
      </c>
      <c r="O32" s="31">
        <f>P30</f>
        <v>0.82471252424748465</v>
      </c>
      <c r="P32" s="30">
        <f>O30</f>
        <v>0.42323107766163848</v>
      </c>
      <c r="Q32" s="34">
        <f>Q30</f>
        <v>-5.7716172642480176E-2</v>
      </c>
      <c r="R32" s="31">
        <f>O$32*M32+P$32*N32+Q$32</f>
        <v>0.38131124603955879</v>
      </c>
      <c r="S32" s="30">
        <f>O$33*M32+P$33*N32+Q$33</f>
        <v>0.40114208039714039</v>
      </c>
      <c r="T32" s="227">
        <f t="shared" si="7"/>
        <v>3760</v>
      </c>
      <c r="U32" s="38">
        <f>getUfromXY(R32,S32)</f>
        <v>0.2163135929932038</v>
      </c>
      <c r="V32" s="30">
        <f>getUfromXY(S32,U32)</f>
        <v>0.33473982813115294</v>
      </c>
      <c r="W32" s="36">
        <f>((U32-G32)^2+(V32-H32)^2)^0.5</f>
        <v>2.3343437975258123E-3</v>
      </c>
    </row>
    <row r="33" spans="2:23" ht="15.75" thickBot="1">
      <c r="B33" s="9" t="s">
        <v>3</v>
      </c>
      <c r="C33" s="98">
        <f t="shared" si="2"/>
        <v>1790</v>
      </c>
      <c r="D33" s="99">
        <f t="shared" si="2"/>
        <v>6520</v>
      </c>
      <c r="E33" s="99">
        <f t="shared" si="2"/>
        <v>0.313</v>
      </c>
      <c r="F33" s="99">
        <f t="shared" si="2"/>
        <v>0.32519999999999999</v>
      </c>
      <c r="G33" s="33">
        <f t="shared" ref="G33:H33" si="10">getUfromXY(E33,F33)</f>
        <v>0.19947740743101142</v>
      </c>
      <c r="H33" s="35">
        <f t="shared" si="10"/>
        <v>0.27423778329379794</v>
      </c>
      <c r="I33" s="19">
        <f>G10</f>
        <v>426.8</v>
      </c>
      <c r="J33" s="21">
        <f t="shared" si="6"/>
        <v>393.65103506548365</v>
      </c>
      <c r="K33" s="18">
        <f>I10</f>
        <v>573.9</v>
      </c>
      <c r="L33" s="46">
        <f t="shared" si="9"/>
        <v>0.21991677936619197</v>
      </c>
      <c r="M33" s="52">
        <f t="shared" si="4"/>
        <v>0.30609221728727437</v>
      </c>
      <c r="N33" s="27">
        <f t="shared" si="4"/>
        <v>0.2823184586706291</v>
      </c>
      <c r="O33" s="32">
        <f>P31</f>
        <v>0.55917346839996718</v>
      </c>
      <c r="P33" s="33">
        <f>O31</f>
        <v>0.51967054268002089</v>
      </c>
      <c r="Q33" s="35">
        <f>Q31</f>
        <v>7.7210714241428002E-3</v>
      </c>
      <c r="R33" s="32">
        <f>O$32*M33+P$32*N33+Q$32</f>
        <v>0.31420785803596052</v>
      </c>
      <c r="S33" s="33">
        <f>O$33*M33+P$33*N33+Q$33</f>
        <v>0.32559230484085727</v>
      </c>
      <c r="T33" s="228">
        <f t="shared" si="7"/>
        <v>6420</v>
      </c>
      <c r="U33" s="39">
        <f>getUfromXY(R33,S33)</f>
        <v>0.20017408781164336</v>
      </c>
      <c r="V33" s="33">
        <f>getUfromXY(S33,U33)</f>
        <v>0.27413079650387678</v>
      </c>
      <c r="W33" s="37">
        <f>((U33-G33)^2+(V33-H33)^2)^0.5</f>
        <v>7.048473068510014E-4</v>
      </c>
    </row>
    <row r="34" spans="2:23" ht="15.75" thickBot="1"/>
    <row r="35" spans="2:23" ht="24.75" thickBot="1">
      <c r="I35" s="223" t="s">
        <v>47</v>
      </c>
      <c r="J35" s="224"/>
      <c r="K35" s="225"/>
      <c r="O35" s="192" t="s">
        <v>45</v>
      </c>
      <c r="P35" s="193"/>
      <c r="Q35" s="193"/>
      <c r="R35" s="194"/>
      <c r="T35" s="192" t="s">
        <v>46</v>
      </c>
      <c r="U35" s="193"/>
      <c r="V35" s="193"/>
      <c r="W35" s="194"/>
    </row>
    <row r="36" spans="2:23" ht="21" thickBot="1">
      <c r="I36" s="189" t="s">
        <v>48</v>
      </c>
      <c r="J36" s="190"/>
      <c r="K36" s="191"/>
      <c r="O36" s="195" t="s">
        <v>41</v>
      </c>
      <c r="P36" s="196"/>
      <c r="Q36" s="197">
        <f>O32</f>
        <v>0.82471252424748465</v>
      </c>
      <c r="R36" s="198"/>
      <c r="T36" s="195" t="s">
        <v>41</v>
      </c>
      <c r="U36" s="196"/>
      <c r="V36" s="197">
        <f>O33</f>
        <v>0.55917346839996718</v>
      </c>
      <c r="W36" s="198"/>
    </row>
    <row r="37" spans="2:23" ht="20.25">
      <c r="O37" s="199" t="s">
        <v>42</v>
      </c>
      <c r="P37" s="200"/>
      <c r="Q37" s="201">
        <f>P32</f>
        <v>0.42323107766163848</v>
      </c>
      <c r="R37" s="202"/>
      <c r="T37" s="199" t="s">
        <v>42</v>
      </c>
      <c r="U37" s="200"/>
      <c r="V37" s="201">
        <f>P33</f>
        <v>0.51967054268002089</v>
      </c>
      <c r="W37" s="202"/>
    </row>
    <row r="38" spans="2:23" ht="21" thickBot="1">
      <c r="O38" s="203" t="s">
        <v>43</v>
      </c>
      <c r="P38" s="204"/>
      <c r="Q38" s="205">
        <f>Q32</f>
        <v>-5.7716172642480176E-2</v>
      </c>
      <c r="R38" s="206"/>
      <c r="T38" s="203" t="s">
        <v>43</v>
      </c>
      <c r="U38" s="204"/>
      <c r="V38" s="205">
        <f>Q33</f>
        <v>7.7210714241428002E-3</v>
      </c>
      <c r="W38" s="206"/>
    </row>
    <row r="39" spans="2:23" ht="15.75" thickBot="1"/>
    <row r="40" spans="2:23" ht="15" customHeight="1">
      <c r="B40" s="160" t="s">
        <v>33</v>
      </c>
      <c r="C40" s="161"/>
      <c r="D40" s="161"/>
      <c r="E40" s="161"/>
      <c r="F40" s="161"/>
      <c r="G40" s="161"/>
      <c r="H40" s="161"/>
      <c r="I40" s="161"/>
      <c r="J40" s="161"/>
      <c r="K40" s="161"/>
      <c r="L40" s="161"/>
      <c r="M40" s="161"/>
      <c r="N40" s="161"/>
      <c r="O40" s="161"/>
      <c r="P40" s="161"/>
      <c r="Q40" s="161"/>
      <c r="R40" s="161"/>
      <c r="S40" s="161"/>
      <c r="T40" s="161"/>
      <c r="U40" s="161"/>
      <c r="V40" s="161"/>
      <c r="W40" s="162"/>
    </row>
    <row r="41" spans="2:23" ht="15.75" customHeight="1" thickBot="1">
      <c r="B41" s="163"/>
      <c r="C41" s="164"/>
      <c r="D41" s="164"/>
      <c r="E41" s="164"/>
      <c r="F41" s="164"/>
      <c r="G41" s="164"/>
      <c r="H41" s="164"/>
      <c r="I41" s="164"/>
      <c r="J41" s="164"/>
      <c r="K41" s="164"/>
      <c r="L41" s="164"/>
      <c r="M41" s="164"/>
      <c r="N41" s="164"/>
      <c r="O41" s="164"/>
      <c r="P41" s="164"/>
      <c r="Q41" s="164"/>
      <c r="R41" s="164"/>
      <c r="S41" s="164"/>
      <c r="T41" s="164"/>
      <c r="U41" s="164"/>
      <c r="V41" s="164"/>
      <c r="W41" s="165"/>
    </row>
    <row r="42" spans="2:23" ht="15.75" thickBot="1"/>
    <row r="43" spans="2:23" ht="15" customHeight="1" thickBot="1">
      <c r="C43" s="133" t="str">
        <f>C28</f>
        <v>CL-200A</v>
      </c>
      <c r="D43" s="134" t="str">
        <f>J29</f>
        <v>G</v>
      </c>
      <c r="E43" s="134" t="str">
        <f>N5</f>
        <v>IR</v>
      </c>
      <c r="F43" s="134" t="str">
        <f>T29</f>
        <v>CCT</v>
      </c>
      <c r="G43" s="134" t="str">
        <f>C29</f>
        <v>Lux</v>
      </c>
      <c r="H43" s="135" t="s">
        <v>37</v>
      </c>
      <c r="J43" s="207" t="s">
        <v>40</v>
      </c>
      <c r="K43" s="208"/>
      <c r="L43" s="208"/>
      <c r="M43" s="208"/>
      <c r="N43" s="208"/>
      <c r="O43" s="209"/>
      <c r="P43" s="188"/>
      <c r="Q43" s="188"/>
    </row>
    <row r="44" spans="2:23" ht="15" customHeight="1">
      <c r="C44" s="129">
        <f>C30</f>
        <v>1860</v>
      </c>
      <c r="D44" s="130">
        <f>J30</f>
        <v>455.35287341610143</v>
      </c>
      <c r="E44" s="131">
        <f>N7</f>
        <v>6.9206492335437322E-3</v>
      </c>
      <c r="F44" s="130">
        <f>T30</f>
        <v>2460</v>
      </c>
      <c r="G44" s="130">
        <f>C$49*D44+D$49*E44+E$49*F44+F$49</f>
        <v>1859.9999999999998</v>
      </c>
      <c r="H44" s="132">
        <f>G44/C44-1</f>
        <v>0</v>
      </c>
      <c r="J44" s="210"/>
      <c r="K44" s="211"/>
      <c r="L44" s="211"/>
      <c r="M44" s="211"/>
      <c r="N44" s="211"/>
      <c r="O44" s="212"/>
      <c r="P44" s="188"/>
      <c r="Q44" s="188"/>
    </row>
    <row r="45" spans="2:23" ht="15" customHeight="1" thickBot="1">
      <c r="C45" s="127">
        <f>C31</f>
        <v>3030</v>
      </c>
      <c r="D45" s="125">
        <f>J31</f>
        <v>749.38575572027071</v>
      </c>
      <c r="E45" s="126">
        <f>N8</f>
        <v>5.1753202966958872E-3</v>
      </c>
      <c r="F45" s="125">
        <f>T31</f>
        <v>2610</v>
      </c>
      <c r="G45" s="125">
        <f>C$49*D45+D$49*E45+E$49*F45+F$49</f>
        <v>3030.0000000000005</v>
      </c>
      <c r="H45" s="128">
        <f t="shared" ref="H45:H47" si="11">G45/C45-1</f>
        <v>0</v>
      </c>
      <c r="J45" s="213"/>
      <c r="K45" s="214"/>
      <c r="L45" s="214"/>
      <c r="M45" s="214"/>
      <c r="N45" s="214"/>
      <c r="O45" s="215"/>
    </row>
    <row r="46" spans="2:23" ht="20.25">
      <c r="C46" s="127">
        <f>C32</f>
        <v>1616</v>
      </c>
      <c r="D46" s="125">
        <f>J32</f>
        <v>391.36450469238787</v>
      </c>
      <c r="E46" s="126">
        <f>N9</f>
        <v>1.7569181763886139E-3</v>
      </c>
      <c r="F46" s="125">
        <f>T32</f>
        <v>3760</v>
      </c>
      <c r="G46" s="125">
        <f>C$49*D46+D$49*E46+E$49*F46+F$49</f>
        <v>1615.9999999999998</v>
      </c>
      <c r="H46" s="128">
        <f t="shared" si="11"/>
        <v>0</v>
      </c>
      <c r="J46" s="216" t="s">
        <v>41</v>
      </c>
      <c r="K46" s="197"/>
      <c r="L46" s="197"/>
      <c r="M46" s="197">
        <f>C49</f>
        <v>4.0176684579353754</v>
      </c>
      <c r="N46" s="197"/>
      <c r="O46" s="198"/>
    </row>
    <row r="47" spans="2:23" ht="21" thickBot="1">
      <c r="C47" s="3">
        <f>C33</f>
        <v>1790</v>
      </c>
      <c r="D47" s="4">
        <f>J33</f>
        <v>393.65103506548365</v>
      </c>
      <c r="E47" s="136">
        <f>N10</f>
        <v>3.5529614540896286E-3</v>
      </c>
      <c r="F47" s="4">
        <f>T33</f>
        <v>6420</v>
      </c>
      <c r="G47" s="4">
        <f>C$49*D47+D$49*E47+E$49*F47+F$49</f>
        <v>1790.0000000000002</v>
      </c>
      <c r="H47" s="137">
        <f t="shared" si="11"/>
        <v>0</v>
      </c>
      <c r="J47" s="217" t="s">
        <v>42</v>
      </c>
      <c r="K47" s="218"/>
      <c r="L47" s="218"/>
      <c r="M47" s="218">
        <f>D49</f>
        <v>11166.75138696417</v>
      </c>
      <c r="N47" s="218"/>
      <c r="O47" s="219"/>
    </row>
    <row r="48" spans="2:23" ht="20.25">
      <c r="C48" s="121">
        <f t="array" ref="C48:F48">LINEST(C44:C47,D44:F47)</f>
        <v>5.4420116646461063E-2</v>
      </c>
      <c r="D48" s="123">
        <v>11166.75138696417</v>
      </c>
      <c r="E48" s="138">
        <v>4.0176684579353754</v>
      </c>
      <c r="F48" s="123">
        <v>-180.61153313177167</v>
      </c>
      <c r="G48" s="139" t="s">
        <v>38</v>
      </c>
      <c r="H48" s="140"/>
      <c r="J48" s="217" t="s">
        <v>43</v>
      </c>
      <c r="K48" s="218"/>
      <c r="L48" s="218"/>
      <c r="M48" s="218">
        <f>E49</f>
        <v>5.4420116646461063E-2</v>
      </c>
      <c r="N48" s="218"/>
      <c r="O48" s="219"/>
    </row>
    <row r="49" spans="3:15" ht="21" thickBot="1">
      <c r="C49" s="122">
        <f>E48</f>
        <v>4.0176684579353754</v>
      </c>
      <c r="D49" s="124">
        <f>D48</f>
        <v>11166.75138696417</v>
      </c>
      <c r="E49" s="124">
        <f>C48</f>
        <v>5.4420116646461063E-2</v>
      </c>
      <c r="F49" s="124">
        <f>F48</f>
        <v>-180.61153313177167</v>
      </c>
      <c r="G49" s="141" t="s">
        <v>39</v>
      </c>
      <c r="H49" s="142"/>
      <c r="J49" s="220" t="s">
        <v>44</v>
      </c>
      <c r="K49" s="221"/>
      <c r="L49" s="221"/>
      <c r="M49" s="221">
        <f>F49</f>
        <v>-180.61153313177167</v>
      </c>
      <c r="N49" s="221"/>
      <c r="O49" s="222"/>
    </row>
  </sheetData>
  <mergeCells count="53">
    <mergeCell ref="T35:W35"/>
    <mergeCell ref="T36:U36"/>
    <mergeCell ref="V36:W36"/>
    <mergeCell ref="T37:U37"/>
    <mergeCell ref="V37:W37"/>
    <mergeCell ref="T38:U38"/>
    <mergeCell ref="V38:W38"/>
    <mergeCell ref="I35:K35"/>
    <mergeCell ref="I36:K36"/>
    <mergeCell ref="M46:O46"/>
    <mergeCell ref="M47:O47"/>
    <mergeCell ref="M48:O48"/>
    <mergeCell ref="M49:O49"/>
    <mergeCell ref="O35:R35"/>
    <mergeCell ref="O36:P36"/>
    <mergeCell ref="Q36:R36"/>
    <mergeCell ref="O37:P37"/>
    <mergeCell ref="O38:P38"/>
    <mergeCell ref="Q37:R37"/>
    <mergeCell ref="Q38:R38"/>
    <mergeCell ref="B2:W3"/>
    <mergeCell ref="B25:W26"/>
    <mergeCell ref="B40:W41"/>
    <mergeCell ref="U12:W14"/>
    <mergeCell ref="K7:L7"/>
    <mergeCell ref="K8:L8"/>
    <mergeCell ref="K9:L9"/>
    <mergeCell ref="G5:J5"/>
    <mergeCell ref="K5:L5"/>
    <mergeCell ref="U5:V5"/>
    <mergeCell ref="P13:Q13"/>
    <mergeCell ref="M28:N28"/>
    <mergeCell ref="O28:Q28"/>
    <mergeCell ref="P14:Q14"/>
    <mergeCell ref="U28:W28"/>
    <mergeCell ref="C28:H28"/>
    <mergeCell ref="R28:T28"/>
    <mergeCell ref="I28:L28"/>
    <mergeCell ref="P12:S12"/>
    <mergeCell ref="G48:H48"/>
    <mergeCell ref="G49:H49"/>
    <mergeCell ref="C5:F5"/>
    <mergeCell ref="K6:L6"/>
    <mergeCell ref="O29:Q29"/>
    <mergeCell ref="Q5:S5"/>
    <mergeCell ref="K10:L10"/>
    <mergeCell ref="N5:N6"/>
    <mergeCell ref="O5:P5"/>
    <mergeCell ref="J43:O45"/>
    <mergeCell ref="J46:L46"/>
    <mergeCell ref="J47:L47"/>
    <mergeCell ref="J48:L48"/>
    <mergeCell ref="J49:L49"/>
  </mergeCells>
  <pageMargins left="0.7" right="0.7" top="0.75" bottom="0.75" header="0.3" footer="0.3"/>
  <ignoredErrors>
    <ignoredError sqref="J30:J33" formula="1"/>
  </ignoredErrors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5</vt:i4>
      </vt:variant>
    </vt:vector>
  </HeadingPairs>
  <TitlesOfParts>
    <vt:vector size="6" baseType="lpstr">
      <vt:lpstr>Sheet1</vt:lpstr>
      <vt:lpstr>comp</vt:lpstr>
      <vt:lpstr>compLSB</vt:lpstr>
      <vt:lpstr>compMSB</vt:lpstr>
      <vt:lpstr>compTarget</vt:lpstr>
      <vt:lpstr>fsr</vt:lpstr>
    </vt:vector>
  </TitlesOfParts>
  <Company>Intersil Corporation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jgetchel</dc:creator>
  <cp:lastModifiedBy>jgetchel</cp:lastModifiedBy>
  <dcterms:created xsi:type="dcterms:W3CDTF">2013-07-19T02:32:10Z</dcterms:created>
  <dcterms:modified xsi:type="dcterms:W3CDTF">2013-07-20T01:52:48Z</dcterms:modified>
</cp:coreProperties>
</file>