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70" yWindow="435" windowWidth="13830" windowHeight="6270"/>
  </bookViews>
  <sheets>
    <sheet name="Summary" sheetId="9" r:id="rId1"/>
    <sheet name="Calculations" sheetId="8" r:id="rId2"/>
    <sheet name="sdata0" sheetId="4" r:id="rId3"/>
    <sheet name="sdata1" sheetId="5" r:id="rId4"/>
    <sheet name="data0" sheetId="10" r:id="rId5"/>
    <sheet name="data1" sheetId="11" r:id="rId6"/>
  </sheets>
  <functionGroups/>
  <definedNames>
    <definedName name="dataScale">Calculations!$B$5</definedName>
    <definedName name="_xlnm.Print_Area" localSheetId="0">Summary!$A$1:$H$36</definedName>
  </definedNames>
  <calcPr calcId="125725"/>
</workbook>
</file>

<file path=xl/calcChain.xml><?xml version="1.0" encoding="utf-8"?>
<calcChain xmlns="http://schemas.openxmlformats.org/spreadsheetml/2006/main">
  <c r="T3" i="8"/>
  <c r="AR156"/>
  <c r="AR157" s="1"/>
  <c r="AR88"/>
  <c r="AR89" s="1"/>
  <c r="AR90" s="1"/>
  <c r="AR91" s="1"/>
  <c r="AR92" s="1"/>
  <c r="AR93" s="1"/>
  <c r="AR94" s="1"/>
  <c r="AR95" s="1"/>
  <c r="AR96" s="1"/>
  <c r="AR97" s="1"/>
  <c r="AR98" s="1"/>
  <c r="AR99" s="1"/>
  <c r="AR100" s="1"/>
  <c r="AR101" s="1"/>
  <c r="AR102" s="1"/>
  <c r="AR103" s="1"/>
  <c r="AR104" s="1"/>
  <c r="AR105" s="1"/>
  <c r="AR106" s="1"/>
  <c r="AR107" s="1"/>
  <c r="AR108" s="1"/>
  <c r="AR109" s="1"/>
  <c r="AR110" s="1"/>
  <c r="AR111" s="1"/>
  <c r="AR112" s="1"/>
  <c r="AR113" s="1"/>
  <c r="AR114" s="1"/>
  <c r="AR115" s="1"/>
  <c r="AR116" s="1"/>
  <c r="AR117" s="1"/>
  <c r="AR118" s="1"/>
  <c r="AR119" s="1"/>
  <c r="AR120" s="1"/>
  <c r="AR121" s="1"/>
  <c r="AR122" s="1"/>
  <c r="AR123" s="1"/>
  <c r="AR124" s="1"/>
  <c r="AR125" s="1"/>
  <c r="AR126" s="1"/>
  <c r="AR127" s="1"/>
  <c r="AR128" s="1"/>
  <c r="AR129" s="1"/>
  <c r="AR130" s="1"/>
  <c r="AR131" s="1"/>
  <c r="AR132" s="1"/>
  <c r="AR133" s="1"/>
  <c r="AR134" s="1"/>
  <c r="AR135" s="1"/>
  <c r="AR136" s="1"/>
  <c r="AR137" s="1"/>
  <c r="AR138" s="1"/>
  <c r="AR139" s="1"/>
  <c r="AR140" s="1"/>
  <c r="AR141" s="1"/>
  <c r="AR142" s="1"/>
  <c r="AR143" s="1"/>
  <c r="AR144" s="1"/>
  <c r="AR145" s="1"/>
  <c r="AR146" s="1"/>
  <c r="AR147" s="1"/>
  <c r="AR148" s="1"/>
  <c r="AR149" s="1"/>
  <c r="AR150" s="1"/>
  <c r="AR151" s="1"/>
  <c r="AR152" s="1"/>
  <c r="AR153" s="1"/>
  <c r="AR154" s="1"/>
  <c r="AR155" s="1"/>
  <c r="L152" i="4"/>
  <c r="K152"/>
  <c r="J152"/>
  <c r="I152"/>
  <c r="H152"/>
  <c r="G152"/>
  <c r="F152"/>
  <c r="E152"/>
  <c r="D152"/>
  <c r="C152"/>
  <c r="B152"/>
  <c r="AS157" i="8" s="1"/>
  <c r="AX157" s="1"/>
  <c r="L151" i="4"/>
  <c r="K151"/>
  <c r="J151"/>
  <c r="I151"/>
  <c r="H151"/>
  <c r="G151"/>
  <c r="F151"/>
  <c r="E151"/>
  <c r="D151"/>
  <c r="C151"/>
  <c r="B151"/>
  <c r="AS156" i="8" s="1"/>
  <c r="AX156" s="1"/>
  <c r="L150" i="4"/>
  <c r="K150"/>
  <c r="J150"/>
  <c r="I150"/>
  <c r="H150"/>
  <c r="G150"/>
  <c r="F150"/>
  <c r="E150"/>
  <c r="D150"/>
  <c r="C150"/>
  <c r="B150"/>
  <c r="AT155" i="8" s="1"/>
  <c r="L149" i="4"/>
  <c r="K149"/>
  <c r="J149"/>
  <c r="I149"/>
  <c r="H149"/>
  <c r="G149"/>
  <c r="F149"/>
  <c r="E149"/>
  <c r="D149"/>
  <c r="C149"/>
  <c r="B149"/>
  <c r="AT154" i="8" s="1"/>
  <c r="L148" i="4"/>
  <c r="K148"/>
  <c r="J148"/>
  <c r="I148"/>
  <c r="H148"/>
  <c r="G148"/>
  <c r="F148"/>
  <c r="E148"/>
  <c r="D148"/>
  <c r="C148"/>
  <c r="B148"/>
  <c r="AT153" i="8" s="1"/>
  <c r="L147" i="4"/>
  <c r="K147"/>
  <c r="J147"/>
  <c r="I147"/>
  <c r="H147"/>
  <c r="G147"/>
  <c r="F147"/>
  <c r="E147"/>
  <c r="D147"/>
  <c r="C147"/>
  <c r="B147"/>
  <c r="AT152" i="8" s="1"/>
  <c r="L146" i="4"/>
  <c r="K146"/>
  <c r="J146"/>
  <c r="I146"/>
  <c r="H146"/>
  <c r="G146"/>
  <c r="F146"/>
  <c r="E146"/>
  <c r="D146"/>
  <c r="C146"/>
  <c r="B146"/>
  <c r="AT151" i="8" s="1"/>
  <c r="L145" i="4"/>
  <c r="K145"/>
  <c r="J145"/>
  <c r="I145"/>
  <c r="H145"/>
  <c r="G145"/>
  <c r="F145"/>
  <c r="E145"/>
  <c r="D145"/>
  <c r="C145"/>
  <c r="B145"/>
  <c r="AT150" i="8" s="1"/>
  <c r="L144" i="4"/>
  <c r="K144"/>
  <c r="J144"/>
  <c r="I144"/>
  <c r="H144"/>
  <c r="G144"/>
  <c r="F144"/>
  <c r="E144"/>
  <c r="D144"/>
  <c r="C144"/>
  <c r="B144"/>
  <c r="AT149" i="8" s="1"/>
  <c r="L143" i="4"/>
  <c r="K143"/>
  <c r="J143"/>
  <c r="I143"/>
  <c r="H143"/>
  <c r="G143"/>
  <c r="F143"/>
  <c r="E143"/>
  <c r="D143"/>
  <c r="C143"/>
  <c r="B143"/>
  <c r="AT148" i="8" s="1"/>
  <c r="L142" i="4"/>
  <c r="K142"/>
  <c r="J142"/>
  <c r="I142"/>
  <c r="H142"/>
  <c r="G142"/>
  <c r="F142"/>
  <c r="E142"/>
  <c r="D142"/>
  <c r="C142"/>
  <c r="B142"/>
  <c r="AT147" i="8" s="1"/>
  <c r="L141" i="4"/>
  <c r="K141"/>
  <c r="J141"/>
  <c r="I141"/>
  <c r="H141"/>
  <c r="G141"/>
  <c r="F141"/>
  <c r="E141"/>
  <c r="D141"/>
  <c r="C141"/>
  <c r="B141"/>
  <c r="AT146" i="8" s="1"/>
  <c r="L140" i="4"/>
  <c r="K140"/>
  <c r="J140"/>
  <c r="I140"/>
  <c r="H140"/>
  <c r="G140"/>
  <c r="F140"/>
  <c r="E140"/>
  <c r="D140"/>
  <c r="C140"/>
  <c r="B140"/>
  <c r="AT145" i="8" s="1"/>
  <c r="L139" i="4"/>
  <c r="K139"/>
  <c r="J139"/>
  <c r="I139"/>
  <c r="H139"/>
  <c r="G139"/>
  <c r="F139"/>
  <c r="E139"/>
  <c r="D139"/>
  <c r="C139"/>
  <c r="B139"/>
  <c r="AT144" i="8" s="1"/>
  <c r="L138" i="4"/>
  <c r="K138"/>
  <c r="J138"/>
  <c r="I138"/>
  <c r="H138"/>
  <c r="G138"/>
  <c r="F138"/>
  <c r="E138"/>
  <c r="D138"/>
  <c r="C138"/>
  <c r="B138"/>
  <c r="AT143" i="8" s="1"/>
  <c r="L137" i="4"/>
  <c r="K137"/>
  <c r="J137"/>
  <c r="I137"/>
  <c r="H137"/>
  <c r="G137"/>
  <c r="F137"/>
  <c r="E137"/>
  <c r="D137"/>
  <c r="C137"/>
  <c r="B137"/>
  <c r="AT142" i="8" s="1"/>
  <c r="L136" i="4"/>
  <c r="K136"/>
  <c r="J136"/>
  <c r="I136"/>
  <c r="H136"/>
  <c r="G136"/>
  <c r="F136"/>
  <c r="E136"/>
  <c r="D136"/>
  <c r="C136"/>
  <c r="B136"/>
  <c r="AT141" i="8" s="1"/>
  <c r="L135" i="4"/>
  <c r="K135"/>
  <c r="J135"/>
  <c r="I135"/>
  <c r="H135"/>
  <c r="G135"/>
  <c r="F135"/>
  <c r="E135"/>
  <c r="D135"/>
  <c r="C135"/>
  <c r="B135"/>
  <c r="AT140" i="8" s="1"/>
  <c r="L134" i="4"/>
  <c r="K134"/>
  <c r="J134"/>
  <c r="I134"/>
  <c r="H134"/>
  <c r="G134"/>
  <c r="F134"/>
  <c r="E134"/>
  <c r="D134"/>
  <c r="C134"/>
  <c r="B134"/>
  <c r="AT139" i="8" s="1"/>
  <c r="L133" i="4"/>
  <c r="K133"/>
  <c r="J133"/>
  <c r="I133"/>
  <c r="H133"/>
  <c r="G133"/>
  <c r="F133"/>
  <c r="E133"/>
  <c r="D133"/>
  <c r="C133"/>
  <c r="B133"/>
  <c r="AT138" i="8" s="1"/>
  <c r="L132" i="4"/>
  <c r="K132"/>
  <c r="J132"/>
  <c r="I132"/>
  <c r="H132"/>
  <c r="G132"/>
  <c r="F132"/>
  <c r="E132"/>
  <c r="D132"/>
  <c r="C132"/>
  <c r="B132"/>
  <c r="AT137" i="8" s="1"/>
  <c r="L131" i="4"/>
  <c r="K131"/>
  <c r="J131"/>
  <c r="I131"/>
  <c r="H131"/>
  <c r="G131"/>
  <c r="F131"/>
  <c r="E131"/>
  <c r="D131"/>
  <c r="C131"/>
  <c r="B131"/>
  <c r="AT136" i="8" s="1"/>
  <c r="L130" i="4"/>
  <c r="K130"/>
  <c r="J130"/>
  <c r="I130"/>
  <c r="H130"/>
  <c r="G130"/>
  <c r="F130"/>
  <c r="E130"/>
  <c r="D130"/>
  <c r="C130"/>
  <c r="B130"/>
  <c r="AT135" i="8" s="1"/>
  <c r="L129" i="4"/>
  <c r="K129"/>
  <c r="J129"/>
  <c r="I129"/>
  <c r="H129"/>
  <c r="G129"/>
  <c r="F129"/>
  <c r="E129"/>
  <c r="D129"/>
  <c r="C129"/>
  <c r="B129"/>
  <c r="AT134" i="8" s="1"/>
  <c r="L128" i="4"/>
  <c r="K128"/>
  <c r="J128"/>
  <c r="I128"/>
  <c r="H128"/>
  <c r="G128"/>
  <c r="F128"/>
  <c r="E128"/>
  <c r="D128"/>
  <c r="C128"/>
  <c r="B128"/>
  <c r="AT133" i="8" s="1"/>
  <c r="L127" i="4"/>
  <c r="K127"/>
  <c r="J127"/>
  <c r="I127"/>
  <c r="H127"/>
  <c r="G127"/>
  <c r="F127"/>
  <c r="E127"/>
  <c r="D127"/>
  <c r="C127"/>
  <c r="B127"/>
  <c r="AT132" i="8" s="1"/>
  <c r="L126" i="4"/>
  <c r="K126"/>
  <c r="J126"/>
  <c r="I126"/>
  <c r="H126"/>
  <c r="G126"/>
  <c r="F126"/>
  <c r="E126"/>
  <c r="D126"/>
  <c r="C126"/>
  <c r="B126"/>
  <c r="AT131" i="8" s="1"/>
  <c r="L125" i="4"/>
  <c r="K125"/>
  <c r="J125"/>
  <c r="I125"/>
  <c r="H125"/>
  <c r="G125"/>
  <c r="F125"/>
  <c r="E125"/>
  <c r="D125"/>
  <c r="C125"/>
  <c r="B125"/>
  <c r="AT130" i="8" s="1"/>
  <c r="L124" i="4"/>
  <c r="K124"/>
  <c r="J124"/>
  <c r="I124"/>
  <c r="H124"/>
  <c r="G124"/>
  <c r="F124"/>
  <c r="E124"/>
  <c r="D124"/>
  <c r="C124"/>
  <c r="B124"/>
  <c r="AT129" i="8" s="1"/>
  <c r="L123" i="4"/>
  <c r="K123"/>
  <c r="J123"/>
  <c r="I123"/>
  <c r="H123"/>
  <c r="G123"/>
  <c r="F123"/>
  <c r="E123"/>
  <c r="D123"/>
  <c r="C123"/>
  <c r="B123"/>
  <c r="AT128" i="8" s="1"/>
  <c r="L122" i="4"/>
  <c r="K122"/>
  <c r="J122"/>
  <c r="I122"/>
  <c r="H122"/>
  <c r="G122"/>
  <c r="F122"/>
  <c r="E122"/>
  <c r="D122"/>
  <c r="C122"/>
  <c r="B122"/>
  <c r="AT127" i="8" s="1"/>
  <c r="L121" i="4"/>
  <c r="K121"/>
  <c r="J121"/>
  <c r="I121"/>
  <c r="H121"/>
  <c r="G121"/>
  <c r="F121"/>
  <c r="E121"/>
  <c r="D121"/>
  <c r="C121"/>
  <c r="B121"/>
  <c r="AT126" i="8" s="1"/>
  <c r="L120" i="4"/>
  <c r="K120"/>
  <c r="J120"/>
  <c r="I120"/>
  <c r="H120"/>
  <c r="G120"/>
  <c r="F120"/>
  <c r="E120"/>
  <c r="D120"/>
  <c r="C120"/>
  <c r="B120"/>
  <c r="AT125" i="8" s="1"/>
  <c r="L119" i="4"/>
  <c r="K119"/>
  <c r="J119"/>
  <c r="I119"/>
  <c r="H119"/>
  <c r="G119"/>
  <c r="F119"/>
  <c r="E119"/>
  <c r="D119"/>
  <c r="C119"/>
  <c r="B119"/>
  <c r="AT124" i="8" s="1"/>
  <c r="L118" i="4"/>
  <c r="K118"/>
  <c r="J118"/>
  <c r="I118"/>
  <c r="H118"/>
  <c r="G118"/>
  <c r="F118"/>
  <c r="E118"/>
  <c r="D118"/>
  <c r="C118"/>
  <c r="B118"/>
  <c r="AT123" i="8" s="1"/>
  <c r="L117" i="4"/>
  <c r="K117"/>
  <c r="J117"/>
  <c r="I117"/>
  <c r="H117"/>
  <c r="G117"/>
  <c r="F117"/>
  <c r="E117"/>
  <c r="D117"/>
  <c r="C117"/>
  <c r="B117"/>
  <c r="AT122" i="8" s="1"/>
  <c r="L116" i="4"/>
  <c r="K116"/>
  <c r="J116"/>
  <c r="I116"/>
  <c r="H116"/>
  <c r="G116"/>
  <c r="F116"/>
  <c r="E116"/>
  <c r="D116"/>
  <c r="C116"/>
  <c r="B116"/>
  <c r="AT121" i="8" s="1"/>
  <c r="L115" i="4"/>
  <c r="K115"/>
  <c r="J115"/>
  <c r="I115"/>
  <c r="H115"/>
  <c r="G115"/>
  <c r="F115"/>
  <c r="E115"/>
  <c r="D115"/>
  <c r="C115"/>
  <c r="B115"/>
  <c r="AT120" i="8" s="1"/>
  <c r="L114" i="4"/>
  <c r="K114"/>
  <c r="J114"/>
  <c r="I114"/>
  <c r="H114"/>
  <c r="G114"/>
  <c r="F114"/>
  <c r="E114"/>
  <c r="D114"/>
  <c r="C114"/>
  <c r="B114"/>
  <c r="AT119" i="8" s="1"/>
  <c r="L113" i="4"/>
  <c r="K113"/>
  <c r="J113"/>
  <c r="I113"/>
  <c r="H113"/>
  <c r="G113"/>
  <c r="F113"/>
  <c r="E113"/>
  <c r="D113"/>
  <c r="C113"/>
  <c r="B113"/>
  <c r="AT118" i="8" s="1"/>
  <c r="L112" i="4"/>
  <c r="K112"/>
  <c r="J112"/>
  <c r="I112"/>
  <c r="H112"/>
  <c r="G112"/>
  <c r="F112"/>
  <c r="E112"/>
  <c r="D112"/>
  <c r="C112"/>
  <c r="B112"/>
  <c r="AT117" i="8" s="1"/>
  <c r="L111" i="4"/>
  <c r="K111"/>
  <c r="J111"/>
  <c r="I111"/>
  <c r="H111"/>
  <c r="G111"/>
  <c r="F111"/>
  <c r="E111"/>
  <c r="D111"/>
  <c r="C111"/>
  <c r="B111"/>
  <c r="AT116" i="8" s="1"/>
  <c r="L110" i="4"/>
  <c r="K110"/>
  <c r="J110"/>
  <c r="I110"/>
  <c r="H110"/>
  <c r="G110"/>
  <c r="F110"/>
  <c r="E110"/>
  <c r="D110"/>
  <c r="C110"/>
  <c r="B110"/>
  <c r="AT115" i="8" s="1"/>
  <c r="L109" i="4"/>
  <c r="K109"/>
  <c r="J109"/>
  <c r="I109"/>
  <c r="H109"/>
  <c r="G109"/>
  <c r="F109"/>
  <c r="E109"/>
  <c r="D109"/>
  <c r="C109"/>
  <c r="B109"/>
  <c r="AT114" i="8" s="1"/>
  <c r="L108" i="4"/>
  <c r="K108"/>
  <c r="J108"/>
  <c r="I108"/>
  <c r="H108"/>
  <c r="G108"/>
  <c r="F108"/>
  <c r="E108"/>
  <c r="D108"/>
  <c r="C108"/>
  <c r="B108"/>
  <c r="AT113" i="8" s="1"/>
  <c r="L107" i="4"/>
  <c r="K107"/>
  <c r="J107"/>
  <c r="I107"/>
  <c r="H107"/>
  <c r="G107"/>
  <c r="F107"/>
  <c r="E107"/>
  <c r="D107"/>
  <c r="C107"/>
  <c r="B107"/>
  <c r="AT112" i="8" s="1"/>
  <c r="L106" i="4"/>
  <c r="K106"/>
  <c r="J106"/>
  <c r="I106"/>
  <c r="H106"/>
  <c r="G106"/>
  <c r="F106"/>
  <c r="E106"/>
  <c r="D106"/>
  <c r="C106"/>
  <c r="B106"/>
  <c r="AT111" i="8" s="1"/>
  <c r="L105" i="4"/>
  <c r="K105"/>
  <c r="J105"/>
  <c r="I105"/>
  <c r="H105"/>
  <c r="G105"/>
  <c r="F105"/>
  <c r="E105"/>
  <c r="D105"/>
  <c r="C105"/>
  <c r="B105"/>
  <c r="AT110" i="8" s="1"/>
  <c r="L104" i="4"/>
  <c r="K104"/>
  <c r="J104"/>
  <c r="I104"/>
  <c r="H104"/>
  <c r="G104"/>
  <c r="F104"/>
  <c r="E104"/>
  <c r="D104"/>
  <c r="C104"/>
  <c r="B104"/>
  <c r="AT109" i="8" s="1"/>
  <c r="L103" i="4"/>
  <c r="K103"/>
  <c r="J103"/>
  <c r="I103"/>
  <c r="H103"/>
  <c r="G103"/>
  <c r="F103"/>
  <c r="E103"/>
  <c r="D103"/>
  <c r="C103"/>
  <c r="B103"/>
  <c r="AT108" i="8" s="1"/>
  <c r="L102" i="4"/>
  <c r="K102"/>
  <c r="J102"/>
  <c r="I102"/>
  <c r="H102"/>
  <c r="G102"/>
  <c r="F102"/>
  <c r="E102"/>
  <c r="D102"/>
  <c r="C102"/>
  <c r="B102"/>
  <c r="AT107" i="8" s="1"/>
  <c r="L101" i="4"/>
  <c r="K101"/>
  <c r="J101"/>
  <c r="I101"/>
  <c r="H101"/>
  <c r="G101"/>
  <c r="F101"/>
  <c r="E101"/>
  <c r="D101"/>
  <c r="C101"/>
  <c r="B101"/>
  <c r="AT106" i="8" s="1"/>
  <c r="L100" i="4"/>
  <c r="K100"/>
  <c r="J100"/>
  <c r="I100"/>
  <c r="H100"/>
  <c r="G100"/>
  <c r="F100"/>
  <c r="E100"/>
  <c r="D100"/>
  <c r="C100"/>
  <c r="B100"/>
  <c r="AT105" i="8" s="1"/>
  <c r="L99" i="4"/>
  <c r="K99"/>
  <c r="J99"/>
  <c r="I99"/>
  <c r="H99"/>
  <c r="G99"/>
  <c r="F99"/>
  <c r="E99"/>
  <c r="D99"/>
  <c r="C99"/>
  <c r="B99"/>
  <c r="AT104" i="8" s="1"/>
  <c r="L98" i="4"/>
  <c r="K98"/>
  <c r="J98"/>
  <c r="I98"/>
  <c r="H98"/>
  <c r="G98"/>
  <c r="F98"/>
  <c r="E98"/>
  <c r="D98"/>
  <c r="C98"/>
  <c r="B98"/>
  <c r="AT103" i="8" s="1"/>
  <c r="L97" i="4"/>
  <c r="K97"/>
  <c r="J97"/>
  <c r="I97"/>
  <c r="H97"/>
  <c r="G97"/>
  <c r="F97"/>
  <c r="E97"/>
  <c r="D97"/>
  <c r="C97"/>
  <c r="B97"/>
  <c r="AT102" i="8" s="1"/>
  <c r="L96" i="4"/>
  <c r="K96"/>
  <c r="J96"/>
  <c r="I96"/>
  <c r="H96"/>
  <c r="G96"/>
  <c r="F96"/>
  <c r="E96"/>
  <c r="D96"/>
  <c r="C96"/>
  <c r="B96"/>
  <c r="AT101" i="8" s="1"/>
  <c r="L95" i="4"/>
  <c r="K95"/>
  <c r="J95"/>
  <c r="I95"/>
  <c r="H95"/>
  <c r="G95"/>
  <c r="F95"/>
  <c r="E95"/>
  <c r="D95"/>
  <c r="C95"/>
  <c r="B95"/>
  <c r="AT100" i="8" s="1"/>
  <c r="L94" i="4"/>
  <c r="K94"/>
  <c r="J94"/>
  <c r="I94"/>
  <c r="H94"/>
  <c r="G94"/>
  <c r="F94"/>
  <c r="E94"/>
  <c r="D94"/>
  <c r="C94"/>
  <c r="B94"/>
  <c r="AT99" i="8" s="1"/>
  <c r="L93" i="4"/>
  <c r="K93"/>
  <c r="J93"/>
  <c r="I93"/>
  <c r="H93"/>
  <c r="G93"/>
  <c r="F93"/>
  <c r="E93"/>
  <c r="D93"/>
  <c r="C93"/>
  <c r="B93"/>
  <c r="AT98" i="8" s="1"/>
  <c r="L92" i="4"/>
  <c r="K92"/>
  <c r="J92"/>
  <c r="I92"/>
  <c r="H92"/>
  <c r="G92"/>
  <c r="F92"/>
  <c r="E92"/>
  <c r="D92"/>
  <c r="C92"/>
  <c r="B92"/>
  <c r="AT97" i="8" s="1"/>
  <c r="L91" i="4"/>
  <c r="K91"/>
  <c r="J91"/>
  <c r="I91"/>
  <c r="H91"/>
  <c r="G91"/>
  <c r="F91"/>
  <c r="E91"/>
  <c r="D91"/>
  <c r="C91"/>
  <c r="B91"/>
  <c r="AT96" i="8" s="1"/>
  <c r="L90" i="4"/>
  <c r="K90"/>
  <c r="J90"/>
  <c r="I90"/>
  <c r="H90"/>
  <c r="G90"/>
  <c r="F90"/>
  <c r="E90"/>
  <c r="D90"/>
  <c r="C90"/>
  <c r="B90"/>
  <c r="AT95" i="8" s="1"/>
  <c r="L89" i="4"/>
  <c r="K89"/>
  <c r="J89"/>
  <c r="I89"/>
  <c r="H89"/>
  <c r="G89"/>
  <c r="F89"/>
  <c r="E89"/>
  <c r="D89"/>
  <c r="C89"/>
  <c r="B89"/>
  <c r="AT94" i="8" s="1"/>
  <c r="L88" i="4"/>
  <c r="K88"/>
  <c r="J88"/>
  <c r="I88"/>
  <c r="H88"/>
  <c r="G88"/>
  <c r="F88"/>
  <c r="E88"/>
  <c r="D88"/>
  <c r="C88"/>
  <c r="B88"/>
  <c r="AT93" i="8" s="1"/>
  <c r="L87" i="4"/>
  <c r="K87"/>
  <c r="J87"/>
  <c r="I87"/>
  <c r="H87"/>
  <c r="G87"/>
  <c r="F87"/>
  <c r="E87"/>
  <c r="D87"/>
  <c r="C87"/>
  <c r="B87"/>
  <c r="AT92" i="8" s="1"/>
  <c r="L86" i="4"/>
  <c r="K86"/>
  <c r="J86"/>
  <c r="I86"/>
  <c r="H86"/>
  <c r="G86"/>
  <c r="F86"/>
  <c r="E86"/>
  <c r="D86"/>
  <c r="C86"/>
  <c r="B86"/>
  <c r="AT91" i="8" s="1"/>
  <c r="L85" i="4"/>
  <c r="K85"/>
  <c r="J85"/>
  <c r="I85"/>
  <c r="H85"/>
  <c r="G85"/>
  <c r="F85"/>
  <c r="E85"/>
  <c r="D85"/>
  <c r="C85"/>
  <c r="B85"/>
  <c r="AT90" i="8" s="1"/>
  <c r="L84" i="4"/>
  <c r="K84"/>
  <c r="J84"/>
  <c r="I84"/>
  <c r="H84"/>
  <c r="G84"/>
  <c r="F84"/>
  <c r="E84"/>
  <c r="D84"/>
  <c r="C84"/>
  <c r="B84"/>
  <c r="AT89" i="8" s="1"/>
  <c r="L83" i="4"/>
  <c r="K83"/>
  <c r="J83"/>
  <c r="I83"/>
  <c r="H83"/>
  <c r="G83"/>
  <c r="F83"/>
  <c r="E83"/>
  <c r="D83"/>
  <c r="C83"/>
  <c r="B83"/>
  <c r="AT88" i="8" s="1"/>
  <c r="L82" i="4"/>
  <c r="K82"/>
  <c r="J82"/>
  <c r="I82"/>
  <c r="H82"/>
  <c r="G82"/>
  <c r="F82"/>
  <c r="E82"/>
  <c r="D82"/>
  <c r="C82"/>
  <c r="B82"/>
  <c r="L81"/>
  <c r="K81"/>
  <c r="J81"/>
  <c r="I81"/>
  <c r="H81"/>
  <c r="G81"/>
  <c r="F81"/>
  <c r="E81"/>
  <c r="D81"/>
  <c r="C81"/>
  <c r="B81"/>
  <c r="L80"/>
  <c r="K80"/>
  <c r="J80"/>
  <c r="I80"/>
  <c r="H80"/>
  <c r="G80"/>
  <c r="F80"/>
  <c r="E80"/>
  <c r="D80"/>
  <c r="C80"/>
  <c r="B80"/>
  <c r="L79"/>
  <c r="K79"/>
  <c r="J79"/>
  <c r="I79"/>
  <c r="H79"/>
  <c r="G79"/>
  <c r="F79"/>
  <c r="E79"/>
  <c r="D79"/>
  <c r="C79"/>
  <c r="B79"/>
  <c r="L78"/>
  <c r="K78"/>
  <c r="J78"/>
  <c r="I78"/>
  <c r="H78"/>
  <c r="G78"/>
  <c r="F78"/>
  <c r="E78"/>
  <c r="D78"/>
  <c r="C78"/>
  <c r="B78"/>
  <c r="L77"/>
  <c r="K77"/>
  <c r="J77"/>
  <c r="I77"/>
  <c r="H77"/>
  <c r="G77"/>
  <c r="F77"/>
  <c r="E77"/>
  <c r="D77"/>
  <c r="C77"/>
  <c r="B77"/>
  <c r="L76"/>
  <c r="K76"/>
  <c r="J76"/>
  <c r="I76"/>
  <c r="H76"/>
  <c r="G76"/>
  <c r="F76"/>
  <c r="E76"/>
  <c r="D76"/>
  <c r="C76"/>
  <c r="B76"/>
  <c r="L75"/>
  <c r="K75"/>
  <c r="J75"/>
  <c r="I75"/>
  <c r="H75"/>
  <c r="G75"/>
  <c r="F75"/>
  <c r="E75"/>
  <c r="D75"/>
  <c r="C75"/>
  <c r="B75"/>
  <c r="L74"/>
  <c r="K74"/>
  <c r="J74"/>
  <c r="I74"/>
  <c r="H74"/>
  <c r="G74"/>
  <c r="F74"/>
  <c r="E74"/>
  <c r="D74"/>
  <c r="C74"/>
  <c r="B74"/>
  <c r="L73"/>
  <c r="K73"/>
  <c r="J73"/>
  <c r="I73"/>
  <c r="H73"/>
  <c r="G73"/>
  <c r="F73"/>
  <c r="E73"/>
  <c r="D73"/>
  <c r="C73"/>
  <c r="B73"/>
  <c r="L72"/>
  <c r="K72"/>
  <c r="J72"/>
  <c r="I72"/>
  <c r="H72"/>
  <c r="G72"/>
  <c r="F72"/>
  <c r="E72"/>
  <c r="D72"/>
  <c r="C72"/>
  <c r="B72"/>
  <c r="L71"/>
  <c r="K71"/>
  <c r="J71"/>
  <c r="I71"/>
  <c r="H71"/>
  <c r="G71"/>
  <c r="F71"/>
  <c r="E71"/>
  <c r="D71"/>
  <c r="C71"/>
  <c r="B71"/>
  <c r="L70"/>
  <c r="K70"/>
  <c r="J70"/>
  <c r="I70"/>
  <c r="H70"/>
  <c r="G70"/>
  <c r="F70"/>
  <c r="E70"/>
  <c r="D70"/>
  <c r="C70"/>
  <c r="B70"/>
  <c r="L69"/>
  <c r="K69"/>
  <c r="J69"/>
  <c r="I69"/>
  <c r="H69"/>
  <c r="G69"/>
  <c r="F69"/>
  <c r="E69"/>
  <c r="D69"/>
  <c r="C69"/>
  <c r="B69"/>
  <c r="L68"/>
  <c r="K68"/>
  <c r="J68"/>
  <c r="I68"/>
  <c r="H68"/>
  <c r="G68"/>
  <c r="F68"/>
  <c r="E68"/>
  <c r="D68"/>
  <c r="C68"/>
  <c r="B68"/>
  <c r="L67"/>
  <c r="K67"/>
  <c r="J67"/>
  <c r="I67"/>
  <c r="H67"/>
  <c r="G67"/>
  <c r="F67"/>
  <c r="E67"/>
  <c r="D67"/>
  <c r="C67"/>
  <c r="B67"/>
  <c r="L66"/>
  <c r="K66"/>
  <c r="J66"/>
  <c r="I66"/>
  <c r="H66"/>
  <c r="G66"/>
  <c r="F66"/>
  <c r="E66"/>
  <c r="D66"/>
  <c r="C66"/>
  <c r="B66"/>
  <c r="L65"/>
  <c r="K65"/>
  <c r="J65"/>
  <c r="I65"/>
  <c r="H65"/>
  <c r="G65"/>
  <c r="F65"/>
  <c r="E65"/>
  <c r="D65"/>
  <c r="C65"/>
  <c r="B65"/>
  <c r="L64"/>
  <c r="K64"/>
  <c r="J64"/>
  <c r="I64"/>
  <c r="H64"/>
  <c r="G64"/>
  <c r="F64"/>
  <c r="E64"/>
  <c r="D64"/>
  <c r="C64"/>
  <c r="B64"/>
  <c r="L63"/>
  <c r="K63"/>
  <c r="J63"/>
  <c r="I63"/>
  <c r="H63"/>
  <c r="G63"/>
  <c r="F63"/>
  <c r="E63"/>
  <c r="D63"/>
  <c r="C63"/>
  <c r="B63"/>
  <c r="L62"/>
  <c r="K62"/>
  <c r="J62"/>
  <c r="I62"/>
  <c r="H62"/>
  <c r="G62"/>
  <c r="F62"/>
  <c r="E62"/>
  <c r="D62"/>
  <c r="C62"/>
  <c r="B62"/>
  <c r="L61"/>
  <c r="K61"/>
  <c r="J61"/>
  <c r="I61"/>
  <c r="H61"/>
  <c r="G61"/>
  <c r="F61"/>
  <c r="E61"/>
  <c r="D61"/>
  <c r="C61"/>
  <c r="B61"/>
  <c r="L60"/>
  <c r="K60"/>
  <c r="J60"/>
  <c r="I60"/>
  <c r="H60"/>
  <c r="G60"/>
  <c r="F60"/>
  <c r="E60"/>
  <c r="D60"/>
  <c r="C60"/>
  <c r="B60"/>
  <c r="L59"/>
  <c r="K59"/>
  <c r="J59"/>
  <c r="I59"/>
  <c r="H59"/>
  <c r="G59"/>
  <c r="F59"/>
  <c r="E59"/>
  <c r="D59"/>
  <c r="C59"/>
  <c r="B59"/>
  <c r="L58"/>
  <c r="K58"/>
  <c r="J58"/>
  <c r="I58"/>
  <c r="H58"/>
  <c r="G58"/>
  <c r="F58"/>
  <c r="E58"/>
  <c r="D58"/>
  <c r="C58"/>
  <c r="B58"/>
  <c r="L57"/>
  <c r="K57"/>
  <c r="J57"/>
  <c r="I57"/>
  <c r="H57"/>
  <c r="G57"/>
  <c r="F57"/>
  <c r="E57"/>
  <c r="D57"/>
  <c r="C57"/>
  <c r="B57"/>
  <c r="L56"/>
  <c r="K56"/>
  <c r="J56"/>
  <c r="I56"/>
  <c r="H56"/>
  <c r="G56"/>
  <c r="F56"/>
  <c r="E56"/>
  <c r="D56"/>
  <c r="C56"/>
  <c r="B56"/>
  <c r="L55"/>
  <c r="K55"/>
  <c r="J55"/>
  <c r="I55"/>
  <c r="H55"/>
  <c r="G55"/>
  <c r="F55"/>
  <c r="E55"/>
  <c r="D55"/>
  <c r="C55"/>
  <c r="B55"/>
  <c r="L54"/>
  <c r="K54"/>
  <c r="J54"/>
  <c r="I54"/>
  <c r="H54"/>
  <c r="G54"/>
  <c r="F54"/>
  <c r="E54"/>
  <c r="D54"/>
  <c r="C54"/>
  <c r="B54"/>
  <c r="L53"/>
  <c r="K53"/>
  <c r="J53"/>
  <c r="I53"/>
  <c r="H53"/>
  <c r="G53"/>
  <c r="F53"/>
  <c r="E53"/>
  <c r="D53"/>
  <c r="C53"/>
  <c r="B53"/>
  <c r="L52"/>
  <c r="K52"/>
  <c r="J52"/>
  <c r="I52"/>
  <c r="H52"/>
  <c r="G52"/>
  <c r="F52"/>
  <c r="E52"/>
  <c r="D52"/>
  <c r="C52"/>
  <c r="B52"/>
  <c r="L51"/>
  <c r="K51"/>
  <c r="J51"/>
  <c r="I51"/>
  <c r="H51"/>
  <c r="G51"/>
  <c r="F51"/>
  <c r="E51"/>
  <c r="D51"/>
  <c r="C51"/>
  <c r="B51"/>
  <c r="L50"/>
  <c r="K50"/>
  <c r="J50"/>
  <c r="I50"/>
  <c r="H50"/>
  <c r="G50"/>
  <c r="F50"/>
  <c r="E50"/>
  <c r="D50"/>
  <c r="C50"/>
  <c r="B50"/>
  <c r="L49"/>
  <c r="K49"/>
  <c r="J49"/>
  <c r="I49"/>
  <c r="H49"/>
  <c r="G49"/>
  <c r="F49"/>
  <c r="E49"/>
  <c r="D49"/>
  <c r="C49"/>
  <c r="B49"/>
  <c r="L48"/>
  <c r="K48"/>
  <c r="J48"/>
  <c r="I48"/>
  <c r="H48"/>
  <c r="G48"/>
  <c r="F48"/>
  <c r="E48"/>
  <c r="D48"/>
  <c r="C48"/>
  <c r="B48"/>
  <c r="L47"/>
  <c r="K47"/>
  <c r="J47"/>
  <c r="I47"/>
  <c r="H47"/>
  <c r="G47"/>
  <c r="F47"/>
  <c r="E47"/>
  <c r="D47"/>
  <c r="C47"/>
  <c r="B47"/>
  <c r="L46"/>
  <c r="K46"/>
  <c r="J46"/>
  <c r="I46"/>
  <c r="H46"/>
  <c r="G46"/>
  <c r="F46"/>
  <c r="E46"/>
  <c r="D46"/>
  <c r="C46"/>
  <c r="B46"/>
  <c r="L45"/>
  <c r="K45"/>
  <c r="J45"/>
  <c r="I45"/>
  <c r="H45"/>
  <c r="G45"/>
  <c r="F45"/>
  <c r="E45"/>
  <c r="D45"/>
  <c r="C45"/>
  <c r="B45"/>
  <c r="L44"/>
  <c r="K44"/>
  <c r="J44"/>
  <c r="I44"/>
  <c r="H44"/>
  <c r="G44"/>
  <c r="F44"/>
  <c r="E44"/>
  <c r="D44"/>
  <c r="C44"/>
  <c r="B44"/>
  <c r="L43"/>
  <c r="K43"/>
  <c r="J43"/>
  <c r="I43"/>
  <c r="H43"/>
  <c r="G43"/>
  <c r="F43"/>
  <c r="E43"/>
  <c r="D43"/>
  <c r="C43"/>
  <c r="B43"/>
  <c r="L42"/>
  <c r="K42"/>
  <c r="J42"/>
  <c r="I42"/>
  <c r="H42"/>
  <c r="G42"/>
  <c r="F42"/>
  <c r="E42"/>
  <c r="D42"/>
  <c r="C42"/>
  <c r="B42"/>
  <c r="L41"/>
  <c r="K41"/>
  <c r="J41"/>
  <c r="I41"/>
  <c r="H41"/>
  <c r="G41"/>
  <c r="F41"/>
  <c r="E41"/>
  <c r="D41"/>
  <c r="C41"/>
  <c r="B41"/>
  <c r="L40"/>
  <c r="K40"/>
  <c r="J40"/>
  <c r="I40"/>
  <c r="H40"/>
  <c r="G40"/>
  <c r="F40"/>
  <c r="E40"/>
  <c r="D40"/>
  <c r="C40"/>
  <c r="B40"/>
  <c r="L39"/>
  <c r="K39"/>
  <c r="J39"/>
  <c r="I39"/>
  <c r="H39"/>
  <c r="G39"/>
  <c r="F39"/>
  <c r="E39"/>
  <c r="D39"/>
  <c r="C39"/>
  <c r="B39"/>
  <c r="L38"/>
  <c r="K38"/>
  <c r="J38"/>
  <c r="I38"/>
  <c r="H38"/>
  <c r="G38"/>
  <c r="F38"/>
  <c r="E38"/>
  <c r="D38"/>
  <c r="C38"/>
  <c r="B38"/>
  <c r="L37"/>
  <c r="K37"/>
  <c r="J37"/>
  <c r="I37"/>
  <c r="H37"/>
  <c r="G37"/>
  <c r="F37"/>
  <c r="E37"/>
  <c r="D37"/>
  <c r="C37"/>
  <c r="B37"/>
  <c r="L36"/>
  <c r="K36"/>
  <c r="J36"/>
  <c r="I36"/>
  <c r="H36"/>
  <c r="G36"/>
  <c r="F36"/>
  <c r="E36"/>
  <c r="D36"/>
  <c r="C36"/>
  <c r="B36"/>
  <c r="L35"/>
  <c r="K35"/>
  <c r="J35"/>
  <c r="I35"/>
  <c r="H35"/>
  <c r="G35"/>
  <c r="F35"/>
  <c r="E35"/>
  <c r="D35"/>
  <c r="C35"/>
  <c r="B35"/>
  <c r="L34"/>
  <c r="K34"/>
  <c r="J34"/>
  <c r="I34"/>
  <c r="H34"/>
  <c r="G34"/>
  <c r="F34"/>
  <c r="E34"/>
  <c r="D34"/>
  <c r="C34"/>
  <c r="B34"/>
  <c r="L33"/>
  <c r="K33"/>
  <c r="J33"/>
  <c r="I33"/>
  <c r="H33"/>
  <c r="G33"/>
  <c r="F33"/>
  <c r="E33"/>
  <c r="D33"/>
  <c r="C33"/>
  <c r="B33"/>
  <c r="L32"/>
  <c r="K32"/>
  <c r="J32"/>
  <c r="I32"/>
  <c r="H32"/>
  <c r="G32"/>
  <c r="F32"/>
  <c r="E32"/>
  <c r="D32"/>
  <c r="C32"/>
  <c r="B32"/>
  <c r="L31"/>
  <c r="K31"/>
  <c r="J31"/>
  <c r="I31"/>
  <c r="H31"/>
  <c r="G31"/>
  <c r="F31"/>
  <c r="E31"/>
  <c r="D31"/>
  <c r="C31"/>
  <c r="B31"/>
  <c r="L30"/>
  <c r="K30"/>
  <c r="J30"/>
  <c r="I30"/>
  <c r="H30"/>
  <c r="G30"/>
  <c r="F30"/>
  <c r="E30"/>
  <c r="D30"/>
  <c r="C30"/>
  <c r="B30"/>
  <c r="L29"/>
  <c r="K29"/>
  <c r="J29"/>
  <c r="I29"/>
  <c r="H29"/>
  <c r="G29"/>
  <c r="F29"/>
  <c r="E29"/>
  <c r="D29"/>
  <c r="C29"/>
  <c r="B29"/>
  <c r="L28"/>
  <c r="K28"/>
  <c r="J28"/>
  <c r="I28"/>
  <c r="H28"/>
  <c r="G28"/>
  <c r="F28"/>
  <c r="E28"/>
  <c r="D28"/>
  <c r="C28"/>
  <c r="B28"/>
  <c r="L27"/>
  <c r="K27"/>
  <c r="J27"/>
  <c r="I27"/>
  <c r="H27"/>
  <c r="G27"/>
  <c r="F27"/>
  <c r="E27"/>
  <c r="D27"/>
  <c r="C27"/>
  <c r="B27"/>
  <c r="L26"/>
  <c r="K26"/>
  <c r="J26"/>
  <c r="I26"/>
  <c r="H26"/>
  <c r="G26"/>
  <c r="F26"/>
  <c r="E26"/>
  <c r="D26"/>
  <c r="C26"/>
  <c r="B26"/>
  <c r="L25"/>
  <c r="K25"/>
  <c r="J25"/>
  <c r="I25"/>
  <c r="H25"/>
  <c r="G25"/>
  <c r="F25"/>
  <c r="E25"/>
  <c r="D25"/>
  <c r="C25"/>
  <c r="B25"/>
  <c r="L24"/>
  <c r="K24"/>
  <c r="J24"/>
  <c r="I24"/>
  <c r="H24"/>
  <c r="G24"/>
  <c r="F24"/>
  <c r="E24"/>
  <c r="D24"/>
  <c r="C24"/>
  <c r="B24"/>
  <c r="L23"/>
  <c r="K23"/>
  <c r="J23"/>
  <c r="I23"/>
  <c r="H23"/>
  <c r="G23"/>
  <c r="F23"/>
  <c r="E23"/>
  <c r="D23"/>
  <c r="C23"/>
  <c r="B23"/>
  <c r="L22"/>
  <c r="K22"/>
  <c r="J22"/>
  <c r="I22"/>
  <c r="H22"/>
  <c r="G22"/>
  <c r="F22"/>
  <c r="E22"/>
  <c r="D22"/>
  <c r="C22"/>
  <c r="B22"/>
  <c r="L21"/>
  <c r="K21"/>
  <c r="J21"/>
  <c r="I21"/>
  <c r="H21"/>
  <c r="G21"/>
  <c r="F21"/>
  <c r="E21"/>
  <c r="D21"/>
  <c r="C21"/>
  <c r="B21"/>
  <c r="L20"/>
  <c r="K20"/>
  <c r="J20"/>
  <c r="I20"/>
  <c r="H20"/>
  <c r="G20"/>
  <c r="F20"/>
  <c r="E20"/>
  <c r="D20"/>
  <c r="C20"/>
  <c r="B20"/>
  <c r="L19"/>
  <c r="K19"/>
  <c r="J19"/>
  <c r="I19"/>
  <c r="H19"/>
  <c r="G19"/>
  <c r="F19"/>
  <c r="E19"/>
  <c r="D19"/>
  <c r="C19"/>
  <c r="B19"/>
  <c r="L18"/>
  <c r="K18"/>
  <c r="J18"/>
  <c r="I18"/>
  <c r="H18"/>
  <c r="G18"/>
  <c r="F18"/>
  <c r="E18"/>
  <c r="D18"/>
  <c r="C18"/>
  <c r="B18"/>
  <c r="L17"/>
  <c r="K17"/>
  <c r="J17"/>
  <c r="I17"/>
  <c r="H17"/>
  <c r="G17"/>
  <c r="F17"/>
  <c r="E17"/>
  <c r="D17"/>
  <c r="C17"/>
  <c r="B17"/>
  <c r="L16"/>
  <c r="K16"/>
  <c r="J16"/>
  <c r="I16"/>
  <c r="H16"/>
  <c r="G16"/>
  <c r="F16"/>
  <c r="E16"/>
  <c r="D16"/>
  <c r="C16"/>
  <c r="B16"/>
  <c r="L15"/>
  <c r="K15"/>
  <c r="J15"/>
  <c r="I15"/>
  <c r="H15"/>
  <c r="G15"/>
  <c r="F15"/>
  <c r="E15"/>
  <c r="D15"/>
  <c r="C15"/>
  <c r="B15"/>
  <c r="L14"/>
  <c r="K14"/>
  <c r="J14"/>
  <c r="I14"/>
  <c r="H14"/>
  <c r="G14"/>
  <c r="F14"/>
  <c r="E14"/>
  <c r="D14"/>
  <c r="C14"/>
  <c r="B14"/>
  <c r="L13"/>
  <c r="K13"/>
  <c r="J13"/>
  <c r="I13"/>
  <c r="H13"/>
  <c r="G13"/>
  <c r="F13"/>
  <c r="E13"/>
  <c r="D13"/>
  <c r="C13"/>
  <c r="B13"/>
  <c r="L12"/>
  <c r="K12"/>
  <c r="J12"/>
  <c r="I12"/>
  <c r="H12"/>
  <c r="G12"/>
  <c r="F12"/>
  <c r="E12"/>
  <c r="D12"/>
  <c r="C12"/>
  <c r="B12"/>
  <c r="L11"/>
  <c r="K11"/>
  <c r="J11"/>
  <c r="I11"/>
  <c r="H11"/>
  <c r="G11"/>
  <c r="F11"/>
  <c r="E11"/>
  <c r="D11"/>
  <c r="C11"/>
  <c r="B11"/>
  <c r="L10"/>
  <c r="K10"/>
  <c r="J10"/>
  <c r="I10"/>
  <c r="H10"/>
  <c r="G10"/>
  <c r="F10"/>
  <c r="E10"/>
  <c r="D10"/>
  <c r="C10"/>
  <c r="B10"/>
  <c r="L9"/>
  <c r="K9"/>
  <c r="J9"/>
  <c r="I9"/>
  <c r="H9"/>
  <c r="G9"/>
  <c r="F9"/>
  <c r="E9"/>
  <c r="D9"/>
  <c r="C9"/>
  <c r="B9"/>
  <c r="L8"/>
  <c r="K8"/>
  <c r="J8"/>
  <c r="I8"/>
  <c r="H8"/>
  <c r="G8"/>
  <c r="F8"/>
  <c r="E8"/>
  <c r="D8"/>
  <c r="C8"/>
  <c r="B8"/>
  <c r="L7"/>
  <c r="K7"/>
  <c r="J7"/>
  <c r="I7"/>
  <c r="H7"/>
  <c r="G7"/>
  <c r="F7"/>
  <c r="E7"/>
  <c r="D7"/>
  <c r="C7"/>
  <c r="B7"/>
  <c r="L6"/>
  <c r="K6"/>
  <c r="J6"/>
  <c r="I6"/>
  <c r="H6"/>
  <c r="G6"/>
  <c r="F6"/>
  <c r="E6"/>
  <c r="D6"/>
  <c r="C6"/>
  <c r="B6"/>
  <c r="L5"/>
  <c r="K5"/>
  <c r="J5"/>
  <c r="I5"/>
  <c r="H5"/>
  <c r="G5"/>
  <c r="F5"/>
  <c r="E5"/>
  <c r="D5"/>
  <c r="C5"/>
  <c r="B5"/>
  <c r="L4"/>
  <c r="K4"/>
  <c r="J4"/>
  <c r="I4"/>
  <c r="H4"/>
  <c r="G4"/>
  <c r="F4"/>
  <c r="E4"/>
  <c r="D4"/>
  <c r="C4"/>
  <c r="B4"/>
  <c r="L3"/>
  <c r="K3"/>
  <c r="J3"/>
  <c r="I3"/>
  <c r="H3"/>
  <c r="G3"/>
  <c r="F3"/>
  <c r="E3"/>
  <c r="D3"/>
  <c r="C3"/>
  <c r="B3"/>
  <c r="L2"/>
  <c r="K2"/>
  <c r="J2"/>
  <c r="I2"/>
  <c r="H2"/>
  <c r="G2"/>
  <c r="F2"/>
  <c r="E2"/>
  <c r="D2"/>
  <c r="C2"/>
  <c r="L152" i="5"/>
  <c r="K152"/>
  <c r="J152"/>
  <c r="I152"/>
  <c r="H152"/>
  <c r="G152"/>
  <c r="F152"/>
  <c r="E152"/>
  <c r="D152"/>
  <c r="C152"/>
  <c r="B152"/>
  <c r="AU157" i="8" s="1"/>
  <c r="AY157" s="1"/>
  <c r="L151" i="5"/>
  <c r="K151"/>
  <c r="J151"/>
  <c r="I151"/>
  <c r="H151"/>
  <c r="G151"/>
  <c r="F151"/>
  <c r="E151"/>
  <c r="D151"/>
  <c r="C151"/>
  <c r="B151"/>
  <c r="AU156" i="8" s="1"/>
  <c r="AY156" s="1"/>
  <c r="L150" i="5"/>
  <c r="K150"/>
  <c r="J150"/>
  <c r="I150"/>
  <c r="H150"/>
  <c r="G150"/>
  <c r="F150"/>
  <c r="E150"/>
  <c r="D150"/>
  <c r="C150"/>
  <c r="B150"/>
  <c r="AV155" i="8" s="1"/>
  <c r="L149" i="5"/>
  <c r="K149"/>
  <c r="J149"/>
  <c r="I149"/>
  <c r="H149"/>
  <c r="G149"/>
  <c r="F149"/>
  <c r="E149"/>
  <c r="D149"/>
  <c r="C149"/>
  <c r="B149"/>
  <c r="AV154" i="8" s="1"/>
  <c r="L148" i="5"/>
  <c r="K148"/>
  <c r="J148"/>
  <c r="I148"/>
  <c r="H148"/>
  <c r="G148"/>
  <c r="F148"/>
  <c r="E148"/>
  <c r="D148"/>
  <c r="C148"/>
  <c r="B148"/>
  <c r="AV153" i="8" s="1"/>
  <c r="L147" i="5"/>
  <c r="K147"/>
  <c r="J147"/>
  <c r="I147"/>
  <c r="H147"/>
  <c r="G147"/>
  <c r="F147"/>
  <c r="E147"/>
  <c r="D147"/>
  <c r="C147"/>
  <c r="B147"/>
  <c r="AV152" i="8" s="1"/>
  <c r="L146" i="5"/>
  <c r="K146"/>
  <c r="J146"/>
  <c r="I146"/>
  <c r="H146"/>
  <c r="G146"/>
  <c r="F146"/>
  <c r="E146"/>
  <c r="D146"/>
  <c r="C146"/>
  <c r="B146"/>
  <c r="AV151" i="8" s="1"/>
  <c r="L145" i="5"/>
  <c r="K145"/>
  <c r="J145"/>
  <c r="I145"/>
  <c r="H145"/>
  <c r="G145"/>
  <c r="F145"/>
  <c r="E145"/>
  <c r="D145"/>
  <c r="C145"/>
  <c r="B145"/>
  <c r="AV150" i="8" s="1"/>
  <c r="L144" i="5"/>
  <c r="K144"/>
  <c r="J144"/>
  <c r="I144"/>
  <c r="H144"/>
  <c r="G144"/>
  <c r="F144"/>
  <c r="E144"/>
  <c r="D144"/>
  <c r="C144"/>
  <c r="B144"/>
  <c r="AV149" i="8" s="1"/>
  <c r="L143" i="5"/>
  <c r="K143"/>
  <c r="J143"/>
  <c r="I143"/>
  <c r="H143"/>
  <c r="G143"/>
  <c r="F143"/>
  <c r="E143"/>
  <c r="D143"/>
  <c r="C143"/>
  <c r="B143"/>
  <c r="AV148" i="8" s="1"/>
  <c r="L142" i="5"/>
  <c r="K142"/>
  <c r="J142"/>
  <c r="I142"/>
  <c r="H142"/>
  <c r="G142"/>
  <c r="F142"/>
  <c r="E142"/>
  <c r="D142"/>
  <c r="C142"/>
  <c r="B142"/>
  <c r="AV147" i="8" s="1"/>
  <c r="L141" i="5"/>
  <c r="K141"/>
  <c r="J141"/>
  <c r="I141"/>
  <c r="H141"/>
  <c r="G141"/>
  <c r="F141"/>
  <c r="E141"/>
  <c r="D141"/>
  <c r="C141"/>
  <c r="B141"/>
  <c r="AV146" i="8" s="1"/>
  <c r="L140" i="5"/>
  <c r="K140"/>
  <c r="J140"/>
  <c r="I140"/>
  <c r="H140"/>
  <c r="G140"/>
  <c r="F140"/>
  <c r="E140"/>
  <c r="D140"/>
  <c r="C140"/>
  <c r="B140"/>
  <c r="AV145" i="8" s="1"/>
  <c r="L139" i="5"/>
  <c r="K139"/>
  <c r="J139"/>
  <c r="I139"/>
  <c r="H139"/>
  <c r="G139"/>
  <c r="F139"/>
  <c r="E139"/>
  <c r="D139"/>
  <c r="C139"/>
  <c r="B139"/>
  <c r="AV144" i="8" s="1"/>
  <c r="L138" i="5"/>
  <c r="K138"/>
  <c r="J138"/>
  <c r="I138"/>
  <c r="H138"/>
  <c r="G138"/>
  <c r="F138"/>
  <c r="E138"/>
  <c r="D138"/>
  <c r="C138"/>
  <c r="B138"/>
  <c r="AV143" i="8" s="1"/>
  <c r="L137" i="5"/>
  <c r="K137"/>
  <c r="J137"/>
  <c r="I137"/>
  <c r="H137"/>
  <c r="G137"/>
  <c r="F137"/>
  <c r="E137"/>
  <c r="D137"/>
  <c r="C137"/>
  <c r="B137"/>
  <c r="AV142" i="8" s="1"/>
  <c r="L136" i="5"/>
  <c r="K136"/>
  <c r="J136"/>
  <c r="I136"/>
  <c r="H136"/>
  <c r="G136"/>
  <c r="F136"/>
  <c r="E136"/>
  <c r="D136"/>
  <c r="C136"/>
  <c r="B136"/>
  <c r="AV141" i="8" s="1"/>
  <c r="L135" i="5"/>
  <c r="K135"/>
  <c r="J135"/>
  <c r="I135"/>
  <c r="H135"/>
  <c r="G135"/>
  <c r="F135"/>
  <c r="E135"/>
  <c r="D135"/>
  <c r="C135"/>
  <c r="B135"/>
  <c r="AV140" i="8" s="1"/>
  <c r="L134" i="5"/>
  <c r="K134"/>
  <c r="J134"/>
  <c r="I134"/>
  <c r="H134"/>
  <c r="G134"/>
  <c r="F134"/>
  <c r="E134"/>
  <c r="D134"/>
  <c r="C134"/>
  <c r="B134"/>
  <c r="AV139" i="8" s="1"/>
  <c r="L133" i="5"/>
  <c r="K133"/>
  <c r="J133"/>
  <c r="I133"/>
  <c r="H133"/>
  <c r="G133"/>
  <c r="F133"/>
  <c r="E133"/>
  <c r="D133"/>
  <c r="C133"/>
  <c r="B133"/>
  <c r="AV138" i="8" s="1"/>
  <c r="L132" i="5"/>
  <c r="K132"/>
  <c r="J132"/>
  <c r="I132"/>
  <c r="H132"/>
  <c r="G132"/>
  <c r="F132"/>
  <c r="E132"/>
  <c r="D132"/>
  <c r="C132"/>
  <c r="B132"/>
  <c r="AV137" i="8" s="1"/>
  <c r="L131" i="5"/>
  <c r="K131"/>
  <c r="J131"/>
  <c r="I131"/>
  <c r="H131"/>
  <c r="G131"/>
  <c r="F131"/>
  <c r="E131"/>
  <c r="D131"/>
  <c r="C131"/>
  <c r="B131"/>
  <c r="AV136" i="8" s="1"/>
  <c r="L130" i="5"/>
  <c r="K130"/>
  <c r="J130"/>
  <c r="I130"/>
  <c r="H130"/>
  <c r="G130"/>
  <c r="F130"/>
  <c r="E130"/>
  <c r="D130"/>
  <c r="C130"/>
  <c r="B130"/>
  <c r="AV135" i="8" s="1"/>
  <c r="L129" i="5"/>
  <c r="K129"/>
  <c r="J129"/>
  <c r="I129"/>
  <c r="H129"/>
  <c r="G129"/>
  <c r="F129"/>
  <c r="E129"/>
  <c r="D129"/>
  <c r="C129"/>
  <c r="B129"/>
  <c r="AV134" i="8" s="1"/>
  <c r="L128" i="5"/>
  <c r="K128"/>
  <c r="J128"/>
  <c r="I128"/>
  <c r="H128"/>
  <c r="G128"/>
  <c r="F128"/>
  <c r="E128"/>
  <c r="D128"/>
  <c r="C128"/>
  <c r="B128"/>
  <c r="AV133" i="8" s="1"/>
  <c r="L127" i="5"/>
  <c r="K127"/>
  <c r="J127"/>
  <c r="I127"/>
  <c r="H127"/>
  <c r="G127"/>
  <c r="F127"/>
  <c r="E127"/>
  <c r="D127"/>
  <c r="C127"/>
  <c r="B127"/>
  <c r="AV132" i="8" s="1"/>
  <c r="L126" i="5"/>
  <c r="K126"/>
  <c r="J126"/>
  <c r="I126"/>
  <c r="H126"/>
  <c r="G126"/>
  <c r="F126"/>
  <c r="E126"/>
  <c r="D126"/>
  <c r="C126"/>
  <c r="B126"/>
  <c r="AV131" i="8" s="1"/>
  <c r="L125" i="5"/>
  <c r="K125"/>
  <c r="J125"/>
  <c r="I125"/>
  <c r="H125"/>
  <c r="G125"/>
  <c r="F125"/>
  <c r="E125"/>
  <c r="D125"/>
  <c r="C125"/>
  <c r="B125"/>
  <c r="AV130" i="8" s="1"/>
  <c r="L124" i="5"/>
  <c r="K124"/>
  <c r="J124"/>
  <c r="I124"/>
  <c r="H124"/>
  <c r="G124"/>
  <c r="F124"/>
  <c r="E124"/>
  <c r="D124"/>
  <c r="C124"/>
  <c r="B124"/>
  <c r="AV129" i="8" s="1"/>
  <c r="L123" i="5"/>
  <c r="K123"/>
  <c r="J123"/>
  <c r="I123"/>
  <c r="H123"/>
  <c r="G123"/>
  <c r="F123"/>
  <c r="E123"/>
  <c r="D123"/>
  <c r="C123"/>
  <c r="B123"/>
  <c r="AV128" i="8" s="1"/>
  <c r="L122" i="5"/>
  <c r="K122"/>
  <c r="J122"/>
  <c r="I122"/>
  <c r="H122"/>
  <c r="G122"/>
  <c r="F122"/>
  <c r="E122"/>
  <c r="D122"/>
  <c r="C122"/>
  <c r="B122"/>
  <c r="AV127" i="8" s="1"/>
  <c r="L121" i="5"/>
  <c r="K121"/>
  <c r="J121"/>
  <c r="I121"/>
  <c r="H121"/>
  <c r="G121"/>
  <c r="F121"/>
  <c r="E121"/>
  <c r="D121"/>
  <c r="C121"/>
  <c r="B121"/>
  <c r="AV126" i="8" s="1"/>
  <c r="L120" i="5"/>
  <c r="K120"/>
  <c r="J120"/>
  <c r="I120"/>
  <c r="H120"/>
  <c r="G120"/>
  <c r="F120"/>
  <c r="E120"/>
  <c r="D120"/>
  <c r="C120"/>
  <c r="B120"/>
  <c r="AV125" i="8" s="1"/>
  <c r="L119" i="5"/>
  <c r="K119"/>
  <c r="J119"/>
  <c r="I119"/>
  <c r="H119"/>
  <c r="G119"/>
  <c r="F119"/>
  <c r="E119"/>
  <c r="D119"/>
  <c r="C119"/>
  <c r="B119"/>
  <c r="AV124" i="8" s="1"/>
  <c r="L118" i="5"/>
  <c r="K118"/>
  <c r="J118"/>
  <c r="I118"/>
  <c r="H118"/>
  <c r="G118"/>
  <c r="F118"/>
  <c r="E118"/>
  <c r="D118"/>
  <c r="C118"/>
  <c r="B118"/>
  <c r="AV123" i="8" s="1"/>
  <c r="L117" i="5"/>
  <c r="K117"/>
  <c r="J117"/>
  <c r="I117"/>
  <c r="H117"/>
  <c r="G117"/>
  <c r="F117"/>
  <c r="E117"/>
  <c r="D117"/>
  <c r="C117"/>
  <c r="B117"/>
  <c r="AV122" i="8" s="1"/>
  <c r="L116" i="5"/>
  <c r="K116"/>
  <c r="J116"/>
  <c r="I116"/>
  <c r="H116"/>
  <c r="G116"/>
  <c r="F116"/>
  <c r="E116"/>
  <c r="D116"/>
  <c r="C116"/>
  <c r="B116"/>
  <c r="AV121" i="8" s="1"/>
  <c r="L115" i="5"/>
  <c r="K115"/>
  <c r="J115"/>
  <c r="I115"/>
  <c r="H115"/>
  <c r="G115"/>
  <c r="F115"/>
  <c r="E115"/>
  <c r="D115"/>
  <c r="C115"/>
  <c r="B115"/>
  <c r="AV120" i="8" s="1"/>
  <c r="L114" i="5"/>
  <c r="K114"/>
  <c r="J114"/>
  <c r="I114"/>
  <c r="H114"/>
  <c r="G114"/>
  <c r="F114"/>
  <c r="E114"/>
  <c r="D114"/>
  <c r="C114"/>
  <c r="B114"/>
  <c r="AV119" i="8" s="1"/>
  <c r="L113" i="5"/>
  <c r="K113"/>
  <c r="J113"/>
  <c r="I113"/>
  <c r="H113"/>
  <c r="G113"/>
  <c r="F113"/>
  <c r="E113"/>
  <c r="D113"/>
  <c r="C113"/>
  <c r="B113"/>
  <c r="AV118" i="8" s="1"/>
  <c r="L112" i="5"/>
  <c r="K112"/>
  <c r="J112"/>
  <c r="I112"/>
  <c r="H112"/>
  <c r="G112"/>
  <c r="F112"/>
  <c r="E112"/>
  <c r="D112"/>
  <c r="C112"/>
  <c r="B112"/>
  <c r="AV117" i="8" s="1"/>
  <c r="L111" i="5"/>
  <c r="K111"/>
  <c r="J111"/>
  <c r="I111"/>
  <c r="H111"/>
  <c r="G111"/>
  <c r="F111"/>
  <c r="E111"/>
  <c r="D111"/>
  <c r="C111"/>
  <c r="B111"/>
  <c r="AV116" i="8" s="1"/>
  <c r="L110" i="5"/>
  <c r="K110"/>
  <c r="J110"/>
  <c r="I110"/>
  <c r="H110"/>
  <c r="G110"/>
  <c r="F110"/>
  <c r="E110"/>
  <c r="D110"/>
  <c r="C110"/>
  <c r="B110"/>
  <c r="AV115" i="8" s="1"/>
  <c r="L109" i="5"/>
  <c r="K109"/>
  <c r="J109"/>
  <c r="I109"/>
  <c r="H109"/>
  <c r="G109"/>
  <c r="F109"/>
  <c r="E109"/>
  <c r="D109"/>
  <c r="C109"/>
  <c r="B109"/>
  <c r="AV114" i="8" s="1"/>
  <c r="L108" i="5"/>
  <c r="K108"/>
  <c r="J108"/>
  <c r="I108"/>
  <c r="H108"/>
  <c r="G108"/>
  <c r="F108"/>
  <c r="E108"/>
  <c r="D108"/>
  <c r="C108"/>
  <c r="B108"/>
  <c r="AV113" i="8" s="1"/>
  <c r="L107" i="5"/>
  <c r="K107"/>
  <c r="J107"/>
  <c r="I107"/>
  <c r="H107"/>
  <c r="G107"/>
  <c r="F107"/>
  <c r="E107"/>
  <c r="D107"/>
  <c r="C107"/>
  <c r="B107"/>
  <c r="AV112" i="8" s="1"/>
  <c r="L106" i="5"/>
  <c r="K106"/>
  <c r="J106"/>
  <c r="I106"/>
  <c r="H106"/>
  <c r="G106"/>
  <c r="F106"/>
  <c r="E106"/>
  <c r="D106"/>
  <c r="C106"/>
  <c r="B106"/>
  <c r="AV111" i="8" s="1"/>
  <c r="L105" i="5"/>
  <c r="K105"/>
  <c r="J105"/>
  <c r="I105"/>
  <c r="H105"/>
  <c r="G105"/>
  <c r="F105"/>
  <c r="E105"/>
  <c r="D105"/>
  <c r="C105"/>
  <c r="B105"/>
  <c r="AV110" i="8" s="1"/>
  <c r="L104" i="5"/>
  <c r="K104"/>
  <c r="J104"/>
  <c r="I104"/>
  <c r="H104"/>
  <c r="G104"/>
  <c r="F104"/>
  <c r="E104"/>
  <c r="D104"/>
  <c r="C104"/>
  <c r="B104"/>
  <c r="AV109" i="8" s="1"/>
  <c r="L103" i="5"/>
  <c r="K103"/>
  <c r="J103"/>
  <c r="I103"/>
  <c r="H103"/>
  <c r="G103"/>
  <c r="F103"/>
  <c r="E103"/>
  <c r="D103"/>
  <c r="C103"/>
  <c r="B103"/>
  <c r="AV108" i="8" s="1"/>
  <c r="L102" i="5"/>
  <c r="K102"/>
  <c r="J102"/>
  <c r="I102"/>
  <c r="H102"/>
  <c r="G102"/>
  <c r="F102"/>
  <c r="E102"/>
  <c r="D102"/>
  <c r="C102"/>
  <c r="B102"/>
  <c r="AV107" i="8" s="1"/>
  <c r="L101" i="5"/>
  <c r="K101"/>
  <c r="J101"/>
  <c r="I101"/>
  <c r="H101"/>
  <c r="G101"/>
  <c r="F101"/>
  <c r="E101"/>
  <c r="D101"/>
  <c r="C101"/>
  <c r="B101"/>
  <c r="AV106" i="8" s="1"/>
  <c r="L100" i="5"/>
  <c r="K100"/>
  <c r="J100"/>
  <c r="I100"/>
  <c r="H100"/>
  <c r="G100"/>
  <c r="F100"/>
  <c r="E100"/>
  <c r="D100"/>
  <c r="C100"/>
  <c r="B100"/>
  <c r="AV105" i="8" s="1"/>
  <c r="L99" i="5"/>
  <c r="K99"/>
  <c r="J99"/>
  <c r="I99"/>
  <c r="H99"/>
  <c r="G99"/>
  <c r="F99"/>
  <c r="E99"/>
  <c r="D99"/>
  <c r="C99"/>
  <c r="B99"/>
  <c r="AV104" i="8" s="1"/>
  <c r="L98" i="5"/>
  <c r="K98"/>
  <c r="J98"/>
  <c r="I98"/>
  <c r="H98"/>
  <c r="G98"/>
  <c r="F98"/>
  <c r="E98"/>
  <c r="D98"/>
  <c r="C98"/>
  <c r="B98"/>
  <c r="AV103" i="8" s="1"/>
  <c r="L97" i="5"/>
  <c r="K97"/>
  <c r="J97"/>
  <c r="I97"/>
  <c r="H97"/>
  <c r="G97"/>
  <c r="F97"/>
  <c r="E97"/>
  <c r="D97"/>
  <c r="C97"/>
  <c r="B97"/>
  <c r="AV102" i="8" s="1"/>
  <c r="L96" i="5"/>
  <c r="K96"/>
  <c r="J96"/>
  <c r="I96"/>
  <c r="H96"/>
  <c r="G96"/>
  <c r="F96"/>
  <c r="E96"/>
  <c r="D96"/>
  <c r="C96"/>
  <c r="B96"/>
  <c r="AV101" i="8" s="1"/>
  <c r="L95" i="5"/>
  <c r="K95"/>
  <c r="J95"/>
  <c r="I95"/>
  <c r="H95"/>
  <c r="G95"/>
  <c r="F95"/>
  <c r="E95"/>
  <c r="D95"/>
  <c r="C95"/>
  <c r="B95"/>
  <c r="AV100" i="8" s="1"/>
  <c r="L94" i="5"/>
  <c r="K94"/>
  <c r="J94"/>
  <c r="I94"/>
  <c r="H94"/>
  <c r="G94"/>
  <c r="F94"/>
  <c r="E94"/>
  <c r="D94"/>
  <c r="C94"/>
  <c r="B94"/>
  <c r="AV99" i="8" s="1"/>
  <c r="L93" i="5"/>
  <c r="K93"/>
  <c r="J93"/>
  <c r="I93"/>
  <c r="H93"/>
  <c r="G93"/>
  <c r="F93"/>
  <c r="E93"/>
  <c r="D93"/>
  <c r="C93"/>
  <c r="B93"/>
  <c r="AV98" i="8" s="1"/>
  <c r="L92" i="5"/>
  <c r="K92"/>
  <c r="J92"/>
  <c r="I92"/>
  <c r="H92"/>
  <c r="G92"/>
  <c r="F92"/>
  <c r="E92"/>
  <c r="D92"/>
  <c r="C92"/>
  <c r="B92"/>
  <c r="AV97" i="8" s="1"/>
  <c r="L91" i="5"/>
  <c r="K91"/>
  <c r="J91"/>
  <c r="I91"/>
  <c r="H91"/>
  <c r="G91"/>
  <c r="F91"/>
  <c r="E91"/>
  <c r="D91"/>
  <c r="C91"/>
  <c r="B91"/>
  <c r="AV96" i="8" s="1"/>
  <c r="L90" i="5"/>
  <c r="K90"/>
  <c r="J90"/>
  <c r="I90"/>
  <c r="H90"/>
  <c r="G90"/>
  <c r="F90"/>
  <c r="E90"/>
  <c r="D90"/>
  <c r="C90"/>
  <c r="B90"/>
  <c r="AV95" i="8" s="1"/>
  <c r="L89" i="5"/>
  <c r="K89"/>
  <c r="J89"/>
  <c r="I89"/>
  <c r="H89"/>
  <c r="G89"/>
  <c r="F89"/>
  <c r="E89"/>
  <c r="D89"/>
  <c r="C89"/>
  <c r="B89"/>
  <c r="AV94" i="8" s="1"/>
  <c r="L88" i="5"/>
  <c r="K88"/>
  <c r="J88"/>
  <c r="I88"/>
  <c r="H88"/>
  <c r="G88"/>
  <c r="F88"/>
  <c r="E88"/>
  <c r="D88"/>
  <c r="C88"/>
  <c r="B88"/>
  <c r="AV93" i="8" s="1"/>
  <c r="L87" i="5"/>
  <c r="K87"/>
  <c r="J87"/>
  <c r="I87"/>
  <c r="H87"/>
  <c r="G87"/>
  <c r="F87"/>
  <c r="E87"/>
  <c r="D87"/>
  <c r="C87"/>
  <c r="B87"/>
  <c r="AV92" i="8" s="1"/>
  <c r="L86" i="5"/>
  <c r="K86"/>
  <c r="J86"/>
  <c r="I86"/>
  <c r="H86"/>
  <c r="G86"/>
  <c r="F86"/>
  <c r="E86"/>
  <c r="D86"/>
  <c r="C86"/>
  <c r="B86"/>
  <c r="AV91" i="8" s="1"/>
  <c r="L85" i="5"/>
  <c r="K85"/>
  <c r="J85"/>
  <c r="I85"/>
  <c r="H85"/>
  <c r="G85"/>
  <c r="F85"/>
  <c r="E85"/>
  <c r="D85"/>
  <c r="C85"/>
  <c r="B85"/>
  <c r="AV90" i="8" s="1"/>
  <c r="L84" i="5"/>
  <c r="K84"/>
  <c r="J84"/>
  <c r="I84"/>
  <c r="H84"/>
  <c r="G84"/>
  <c r="F84"/>
  <c r="E84"/>
  <c r="D84"/>
  <c r="C84"/>
  <c r="B84"/>
  <c r="AV89" i="8" s="1"/>
  <c r="L83" i="5"/>
  <c r="K83"/>
  <c r="J83"/>
  <c r="I83"/>
  <c r="H83"/>
  <c r="G83"/>
  <c r="F83"/>
  <c r="E83"/>
  <c r="D83"/>
  <c r="C83"/>
  <c r="B83"/>
  <c r="AV88" i="8" s="1"/>
  <c r="L82" i="5"/>
  <c r="K82"/>
  <c r="J82"/>
  <c r="I82"/>
  <c r="H82"/>
  <c r="G82"/>
  <c r="F82"/>
  <c r="E82"/>
  <c r="D82"/>
  <c r="C82"/>
  <c r="B82"/>
  <c r="L81"/>
  <c r="K81"/>
  <c r="J81"/>
  <c r="I81"/>
  <c r="H81"/>
  <c r="G81"/>
  <c r="F81"/>
  <c r="E81"/>
  <c r="D81"/>
  <c r="C81"/>
  <c r="B81"/>
  <c r="L80"/>
  <c r="K80"/>
  <c r="J80"/>
  <c r="I80"/>
  <c r="H80"/>
  <c r="G80"/>
  <c r="F80"/>
  <c r="E80"/>
  <c r="D80"/>
  <c r="C80"/>
  <c r="B80"/>
  <c r="L79"/>
  <c r="K79"/>
  <c r="J79"/>
  <c r="I79"/>
  <c r="H79"/>
  <c r="G79"/>
  <c r="F79"/>
  <c r="E79"/>
  <c r="D79"/>
  <c r="C79"/>
  <c r="B79"/>
  <c r="L78"/>
  <c r="K78"/>
  <c r="J78"/>
  <c r="I78"/>
  <c r="H78"/>
  <c r="G78"/>
  <c r="F78"/>
  <c r="E78"/>
  <c r="D78"/>
  <c r="C78"/>
  <c r="B78"/>
  <c r="L77"/>
  <c r="K77"/>
  <c r="J77"/>
  <c r="I77"/>
  <c r="H77"/>
  <c r="G77"/>
  <c r="F77"/>
  <c r="E77"/>
  <c r="D77"/>
  <c r="C77"/>
  <c r="B77"/>
  <c r="L76"/>
  <c r="K76"/>
  <c r="J76"/>
  <c r="I76"/>
  <c r="H76"/>
  <c r="G76"/>
  <c r="F76"/>
  <c r="E76"/>
  <c r="D76"/>
  <c r="C76"/>
  <c r="B76"/>
  <c r="L75"/>
  <c r="K75"/>
  <c r="J75"/>
  <c r="I75"/>
  <c r="H75"/>
  <c r="G75"/>
  <c r="F75"/>
  <c r="E75"/>
  <c r="D75"/>
  <c r="C75"/>
  <c r="B75"/>
  <c r="L74"/>
  <c r="K74"/>
  <c r="J74"/>
  <c r="I74"/>
  <c r="H74"/>
  <c r="G74"/>
  <c r="F74"/>
  <c r="E74"/>
  <c r="D74"/>
  <c r="C74"/>
  <c r="B74"/>
  <c r="L73"/>
  <c r="K73"/>
  <c r="J73"/>
  <c r="I73"/>
  <c r="H73"/>
  <c r="G73"/>
  <c r="F73"/>
  <c r="E73"/>
  <c r="D73"/>
  <c r="C73"/>
  <c r="B73"/>
  <c r="L72"/>
  <c r="K72"/>
  <c r="J72"/>
  <c r="I72"/>
  <c r="H72"/>
  <c r="G72"/>
  <c r="F72"/>
  <c r="E72"/>
  <c r="D72"/>
  <c r="C72"/>
  <c r="B72"/>
  <c r="L71"/>
  <c r="K71"/>
  <c r="J71"/>
  <c r="I71"/>
  <c r="H71"/>
  <c r="G71"/>
  <c r="F71"/>
  <c r="E71"/>
  <c r="D71"/>
  <c r="C71"/>
  <c r="B71"/>
  <c r="L70"/>
  <c r="K70"/>
  <c r="J70"/>
  <c r="I70"/>
  <c r="H70"/>
  <c r="G70"/>
  <c r="F70"/>
  <c r="E70"/>
  <c r="D70"/>
  <c r="C70"/>
  <c r="B70"/>
  <c r="L69"/>
  <c r="K69"/>
  <c r="J69"/>
  <c r="I69"/>
  <c r="H69"/>
  <c r="G69"/>
  <c r="F69"/>
  <c r="E69"/>
  <c r="D69"/>
  <c r="C69"/>
  <c r="B69"/>
  <c r="L68"/>
  <c r="K68"/>
  <c r="J68"/>
  <c r="I68"/>
  <c r="H68"/>
  <c r="G68"/>
  <c r="F68"/>
  <c r="E68"/>
  <c r="D68"/>
  <c r="C68"/>
  <c r="B68"/>
  <c r="L67"/>
  <c r="K67"/>
  <c r="J67"/>
  <c r="I67"/>
  <c r="H67"/>
  <c r="G67"/>
  <c r="F67"/>
  <c r="E67"/>
  <c r="D67"/>
  <c r="C67"/>
  <c r="B67"/>
  <c r="L66"/>
  <c r="K66"/>
  <c r="J66"/>
  <c r="I66"/>
  <c r="H66"/>
  <c r="G66"/>
  <c r="F66"/>
  <c r="E66"/>
  <c r="D66"/>
  <c r="C66"/>
  <c r="B66"/>
  <c r="L65"/>
  <c r="K65"/>
  <c r="J65"/>
  <c r="I65"/>
  <c r="H65"/>
  <c r="G65"/>
  <c r="F65"/>
  <c r="E65"/>
  <c r="D65"/>
  <c r="C65"/>
  <c r="B65"/>
  <c r="L64"/>
  <c r="K64"/>
  <c r="J64"/>
  <c r="I64"/>
  <c r="H64"/>
  <c r="G64"/>
  <c r="F64"/>
  <c r="E64"/>
  <c r="D64"/>
  <c r="C64"/>
  <c r="B64"/>
  <c r="L63"/>
  <c r="K63"/>
  <c r="J63"/>
  <c r="I63"/>
  <c r="H63"/>
  <c r="G63"/>
  <c r="F63"/>
  <c r="E63"/>
  <c r="D63"/>
  <c r="C63"/>
  <c r="B63"/>
  <c r="L62"/>
  <c r="K62"/>
  <c r="J62"/>
  <c r="I62"/>
  <c r="H62"/>
  <c r="G62"/>
  <c r="F62"/>
  <c r="E62"/>
  <c r="D62"/>
  <c r="C62"/>
  <c r="B62"/>
  <c r="L61"/>
  <c r="K61"/>
  <c r="J61"/>
  <c r="I61"/>
  <c r="H61"/>
  <c r="G61"/>
  <c r="F61"/>
  <c r="E61"/>
  <c r="D61"/>
  <c r="C61"/>
  <c r="B61"/>
  <c r="L60"/>
  <c r="K60"/>
  <c r="J60"/>
  <c r="I60"/>
  <c r="H60"/>
  <c r="G60"/>
  <c r="F60"/>
  <c r="E60"/>
  <c r="D60"/>
  <c r="C60"/>
  <c r="B60"/>
  <c r="L59"/>
  <c r="K59"/>
  <c r="J59"/>
  <c r="I59"/>
  <c r="H59"/>
  <c r="G59"/>
  <c r="F59"/>
  <c r="E59"/>
  <c r="D59"/>
  <c r="C59"/>
  <c r="B59"/>
  <c r="L58"/>
  <c r="K58"/>
  <c r="J58"/>
  <c r="I58"/>
  <c r="H58"/>
  <c r="G58"/>
  <c r="F58"/>
  <c r="E58"/>
  <c r="D58"/>
  <c r="C58"/>
  <c r="B58"/>
  <c r="L57"/>
  <c r="K57"/>
  <c r="J57"/>
  <c r="I57"/>
  <c r="H57"/>
  <c r="G57"/>
  <c r="F57"/>
  <c r="E57"/>
  <c r="D57"/>
  <c r="C57"/>
  <c r="B57"/>
  <c r="L56"/>
  <c r="K56"/>
  <c r="J56"/>
  <c r="I56"/>
  <c r="H56"/>
  <c r="G56"/>
  <c r="F56"/>
  <c r="E56"/>
  <c r="D56"/>
  <c r="C56"/>
  <c r="B56"/>
  <c r="L55"/>
  <c r="K55"/>
  <c r="J55"/>
  <c r="I55"/>
  <c r="H55"/>
  <c r="G55"/>
  <c r="F55"/>
  <c r="E55"/>
  <c r="D55"/>
  <c r="C55"/>
  <c r="B55"/>
  <c r="L54"/>
  <c r="K54"/>
  <c r="J54"/>
  <c r="I54"/>
  <c r="H54"/>
  <c r="G54"/>
  <c r="F54"/>
  <c r="E54"/>
  <c r="D54"/>
  <c r="C54"/>
  <c r="B54"/>
  <c r="L53"/>
  <c r="K53"/>
  <c r="J53"/>
  <c r="I53"/>
  <c r="H53"/>
  <c r="G53"/>
  <c r="F53"/>
  <c r="E53"/>
  <c r="D53"/>
  <c r="C53"/>
  <c r="B53"/>
  <c r="L52"/>
  <c r="K52"/>
  <c r="J52"/>
  <c r="I52"/>
  <c r="H52"/>
  <c r="G52"/>
  <c r="F52"/>
  <c r="E52"/>
  <c r="D52"/>
  <c r="C52"/>
  <c r="B52"/>
  <c r="L51"/>
  <c r="K51"/>
  <c r="J51"/>
  <c r="I51"/>
  <c r="H51"/>
  <c r="G51"/>
  <c r="F51"/>
  <c r="E51"/>
  <c r="D51"/>
  <c r="C51"/>
  <c r="B51"/>
  <c r="L50"/>
  <c r="K50"/>
  <c r="J50"/>
  <c r="I50"/>
  <c r="H50"/>
  <c r="G50"/>
  <c r="F50"/>
  <c r="E50"/>
  <c r="D50"/>
  <c r="C50"/>
  <c r="B50"/>
  <c r="L49"/>
  <c r="K49"/>
  <c r="J49"/>
  <c r="I49"/>
  <c r="H49"/>
  <c r="G49"/>
  <c r="F49"/>
  <c r="E49"/>
  <c r="D49"/>
  <c r="C49"/>
  <c r="B49"/>
  <c r="L48"/>
  <c r="K48"/>
  <c r="J48"/>
  <c r="I48"/>
  <c r="H48"/>
  <c r="G48"/>
  <c r="F48"/>
  <c r="E48"/>
  <c r="D48"/>
  <c r="C48"/>
  <c r="B48"/>
  <c r="L47"/>
  <c r="K47"/>
  <c r="J47"/>
  <c r="I47"/>
  <c r="H47"/>
  <c r="G47"/>
  <c r="F47"/>
  <c r="E47"/>
  <c r="D47"/>
  <c r="C47"/>
  <c r="B47"/>
  <c r="L46"/>
  <c r="K46"/>
  <c r="J46"/>
  <c r="I46"/>
  <c r="H46"/>
  <c r="G46"/>
  <c r="F46"/>
  <c r="E46"/>
  <c r="D46"/>
  <c r="C46"/>
  <c r="B46"/>
  <c r="L45"/>
  <c r="K45"/>
  <c r="J45"/>
  <c r="I45"/>
  <c r="H45"/>
  <c r="G45"/>
  <c r="F45"/>
  <c r="E45"/>
  <c r="D45"/>
  <c r="C45"/>
  <c r="B45"/>
  <c r="L44"/>
  <c r="K44"/>
  <c r="J44"/>
  <c r="I44"/>
  <c r="H44"/>
  <c r="G44"/>
  <c r="F44"/>
  <c r="E44"/>
  <c r="D44"/>
  <c r="C44"/>
  <c r="B44"/>
  <c r="L43"/>
  <c r="K43"/>
  <c r="J43"/>
  <c r="I43"/>
  <c r="H43"/>
  <c r="G43"/>
  <c r="F43"/>
  <c r="E43"/>
  <c r="D43"/>
  <c r="C43"/>
  <c r="B43"/>
  <c r="L42"/>
  <c r="K42"/>
  <c r="J42"/>
  <c r="I42"/>
  <c r="H42"/>
  <c r="G42"/>
  <c r="F42"/>
  <c r="E42"/>
  <c r="D42"/>
  <c r="C42"/>
  <c r="B42"/>
  <c r="L41"/>
  <c r="K41"/>
  <c r="J41"/>
  <c r="I41"/>
  <c r="H41"/>
  <c r="G41"/>
  <c r="F41"/>
  <c r="E41"/>
  <c r="D41"/>
  <c r="C41"/>
  <c r="B41"/>
  <c r="L40"/>
  <c r="K40"/>
  <c r="J40"/>
  <c r="I40"/>
  <c r="H40"/>
  <c r="G40"/>
  <c r="F40"/>
  <c r="E40"/>
  <c r="D40"/>
  <c r="C40"/>
  <c r="B40"/>
  <c r="L39"/>
  <c r="K39"/>
  <c r="J39"/>
  <c r="I39"/>
  <c r="H39"/>
  <c r="G39"/>
  <c r="F39"/>
  <c r="E39"/>
  <c r="D39"/>
  <c r="C39"/>
  <c r="B39"/>
  <c r="L38"/>
  <c r="K38"/>
  <c r="J38"/>
  <c r="I38"/>
  <c r="H38"/>
  <c r="G38"/>
  <c r="F38"/>
  <c r="E38"/>
  <c r="D38"/>
  <c r="C38"/>
  <c r="B38"/>
  <c r="L37"/>
  <c r="K37"/>
  <c r="J37"/>
  <c r="I37"/>
  <c r="H37"/>
  <c r="G37"/>
  <c r="F37"/>
  <c r="E37"/>
  <c r="D37"/>
  <c r="C37"/>
  <c r="B37"/>
  <c r="L36"/>
  <c r="K36"/>
  <c r="J36"/>
  <c r="I36"/>
  <c r="H36"/>
  <c r="G36"/>
  <c r="F36"/>
  <c r="E36"/>
  <c r="D36"/>
  <c r="C36"/>
  <c r="B36"/>
  <c r="L35"/>
  <c r="K35"/>
  <c r="J35"/>
  <c r="I35"/>
  <c r="H35"/>
  <c r="G35"/>
  <c r="F35"/>
  <c r="E35"/>
  <c r="D35"/>
  <c r="C35"/>
  <c r="B35"/>
  <c r="L34"/>
  <c r="K34"/>
  <c r="J34"/>
  <c r="I34"/>
  <c r="H34"/>
  <c r="G34"/>
  <c r="F34"/>
  <c r="E34"/>
  <c r="D34"/>
  <c r="C34"/>
  <c r="B34"/>
  <c r="L33"/>
  <c r="K33"/>
  <c r="J33"/>
  <c r="I33"/>
  <c r="H33"/>
  <c r="G33"/>
  <c r="F33"/>
  <c r="E33"/>
  <c r="D33"/>
  <c r="C33"/>
  <c r="B33"/>
  <c r="L32"/>
  <c r="K32"/>
  <c r="J32"/>
  <c r="I32"/>
  <c r="H32"/>
  <c r="G32"/>
  <c r="F32"/>
  <c r="E32"/>
  <c r="D32"/>
  <c r="C32"/>
  <c r="B32"/>
  <c r="L31"/>
  <c r="K31"/>
  <c r="J31"/>
  <c r="I31"/>
  <c r="H31"/>
  <c r="G31"/>
  <c r="F31"/>
  <c r="E31"/>
  <c r="D31"/>
  <c r="C31"/>
  <c r="B31"/>
  <c r="L30"/>
  <c r="K30"/>
  <c r="J30"/>
  <c r="I30"/>
  <c r="H30"/>
  <c r="G30"/>
  <c r="F30"/>
  <c r="E30"/>
  <c r="D30"/>
  <c r="C30"/>
  <c r="B30"/>
  <c r="L29"/>
  <c r="K29"/>
  <c r="J29"/>
  <c r="I29"/>
  <c r="H29"/>
  <c r="G29"/>
  <c r="F29"/>
  <c r="E29"/>
  <c r="D29"/>
  <c r="C29"/>
  <c r="B29"/>
  <c r="L28"/>
  <c r="K28"/>
  <c r="J28"/>
  <c r="I28"/>
  <c r="H28"/>
  <c r="G28"/>
  <c r="F28"/>
  <c r="E28"/>
  <c r="D28"/>
  <c r="C28"/>
  <c r="B28"/>
  <c r="L27"/>
  <c r="K27"/>
  <c r="J27"/>
  <c r="I27"/>
  <c r="H27"/>
  <c r="G27"/>
  <c r="F27"/>
  <c r="E27"/>
  <c r="D27"/>
  <c r="C27"/>
  <c r="B27"/>
  <c r="L26"/>
  <c r="K26"/>
  <c r="J26"/>
  <c r="I26"/>
  <c r="H26"/>
  <c r="G26"/>
  <c r="F26"/>
  <c r="E26"/>
  <c r="D26"/>
  <c r="C26"/>
  <c r="B26"/>
  <c r="L25"/>
  <c r="K25"/>
  <c r="J25"/>
  <c r="I25"/>
  <c r="H25"/>
  <c r="G25"/>
  <c r="F25"/>
  <c r="E25"/>
  <c r="D25"/>
  <c r="C25"/>
  <c r="B25"/>
  <c r="L24"/>
  <c r="K24"/>
  <c r="J24"/>
  <c r="I24"/>
  <c r="H24"/>
  <c r="G24"/>
  <c r="F24"/>
  <c r="E24"/>
  <c r="D24"/>
  <c r="C24"/>
  <c r="B24"/>
  <c r="L23"/>
  <c r="K23"/>
  <c r="J23"/>
  <c r="I23"/>
  <c r="H23"/>
  <c r="G23"/>
  <c r="F23"/>
  <c r="E23"/>
  <c r="D23"/>
  <c r="C23"/>
  <c r="B23"/>
  <c r="L22"/>
  <c r="K22"/>
  <c r="J22"/>
  <c r="I22"/>
  <c r="H22"/>
  <c r="G22"/>
  <c r="F22"/>
  <c r="E22"/>
  <c r="D22"/>
  <c r="C22"/>
  <c r="B22"/>
  <c r="L21"/>
  <c r="K21"/>
  <c r="J21"/>
  <c r="I21"/>
  <c r="H21"/>
  <c r="G21"/>
  <c r="F21"/>
  <c r="E21"/>
  <c r="D21"/>
  <c r="C21"/>
  <c r="B21"/>
  <c r="L20"/>
  <c r="K20"/>
  <c r="J20"/>
  <c r="I20"/>
  <c r="H20"/>
  <c r="G20"/>
  <c r="F20"/>
  <c r="E20"/>
  <c r="D20"/>
  <c r="C20"/>
  <c r="B20"/>
  <c r="L19"/>
  <c r="K19"/>
  <c r="J19"/>
  <c r="I19"/>
  <c r="H19"/>
  <c r="G19"/>
  <c r="F19"/>
  <c r="E19"/>
  <c r="D19"/>
  <c r="C19"/>
  <c r="B19"/>
  <c r="L18"/>
  <c r="K18"/>
  <c r="J18"/>
  <c r="I18"/>
  <c r="H18"/>
  <c r="G18"/>
  <c r="F18"/>
  <c r="E18"/>
  <c r="D18"/>
  <c r="C18"/>
  <c r="B18"/>
  <c r="L17"/>
  <c r="K17"/>
  <c r="J17"/>
  <c r="I17"/>
  <c r="H17"/>
  <c r="G17"/>
  <c r="F17"/>
  <c r="E17"/>
  <c r="D17"/>
  <c r="C17"/>
  <c r="B17"/>
  <c r="L16"/>
  <c r="K16"/>
  <c r="J16"/>
  <c r="I16"/>
  <c r="H16"/>
  <c r="G16"/>
  <c r="F16"/>
  <c r="E16"/>
  <c r="D16"/>
  <c r="C16"/>
  <c r="B16"/>
  <c r="L15"/>
  <c r="K15"/>
  <c r="J15"/>
  <c r="I15"/>
  <c r="H15"/>
  <c r="G15"/>
  <c r="F15"/>
  <c r="E15"/>
  <c r="D15"/>
  <c r="C15"/>
  <c r="B15"/>
  <c r="L14"/>
  <c r="K14"/>
  <c r="J14"/>
  <c r="I14"/>
  <c r="H14"/>
  <c r="G14"/>
  <c r="F14"/>
  <c r="E14"/>
  <c r="D14"/>
  <c r="C14"/>
  <c r="B14"/>
  <c r="L13"/>
  <c r="K13"/>
  <c r="J13"/>
  <c r="I13"/>
  <c r="H13"/>
  <c r="G13"/>
  <c r="F13"/>
  <c r="E13"/>
  <c r="D13"/>
  <c r="C13"/>
  <c r="B13"/>
  <c r="L12"/>
  <c r="K12"/>
  <c r="J12"/>
  <c r="I12"/>
  <c r="H12"/>
  <c r="G12"/>
  <c r="F12"/>
  <c r="E12"/>
  <c r="D12"/>
  <c r="C12"/>
  <c r="B12"/>
  <c r="L11"/>
  <c r="K11"/>
  <c r="J11"/>
  <c r="I11"/>
  <c r="H11"/>
  <c r="G11"/>
  <c r="F11"/>
  <c r="E11"/>
  <c r="D11"/>
  <c r="C11"/>
  <c r="B11"/>
  <c r="L10"/>
  <c r="K10"/>
  <c r="J10"/>
  <c r="I10"/>
  <c r="H10"/>
  <c r="G10"/>
  <c r="F10"/>
  <c r="E10"/>
  <c r="D10"/>
  <c r="C10"/>
  <c r="B10"/>
  <c r="L9"/>
  <c r="K9"/>
  <c r="J9"/>
  <c r="I9"/>
  <c r="H9"/>
  <c r="G9"/>
  <c r="F9"/>
  <c r="E9"/>
  <c r="D9"/>
  <c r="C9"/>
  <c r="B9"/>
  <c r="L8"/>
  <c r="K8"/>
  <c r="J8"/>
  <c r="I8"/>
  <c r="H8"/>
  <c r="G8"/>
  <c r="F8"/>
  <c r="E8"/>
  <c r="D8"/>
  <c r="C8"/>
  <c r="B8"/>
  <c r="L7"/>
  <c r="K7"/>
  <c r="J7"/>
  <c r="I7"/>
  <c r="H7"/>
  <c r="G7"/>
  <c r="F7"/>
  <c r="E7"/>
  <c r="D7"/>
  <c r="C7"/>
  <c r="B7"/>
  <c r="L6"/>
  <c r="K6"/>
  <c r="J6"/>
  <c r="I6"/>
  <c r="H6"/>
  <c r="G6"/>
  <c r="F6"/>
  <c r="E6"/>
  <c r="D6"/>
  <c r="C6"/>
  <c r="B6"/>
  <c r="L5"/>
  <c r="K5"/>
  <c r="J5"/>
  <c r="I5"/>
  <c r="H5"/>
  <c r="G5"/>
  <c r="F5"/>
  <c r="E5"/>
  <c r="D5"/>
  <c r="C5"/>
  <c r="B5"/>
  <c r="L4"/>
  <c r="K4"/>
  <c r="J4"/>
  <c r="I4"/>
  <c r="H4"/>
  <c r="G4"/>
  <c r="F4"/>
  <c r="E4"/>
  <c r="D4"/>
  <c r="C4"/>
  <c r="B4"/>
  <c r="L3"/>
  <c r="K3"/>
  <c r="J3"/>
  <c r="I3"/>
  <c r="H3"/>
  <c r="G3"/>
  <c r="F3"/>
  <c r="E3"/>
  <c r="D3"/>
  <c r="C3"/>
  <c r="B3"/>
  <c r="L2"/>
  <c r="K2"/>
  <c r="J2"/>
  <c r="I2"/>
  <c r="H2"/>
  <c r="G2"/>
  <c r="F2"/>
  <c r="E2"/>
  <c r="D2"/>
  <c r="C2"/>
  <c r="A153"/>
  <c r="B7" i="9"/>
  <c r="B5"/>
  <c r="A5"/>
  <c r="A6" s="1"/>
  <c r="A7" s="1"/>
  <c r="A8" s="1"/>
  <c r="B3"/>
  <c r="F17" i="8"/>
  <c r="F10"/>
  <c r="B2"/>
  <c r="M3" i="9" s="1"/>
  <c r="B2" i="5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1"/>
  <c r="B2" i="4"/>
  <c r="AG1"/>
  <c r="AF1"/>
  <c r="AE1"/>
  <c r="AD1"/>
  <c r="AC1"/>
  <c r="AB1"/>
  <c r="AA1"/>
  <c r="Z1"/>
  <c r="Y1"/>
  <c r="X1"/>
  <c r="W1"/>
  <c r="V1"/>
  <c r="U1"/>
  <c r="T1"/>
  <c r="S1"/>
  <c r="R1"/>
  <c r="Q1"/>
  <c r="P1"/>
  <c r="O1"/>
  <c r="N1"/>
  <c r="M1"/>
  <c r="L1"/>
  <c r="K1"/>
  <c r="J1"/>
  <c r="I1"/>
  <c r="H1"/>
  <c r="G1"/>
  <c r="F1"/>
  <c r="E1"/>
  <c r="D1"/>
  <c r="C1"/>
  <c r="B1"/>
  <c r="A1"/>
  <c r="A2" i="11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2" i="5" s="1"/>
  <c r="D1" i="1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C1"/>
  <c r="A2" i="10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2" i="4" s="1"/>
  <c r="C1" i="10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83" i="11" l="1"/>
  <c r="AS88" i="8"/>
  <c r="AX88" s="1"/>
  <c r="AU88"/>
  <c r="AY88" s="1"/>
  <c r="AS89"/>
  <c r="AX89" s="1"/>
  <c r="AU89"/>
  <c r="AY89" s="1"/>
  <c r="AS90"/>
  <c r="AX90" s="1"/>
  <c r="AU90"/>
  <c r="AY90" s="1"/>
  <c r="AS91"/>
  <c r="AX91" s="1"/>
  <c r="AU91"/>
  <c r="AY91" s="1"/>
  <c r="AS92"/>
  <c r="AX92" s="1"/>
  <c r="AU92"/>
  <c r="AY92" s="1"/>
  <c r="AS93"/>
  <c r="AX93" s="1"/>
  <c r="AU93"/>
  <c r="AY93" s="1"/>
  <c r="AS94"/>
  <c r="AX94" s="1"/>
  <c r="AU94"/>
  <c r="AY94" s="1"/>
  <c r="AS95"/>
  <c r="AX95" s="1"/>
  <c r="AU95"/>
  <c r="AY95" s="1"/>
  <c r="AS96"/>
  <c r="AX96" s="1"/>
  <c r="AU96"/>
  <c r="AY96" s="1"/>
  <c r="AS97"/>
  <c r="AX97" s="1"/>
  <c r="AU97"/>
  <c r="AY97" s="1"/>
  <c r="AS98"/>
  <c r="AX98" s="1"/>
  <c r="AU98"/>
  <c r="AY98" s="1"/>
  <c r="AS99"/>
  <c r="AX99" s="1"/>
  <c r="AU99"/>
  <c r="AY99" s="1"/>
  <c r="AS100"/>
  <c r="AX100" s="1"/>
  <c r="AU100"/>
  <c r="AY100" s="1"/>
  <c r="AS101"/>
  <c r="AX101" s="1"/>
  <c r="AU101"/>
  <c r="AY101" s="1"/>
  <c r="AS102"/>
  <c r="AX102" s="1"/>
  <c r="AU102"/>
  <c r="AY102" s="1"/>
  <c r="AS103"/>
  <c r="AX103" s="1"/>
  <c r="AU103"/>
  <c r="AY103" s="1"/>
  <c r="AS104"/>
  <c r="AX104" s="1"/>
  <c r="AU104"/>
  <c r="AY104" s="1"/>
  <c r="AS105"/>
  <c r="AX105" s="1"/>
  <c r="AU105"/>
  <c r="AY105" s="1"/>
  <c r="AS106"/>
  <c r="AX106" s="1"/>
  <c r="AU106"/>
  <c r="AY106" s="1"/>
  <c r="AS107"/>
  <c r="AX107" s="1"/>
  <c r="AU107"/>
  <c r="AY107" s="1"/>
  <c r="AS108"/>
  <c r="AX108" s="1"/>
  <c r="AU108"/>
  <c r="AY108" s="1"/>
  <c r="AS109"/>
  <c r="AX109" s="1"/>
  <c r="AU109"/>
  <c r="AY109" s="1"/>
  <c r="AS110"/>
  <c r="AX110" s="1"/>
  <c r="AU110"/>
  <c r="AY110" s="1"/>
  <c r="AS111"/>
  <c r="AX111" s="1"/>
  <c r="AU111"/>
  <c r="AY111" s="1"/>
  <c r="AS112"/>
  <c r="AX112" s="1"/>
  <c r="AU112"/>
  <c r="AY112" s="1"/>
  <c r="AS113"/>
  <c r="AX113" s="1"/>
  <c r="AU113"/>
  <c r="AY113" s="1"/>
  <c r="AS114"/>
  <c r="AX114" s="1"/>
  <c r="AU114"/>
  <c r="AY114" s="1"/>
  <c r="AS115"/>
  <c r="AX115" s="1"/>
  <c r="AU115"/>
  <c r="AY115" s="1"/>
  <c r="AS116"/>
  <c r="AX116" s="1"/>
  <c r="AU116"/>
  <c r="AY116" s="1"/>
  <c r="AS117"/>
  <c r="AX117" s="1"/>
  <c r="AU117"/>
  <c r="AY117" s="1"/>
  <c r="AS118"/>
  <c r="AX118" s="1"/>
  <c r="AU118"/>
  <c r="AY118" s="1"/>
  <c r="AS119"/>
  <c r="AX119" s="1"/>
  <c r="AU119"/>
  <c r="AY119" s="1"/>
  <c r="AS120"/>
  <c r="AX120" s="1"/>
  <c r="AU120"/>
  <c r="AY120" s="1"/>
  <c r="AS121"/>
  <c r="AX121" s="1"/>
  <c r="AU121"/>
  <c r="AY121" s="1"/>
  <c r="AS122"/>
  <c r="AX122" s="1"/>
  <c r="AU122"/>
  <c r="AY122" s="1"/>
  <c r="AS123"/>
  <c r="AX123" s="1"/>
  <c r="AU123"/>
  <c r="AY123" s="1"/>
  <c r="AS124"/>
  <c r="AX124" s="1"/>
  <c r="AU124"/>
  <c r="AY124" s="1"/>
  <c r="AS125"/>
  <c r="AX125" s="1"/>
  <c r="AU125"/>
  <c r="AY125" s="1"/>
  <c r="AS126"/>
  <c r="AX126" s="1"/>
  <c r="AU126"/>
  <c r="AY126" s="1"/>
  <c r="AS127"/>
  <c r="AX127" s="1"/>
  <c r="AU127"/>
  <c r="AY127" s="1"/>
  <c r="AS128"/>
  <c r="AX128" s="1"/>
  <c r="AU128"/>
  <c r="AY128" s="1"/>
  <c r="AS129"/>
  <c r="AX129" s="1"/>
  <c r="AU129"/>
  <c r="AY129" s="1"/>
  <c r="AS130"/>
  <c r="AX130" s="1"/>
  <c r="AU130"/>
  <c r="AY130" s="1"/>
  <c r="AS131"/>
  <c r="AX131" s="1"/>
  <c r="AU131"/>
  <c r="AY131" s="1"/>
  <c r="AS132"/>
  <c r="AX132" s="1"/>
  <c r="AU132"/>
  <c r="AY132" s="1"/>
  <c r="AS133"/>
  <c r="AX133" s="1"/>
  <c r="AU133"/>
  <c r="AY133" s="1"/>
  <c r="AS134"/>
  <c r="AX134" s="1"/>
  <c r="AU134"/>
  <c r="AY134" s="1"/>
  <c r="AS135"/>
  <c r="AX135" s="1"/>
  <c r="AU135"/>
  <c r="AY135" s="1"/>
  <c r="AS136"/>
  <c r="AX136" s="1"/>
  <c r="AU136"/>
  <c r="AY136" s="1"/>
  <c r="AS137"/>
  <c r="AX137" s="1"/>
  <c r="AU137"/>
  <c r="AY137" s="1"/>
  <c r="AS138"/>
  <c r="AX138" s="1"/>
  <c r="AU138"/>
  <c r="AY138" s="1"/>
  <c r="AS139"/>
  <c r="AX139" s="1"/>
  <c r="AU139"/>
  <c r="AY139" s="1"/>
  <c r="AS140"/>
  <c r="AX140" s="1"/>
  <c r="AU140"/>
  <c r="AY140" s="1"/>
  <c r="AS141"/>
  <c r="AX141" s="1"/>
  <c r="AU141"/>
  <c r="AY141" s="1"/>
  <c r="AS142"/>
  <c r="AX142" s="1"/>
  <c r="AU142"/>
  <c r="AY142" s="1"/>
  <c r="AS143"/>
  <c r="AX143" s="1"/>
  <c r="AU143"/>
  <c r="AY143" s="1"/>
  <c r="AS144"/>
  <c r="AX144" s="1"/>
  <c r="AU144"/>
  <c r="AY144" s="1"/>
  <c r="AS145"/>
  <c r="AX145" s="1"/>
  <c r="AU145"/>
  <c r="AY145" s="1"/>
  <c r="AS146"/>
  <c r="AX146" s="1"/>
  <c r="AU146"/>
  <c r="AY146" s="1"/>
  <c r="AS147"/>
  <c r="AX147" s="1"/>
  <c r="AU147"/>
  <c r="AY147" s="1"/>
  <c r="AS148"/>
  <c r="AX148" s="1"/>
  <c r="AU148"/>
  <c r="AY148" s="1"/>
  <c r="AS149"/>
  <c r="AX149" s="1"/>
  <c r="AU149"/>
  <c r="AY149" s="1"/>
  <c r="AS150"/>
  <c r="AX150" s="1"/>
  <c r="AU150"/>
  <c r="AY150" s="1"/>
  <c r="AS151"/>
  <c r="AX151" s="1"/>
  <c r="AU151"/>
  <c r="AY151" s="1"/>
  <c r="AS152"/>
  <c r="AX152" s="1"/>
  <c r="AU152"/>
  <c r="AY152" s="1"/>
  <c r="AS153"/>
  <c r="AX153" s="1"/>
  <c r="AU153"/>
  <c r="AY153" s="1"/>
  <c r="AS154"/>
  <c r="AX154" s="1"/>
  <c r="AU154"/>
  <c r="AY154" s="1"/>
  <c r="AS155"/>
  <c r="AX155" s="1"/>
  <c r="AU155"/>
  <c r="AY155" s="1"/>
  <c r="AT156"/>
  <c r="AV156"/>
  <c r="AT157"/>
  <c r="AV157"/>
  <c r="A83" i="10"/>
  <c r="AW156" i="8"/>
  <c r="AW157"/>
  <c r="AW88"/>
  <c r="AW89"/>
  <c r="AW90"/>
  <c r="AW91"/>
  <c r="AW92"/>
  <c r="AW93"/>
  <c r="AW94"/>
  <c r="AW95"/>
  <c r="AW96"/>
  <c r="AW97"/>
  <c r="AW98"/>
  <c r="AW99"/>
  <c r="AW100"/>
  <c r="AW101"/>
  <c r="AW102"/>
  <c r="AW103"/>
  <c r="AW104"/>
  <c r="AW105"/>
  <c r="AW106"/>
  <c r="AW107"/>
  <c r="AW108"/>
  <c r="AW109"/>
  <c r="AW110"/>
  <c r="AW111"/>
  <c r="AW112"/>
  <c r="AW113"/>
  <c r="AW114"/>
  <c r="AW115"/>
  <c r="AW116"/>
  <c r="AW117"/>
  <c r="AW118"/>
  <c r="AW119"/>
  <c r="AW120"/>
  <c r="AW121"/>
  <c r="AW122"/>
  <c r="AW123"/>
  <c r="AW124"/>
  <c r="AW125"/>
  <c r="AW126"/>
  <c r="AW127"/>
  <c r="AW128"/>
  <c r="AW129"/>
  <c r="AW130"/>
  <c r="AW131"/>
  <c r="AW132"/>
  <c r="AW133"/>
  <c r="AW134"/>
  <c r="AW135"/>
  <c r="AW136"/>
  <c r="AW137"/>
  <c r="AW138"/>
  <c r="AW139"/>
  <c r="AW140"/>
  <c r="AW141"/>
  <c r="AW142"/>
  <c r="AW143"/>
  <c r="AW144"/>
  <c r="AW145"/>
  <c r="AW146"/>
  <c r="AW147"/>
  <c r="AW148"/>
  <c r="AW149"/>
  <c r="AW150"/>
  <c r="AW151"/>
  <c r="AW152"/>
  <c r="AW153"/>
  <c r="AW154"/>
  <c r="AW155"/>
  <c r="A2" i="4"/>
  <c r="A4"/>
  <c r="A6"/>
  <c r="A8"/>
  <c r="A10"/>
  <c r="A12"/>
  <c r="A14"/>
  <c r="A16"/>
  <c r="A18"/>
  <c r="A20"/>
  <c r="A22"/>
  <c r="A24"/>
  <c r="A26"/>
  <c r="A28"/>
  <c r="A30"/>
  <c r="A32"/>
  <c r="A34"/>
  <c r="A36"/>
  <c r="A38"/>
  <c r="A40"/>
  <c r="A42"/>
  <c r="A44"/>
  <c r="A46"/>
  <c r="A48"/>
  <c r="A50"/>
  <c r="A52"/>
  <c r="A54"/>
  <c r="A56"/>
  <c r="A58"/>
  <c r="A60"/>
  <c r="A62"/>
  <c r="A64"/>
  <c r="A66"/>
  <c r="A68"/>
  <c r="A70"/>
  <c r="A72"/>
  <c r="A74"/>
  <c r="A76"/>
  <c r="A78"/>
  <c r="A80"/>
  <c r="A2" i="5"/>
  <c r="A4"/>
  <c r="A6"/>
  <c r="A8"/>
  <c r="A10"/>
  <c r="A12"/>
  <c r="A14"/>
  <c r="A16"/>
  <c r="A18"/>
  <c r="A20"/>
  <c r="A22"/>
  <c r="A24"/>
  <c r="A26"/>
  <c r="A28"/>
  <c r="A30"/>
  <c r="A32"/>
  <c r="A34"/>
  <c r="A36"/>
  <c r="A38"/>
  <c r="A40"/>
  <c r="A42"/>
  <c r="A44"/>
  <c r="A46"/>
  <c r="A48"/>
  <c r="A50"/>
  <c r="A52"/>
  <c r="A54"/>
  <c r="A56"/>
  <c r="A58"/>
  <c r="A60"/>
  <c r="A62"/>
  <c r="A64"/>
  <c r="A66"/>
  <c r="A68"/>
  <c r="A70"/>
  <c r="A72"/>
  <c r="A74"/>
  <c r="A76"/>
  <c r="A78"/>
  <c r="A80"/>
  <c r="A3" i="4"/>
  <c r="A5"/>
  <c r="A7"/>
  <c r="A9"/>
  <c r="A11"/>
  <c r="A13"/>
  <c r="A15"/>
  <c r="A17"/>
  <c r="A19"/>
  <c r="A21"/>
  <c r="A23"/>
  <c r="A25"/>
  <c r="A27"/>
  <c r="A29"/>
  <c r="A31"/>
  <c r="A33"/>
  <c r="A35"/>
  <c r="A37"/>
  <c r="A39"/>
  <c r="A41"/>
  <c r="A43"/>
  <c r="A45"/>
  <c r="A47"/>
  <c r="A49"/>
  <c r="A51"/>
  <c r="A53"/>
  <c r="A55"/>
  <c r="A57"/>
  <c r="A59"/>
  <c r="A61"/>
  <c r="A63"/>
  <c r="A65"/>
  <c r="A67"/>
  <c r="A69"/>
  <c r="A71"/>
  <c r="A73"/>
  <c r="A75"/>
  <c r="A77"/>
  <c r="A79"/>
  <c r="A81"/>
  <c r="A3" i="5"/>
  <c r="A5"/>
  <c r="A7"/>
  <c r="A9"/>
  <c r="A11"/>
  <c r="A13"/>
  <c r="A15"/>
  <c r="A17"/>
  <c r="A19"/>
  <c r="A21"/>
  <c r="A23"/>
  <c r="A25"/>
  <c r="A27"/>
  <c r="A29"/>
  <c r="A31"/>
  <c r="A33"/>
  <c r="A35"/>
  <c r="A37"/>
  <c r="A39"/>
  <c r="A41"/>
  <c r="A43"/>
  <c r="A45"/>
  <c r="A47"/>
  <c r="A49"/>
  <c r="A51"/>
  <c r="A53"/>
  <c r="A55"/>
  <c r="A57"/>
  <c r="A59"/>
  <c r="A61"/>
  <c r="A63"/>
  <c r="A65"/>
  <c r="A67"/>
  <c r="A69"/>
  <c r="A71"/>
  <c r="A73"/>
  <c r="A75"/>
  <c r="A77"/>
  <c r="A79"/>
  <c r="A81"/>
  <c r="A4" i="9"/>
  <c r="A1" i="8"/>
  <c r="A84" i="11" l="1"/>
  <c r="A83" i="5"/>
  <c r="A84" i="10"/>
  <c r="A83" i="4"/>
  <c r="G19" i="8"/>
  <c r="F19"/>
  <c r="G12"/>
  <c r="F12"/>
  <c r="AU5"/>
  <c r="AY6" s="1"/>
  <c r="AS5"/>
  <c r="AV87"/>
  <c r="AU87"/>
  <c r="AY87" s="1"/>
  <c r="AT87"/>
  <c r="AS87"/>
  <c r="AV86"/>
  <c r="AU86"/>
  <c r="AY86" s="1"/>
  <c r="AT86"/>
  <c r="AS86"/>
  <c r="AV85"/>
  <c r="AU85"/>
  <c r="AY85" s="1"/>
  <c r="AT85"/>
  <c r="AS85"/>
  <c r="AV84"/>
  <c r="AU84"/>
  <c r="AY84" s="1"/>
  <c r="AT84"/>
  <c r="AS84"/>
  <c r="AV83"/>
  <c r="AU83"/>
  <c r="AY83" s="1"/>
  <c r="AT83"/>
  <c r="AS83"/>
  <c r="AV82"/>
  <c r="AU82"/>
  <c r="AY82" s="1"/>
  <c r="AT82"/>
  <c r="AS82"/>
  <c r="AV81"/>
  <c r="AU81"/>
  <c r="AY81" s="1"/>
  <c r="AT81"/>
  <c r="AS81"/>
  <c r="AV80"/>
  <c r="AU80"/>
  <c r="AY80" s="1"/>
  <c r="AT80"/>
  <c r="AS80"/>
  <c r="AV79"/>
  <c r="AU79"/>
  <c r="AY79" s="1"/>
  <c r="AT79"/>
  <c r="AS79"/>
  <c r="AV78"/>
  <c r="AU78"/>
  <c r="AY78" s="1"/>
  <c r="AT78"/>
  <c r="AS78"/>
  <c r="AV77"/>
  <c r="AU77"/>
  <c r="AY77" s="1"/>
  <c r="AT77"/>
  <c r="AS77"/>
  <c r="AV76"/>
  <c r="AU76"/>
  <c r="AY76" s="1"/>
  <c r="AT76"/>
  <c r="AS76"/>
  <c r="AV75"/>
  <c r="AU75"/>
  <c r="AY75" s="1"/>
  <c r="AT75"/>
  <c r="AS75"/>
  <c r="AV74"/>
  <c r="AU74"/>
  <c r="AY74" s="1"/>
  <c r="AT74"/>
  <c r="AS74"/>
  <c r="AV73"/>
  <c r="AU73"/>
  <c r="AY73" s="1"/>
  <c r="AT73"/>
  <c r="AS73"/>
  <c r="AV72"/>
  <c r="AU72"/>
  <c r="AY72" s="1"/>
  <c r="AT72"/>
  <c r="AS72"/>
  <c r="AV71"/>
  <c r="AU71"/>
  <c r="AY71" s="1"/>
  <c r="AT71"/>
  <c r="AS71"/>
  <c r="AV70"/>
  <c r="AU70"/>
  <c r="AY70" s="1"/>
  <c r="AT70"/>
  <c r="AS70"/>
  <c r="AV69"/>
  <c r="AU69"/>
  <c r="AY69" s="1"/>
  <c r="AT69"/>
  <c r="AS69"/>
  <c r="AV68"/>
  <c r="AU68"/>
  <c r="AY68" s="1"/>
  <c r="AT68"/>
  <c r="AS68"/>
  <c r="AV67"/>
  <c r="AU67"/>
  <c r="AY67" s="1"/>
  <c r="AT67"/>
  <c r="AS67"/>
  <c r="AV66"/>
  <c r="AU66"/>
  <c r="AY66" s="1"/>
  <c r="AT66"/>
  <c r="AS66"/>
  <c r="AV65"/>
  <c r="AU65"/>
  <c r="AY65" s="1"/>
  <c r="AT65"/>
  <c r="AS65"/>
  <c r="AV64"/>
  <c r="AU64"/>
  <c r="AY64" s="1"/>
  <c r="AT64"/>
  <c r="AS64"/>
  <c r="AV63"/>
  <c r="AU63"/>
  <c r="AY63" s="1"/>
  <c r="AT63"/>
  <c r="AS63"/>
  <c r="AV62"/>
  <c r="AU62"/>
  <c r="AY62" s="1"/>
  <c r="AT62"/>
  <c r="AS62"/>
  <c r="AV61"/>
  <c r="AU61"/>
  <c r="AY61" s="1"/>
  <c r="AT61"/>
  <c r="AS61"/>
  <c r="AV60"/>
  <c r="AU60"/>
  <c r="AY60" s="1"/>
  <c r="AT60"/>
  <c r="AS60"/>
  <c r="AV59"/>
  <c r="AU59"/>
  <c r="AY59" s="1"/>
  <c r="AT59"/>
  <c r="AS59"/>
  <c r="AV58"/>
  <c r="AU58"/>
  <c r="AY58" s="1"/>
  <c r="AT58"/>
  <c r="AS58"/>
  <c r="AV57"/>
  <c r="AU57"/>
  <c r="AY57" s="1"/>
  <c r="AT57"/>
  <c r="AS57"/>
  <c r="AV56"/>
  <c r="AU56"/>
  <c r="AY56" s="1"/>
  <c r="AT56"/>
  <c r="AS56"/>
  <c r="AV55"/>
  <c r="AU55"/>
  <c r="AY55" s="1"/>
  <c r="AT55"/>
  <c r="AS55"/>
  <c r="AV54"/>
  <c r="AU54"/>
  <c r="AY54" s="1"/>
  <c r="AT54"/>
  <c r="AS54"/>
  <c r="AV53"/>
  <c r="AU53"/>
  <c r="AY53" s="1"/>
  <c r="AT53"/>
  <c r="AS53"/>
  <c r="AV52"/>
  <c r="AU52"/>
  <c r="AY52" s="1"/>
  <c r="AT52"/>
  <c r="AS52"/>
  <c r="AV51"/>
  <c r="AU51"/>
  <c r="AY51" s="1"/>
  <c r="AT51"/>
  <c r="AS51"/>
  <c r="AV50"/>
  <c r="AU50"/>
  <c r="AY50" s="1"/>
  <c r="AT50"/>
  <c r="AS50"/>
  <c r="AV49"/>
  <c r="AU49"/>
  <c r="AY49" s="1"/>
  <c r="AT49"/>
  <c r="AS49"/>
  <c r="AV48"/>
  <c r="AU48"/>
  <c r="AY48" s="1"/>
  <c r="AT48"/>
  <c r="AS48"/>
  <c r="AV47"/>
  <c r="AU47"/>
  <c r="AY47" s="1"/>
  <c r="AT47"/>
  <c r="AS47"/>
  <c r="AV46"/>
  <c r="AU46"/>
  <c r="AY46" s="1"/>
  <c r="AT46"/>
  <c r="AS46"/>
  <c r="AV45"/>
  <c r="AU45"/>
  <c r="AY45" s="1"/>
  <c r="AT45"/>
  <c r="AS45"/>
  <c r="AV44"/>
  <c r="AU44"/>
  <c r="AY44" s="1"/>
  <c r="AT44"/>
  <c r="AS44"/>
  <c r="AV43"/>
  <c r="AU43"/>
  <c r="AY43" s="1"/>
  <c r="AT43"/>
  <c r="AS43"/>
  <c r="AV42"/>
  <c r="AU42"/>
  <c r="AY42" s="1"/>
  <c r="AT42"/>
  <c r="AS42"/>
  <c r="AV41"/>
  <c r="AU41"/>
  <c r="AY41" s="1"/>
  <c r="AT41"/>
  <c r="AS41"/>
  <c r="AV40"/>
  <c r="AU40"/>
  <c r="AY40" s="1"/>
  <c r="AT40"/>
  <c r="AS40"/>
  <c r="AV39"/>
  <c r="AU39"/>
  <c r="AY39" s="1"/>
  <c r="AT39"/>
  <c r="AS39"/>
  <c r="AV38"/>
  <c r="AU38"/>
  <c r="AY38" s="1"/>
  <c r="AT38"/>
  <c r="AS38"/>
  <c r="AV37"/>
  <c r="AU37"/>
  <c r="AY37" s="1"/>
  <c r="AT37"/>
  <c r="AS37"/>
  <c r="AV36"/>
  <c r="AU36"/>
  <c r="AY36" s="1"/>
  <c r="AT36"/>
  <c r="AS36"/>
  <c r="AV35"/>
  <c r="AU35"/>
  <c r="AY35" s="1"/>
  <c r="AT35"/>
  <c r="AS35"/>
  <c r="AV34"/>
  <c r="AU34"/>
  <c r="AY34" s="1"/>
  <c r="AT34"/>
  <c r="AS34"/>
  <c r="AV33"/>
  <c r="AU33"/>
  <c r="AY33" s="1"/>
  <c r="AT33"/>
  <c r="AS33"/>
  <c r="AV32"/>
  <c r="AU32"/>
  <c r="AY32" s="1"/>
  <c r="AT32"/>
  <c r="AS32"/>
  <c r="AV31"/>
  <c r="AU31"/>
  <c r="AY31" s="1"/>
  <c r="AT31"/>
  <c r="AS31"/>
  <c r="AV30"/>
  <c r="AU30"/>
  <c r="AY30" s="1"/>
  <c r="AT30"/>
  <c r="AS30"/>
  <c r="AV29"/>
  <c r="AU29"/>
  <c r="AY29" s="1"/>
  <c r="AT29"/>
  <c r="AS29"/>
  <c r="AV28"/>
  <c r="AU28"/>
  <c r="AY28" s="1"/>
  <c r="AT28"/>
  <c r="AS28"/>
  <c r="AV27"/>
  <c r="AU27"/>
  <c r="AY27" s="1"/>
  <c r="AT27"/>
  <c r="AS27"/>
  <c r="AV26"/>
  <c r="AU26"/>
  <c r="AY26" s="1"/>
  <c r="AT26"/>
  <c r="AS26"/>
  <c r="AV25"/>
  <c r="AU25"/>
  <c r="AY25" s="1"/>
  <c r="AT25"/>
  <c r="AS25"/>
  <c r="AV24"/>
  <c r="AU24"/>
  <c r="AY24" s="1"/>
  <c r="AT24"/>
  <c r="AS24"/>
  <c r="AV23"/>
  <c r="AU23"/>
  <c r="AY23" s="1"/>
  <c r="AT23"/>
  <c r="AS23"/>
  <c r="AV22"/>
  <c r="AU22"/>
  <c r="AY22" s="1"/>
  <c r="AT22"/>
  <c r="AS22"/>
  <c r="AV21"/>
  <c r="AU21"/>
  <c r="AY21" s="1"/>
  <c r="AT21"/>
  <c r="AS21"/>
  <c r="AV20"/>
  <c r="AU20"/>
  <c r="AY20" s="1"/>
  <c r="AT20"/>
  <c r="AS20"/>
  <c r="AV19"/>
  <c r="AU19"/>
  <c r="AY19" s="1"/>
  <c r="AT19"/>
  <c r="AS19"/>
  <c r="AV18"/>
  <c r="AU18"/>
  <c r="AY18" s="1"/>
  <c r="AT18"/>
  <c r="AS18"/>
  <c r="AV17"/>
  <c r="AU17"/>
  <c r="AY17" s="1"/>
  <c r="AT17"/>
  <c r="AS17"/>
  <c r="AV16"/>
  <c r="AU16"/>
  <c r="AY16" s="1"/>
  <c r="AT16"/>
  <c r="AS16"/>
  <c r="AV15"/>
  <c r="AU15"/>
  <c r="AY15" s="1"/>
  <c r="AT15"/>
  <c r="AS15"/>
  <c r="AV14"/>
  <c r="AU14"/>
  <c r="AY14" s="1"/>
  <c r="AT14"/>
  <c r="AS14"/>
  <c r="AV13"/>
  <c r="AU13"/>
  <c r="AY13" s="1"/>
  <c r="AT13"/>
  <c r="AS13"/>
  <c r="AV12"/>
  <c r="AU12"/>
  <c r="AY12" s="1"/>
  <c r="AT12"/>
  <c r="AS12"/>
  <c r="AV11"/>
  <c r="AU11"/>
  <c r="AY11" s="1"/>
  <c r="AT11"/>
  <c r="AS11"/>
  <c r="AV10"/>
  <c r="AU10"/>
  <c r="AY10" s="1"/>
  <c r="AT10"/>
  <c r="AS10"/>
  <c r="AV9"/>
  <c r="AU9"/>
  <c r="AY9" s="1"/>
  <c r="AT9"/>
  <c r="AS9"/>
  <c r="AV8"/>
  <c r="AU8"/>
  <c r="AY8" s="1"/>
  <c r="AT8"/>
  <c r="AS8"/>
  <c r="AV7"/>
  <c r="AU7"/>
  <c r="AY7" s="1"/>
  <c r="AT7"/>
  <c r="AS7"/>
  <c r="F5"/>
  <c r="AR7"/>
  <c r="AR8" s="1"/>
  <c r="AR9" s="1"/>
  <c r="AR10" s="1"/>
  <c r="AR11" s="1"/>
  <c r="AR12" s="1"/>
  <c r="AR13" s="1"/>
  <c r="AR14" s="1"/>
  <c r="AR15" s="1"/>
  <c r="AR16" s="1"/>
  <c r="AR17" s="1"/>
  <c r="AR18" s="1"/>
  <c r="AR19" s="1"/>
  <c r="AR20" s="1"/>
  <c r="AR21" s="1"/>
  <c r="AR22" s="1"/>
  <c r="AR23" s="1"/>
  <c r="AR24" s="1"/>
  <c r="AR25" s="1"/>
  <c r="AR26" s="1"/>
  <c r="AR27" s="1"/>
  <c r="AR28" s="1"/>
  <c r="AR29" s="1"/>
  <c r="AR30" s="1"/>
  <c r="AR31" s="1"/>
  <c r="AR32" s="1"/>
  <c r="AR33" s="1"/>
  <c r="AR34" s="1"/>
  <c r="AR35" s="1"/>
  <c r="AR36" s="1"/>
  <c r="AR37" s="1"/>
  <c r="AR38" s="1"/>
  <c r="AR39" s="1"/>
  <c r="AR40" s="1"/>
  <c r="AR41" s="1"/>
  <c r="AR42" s="1"/>
  <c r="AR43" s="1"/>
  <c r="AR44" s="1"/>
  <c r="AR45" s="1"/>
  <c r="AR46" s="1"/>
  <c r="AR47" s="1"/>
  <c r="AR48" s="1"/>
  <c r="AR49" s="1"/>
  <c r="AR50" s="1"/>
  <c r="AR51" s="1"/>
  <c r="AR52" s="1"/>
  <c r="AR53" s="1"/>
  <c r="AR54" s="1"/>
  <c r="AR55" s="1"/>
  <c r="AR56" s="1"/>
  <c r="AR57" s="1"/>
  <c r="AR58" s="1"/>
  <c r="AR59" s="1"/>
  <c r="AR60" s="1"/>
  <c r="AR61" s="1"/>
  <c r="AR62" s="1"/>
  <c r="AR63" s="1"/>
  <c r="AR64" s="1"/>
  <c r="AR65" s="1"/>
  <c r="AR66" s="1"/>
  <c r="AR67" s="1"/>
  <c r="AR68" s="1"/>
  <c r="AR69" s="1"/>
  <c r="AR70" s="1"/>
  <c r="AR71" s="1"/>
  <c r="AR72" s="1"/>
  <c r="AR73" s="1"/>
  <c r="AR74" s="1"/>
  <c r="AR75" s="1"/>
  <c r="AR76" s="1"/>
  <c r="AR77" s="1"/>
  <c r="AR78" s="1"/>
  <c r="AR79" s="1"/>
  <c r="AR80" s="1"/>
  <c r="AR81" s="1"/>
  <c r="AR82" s="1"/>
  <c r="AR83" s="1"/>
  <c r="AR84" s="1"/>
  <c r="AR85" s="1"/>
  <c r="AR86" s="1"/>
  <c r="AR87" s="1"/>
  <c r="A85" i="10" l="1"/>
  <c r="A84" i="4"/>
  <c r="A85" i="11"/>
  <c r="A84" i="5"/>
  <c r="E11" i="8"/>
  <c r="AX6"/>
  <c r="AW87"/>
  <c r="AX87"/>
  <c r="AW86"/>
  <c r="AX86"/>
  <c r="AW85"/>
  <c r="AX85"/>
  <c r="AW84"/>
  <c r="AX84"/>
  <c r="AW83"/>
  <c r="AX83"/>
  <c r="AW82"/>
  <c r="AX82"/>
  <c r="AW81"/>
  <c r="AX81"/>
  <c r="AW80"/>
  <c r="AX80"/>
  <c r="AW79"/>
  <c r="AX79"/>
  <c r="AW78"/>
  <c r="AX78"/>
  <c r="AW77"/>
  <c r="AX77"/>
  <c r="AW76"/>
  <c r="AX76"/>
  <c r="AW75"/>
  <c r="AX75"/>
  <c r="AW74"/>
  <c r="AX74"/>
  <c r="AW73"/>
  <c r="AX73"/>
  <c r="AW72"/>
  <c r="AX72"/>
  <c r="AW71"/>
  <c r="AX71"/>
  <c r="AW70"/>
  <c r="AX70"/>
  <c r="AW69"/>
  <c r="AX69"/>
  <c r="AW68"/>
  <c r="AX68"/>
  <c r="AW67"/>
  <c r="AX67"/>
  <c r="AW66"/>
  <c r="AX66"/>
  <c r="AW65"/>
  <c r="AX65"/>
  <c r="AW64"/>
  <c r="AX64"/>
  <c r="AW63"/>
  <c r="AX63"/>
  <c r="AW62"/>
  <c r="AX62"/>
  <c r="AW61"/>
  <c r="AX61"/>
  <c r="AW60"/>
  <c r="AX60"/>
  <c r="AW59"/>
  <c r="AX59"/>
  <c r="AW58"/>
  <c r="AX58"/>
  <c r="AW57"/>
  <c r="AX57"/>
  <c r="AW56"/>
  <c r="AX56"/>
  <c r="AW55"/>
  <c r="AX55"/>
  <c r="AW54"/>
  <c r="AX54"/>
  <c r="AW53"/>
  <c r="AX53"/>
  <c r="AW52"/>
  <c r="AX52"/>
  <c r="AW51"/>
  <c r="AX51"/>
  <c r="AW50"/>
  <c r="AX50"/>
  <c r="AW49"/>
  <c r="AX49"/>
  <c r="AW48"/>
  <c r="AX48"/>
  <c r="AW47"/>
  <c r="AX47"/>
  <c r="AW46"/>
  <c r="AX46"/>
  <c r="AW45"/>
  <c r="AX45"/>
  <c r="AW44"/>
  <c r="AX44"/>
  <c r="AW43"/>
  <c r="AX43"/>
  <c r="AW42"/>
  <c r="AX42"/>
  <c r="AW41"/>
  <c r="AX41"/>
  <c r="AW40"/>
  <c r="AX40"/>
  <c r="AW39"/>
  <c r="AX39"/>
  <c r="AW38"/>
  <c r="AX38"/>
  <c r="AW37"/>
  <c r="AX37"/>
  <c r="AW36"/>
  <c r="AX36"/>
  <c r="AW35"/>
  <c r="AX35"/>
  <c r="AW34"/>
  <c r="AX34"/>
  <c r="AW33"/>
  <c r="AX33"/>
  <c r="AW32"/>
  <c r="AX32"/>
  <c r="AW31"/>
  <c r="AX31"/>
  <c r="AW30"/>
  <c r="AX30"/>
  <c r="AW29"/>
  <c r="AX29"/>
  <c r="AW28"/>
  <c r="AX28"/>
  <c r="AW27"/>
  <c r="AX27"/>
  <c r="AW26"/>
  <c r="AX26"/>
  <c r="AW25"/>
  <c r="AX25"/>
  <c r="AW24"/>
  <c r="AX24"/>
  <c r="AW23"/>
  <c r="AX23"/>
  <c r="AW22"/>
  <c r="AX22"/>
  <c r="AW21"/>
  <c r="AX21"/>
  <c r="AW20"/>
  <c r="AX20"/>
  <c r="AW19"/>
  <c r="AX19"/>
  <c r="AW18"/>
  <c r="AX18"/>
  <c r="AW17"/>
  <c r="AX17"/>
  <c r="AW16"/>
  <c r="AX16"/>
  <c r="AW15"/>
  <c r="AX15"/>
  <c r="AW14"/>
  <c r="AX14"/>
  <c r="AW13"/>
  <c r="AX13"/>
  <c r="AW12"/>
  <c r="AX12"/>
  <c r="AW11"/>
  <c r="AX11"/>
  <c r="AW10"/>
  <c r="AX10"/>
  <c r="AW9"/>
  <c r="AX9"/>
  <c r="AW8"/>
  <c r="AX8"/>
  <c r="AW7"/>
  <c r="AX7"/>
  <c r="E19"/>
  <c r="AW6"/>
  <c r="E4"/>
  <c r="C3" i="9" s="1"/>
  <c r="J4" s="1"/>
  <c r="E12" i="8"/>
  <c r="E18"/>
  <c r="E5"/>
  <c r="C4" i="9" s="1"/>
  <c r="J3" s="1"/>
  <c r="G5" i="8"/>
  <c r="K3"/>
  <c r="L3" s="1"/>
  <c r="M3" s="1"/>
  <c r="N3" s="1"/>
  <c r="O3" s="1"/>
  <c r="P3" s="1"/>
  <c r="Q3" s="1"/>
  <c r="R3" s="1"/>
  <c r="S3" s="1"/>
  <c r="A86" i="11" l="1"/>
  <c r="A85" i="5"/>
  <c r="A86" i="10"/>
  <c r="A85" i="4"/>
  <c r="C7" i="9"/>
  <c r="C5"/>
  <c r="C8"/>
  <c r="C6"/>
  <c r="L23" i="8"/>
  <c r="K23"/>
  <c r="Z23"/>
  <c r="AC23"/>
  <c r="N23"/>
  <c r="Q23"/>
  <c r="X23"/>
  <c r="W23"/>
  <c r="V23"/>
  <c r="AF23"/>
  <c r="AE23"/>
  <c r="AD23"/>
  <c r="AG23"/>
  <c r="AB23"/>
  <c r="AA23"/>
  <c r="J23"/>
  <c r="M23"/>
  <c r="AN23"/>
  <c r="AM23"/>
  <c r="AL23"/>
  <c r="AO23"/>
  <c r="AJ23"/>
  <c r="AI23"/>
  <c r="R23"/>
  <c r="U23"/>
  <c r="P23"/>
  <c r="O23"/>
  <c r="Y23"/>
  <c r="T23"/>
  <c r="S23"/>
  <c r="AH23"/>
  <c r="AK23"/>
  <c r="A87" i="10" l="1"/>
  <c r="A86" i="4"/>
  <c r="A87" i="11"/>
  <c r="A86" i="5"/>
  <c r="A88" i="11" l="1"/>
  <c r="A87" i="5"/>
  <c r="A88" i="10"/>
  <c r="A87" i="4"/>
  <c r="A89" i="10" l="1"/>
  <c r="A88" i="4"/>
  <c r="A89" i="11"/>
  <c r="A88" i="5"/>
  <c r="A90" i="11" l="1"/>
  <c r="A89" i="5"/>
  <c r="A90" i="10"/>
  <c r="A89" i="4"/>
  <c r="A91" i="10" l="1"/>
  <c r="A90" i="4"/>
  <c r="A91" i="11"/>
  <c r="A90" i="5"/>
  <c r="A92" i="11" l="1"/>
  <c r="A91" i="5"/>
  <c r="A92" i="10"/>
  <c r="A91" i="4"/>
  <c r="A93" i="10" l="1"/>
  <c r="A92" i="4"/>
  <c r="A93" i="11"/>
  <c r="A92" i="5"/>
  <c r="A94" i="11" l="1"/>
  <c r="A93" i="5"/>
  <c r="A94" i="10"/>
  <c r="A93" i="4"/>
  <c r="A95" i="10" l="1"/>
  <c r="A94" i="4"/>
  <c r="A95" i="11"/>
  <c r="A94" i="5"/>
  <c r="A96" i="11" l="1"/>
  <c r="A95" i="5"/>
  <c r="A96" i="10"/>
  <c r="A95" i="4"/>
  <c r="A97" i="10" l="1"/>
  <c r="A96" i="4"/>
  <c r="A97" i="11"/>
  <c r="A96" i="5"/>
  <c r="A98" i="11" l="1"/>
  <c r="A97" i="5"/>
  <c r="A98" i="10"/>
  <c r="A97" i="4"/>
  <c r="A99" i="10" l="1"/>
  <c r="A98" i="4"/>
  <c r="A99" i="11"/>
  <c r="A98" i="5"/>
  <c r="A100" i="11" l="1"/>
  <c r="A99" i="5"/>
  <c r="A100" i="10"/>
  <c r="A99" i="4"/>
  <c r="A101" i="10" l="1"/>
  <c r="A100" i="4"/>
  <c r="A101" i="11"/>
  <c r="A100" i="5"/>
  <c r="A102" i="11" l="1"/>
  <c r="A101" i="5"/>
  <c r="A102" i="10"/>
  <c r="A101" i="4"/>
  <c r="A103" i="10" l="1"/>
  <c r="A102" i="4"/>
  <c r="A103" i="11"/>
  <c r="A102" i="5"/>
  <c r="A104" i="11" l="1"/>
  <c r="A103" i="5"/>
  <c r="A104" i="10"/>
  <c r="A103" i="4"/>
  <c r="A105" i="10" l="1"/>
  <c r="A104" i="4"/>
  <c r="A105" i="11"/>
  <c r="A104" i="5"/>
  <c r="A106" i="11" l="1"/>
  <c r="A105" i="5"/>
  <c r="A106" i="10"/>
  <c r="A105" i="4"/>
  <c r="A107" i="10" l="1"/>
  <c r="A106" i="4"/>
  <c r="A107" i="11"/>
  <c r="A106" i="5"/>
  <c r="A108" i="11" l="1"/>
  <c r="A107" i="5"/>
  <c r="A108" i="10"/>
  <c r="A107" i="4"/>
  <c r="A109" i="10" l="1"/>
  <c r="A108" i="4"/>
  <c r="A109" i="11"/>
  <c r="A108" i="5"/>
  <c r="A110" i="11" l="1"/>
  <c r="A109" i="5"/>
  <c r="A110" i="10"/>
  <c r="A109" i="4"/>
  <c r="A111" i="10" l="1"/>
  <c r="A110" i="4"/>
  <c r="A111" i="11"/>
  <c r="A110" i="5"/>
  <c r="A112" i="11" l="1"/>
  <c r="A111" i="5"/>
  <c r="A112" i="10"/>
  <c r="A111" i="4"/>
  <c r="A113" i="10" l="1"/>
  <c r="A112" i="4"/>
  <c r="A113" i="11"/>
  <c r="A112" i="5"/>
  <c r="A114" i="11" l="1"/>
  <c r="A113" i="5"/>
  <c r="A114" i="10"/>
  <c r="A113" i="4"/>
  <c r="A115" i="10" l="1"/>
  <c r="A114" i="4"/>
  <c r="A115" i="11"/>
  <c r="A114" i="5"/>
  <c r="A116" i="11" l="1"/>
  <c r="A115" i="5"/>
  <c r="A116" i="10"/>
  <c r="A115" i="4"/>
  <c r="A117" i="10" l="1"/>
  <c r="A116" i="4"/>
  <c r="A117" i="11"/>
  <c r="A116" i="5"/>
  <c r="A118" i="11" l="1"/>
  <c r="A117" i="5"/>
  <c r="A118" i="10"/>
  <c r="A117" i="4"/>
  <c r="A119" i="10" l="1"/>
  <c r="A118" i="4"/>
  <c r="A119" i="11"/>
  <c r="A118" i="5"/>
  <c r="A120" i="11" l="1"/>
  <c r="A119" i="5"/>
  <c r="A120" i="10"/>
  <c r="A119" i="4"/>
  <c r="A121" i="10" l="1"/>
  <c r="A120" i="4"/>
  <c r="A121" i="11"/>
  <c r="A120" i="5"/>
  <c r="A122" i="11" l="1"/>
  <c r="A121" i="5"/>
  <c r="A122" i="10"/>
  <c r="A121" i="4"/>
  <c r="A123" i="10" l="1"/>
  <c r="A122" i="4"/>
  <c r="A123" i="11"/>
  <c r="A122" i="5"/>
  <c r="A124" i="11" l="1"/>
  <c r="A123" i="5"/>
  <c r="A124" i="10"/>
  <c r="A123" i="4"/>
  <c r="A125" i="10" l="1"/>
  <c r="A124" i="4"/>
  <c r="A125" i="11"/>
  <c r="A124" i="5"/>
  <c r="A126" i="11" l="1"/>
  <c r="A125" i="5"/>
  <c r="A126" i="10"/>
  <c r="A125" i="4"/>
  <c r="A127" i="10" l="1"/>
  <c r="A126" i="4"/>
  <c r="A127" i="11"/>
  <c r="A126" i="5"/>
  <c r="A128" i="11" l="1"/>
  <c r="A127" i="5"/>
  <c r="A128" i="10"/>
  <c r="A127" i="4"/>
  <c r="A129" i="10" l="1"/>
  <c r="A128" i="4"/>
  <c r="A129" i="11"/>
  <c r="A128" i="5"/>
  <c r="A130" i="11" l="1"/>
  <c r="A129" i="5"/>
  <c r="A130" i="10"/>
  <c r="A129" i="4"/>
  <c r="A131" i="10" l="1"/>
  <c r="A130" i="4"/>
  <c r="A131" i="11"/>
  <c r="A130" i="5"/>
  <c r="A132" i="11" l="1"/>
  <c r="A131" i="5"/>
  <c r="A132" i="10"/>
  <c r="A131" i="4"/>
  <c r="A133" i="10" l="1"/>
  <c r="A132" i="4"/>
  <c r="A133" i="11"/>
  <c r="A132" i="5"/>
  <c r="A134" i="11" l="1"/>
  <c r="A133" i="5"/>
  <c r="A134" i="10"/>
  <c r="A133" i="4"/>
  <c r="A135" i="10" l="1"/>
  <c r="A134" i="4"/>
  <c r="A135" i="11"/>
  <c r="A134" i="5"/>
  <c r="A136" i="11" l="1"/>
  <c r="A135" i="5"/>
  <c r="A136" i="10"/>
  <c r="A135" i="4"/>
  <c r="A137" i="10" l="1"/>
  <c r="A136" i="4"/>
  <c r="A137" i="11"/>
  <c r="A136" i="5"/>
  <c r="A138" i="11" l="1"/>
  <c r="A137" i="5"/>
  <c r="A138" i="10"/>
  <c r="A137" i="4"/>
  <c r="A139" i="10" l="1"/>
  <c r="A138" i="4"/>
  <c r="A139" i="11"/>
  <c r="A138" i="5"/>
  <c r="A140" i="10" l="1"/>
  <c r="A139" i="4"/>
  <c r="A140" i="11"/>
  <c r="A139" i="5"/>
  <c r="A141" i="11" l="1"/>
  <c r="A140" i="5"/>
  <c r="A141" i="10"/>
  <c r="A140" i="4"/>
  <c r="A142" i="11" l="1"/>
  <c r="A141" i="5"/>
  <c r="A142" i="10"/>
  <c r="A141" i="4"/>
  <c r="A143" i="10" l="1"/>
  <c r="A142" i="4"/>
  <c r="A143" i="11"/>
  <c r="A142" i="5"/>
  <c r="A144" i="11" l="1"/>
  <c r="A143" i="5"/>
  <c r="A144" i="10"/>
  <c r="A143" i="4"/>
  <c r="A145" i="11" l="1"/>
  <c r="A144" i="5"/>
  <c r="A145" i="10"/>
  <c r="A144" i="4"/>
  <c r="A146" i="10" l="1"/>
  <c r="A145" i="4"/>
  <c r="A146" i="11"/>
  <c r="A145" i="5"/>
  <c r="A147" i="11" l="1"/>
  <c r="A146" i="5"/>
  <c r="A147" i="10"/>
  <c r="A146" i="4"/>
  <c r="A148" i="10" l="1"/>
  <c r="A147" i="4"/>
  <c r="A148" i="11"/>
  <c r="A147" i="5"/>
  <c r="A149" i="11" l="1"/>
  <c r="A148" i="5"/>
  <c r="A149" i="10"/>
  <c r="A148" i="4"/>
  <c r="A150" i="10" l="1"/>
  <c r="A149" i="4"/>
  <c r="A150" i="11"/>
  <c r="A149" i="5"/>
  <c r="A151" i="11" l="1"/>
  <c r="A150" i="5"/>
  <c r="A151" i="10"/>
  <c r="A150" i="4"/>
  <c r="A152" i="10" l="1"/>
  <c r="A152" i="4" s="1"/>
  <c r="A151"/>
  <c r="A152" i="11"/>
  <c r="A152" i="5" s="1"/>
  <c r="A151"/>
  <c r="L18" i="8"/>
  <c r="L11"/>
  <c r="L4"/>
  <c r="N18"/>
  <c r="N11"/>
  <c r="N4"/>
  <c r="P18"/>
  <c r="P11"/>
  <c r="P4"/>
  <c r="R18"/>
  <c r="R11"/>
  <c r="R4"/>
  <c r="T18"/>
  <c r="T11"/>
  <c r="T4"/>
  <c r="K18"/>
  <c r="K11"/>
  <c r="K4"/>
  <c r="M18"/>
  <c r="M11"/>
  <c r="M4"/>
  <c r="O18"/>
  <c r="O11"/>
  <c r="O4"/>
  <c r="Q18"/>
  <c r="Q11"/>
  <c r="Q4"/>
  <c r="S18"/>
  <c r="S11"/>
  <c r="S4"/>
  <c r="L19"/>
  <c r="L12"/>
  <c r="L5"/>
  <c r="N19"/>
  <c r="N12"/>
  <c r="N5"/>
  <c r="P19"/>
  <c r="P12"/>
  <c r="P5"/>
  <c r="R19"/>
  <c r="R12"/>
  <c r="R5"/>
  <c r="T19"/>
  <c r="T12"/>
  <c r="T5"/>
  <c r="K19"/>
  <c r="K12"/>
  <c r="K5"/>
  <c r="M19"/>
  <c r="M12"/>
  <c r="M5"/>
  <c r="O19"/>
  <c r="O12"/>
  <c r="O5"/>
  <c r="Q19"/>
  <c r="Q12"/>
  <c r="Q5"/>
  <c r="S19"/>
  <c r="S12"/>
  <c r="S5"/>
  <c r="H5" l="1"/>
  <c r="I5"/>
  <c r="L3" i="9" s="1"/>
  <c r="H12" i="8"/>
  <c r="I12"/>
  <c r="H19"/>
  <c r="I19"/>
  <c r="H4"/>
  <c r="I27"/>
  <c r="I35"/>
  <c r="I4"/>
  <c r="L4" i="9" s="1"/>
  <c r="H11" i="8"/>
  <c r="I11"/>
  <c r="H18"/>
  <c r="I18"/>
  <c r="D7" i="9" l="1"/>
  <c r="F7"/>
  <c r="E7"/>
  <c r="F5"/>
  <c r="E5"/>
  <c r="D5"/>
  <c r="I26" i="8"/>
  <c r="I28" s="1"/>
  <c r="I29" s="1"/>
  <c r="I30" s="1"/>
  <c r="I31" s="1"/>
  <c r="I32" s="1"/>
  <c r="I33" s="1"/>
  <c r="I34" s="1"/>
  <c r="D3" i="9"/>
  <c r="F3"/>
  <c r="E3"/>
  <c r="K4" s="1"/>
  <c r="F8"/>
  <c r="E8"/>
  <c r="D8"/>
  <c r="E6"/>
  <c r="F6"/>
  <c r="D6"/>
  <c r="E4"/>
  <c r="K3" s="1"/>
  <c r="D4"/>
  <c r="F4"/>
  <c r="J35" i="8"/>
  <c r="J30"/>
  <c r="J33"/>
  <c r="J29"/>
  <c r="J34"/>
  <c r="J28"/>
  <c r="J31"/>
  <c r="J32"/>
  <c r="J27" l="1"/>
</calcChain>
</file>

<file path=xl/sharedStrings.xml><?xml version="1.0" encoding="utf-8"?>
<sst xmlns="http://schemas.openxmlformats.org/spreadsheetml/2006/main" count="48" uniqueCount="29">
  <si>
    <t>mean</t>
  </si>
  <si>
    <t>stdev</t>
  </si>
  <si>
    <t>#/devices</t>
  </si>
  <si>
    <t>start</t>
  </si>
  <si>
    <t>increment</t>
  </si>
  <si>
    <t>Transition</t>
  </si>
  <si>
    <t>Mean</t>
  </si>
  <si>
    <t>Stdev</t>
  </si>
  <si>
    <t>data</t>
  </si>
  <si>
    <t>#</t>
  </si>
  <si>
    <t>Label</t>
  </si>
  <si>
    <t>Sub Label</t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</si>
  <si>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</si>
  <si>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6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</si>
  <si>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Unit</t>
  </si>
  <si>
    <t>mm</t>
  </si>
  <si>
    <t>step</t>
  </si>
  <si>
    <t>min</t>
  </si>
  <si>
    <t>max</t>
  </si>
  <si>
    <t>count</t>
  </si>
  <si>
    <t>Histogram</t>
  </si>
  <si>
    <t>rev</t>
  </si>
  <si>
    <t>Export</t>
  </si>
  <si>
    <t>dataScale</t>
  </si>
  <si>
    <t>HI</t>
  </si>
  <si>
    <t>LO</t>
  </si>
  <si>
    <t>Device#</t>
  </si>
  <si>
    <t>18% Grey Card Proximity Range</t>
  </si>
  <si>
    <t>Ratio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</si>
</sst>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%"/>
  </numFmts>
  <fonts count="4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applyAlignment="1"/>
    <xf numFmtId="164" fontId="0" fillId="0" borderId="0" xfId="0" applyNumberFormat="1"/>
    <xf numFmtId="164" fontId="0" fillId="0" borderId="0" xfId="0" applyNumberFormat="1" applyAlignment="1"/>
    <xf numFmtId="0" fontId="0" fillId="0" borderId="0" xfId="0" applyAlignment="1">
      <alignment horizontal="center"/>
    </xf>
    <xf numFmtId="165" fontId="0" fillId="0" borderId="0" xfId="0" applyNumberFormat="1"/>
    <xf numFmtId="165" fontId="0" fillId="0" borderId="0" xfId="0" applyNumberFormat="1" applyAlignment="1"/>
    <xf numFmtId="0" fontId="0" fillId="0" borderId="0" xfId="0" applyAlignment="1">
      <alignment horizontal="right"/>
    </xf>
    <xf numFmtId="0" fontId="0" fillId="0" borderId="0" xfId="0" applyFill="1" applyAlignment="1"/>
    <xf numFmtId="9" fontId="0" fillId="0" borderId="0" xfId="0" applyNumberFormat="1"/>
    <xf numFmtId="0" fontId="0" fillId="0" borderId="0" xfId="0" applyAlignment="1">
      <alignment horizontal="left"/>
    </xf>
    <xf numFmtId="165" fontId="0" fillId="0" borderId="0" xfId="0" applyNumberFormat="1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/>
    </xf>
    <xf numFmtId="2" fontId="0" fillId="2" borderId="1" xfId="0" applyNumberFormat="1" applyFill="1" applyBorder="1"/>
    <xf numFmtId="165" fontId="0" fillId="0" borderId="1" xfId="0" applyNumberFormat="1" applyFont="1" applyBorder="1" applyAlignment="1">
      <alignment horizontal="center"/>
    </xf>
    <xf numFmtId="0" fontId="0" fillId="0" borderId="0" xfId="0" applyFill="1" applyBorder="1" applyAlignment="1"/>
    <xf numFmtId="0" fontId="0" fillId="0" borderId="0" xfId="0" applyBorder="1"/>
    <xf numFmtId="165" fontId="0" fillId="0" borderId="0" xfId="0" applyNumberFormat="1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165" fontId="0" fillId="0" borderId="0" xfId="0" applyNumberFormat="1" applyBorder="1"/>
    <xf numFmtId="0" fontId="0" fillId="0" borderId="0" xfId="0" applyNumberFormat="1"/>
    <xf numFmtId="0" fontId="0" fillId="2" borderId="2" xfId="0" applyFill="1" applyBorder="1" applyAlignment="1">
      <alignment horizontal="right"/>
    </xf>
    <xf numFmtId="0" fontId="0" fillId="2" borderId="3" xfId="0" applyFill="1" applyBorder="1" applyAlignment="1">
      <alignment horizontal="left"/>
    </xf>
    <xf numFmtId="0" fontId="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0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0" fillId="0" borderId="0" xfId="0" applyAlignment="1">
      <alignment horizontal="center"/>
    </xf>
    <xf numFmtId="166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13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2" borderId="3" xfId="0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0" fillId="0" borderId="9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18% Grey Card Sweep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Calculations!$AS$5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Calculations!$AS$7:$AS$87</c:f>
              <c:numCache>
                <c:formatCode>0.000</c:formatCode>
                <c:ptCount val="81"/>
                <c:pt idx="0">
                  <c:v>0.35508021390374334</c:v>
                </c:pt>
                <c:pt idx="1">
                  <c:v>0.85142067736185389</c:v>
                </c:pt>
                <c:pt idx="2">
                  <c:v>0.84928163992869876</c:v>
                </c:pt>
                <c:pt idx="3">
                  <c:v>0.85213368983957227</c:v>
                </c:pt>
                <c:pt idx="4">
                  <c:v>0.85712477718360069</c:v>
                </c:pt>
                <c:pt idx="5">
                  <c:v>0.86247237076648842</c:v>
                </c:pt>
                <c:pt idx="6">
                  <c:v>0.87833333333333341</c:v>
                </c:pt>
                <c:pt idx="7">
                  <c:v>0.9064901960784314</c:v>
                </c:pt>
                <c:pt idx="8">
                  <c:v>0.9081818181818182</c:v>
                </c:pt>
                <c:pt idx="9">
                  <c:v>0.9081818181818182</c:v>
                </c:pt>
                <c:pt idx="10">
                  <c:v>0.9081818181818182</c:v>
                </c:pt>
                <c:pt idx="11">
                  <c:v>0.9081818181818182</c:v>
                </c:pt>
                <c:pt idx="12">
                  <c:v>0.9081818181818182</c:v>
                </c:pt>
                <c:pt idx="13">
                  <c:v>0.9081818181818182</c:v>
                </c:pt>
                <c:pt idx="14">
                  <c:v>0.90791622103386804</c:v>
                </c:pt>
                <c:pt idx="15">
                  <c:v>0.90346345811051698</c:v>
                </c:pt>
                <c:pt idx="16">
                  <c:v>0.8974937611408198</c:v>
                </c:pt>
                <c:pt idx="17">
                  <c:v>0.8884064171122994</c:v>
                </c:pt>
                <c:pt idx="18">
                  <c:v>0.87708912655971472</c:v>
                </c:pt>
                <c:pt idx="19">
                  <c:v>0.86327629233511594</c:v>
                </c:pt>
                <c:pt idx="20">
                  <c:v>0.83065953654188962</c:v>
                </c:pt>
                <c:pt idx="21">
                  <c:v>0.77682709447415332</c:v>
                </c:pt>
                <c:pt idx="22">
                  <c:v>0.71836007130124768</c:v>
                </c:pt>
                <c:pt idx="23">
                  <c:v>0.66167557932263821</c:v>
                </c:pt>
                <c:pt idx="24">
                  <c:v>0.61033868092691623</c:v>
                </c:pt>
                <c:pt idx="25">
                  <c:v>0.56577540106951862</c:v>
                </c:pt>
                <c:pt idx="26">
                  <c:v>0.52549019607843128</c:v>
                </c:pt>
                <c:pt idx="27">
                  <c:v>0.48770053475935826</c:v>
                </c:pt>
                <c:pt idx="28">
                  <c:v>0.4556149732620321</c:v>
                </c:pt>
                <c:pt idx="29">
                  <c:v>0.42531194295900182</c:v>
                </c:pt>
                <c:pt idx="30">
                  <c:v>0.39821746880570413</c:v>
                </c:pt>
                <c:pt idx="31">
                  <c:v>0.37397504456327985</c:v>
                </c:pt>
                <c:pt idx="32">
                  <c:v>0.35187165775401069</c:v>
                </c:pt>
                <c:pt idx="33">
                  <c:v>0.33190730837789667</c:v>
                </c:pt>
                <c:pt idx="34">
                  <c:v>0.31301247771836005</c:v>
                </c:pt>
                <c:pt idx="35">
                  <c:v>0.29590017825311943</c:v>
                </c:pt>
                <c:pt idx="36">
                  <c:v>0.28057040998217464</c:v>
                </c:pt>
                <c:pt idx="37">
                  <c:v>0.2655971479500891</c:v>
                </c:pt>
                <c:pt idx="38">
                  <c:v>0.25276292335115863</c:v>
                </c:pt>
                <c:pt idx="39">
                  <c:v>0.23992869875222816</c:v>
                </c:pt>
                <c:pt idx="40">
                  <c:v>0.22780748663101605</c:v>
                </c:pt>
                <c:pt idx="41">
                  <c:v>0.21746880570409982</c:v>
                </c:pt>
                <c:pt idx="42">
                  <c:v>0.20748663101604281</c:v>
                </c:pt>
                <c:pt idx="43">
                  <c:v>0.19786096256684493</c:v>
                </c:pt>
                <c:pt idx="44">
                  <c:v>0.18894830659536541</c:v>
                </c:pt>
                <c:pt idx="45">
                  <c:v>0.18146167557932263</c:v>
                </c:pt>
                <c:pt idx="46">
                  <c:v>0.17397504456327986</c:v>
                </c:pt>
                <c:pt idx="47">
                  <c:v>0.16577540106951874</c:v>
                </c:pt>
                <c:pt idx="48">
                  <c:v>0.15971479500891267</c:v>
                </c:pt>
                <c:pt idx="49">
                  <c:v>0.15329768270944741</c:v>
                </c:pt>
                <c:pt idx="50">
                  <c:v>0.14688057040998215</c:v>
                </c:pt>
                <c:pt idx="51">
                  <c:v>0.14188948306595364</c:v>
                </c:pt>
                <c:pt idx="52">
                  <c:v>0.13547237076648841</c:v>
                </c:pt>
                <c:pt idx="53">
                  <c:v>0.13119429590017823</c:v>
                </c:pt>
                <c:pt idx="54">
                  <c:v>0.12620320855614972</c:v>
                </c:pt>
                <c:pt idx="55">
                  <c:v>0.12014260249554366</c:v>
                </c:pt>
                <c:pt idx="56">
                  <c:v>0.11622103386809268</c:v>
                </c:pt>
                <c:pt idx="57">
                  <c:v>0.11229946524064172</c:v>
                </c:pt>
                <c:pt idx="58">
                  <c:v>0.10837789661319074</c:v>
                </c:pt>
                <c:pt idx="59">
                  <c:v>0.10516934046345812</c:v>
                </c:pt>
                <c:pt idx="60">
                  <c:v>0.10160427807486633</c:v>
                </c:pt>
                <c:pt idx="61">
                  <c:v>9.8395721925133683E-2</c:v>
                </c:pt>
                <c:pt idx="62">
                  <c:v>9.5543672014260256E-2</c:v>
                </c:pt>
                <c:pt idx="63">
                  <c:v>9.2335115864527625E-2</c:v>
                </c:pt>
                <c:pt idx="64">
                  <c:v>8.9839572192513373E-2</c:v>
                </c:pt>
                <c:pt idx="65">
                  <c:v>8.7344028520499106E-2</c:v>
                </c:pt>
                <c:pt idx="66">
                  <c:v>8.4848484848484854E-2</c:v>
                </c:pt>
                <c:pt idx="67">
                  <c:v>8.1996434937611426E-2</c:v>
                </c:pt>
                <c:pt idx="68">
                  <c:v>7.9500891265597159E-2</c:v>
                </c:pt>
                <c:pt idx="69">
                  <c:v>7.8074866310160446E-2</c:v>
                </c:pt>
                <c:pt idx="70">
                  <c:v>7.5935828877005354E-2</c:v>
                </c:pt>
                <c:pt idx="71">
                  <c:v>7.2727272727272724E-2</c:v>
                </c:pt>
                <c:pt idx="72">
                  <c:v>7.0944741532976821E-2</c:v>
                </c:pt>
                <c:pt idx="73">
                  <c:v>6.8805704099821743E-2</c:v>
                </c:pt>
                <c:pt idx="74">
                  <c:v>6.7023172905525841E-2</c:v>
                </c:pt>
                <c:pt idx="75">
                  <c:v>6.5240641711229938E-2</c:v>
                </c:pt>
                <c:pt idx="76">
                  <c:v>6.4527629233511574E-2</c:v>
                </c:pt>
                <c:pt idx="77">
                  <c:v>6.167557932263814E-2</c:v>
                </c:pt>
                <c:pt idx="78">
                  <c:v>5.9536541889483069E-2</c:v>
                </c:pt>
                <c:pt idx="79">
                  <c:v>5.9180035650623887E-2</c:v>
                </c:pt>
                <c:pt idx="80">
                  <c:v>5.6684491978609627E-2</c:v>
                </c:pt>
              </c:numCache>
            </c:numRef>
          </c:yVal>
        </c:ser>
        <c:ser>
          <c:idx val="1"/>
          <c:order val="1"/>
          <c:tx>
            <c:strRef>
              <c:f>Calculations!$AU$5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Calculations!$AU$7:$AU$87</c:f>
              <c:numCache>
                <c:formatCode>0.000</c:formatCode>
                <c:ptCount val="81"/>
                <c:pt idx="0">
                  <c:v>0.20106951871657752</c:v>
                </c:pt>
                <c:pt idx="1">
                  <c:v>0.86532442067736182</c:v>
                </c:pt>
                <c:pt idx="2">
                  <c:v>0.86247237076648842</c:v>
                </c:pt>
                <c:pt idx="3">
                  <c:v>0.86737254901960792</c:v>
                </c:pt>
                <c:pt idx="4">
                  <c:v>0.89428520499108732</c:v>
                </c:pt>
                <c:pt idx="5">
                  <c:v>0.9081818181818182</c:v>
                </c:pt>
                <c:pt idx="6">
                  <c:v>0.9081818181818182</c:v>
                </c:pt>
                <c:pt idx="7">
                  <c:v>0.9081818181818182</c:v>
                </c:pt>
                <c:pt idx="8">
                  <c:v>0.9081818181818182</c:v>
                </c:pt>
                <c:pt idx="9">
                  <c:v>0.9081818181818182</c:v>
                </c:pt>
                <c:pt idx="10">
                  <c:v>0.9081818181818182</c:v>
                </c:pt>
                <c:pt idx="11">
                  <c:v>0.90791622103386804</c:v>
                </c:pt>
                <c:pt idx="12">
                  <c:v>0.90453297682709455</c:v>
                </c:pt>
                <c:pt idx="13">
                  <c:v>0.89651515151515149</c:v>
                </c:pt>
                <c:pt idx="14">
                  <c:v>0.87423707664884132</c:v>
                </c:pt>
                <c:pt idx="15">
                  <c:v>0.80703921568627457</c:v>
                </c:pt>
                <c:pt idx="16">
                  <c:v>0.72370766488413552</c:v>
                </c:pt>
                <c:pt idx="17">
                  <c:v>0.64919786096256693</c:v>
                </c:pt>
                <c:pt idx="18">
                  <c:v>0.58573975044563265</c:v>
                </c:pt>
                <c:pt idx="19">
                  <c:v>0.52976827094474144</c:v>
                </c:pt>
                <c:pt idx="20">
                  <c:v>0.48199643493761141</c:v>
                </c:pt>
                <c:pt idx="21">
                  <c:v>0.44064171122994655</c:v>
                </c:pt>
                <c:pt idx="22">
                  <c:v>0.40356506238859191</c:v>
                </c:pt>
                <c:pt idx="23">
                  <c:v>0.3721925133689839</c:v>
                </c:pt>
                <c:pt idx="24">
                  <c:v>0.34224598930481281</c:v>
                </c:pt>
                <c:pt idx="25">
                  <c:v>0.31836007130124783</c:v>
                </c:pt>
                <c:pt idx="26">
                  <c:v>0.29483065953654192</c:v>
                </c:pt>
                <c:pt idx="27">
                  <c:v>0.27237076648841352</c:v>
                </c:pt>
                <c:pt idx="28">
                  <c:v>0.25490196078431371</c:v>
                </c:pt>
                <c:pt idx="29">
                  <c:v>0.23850267379679144</c:v>
                </c:pt>
                <c:pt idx="30">
                  <c:v>0.22352941176470589</c:v>
                </c:pt>
                <c:pt idx="31">
                  <c:v>0.20962566844919789</c:v>
                </c:pt>
                <c:pt idx="32">
                  <c:v>0.19786096256684493</c:v>
                </c:pt>
                <c:pt idx="33">
                  <c:v>0.18680926916221033</c:v>
                </c:pt>
                <c:pt idx="34">
                  <c:v>0.17647058823529413</c:v>
                </c:pt>
                <c:pt idx="35">
                  <c:v>0.16506238859180036</c:v>
                </c:pt>
                <c:pt idx="36">
                  <c:v>0.15686274509803921</c:v>
                </c:pt>
                <c:pt idx="37">
                  <c:v>0.14937611408199644</c:v>
                </c:pt>
                <c:pt idx="38">
                  <c:v>0.1422459893048128</c:v>
                </c:pt>
                <c:pt idx="39">
                  <c:v>0.13475935828877006</c:v>
                </c:pt>
                <c:pt idx="40">
                  <c:v>0.12762923351158645</c:v>
                </c:pt>
                <c:pt idx="41">
                  <c:v>0.12263814616755794</c:v>
                </c:pt>
                <c:pt idx="42">
                  <c:v>0.11693404634581105</c:v>
                </c:pt>
                <c:pt idx="43">
                  <c:v>0.11158645276292335</c:v>
                </c:pt>
                <c:pt idx="44">
                  <c:v>0.10695187165775401</c:v>
                </c:pt>
                <c:pt idx="45">
                  <c:v>0.10196078431372552</c:v>
                </c:pt>
                <c:pt idx="46">
                  <c:v>9.8752228163992886E-2</c:v>
                </c:pt>
                <c:pt idx="47">
                  <c:v>9.4117647058823514E-2</c:v>
                </c:pt>
                <c:pt idx="48">
                  <c:v>8.9839572192513373E-2</c:v>
                </c:pt>
                <c:pt idx="49">
                  <c:v>8.6631016042780742E-2</c:v>
                </c:pt>
                <c:pt idx="50">
                  <c:v>8.3422459893048126E-2</c:v>
                </c:pt>
                <c:pt idx="51">
                  <c:v>8.0213903743315509E-2</c:v>
                </c:pt>
                <c:pt idx="52">
                  <c:v>7.5579322638146165E-2</c:v>
                </c:pt>
                <c:pt idx="53">
                  <c:v>7.3796791443850263E-2</c:v>
                </c:pt>
                <c:pt idx="54">
                  <c:v>7.0944741532976821E-2</c:v>
                </c:pt>
                <c:pt idx="55">
                  <c:v>6.9162210338680918E-2</c:v>
                </c:pt>
                <c:pt idx="56">
                  <c:v>6.6666666666666666E-2</c:v>
                </c:pt>
                <c:pt idx="57">
                  <c:v>6.4171122994652399E-2</c:v>
                </c:pt>
                <c:pt idx="58">
                  <c:v>6.167557932263814E-2</c:v>
                </c:pt>
                <c:pt idx="59">
                  <c:v>5.9893048128342244E-2</c:v>
                </c:pt>
                <c:pt idx="60">
                  <c:v>5.7397504456327984E-2</c:v>
                </c:pt>
                <c:pt idx="61">
                  <c:v>5.4901960784313732E-2</c:v>
                </c:pt>
                <c:pt idx="62">
                  <c:v>5.3475935828877004E-2</c:v>
                </c:pt>
                <c:pt idx="63">
                  <c:v>5.1693404634581115E-2</c:v>
                </c:pt>
                <c:pt idx="64">
                  <c:v>5.0267379679144381E-2</c:v>
                </c:pt>
                <c:pt idx="65">
                  <c:v>4.9197860962566842E-2</c:v>
                </c:pt>
                <c:pt idx="66">
                  <c:v>4.7771836007130128E-2</c:v>
                </c:pt>
                <c:pt idx="67">
                  <c:v>4.63458110516934E-2</c:v>
                </c:pt>
                <c:pt idx="68">
                  <c:v>4.5276292335115861E-2</c:v>
                </c:pt>
                <c:pt idx="69">
                  <c:v>4.4206773618538323E-2</c:v>
                </c:pt>
                <c:pt idx="70">
                  <c:v>4.2067736185383238E-2</c:v>
                </c:pt>
                <c:pt idx="71">
                  <c:v>4.1711229946524063E-2</c:v>
                </c:pt>
                <c:pt idx="72">
                  <c:v>4.0641711229946524E-2</c:v>
                </c:pt>
                <c:pt idx="73">
                  <c:v>3.9215686274509803E-2</c:v>
                </c:pt>
                <c:pt idx="74">
                  <c:v>3.7789661319073083E-2</c:v>
                </c:pt>
                <c:pt idx="75">
                  <c:v>3.6720142602495551E-2</c:v>
                </c:pt>
                <c:pt idx="76">
                  <c:v>3.6720142602495551E-2</c:v>
                </c:pt>
                <c:pt idx="77">
                  <c:v>3.6363636363636355E-2</c:v>
                </c:pt>
                <c:pt idx="78">
                  <c:v>3.4581105169340459E-2</c:v>
                </c:pt>
                <c:pt idx="79">
                  <c:v>3.2798573975044557E-2</c:v>
                </c:pt>
                <c:pt idx="80">
                  <c:v>3.2442067736185382E-2</c:v>
                </c:pt>
              </c:numCache>
            </c:numRef>
          </c:yVal>
        </c:ser>
        <c:axId val="117624192"/>
        <c:axId val="118938624"/>
      </c:scatterChart>
      <c:valAx>
        <c:axId val="117624192"/>
        <c:scaling>
          <c:orientation val="minMax"/>
          <c:max val="80"/>
          <c:min val="0"/>
        </c:scaling>
        <c:axPos val="b"/>
        <c:minorGridlines/>
        <c:numFmt formatCode="0.0" sourceLinked="1"/>
        <c:tickLblPos val="nextTo"/>
        <c:crossAx val="118938624"/>
        <c:crosses val="autoZero"/>
        <c:crossBetween val="midCat"/>
      </c:valAx>
      <c:valAx>
        <c:axId val="11893862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17624192"/>
        <c:crosses val="autoZero"/>
        <c:crossBetween val="midCat"/>
        <c:majorUnit val="0.1"/>
        <c:minorUnit val="0.05"/>
      </c:valAx>
    </c:plotArea>
    <c:legend>
      <c:legendPos val="r"/>
      <c:layout>
        <c:manualLayout>
          <c:xMode val="edge"/>
          <c:yMode val="edge"/>
          <c:x val="0.83877504911083112"/>
          <c:y val="0.30738874564963242"/>
          <c:w val="0.13440813913969948"/>
          <c:h val="0.35156317292941597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</c:chart>
  <c:printSettings>
    <c:headerFooter/>
    <c:pageMargins b="0.750000000000003" l="0.70000000000000062" r="0.70000000000000062" t="0.75000000000000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Grey</a:t>
            </a:r>
            <a:r>
              <a:rPr lang="en-US" sz="1200" baseline="0"/>
              <a:t> Card 10% Distance (mm) Distribution: C3</a:t>
            </a:r>
            <a:endParaRPr lang="en-US" sz="1200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Calculations!$I$27:$I$35</c:f>
              <c:numCache>
                <c:formatCode>0.0</c:formatCode>
                <c:ptCount val="9"/>
                <c:pt idx="0">
                  <c:v>59.5</c:v>
                </c:pt>
                <c:pt idx="1">
                  <c:v>60.5</c:v>
                </c:pt>
                <c:pt idx="2">
                  <c:v>61.5</c:v>
                </c:pt>
                <c:pt idx="3">
                  <c:v>62.5</c:v>
                </c:pt>
                <c:pt idx="4">
                  <c:v>63.5</c:v>
                </c:pt>
                <c:pt idx="5">
                  <c:v>64.5</c:v>
                </c:pt>
                <c:pt idx="6">
                  <c:v>65.5</c:v>
                </c:pt>
                <c:pt idx="7">
                  <c:v>66.5</c:v>
                </c:pt>
                <c:pt idx="8">
                  <c:v>67.5</c:v>
                </c:pt>
              </c:numCache>
            </c:numRef>
          </c:cat>
          <c:val>
            <c:numRef>
              <c:f>Calculations!$J$27:$J$35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</c:numCache>
            </c:numRef>
          </c:val>
        </c:ser>
        <c:axId val="47152128"/>
        <c:axId val="47153920"/>
      </c:barChart>
      <c:catAx>
        <c:axId val="47152128"/>
        <c:scaling>
          <c:orientation val="minMax"/>
        </c:scaling>
        <c:axPos val="b"/>
        <c:numFmt formatCode="0.0" sourceLinked="1"/>
        <c:tickLblPos val="nextTo"/>
        <c:crossAx val="47153920"/>
        <c:crosses val="autoZero"/>
        <c:auto val="1"/>
        <c:lblAlgn val="ctr"/>
        <c:lblOffset val="100"/>
      </c:catAx>
      <c:valAx>
        <c:axId val="47153920"/>
        <c:scaling>
          <c:orientation val="minMax"/>
        </c:scaling>
        <c:axPos val="l"/>
        <c:majorGridlines/>
        <c:numFmt formatCode="General" sourceLinked="1"/>
        <c:tickLblPos val="nextTo"/>
        <c:crossAx val="47152128"/>
        <c:crosses val="autoZero"/>
        <c:crossBetween val="between"/>
      </c:valAx>
    </c:plotArea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Range Tracking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Calculations!$AW$6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Calculations!$AR$22:$AR$82</c:f>
              <c:numCache>
                <c:formatCode>0.0</c:formatCode>
                <c:ptCount val="61"/>
                <c:pt idx="0">
                  <c:v>15</c:v>
                </c:pt>
                <c:pt idx="1">
                  <c:v>16</c:v>
                </c:pt>
                <c:pt idx="2">
                  <c:v>17</c:v>
                </c:pt>
                <c:pt idx="3">
                  <c:v>18</c:v>
                </c:pt>
                <c:pt idx="4">
                  <c:v>19</c:v>
                </c:pt>
                <c:pt idx="5">
                  <c:v>20</c:v>
                </c:pt>
                <c:pt idx="6">
                  <c:v>21</c:v>
                </c:pt>
                <c:pt idx="7">
                  <c:v>22</c:v>
                </c:pt>
                <c:pt idx="8">
                  <c:v>23</c:v>
                </c:pt>
                <c:pt idx="9">
                  <c:v>24</c:v>
                </c:pt>
                <c:pt idx="10">
                  <c:v>25</c:v>
                </c:pt>
                <c:pt idx="11">
                  <c:v>26</c:v>
                </c:pt>
                <c:pt idx="12">
                  <c:v>27</c:v>
                </c:pt>
                <c:pt idx="13">
                  <c:v>28</c:v>
                </c:pt>
                <c:pt idx="14">
                  <c:v>29</c:v>
                </c:pt>
                <c:pt idx="15">
                  <c:v>30</c:v>
                </c:pt>
                <c:pt idx="16">
                  <c:v>31</c:v>
                </c:pt>
                <c:pt idx="17">
                  <c:v>32</c:v>
                </c:pt>
                <c:pt idx="18">
                  <c:v>33</c:v>
                </c:pt>
                <c:pt idx="19">
                  <c:v>34</c:v>
                </c:pt>
                <c:pt idx="20">
                  <c:v>35</c:v>
                </c:pt>
                <c:pt idx="21">
                  <c:v>36</c:v>
                </c:pt>
                <c:pt idx="22">
                  <c:v>37</c:v>
                </c:pt>
                <c:pt idx="23">
                  <c:v>38</c:v>
                </c:pt>
                <c:pt idx="24">
                  <c:v>39</c:v>
                </c:pt>
                <c:pt idx="25">
                  <c:v>40</c:v>
                </c:pt>
                <c:pt idx="26">
                  <c:v>41</c:v>
                </c:pt>
                <c:pt idx="27">
                  <c:v>42</c:v>
                </c:pt>
                <c:pt idx="28">
                  <c:v>43</c:v>
                </c:pt>
                <c:pt idx="29">
                  <c:v>44</c:v>
                </c:pt>
                <c:pt idx="30">
                  <c:v>45</c:v>
                </c:pt>
                <c:pt idx="31">
                  <c:v>46</c:v>
                </c:pt>
                <c:pt idx="32">
                  <c:v>47</c:v>
                </c:pt>
                <c:pt idx="33">
                  <c:v>48</c:v>
                </c:pt>
                <c:pt idx="34">
                  <c:v>49</c:v>
                </c:pt>
                <c:pt idx="35">
                  <c:v>50</c:v>
                </c:pt>
                <c:pt idx="36">
                  <c:v>51</c:v>
                </c:pt>
                <c:pt idx="37">
                  <c:v>52</c:v>
                </c:pt>
                <c:pt idx="38">
                  <c:v>53</c:v>
                </c:pt>
                <c:pt idx="39">
                  <c:v>54</c:v>
                </c:pt>
                <c:pt idx="40">
                  <c:v>55</c:v>
                </c:pt>
                <c:pt idx="41">
                  <c:v>56</c:v>
                </c:pt>
                <c:pt idx="42">
                  <c:v>57</c:v>
                </c:pt>
                <c:pt idx="43">
                  <c:v>58</c:v>
                </c:pt>
                <c:pt idx="44">
                  <c:v>59</c:v>
                </c:pt>
                <c:pt idx="45">
                  <c:v>60</c:v>
                </c:pt>
                <c:pt idx="46">
                  <c:v>61</c:v>
                </c:pt>
                <c:pt idx="47">
                  <c:v>62</c:v>
                </c:pt>
                <c:pt idx="48">
                  <c:v>63</c:v>
                </c:pt>
                <c:pt idx="49">
                  <c:v>64</c:v>
                </c:pt>
                <c:pt idx="50">
                  <c:v>65</c:v>
                </c:pt>
                <c:pt idx="51">
                  <c:v>66</c:v>
                </c:pt>
                <c:pt idx="52">
                  <c:v>67</c:v>
                </c:pt>
                <c:pt idx="53">
                  <c:v>68</c:v>
                </c:pt>
                <c:pt idx="54">
                  <c:v>69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73</c:v>
                </c:pt>
                <c:pt idx="59">
                  <c:v>74</c:v>
                </c:pt>
                <c:pt idx="60">
                  <c:v>75</c:v>
                </c:pt>
              </c:numCache>
            </c:numRef>
          </c:xVal>
          <c:yVal>
            <c:numRef>
              <c:f>Calculations!$AW$23:$AW$82</c:f>
              <c:numCache>
                <c:formatCode>General</c:formatCode>
                <c:ptCount val="60"/>
                <c:pt idx="0">
                  <c:v>1.2401330049261081</c:v>
                </c:pt>
                <c:pt idx="1">
                  <c:v>1.3684678747940688</c:v>
                </c:pt>
                <c:pt idx="2">
                  <c:v>1.4974041387705419</c:v>
                </c:pt>
                <c:pt idx="3">
                  <c:v>1.6295356662180354</c:v>
                </c:pt>
                <c:pt idx="4">
                  <c:v>1.723372781065089</c:v>
                </c:pt>
                <c:pt idx="5">
                  <c:v>1.7629449838187701</c:v>
                </c:pt>
                <c:pt idx="6">
                  <c:v>1.7800353356890453</c:v>
                </c:pt>
                <c:pt idx="7">
                  <c:v>1.7777777777777781</c:v>
                </c:pt>
                <c:pt idx="8">
                  <c:v>1.7833333333333334</c:v>
                </c:pt>
                <c:pt idx="9">
                  <c:v>1.7771556550951841</c:v>
                </c:pt>
                <c:pt idx="10">
                  <c:v>1.782345828295042</c:v>
                </c:pt>
                <c:pt idx="11">
                  <c:v>1.7905759162303665</c:v>
                </c:pt>
                <c:pt idx="12">
                  <c:v>1.7874125874125877</c:v>
                </c:pt>
                <c:pt idx="13">
                  <c:v>1.7832585949177879</c:v>
                </c:pt>
                <c:pt idx="14">
                  <c:v>1.7814992025518341</c:v>
                </c:pt>
                <c:pt idx="15">
                  <c:v>1.7840136054421767</c:v>
                </c:pt>
                <c:pt idx="16">
                  <c:v>1.7783783783783782</c:v>
                </c:pt>
                <c:pt idx="17">
                  <c:v>1.7767175572519087</c:v>
                </c:pt>
                <c:pt idx="18">
                  <c:v>1.7737373737373734</c:v>
                </c:pt>
                <c:pt idx="19">
                  <c:v>1.7926565874730021</c:v>
                </c:pt>
                <c:pt idx="20">
                  <c:v>1.7886363636363634</c:v>
                </c:pt>
                <c:pt idx="21">
                  <c:v>1.7780429594272074</c:v>
                </c:pt>
                <c:pt idx="22">
                  <c:v>1.7769423558897246</c:v>
                </c:pt>
                <c:pt idx="23">
                  <c:v>1.7804232804232802</c:v>
                </c:pt>
                <c:pt idx="24">
                  <c:v>1.7849162011173185</c:v>
                </c:pt>
                <c:pt idx="25">
                  <c:v>1.7732558139534882</c:v>
                </c:pt>
                <c:pt idx="26">
                  <c:v>1.7743902439024393</c:v>
                </c:pt>
                <c:pt idx="27">
                  <c:v>1.7731629392971247</c:v>
                </c:pt>
                <c:pt idx="28">
                  <c:v>1.7666666666666666</c:v>
                </c:pt>
                <c:pt idx="29">
                  <c:v>1.7797202797202791</c:v>
                </c:pt>
                <c:pt idx="30">
                  <c:v>1.7617328519855593</c:v>
                </c:pt>
                <c:pt idx="31">
                  <c:v>1.7613636363636369</c:v>
                </c:pt>
                <c:pt idx="32">
                  <c:v>1.7777777777777779</c:v>
                </c:pt>
                <c:pt idx="33">
                  <c:v>1.7695473251028806</c:v>
                </c:pt>
                <c:pt idx="34">
                  <c:v>1.7606837606837604</c:v>
                </c:pt>
                <c:pt idx="35">
                  <c:v>1.7688888888888887</c:v>
                </c:pt>
                <c:pt idx="36">
                  <c:v>1.7924528301886793</c:v>
                </c:pt>
                <c:pt idx="37">
                  <c:v>1.7777777777777775</c:v>
                </c:pt>
                <c:pt idx="38">
                  <c:v>1.778894472361809</c:v>
                </c:pt>
                <c:pt idx="39">
                  <c:v>1.7371134020618557</c:v>
                </c:pt>
                <c:pt idx="40">
                  <c:v>1.7433155080213902</c:v>
                </c:pt>
                <c:pt idx="41">
                  <c:v>1.7500000000000002</c:v>
                </c:pt>
                <c:pt idx="42">
                  <c:v>1.7572254335260118</c:v>
                </c:pt>
                <c:pt idx="43">
                  <c:v>1.7559523809523812</c:v>
                </c:pt>
                <c:pt idx="44">
                  <c:v>1.7701863354037271</c:v>
                </c:pt>
                <c:pt idx="45">
                  <c:v>1.7922077922077919</c:v>
                </c:pt>
                <c:pt idx="46">
                  <c:v>1.7866666666666668</c:v>
                </c:pt>
                <c:pt idx="47">
                  <c:v>1.7862068965517237</c:v>
                </c:pt>
                <c:pt idx="48">
                  <c:v>1.7872340425531916</c:v>
                </c:pt>
                <c:pt idx="49">
                  <c:v>1.7753623188405798</c:v>
                </c:pt>
                <c:pt idx="50">
                  <c:v>1.7761194029850746</c:v>
                </c:pt>
                <c:pt idx="51">
                  <c:v>1.7692307692307698</c:v>
                </c:pt>
                <c:pt idx="52">
                  <c:v>1.7559055118110241</c:v>
                </c:pt>
                <c:pt idx="53">
                  <c:v>1.7661290322580649</c:v>
                </c:pt>
                <c:pt idx="54">
                  <c:v>1.8050847457627124</c:v>
                </c:pt>
                <c:pt idx="55">
                  <c:v>1.7435897435897436</c:v>
                </c:pt>
                <c:pt idx="56">
                  <c:v>1.7456140350877192</c:v>
                </c:pt>
                <c:pt idx="57">
                  <c:v>1.7545454545454544</c:v>
                </c:pt>
                <c:pt idx="58">
                  <c:v>1.7735849056603772</c:v>
                </c:pt>
                <c:pt idx="59">
                  <c:v>1.776699029126213</c:v>
                </c:pt>
              </c:numCache>
            </c:numRef>
          </c:yVal>
        </c:ser>
        <c:axId val="47162496"/>
        <c:axId val="47164032"/>
      </c:scatterChart>
      <c:valAx>
        <c:axId val="47162496"/>
        <c:scaling>
          <c:orientation val="minMax"/>
          <c:max val="75"/>
          <c:min val="15"/>
        </c:scaling>
        <c:axPos val="b"/>
        <c:numFmt formatCode="General" sourceLinked="0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47164032"/>
        <c:crosses val="autoZero"/>
        <c:crossBetween val="midCat"/>
        <c:majorUnit val="5"/>
        <c:minorUnit val="1"/>
      </c:valAx>
      <c:valAx>
        <c:axId val="47164032"/>
        <c:scaling>
          <c:orientation val="minMax"/>
          <c:min val="1"/>
        </c:scaling>
        <c:axPos val="l"/>
        <c:majorGridlines/>
        <c:numFmt formatCode="General" sourceLinked="1"/>
        <c:tickLblPos val="nextTo"/>
        <c:crossAx val="47162496"/>
        <c:crosses val="autoZero"/>
        <c:crossBetween val="midCat"/>
      </c:valAx>
    </c:plotArea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18% Grey Card Sweep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Calculations!$AS$5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Calculations!$AX$7:$AX$87</c:f>
              <c:numCache>
                <c:formatCode>General</c:formatCode>
                <c:ptCount val="81"/>
                <c:pt idx="0">
                  <c:v>90.545454545454547</c:v>
                </c:pt>
                <c:pt idx="1">
                  <c:v>217.11227272727274</c:v>
                </c:pt>
                <c:pt idx="2">
                  <c:v>216.56681818181818</c:v>
                </c:pt>
                <c:pt idx="3">
                  <c:v>217.29409090909093</c:v>
                </c:pt>
                <c:pt idx="4">
                  <c:v>218.56681818181818</c:v>
                </c:pt>
                <c:pt idx="5">
                  <c:v>219.93045454545455</c:v>
                </c:pt>
                <c:pt idx="6">
                  <c:v>223.97500000000002</c:v>
                </c:pt>
                <c:pt idx="7">
                  <c:v>231.155</c:v>
                </c:pt>
                <c:pt idx="8">
                  <c:v>231.58636363636364</c:v>
                </c:pt>
                <c:pt idx="9">
                  <c:v>231.58636363636364</c:v>
                </c:pt>
                <c:pt idx="10">
                  <c:v>231.58636363636364</c:v>
                </c:pt>
                <c:pt idx="11">
                  <c:v>231.58636363636364</c:v>
                </c:pt>
                <c:pt idx="12">
                  <c:v>231.58636363636364</c:v>
                </c:pt>
                <c:pt idx="13">
                  <c:v>231.58636363636364</c:v>
                </c:pt>
                <c:pt idx="14">
                  <c:v>231.51863636363635</c:v>
                </c:pt>
                <c:pt idx="15">
                  <c:v>230.38318181818184</c:v>
                </c:pt>
                <c:pt idx="16">
                  <c:v>228.86090909090905</c:v>
                </c:pt>
                <c:pt idx="17">
                  <c:v>226.54363636363635</c:v>
                </c:pt>
                <c:pt idx="18">
                  <c:v>223.65772727272724</c:v>
                </c:pt>
                <c:pt idx="19">
                  <c:v>220.13545454545456</c:v>
                </c:pt>
                <c:pt idx="20">
                  <c:v>211.81818181818184</c:v>
                </c:pt>
                <c:pt idx="21">
                  <c:v>198.09090909090909</c:v>
                </c:pt>
                <c:pt idx="22">
                  <c:v>183.18181818181816</c:v>
                </c:pt>
                <c:pt idx="23">
                  <c:v>168.72727272727275</c:v>
                </c:pt>
                <c:pt idx="24">
                  <c:v>155.63636363636363</c:v>
                </c:pt>
                <c:pt idx="25">
                  <c:v>144.27272727272725</c:v>
                </c:pt>
                <c:pt idx="26">
                  <c:v>133.99999999999997</c:v>
                </c:pt>
                <c:pt idx="27">
                  <c:v>124.36363636363636</c:v>
                </c:pt>
                <c:pt idx="28">
                  <c:v>116.18181818181819</c:v>
                </c:pt>
                <c:pt idx="29">
                  <c:v>108.45454545454547</c:v>
                </c:pt>
                <c:pt idx="30">
                  <c:v>101.54545454545456</c:v>
                </c:pt>
                <c:pt idx="31">
                  <c:v>95.36363636363636</c:v>
                </c:pt>
                <c:pt idx="32">
                  <c:v>89.72727272727272</c:v>
                </c:pt>
                <c:pt idx="33">
                  <c:v>84.636363636363654</c:v>
                </c:pt>
                <c:pt idx="34">
                  <c:v>79.818181818181813</c:v>
                </c:pt>
                <c:pt idx="35">
                  <c:v>75.454545454545453</c:v>
                </c:pt>
                <c:pt idx="36">
                  <c:v>71.545454545454533</c:v>
                </c:pt>
                <c:pt idx="37">
                  <c:v>67.72727272727272</c:v>
                </c:pt>
                <c:pt idx="38">
                  <c:v>64.454545454545453</c:v>
                </c:pt>
                <c:pt idx="39">
                  <c:v>61.18181818181818</c:v>
                </c:pt>
                <c:pt idx="40">
                  <c:v>58.090909090909093</c:v>
                </c:pt>
                <c:pt idx="41">
                  <c:v>55.454545454545453</c:v>
                </c:pt>
                <c:pt idx="42">
                  <c:v>52.909090909090914</c:v>
                </c:pt>
                <c:pt idx="43">
                  <c:v>50.45454545454546</c:v>
                </c:pt>
                <c:pt idx="44">
                  <c:v>48.18181818181818</c:v>
                </c:pt>
                <c:pt idx="45">
                  <c:v>46.272727272727273</c:v>
                </c:pt>
                <c:pt idx="46">
                  <c:v>44.363636363636367</c:v>
                </c:pt>
                <c:pt idx="47">
                  <c:v>42.27272727272728</c:v>
                </c:pt>
                <c:pt idx="48">
                  <c:v>40.727272727272734</c:v>
                </c:pt>
                <c:pt idx="49">
                  <c:v>39.090909090909086</c:v>
                </c:pt>
                <c:pt idx="50">
                  <c:v>37.454545454545446</c:v>
                </c:pt>
                <c:pt idx="51">
                  <c:v>36.18181818181818</c:v>
                </c:pt>
                <c:pt idx="52">
                  <c:v>34.545454545454547</c:v>
                </c:pt>
                <c:pt idx="53">
                  <c:v>33.454545454545446</c:v>
                </c:pt>
                <c:pt idx="54">
                  <c:v>32.18181818181818</c:v>
                </c:pt>
                <c:pt idx="55">
                  <c:v>30.636363636363633</c:v>
                </c:pt>
                <c:pt idx="56">
                  <c:v>29.636363636363633</c:v>
                </c:pt>
                <c:pt idx="57">
                  <c:v>28.636363636363637</c:v>
                </c:pt>
                <c:pt idx="58">
                  <c:v>27.636363636363637</c:v>
                </c:pt>
                <c:pt idx="59">
                  <c:v>26.81818181818182</c:v>
                </c:pt>
                <c:pt idx="60">
                  <c:v>25.909090909090914</c:v>
                </c:pt>
                <c:pt idx="61">
                  <c:v>25.09090909090909</c:v>
                </c:pt>
                <c:pt idx="62">
                  <c:v>24.363636363636367</c:v>
                </c:pt>
                <c:pt idx="63">
                  <c:v>23.545454545454543</c:v>
                </c:pt>
                <c:pt idx="64">
                  <c:v>22.90909090909091</c:v>
                </c:pt>
                <c:pt idx="65">
                  <c:v>22.272727272727273</c:v>
                </c:pt>
                <c:pt idx="66">
                  <c:v>21.636363636363637</c:v>
                </c:pt>
                <c:pt idx="67">
                  <c:v>20.909090909090914</c:v>
                </c:pt>
                <c:pt idx="68">
                  <c:v>20.272727272727277</c:v>
                </c:pt>
                <c:pt idx="69">
                  <c:v>19.909090909090914</c:v>
                </c:pt>
                <c:pt idx="70">
                  <c:v>19.363636363636367</c:v>
                </c:pt>
                <c:pt idx="71">
                  <c:v>18.545454545454543</c:v>
                </c:pt>
                <c:pt idx="72">
                  <c:v>18.09090909090909</c:v>
                </c:pt>
                <c:pt idx="73">
                  <c:v>17.545454545454543</c:v>
                </c:pt>
                <c:pt idx="74">
                  <c:v>17.09090909090909</c:v>
                </c:pt>
                <c:pt idx="75">
                  <c:v>16.636363636363633</c:v>
                </c:pt>
                <c:pt idx="76">
                  <c:v>16.45454545454545</c:v>
                </c:pt>
                <c:pt idx="77">
                  <c:v>15.727272727272725</c:v>
                </c:pt>
                <c:pt idx="78">
                  <c:v>15.181818181818183</c:v>
                </c:pt>
                <c:pt idx="79">
                  <c:v>15.090909090909092</c:v>
                </c:pt>
                <c:pt idx="80">
                  <c:v>14.454545454545455</c:v>
                </c:pt>
              </c:numCache>
            </c:numRef>
          </c:yVal>
        </c:ser>
        <c:ser>
          <c:idx val="1"/>
          <c:order val="1"/>
          <c:tx>
            <c:strRef>
              <c:f>Calculations!$AU$5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Calculations!$AY$7:$AY$87</c:f>
              <c:numCache>
                <c:formatCode>General</c:formatCode>
                <c:ptCount val="81"/>
                <c:pt idx="0">
                  <c:v>51.272727272727266</c:v>
                </c:pt>
                <c:pt idx="1">
                  <c:v>220.65772727272727</c:v>
                </c:pt>
                <c:pt idx="2">
                  <c:v>219.93045454545455</c:v>
                </c:pt>
                <c:pt idx="3">
                  <c:v>221.18</c:v>
                </c:pt>
                <c:pt idx="4">
                  <c:v>228.04272727272726</c:v>
                </c:pt>
                <c:pt idx="5">
                  <c:v>231.58636363636364</c:v>
                </c:pt>
                <c:pt idx="6">
                  <c:v>231.58636363636364</c:v>
                </c:pt>
                <c:pt idx="7">
                  <c:v>231.58636363636364</c:v>
                </c:pt>
                <c:pt idx="8">
                  <c:v>231.58636363636364</c:v>
                </c:pt>
                <c:pt idx="9">
                  <c:v>231.58636363636364</c:v>
                </c:pt>
                <c:pt idx="10">
                  <c:v>231.58636363636364</c:v>
                </c:pt>
                <c:pt idx="11">
                  <c:v>231.51863636363635</c:v>
                </c:pt>
                <c:pt idx="12">
                  <c:v>230.65590909090912</c:v>
                </c:pt>
                <c:pt idx="13">
                  <c:v>228.61136363636362</c:v>
                </c:pt>
                <c:pt idx="14">
                  <c:v>222.93045454545452</c:v>
                </c:pt>
                <c:pt idx="15">
                  <c:v>205.79500000000002</c:v>
                </c:pt>
                <c:pt idx="16">
                  <c:v>184.54545454545456</c:v>
                </c:pt>
                <c:pt idx="17">
                  <c:v>165.54545454545456</c:v>
                </c:pt>
                <c:pt idx="18">
                  <c:v>149.36363636363632</c:v>
                </c:pt>
                <c:pt idx="19">
                  <c:v>135.09090909090907</c:v>
                </c:pt>
                <c:pt idx="20">
                  <c:v>122.90909090909091</c:v>
                </c:pt>
                <c:pt idx="21">
                  <c:v>112.36363636363637</c:v>
                </c:pt>
                <c:pt idx="22">
                  <c:v>102.90909090909093</c:v>
                </c:pt>
                <c:pt idx="23">
                  <c:v>94.909090909090892</c:v>
                </c:pt>
                <c:pt idx="24">
                  <c:v>87.272727272727266</c:v>
                </c:pt>
                <c:pt idx="25">
                  <c:v>81.181818181818201</c:v>
                </c:pt>
                <c:pt idx="26">
                  <c:v>75.181818181818187</c:v>
                </c:pt>
                <c:pt idx="27">
                  <c:v>69.454545454545453</c:v>
                </c:pt>
                <c:pt idx="28">
                  <c:v>65</c:v>
                </c:pt>
                <c:pt idx="29">
                  <c:v>60.818181818181813</c:v>
                </c:pt>
                <c:pt idx="30">
                  <c:v>57</c:v>
                </c:pt>
                <c:pt idx="31">
                  <c:v>53.45454545454546</c:v>
                </c:pt>
                <c:pt idx="32">
                  <c:v>50.45454545454546</c:v>
                </c:pt>
                <c:pt idx="33">
                  <c:v>47.636363636363633</c:v>
                </c:pt>
                <c:pt idx="34">
                  <c:v>45</c:v>
                </c:pt>
                <c:pt idx="35">
                  <c:v>42.090909090909093</c:v>
                </c:pt>
                <c:pt idx="36">
                  <c:v>40</c:v>
                </c:pt>
                <c:pt idx="37">
                  <c:v>38.090909090909093</c:v>
                </c:pt>
                <c:pt idx="38">
                  <c:v>36.272727272727266</c:v>
                </c:pt>
                <c:pt idx="39">
                  <c:v>34.363636363636367</c:v>
                </c:pt>
                <c:pt idx="40">
                  <c:v>32.545454545454547</c:v>
                </c:pt>
                <c:pt idx="41">
                  <c:v>31.272727272727277</c:v>
                </c:pt>
                <c:pt idx="42">
                  <c:v>29.818181818181817</c:v>
                </c:pt>
                <c:pt idx="43">
                  <c:v>28.454545454545453</c:v>
                </c:pt>
                <c:pt idx="44">
                  <c:v>27.272727272727273</c:v>
                </c:pt>
                <c:pt idx="45">
                  <c:v>26.000000000000007</c:v>
                </c:pt>
                <c:pt idx="46">
                  <c:v>25.181818181818187</c:v>
                </c:pt>
                <c:pt idx="47">
                  <c:v>23.999999999999996</c:v>
                </c:pt>
                <c:pt idx="48">
                  <c:v>22.90909090909091</c:v>
                </c:pt>
                <c:pt idx="49">
                  <c:v>22.09090909090909</c:v>
                </c:pt>
                <c:pt idx="50">
                  <c:v>21.272727272727273</c:v>
                </c:pt>
                <c:pt idx="51">
                  <c:v>20.454545454545453</c:v>
                </c:pt>
                <c:pt idx="52">
                  <c:v>19.272727272727273</c:v>
                </c:pt>
                <c:pt idx="53">
                  <c:v>18.818181818181817</c:v>
                </c:pt>
                <c:pt idx="54">
                  <c:v>18.09090909090909</c:v>
                </c:pt>
                <c:pt idx="55">
                  <c:v>17.636363636363633</c:v>
                </c:pt>
                <c:pt idx="56">
                  <c:v>17</c:v>
                </c:pt>
                <c:pt idx="57">
                  <c:v>16.363636363636363</c:v>
                </c:pt>
                <c:pt idx="58">
                  <c:v>15.727272727272725</c:v>
                </c:pt>
                <c:pt idx="59">
                  <c:v>15.272727272727272</c:v>
                </c:pt>
                <c:pt idx="60">
                  <c:v>14.636363636363637</c:v>
                </c:pt>
                <c:pt idx="61">
                  <c:v>14.000000000000002</c:v>
                </c:pt>
                <c:pt idx="62">
                  <c:v>13.636363636363637</c:v>
                </c:pt>
                <c:pt idx="63">
                  <c:v>13.181818181818185</c:v>
                </c:pt>
                <c:pt idx="64">
                  <c:v>12.818181818181817</c:v>
                </c:pt>
                <c:pt idx="65">
                  <c:v>12.545454545454545</c:v>
                </c:pt>
                <c:pt idx="66">
                  <c:v>12.181818181818183</c:v>
                </c:pt>
                <c:pt idx="67">
                  <c:v>11.818181818181817</c:v>
                </c:pt>
                <c:pt idx="68">
                  <c:v>11.545454545454545</c:v>
                </c:pt>
                <c:pt idx="69">
                  <c:v>11.272727272727272</c:v>
                </c:pt>
                <c:pt idx="70">
                  <c:v>10.727272727272725</c:v>
                </c:pt>
                <c:pt idx="71">
                  <c:v>10.636363636363637</c:v>
                </c:pt>
                <c:pt idx="72">
                  <c:v>10.363636363636363</c:v>
                </c:pt>
                <c:pt idx="73">
                  <c:v>10</c:v>
                </c:pt>
                <c:pt idx="74">
                  <c:v>9.6363636363636367</c:v>
                </c:pt>
                <c:pt idx="75">
                  <c:v>9.3636363636363651</c:v>
                </c:pt>
                <c:pt idx="76">
                  <c:v>9.3636363636363651</c:v>
                </c:pt>
                <c:pt idx="77">
                  <c:v>9.2727272727272698</c:v>
                </c:pt>
                <c:pt idx="78">
                  <c:v>8.8181818181818166</c:v>
                </c:pt>
                <c:pt idx="79">
                  <c:v>8.3636363636363615</c:v>
                </c:pt>
                <c:pt idx="80">
                  <c:v>8.2727272727272716</c:v>
                </c:pt>
              </c:numCache>
            </c:numRef>
          </c:yVal>
        </c:ser>
        <c:axId val="47177728"/>
        <c:axId val="47179264"/>
      </c:scatterChart>
      <c:valAx>
        <c:axId val="47177728"/>
        <c:scaling>
          <c:orientation val="minMax"/>
          <c:max val="80"/>
          <c:min val="0"/>
        </c:scaling>
        <c:axPos val="b"/>
        <c:minorGridlines/>
        <c:numFmt formatCode="0.0" sourceLinked="1"/>
        <c:tickLblPos val="nextTo"/>
        <c:crossAx val="47179264"/>
        <c:crosses val="autoZero"/>
        <c:crossBetween val="midCat"/>
      </c:valAx>
      <c:valAx>
        <c:axId val="47179264"/>
        <c:scaling>
          <c:orientation val="minMax"/>
          <c:max val="255"/>
          <c:min val="0"/>
        </c:scaling>
        <c:axPos val="l"/>
        <c:majorGridlines/>
        <c:numFmt formatCode="#,##0" sourceLinked="0"/>
        <c:tickLblPos val="nextTo"/>
        <c:crossAx val="47177728"/>
        <c:crosses val="autoZero"/>
        <c:crossBetween val="midCat"/>
        <c:majorUnit val="25"/>
        <c:minorUnit val="5"/>
      </c:valAx>
    </c:plotArea>
    <c:legend>
      <c:legendPos val="r"/>
      <c:layout>
        <c:manualLayout>
          <c:xMode val="edge"/>
          <c:yMode val="edge"/>
          <c:x val="0.83877504911083156"/>
          <c:y val="0.30738874564963298"/>
          <c:w val="0.13440813913969962"/>
          <c:h val="0.35156317292941625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</c:chart>
  <c:printSettings>
    <c:headerFooter/>
    <c:pageMargins b="0.75000000000000344" l="0.70000000000000062" r="0.70000000000000062" t="0.750000000000003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Grey Card Sweep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Calculations!$AS$5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Calculations!$AS$7:$AS$87</c:f>
              <c:numCache>
                <c:formatCode>0.000</c:formatCode>
                <c:ptCount val="81"/>
                <c:pt idx="0">
                  <c:v>0.35508021390374334</c:v>
                </c:pt>
                <c:pt idx="1">
                  <c:v>0.85142067736185389</c:v>
                </c:pt>
                <c:pt idx="2">
                  <c:v>0.84928163992869876</c:v>
                </c:pt>
                <c:pt idx="3">
                  <c:v>0.85213368983957227</c:v>
                </c:pt>
                <c:pt idx="4">
                  <c:v>0.85712477718360069</c:v>
                </c:pt>
                <c:pt idx="5">
                  <c:v>0.86247237076648842</c:v>
                </c:pt>
                <c:pt idx="6">
                  <c:v>0.87833333333333341</c:v>
                </c:pt>
                <c:pt idx="7">
                  <c:v>0.9064901960784314</c:v>
                </c:pt>
                <c:pt idx="8">
                  <c:v>0.9081818181818182</c:v>
                </c:pt>
                <c:pt idx="9">
                  <c:v>0.9081818181818182</c:v>
                </c:pt>
                <c:pt idx="10">
                  <c:v>0.9081818181818182</c:v>
                </c:pt>
                <c:pt idx="11">
                  <c:v>0.9081818181818182</c:v>
                </c:pt>
                <c:pt idx="12">
                  <c:v>0.9081818181818182</c:v>
                </c:pt>
                <c:pt idx="13">
                  <c:v>0.9081818181818182</c:v>
                </c:pt>
                <c:pt idx="14">
                  <c:v>0.90791622103386804</c:v>
                </c:pt>
                <c:pt idx="15">
                  <c:v>0.90346345811051698</c:v>
                </c:pt>
                <c:pt idx="16">
                  <c:v>0.8974937611408198</c:v>
                </c:pt>
                <c:pt idx="17">
                  <c:v>0.8884064171122994</c:v>
                </c:pt>
                <c:pt idx="18">
                  <c:v>0.87708912655971472</c:v>
                </c:pt>
                <c:pt idx="19">
                  <c:v>0.86327629233511594</c:v>
                </c:pt>
                <c:pt idx="20">
                  <c:v>0.83065953654188962</c:v>
                </c:pt>
                <c:pt idx="21">
                  <c:v>0.77682709447415332</c:v>
                </c:pt>
                <c:pt idx="22">
                  <c:v>0.71836007130124768</c:v>
                </c:pt>
                <c:pt idx="23">
                  <c:v>0.66167557932263821</c:v>
                </c:pt>
                <c:pt idx="24">
                  <c:v>0.61033868092691623</c:v>
                </c:pt>
                <c:pt idx="25">
                  <c:v>0.56577540106951862</c:v>
                </c:pt>
                <c:pt idx="26">
                  <c:v>0.52549019607843128</c:v>
                </c:pt>
                <c:pt idx="27">
                  <c:v>0.48770053475935826</c:v>
                </c:pt>
                <c:pt idx="28">
                  <c:v>0.4556149732620321</c:v>
                </c:pt>
                <c:pt idx="29">
                  <c:v>0.42531194295900182</c:v>
                </c:pt>
                <c:pt idx="30">
                  <c:v>0.39821746880570413</c:v>
                </c:pt>
                <c:pt idx="31">
                  <c:v>0.37397504456327985</c:v>
                </c:pt>
                <c:pt idx="32">
                  <c:v>0.35187165775401069</c:v>
                </c:pt>
                <c:pt idx="33">
                  <c:v>0.33190730837789667</c:v>
                </c:pt>
                <c:pt idx="34">
                  <c:v>0.31301247771836005</c:v>
                </c:pt>
                <c:pt idx="35">
                  <c:v>0.29590017825311943</c:v>
                </c:pt>
                <c:pt idx="36">
                  <c:v>0.28057040998217464</c:v>
                </c:pt>
                <c:pt idx="37">
                  <c:v>0.2655971479500891</c:v>
                </c:pt>
                <c:pt idx="38">
                  <c:v>0.25276292335115863</c:v>
                </c:pt>
                <c:pt idx="39">
                  <c:v>0.23992869875222816</c:v>
                </c:pt>
                <c:pt idx="40">
                  <c:v>0.22780748663101605</c:v>
                </c:pt>
                <c:pt idx="41">
                  <c:v>0.21746880570409982</c:v>
                </c:pt>
                <c:pt idx="42">
                  <c:v>0.20748663101604281</c:v>
                </c:pt>
                <c:pt idx="43">
                  <c:v>0.19786096256684493</c:v>
                </c:pt>
                <c:pt idx="44">
                  <c:v>0.18894830659536541</c:v>
                </c:pt>
                <c:pt idx="45">
                  <c:v>0.18146167557932263</c:v>
                </c:pt>
                <c:pt idx="46">
                  <c:v>0.17397504456327986</c:v>
                </c:pt>
                <c:pt idx="47">
                  <c:v>0.16577540106951874</c:v>
                </c:pt>
                <c:pt idx="48">
                  <c:v>0.15971479500891267</c:v>
                </c:pt>
                <c:pt idx="49">
                  <c:v>0.15329768270944741</c:v>
                </c:pt>
                <c:pt idx="50">
                  <c:v>0.14688057040998215</c:v>
                </c:pt>
                <c:pt idx="51">
                  <c:v>0.14188948306595364</c:v>
                </c:pt>
                <c:pt idx="52">
                  <c:v>0.13547237076648841</c:v>
                </c:pt>
                <c:pt idx="53">
                  <c:v>0.13119429590017823</c:v>
                </c:pt>
                <c:pt idx="54">
                  <c:v>0.12620320855614972</c:v>
                </c:pt>
                <c:pt idx="55">
                  <c:v>0.12014260249554366</c:v>
                </c:pt>
                <c:pt idx="56">
                  <c:v>0.11622103386809268</c:v>
                </c:pt>
                <c:pt idx="57">
                  <c:v>0.11229946524064172</c:v>
                </c:pt>
                <c:pt idx="58">
                  <c:v>0.10837789661319074</c:v>
                </c:pt>
                <c:pt idx="59">
                  <c:v>0.10516934046345812</c:v>
                </c:pt>
                <c:pt idx="60">
                  <c:v>0.10160427807486633</c:v>
                </c:pt>
                <c:pt idx="61">
                  <c:v>9.8395721925133683E-2</c:v>
                </c:pt>
                <c:pt idx="62">
                  <c:v>9.5543672014260256E-2</c:v>
                </c:pt>
                <c:pt idx="63">
                  <c:v>9.2335115864527625E-2</c:v>
                </c:pt>
                <c:pt idx="64">
                  <c:v>8.9839572192513373E-2</c:v>
                </c:pt>
                <c:pt idx="65">
                  <c:v>8.7344028520499106E-2</c:v>
                </c:pt>
                <c:pt idx="66">
                  <c:v>8.4848484848484854E-2</c:v>
                </c:pt>
                <c:pt idx="67">
                  <c:v>8.1996434937611426E-2</c:v>
                </c:pt>
                <c:pt idx="68">
                  <c:v>7.9500891265597159E-2</c:v>
                </c:pt>
                <c:pt idx="69">
                  <c:v>7.8074866310160446E-2</c:v>
                </c:pt>
                <c:pt idx="70">
                  <c:v>7.5935828877005354E-2</c:v>
                </c:pt>
                <c:pt idx="71">
                  <c:v>7.2727272727272724E-2</c:v>
                </c:pt>
                <c:pt idx="72">
                  <c:v>7.0944741532976821E-2</c:v>
                </c:pt>
                <c:pt idx="73">
                  <c:v>6.8805704099821743E-2</c:v>
                </c:pt>
                <c:pt idx="74">
                  <c:v>6.7023172905525841E-2</c:v>
                </c:pt>
                <c:pt idx="75">
                  <c:v>6.5240641711229938E-2</c:v>
                </c:pt>
                <c:pt idx="76">
                  <c:v>6.4527629233511574E-2</c:v>
                </c:pt>
                <c:pt idx="77">
                  <c:v>6.167557932263814E-2</c:v>
                </c:pt>
                <c:pt idx="78">
                  <c:v>5.9536541889483069E-2</c:v>
                </c:pt>
                <c:pt idx="79">
                  <c:v>5.9180035650623887E-2</c:v>
                </c:pt>
                <c:pt idx="80">
                  <c:v>5.6684491978609627E-2</c:v>
                </c:pt>
              </c:numCache>
            </c:numRef>
          </c:yVal>
        </c:ser>
        <c:ser>
          <c:idx val="1"/>
          <c:order val="1"/>
          <c:tx>
            <c:strRef>
              <c:f>Calculations!$AU$5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Calculations!$AU$7:$AU$87</c:f>
              <c:numCache>
                <c:formatCode>0.000</c:formatCode>
                <c:ptCount val="81"/>
                <c:pt idx="0">
                  <c:v>0.20106951871657752</c:v>
                </c:pt>
                <c:pt idx="1">
                  <c:v>0.86532442067736182</c:v>
                </c:pt>
                <c:pt idx="2">
                  <c:v>0.86247237076648842</c:v>
                </c:pt>
                <c:pt idx="3">
                  <c:v>0.86737254901960792</c:v>
                </c:pt>
                <c:pt idx="4">
                  <c:v>0.89428520499108732</c:v>
                </c:pt>
                <c:pt idx="5">
                  <c:v>0.9081818181818182</c:v>
                </c:pt>
                <c:pt idx="6">
                  <c:v>0.9081818181818182</c:v>
                </c:pt>
                <c:pt idx="7">
                  <c:v>0.9081818181818182</c:v>
                </c:pt>
                <c:pt idx="8">
                  <c:v>0.9081818181818182</c:v>
                </c:pt>
                <c:pt idx="9">
                  <c:v>0.9081818181818182</c:v>
                </c:pt>
                <c:pt idx="10">
                  <c:v>0.9081818181818182</c:v>
                </c:pt>
                <c:pt idx="11">
                  <c:v>0.90791622103386804</c:v>
                </c:pt>
                <c:pt idx="12">
                  <c:v>0.90453297682709455</c:v>
                </c:pt>
                <c:pt idx="13">
                  <c:v>0.89651515151515149</c:v>
                </c:pt>
                <c:pt idx="14">
                  <c:v>0.87423707664884132</c:v>
                </c:pt>
                <c:pt idx="15">
                  <c:v>0.80703921568627457</c:v>
                </c:pt>
                <c:pt idx="16">
                  <c:v>0.72370766488413552</c:v>
                </c:pt>
                <c:pt idx="17">
                  <c:v>0.64919786096256693</c:v>
                </c:pt>
                <c:pt idx="18">
                  <c:v>0.58573975044563265</c:v>
                </c:pt>
                <c:pt idx="19">
                  <c:v>0.52976827094474144</c:v>
                </c:pt>
                <c:pt idx="20">
                  <c:v>0.48199643493761141</c:v>
                </c:pt>
                <c:pt idx="21">
                  <c:v>0.44064171122994655</c:v>
                </c:pt>
                <c:pt idx="22">
                  <c:v>0.40356506238859191</c:v>
                </c:pt>
                <c:pt idx="23">
                  <c:v>0.3721925133689839</c:v>
                </c:pt>
                <c:pt idx="24">
                  <c:v>0.34224598930481281</c:v>
                </c:pt>
                <c:pt idx="25">
                  <c:v>0.31836007130124783</c:v>
                </c:pt>
                <c:pt idx="26">
                  <c:v>0.29483065953654192</c:v>
                </c:pt>
                <c:pt idx="27">
                  <c:v>0.27237076648841352</c:v>
                </c:pt>
                <c:pt idx="28">
                  <c:v>0.25490196078431371</c:v>
                </c:pt>
                <c:pt idx="29">
                  <c:v>0.23850267379679144</c:v>
                </c:pt>
                <c:pt idx="30">
                  <c:v>0.22352941176470589</c:v>
                </c:pt>
                <c:pt idx="31">
                  <c:v>0.20962566844919789</c:v>
                </c:pt>
                <c:pt idx="32">
                  <c:v>0.19786096256684493</c:v>
                </c:pt>
                <c:pt idx="33">
                  <c:v>0.18680926916221033</c:v>
                </c:pt>
                <c:pt idx="34">
                  <c:v>0.17647058823529413</c:v>
                </c:pt>
                <c:pt idx="35">
                  <c:v>0.16506238859180036</c:v>
                </c:pt>
                <c:pt idx="36">
                  <c:v>0.15686274509803921</c:v>
                </c:pt>
                <c:pt idx="37">
                  <c:v>0.14937611408199644</c:v>
                </c:pt>
                <c:pt idx="38">
                  <c:v>0.1422459893048128</c:v>
                </c:pt>
                <c:pt idx="39">
                  <c:v>0.13475935828877006</c:v>
                </c:pt>
                <c:pt idx="40">
                  <c:v>0.12762923351158645</c:v>
                </c:pt>
                <c:pt idx="41">
                  <c:v>0.12263814616755794</c:v>
                </c:pt>
                <c:pt idx="42">
                  <c:v>0.11693404634581105</c:v>
                </c:pt>
                <c:pt idx="43">
                  <c:v>0.11158645276292335</c:v>
                </c:pt>
                <c:pt idx="44">
                  <c:v>0.10695187165775401</c:v>
                </c:pt>
                <c:pt idx="45">
                  <c:v>0.10196078431372552</c:v>
                </c:pt>
                <c:pt idx="46">
                  <c:v>9.8752228163992886E-2</c:v>
                </c:pt>
                <c:pt idx="47">
                  <c:v>9.4117647058823514E-2</c:v>
                </c:pt>
                <c:pt idx="48">
                  <c:v>8.9839572192513373E-2</c:v>
                </c:pt>
                <c:pt idx="49">
                  <c:v>8.6631016042780742E-2</c:v>
                </c:pt>
                <c:pt idx="50">
                  <c:v>8.3422459893048126E-2</c:v>
                </c:pt>
                <c:pt idx="51">
                  <c:v>8.0213903743315509E-2</c:v>
                </c:pt>
                <c:pt idx="52">
                  <c:v>7.5579322638146165E-2</c:v>
                </c:pt>
                <c:pt idx="53">
                  <c:v>7.3796791443850263E-2</c:v>
                </c:pt>
                <c:pt idx="54">
                  <c:v>7.0944741532976821E-2</c:v>
                </c:pt>
                <c:pt idx="55">
                  <c:v>6.9162210338680918E-2</c:v>
                </c:pt>
                <c:pt idx="56">
                  <c:v>6.6666666666666666E-2</c:v>
                </c:pt>
                <c:pt idx="57">
                  <c:v>6.4171122994652399E-2</c:v>
                </c:pt>
                <c:pt idx="58">
                  <c:v>6.167557932263814E-2</c:v>
                </c:pt>
                <c:pt idx="59">
                  <c:v>5.9893048128342244E-2</c:v>
                </c:pt>
                <c:pt idx="60">
                  <c:v>5.7397504456327984E-2</c:v>
                </c:pt>
                <c:pt idx="61">
                  <c:v>5.4901960784313732E-2</c:v>
                </c:pt>
                <c:pt idx="62">
                  <c:v>5.3475935828877004E-2</c:v>
                </c:pt>
                <c:pt idx="63">
                  <c:v>5.1693404634581115E-2</c:v>
                </c:pt>
                <c:pt idx="64">
                  <c:v>5.0267379679144381E-2</c:v>
                </c:pt>
                <c:pt idx="65">
                  <c:v>4.9197860962566842E-2</c:v>
                </c:pt>
                <c:pt idx="66">
                  <c:v>4.7771836007130128E-2</c:v>
                </c:pt>
                <c:pt idx="67">
                  <c:v>4.63458110516934E-2</c:v>
                </c:pt>
                <c:pt idx="68">
                  <c:v>4.5276292335115861E-2</c:v>
                </c:pt>
                <c:pt idx="69">
                  <c:v>4.4206773618538323E-2</c:v>
                </c:pt>
                <c:pt idx="70">
                  <c:v>4.2067736185383238E-2</c:v>
                </c:pt>
                <c:pt idx="71">
                  <c:v>4.1711229946524063E-2</c:v>
                </c:pt>
                <c:pt idx="72">
                  <c:v>4.0641711229946524E-2</c:v>
                </c:pt>
                <c:pt idx="73">
                  <c:v>3.9215686274509803E-2</c:v>
                </c:pt>
                <c:pt idx="74">
                  <c:v>3.7789661319073083E-2</c:v>
                </c:pt>
                <c:pt idx="75">
                  <c:v>3.6720142602495551E-2</c:v>
                </c:pt>
                <c:pt idx="76">
                  <c:v>3.6720142602495551E-2</c:v>
                </c:pt>
                <c:pt idx="77">
                  <c:v>3.6363636363636355E-2</c:v>
                </c:pt>
                <c:pt idx="78">
                  <c:v>3.4581105169340459E-2</c:v>
                </c:pt>
                <c:pt idx="79">
                  <c:v>3.2798573975044557E-2</c:v>
                </c:pt>
                <c:pt idx="80">
                  <c:v>3.2442067736185382E-2</c:v>
                </c:pt>
              </c:numCache>
            </c:numRef>
          </c:yVal>
        </c:ser>
        <c:ser>
          <c:idx val="2"/>
          <c:order val="2"/>
          <c:tx>
            <c:strRef>
              <c:f>Calculations!#REF!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Calculations!#REF!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ser>
          <c:idx val="3"/>
          <c:order val="3"/>
          <c:tx>
            <c:strRef>
              <c:f>Calculations!#REF!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xVal>
            <c:numRef>
              <c:f>Calculations!$AR$7:$AR$87</c:f>
              <c:numCache>
                <c:formatCode>0.0</c:formatCode>
                <c:ptCount val="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</c:numCache>
            </c:numRef>
          </c:xVal>
          <c:yVal>
            <c:numRef>
              <c:f>Calculations!#REF!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</c:ser>
        <c:axId val="52353280"/>
        <c:axId val="52359168"/>
      </c:scatterChart>
      <c:valAx>
        <c:axId val="52353280"/>
        <c:scaling>
          <c:orientation val="minMax"/>
          <c:max val="80"/>
          <c:min val="0"/>
        </c:scaling>
        <c:axPos val="b"/>
        <c:minorGridlines/>
        <c:numFmt formatCode="0.0" sourceLinked="1"/>
        <c:tickLblPos val="nextTo"/>
        <c:crossAx val="52359168"/>
        <c:crosses val="autoZero"/>
        <c:crossBetween val="midCat"/>
      </c:valAx>
      <c:valAx>
        <c:axId val="5235916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52353280"/>
        <c:crosses val="autoZero"/>
        <c:crossBetween val="midCat"/>
        <c:majorUnit val="0.1"/>
        <c:minorUnit val="0.05"/>
      </c:valAx>
    </c:plotArea>
    <c:legend>
      <c:legendPos val="r"/>
      <c:layout>
        <c:manualLayout>
          <c:xMode val="edge"/>
          <c:yMode val="edge"/>
          <c:x val="0.84425090079436249"/>
          <c:y val="0.32421819267640878"/>
          <c:w val="0.13440813913969954"/>
          <c:h val="0.35156317292941608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200"/>
              <a:t>Range Tracking</a:t>
            </a:r>
            <a:endParaRPr lang="en-US"/>
          </a:p>
        </c:rich>
      </c:tx>
      <c:layout/>
    </c:title>
    <c:plotArea>
      <c:layout/>
      <c:scatterChart>
        <c:scatterStyle val="lineMarker"/>
        <c:ser>
          <c:idx val="0"/>
          <c:order val="0"/>
          <c:tx>
            <c:strRef>
              <c:f>Calculations!$AW$6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multiLvlStrRef>
              <c:f>Calculations!$AR$23:$AS$135</c:f>
              <c:multiLvlStrCache>
                <c:ptCount val="113"/>
                <c:lvl>
                  <c:pt idx="0">
                    <c:v>0.897</c:v>
                  </c:pt>
                  <c:pt idx="1">
                    <c:v>0.888</c:v>
                  </c:pt>
                  <c:pt idx="2">
                    <c:v>0.877</c:v>
                  </c:pt>
                  <c:pt idx="3">
                    <c:v>0.863</c:v>
                  </c:pt>
                  <c:pt idx="4">
                    <c:v>0.831</c:v>
                  </c:pt>
                  <c:pt idx="5">
                    <c:v>0.777</c:v>
                  </c:pt>
                  <c:pt idx="6">
                    <c:v>0.718</c:v>
                  </c:pt>
                  <c:pt idx="7">
                    <c:v>0.662</c:v>
                  </c:pt>
                  <c:pt idx="8">
                    <c:v>0.610</c:v>
                  </c:pt>
                  <c:pt idx="9">
                    <c:v>0.566</c:v>
                  </c:pt>
                  <c:pt idx="10">
                    <c:v>0.525</c:v>
                  </c:pt>
                  <c:pt idx="11">
                    <c:v>0.488</c:v>
                  </c:pt>
                  <c:pt idx="12">
                    <c:v>0.456</c:v>
                  </c:pt>
                  <c:pt idx="13">
                    <c:v>0.425</c:v>
                  </c:pt>
                  <c:pt idx="14">
                    <c:v>0.398</c:v>
                  </c:pt>
                  <c:pt idx="15">
                    <c:v>0.374</c:v>
                  </c:pt>
                  <c:pt idx="16">
                    <c:v>0.352</c:v>
                  </c:pt>
                  <c:pt idx="17">
                    <c:v>0.332</c:v>
                  </c:pt>
                  <c:pt idx="18">
                    <c:v>0.313</c:v>
                  </c:pt>
                  <c:pt idx="19">
                    <c:v>0.296</c:v>
                  </c:pt>
                  <c:pt idx="20">
                    <c:v>0.281</c:v>
                  </c:pt>
                  <c:pt idx="21">
                    <c:v>0.266</c:v>
                  </c:pt>
                  <c:pt idx="22">
                    <c:v>0.253</c:v>
                  </c:pt>
                  <c:pt idx="23">
                    <c:v>0.240</c:v>
                  </c:pt>
                  <c:pt idx="24">
                    <c:v>0.228</c:v>
                  </c:pt>
                  <c:pt idx="25">
                    <c:v>0.217</c:v>
                  </c:pt>
                  <c:pt idx="26">
                    <c:v>0.207</c:v>
                  </c:pt>
                  <c:pt idx="27">
                    <c:v>0.198</c:v>
                  </c:pt>
                  <c:pt idx="28">
                    <c:v>0.189</c:v>
                  </c:pt>
                  <c:pt idx="29">
                    <c:v>0.181</c:v>
                  </c:pt>
                  <c:pt idx="30">
                    <c:v>0.174</c:v>
                  </c:pt>
                  <c:pt idx="31">
                    <c:v>0.166</c:v>
                  </c:pt>
                  <c:pt idx="32">
                    <c:v>0.160</c:v>
                  </c:pt>
                  <c:pt idx="33">
                    <c:v>0.153</c:v>
                  </c:pt>
                  <c:pt idx="34">
                    <c:v>0.147</c:v>
                  </c:pt>
                  <c:pt idx="35">
                    <c:v>0.142</c:v>
                  </c:pt>
                  <c:pt idx="36">
                    <c:v>0.135</c:v>
                  </c:pt>
                  <c:pt idx="37">
                    <c:v>0.131</c:v>
                  </c:pt>
                  <c:pt idx="38">
                    <c:v>0.126</c:v>
                  </c:pt>
                  <c:pt idx="39">
                    <c:v>0.120</c:v>
                  </c:pt>
                  <c:pt idx="40">
                    <c:v>0.116</c:v>
                  </c:pt>
                  <c:pt idx="41">
                    <c:v>0.112</c:v>
                  </c:pt>
                  <c:pt idx="42">
                    <c:v>0.108</c:v>
                  </c:pt>
                  <c:pt idx="43">
                    <c:v>0.105</c:v>
                  </c:pt>
                  <c:pt idx="44">
                    <c:v>0.102</c:v>
                  </c:pt>
                  <c:pt idx="45">
                    <c:v>0.098</c:v>
                  </c:pt>
                  <c:pt idx="46">
                    <c:v>0.096</c:v>
                  </c:pt>
                  <c:pt idx="47">
                    <c:v>0.092</c:v>
                  </c:pt>
                  <c:pt idx="48">
                    <c:v>0.090</c:v>
                  </c:pt>
                  <c:pt idx="49">
                    <c:v>0.087</c:v>
                  </c:pt>
                  <c:pt idx="50">
                    <c:v>0.085</c:v>
                  </c:pt>
                  <c:pt idx="51">
                    <c:v>0.082</c:v>
                  </c:pt>
                  <c:pt idx="52">
                    <c:v>0.080</c:v>
                  </c:pt>
                  <c:pt idx="53">
                    <c:v>0.078</c:v>
                  </c:pt>
                  <c:pt idx="54">
                    <c:v>0.076</c:v>
                  </c:pt>
                  <c:pt idx="55">
                    <c:v>0.073</c:v>
                  </c:pt>
                  <c:pt idx="56">
                    <c:v>0.071</c:v>
                  </c:pt>
                  <c:pt idx="57">
                    <c:v>0.069</c:v>
                  </c:pt>
                  <c:pt idx="58">
                    <c:v>0.067</c:v>
                  </c:pt>
                  <c:pt idx="59">
                    <c:v>0.065</c:v>
                  </c:pt>
                  <c:pt idx="60">
                    <c:v>0.065</c:v>
                  </c:pt>
                  <c:pt idx="61">
                    <c:v>0.062</c:v>
                  </c:pt>
                  <c:pt idx="62">
                    <c:v>0.060</c:v>
                  </c:pt>
                  <c:pt idx="63">
                    <c:v>0.059</c:v>
                  </c:pt>
                  <c:pt idx="64">
                    <c:v>0.057</c:v>
                  </c:pt>
                  <c:pt idx="65">
                    <c:v>0.056</c:v>
                  </c:pt>
                  <c:pt idx="66">
                    <c:v>0.054</c:v>
                  </c:pt>
                  <c:pt idx="67">
                    <c:v>0.052</c:v>
                  </c:pt>
                  <c:pt idx="68">
                    <c:v>0.051</c:v>
                  </c:pt>
                  <c:pt idx="69">
                    <c:v>0.050</c:v>
                  </c:pt>
                  <c:pt idx="70">
                    <c:v>0.048</c:v>
                  </c:pt>
                  <c:pt idx="71">
                    <c:v>0.048</c:v>
                  </c:pt>
                  <c:pt idx="72">
                    <c:v>0.046</c:v>
                  </c:pt>
                  <c:pt idx="73">
                    <c:v>0.045</c:v>
                  </c:pt>
                  <c:pt idx="74">
                    <c:v>0.044</c:v>
                  </c:pt>
                  <c:pt idx="75">
                    <c:v>0.043</c:v>
                  </c:pt>
                  <c:pt idx="76">
                    <c:v>0.041</c:v>
                  </c:pt>
                  <c:pt idx="77">
                    <c:v>0.041</c:v>
                  </c:pt>
                  <c:pt idx="78">
                    <c:v>0.040</c:v>
                  </c:pt>
                  <c:pt idx="79">
                    <c:v>0.038</c:v>
                  </c:pt>
                  <c:pt idx="80">
                    <c:v>0.038</c:v>
                  </c:pt>
                  <c:pt idx="81">
                    <c:v>0.037</c:v>
                  </c:pt>
                  <c:pt idx="82">
                    <c:v>0.036</c:v>
                  </c:pt>
                  <c:pt idx="83">
                    <c:v>0.035</c:v>
                  </c:pt>
                  <c:pt idx="84">
                    <c:v>0.034</c:v>
                  </c:pt>
                  <c:pt idx="85">
                    <c:v>0.033</c:v>
                  </c:pt>
                  <c:pt idx="86">
                    <c:v>0.033</c:v>
                  </c:pt>
                  <c:pt idx="87">
                    <c:v>0.032</c:v>
                  </c:pt>
                  <c:pt idx="88">
                    <c:v>0.031</c:v>
                  </c:pt>
                  <c:pt idx="89">
                    <c:v>0.030</c:v>
                  </c:pt>
                  <c:pt idx="90">
                    <c:v>0.029</c:v>
                  </c:pt>
                  <c:pt idx="91">
                    <c:v>0.030</c:v>
                  </c:pt>
                  <c:pt idx="92">
                    <c:v>0.027</c:v>
                  </c:pt>
                  <c:pt idx="93">
                    <c:v>0.027</c:v>
                  </c:pt>
                  <c:pt idx="94">
                    <c:v>0.026</c:v>
                  </c:pt>
                  <c:pt idx="95">
                    <c:v>0.026</c:v>
                  </c:pt>
                  <c:pt idx="96">
                    <c:v>0.025</c:v>
                  </c:pt>
                  <c:pt idx="97">
                    <c:v>0.025</c:v>
                  </c:pt>
                  <c:pt idx="98">
                    <c:v>0.024</c:v>
                  </c:pt>
                  <c:pt idx="99">
                    <c:v>0.024</c:v>
                  </c:pt>
                  <c:pt idx="100">
                    <c:v>0.023</c:v>
                  </c:pt>
                  <c:pt idx="101">
                    <c:v>0.022</c:v>
                  </c:pt>
                  <c:pt idx="102">
                    <c:v>0.021</c:v>
                  </c:pt>
                  <c:pt idx="103">
                    <c:v>0.022</c:v>
                  </c:pt>
                  <c:pt idx="104">
                    <c:v>0.020</c:v>
                  </c:pt>
                  <c:pt idx="105">
                    <c:v>0.020</c:v>
                  </c:pt>
                  <c:pt idx="106">
                    <c:v>0.019</c:v>
                  </c:pt>
                  <c:pt idx="107">
                    <c:v>0.019</c:v>
                  </c:pt>
                  <c:pt idx="108">
                    <c:v>0.019</c:v>
                  </c:pt>
                  <c:pt idx="109">
                    <c:v>0.019</c:v>
                  </c:pt>
                  <c:pt idx="110">
                    <c:v>0.019</c:v>
                  </c:pt>
                  <c:pt idx="111">
                    <c:v>0.019</c:v>
                  </c:pt>
                  <c:pt idx="112">
                    <c:v>0.017</c:v>
                  </c:pt>
                </c:lvl>
                <c:lvl>
                  <c:pt idx="0">
                    <c:v>16.0</c:v>
                  </c:pt>
                  <c:pt idx="1">
                    <c:v>17.0</c:v>
                  </c:pt>
                  <c:pt idx="2">
                    <c:v>18.0</c:v>
                  </c:pt>
                  <c:pt idx="3">
                    <c:v>19.0</c:v>
                  </c:pt>
                  <c:pt idx="4">
                    <c:v>20.0</c:v>
                  </c:pt>
                  <c:pt idx="5">
                    <c:v>21.0</c:v>
                  </c:pt>
                  <c:pt idx="6">
                    <c:v>22.0</c:v>
                  </c:pt>
                  <c:pt idx="7">
                    <c:v>23.0</c:v>
                  </c:pt>
                  <c:pt idx="8">
                    <c:v>24.0</c:v>
                  </c:pt>
                  <c:pt idx="9">
                    <c:v>25.0</c:v>
                  </c:pt>
                  <c:pt idx="10">
                    <c:v>26.0</c:v>
                  </c:pt>
                  <c:pt idx="11">
                    <c:v>27.0</c:v>
                  </c:pt>
                  <c:pt idx="12">
                    <c:v>28.0</c:v>
                  </c:pt>
                  <c:pt idx="13">
                    <c:v>29.0</c:v>
                  </c:pt>
                  <c:pt idx="14">
                    <c:v>30.0</c:v>
                  </c:pt>
                  <c:pt idx="15">
                    <c:v>31.0</c:v>
                  </c:pt>
                  <c:pt idx="16">
                    <c:v>32.0</c:v>
                  </c:pt>
                  <c:pt idx="17">
                    <c:v>33.0</c:v>
                  </c:pt>
                  <c:pt idx="18">
                    <c:v>34.0</c:v>
                  </c:pt>
                  <c:pt idx="19">
                    <c:v>35.0</c:v>
                  </c:pt>
                  <c:pt idx="20">
                    <c:v>36.0</c:v>
                  </c:pt>
                  <c:pt idx="21">
                    <c:v>37.0</c:v>
                  </c:pt>
                  <c:pt idx="22">
                    <c:v>38.0</c:v>
                  </c:pt>
                  <c:pt idx="23">
                    <c:v>39.0</c:v>
                  </c:pt>
                  <c:pt idx="24">
                    <c:v>40.0</c:v>
                  </c:pt>
                  <c:pt idx="25">
                    <c:v>41.0</c:v>
                  </c:pt>
                  <c:pt idx="26">
                    <c:v>42.0</c:v>
                  </c:pt>
                  <c:pt idx="27">
                    <c:v>43.0</c:v>
                  </c:pt>
                  <c:pt idx="28">
                    <c:v>44.0</c:v>
                  </c:pt>
                  <c:pt idx="29">
                    <c:v>45.0</c:v>
                  </c:pt>
                  <c:pt idx="30">
                    <c:v>46.0</c:v>
                  </c:pt>
                  <c:pt idx="31">
                    <c:v>47.0</c:v>
                  </c:pt>
                  <c:pt idx="32">
                    <c:v>48.0</c:v>
                  </c:pt>
                  <c:pt idx="33">
                    <c:v>49.0</c:v>
                  </c:pt>
                  <c:pt idx="34">
                    <c:v>50.0</c:v>
                  </c:pt>
                  <c:pt idx="35">
                    <c:v>51.0</c:v>
                  </c:pt>
                  <c:pt idx="36">
                    <c:v>52.0</c:v>
                  </c:pt>
                  <c:pt idx="37">
                    <c:v>53.0</c:v>
                  </c:pt>
                  <c:pt idx="38">
                    <c:v>54.0</c:v>
                  </c:pt>
                  <c:pt idx="39">
                    <c:v>55.0</c:v>
                  </c:pt>
                  <c:pt idx="40">
                    <c:v>56.0</c:v>
                  </c:pt>
                  <c:pt idx="41">
                    <c:v>57.0</c:v>
                  </c:pt>
                  <c:pt idx="42">
                    <c:v>58.0</c:v>
                  </c:pt>
                  <c:pt idx="43">
                    <c:v>59.0</c:v>
                  </c:pt>
                  <c:pt idx="44">
                    <c:v>60.0</c:v>
                  </c:pt>
                  <c:pt idx="45">
                    <c:v>61.0</c:v>
                  </c:pt>
                  <c:pt idx="46">
                    <c:v>62.0</c:v>
                  </c:pt>
                  <c:pt idx="47">
                    <c:v>63.0</c:v>
                  </c:pt>
                  <c:pt idx="48">
                    <c:v>64.0</c:v>
                  </c:pt>
                  <c:pt idx="49">
                    <c:v>65.0</c:v>
                  </c:pt>
                  <c:pt idx="50">
                    <c:v>66.0</c:v>
                  </c:pt>
                  <c:pt idx="51">
                    <c:v>67.0</c:v>
                  </c:pt>
                  <c:pt idx="52">
                    <c:v>68.0</c:v>
                  </c:pt>
                  <c:pt idx="53">
                    <c:v>69.0</c:v>
                  </c:pt>
                  <c:pt idx="54">
                    <c:v>70.0</c:v>
                  </c:pt>
                  <c:pt idx="55">
                    <c:v>71.0</c:v>
                  </c:pt>
                  <c:pt idx="56">
                    <c:v>72.0</c:v>
                  </c:pt>
                  <c:pt idx="57">
                    <c:v>73.0</c:v>
                  </c:pt>
                  <c:pt idx="58">
                    <c:v>74.0</c:v>
                  </c:pt>
                  <c:pt idx="59">
                    <c:v>75.0</c:v>
                  </c:pt>
                  <c:pt idx="60">
                    <c:v>76.0</c:v>
                  </c:pt>
                  <c:pt idx="61">
                    <c:v>77.0</c:v>
                  </c:pt>
                  <c:pt idx="62">
                    <c:v>78.0</c:v>
                  </c:pt>
                  <c:pt idx="63">
                    <c:v>79.0</c:v>
                  </c:pt>
                  <c:pt idx="64">
                    <c:v>80.0</c:v>
                  </c:pt>
                  <c:pt idx="65">
                    <c:v>81.0</c:v>
                  </c:pt>
                  <c:pt idx="66">
                    <c:v>82.0</c:v>
                  </c:pt>
                  <c:pt idx="67">
                    <c:v>83.0</c:v>
                  </c:pt>
                  <c:pt idx="68">
                    <c:v>84.0</c:v>
                  </c:pt>
                  <c:pt idx="69">
                    <c:v>85.0</c:v>
                  </c:pt>
                  <c:pt idx="70">
                    <c:v>86.0</c:v>
                  </c:pt>
                  <c:pt idx="71">
                    <c:v>87.0</c:v>
                  </c:pt>
                  <c:pt idx="72">
                    <c:v>88.0</c:v>
                  </c:pt>
                  <c:pt idx="73">
                    <c:v>89.0</c:v>
                  </c:pt>
                  <c:pt idx="74">
                    <c:v>90.0</c:v>
                  </c:pt>
                  <c:pt idx="75">
                    <c:v>91.0</c:v>
                  </c:pt>
                  <c:pt idx="76">
                    <c:v>92.0</c:v>
                  </c:pt>
                  <c:pt idx="77">
                    <c:v>93.0</c:v>
                  </c:pt>
                  <c:pt idx="78">
                    <c:v>94.0</c:v>
                  </c:pt>
                  <c:pt idx="79">
                    <c:v>95.0</c:v>
                  </c:pt>
                  <c:pt idx="80">
                    <c:v>96.0</c:v>
                  </c:pt>
                  <c:pt idx="81">
                    <c:v>97.0</c:v>
                  </c:pt>
                  <c:pt idx="82">
                    <c:v>98.0</c:v>
                  </c:pt>
                  <c:pt idx="83">
                    <c:v>99.0</c:v>
                  </c:pt>
                  <c:pt idx="84">
                    <c:v>100.0</c:v>
                  </c:pt>
                  <c:pt idx="85">
                    <c:v>101.0</c:v>
                  </c:pt>
                  <c:pt idx="86">
                    <c:v>102.0</c:v>
                  </c:pt>
                  <c:pt idx="87">
                    <c:v>103.0</c:v>
                  </c:pt>
                  <c:pt idx="88">
                    <c:v>104.0</c:v>
                  </c:pt>
                  <c:pt idx="89">
                    <c:v>105.0</c:v>
                  </c:pt>
                  <c:pt idx="90">
                    <c:v>106.0</c:v>
                  </c:pt>
                  <c:pt idx="91">
                    <c:v>107.0</c:v>
                  </c:pt>
                  <c:pt idx="92">
                    <c:v>108.0</c:v>
                  </c:pt>
                  <c:pt idx="93">
                    <c:v>109.0</c:v>
                  </c:pt>
                  <c:pt idx="94">
                    <c:v>110.0</c:v>
                  </c:pt>
                  <c:pt idx="95">
                    <c:v>111.0</c:v>
                  </c:pt>
                  <c:pt idx="96">
                    <c:v>112.0</c:v>
                  </c:pt>
                  <c:pt idx="97">
                    <c:v>113.0</c:v>
                  </c:pt>
                  <c:pt idx="98">
                    <c:v>114.0</c:v>
                  </c:pt>
                  <c:pt idx="99">
                    <c:v>115.0</c:v>
                  </c:pt>
                  <c:pt idx="100">
                    <c:v>116.0</c:v>
                  </c:pt>
                  <c:pt idx="101">
                    <c:v>117.0</c:v>
                  </c:pt>
                  <c:pt idx="102">
                    <c:v>118.0</c:v>
                  </c:pt>
                  <c:pt idx="103">
                    <c:v>119.0</c:v>
                  </c:pt>
                  <c:pt idx="104">
                    <c:v>120.0</c:v>
                  </c:pt>
                  <c:pt idx="105">
                    <c:v>121.0</c:v>
                  </c:pt>
                  <c:pt idx="106">
                    <c:v>122.0</c:v>
                  </c:pt>
                  <c:pt idx="107">
                    <c:v>123.0</c:v>
                  </c:pt>
                  <c:pt idx="108">
                    <c:v>124.0</c:v>
                  </c:pt>
                  <c:pt idx="109">
                    <c:v>125.0</c:v>
                  </c:pt>
                  <c:pt idx="110">
                    <c:v>126.0</c:v>
                  </c:pt>
                  <c:pt idx="111">
                    <c:v>127.0</c:v>
                  </c:pt>
                  <c:pt idx="112">
                    <c:v>128.0</c:v>
                  </c:pt>
                </c:lvl>
              </c:multiLvlStrCache>
            </c:multiLvlStrRef>
          </c:xVal>
          <c:yVal>
            <c:numRef>
              <c:f>Calculations!$AW$23:$AW$135</c:f>
              <c:numCache>
                <c:formatCode>General</c:formatCode>
                <c:ptCount val="113"/>
                <c:pt idx="0">
                  <c:v>1.2401330049261081</c:v>
                </c:pt>
                <c:pt idx="1">
                  <c:v>1.3684678747940688</c:v>
                </c:pt>
                <c:pt idx="2">
                  <c:v>1.4974041387705419</c:v>
                </c:pt>
                <c:pt idx="3">
                  <c:v>1.6295356662180354</c:v>
                </c:pt>
                <c:pt idx="4">
                  <c:v>1.723372781065089</c:v>
                </c:pt>
                <c:pt idx="5">
                  <c:v>1.7629449838187701</c:v>
                </c:pt>
                <c:pt idx="6">
                  <c:v>1.7800353356890453</c:v>
                </c:pt>
                <c:pt idx="7">
                  <c:v>1.7777777777777781</c:v>
                </c:pt>
                <c:pt idx="8">
                  <c:v>1.7833333333333334</c:v>
                </c:pt>
                <c:pt idx="9">
                  <c:v>1.7771556550951841</c:v>
                </c:pt>
                <c:pt idx="10">
                  <c:v>1.782345828295042</c:v>
                </c:pt>
                <c:pt idx="11">
                  <c:v>1.7905759162303665</c:v>
                </c:pt>
                <c:pt idx="12">
                  <c:v>1.7874125874125877</c:v>
                </c:pt>
                <c:pt idx="13">
                  <c:v>1.7832585949177879</c:v>
                </c:pt>
                <c:pt idx="14">
                  <c:v>1.7814992025518341</c:v>
                </c:pt>
                <c:pt idx="15">
                  <c:v>1.7840136054421767</c:v>
                </c:pt>
                <c:pt idx="16">
                  <c:v>1.7783783783783782</c:v>
                </c:pt>
                <c:pt idx="17">
                  <c:v>1.7767175572519087</c:v>
                </c:pt>
                <c:pt idx="18">
                  <c:v>1.7737373737373734</c:v>
                </c:pt>
                <c:pt idx="19">
                  <c:v>1.7926565874730021</c:v>
                </c:pt>
                <c:pt idx="20">
                  <c:v>1.7886363636363634</c:v>
                </c:pt>
                <c:pt idx="21">
                  <c:v>1.7780429594272074</c:v>
                </c:pt>
                <c:pt idx="22">
                  <c:v>1.7769423558897246</c:v>
                </c:pt>
                <c:pt idx="23">
                  <c:v>1.7804232804232802</c:v>
                </c:pt>
                <c:pt idx="24">
                  <c:v>1.7849162011173185</c:v>
                </c:pt>
                <c:pt idx="25">
                  <c:v>1.7732558139534882</c:v>
                </c:pt>
                <c:pt idx="26">
                  <c:v>1.7743902439024393</c:v>
                </c:pt>
                <c:pt idx="27">
                  <c:v>1.7731629392971247</c:v>
                </c:pt>
                <c:pt idx="28">
                  <c:v>1.7666666666666666</c:v>
                </c:pt>
                <c:pt idx="29">
                  <c:v>1.7797202797202791</c:v>
                </c:pt>
                <c:pt idx="30">
                  <c:v>1.7617328519855593</c:v>
                </c:pt>
                <c:pt idx="31">
                  <c:v>1.7613636363636369</c:v>
                </c:pt>
                <c:pt idx="32">
                  <c:v>1.7777777777777779</c:v>
                </c:pt>
                <c:pt idx="33">
                  <c:v>1.7695473251028806</c:v>
                </c:pt>
                <c:pt idx="34">
                  <c:v>1.7606837606837604</c:v>
                </c:pt>
                <c:pt idx="35">
                  <c:v>1.7688888888888887</c:v>
                </c:pt>
                <c:pt idx="36">
                  <c:v>1.7924528301886793</c:v>
                </c:pt>
                <c:pt idx="37">
                  <c:v>1.7777777777777775</c:v>
                </c:pt>
                <c:pt idx="38">
                  <c:v>1.778894472361809</c:v>
                </c:pt>
                <c:pt idx="39">
                  <c:v>1.7371134020618557</c:v>
                </c:pt>
                <c:pt idx="40">
                  <c:v>1.7433155080213902</c:v>
                </c:pt>
                <c:pt idx="41">
                  <c:v>1.7500000000000002</c:v>
                </c:pt>
                <c:pt idx="42">
                  <c:v>1.7572254335260118</c:v>
                </c:pt>
                <c:pt idx="43">
                  <c:v>1.7559523809523812</c:v>
                </c:pt>
                <c:pt idx="44">
                  <c:v>1.7701863354037271</c:v>
                </c:pt>
                <c:pt idx="45">
                  <c:v>1.7922077922077919</c:v>
                </c:pt>
                <c:pt idx="46">
                  <c:v>1.7866666666666668</c:v>
                </c:pt>
                <c:pt idx="47">
                  <c:v>1.7862068965517237</c:v>
                </c:pt>
                <c:pt idx="48">
                  <c:v>1.7872340425531916</c:v>
                </c:pt>
                <c:pt idx="49">
                  <c:v>1.7753623188405798</c:v>
                </c:pt>
                <c:pt idx="50">
                  <c:v>1.7761194029850746</c:v>
                </c:pt>
                <c:pt idx="51">
                  <c:v>1.7692307692307698</c:v>
                </c:pt>
                <c:pt idx="52">
                  <c:v>1.7559055118110241</c:v>
                </c:pt>
                <c:pt idx="53">
                  <c:v>1.7661290322580649</c:v>
                </c:pt>
                <c:pt idx="54">
                  <c:v>1.8050847457627124</c:v>
                </c:pt>
                <c:pt idx="55">
                  <c:v>1.7435897435897436</c:v>
                </c:pt>
                <c:pt idx="56">
                  <c:v>1.7456140350877192</c:v>
                </c:pt>
                <c:pt idx="57">
                  <c:v>1.7545454545454544</c:v>
                </c:pt>
                <c:pt idx="58">
                  <c:v>1.7735849056603772</c:v>
                </c:pt>
                <c:pt idx="59">
                  <c:v>1.776699029126213</c:v>
                </c:pt>
                <c:pt idx="60">
                  <c:v>1.7572815533980575</c:v>
                </c:pt>
                <c:pt idx="61">
                  <c:v>1.6960784313725492</c:v>
                </c:pt>
                <c:pt idx="62">
                  <c:v>1.7216494845360828</c:v>
                </c:pt>
                <c:pt idx="63">
                  <c:v>1.804347826086957</c:v>
                </c:pt>
                <c:pt idx="64">
                  <c:v>1.7472527472527475</c:v>
                </c:pt>
                <c:pt idx="65">
                  <c:v>1.7752808988764044</c:v>
                </c:pt>
                <c:pt idx="66">
                  <c:v>1.7159090909090913</c:v>
                </c:pt>
                <c:pt idx="67">
                  <c:v>1.7380952380952384</c:v>
                </c:pt>
                <c:pt idx="68">
                  <c:v>1.6705882352941175</c:v>
                </c:pt>
                <c:pt idx="69">
                  <c:v>1.719512195121951</c:v>
                </c:pt>
                <c:pt idx="70">
                  <c:v>1.7088607594936709</c:v>
                </c:pt>
                <c:pt idx="71">
                  <c:v>1.7894736842105263</c:v>
                </c:pt>
                <c:pt idx="72">
                  <c:v>1.6842105263157894</c:v>
                </c:pt>
                <c:pt idx="73">
                  <c:v>1.7638888888888882</c:v>
                </c:pt>
                <c:pt idx="74">
                  <c:v>1.708333333333333</c:v>
                </c:pt>
                <c:pt idx="75">
                  <c:v>1.7647058823529411</c:v>
                </c:pt>
                <c:pt idx="76">
                  <c:v>1.7058823529411764</c:v>
                </c:pt>
                <c:pt idx="77">
                  <c:v>1.7313432835820892</c:v>
                </c:pt>
                <c:pt idx="78">
                  <c:v>1.723076923076923</c:v>
                </c:pt>
                <c:pt idx="79">
                  <c:v>1.6461538461538459</c:v>
                </c:pt>
                <c:pt idx="80">
                  <c:v>1.7377049180327868</c:v>
                </c:pt>
                <c:pt idx="81">
                  <c:v>1.8421052631578951</c:v>
                </c:pt>
                <c:pt idx="82">
                  <c:v>1.7894736842105265</c:v>
                </c:pt>
                <c:pt idx="83">
                  <c:v>1.7999999999999996</c:v>
                </c:pt>
                <c:pt idx="84">
                  <c:v>1.7454545454545447</c:v>
                </c:pt>
                <c:pt idx="85">
                  <c:v>1.6909090909090907</c:v>
                </c:pt>
                <c:pt idx="86">
                  <c:v>1.7884615384615385</c:v>
                </c:pt>
                <c:pt idx="87">
                  <c:v>1.7115384615384619</c:v>
                </c:pt>
                <c:pt idx="88">
                  <c:v>1.7199999999999998</c:v>
                </c:pt>
                <c:pt idx="89">
                  <c:v>1.7000000000000002</c:v>
                </c:pt>
                <c:pt idx="90">
                  <c:v>1.7234042553191493</c:v>
                </c:pt>
                <c:pt idx="91">
                  <c:v>1.808510638297872</c:v>
                </c:pt>
                <c:pt idx="92">
                  <c:v>1.5714285714285716</c:v>
                </c:pt>
                <c:pt idx="93">
                  <c:v>1.6888888888888891</c:v>
                </c:pt>
                <c:pt idx="94">
                  <c:v>1.6818181818181819</c:v>
                </c:pt>
                <c:pt idx="95">
                  <c:v>1.8048780487804879</c:v>
                </c:pt>
                <c:pt idx="96">
                  <c:v>1.6511627906976745</c:v>
                </c:pt>
                <c:pt idx="97">
                  <c:v>1.6279069767441856</c:v>
                </c:pt>
                <c:pt idx="98">
                  <c:v>1.6097560975609755</c:v>
                </c:pt>
                <c:pt idx="99">
                  <c:v>1.6500000000000004</c:v>
                </c:pt>
                <c:pt idx="100">
                  <c:v>1.8055555555555558</c:v>
                </c:pt>
                <c:pt idx="101">
                  <c:v>1.6052631578947372</c:v>
                </c:pt>
                <c:pt idx="102">
                  <c:v>1.7142857142857142</c:v>
                </c:pt>
                <c:pt idx="103">
                  <c:v>1.7222222222222221</c:v>
                </c:pt>
                <c:pt idx="104">
                  <c:v>1.6764705882352939</c:v>
                </c:pt>
                <c:pt idx="105">
                  <c:v>1.71875</c:v>
                </c:pt>
                <c:pt idx="106">
                  <c:v>1.5757575757575759</c:v>
                </c:pt>
                <c:pt idx="107">
                  <c:v>1.5757575757575759</c:v>
                </c:pt>
                <c:pt idx="108">
                  <c:v>1.6562499999999998</c:v>
                </c:pt>
                <c:pt idx="109">
                  <c:v>1.7333333333333332</c:v>
                </c:pt>
                <c:pt idx="110">
                  <c:v>1.6249999999999998</c:v>
                </c:pt>
                <c:pt idx="111">
                  <c:v>1.6562499999999998</c:v>
                </c:pt>
                <c:pt idx="112">
                  <c:v>1.7142857142857144</c:v>
                </c:pt>
              </c:numCache>
            </c:numRef>
          </c:yVal>
        </c:ser>
        <c:axId val="52432256"/>
        <c:axId val="52442240"/>
      </c:scatterChart>
      <c:valAx>
        <c:axId val="52432256"/>
        <c:scaling>
          <c:orientation val="minMax"/>
        </c:scaling>
        <c:axPos val="b"/>
        <c:numFmt formatCode="General" sourceLinked="0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52442240"/>
        <c:crosses val="autoZero"/>
        <c:crossBetween val="midCat"/>
        <c:majorUnit val="5"/>
        <c:minorUnit val="1"/>
      </c:valAx>
      <c:valAx>
        <c:axId val="52442240"/>
        <c:scaling>
          <c:orientation val="minMax"/>
        </c:scaling>
        <c:axPos val="l"/>
        <c:majorGridlines/>
        <c:numFmt formatCode="General" sourceLinked="1"/>
        <c:tickLblPos val="nextTo"/>
        <c:crossAx val="5243225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100" b="1" i="0" baseline="0"/>
              <a:t>Grey Card 10% Distance (mm) Distribution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cat>
            <c:numRef>
              <c:f>Calculations!$I$27:$I$35</c:f>
              <c:numCache>
                <c:formatCode>0.0</c:formatCode>
                <c:ptCount val="9"/>
                <c:pt idx="0">
                  <c:v>59.5</c:v>
                </c:pt>
                <c:pt idx="1">
                  <c:v>60.5</c:v>
                </c:pt>
                <c:pt idx="2">
                  <c:v>61.5</c:v>
                </c:pt>
                <c:pt idx="3">
                  <c:v>62.5</c:v>
                </c:pt>
                <c:pt idx="4">
                  <c:v>63.5</c:v>
                </c:pt>
                <c:pt idx="5">
                  <c:v>64.5</c:v>
                </c:pt>
                <c:pt idx="6">
                  <c:v>65.5</c:v>
                </c:pt>
                <c:pt idx="7">
                  <c:v>66.5</c:v>
                </c:pt>
                <c:pt idx="8">
                  <c:v>67.5</c:v>
                </c:pt>
              </c:numCache>
            </c:numRef>
          </c:cat>
          <c:val>
            <c:numRef>
              <c:f>Calculations!$J$27:$J$35</c:f>
              <c:numCache>
                <c:formatCode>General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</c:numCache>
            </c:numRef>
          </c:val>
        </c:ser>
        <c:axId val="52448640"/>
        <c:axId val="52458624"/>
      </c:barChart>
      <c:catAx>
        <c:axId val="52448640"/>
        <c:scaling>
          <c:orientation val="minMax"/>
        </c:scaling>
        <c:axPos val="b"/>
        <c:numFmt formatCode="0.0" sourceLinked="1"/>
        <c:tickLblPos val="nextTo"/>
        <c:crossAx val="52458624"/>
        <c:crosses val="autoZero"/>
        <c:auto val="1"/>
        <c:lblAlgn val="ctr"/>
        <c:lblOffset val="100"/>
      </c:catAx>
      <c:valAx>
        <c:axId val="52458624"/>
        <c:scaling>
          <c:orientation val="minMax"/>
        </c:scaling>
        <c:axPos val="l"/>
        <c:majorGridlines/>
        <c:numFmt formatCode="General" sourceLinked="1"/>
        <c:tickLblPos val="nextTo"/>
        <c:crossAx val="52448640"/>
        <c:crosses val="autoZero"/>
        <c:crossBetween val="between"/>
      </c:valAx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105611</xdr:colOff>
      <xdr:row>8</xdr:row>
      <xdr:rowOff>114114</xdr:rowOff>
    </xdr:from>
    <xdr:to>
      <xdr:col>7</xdr:col>
      <xdr:colOff>493568</xdr:colOff>
      <xdr:row>20</xdr:row>
      <xdr:rowOff>92003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142875</xdr:colOff>
      <xdr:row>21</xdr:row>
      <xdr:rowOff>11906</xdr:rowOff>
    </xdr:from>
    <xdr:to>
      <xdr:col>7</xdr:col>
      <xdr:colOff>464344</xdr:colOff>
      <xdr:row>35</xdr:row>
      <xdr:rowOff>93549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214313</xdr:colOff>
      <xdr:row>21</xdr:row>
      <xdr:rowOff>35719</xdr:rowOff>
    </xdr:from>
    <xdr:to>
      <xdr:col>15</xdr:col>
      <xdr:colOff>535782</xdr:colOff>
      <xdr:row>35</xdr:row>
      <xdr:rowOff>117362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166687</xdr:colOff>
      <xdr:row>8</xdr:row>
      <xdr:rowOff>119063</xdr:rowOff>
    </xdr:from>
    <xdr:to>
      <xdr:col>15</xdr:col>
      <xdr:colOff>554644</xdr:colOff>
      <xdr:row>20</xdr:row>
      <xdr:rowOff>96952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24</xdr:row>
      <xdr:rowOff>0</xdr:rowOff>
    </xdr:from>
    <xdr:to>
      <xdr:col>36</xdr:col>
      <xdr:colOff>229773</xdr:colOff>
      <xdr:row>38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9072</xdr:colOff>
      <xdr:row>39</xdr:row>
      <xdr:rowOff>99785</xdr:rowOff>
    </xdr:from>
    <xdr:to>
      <xdr:col>23</xdr:col>
      <xdr:colOff>172357</xdr:colOff>
      <xdr:row>53</xdr:row>
      <xdr:rowOff>181428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353786</xdr:colOff>
      <xdr:row>23</xdr:row>
      <xdr:rowOff>13607</xdr:rowOff>
    </xdr:from>
    <xdr:to>
      <xdr:col>23</xdr:col>
      <xdr:colOff>149679</xdr:colOff>
      <xdr:row>37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M8"/>
  <sheetViews>
    <sheetView tabSelected="1" zoomScale="80" zoomScaleNormal="80" workbookViewId="0">
      <selection activeCell="K6" sqref="K6"/>
    </sheetView>
  </sheetViews>
  <sheetFormatPr defaultRowHeight="15"/>
  <sheetData>
    <row r="1" spans="1:13" ht="15.75" thickBot="1">
      <c r="A1" s="25"/>
      <c r="B1" s="26"/>
      <c r="C1" s="42" t="s">
        <v>27</v>
      </c>
      <c r="D1" s="42"/>
      <c r="E1" s="42"/>
      <c r="F1" s="42"/>
      <c r="G1" s="43"/>
    </row>
    <row r="2" spans="1:13">
      <c r="A2" s="14" t="s">
        <v>9</v>
      </c>
      <c r="B2" s="15" t="s">
        <v>10</v>
      </c>
      <c r="C2" s="15" t="s">
        <v>11</v>
      </c>
      <c r="D2" s="13" t="s">
        <v>12</v>
      </c>
      <c r="E2" s="16" t="s">
        <v>6</v>
      </c>
      <c r="F2" s="13" t="s">
        <v>13</v>
      </c>
      <c r="G2" s="16" t="s">
        <v>14</v>
      </c>
      <c r="J2" s="27" t="s">
        <v>22</v>
      </c>
      <c r="K2" s="28" t="s">
        <v>6</v>
      </c>
      <c r="L2" s="28" t="s">
        <v>7</v>
      </c>
      <c r="M2" s="29" t="s">
        <v>9</v>
      </c>
    </row>
    <row r="3" spans="1:13">
      <c r="A3" s="17">
        <v>1</v>
      </c>
      <c r="B3" s="40">
        <f>Calculations!F3</f>
        <v>0.1</v>
      </c>
      <c r="C3" s="15" t="str">
        <f>Calculations!E4</f>
        <v>HI</v>
      </c>
      <c r="D3" s="18">
        <f>(Calculations!H4-3*Calculations!I4)</f>
        <v>55.669047976440567</v>
      </c>
      <c r="E3" s="18">
        <f>Calculations!H4</f>
        <v>63.6</v>
      </c>
      <c r="F3" s="18">
        <f>(Calculations!H4+3*Calculations!I4)</f>
        <v>71.530952023559436</v>
      </c>
      <c r="G3" s="16" t="s">
        <v>15</v>
      </c>
      <c r="J3" s="30" t="str">
        <f>C4</f>
        <v>LO</v>
      </c>
      <c r="K3" s="31">
        <f>E4</f>
        <v>47.674999999999997</v>
      </c>
      <c r="L3" s="31">
        <f>Calculations!I5</f>
        <v>2.0380069239877621</v>
      </c>
      <c r="M3" s="44">
        <f>Calculations!B2</f>
        <v>10</v>
      </c>
    </row>
    <row r="4" spans="1:13" ht="15.75" thickBot="1">
      <c r="A4" s="17">
        <f t="shared" ref="A4:A8" si="0">A3+0.01</f>
        <v>1.01</v>
      </c>
      <c r="B4" s="41"/>
      <c r="C4" s="15" t="str">
        <f>Calculations!E5</f>
        <v>LO</v>
      </c>
      <c r="D4" s="18">
        <f>(Calculations!H5-3*Calculations!I5)</f>
        <v>41.560979228036715</v>
      </c>
      <c r="E4" s="18">
        <f>Calculations!H5</f>
        <v>47.674999999999997</v>
      </c>
      <c r="F4" s="18">
        <f>(Calculations!H5+3*Calculations!I5)</f>
        <v>53.78902077196328</v>
      </c>
      <c r="G4" s="16" t="s">
        <v>15</v>
      </c>
      <c r="J4" s="32" t="str">
        <f>C3</f>
        <v>HI</v>
      </c>
      <c r="K4" s="33">
        <f>E3</f>
        <v>63.6</v>
      </c>
      <c r="L4" s="33">
        <f>Calculations!I4</f>
        <v>2.6436506745198107</v>
      </c>
      <c r="M4" s="45"/>
    </row>
    <row r="5" spans="1:13">
      <c r="A5" s="17">
        <f t="shared" si="0"/>
        <v>1.02</v>
      </c>
      <c r="B5" s="40">
        <f>Calculations!F10</f>
        <v>0.2</v>
      </c>
      <c r="C5" s="15" t="str">
        <f>Calculations!E11</f>
        <v>HI</v>
      </c>
      <c r="D5" s="18">
        <f>(Calculations!H11-3*Calculations!I11)</f>
        <v>39.988562102375305</v>
      </c>
      <c r="E5" s="18">
        <f>Calculations!H11</f>
        <v>44.9</v>
      </c>
      <c r="F5" s="18">
        <f>(Calculations!H11+3*Calculations!I11)</f>
        <v>49.811437897624693</v>
      </c>
      <c r="G5" s="16" t="s">
        <v>15</v>
      </c>
      <c r="J5" s="37"/>
      <c r="K5" s="31"/>
      <c r="L5" s="31"/>
      <c r="M5" s="38"/>
    </row>
    <row r="6" spans="1:13">
      <c r="A6" s="17">
        <f t="shared" si="0"/>
        <v>1.03</v>
      </c>
      <c r="B6" s="41"/>
      <c r="C6" s="15" t="str">
        <f>Calculations!E12</f>
        <v>LO</v>
      </c>
      <c r="D6" s="18">
        <f>(Calculations!H12-3*Calculations!I12)</f>
        <v>29.138851839964026</v>
      </c>
      <c r="E6" s="18">
        <f>Calculations!H12</f>
        <v>33.408333333333331</v>
      </c>
      <c r="F6" s="18">
        <f>(Calculations!H12+3*Calculations!I12)</f>
        <v>37.677814826702637</v>
      </c>
      <c r="G6" s="16" t="s">
        <v>15</v>
      </c>
      <c r="J6" s="37"/>
      <c r="K6" s="31"/>
      <c r="L6" s="31"/>
      <c r="M6" s="38"/>
    </row>
    <row r="7" spans="1:13">
      <c r="A7" s="17">
        <f t="shared" si="0"/>
        <v>1.04</v>
      </c>
      <c r="B7" s="40">
        <f>Calculations!F17</f>
        <v>0.5</v>
      </c>
      <c r="C7" s="15" t="str">
        <f>Calculations!E11</f>
        <v>HI</v>
      </c>
      <c r="D7" s="18">
        <f>(Calculations!H18-3*Calculations!I18)</f>
        <v>24.847499009072109</v>
      </c>
      <c r="E7" s="18">
        <f>Calculations!H18</f>
        <v>28.001111111111108</v>
      </c>
      <c r="F7" s="18">
        <f>(Calculations!H18+3*Calculations!I18)</f>
        <v>31.154723213150106</v>
      </c>
      <c r="G7" s="16" t="s">
        <v>15</v>
      </c>
      <c r="J7" s="37"/>
      <c r="K7" s="31"/>
      <c r="L7" s="31"/>
      <c r="M7" s="38"/>
    </row>
    <row r="8" spans="1:13">
      <c r="A8" s="17">
        <f t="shared" si="0"/>
        <v>1.05</v>
      </c>
      <c r="B8" s="41"/>
      <c r="C8" s="15" t="str">
        <f>Calculations!E12</f>
        <v>LO</v>
      </c>
      <c r="D8" s="18">
        <f>(Calculations!H19-3*Calculations!I19)</f>
        <v>17.85858686218252</v>
      </c>
      <c r="E8" s="18">
        <f>Calculations!H19</f>
        <v>20.640831390831391</v>
      </c>
      <c r="F8" s="18">
        <f>(Calculations!H19+3*Calculations!I19)</f>
        <v>23.423075919480262</v>
      </c>
      <c r="G8" s="16" t="s">
        <v>15</v>
      </c>
    </row>
  </sheetData>
  <mergeCells count="5">
    <mergeCell ref="B3:B4"/>
    <mergeCell ref="C1:G1"/>
    <mergeCell ref="M3:M4"/>
    <mergeCell ref="B5:B6"/>
    <mergeCell ref="B7:B8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Y169"/>
  <sheetViews>
    <sheetView zoomScale="70" zoomScaleNormal="70" workbookViewId="0">
      <pane xSplit="12150" topLeftCell="Q1" activePane="topRight"/>
      <selection activeCell="K16" sqref="K16"/>
      <selection pane="topRight" activeCell="AS7" sqref="AS7"/>
    </sheetView>
  </sheetViews>
  <sheetFormatPr defaultRowHeight="15"/>
  <cols>
    <col min="1" max="1" width="10.85546875" customWidth="1"/>
    <col min="2" max="2" width="7.28515625" bestFit="1" customWidth="1"/>
    <col min="3" max="3" width="6.140625" bestFit="1" customWidth="1"/>
    <col min="4" max="4" width="9.7109375" bestFit="1" customWidth="1"/>
    <col min="5" max="5" width="11.5703125" bestFit="1" customWidth="1"/>
    <col min="6" max="6" width="7.28515625" bestFit="1" customWidth="1"/>
    <col min="7" max="7" width="2.7109375" customWidth="1"/>
    <col min="8" max="11" width="9.140625" customWidth="1"/>
    <col min="12" max="26" width="5.5703125" customWidth="1"/>
    <col min="27" max="31" width="5.5703125" style="1" customWidth="1"/>
    <col min="32" max="35" width="5.5703125" style="8" customWidth="1"/>
    <col min="36" max="41" width="5.5703125" customWidth="1"/>
  </cols>
  <sheetData>
    <row r="1" spans="1:51">
      <c r="A1" s="1" t="str">
        <f>setCalcEnable(B1)</f>
        <v>Calc Enable=</v>
      </c>
      <c r="B1">
        <v>1</v>
      </c>
    </row>
    <row r="2" spans="1:51">
      <c r="A2" s="1" t="s">
        <v>2</v>
      </c>
      <c r="B2" s="1">
        <f>COUNT(data0!B2:AF2)</f>
        <v>10</v>
      </c>
      <c r="J2" s="46" t="s">
        <v>26</v>
      </c>
      <c r="K2" s="46"/>
      <c r="L2" s="1"/>
      <c r="M2" s="1"/>
      <c r="N2" s="1"/>
      <c r="O2" s="1"/>
      <c r="P2" s="1"/>
      <c r="Q2" s="1"/>
      <c r="R2" s="1"/>
      <c r="S2" s="1"/>
    </row>
    <row r="3" spans="1:51">
      <c r="A3" s="1" t="s">
        <v>3</v>
      </c>
      <c r="B3" s="1">
        <v>0</v>
      </c>
      <c r="E3" t="s">
        <v>5</v>
      </c>
      <c r="F3" s="9">
        <v>0.1</v>
      </c>
      <c r="H3" t="s">
        <v>6</v>
      </c>
      <c r="I3" t="s">
        <v>7</v>
      </c>
      <c r="J3">
        <v>0</v>
      </c>
      <c r="K3">
        <f t="shared" ref="K3" si="0">J3+1</f>
        <v>1</v>
      </c>
      <c r="L3">
        <f t="shared" ref="L3" si="1">K3+1</f>
        <v>2</v>
      </c>
      <c r="M3">
        <f t="shared" ref="M3" si="2">L3+1</f>
        <v>3</v>
      </c>
      <c r="N3">
        <f t="shared" ref="N3" si="3">M3+1</f>
        <v>4</v>
      </c>
      <c r="O3">
        <f t="shared" ref="O3" si="4">N3+1</f>
        <v>5</v>
      </c>
      <c r="P3">
        <f t="shared" ref="P3" si="5">O3+1</f>
        <v>6</v>
      </c>
      <c r="Q3">
        <f t="shared" ref="Q3" si="6">P3+1</f>
        <v>7</v>
      </c>
      <c r="R3">
        <f t="shared" ref="R3" si="7">Q3+1</f>
        <v>8</v>
      </c>
      <c r="S3">
        <f t="shared" ref="S3" si="8">R3+1</f>
        <v>9</v>
      </c>
      <c r="T3">
        <f t="shared" ref="T3" si="9">S3+1</f>
        <v>10</v>
      </c>
      <c r="AA3"/>
      <c r="AB3"/>
      <c r="AC3"/>
      <c r="AD3"/>
      <c r="AE3"/>
      <c r="AF3"/>
      <c r="AG3"/>
      <c r="AH3"/>
      <c r="AI3"/>
      <c r="AR3" s="1"/>
      <c r="AS3" s="1"/>
      <c r="AT3" s="1"/>
      <c r="AU3" s="1"/>
      <c r="AV3" s="1"/>
    </row>
    <row r="4" spans="1:51">
      <c r="A4" s="1" t="s">
        <v>4</v>
      </c>
      <c r="B4" s="1">
        <v>1</v>
      </c>
      <c r="D4" s="12"/>
      <c r="E4" t="str">
        <f>AS$5</f>
        <v>HI</v>
      </c>
      <c r="F4" s="7" t="s">
        <v>8</v>
      </c>
      <c r="G4" s="10">
        <v>0</v>
      </c>
      <c r="H4" s="11">
        <f>AVERAGE(J4:AO4)</f>
        <v>63.6</v>
      </c>
      <c r="I4" s="11">
        <f>STDEV(J4:AO4)</f>
        <v>2.6436506745198107</v>
      </c>
      <c r="J4" s="5"/>
      <c r="K4" s="5">
        <f>transition(sdata0!$A$2:$A$152,sdata0!C$2:C$152,-Calculations!$F3)</f>
        <v>67.5</v>
      </c>
      <c r="L4" s="5">
        <f>transition(sdata0!$A$2:$A$152,sdata0!D$2:D$152,-Calculations!$F3)</f>
        <v>61.5</v>
      </c>
      <c r="M4" s="5">
        <f>transition(sdata0!$A$2:$A$152,sdata0!E$2:E$152,-Calculations!$F3)</f>
        <v>59.5</v>
      </c>
      <c r="N4" s="5">
        <f>transition(sdata0!$A$2:$A$152,sdata0!F$2:F$152,-Calculations!$F3)</f>
        <v>63.5</v>
      </c>
      <c r="O4" s="5">
        <f>transition(sdata0!$A$2:$A$152,sdata0!G$2:G$152,-Calculations!$F3)</f>
        <v>64.5</v>
      </c>
      <c r="P4" s="5">
        <f>transition(sdata0!$A$2:$A$152,sdata0!H$2:H$152,-Calculations!$F3)</f>
        <v>67.5</v>
      </c>
      <c r="Q4" s="5">
        <f>transition(sdata0!$A$2:$A$152,sdata0!I$2:I$152,-Calculations!$F3)</f>
        <v>64.5</v>
      </c>
      <c r="R4" s="5">
        <f>transition(sdata0!$A$2:$A$152,sdata0!J$2:J$152,-Calculations!$F3)</f>
        <v>63.5</v>
      </c>
      <c r="S4" s="5">
        <f>transition(sdata0!$A$2:$A$152,sdata0!K$2:K$152,-Calculations!$F3)</f>
        <v>60.5</v>
      </c>
      <c r="T4" s="5">
        <f>transition(sdata0!$A$2:$A$152,sdata0!L$2:L$152,-Calculations!$F3)</f>
        <v>63.5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R4" s="1"/>
      <c r="AS4" s="1"/>
      <c r="AT4" s="1"/>
      <c r="AU4" s="1"/>
      <c r="AV4" s="1"/>
    </row>
    <row r="5" spans="1:51">
      <c r="A5" s="1" t="s">
        <v>23</v>
      </c>
      <c r="B5" s="35">
        <v>1</v>
      </c>
      <c r="D5" s="12"/>
      <c r="E5" t="str">
        <f>AU$5</f>
        <v>LO</v>
      </c>
      <c r="F5" s="7" t="str">
        <f>F4</f>
        <v>data</v>
      </c>
      <c r="G5" s="10">
        <f>G4+1</f>
        <v>1</v>
      </c>
      <c r="H5" s="11">
        <f>AVERAGE(J5:AO5)</f>
        <v>47.674999999999997</v>
      </c>
      <c r="I5" s="11">
        <f t="shared" ref="I5" si="10">STDEV(J5:AO5)</f>
        <v>2.0380069239877621</v>
      </c>
      <c r="J5" s="5"/>
      <c r="K5" s="5">
        <f>transition(sdata1!$A$2:$A$152,sdata1!C$2:C$152,-Calculations!$F3)</f>
        <v>51.25</v>
      </c>
      <c r="L5" s="5">
        <f>transition(sdata1!$A$2:$A$152,sdata1!D$2:D$152,-Calculations!$F3)</f>
        <v>46.5</v>
      </c>
      <c r="M5" s="5">
        <f>transition(sdata1!$A$2:$A$152,sdata1!E$2:E$152,-Calculations!$F3)</f>
        <v>46.5</v>
      </c>
      <c r="N5" s="5">
        <f>transition(sdata1!$A$2:$A$152,sdata1!F$2:F$152,-Calculations!$F3)</f>
        <v>46.5</v>
      </c>
      <c r="O5" s="5">
        <f>transition(sdata1!$A$2:$A$152,sdata1!G$2:G$152,-Calculations!$F3)</f>
        <v>47.5</v>
      </c>
      <c r="P5" s="5">
        <f>transition(sdata1!$A$2:$A$152,sdata1!H$2:H$152,-Calculations!$F3)</f>
        <v>50.75</v>
      </c>
      <c r="Q5" s="5">
        <f>transition(sdata1!$A$2:$A$152,sdata1!I$2:I$152,-Calculations!$F3)</f>
        <v>47.5</v>
      </c>
      <c r="R5" s="5">
        <f>transition(sdata1!$A$2:$A$152,sdata1!J$2:J$152,-Calculations!$F3)</f>
        <v>48.5</v>
      </c>
      <c r="S5" s="5">
        <f>transition(sdata1!$A$2:$A$152,sdata1!K$2:K$152,-Calculations!$F3)</f>
        <v>44.5</v>
      </c>
      <c r="T5" s="5">
        <f>transition(sdata1!$A$2:$A$152,sdata1!L$2:L$152,-Calculations!$F3)</f>
        <v>47.25</v>
      </c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R5" s="1"/>
      <c r="AS5" s="47" t="str">
        <f>sdata0!A1</f>
        <v>HI</v>
      </c>
      <c r="AT5" s="47"/>
      <c r="AU5" s="47" t="str">
        <f>sdata1!A1</f>
        <v>LO</v>
      </c>
      <c r="AV5" s="47"/>
      <c r="AW5" s="36" t="s">
        <v>28</v>
      </c>
      <c r="AX5" s="47">
        <v>255</v>
      </c>
      <c r="AY5" s="47"/>
    </row>
    <row r="6" spans="1:51">
      <c r="D6" s="12"/>
      <c r="F6" s="7"/>
      <c r="G6" s="10"/>
      <c r="H6" s="11"/>
      <c r="I6" s="11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R6" s="1"/>
      <c r="AS6" s="4" t="s">
        <v>0</v>
      </c>
      <c r="AT6" s="4" t="s">
        <v>1</v>
      </c>
      <c r="AU6" s="4" t="s">
        <v>0</v>
      </c>
      <c r="AV6" s="4" t="s">
        <v>1</v>
      </c>
      <c r="AW6" t="str">
        <f>AU5</f>
        <v>LO</v>
      </c>
      <c r="AX6" s="39" t="str">
        <f>AS5</f>
        <v>HI</v>
      </c>
      <c r="AY6" s="39" t="str">
        <f>AU5</f>
        <v>LO</v>
      </c>
    </row>
    <row r="7" spans="1:51">
      <c r="D7" s="12"/>
      <c r="F7" s="7"/>
      <c r="G7" s="10"/>
      <c r="H7" s="11"/>
      <c r="I7" s="11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R7" s="6">
        <f>B3</f>
        <v>0</v>
      </c>
      <c r="AS7" s="3">
        <f>AVERAGE(sdata0!B2:AG2)</f>
        <v>0.35508021390374334</v>
      </c>
      <c r="AT7" s="3">
        <f>STDEV(sdata0!B2:AG2)</f>
        <v>0.3297540874725986</v>
      </c>
      <c r="AU7" s="3">
        <f>AVERAGE(sdata1!B2:AG2)</f>
        <v>0.20106951871657752</v>
      </c>
      <c r="AV7" s="3">
        <f>STDEV(sdata1!B2:AG2)</f>
        <v>0.1902917964852498</v>
      </c>
      <c r="AW7">
        <f>AS7/AU7</f>
        <v>1.7659574468085109</v>
      </c>
      <c r="AX7">
        <f>AS7*$AX$5</f>
        <v>90.545454545454547</v>
      </c>
      <c r="AY7">
        <f>AU7*$AX$5</f>
        <v>51.272727272727266</v>
      </c>
    </row>
    <row r="8" spans="1:51">
      <c r="AR8" s="6">
        <f t="shared" ref="AR8:AR39" si="11">AR7+$B$4</f>
        <v>1</v>
      </c>
      <c r="AS8" s="3">
        <f>AVERAGE(sdata0!B3:AG3)</f>
        <v>0.85142067736185389</v>
      </c>
      <c r="AT8" s="3">
        <f>STDEV(sdata0!B3:AG3)</f>
        <v>0.28674126981339343</v>
      </c>
      <c r="AU8" s="3">
        <f>AVERAGE(sdata1!B3:AG3)</f>
        <v>0.86532442067736182</v>
      </c>
      <c r="AV8" s="3">
        <f>STDEV(sdata1!B3:AG3)</f>
        <v>0.29012157607022532</v>
      </c>
      <c r="AW8">
        <f t="shared" ref="AW8:AW71" si="12">AS8/AU8</f>
        <v>0.98393233452879525</v>
      </c>
      <c r="AX8">
        <f t="shared" ref="AX8:AX71" si="13">AS8*$AX$5</f>
        <v>217.11227272727274</v>
      </c>
      <c r="AY8">
        <f t="shared" ref="AY8:AY71" si="14">AU8*$AX$5</f>
        <v>220.65772727272727</v>
      </c>
    </row>
    <row r="9" spans="1:51">
      <c r="J9" s="1"/>
      <c r="K9" s="1"/>
      <c r="L9" s="1"/>
      <c r="M9" s="1"/>
      <c r="N9" s="1"/>
      <c r="O9" s="1"/>
      <c r="P9" s="1"/>
      <c r="Q9" s="1"/>
      <c r="R9" s="1"/>
      <c r="S9" s="1"/>
      <c r="AR9" s="6">
        <f t="shared" si="11"/>
        <v>2</v>
      </c>
      <c r="AS9" s="3">
        <f>AVERAGE(sdata0!B4:AG4)</f>
        <v>0.84928163992869876</v>
      </c>
      <c r="AT9" s="3">
        <f>STDEV(sdata0!B4:AG4)</f>
        <v>0.28641949313798715</v>
      </c>
      <c r="AU9" s="3">
        <f>AVERAGE(sdata1!B4:AG4)</f>
        <v>0.86247237076648842</v>
      </c>
      <c r="AV9" s="3">
        <f>STDEV(sdata1!B4:AG4)</f>
        <v>0.28960350700413212</v>
      </c>
      <c r="AW9">
        <f t="shared" si="12"/>
        <v>0.98470590909936406</v>
      </c>
      <c r="AX9">
        <f t="shared" si="13"/>
        <v>216.56681818181818</v>
      </c>
      <c r="AY9">
        <f t="shared" si="14"/>
        <v>219.93045454545455</v>
      </c>
    </row>
    <row r="10" spans="1:51">
      <c r="E10" t="s">
        <v>5</v>
      </c>
      <c r="F10" s="9">
        <f>F3*2</f>
        <v>0.2</v>
      </c>
      <c r="H10" t="s">
        <v>6</v>
      </c>
      <c r="I10" t="s">
        <v>7</v>
      </c>
      <c r="AA10"/>
      <c r="AB10"/>
      <c r="AC10"/>
      <c r="AD10"/>
      <c r="AE10"/>
      <c r="AF10"/>
      <c r="AG10"/>
      <c r="AH10"/>
      <c r="AI10"/>
      <c r="AR10" s="6">
        <f t="shared" si="11"/>
        <v>3</v>
      </c>
      <c r="AS10" s="3">
        <f>AVERAGE(sdata0!B5:AG5)</f>
        <v>0.85213368983957227</v>
      </c>
      <c r="AT10" s="3">
        <f>STDEV(sdata0!B5:AG5)</f>
        <v>0.28707142287497633</v>
      </c>
      <c r="AU10" s="3">
        <f>AVERAGE(sdata1!B5:AG5)</f>
        <v>0.86737254901960792</v>
      </c>
      <c r="AV10" s="3">
        <f>STDEV(sdata1!B5:AG5)</f>
        <v>0.29072433028014627</v>
      </c>
      <c r="AW10">
        <f t="shared" si="12"/>
        <v>0.98243101053029613</v>
      </c>
      <c r="AX10">
        <f t="shared" si="13"/>
        <v>217.29409090909093</v>
      </c>
      <c r="AY10">
        <f t="shared" si="14"/>
        <v>221.18</v>
      </c>
    </row>
    <row r="11" spans="1:51">
      <c r="E11" t="str">
        <f>AS$5</f>
        <v>HI</v>
      </c>
      <c r="F11" s="7" t="s">
        <v>8</v>
      </c>
      <c r="G11" s="10">
        <v>0</v>
      </c>
      <c r="H11" s="11">
        <f>AVERAGE(J11:AO11)</f>
        <v>44.9</v>
      </c>
      <c r="I11" s="11">
        <f t="shared" ref="I11:I12" si="15">STDEV(J11:AO11)</f>
        <v>1.6371459658748981</v>
      </c>
      <c r="J11" s="5"/>
      <c r="K11" s="5">
        <f>transition(sdata0!$A$2:$A$152,sdata0!C$2:C$152,-Calculations!$F10)</f>
        <v>48</v>
      </c>
      <c r="L11" s="5">
        <f>transition(sdata0!$A$2:$A$152,sdata0!D$2:D$152,-Calculations!$F10)</f>
        <v>43.666666666666664</v>
      </c>
      <c r="M11" s="5">
        <f>transition(sdata0!$A$2:$A$152,sdata0!E$2:E$152,-Calculations!$F10)</f>
        <v>43.5</v>
      </c>
      <c r="N11" s="5">
        <f>transition(sdata0!$A$2:$A$152,sdata0!F$2:F$152,-Calculations!$F10)</f>
        <v>44.333333333333329</v>
      </c>
      <c r="O11" s="5">
        <f>transition(sdata0!$A$2:$A$152,sdata0!G$2:G$152,-Calculations!$F10)</f>
        <v>45</v>
      </c>
      <c r="P11" s="5">
        <f>transition(sdata0!$A$2:$A$152,sdata0!H$2:H$152,-Calculations!$F10)</f>
        <v>47</v>
      </c>
      <c r="Q11" s="5">
        <f>transition(sdata0!$A$2:$A$152,sdata0!I$2:I$152,-Calculations!$F10)</f>
        <v>45</v>
      </c>
      <c r="R11" s="5">
        <f>transition(sdata0!$A$2:$A$152,sdata0!J$2:J$152,-Calculations!$F10)</f>
        <v>45.5</v>
      </c>
      <c r="S11" s="5">
        <f>transition(sdata0!$A$2:$A$152,sdata0!K$2:K$152,-Calculations!$F10)</f>
        <v>42.5</v>
      </c>
      <c r="T11" s="5">
        <f>transition(sdata0!$A$2:$A$152,sdata0!L$2:L$152,-Calculations!$F10)</f>
        <v>44.5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R11" s="6">
        <f t="shared" si="11"/>
        <v>4</v>
      </c>
      <c r="AS11" s="3">
        <f>AVERAGE(sdata0!B6:AG6)</f>
        <v>0.85712477718360069</v>
      </c>
      <c r="AT11" s="3">
        <f>STDEV(sdata0!B6:AG6)</f>
        <v>0.28835945295387932</v>
      </c>
      <c r="AU11" s="3">
        <f>AVERAGE(sdata1!B6:AG6)</f>
        <v>0.89428520499108732</v>
      </c>
      <c r="AV11" s="3">
        <f>STDEV(sdata1!B6:AG6)</f>
        <v>0.2978321005537069</v>
      </c>
      <c r="AW11">
        <f t="shared" si="12"/>
        <v>0.95844678230156233</v>
      </c>
      <c r="AX11">
        <f t="shared" si="13"/>
        <v>218.56681818181818</v>
      </c>
      <c r="AY11">
        <f t="shared" si="14"/>
        <v>228.04272727272726</v>
      </c>
    </row>
    <row r="12" spans="1:51">
      <c r="E12" t="str">
        <f>AU$5</f>
        <v>LO</v>
      </c>
      <c r="F12" s="7" t="str">
        <f>F11</f>
        <v>data</v>
      </c>
      <c r="G12" s="10">
        <f>G11+1</f>
        <v>1</v>
      </c>
      <c r="H12" s="11">
        <f>AVERAGE(J12:AO12)</f>
        <v>33.408333333333331</v>
      </c>
      <c r="I12" s="11">
        <f t="shared" si="15"/>
        <v>1.4231604977897683</v>
      </c>
      <c r="J12" s="5"/>
      <c r="K12" s="5">
        <f>transition(sdata1!$A$2:$A$152,sdata1!C$2:C$152,-Calculations!$F10)</f>
        <v>36</v>
      </c>
      <c r="L12" s="5">
        <f>transition(sdata1!$A$2:$A$152,sdata1!D$2:D$152,-Calculations!$F10)</f>
        <v>32.666666666666664</v>
      </c>
      <c r="M12" s="5">
        <f>transition(sdata1!$A$2:$A$152,sdata1!E$2:E$152,-Calculations!$F10)</f>
        <v>32</v>
      </c>
      <c r="N12" s="5">
        <f>transition(sdata1!$A$2:$A$152,sdata1!F$2:F$152,-Calculations!$F10)</f>
        <v>32.666666666666664</v>
      </c>
      <c r="O12" s="5">
        <f>transition(sdata1!$A$2:$A$152,sdata1!G$2:G$152,-Calculations!$F10)</f>
        <v>33.666666666666664</v>
      </c>
      <c r="P12" s="5">
        <f>transition(sdata1!$A$2:$A$152,sdata1!H$2:H$152,-Calculations!$F10)</f>
        <v>35.333333333333329</v>
      </c>
      <c r="Q12" s="5">
        <f>transition(sdata1!$A$2:$A$152,sdata1!I$2:I$152,-Calculations!$F10)</f>
        <v>33.666666666666664</v>
      </c>
      <c r="R12" s="5">
        <f>transition(sdata1!$A$2:$A$152,sdata1!J$2:J$152,-Calculations!$F10)</f>
        <v>33.75</v>
      </c>
      <c r="S12" s="5">
        <f>transition(sdata1!$A$2:$A$152,sdata1!K$2:K$152,-Calculations!$F10)</f>
        <v>31.333333333333332</v>
      </c>
      <c r="T12" s="5">
        <f>transition(sdata1!$A$2:$A$152,sdata1!L$2:L$152,-Calculations!$F10)</f>
        <v>33</v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R12" s="6">
        <f t="shared" si="11"/>
        <v>5</v>
      </c>
      <c r="AS12" s="3">
        <f>AVERAGE(sdata0!B7:AG7)</f>
        <v>0.86247237076648842</v>
      </c>
      <c r="AT12" s="3">
        <f>STDEV(sdata0!B7:AG7)</f>
        <v>0.28958226518330238</v>
      </c>
      <c r="AU12" s="3">
        <f>AVERAGE(sdata1!B7:AG7)</f>
        <v>0.9081818181818182</v>
      </c>
      <c r="AV12" s="3">
        <f>STDEV(sdata1!B7:AG7)</f>
        <v>0.30120983323318601</v>
      </c>
      <c r="AW12">
        <f t="shared" si="12"/>
        <v>0.9496692771202575</v>
      </c>
      <c r="AX12">
        <f t="shared" si="13"/>
        <v>219.93045454545455</v>
      </c>
      <c r="AY12">
        <f t="shared" si="14"/>
        <v>231.58636363636364</v>
      </c>
    </row>
    <row r="13" spans="1:51">
      <c r="F13" s="7"/>
      <c r="G13" s="10"/>
      <c r="H13" s="11"/>
      <c r="I13" s="11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R13" s="6">
        <f t="shared" si="11"/>
        <v>6</v>
      </c>
      <c r="AS13" s="3">
        <f>AVERAGE(sdata0!B8:AG8)</f>
        <v>0.87833333333333341</v>
      </c>
      <c r="AT13" s="3">
        <f>STDEV(sdata0!B8:AG8)</f>
        <v>0.29355310067220192</v>
      </c>
      <c r="AU13" s="3">
        <f>AVERAGE(sdata1!B8:AG8)</f>
        <v>0.9081818181818182</v>
      </c>
      <c r="AV13" s="3">
        <f>STDEV(sdata1!B8:AG8)</f>
        <v>0.30120983323318601</v>
      </c>
      <c r="AW13">
        <f t="shared" si="12"/>
        <v>0.96713380046713382</v>
      </c>
      <c r="AX13">
        <f t="shared" si="13"/>
        <v>223.97500000000002</v>
      </c>
      <c r="AY13">
        <f t="shared" si="14"/>
        <v>231.58636363636364</v>
      </c>
    </row>
    <row r="14" spans="1:51">
      <c r="F14" s="7"/>
      <c r="G14" s="10"/>
      <c r="H14" s="11"/>
      <c r="I14" s="11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R14" s="6">
        <f t="shared" si="11"/>
        <v>7</v>
      </c>
      <c r="AS14" s="3">
        <f>AVERAGE(sdata0!B9:AG9)</f>
        <v>0.9064901960784314</v>
      </c>
      <c r="AT14" s="3">
        <f>STDEV(sdata0!B9:AG9)</f>
        <v>0.3007006068814202</v>
      </c>
      <c r="AU14" s="3">
        <f>AVERAGE(sdata1!B9:AG9)</f>
        <v>0.9081818181818182</v>
      </c>
      <c r="AV14" s="3">
        <f>STDEV(sdata1!B9:AG9)</f>
        <v>0.30120983323318601</v>
      </c>
      <c r="AW14">
        <f t="shared" si="12"/>
        <v>0.99813735303931383</v>
      </c>
      <c r="AX14">
        <f t="shared" si="13"/>
        <v>231.155</v>
      </c>
      <c r="AY14">
        <f t="shared" si="14"/>
        <v>231.58636363636364</v>
      </c>
    </row>
    <row r="15" spans="1:51">
      <c r="AR15" s="6">
        <f t="shared" si="11"/>
        <v>8</v>
      </c>
      <c r="AS15" s="3">
        <f>AVERAGE(sdata0!B10:AG10)</f>
        <v>0.9081818181818182</v>
      </c>
      <c r="AT15" s="3">
        <f>STDEV(sdata0!B10:AG10)</f>
        <v>0.30120983323318601</v>
      </c>
      <c r="AU15" s="3">
        <f>AVERAGE(sdata1!B10:AG10)</f>
        <v>0.9081818181818182</v>
      </c>
      <c r="AV15" s="3">
        <f>STDEV(sdata1!B10:AG10)</f>
        <v>0.30120983323318601</v>
      </c>
      <c r="AW15">
        <f t="shared" si="12"/>
        <v>1</v>
      </c>
      <c r="AX15">
        <f t="shared" si="13"/>
        <v>231.58636363636364</v>
      </c>
      <c r="AY15">
        <f t="shared" si="14"/>
        <v>231.58636363636364</v>
      </c>
    </row>
    <row r="16" spans="1:51">
      <c r="J16" s="1"/>
      <c r="K16" s="1"/>
      <c r="L16" s="1"/>
      <c r="M16" s="1"/>
      <c r="N16" s="1"/>
      <c r="O16" s="1"/>
      <c r="P16" s="1"/>
      <c r="Q16" s="1"/>
      <c r="R16" s="1"/>
      <c r="S16" s="1"/>
      <c r="AR16" s="6">
        <f t="shared" si="11"/>
        <v>9</v>
      </c>
      <c r="AS16" s="3">
        <f>AVERAGE(sdata0!B11:AG11)</f>
        <v>0.9081818181818182</v>
      </c>
      <c r="AT16" s="3">
        <f>STDEV(sdata0!B11:AG11)</f>
        <v>0.30120983323318601</v>
      </c>
      <c r="AU16" s="3">
        <f>AVERAGE(sdata1!B11:AG11)</f>
        <v>0.9081818181818182</v>
      </c>
      <c r="AV16" s="3">
        <f>STDEV(sdata1!B11:AG11)</f>
        <v>0.30120983323318601</v>
      </c>
      <c r="AW16">
        <f t="shared" si="12"/>
        <v>1</v>
      </c>
      <c r="AX16">
        <f t="shared" si="13"/>
        <v>231.58636363636364</v>
      </c>
      <c r="AY16">
        <f t="shared" si="14"/>
        <v>231.58636363636364</v>
      </c>
    </row>
    <row r="17" spans="5:51">
      <c r="E17" t="s">
        <v>5</v>
      </c>
      <c r="F17" s="9">
        <f>F3*5</f>
        <v>0.5</v>
      </c>
      <c r="H17" t="s">
        <v>6</v>
      </c>
      <c r="I17" t="s">
        <v>7</v>
      </c>
      <c r="AA17"/>
      <c r="AB17"/>
      <c r="AC17"/>
      <c r="AD17"/>
      <c r="AE17"/>
      <c r="AF17"/>
      <c r="AG17"/>
      <c r="AH17"/>
      <c r="AI17"/>
      <c r="AR17" s="6">
        <f t="shared" si="11"/>
        <v>10</v>
      </c>
      <c r="AS17" s="3">
        <f>AVERAGE(sdata0!B12:AG12)</f>
        <v>0.9081818181818182</v>
      </c>
      <c r="AT17" s="3">
        <f>STDEV(sdata0!B12:AG12)</f>
        <v>0.30120983323318601</v>
      </c>
      <c r="AU17" s="3">
        <f>AVERAGE(sdata1!B12:AG12)</f>
        <v>0.9081818181818182</v>
      </c>
      <c r="AV17" s="3">
        <f>STDEV(sdata1!B12:AG12)</f>
        <v>0.30120983323318601</v>
      </c>
      <c r="AW17">
        <f t="shared" si="12"/>
        <v>1</v>
      </c>
      <c r="AX17">
        <f t="shared" si="13"/>
        <v>231.58636363636364</v>
      </c>
      <c r="AY17">
        <f t="shared" si="14"/>
        <v>231.58636363636364</v>
      </c>
    </row>
    <row r="18" spans="5:51">
      <c r="E18" t="str">
        <f>AS$5</f>
        <v>HI</v>
      </c>
      <c r="F18" s="7" t="s">
        <v>8</v>
      </c>
      <c r="G18" s="10">
        <v>0</v>
      </c>
      <c r="H18" s="11">
        <f>AVERAGE(J18:AO18)</f>
        <v>28.001111111111108</v>
      </c>
      <c r="I18" s="11">
        <f t="shared" ref="I18:I19" si="16">STDEV(J18:AO18)</f>
        <v>1.0512040340129989</v>
      </c>
      <c r="J18" s="5"/>
      <c r="K18" s="5">
        <f>transition(sdata0!$A$2:$A$152,sdata0!C$2:C$152,-Calculations!$F17)</f>
        <v>29.944444444444443</v>
      </c>
      <c r="L18" s="5">
        <f>transition(sdata0!$A$2:$A$152,sdata0!D$2:D$152,-Calculations!$F17)</f>
        <v>27.1875</v>
      </c>
      <c r="M18" s="5">
        <f>transition(sdata0!$A$2:$A$152,sdata0!E$2:E$152,-Calculations!$F17)</f>
        <v>26.944444444444443</v>
      </c>
      <c r="N18" s="5">
        <f>transition(sdata0!$A$2:$A$152,sdata0!F$2:F$152,-Calculations!$F17)</f>
        <v>27.611111111111111</v>
      </c>
      <c r="O18" s="5">
        <f>transition(sdata0!$A$2:$A$152,sdata0!G$2:G$152,-Calculations!$F17)</f>
        <v>28.055555555555557</v>
      </c>
      <c r="P18" s="5">
        <f>transition(sdata0!$A$2:$A$152,sdata0!H$2:H$152,-Calculations!$F17)</f>
        <v>29.5</v>
      </c>
      <c r="Q18" s="5">
        <f>transition(sdata0!$A$2:$A$152,sdata0!I$2:I$152,-Calculations!$F17)</f>
        <v>28.055555555555557</v>
      </c>
      <c r="R18" s="5">
        <f>transition(sdata0!$A$2:$A$152,sdata0!J$2:J$152,-Calculations!$F17)</f>
        <v>28.3125</v>
      </c>
      <c r="S18" s="5">
        <f>transition(sdata0!$A$2:$A$152,sdata0!K$2:K$152,-Calculations!$F17)</f>
        <v>26.65</v>
      </c>
      <c r="T18" s="5">
        <f>transition(sdata0!$A$2:$A$152,sdata0!L$2:L$152,-Calculations!$F17)</f>
        <v>27.75</v>
      </c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R18" s="6">
        <f t="shared" si="11"/>
        <v>11</v>
      </c>
      <c r="AS18" s="3">
        <f>AVERAGE(sdata0!B13:AG13)</f>
        <v>0.9081818181818182</v>
      </c>
      <c r="AT18" s="3">
        <f>STDEV(sdata0!B13:AG13)</f>
        <v>0.30120983323318601</v>
      </c>
      <c r="AU18" s="3">
        <f>AVERAGE(sdata1!B13:AG13)</f>
        <v>0.90791622103386804</v>
      </c>
      <c r="AV18" s="3">
        <f>STDEV(sdata1!B13:AG13)</f>
        <v>0.30112302018693016</v>
      </c>
      <c r="AW18">
        <f t="shared" si="12"/>
        <v>1.0002925348636769</v>
      </c>
      <c r="AX18">
        <f t="shared" si="13"/>
        <v>231.58636363636364</v>
      </c>
      <c r="AY18">
        <f t="shared" si="14"/>
        <v>231.51863636363635</v>
      </c>
    </row>
    <row r="19" spans="5:51">
      <c r="E19" t="str">
        <f>AU$5</f>
        <v>LO</v>
      </c>
      <c r="F19" s="7" t="str">
        <f>F18</f>
        <v>data</v>
      </c>
      <c r="G19" s="10">
        <f>G18+1</f>
        <v>1</v>
      </c>
      <c r="H19" s="11">
        <f>AVERAGE(J19:AO19)</f>
        <v>20.640831390831391</v>
      </c>
      <c r="I19" s="11">
        <f t="shared" si="16"/>
        <v>0.9274148428829565</v>
      </c>
      <c r="J19" s="5"/>
      <c r="K19" s="5">
        <f>transition(sdata1!$A$2:$A$152,sdata1!C$2:C$152,-Calculations!$F17)</f>
        <v>22.277777777777779</v>
      </c>
      <c r="L19" s="5">
        <f>transition(sdata1!$A$2:$A$152,sdata1!D$2:D$152,-Calculations!$F17)</f>
        <v>20.115384615384617</v>
      </c>
      <c r="M19" s="5">
        <f>transition(sdata1!$A$2:$A$152,sdata1!E$2:E$152,-Calculations!$F17)</f>
        <v>19.541666666666668</v>
      </c>
      <c r="N19" s="5">
        <f>transition(sdata1!$A$2:$A$152,sdata1!F$2:F$152,-Calculations!$F17)</f>
        <v>20.227272727272727</v>
      </c>
      <c r="O19" s="5">
        <f>transition(sdata1!$A$2:$A$152,sdata1!G$2:G$152,-Calculations!$F17)</f>
        <v>20.875</v>
      </c>
      <c r="P19" s="5">
        <f>transition(sdata1!$A$2:$A$152,sdata1!H$2:H$152,-Calculations!$F17)</f>
        <v>22.045454545454547</v>
      </c>
      <c r="Q19" s="5">
        <f>transition(sdata1!$A$2:$A$152,sdata1!I$2:I$152,-Calculations!$F17)</f>
        <v>20.791666666666668</v>
      </c>
      <c r="R19" s="5">
        <f>transition(sdata1!$A$2:$A$152,sdata1!J$2:J$152,-Calculations!$F17)</f>
        <v>20.625</v>
      </c>
      <c r="S19" s="5">
        <f>transition(sdata1!$A$2:$A$152,sdata1!K$2:K$152,-Calculations!$F17)</f>
        <v>19.5</v>
      </c>
      <c r="T19" s="5">
        <f>transition(sdata1!$A$2:$A$152,sdata1!L$2:L$152,-Calculations!$F17)</f>
        <v>20.409090909090907</v>
      </c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R19" s="6">
        <f t="shared" si="11"/>
        <v>12</v>
      </c>
      <c r="AS19" s="3">
        <f>AVERAGE(sdata0!B14:AG14)</f>
        <v>0.9081818181818182</v>
      </c>
      <c r="AT19" s="3">
        <f>STDEV(sdata0!B14:AG14)</f>
        <v>0.30120983323318601</v>
      </c>
      <c r="AU19" s="3">
        <f>AVERAGE(sdata1!B14:AG14)</f>
        <v>0.90453297682709455</v>
      </c>
      <c r="AV19" s="3">
        <f>STDEV(sdata1!B14:AG14)</f>
        <v>0.30007425145687439</v>
      </c>
      <c r="AW19">
        <f t="shared" si="12"/>
        <v>1.0040339506112015</v>
      </c>
      <c r="AX19">
        <f t="shared" si="13"/>
        <v>231.58636363636364</v>
      </c>
      <c r="AY19">
        <f t="shared" si="14"/>
        <v>230.65590909090912</v>
      </c>
    </row>
    <row r="20" spans="5:51">
      <c r="F20" s="7"/>
      <c r="G20" s="10"/>
      <c r="H20" s="11"/>
      <c r="I20" s="11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R20" s="6">
        <f t="shared" si="11"/>
        <v>13</v>
      </c>
      <c r="AS20" s="3">
        <f>AVERAGE(sdata0!B15:AG15)</f>
        <v>0.9081818181818182</v>
      </c>
      <c r="AT20" s="3">
        <f>STDEV(sdata0!B15:AG15)</f>
        <v>0.30120983323318601</v>
      </c>
      <c r="AU20" s="3">
        <f>AVERAGE(sdata1!B15:AG15)</f>
        <v>0.89651515151515149</v>
      </c>
      <c r="AV20" s="3">
        <f>STDEV(sdata1!B15:AG15)</f>
        <v>0.29780012005130052</v>
      </c>
      <c r="AW20">
        <f t="shared" si="12"/>
        <v>1.0130133513604869</v>
      </c>
      <c r="AX20">
        <f t="shared" si="13"/>
        <v>231.58636363636364</v>
      </c>
      <c r="AY20">
        <f t="shared" si="14"/>
        <v>228.61136363636362</v>
      </c>
    </row>
    <row r="21" spans="5:51">
      <c r="F21" s="7"/>
      <c r="G21" s="10"/>
      <c r="H21" s="11"/>
      <c r="I21" s="11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R21" s="6">
        <f t="shared" si="11"/>
        <v>14</v>
      </c>
      <c r="AS21" s="3">
        <f>AVERAGE(sdata0!B16:AG16)</f>
        <v>0.90791622103386804</v>
      </c>
      <c r="AT21" s="3">
        <f>STDEV(sdata0!B16:AG16)</f>
        <v>0.30112302018693016</v>
      </c>
      <c r="AU21" s="3">
        <f>AVERAGE(sdata1!B16:AG16)</f>
        <v>0.87423707664884132</v>
      </c>
      <c r="AV21" s="3">
        <f>STDEV(sdata1!B16:AG16)</f>
        <v>0.29216392114839129</v>
      </c>
      <c r="AW21">
        <f t="shared" si="12"/>
        <v>1.0385240403142439</v>
      </c>
      <c r="AX21">
        <f t="shared" si="13"/>
        <v>231.51863636363635</v>
      </c>
      <c r="AY21">
        <f t="shared" si="14"/>
        <v>222.93045454545452</v>
      </c>
    </row>
    <row r="22" spans="5:51">
      <c r="AR22" s="6">
        <f t="shared" si="11"/>
        <v>15</v>
      </c>
      <c r="AS22" s="3">
        <f>AVERAGE(sdata0!B17:AG17)</f>
        <v>0.90346345811051698</v>
      </c>
      <c r="AT22" s="3">
        <f>STDEV(sdata0!B17:AG17)</f>
        <v>0.29977202683325976</v>
      </c>
      <c r="AU22" s="3">
        <f>AVERAGE(sdata1!B17:AG17)</f>
        <v>0.80703921568627457</v>
      </c>
      <c r="AV22" s="3">
        <f>STDEV(sdata1!B17:AG17)</f>
        <v>0.27443307821312551</v>
      </c>
      <c r="AW22">
        <f t="shared" si="12"/>
        <v>1.1194790049232577</v>
      </c>
      <c r="AX22">
        <f t="shared" si="13"/>
        <v>230.38318181818184</v>
      </c>
      <c r="AY22">
        <f t="shared" si="14"/>
        <v>205.79500000000002</v>
      </c>
    </row>
    <row r="23" spans="5:51">
      <c r="I23" s="20"/>
      <c r="J23" s="21">
        <f>J7+10</f>
        <v>10</v>
      </c>
      <c r="K23" s="21">
        <f t="shared" ref="K23:AO23" si="17">K7+10</f>
        <v>10</v>
      </c>
      <c r="L23" s="21">
        <f t="shared" si="17"/>
        <v>10</v>
      </c>
      <c r="M23" s="21">
        <f t="shared" si="17"/>
        <v>10</v>
      </c>
      <c r="N23" s="21">
        <f t="shared" si="17"/>
        <v>10</v>
      </c>
      <c r="O23" s="21">
        <f t="shared" si="17"/>
        <v>10</v>
      </c>
      <c r="P23" s="21">
        <f t="shared" si="17"/>
        <v>10</v>
      </c>
      <c r="Q23" s="21">
        <f t="shared" si="17"/>
        <v>10</v>
      </c>
      <c r="R23" s="21">
        <f t="shared" si="17"/>
        <v>10</v>
      </c>
      <c r="S23" s="21">
        <f t="shared" si="17"/>
        <v>10</v>
      </c>
      <c r="T23" s="21">
        <f t="shared" si="17"/>
        <v>10</v>
      </c>
      <c r="U23" s="21">
        <f t="shared" si="17"/>
        <v>10</v>
      </c>
      <c r="V23" s="21">
        <f t="shared" si="17"/>
        <v>10</v>
      </c>
      <c r="W23" s="21">
        <f t="shared" si="17"/>
        <v>10</v>
      </c>
      <c r="X23" s="21">
        <f t="shared" si="17"/>
        <v>10</v>
      </c>
      <c r="Y23" s="21">
        <f t="shared" si="17"/>
        <v>10</v>
      </c>
      <c r="Z23" s="21">
        <f t="shared" si="17"/>
        <v>10</v>
      </c>
      <c r="AA23" s="21">
        <f t="shared" si="17"/>
        <v>10</v>
      </c>
      <c r="AB23" s="21">
        <f t="shared" si="17"/>
        <v>10</v>
      </c>
      <c r="AC23" s="21">
        <f t="shared" si="17"/>
        <v>10</v>
      </c>
      <c r="AD23" s="21">
        <f t="shared" si="17"/>
        <v>10</v>
      </c>
      <c r="AE23" s="21">
        <f t="shared" si="17"/>
        <v>10</v>
      </c>
      <c r="AF23" s="21">
        <f t="shared" si="17"/>
        <v>10</v>
      </c>
      <c r="AG23" s="21">
        <f t="shared" si="17"/>
        <v>10</v>
      </c>
      <c r="AH23" s="21">
        <f t="shared" si="17"/>
        <v>10</v>
      </c>
      <c r="AI23" s="21">
        <f t="shared" si="17"/>
        <v>10</v>
      </c>
      <c r="AJ23" s="21">
        <f t="shared" si="17"/>
        <v>10</v>
      </c>
      <c r="AK23" s="21">
        <f t="shared" si="17"/>
        <v>10</v>
      </c>
      <c r="AL23" s="21">
        <f t="shared" si="17"/>
        <v>10</v>
      </c>
      <c r="AM23" s="21">
        <f t="shared" si="17"/>
        <v>10</v>
      </c>
      <c r="AN23" s="21">
        <f t="shared" si="17"/>
        <v>10</v>
      </c>
      <c r="AO23" s="21">
        <f t="shared" si="17"/>
        <v>10</v>
      </c>
      <c r="AR23" s="6">
        <f t="shared" si="11"/>
        <v>16</v>
      </c>
      <c r="AS23" s="3">
        <f>AVERAGE(sdata0!B18:AG18)</f>
        <v>0.8974937611408198</v>
      </c>
      <c r="AT23" s="3">
        <f>STDEV(sdata0!B18:AG18)</f>
        <v>0.29809756224780587</v>
      </c>
      <c r="AU23" s="3">
        <f>AVERAGE(sdata1!B18:AG18)</f>
        <v>0.72370766488413552</v>
      </c>
      <c r="AV23" s="3">
        <f>STDEV(sdata1!B18:AG18)</f>
        <v>0.2484638766446218</v>
      </c>
      <c r="AW23">
        <f t="shared" si="12"/>
        <v>1.2401330049261081</v>
      </c>
      <c r="AX23">
        <f t="shared" si="13"/>
        <v>228.86090909090905</v>
      </c>
      <c r="AY23">
        <f t="shared" si="14"/>
        <v>184.54545454545456</v>
      </c>
    </row>
    <row r="24" spans="5:51">
      <c r="H24" s="20"/>
      <c r="I24" s="22"/>
      <c r="J24" s="22"/>
      <c r="K24" s="19"/>
      <c r="AR24" s="6">
        <f t="shared" si="11"/>
        <v>17</v>
      </c>
      <c r="AS24" s="3">
        <f>AVERAGE(sdata0!B19:AG19)</f>
        <v>0.8884064171122994</v>
      </c>
      <c r="AT24" s="3">
        <f>STDEV(sdata0!B19:AG19)</f>
        <v>0.2956062958214038</v>
      </c>
      <c r="AU24" s="3">
        <f>AVERAGE(sdata1!B19:AG19)</f>
        <v>0.64919786096256693</v>
      </c>
      <c r="AV24" s="3">
        <f>STDEV(sdata1!B19:AG19)</f>
        <v>0.22314630834773613</v>
      </c>
      <c r="AW24">
        <f t="shared" si="12"/>
        <v>1.3684678747940688</v>
      </c>
      <c r="AX24">
        <f t="shared" si="13"/>
        <v>226.54363636363635</v>
      </c>
      <c r="AY24">
        <f t="shared" si="14"/>
        <v>165.54545454545456</v>
      </c>
    </row>
    <row r="25" spans="5:51">
      <c r="H25" s="47" t="s">
        <v>20</v>
      </c>
      <c r="I25" s="47"/>
      <c r="J25" s="47"/>
      <c r="K25" s="19"/>
      <c r="AR25" s="6">
        <f t="shared" si="11"/>
        <v>18</v>
      </c>
      <c r="AS25" s="3">
        <f>AVERAGE(sdata0!B20:AG20)</f>
        <v>0.87708912655971472</v>
      </c>
      <c r="AT25" s="3">
        <f>STDEV(sdata0!B20:AG20)</f>
        <v>0.29247771937257733</v>
      </c>
      <c r="AU25" s="3">
        <f>AVERAGE(sdata1!B20:AG20)</f>
        <v>0.58573975044563265</v>
      </c>
      <c r="AV25" s="3">
        <f>STDEV(sdata1!B20:AG20)</f>
        <v>0.20102981871255843</v>
      </c>
      <c r="AW25">
        <f t="shared" si="12"/>
        <v>1.4974041387705419</v>
      </c>
      <c r="AX25">
        <f t="shared" si="13"/>
        <v>223.65772727272724</v>
      </c>
      <c r="AY25">
        <f t="shared" si="14"/>
        <v>149.36363636363632</v>
      </c>
    </row>
    <row r="26" spans="5:51">
      <c r="H26" s="20" t="s">
        <v>16</v>
      </c>
      <c r="I26">
        <f>(I35-I27)/8</f>
        <v>1</v>
      </c>
      <c r="J26" t="s">
        <v>19</v>
      </c>
      <c r="K26" s="19"/>
      <c r="AR26" s="6">
        <f t="shared" si="11"/>
        <v>19</v>
      </c>
      <c r="AS26" s="3">
        <f>AVERAGE(sdata0!B21:AG21)</f>
        <v>0.86327629233511594</v>
      </c>
      <c r="AT26" s="3">
        <f>STDEV(sdata0!B21:AG21)</f>
        <v>0.288549190750652</v>
      </c>
      <c r="AU26" s="3">
        <f>AVERAGE(sdata1!B21:AG21)</f>
        <v>0.52976827094474144</v>
      </c>
      <c r="AV26" s="3">
        <f>STDEV(sdata1!B21:AG21)</f>
        <v>0.18160254242567669</v>
      </c>
      <c r="AW26">
        <f t="shared" si="12"/>
        <v>1.6295356662180354</v>
      </c>
      <c r="AX26">
        <f t="shared" si="13"/>
        <v>220.13545454545456</v>
      </c>
      <c r="AY26">
        <f t="shared" si="14"/>
        <v>135.09090909090907</v>
      </c>
    </row>
    <row r="27" spans="5:51">
      <c r="H27" s="23" t="s">
        <v>17</v>
      </c>
      <c r="I27" s="5">
        <f>MIN(J4:AO4)</f>
        <v>59.5</v>
      </c>
      <c r="J27">
        <f>B2-SUM(J28:J35)</f>
        <v>1</v>
      </c>
      <c r="K27" s="19"/>
      <c r="AR27" s="6">
        <f t="shared" si="11"/>
        <v>20</v>
      </c>
      <c r="AS27" s="3">
        <f>AVERAGE(sdata0!B22:AG22)</f>
        <v>0.83065953654188962</v>
      </c>
      <c r="AT27" s="3">
        <f>STDEV(sdata0!B22:AG22)</f>
        <v>0.27822592907628063</v>
      </c>
      <c r="AU27" s="3">
        <f>AVERAGE(sdata1!B22:AG22)</f>
        <v>0.48199643493761141</v>
      </c>
      <c r="AV27" s="3">
        <f>STDEV(sdata1!B22:AG22)</f>
        <v>0.16542749992984768</v>
      </c>
      <c r="AW27">
        <f t="shared" si="12"/>
        <v>1.723372781065089</v>
      </c>
      <c r="AX27">
        <f t="shared" si="13"/>
        <v>211.81818181818184</v>
      </c>
      <c r="AY27">
        <f t="shared" si="14"/>
        <v>122.90909090909091</v>
      </c>
    </row>
    <row r="28" spans="5:51">
      <c r="H28" s="23"/>
      <c r="I28" s="5">
        <f t="shared" ref="I28:I34" si="18">I27+I$26</f>
        <v>60.5</v>
      </c>
      <c r="J28">
        <f t="shared" ref="J28:J35" si="19">HISTOGRAM(J$4:AO$4,I$27:I$35,I28)</f>
        <v>1</v>
      </c>
      <c r="K28" s="19"/>
      <c r="AR28" s="6">
        <f t="shared" si="11"/>
        <v>21</v>
      </c>
      <c r="AS28" s="3">
        <f>AVERAGE(sdata0!B23:AG23)</f>
        <v>0.77682709447415332</v>
      </c>
      <c r="AT28" s="3">
        <f>STDEV(sdata0!B23:AG23)</f>
        <v>0.26216766836782651</v>
      </c>
      <c r="AU28" s="3">
        <f>AVERAGE(sdata1!B23:AG23)</f>
        <v>0.44064171122994655</v>
      </c>
      <c r="AV28" s="3">
        <f>STDEV(sdata1!B23:AG23)</f>
        <v>0.15147890936999184</v>
      </c>
      <c r="AW28">
        <f t="shared" si="12"/>
        <v>1.7629449838187701</v>
      </c>
      <c r="AX28">
        <f t="shared" si="13"/>
        <v>198.09090909090909</v>
      </c>
      <c r="AY28">
        <f t="shared" si="14"/>
        <v>112.36363636363637</v>
      </c>
    </row>
    <row r="29" spans="5:51">
      <c r="H29" s="23"/>
      <c r="I29" s="5">
        <f t="shared" si="18"/>
        <v>61.5</v>
      </c>
      <c r="J29">
        <f t="shared" si="19"/>
        <v>1</v>
      </c>
      <c r="K29" s="19"/>
      <c r="AR29" s="6">
        <f t="shared" si="11"/>
        <v>22</v>
      </c>
      <c r="AS29" s="3">
        <f>AVERAGE(sdata0!B24:AG24)</f>
        <v>0.71836007130124768</v>
      </c>
      <c r="AT29" s="3">
        <f>STDEV(sdata0!B24:AG24)</f>
        <v>0.24416492608907242</v>
      </c>
      <c r="AU29" s="3">
        <f>AVERAGE(sdata1!B24:AG24)</f>
        <v>0.40356506238859191</v>
      </c>
      <c r="AV29" s="3">
        <f>STDEV(sdata1!B24:AG24)</f>
        <v>0.1385091660040661</v>
      </c>
      <c r="AW29">
        <f t="shared" si="12"/>
        <v>1.7800353356890453</v>
      </c>
      <c r="AX29">
        <f t="shared" si="13"/>
        <v>183.18181818181816</v>
      </c>
      <c r="AY29">
        <f t="shared" si="14"/>
        <v>102.90909090909093</v>
      </c>
    </row>
    <row r="30" spans="5:51">
      <c r="H30" s="23"/>
      <c r="I30" s="5">
        <f t="shared" si="18"/>
        <v>62.5</v>
      </c>
      <c r="J30">
        <f t="shared" si="19"/>
        <v>0</v>
      </c>
      <c r="K30" s="19"/>
      <c r="AR30" s="6">
        <f t="shared" si="11"/>
        <v>23</v>
      </c>
      <c r="AS30" s="3">
        <f>AVERAGE(sdata0!B25:AG25)</f>
        <v>0.66167557932263821</v>
      </c>
      <c r="AT30" s="3">
        <f>STDEV(sdata0!B25:AG25)</f>
        <v>0.2251136901649981</v>
      </c>
      <c r="AU30" s="3">
        <f>AVERAGE(sdata1!B25:AG25)</f>
        <v>0.3721925133689839</v>
      </c>
      <c r="AV30" s="3">
        <f>STDEV(sdata1!B25:AG25)</f>
        <v>0.12774270740037508</v>
      </c>
      <c r="AW30">
        <f t="shared" si="12"/>
        <v>1.7777777777777781</v>
      </c>
      <c r="AX30">
        <f t="shared" si="13"/>
        <v>168.72727272727275</v>
      </c>
      <c r="AY30">
        <f t="shared" si="14"/>
        <v>94.909090909090892</v>
      </c>
    </row>
    <row r="31" spans="5:51">
      <c r="H31" s="23"/>
      <c r="I31" s="5">
        <f t="shared" si="18"/>
        <v>63.5</v>
      </c>
      <c r="J31">
        <f t="shared" si="19"/>
        <v>3</v>
      </c>
      <c r="AR31" s="6">
        <f t="shared" si="11"/>
        <v>24</v>
      </c>
      <c r="AS31" s="3">
        <f>AVERAGE(sdata0!B26:AG26)</f>
        <v>0.61033868092691623</v>
      </c>
      <c r="AT31" s="3">
        <f>STDEV(sdata0!B26:AG26)</f>
        <v>0.20755638915309427</v>
      </c>
      <c r="AU31" s="3">
        <f>AVERAGE(sdata1!B26:AG26)</f>
        <v>0.34224598930481281</v>
      </c>
      <c r="AV31" s="3">
        <f>STDEV(sdata1!B26:AG26)</f>
        <v>0.11696654041804165</v>
      </c>
      <c r="AW31">
        <f t="shared" si="12"/>
        <v>1.7833333333333334</v>
      </c>
      <c r="AX31">
        <f t="shared" si="13"/>
        <v>155.63636363636363</v>
      </c>
      <c r="AY31">
        <f t="shared" si="14"/>
        <v>87.272727272727266</v>
      </c>
    </row>
    <row r="32" spans="5:51">
      <c r="H32" s="23"/>
      <c r="I32" s="5">
        <f t="shared" si="18"/>
        <v>64.5</v>
      </c>
      <c r="J32">
        <f t="shared" si="19"/>
        <v>2</v>
      </c>
      <c r="AR32" s="6">
        <f t="shared" si="11"/>
        <v>25</v>
      </c>
      <c r="AS32" s="3">
        <f>AVERAGE(sdata0!B27:AG27)</f>
        <v>0.56577540106951862</v>
      </c>
      <c r="AT32" s="3">
        <f>STDEV(sdata0!B27:AG27)</f>
        <v>0.19252538418965204</v>
      </c>
      <c r="AU32" s="3">
        <f>AVERAGE(sdata1!B27:AG27)</f>
        <v>0.31836007130124783</v>
      </c>
      <c r="AV32" s="3">
        <f>STDEV(sdata1!B27:AG27)</f>
        <v>0.10973132308450817</v>
      </c>
      <c r="AW32">
        <f t="shared" si="12"/>
        <v>1.7771556550951841</v>
      </c>
      <c r="AX32">
        <f t="shared" si="13"/>
        <v>144.27272727272725</v>
      </c>
      <c r="AY32">
        <f t="shared" si="14"/>
        <v>81.181818181818201</v>
      </c>
    </row>
    <row r="33" spans="8:51">
      <c r="H33" s="23"/>
      <c r="I33" s="5">
        <f t="shared" si="18"/>
        <v>65.5</v>
      </c>
      <c r="J33">
        <f t="shared" si="19"/>
        <v>0</v>
      </c>
      <c r="AR33" s="6">
        <f t="shared" si="11"/>
        <v>26</v>
      </c>
      <c r="AS33" s="3">
        <f>AVERAGE(sdata0!B28:AG28)</f>
        <v>0.52549019607843128</v>
      </c>
      <c r="AT33" s="3">
        <f>STDEV(sdata0!B28:AG28)</f>
        <v>0.17908305900419291</v>
      </c>
      <c r="AU33" s="3">
        <f>AVERAGE(sdata1!B28:AG28)</f>
        <v>0.29483065953654192</v>
      </c>
      <c r="AV33" s="3">
        <f>STDEV(sdata1!B28:AG28)</f>
        <v>0.10124664205641166</v>
      </c>
      <c r="AW33">
        <f t="shared" si="12"/>
        <v>1.782345828295042</v>
      </c>
      <c r="AX33">
        <f t="shared" si="13"/>
        <v>133.99999999999997</v>
      </c>
      <c r="AY33">
        <f t="shared" si="14"/>
        <v>75.181818181818187</v>
      </c>
    </row>
    <row r="34" spans="8:51">
      <c r="H34" s="23"/>
      <c r="I34" s="5">
        <f t="shared" si="18"/>
        <v>66.5</v>
      </c>
      <c r="J34">
        <f t="shared" si="19"/>
        <v>0</v>
      </c>
      <c r="AR34" s="6">
        <f t="shared" si="11"/>
        <v>27</v>
      </c>
      <c r="AS34" s="3">
        <f>AVERAGE(sdata0!B29:AG29)</f>
        <v>0.48770053475935826</v>
      </c>
      <c r="AT34" s="3">
        <f>STDEV(sdata0!B29:AG29)</f>
        <v>0.16617711471699098</v>
      </c>
      <c r="AU34" s="3">
        <f>AVERAGE(sdata1!B29:AG29)</f>
        <v>0.27237076648841352</v>
      </c>
      <c r="AV34" s="3">
        <f>STDEV(sdata1!B29:AG29)</f>
        <v>9.3517097662064744E-2</v>
      </c>
      <c r="AW34">
        <f t="shared" si="12"/>
        <v>1.7905759162303665</v>
      </c>
      <c r="AX34">
        <f t="shared" si="13"/>
        <v>124.36363636363636</v>
      </c>
      <c r="AY34">
        <f t="shared" si="14"/>
        <v>69.454545454545453</v>
      </c>
    </row>
    <row r="35" spans="8:51">
      <c r="H35" s="23" t="s">
        <v>18</v>
      </c>
      <c r="I35" s="5">
        <f>MAX(J4:AO4)</f>
        <v>67.5</v>
      </c>
      <c r="J35">
        <f t="shared" si="19"/>
        <v>2</v>
      </c>
      <c r="AR35" s="6">
        <f t="shared" si="11"/>
        <v>28</v>
      </c>
      <c r="AS35" s="3">
        <f>AVERAGE(sdata0!B30:AG30)</f>
        <v>0.4556149732620321</v>
      </c>
      <c r="AT35" s="3">
        <f>STDEV(sdata0!B30:AG30)</f>
        <v>0.15508619653672154</v>
      </c>
      <c r="AU35" s="3">
        <f>AVERAGE(sdata1!B30:AG30)</f>
        <v>0.25490196078431371</v>
      </c>
      <c r="AV35" s="3">
        <f>STDEV(sdata1!B30:AG30)</f>
        <v>8.7811618995458779E-2</v>
      </c>
      <c r="AW35">
        <f t="shared" si="12"/>
        <v>1.7874125874125877</v>
      </c>
      <c r="AX35">
        <f t="shared" si="13"/>
        <v>116.18181818181819</v>
      </c>
      <c r="AY35">
        <f t="shared" si="14"/>
        <v>65</v>
      </c>
    </row>
    <row r="36" spans="8:51">
      <c r="AR36" s="6">
        <f t="shared" si="11"/>
        <v>29</v>
      </c>
      <c r="AS36" s="3">
        <f>AVERAGE(sdata0!B31:AG31)</f>
        <v>0.42531194295900182</v>
      </c>
      <c r="AT36" s="3">
        <f>STDEV(sdata0!B31:AG31)</f>
        <v>0.14482606876036927</v>
      </c>
      <c r="AU36" s="3">
        <f>AVERAGE(sdata1!B31:AG31)</f>
        <v>0.23850267379679144</v>
      </c>
      <c r="AV36" s="3">
        <f>STDEV(sdata1!B31:AG31)</f>
        <v>8.1900121688208885E-2</v>
      </c>
      <c r="AW36">
        <f t="shared" si="12"/>
        <v>1.7832585949177879</v>
      </c>
      <c r="AX36">
        <f t="shared" si="13"/>
        <v>108.45454545454547</v>
      </c>
      <c r="AY36">
        <f t="shared" si="14"/>
        <v>60.818181818181813</v>
      </c>
    </row>
    <row r="37" spans="8:51">
      <c r="AR37" s="6">
        <f t="shared" si="11"/>
        <v>30</v>
      </c>
      <c r="AS37" s="3">
        <f>AVERAGE(sdata0!B32:AG32)</f>
        <v>0.39821746880570413</v>
      </c>
      <c r="AT37" s="3">
        <f>STDEV(sdata0!B32:AG32)</f>
        <v>0.13543174172628861</v>
      </c>
      <c r="AU37" s="3">
        <f>AVERAGE(sdata1!B32:AG32)</f>
        <v>0.22352941176470589</v>
      </c>
      <c r="AV37" s="3">
        <f>STDEV(sdata1!B32:AG32)</f>
        <v>7.6445445841638926E-2</v>
      </c>
      <c r="AW37">
        <f t="shared" si="12"/>
        <v>1.7814992025518341</v>
      </c>
      <c r="AX37">
        <f t="shared" si="13"/>
        <v>101.54545454545456</v>
      </c>
      <c r="AY37">
        <f t="shared" si="14"/>
        <v>57</v>
      </c>
    </row>
    <row r="38" spans="8:51">
      <c r="AR38" s="6">
        <f t="shared" si="11"/>
        <v>31</v>
      </c>
      <c r="AS38" s="3">
        <f>AVERAGE(sdata0!B33:AG33)</f>
        <v>0.37397504456327985</v>
      </c>
      <c r="AT38" s="3">
        <f>STDEV(sdata0!B33:AG33)</f>
        <v>0.12747538502121103</v>
      </c>
      <c r="AU38" s="3">
        <f>AVERAGE(sdata1!B33:AG33)</f>
        <v>0.20962566844919789</v>
      </c>
      <c r="AV38" s="3">
        <f>STDEV(sdata1!B33:AG33)</f>
        <v>7.199819802870519E-2</v>
      </c>
      <c r="AW38">
        <f t="shared" si="12"/>
        <v>1.7840136054421767</v>
      </c>
      <c r="AX38">
        <f t="shared" si="13"/>
        <v>95.36363636363636</v>
      </c>
      <c r="AY38">
        <f t="shared" si="14"/>
        <v>53.45454545454546</v>
      </c>
    </row>
    <row r="39" spans="8:51">
      <c r="AR39" s="6">
        <f t="shared" si="11"/>
        <v>32</v>
      </c>
      <c r="AS39" s="3">
        <f>AVERAGE(sdata0!B34:AG34)</f>
        <v>0.35187165775401069</v>
      </c>
      <c r="AT39" s="3">
        <f>STDEV(sdata0!B34:AG34)</f>
        <v>0.11984984722375247</v>
      </c>
      <c r="AU39" s="3">
        <f>AVERAGE(sdata1!B34:AG34)</f>
        <v>0.19786096256684493</v>
      </c>
      <c r="AV39" s="3">
        <f>STDEV(sdata1!B34:AG34)</f>
        <v>6.786384442829535E-2</v>
      </c>
      <c r="AW39">
        <f t="shared" si="12"/>
        <v>1.7783783783783782</v>
      </c>
      <c r="AX39">
        <f t="shared" si="13"/>
        <v>89.72727272727272</v>
      </c>
      <c r="AY39">
        <f t="shared" si="14"/>
        <v>50.45454545454546</v>
      </c>
    </row>
    <row r="40" spans="8:51">
      <c r="AR40" s="6">
        <f t="shared" ref="AR40:AR71" si="20">AR39+$B$4</f>
        <v>33</v>
      </c>
      <c r="AS40" s="3">
        <f>AVERAGE(sdata0!B35:AG35)</f>
        <v>0.33190730837789667</v>
      </c>
      <c r="AT40" s="3">
        <f>STDEV(sdata0!B35:AG35)</f>
        <v>0.11301022844525806</v>
      </c>
      <c r="AU40" s="3">
        <f>AVERAGE(sdata1!B35:AG35)</f>
        <v>0.18680926916221033</v>
      </c>
      <c r="AV40" s="3">
        <f>STDEV(sdata1!B35:AG35)</f>
        <v>6.4133480740231841E-2</v>
      </c>
      <c r="AW40">
        <f t="shared" si="12"/>
        <v>1.7767175572519087</v>
      </c>
      <c r="AX40">
        <f t="shared" si="13"/>
        <v>84.636363636363654</v>
      </c>
      <c r="AY40">
        <f t="shared" si="14"/>
        <v>47.636363636363633</v>
      </c>
    </row>
    <row r="41" spans="8:51">
      <c r="AR41" s="6">
        <f t="shared" si="20"/>
        <v>34</v>
      </c>
      <c r="AS41" s="3">
        <f>AVERAGE(sdata0!B36:AG36)</f>
        <v>0.31301247771836005</v>
      </c>
      <c r="AT41" s="3">
        <f>STDEV(sdata0!B36:AG36)</f>
        <v>0.1066178980471159</v>
      </c>
      <c r="AU41" s="3">
        <f>AVERAGE(sdata1!B36:AG36)</f>
        <v>0.17647058823529413</v>
      </c>
      <c r="AV41" s="3">
        <f>STDEV(sdata1!B36:AG36)</f>
        <v>6.0803286096672314E-2</v>
      </c>
      <c r="AW41">
        <f t="shared" si="12"/>
        <v>1.7737373737373734</v>
      </c>
      <c r="AX41">
        <f t="shared" si="13"/>
        <v>79.818181818181813</v>
      </c>
      <c r="AY41">
        <f t="shared" si="14"/>
        <v>45</v>
      </c>
    </row>
    <row r="42" spans="8:51">
      <c r="AR42" s="6">
        <f t="shared" si="20"/>
        <v>35</v>
      </c>
      <c r="AS42" s="3">
        <f>AVERAGE(sdata0!B37:AG37)</f>
        <v>0.29590017825311943</v>
      </c>
      <c r="AT42" s="3">
        <f>STDEV(sdata0!B37:AG37)</f>
        <v>0.10088975389859089</v>
      </c>
      <c r="AU42" s="3">
        <f>AVERAGE(sdata1!B37:AG37)</f>
        <v>0.16506238859180036</v>
      </c>
      <c r="AV42" s="3">
        <f>STDEV(sdata1!B37:AG37)</f>
        <v>5.694934704666315E-2</v>
      </c>
      <c r="AW42">
        <f t="shared" si="12"/>
        <v>1.7926565874730021</v>
      </c>
      <c r="AX42">
        <f t="shared" si="13"/>
        <v>75.454545454545453</v>
      </c>
      <c r="AY42">
        <f t="shared" si="14"/>
        <v>42.090909090909093</v>
      </c>
    </row>
    <row r="43" spans="8:51">
      <c r="AR43" s="6">
        <f t="shared" si="20"/>
        <v>36</v>
      </c>
      <c r="AS43" s="3">
        <f>AVERAGE(sdata0!B38:AG38)</f>
        <v>0.28057040998217464</v>
      </c>
      <c r="AT43" s="3">
        <f>STDEV(sdata0!B38:AG38)</f>
        <v>9.5437858771724324E-2</v>
      </c>
      <c r="AU43" s="3">
        <f>AVERAGE(sdata1!B38:AG38)</f>
        <v>0.15686274509803921</v>
      </c>
      <c r="AV43" s="3">
        <f>STDEV(sdata1!B38:AG38)</f>
        <v>5.3827011566348254E-2</v>
      </c>
      <c r="AW43">
        <f t="shared" si="12"/>
        <v>1.7886363636363634</v>
      </c>
      <c r="AX43">
        <f t="shared" si="13"/>
        <v>71.545454545454533</v>
      </c>
      <c r="AY43">
        <f t="shared" si="14"/>
        <v>40</v>
      </c>
    </row>
    <row r="44" spans="8:51">
      <c r="AR44" s="6">
        <f t="shared" si="20"/>
        <v>37</v>
      </c>
      <c r="AS44" s="3">
        <f>AVERAGE(sdata0!B39:AG39)</f>
        <v>0.2655971479500891</v>
      </c>
      <c r="AT44" s="3">
        <f>STDEV(sdata0!B39:AG39)</f>
        <v>9.0504008192642954E-2</v>
      </c>
      <c r="AU44" s="3">
        <f>AVERAGE(sdata1!B39:AG39)</f>
        <v>0.14937611408199644</v>
      </c>
      <c r="AV44" s="3">
        <f>STDEV(sdata1!B39:AG39)</f>
        <v>5.1444480264152131E-2</v>
      </c>
      <c r="AW44">
        <f t="shared" si="12"/>
        <v>1.7780429594272074</v>
      </c>
      <c r="AX44">
        <f t="shared" si="13"/>
        <v>67.72727272727272</v>
      </c>
      <c r="AY44">
        <f t="shared" si="14"/>
        <v>38.090909090909093</v>
      </c>
    </row>
    <row r="45" spans="8:51">
      <c r="AR45" s="6">
        <f t="shared" si="20"/>
        <v>38</v>
      </c>
      <c r="AS45" s="3">
        <f>AVERAGE(sdata0!B40:AG40)</f>
        <v>0.25276292335115863</v>
      </c>
      <c r="AT45" s="3">
        <f>STDEV(sdata0!B40:AG40)</f>
        <v>8.6084704516846827E-2</v>
      </c>
      <c r="AU45" s="3">
        <f>AVERAGE(sdata1!B40:AG40)</f>
        <v>0.1422459893048128</v>
      </c>
      <c r="AV45" s="3">
        <f>STDEV(sdata1!B40:AG40)</f>
        <v>4.8857485918808105E-2</v>
      </c>
      <c r="AW45">
        <f t="shared" si="12"/>
        <v>1.7769423558897246</v>
      </c>
      <c r="AX45">
        <f t="shared" si="13"/>
        <v>64.454545454545453</v>
      </c>
      <c r="AY45">
        <f t="shared" si="14"/>
        <v>36.272727272727266</v>
      </c>
    </row>
    <row r="46" spans="8:51">
      <c r="AR46" s="6">
        <f t="shared" si="20"/>
        <v>39</v>
      </c>
      <c r="AS46" s="3">
        <f>AVERAGE(sdata0!B41:AG41)</f>
        <v>0.23992869875222816</v>
      </c>
      <c r="AT46" s="3">
        <f>STDEV(sdata0!B41:AG41)</f>
        <v>8.1655650822487047E-2</v>
      </c>
      <c r="AU46" s="3">
        <f>AVERAGE(sdata1!B41:AG41)</f>
        <v>0.13475935828877006</v>
      </c>
      <c r="AV46" s="3">
        <f>STDEV(sdata1!B41:AG41)</f>
        <v>4.6310146705471386E-2</v>
      </c>
      <c r="AW46">
        <f t="shared" si="12"/>
        <v>1.7804232804232802</v>
      </c>
      <c r="AX46">
        <f t="shared" si="13"/>
        <v>61.18181818181818</v>
      </c>
      <c r="AY46">
        <f t="shared" si="14"/>
        <v>34.363636363636367</v>
      </c>
    </row>
    <row r="47" spans="8:51">
      <c r="AR47" s="6">
        <f t="shared" si="20"/>
        <v>40</v>
      </c>
      <c r="AS47" s="3">
        <f>AVERAGE(sdata0!B42:AG42)</f>
        <v>0.22780748663101605</v>
      </c>
      <c r="AT47" s="3">
        <f>STDEV(sdata0!B42:AG42)</f>
        <v>7.7354460492637556E-2</v>
      </c>
      <c r="AU47" s="3">
        <f>AVERAGE(sdata1!B42:AG42)</f>
        <v>0.12762923351158645</v>
      </c>
      <c r="AV47" s="3">
        <f>STDEV(sdata1!B42:AG42)</f>
        <v>4.3892274417275036E-2</v>
      </c>
      <c r="AW47">
        <f t="shared" si="12"/>
        <v>1.7849162011173185</v>
      </c>
      <c r="AX47">
        <f t="shared" si="13"/>
        <v>58.090909090909093</v>
      </c>
      <c r="AY47">
        <f t="shared" si="14"/>
        <v>32.545454545454547</v>
      </c>
    </row>
    <row r="48" spans="8:51">
      <c r="AR48" s="6">
        <f t="shared" si="20"/>
        <v>41</v>
      </c>
      <c r="AS48" s="3">
        <f>AVERAGE(sdata0!B43:AG43)</f>
        <v>0.21746880570409982</v>
      </c>
      <c r="AT48" s="3">
        <f>STDEV(sdata0!B43:AG43)</f>
        <v>7.4103404303559578E-2</v>
      </c>
      <c r="AU48" s="3">
        <f>AVERAGE(sdata1!B43:AG43)</f>
        <v>0.12263814616755794</v>
      </c>
      <c r="AV48" s="3">
        <f>STDEV(sdata1!B43:AG43)</f>
        <v>4.2312650010534476E-2</v>
      </c>
      <c r="AW48">
        <f t="shared" si="12"/>
        <v>1.7732558139534882</v>
      </c>
      <c r="AX48">
        <f t="shared" si="13"/>
        <v>55.454545454545453</v>
      </c>
      <c r="AY48">
        <f t="shared" si="14"/>
        <v>31.272727272727277</v>
      </c>
    </row>
    <row r="49" spans="44:51">
      <c r="AR49" s="6">
        <f t="shared" si="20"/>
        <v>42</v>
      </c>
      <c r="AS49" s="3">
        <f>AVERAGE(sdata0!B44:AG44)</f>
        <v>0.20748663101604281</v>
      </c>
      <c r="AT49" s="3">
        <f>STDEV(sdata0!B44:AG44)</f>
        <v>7.0793917016359287E-2</v>
      </c>
      <c r="AU49" s="3">
        <f>AVERAGE(sdata1!B44:AG44)</f>
        <v>0.11693404634581105</v>
      </c>
      <c r="AV49" s="3">
        <f>STDEV(sdata1!B44:AG44)</f>
        <v>4.0253643402889866E-2</v>
      </c>
      <c r="AW49">
        <f t="shared" si="12"/>
        <v>1.7743902439024393</v>
      </c>
      <c r="AX49">
        <f t="shared" si="13"/>
        <v>52.909090909090914</v>
      </c>
      <c r="AY49">
        <f t="shared" si="14"/>
        <v>29.818181818181817</v>
      </c>
    </row>
    <row r="50" spans="44:51">
      <c r="AR50" s="6">
        <f t="shared" si="20"/>
        <v>43</v>
      </c>
      <c r="AS50" s="3">
        <f>AVERAGE(sdata0!B45:AG45)</f>
        <v>0.19786096256684493</v>
      </c>
      <c r="AT50" s="3">
        <f>STDEV(sdata0!B45:AG45)</f>
        <v>6.7409098633557207E-2</v>
      </c>
      <c r="AU50" s="3">
        <f>AVERAGE(sdata1!B45:AG45)</f>
        <v>0.11158645276292335</v>
      </c>
      <c r="AV50" s="3">
        <f>STDEV(sdata1!B45:AG45)</f>
        <v>3.8357818221674986E-2</v>
      </c>
      <c r="AW50">
        <f t="shared" si="12"/>
        <v>1.7731629392971247</v>
      </c>
      <c r="AX50">
        <f t="shared" si="13"/>
        <v>50.45454545454546</v>
      </c>
      <c r="AY50">
        <f t="shared" si="14"/>
        <v>28.454545454545453</v>
      </c>
    </row>
    <row r="51" spans="44:51">
      <c r="AR51" s="6">
        <f t="shared" si="20"/>
        <v>44</v>
      </c>
      <c r="AS51" s="3">
        <f>AVERAGE(sdata0!B46:AG46)</f>
        <v>0.18894830659536541</v>
      </c>
      <c r="AT51" s="3">
        <f>STDEV(sdata0!B46:AG46)</f>
        <v>6.4290243963416552E-2</v>
      </c>
      <c r="AU51" s="3">
        <f>AVERAGE(sdata1!B46:AG46)</f>
        <v>0.10695187165775401</v>
      </c>
      <c r="AV51" s="3">
        <f>STDEV(sdata1!B46:AG46)</f>
        <v>3.6833150785934764E-2</v>
      </c>
      <c r="AW51">
        <f t="shared" si="12"/>
        <v>1.7666666666666666</v>
      </c>
      <c r="AX51">
        <f t="shared" si="13"/>
        <v>48.18181818181818</v>
      </c>
      <c r="AY51">
        <f t="shared" si="14"/>
        <v>27.272727272727273</v>
      </c>
    </row>
    <row r="52" spans="44:51">
      <c r="AR52" s="6">
        <f t="shared" si="20"/>
        <v>45</v>
      </c>
      <c r="AS52" s="3">
        <f>AVERAGE(sdata0!B47:AG47)</f>
        <v>0.18146167557932263</v>
      </c>
      <c r="AT52" s="3">
        <f>STDEV(sdata0!B47:AG47)</f>
        <v>6.1734282182501508E-2</v>
      </c>
      <c r="AU52" s="3">
        <f>AVERAGE(sdata1!B47:AG47)</f>
        <v>0.10196078431372552</v>
      </c>
      <c r="AV52" s="3">
        <f>STDEV(sdata1!B47:AG47)</f>
        <v>3.5119393219196979E-2</v>
      </c>
      <c r="AW52">
        <f t="shared" si="12"/>
        <v>1.7797202797202791</v>
      </c>
      <c r="AX52">
        <f t="shared" si="13"/>
        <v>46.272727272727273</v>
      </c>
      <c r="AY52">
        <f t="shared" si="14"/>
        <v>26.000000000000007</v>
      </c>
    </row>
    <row r="53" spans="44:51">
      <c r="AR53" s="6">
        <f t="shared" si="20"/>
        <v>46</v>
      </c>
      <c r="AS53" s="3">
        <f>AVERAGE(sdata0!B48:AG48)</f>
        <v>0.17397504456327986</v>
      </c>
      <c r="AT53" s="3">
        <f>STDEV(sdata0!B48:AG48)</f>
        <v>5.9195496552231719E-2</v>
      </c>
      <c r="AU53" s="3">
        <f>AVERAGE(sdata1!B48:AG48)</f>
        <v>9.8752228163992886E-2</v>
      </c>
      <c r="AV53" s="3">
        <f>STDEV(sdata1!B48:AG48)</f>
        <v>3.3998809569054336E-2</v>
      </c>
      <c r="AW53">
        <f t="shared" si="12"/>
        <v>1.7617328519855593</v>
      </c>
      <c r="AX53">
        <f t="shared" si="13"/>
        <v>44.363636363636367</v>
      </c>
      <c r="AY53">
        <f t="shared" si="14"/>
        <v>25.181818181818187</v>
      </c>
    </row>
    <row r="54" spans="44:51">
      <c r="AR54" s="6">
        <f t="shared" si="20"/>
        <v>47</v>
      </c>
      <c r="AS54" s="3">
        <f>AVERAGE(sdata0!B49:AG49)</f>
        <v>0.16577540106951874</v>
      </c>
      <c r="AT54" s="3">
        <f>STDEV(sdata0!B49:AG49)</f>
        <v>5.6342199068696953E-2</v>
      </c>
      <c r="AU54" s="3">
        <f>AVERAGE(sdata1!B49:AG49)</f>
        <v>9.4117647058823514E-2</v>
      </c>
      <c r="AV54" s="3">
        <f>STDEV(sdata1!B49:AG49)</f>
        <v>3.2385604426764858E-2</v>
      </c>
      <c r="AW54">
        <f t="shared" si="12"/>
        <v>1.7613636363636369</v>
      </c>
      <c r="AX54">
        <f t="shared" si="13"/>
        <v>42.27272727272728</v>
      </c>
      <c r="AY54">
        <f t="shared" si="14"/>
        <v>23.999999999999996</v>
      </c>
    </row>
    <row r="55" spans="44:51">
      <c r="AR55" s="6">
        <f t="shared" si="20"/>
        <v>48</v>
      </c>
      <c r="AS55" s="3">
        <f>AVERAGE(sdata0!B50:AG50)</f>
        <v>0.15971479500891267</v>
      </c>
      <c r="AT55" s="3">
        <f>STDEV(sdata0!B50:AG50)</f>
        <v>5.428479187120018E-2</v>
      </c>
      <c r="AU55" s="3">
        <f>AVERAGE(sdata1!B50:AG50)</f>
        <v>8.9839572192513373E-2</v>
      </c>
      <c r="AV55" s="3">
        <f>STDEV(sdata1!B50:AG50)</f>
        <v>3.075142719240841E-2</v>
      </c>
      <c r="AW55">
        <f t="shared" si="12"/>
        <v>1.7777777777777779</v>
      </c>
      <c r="AX55">
        <f t="shared" si="13"/>
        <v>40.727272727272734</v>
      </c>
      <c r="AY55">
        <f t="shared" si="14"/>
        <v>22.90909090909091</v>
      </c>
    </row>
    <row r="56" spans="44:51">
      <c r="AR56" s="6">
        <f t="shared" si="20"/>
        <v>49</v>
      </c>
      <c r="AS56" s="3">
        <f>AVERAGE(sdata0!B51:AG51)</f>
        <v>0.15329768270944741</v>
      </c>
      <c r="AT56" s="3">
        <f>STDEV(sdata0!B51:AG51)</f>
        <v>5.2274805331513761E-2</v>
      </c>
      <c r="AU56" s="3">
        <f>AVERAGE(sdata1!B51:AG51)</f>
        <v>8.6631016042780742E-2</v>
      </c>
      <c r="AV56" s="3">
        <f>STDEV(sdata1!B51:AG51)</f>
        <v>2.98376767287718E-2</v>
      </c>
      <c r="AW56">
        <f t="shared" si="12"/>
        <v>1.7695473251028806</v>
      </c>
      <c r="AX56">
        <f t="shared" si="13"/>
        <v>39.090909090909086</v>
      </c>
      <c r="AY56">
        <f t="shared" si="14"/>
        <v>22.09090909090909</v>
      </c>
    </row>
    <row r="57" spans="44:51">
      <c r="AR57" s="6">
        <f t="shared" si="20"/>
        <v>50</v>
      </c>
      <c r="AS57" s="3">
        <f>AVERAGE(sdata0!B52:AG52)</f>
        <v>0.14688057040998215</v>
      </c>
      <c r="AT57" s="3">
        <f>STDEV(sdata0!B52:AG52)</f>
        <v>5.0078404850934649E-2</v>
      </c>
      <c r="AU57" s="3">
        <f>AVERAGE(sdata1!B52:AG52)</f>
        <v>8.3422459893048126E-2</v>
      </c>
      <c r="AV57" s="3">
        <f>STDEV(sdata1!B52:AG52)</f>
        <v>2.908793805387018E-2</v>
      </c>
      <c r="AW57">
        <f t="shared" si="12"/>
        <v>1.7606837606837604</v>
      </c>
      <c r="AX57">
        <f t="shared" si="13"/>
        <v>37.454545454545446</v>
      </c>
      <c r="AY57">
        <f t="shared" si="14"/>
        <v>21.272727272727273</v>
      </c>
    </row>
    <row r="58" spans="44:51">
      <c r="AR58" s="6">
        <f t="shared" si="20"/>
        <v>51</v>
      </c>
      <c r="AS58" s="3">
        <f>AVERAGE(sdata0!B53:AG53)</f>
        <v>0.14188948306595364</v>
      </c>
      <c r="AT58" s="3">
        <f>STDEV(sdata0!B53:AG53)</f>
        <v>4.8406143522263689E-2</v>
      </c>
      <c r="AU58" s="3">
        <f>AVERAGE(sdata1!B53:AG53)</f>
        <v>8.0213903743315509E-2</v>
      </c>
      <c r="AV58" s="3">
        <f>STDEV(sdata1!B53:AG53)</f>
        <v>2.7471344623735072E-2</v>
      </c>
      <c r="AW58">
        <f t="shared" si="12"/>
        <v>1.7688888888888887</v>
      </c>
      <c r="AX58">
        <f t="shared" si="13"/>
        <v>36.18181818181818</v>
      </c>
      <c r="AY58">
        <f t="shared" si="14"/>
        <v>20.454545454545453</v>
      </c>
    </row>
    <row r="59" spans="44:51">
      <c r="AR59" s="6">
        <f t="shared" si="20"/>
        <v>52</v>
      </c>
      <c r="AS59" s="3">
        <f>AVERAGE(sdata0!B54:AG54)</f>
        <v>0.13547237076648841</v>
      </c>
      <c r="AT59" s="3">
        <f>STDEV(sdata0!B54:AG54)</f>
        <v>4.6313165521465353E-2</v>
      </c>
      <c r="AU59" s="3">
        <f>AVERAGE(sdata1!B54:AG54)</f>
        <v>7.5579322638146165E-2</v>
      </c>
      <c r="AV59" s="3">
        <f>STDEV(sdata1!B54:AG54)</f>
        <v>2.6077158104898281E-2</v>
      </c>
      <c r="AW59">
        <f t="shared" si="12"/>
        <v>1.7924528301886793</v>
      </c>
      <c r="AX59">
        <f t="shared" si="13"/>
        <v>34.545454545454547</v>
      </c>
      <c r="AY59">
        <f t="shared" si="14"/>
        <v>19.272727272727273</v>
      </c>
    </row>
    <row r="60" spans="44:51">
      <c r="AR60" s="6">
        <f t="shared" si="20"/>
        <v>53</v>
      </c>
      <c r="AS60" s="3">
        <f>AVERAGE(sdata0!B55:AG55)</f>
        <v>0.13119429590017823</v>
      </c>
      <c r="AT60" s="3">
        <f>STDEV(sdata0!B55:AG55)</f>
        <v>4.4656444503795134E-2</v>
      </c>
      <c r="AU60" s="3">
        <f>AVERAGE(sdata1!B55:AG55)</f>
        <v>7.3796791443850263E-2</v>
      </c>
      <c r="AV60" s="3">
        <f>STDEV(sdata1!B55:AG55)</f>
        <v>2.5584632415164569E-2</v>
      </c>
      <c r="AW60">
        <f t="shared" si="12"/>
        <v>1.7777777777777775</v>
      </c>
      <c r="AX60">
        <f t="shared" si="13"/>
        <v>33.454545454545446</v>
      </c>
      <c r="AY60">
        <f t="shared" si="14"/>
        <v>18.818181818181817</v>
      </c>
    </row>
    <row r="61" spans="44:51">
      <c r="AR61" s="6">
        <f t="shared" si="20"/>
        <v>54</v>
      </c>
      <c r="AS61" s="3">
        <f>AVERAGE(sdata0!B56:AG56)</f>
        <v>0.12620320855614972</v>
      </c>
      <c r="AT61" s="3">
        <f>STDEV(sdata0!B56:AG56)</f>
        <v>4.313077248327489E-2</v>
      </c>
      <c r="AU61" s="3">
        <f>AVERAGE(sdata1!B56:AG56)</f>
        <v>7.0944741532976821E-2</v>
      </c>
      <c r="AV61" s="3">
        <f>STDEV(sdata1!B56:AG56)</f>
        <v>2.4643840272454063E-2</v>
      </c>
      <c r="AW61">
        <f t="shared" si="12"/>
        <v>1.778894472361809</v>
      </c>
      <c r="AX61">
        <f t="shared" si="13"/>
        <v>32.18181818181818</v>
      </c>
      <c r="AY61">
        <f t="shared" si="14"/>
        <v>18.09090909090909</v>
      </c>
    </row>
    <row r="62" spans="44:51">
      <c r="AR62" s="6">
        <f t="shared" si="20"/>
        <v>55</v>
      </c>
      <c r="AS62" s="3">
        <f>AVERAGE(sdata0!B57:AG57)</f>
        <v>0.12014260249554366</v>
      </c>
      <c r="AT62" s="3">
        <f>STDEV(sdata0!B57:AG57)</f>
        <v>4.087744748009841E-2</v>
      </c>
      <c r="AU62" s="3">
        <f>AVERAGE(sdata1!B57:AG57)</f>
        <v>6.9162210338680918E-2</v>
      </c>
      <c r="AV62" s="3">
        <f>STDEV(sdata1!B57:AG57)</f>
        <v>2.3935883037856143E-2</v>
      </c>
      <c r="AW62">
        <f t="shared" si="12"/>
        <v>1.7371134020618557</v>
      </c>
      <c r="AX62">
        <f t="shared" si="13"/>
        <v>30.636363636363633</v>
      </c>
      <c r="AY62">
        <f t="shared" si="14"/>
        <v>17.636363636363633</v>
      </c>
    </row>
    <row r="63" spans="44:51">
      <c r="AR63" s="6">
        <f t="shared" si="20"/>
        <v>56</v>
      </c>
      <c r="AS63" s="3">
        <f>AVERAGE(sdata0!B58:AG58)</f>
        <v>0.11622103386809268</v>
      </c>
      <c r="AT63" s="3">
        <f>STDEV(sdata0!B58:AG58)</f>
        <v>3.9810111651303902E-2</v>
      </c>
      <c r="AU63" s="3">
        <f>AVERAGE(sdata1!B58:AG58)</f>
        <v>6.6666666666666666E-2</v>
      </c>
      <c r="AV63" s="3">
        <f>STDEV(sdata1!B58:AG58)</f>
        <v>2.279912447646848E-2</v>
      </c>
      <c r="AW63">
        <f t="shared" si="12"/>
        <v>1.7433155080213902</v>
      </c>
      <c r="AX63">
        <f t="shared" si="13"/>
        <v>29.636363636363633</v>
      </c>
      <c r="AY63">
        <f t="shared" si="14"/>
        <v>17</v>
      </c>
    </row>
    <row r="64" spans="44:51">
      <c r="AR64" s="6">
        <f t="shared" si="20"/>
        <v>57</v>
      </c>
      <c r="AS64" s="3">
        <f>AVERAGE(sdata0!B59:AG59)</f>
        <v>0.11229946524064172</v>
      </c>
      <c r="AT64" s="3">
        <f>STDEV(sdata0!B59:AG59)</f>
        <v>3.8753064485151582E-2</v>
      </c>
      <c r="AU64" s="3">
        <f>AVERAGE(sdata1!B59:AG59)</f>
        <v>6.4171122994652399E-2</v>
      </c>
      <c r="AV64" s="3">
        <f>STDEV(sdata1!B59:AG59)</f>
        <v>2.1993863551069102E-2</v>
      </c>
      <c r="AW64">
        <f t="shared" si="12"/>
        <v>1.7500000000000002</v>
      </c>
      <c r="AX64">
        <f t="shared" si="13"/>
        <v>28.636363636363637</v>
      </c>
      <c r="AY64">
        <f t="shared" si="14"/>
        <v>16.363636363636363</v>
      </c>
    </row>
    <row r="65" spans="44:51">
      <c r="AR65" s="6">
        <f t="shared" si="20"/>
        <v>58</v>
      </c>
      <c r="AS65" s="3">
        <f>AVERAGE(sdata0!B60:AG60)</f>
        <v>0.10837789661319074</v>
      </c>
      <c r="AT65" s="3">
        <f>STDEV(sdata0!B60:AG60)</f>
        <v>3.709035808524766E-2</v>
      </c>
      <c r="AU65" s="3">
        <f>AVERAGE(sdata1!B60:AG60)</f>
        <v>6.167557932263814E-2</v>
      </c>
      <c r="AV65" s="3">
        <f>STDEV(sdata1!B60:AG60)</f>
        <v>2.1124912478653883E-2</v>
      </c>
      <c r="AW65">
        <f t="shared" si="12"/>
        <v>1.7572254335260118</v>
      </c>
      <c r="AX65">
        <f t="shared" si="13"/>
        <v>27.636363636363637</v>
      </c>
      <c r="AY65">
        <f t="shared" si="14"/>
        <v>15.727272727272725</v>
      </c>
    </row>
    <row r="66" spans="44:51">
      <c r="AR66" s="6">
        <f t="shared" si="20"/>
        <v>59</v>
      </c>
      <c r="AS66" s="3">
        <f>AVERAGE(sdata0!B61:AG61)</f>
        <v>0.10516934046345812</v>
      </c>
      <c r="AT66" s="3">
        <f>STDEV(sdata0!B61:AG61)</f>
        <v>3.5891167108512465E-2</v>
      </c>
      <c r="AU66" s="3">
        <f>AVERAGE(sdata1!B61:AG61)</f>
        <v>5.9893048128342244E-2</v>
      </c>
      <c r="AV66" s="3">
        <f>STDEV(sdata1!B61:AG61)</f>
        <v>2.0757726916282932E-2</v>
      </c>
      <c r="AW66">
        <f t="shared" si="12"/>
        <v>1.7559523809523812</v>
      </c>
      <c r="AX66">
        <f t="shared" si="13"/>
        <v>26.81818181818182</v>
      </c>
      <c r="AY66">
        <f t="shared" si="14"/>
        <v>15.272727272727272</v>
      </c>
    </row>
    <row r="67" spans="44:51">
      <c r="AR67" s="6">
        <f t="shared" si="20"/>
        <v>60</v>
      </c>
      <c r="AS67" s="3">
        <f>AVERAGE(sdata0!B62:AG62)</f>
        <v>0.10160427807486633</v>
      </c>
      <c r="AT67" s="3">
        <f>STDEV(sdata0!B62:AG62)</f>
        <v>3.4698882442620017E-2</v>
      </c>
      <c r="AU67" s="3">
        <f>AVERAGE(sdata1!B62:AG62)</f>
        <v>5.7397504456327984E-2</v>
      </c>
      <c r="AV67" s="3">
        <f>STDEV(sdata1!B62:AG62)</f>
        <v>1.9940143206710455E-2</v>
      </c>
      <c r="AW67">
        <f t="shared" si="12"/>
        <v>1.7701863354037271</v>
      </c>
      <c r="AX67">
        <f t="shared" si="13"/>
        <v>25.909090909090914</v>
      </c>
      <c r="AY67">
        <f t="shared" si="14"/>
        <v>14.636363636363637</v>
      </c>
    </row>
    <row r="68" spans="44:51">
      <c r="AR68" s="6">
        <f t="shared" si="20"/>
        <v>61</v>
      </c>
      <c r="AS68" s="3">
        <f>AVERAGE(sdata0!B63:AG63)</f>
        <v>9.8395721925133683E-2</v>
      </c>
      <c r="AT68" s="3">
        <f>STDEV(sdata0!B63:AG63)</f>
        <v>3.3434887766640498E-2</v>
      </c>
      <c r="AU68" s="3">
        <f>AVERAGE(sdata1!B63:AG63)</f>
        <v>5.4901960784313732E-2</v>
      </c>
      <c r="AV68" s="3">
        <f>STDEV(sdata1!B63:AG63)</f>
        <v>1.9050914198417424E-2</v>
      </c>
      <c r="AW68">
        <f t="shared" si="12"/>
        <v>1.7922077922077919</v>
      </c>
      <c r="AX68">
        <f t="shared" si="13"/>
        <v>25.09090909090909</v>
      </c>
      <c r="AY68">
        <f t="shared" si="14"/>
        <v>14.000000000000002</v>
      </c>
    </row>
    <row r="69" spans="44:51">
      <c r="AR69" s="6">
        <f t="shared" si="20"/>
        <v>62</v>
      </c>
      <c r="AS69" s="3">
        <f>AVERAGE(sdata0!B64:AG64)</f>
        <v>9.5543672014260256E-2</v>
      </c>
      <c r="AT69" s="3">
        <f>STDEV(sdata0!B64:AG64)</f>
        <v>3.2635025858665678E-2</v>
      </c>
      <c r="AU69" s="3">
        <f>AVERAGE(sdata1!B64:AG64)</f>
        <v>5.3475935828877004E-2</v>
      </c>
      <c r="AV69" s="3">
        <f>STDEV(sdata1!B64:AG64)</f>
        <v>1.8499891602515219E-2</v>
      </c>
      <c r="AW69">
        <f t="shared" si="12"/>
        <v>1.7866666666666668</v>
      </c>
      <c r="AX69">
        <f t="shared" si="13"/>
        <v>24.363636363636367</v>
      </c>
      <c r="AY69">
        <f t="shared" si="14"/>
        <v>13.636363636363637</v>
      </c>
    </row>
    <row r="70" spans="44:51">
      <c r="AR70" s="6">
        <f t="shared" si="20"/>
        <v>63</v>
      </c>
      <c r="AS70" s="3">
        <f>AVERAGE(sdata0!B65:AG65)</f>
        <v>9.2335115864527625E-2</v>
      </c>
      <c r="AT70" s="3">
        <f>STDEV(sdata0!B65:AG65)</f>
        <v>3.1488200379397042E-2</v>
      </c>
      <c r="AU70" s="3">
        <f>AVERAGE(sdata1!B65:AG65)</f>
        <v>5.1693404634581115E-2</v>
      </c>
      <c r="AV70" s="3">
        <f>STDEV(sdata1!B65:AG65)</f>
        <v>1.7869464035702914E-2</v>
      </c>
      <c r="AW70">
        <f t="shared" si="12"/>
        <v>1.7862068965517237</v>
      </c>
      <c r="AX70">
        <f t="shared" si="13"/>
        <v>23.545454545454543</v>
      </c>
      <c r="AY70">
        <f t="shared" si="14"/>
        <v>13.181818181818185</v>
      </c>
    </row>
    <row r="71" spans="44:51">
      <c r="AR71" s="6">
        <f t="shared" si="20"/>
        <v>64</v>
      </c>
      <c r="AS71" s="3">
        <f>AVERAGE(sdata0!B66:AG66)</f>
        <v>8.9839572192513373E-2</v>
      </c>
      <c r="AT71" s="3">
        <f>STDEV(sdata0!B66:AG66)</f>
        <v>3.0601030277918929E-2</v>
      </c>
      <c r="AU71" s="3">
        <f>AVERAGE(sdata1!B66:AG66)</f>
        <v>5.0267379679144381E-2</v>
      </c>
      <c r="AV71" s="3">
        <f>STDEV(sdata1!B66:AG66)</f>
        <v>1.7256522367602101E-2</v>
      </c>
      <c r="AW71">
        <f t="shared" si="12"/>
        <v>1.7872340425531916</v>
      </c>
      <c r="AX71">
        <f t="shared" si="13"/>
        <v>22.90909090909091</v>
      </c>
      <c r="AY71">
        <f t="shared" si="14"/>
        <v>12.818181818181817</v>
      </c>
    </row>
    <row r="72" spans="44:51">
      <c r="AR72" s="6">
        <f t="shared" ref="AR72:AR135" si="21">AR71+$B$4</f>
        <v>65</v>
      </c>
      <c r="AS72" s="3">
        <f>AVERAGE(sdata0!B67:AG67)</f>
        <v>8.7344028520499106E-2</v>
      </c>
      <c r="AT72" s="3">
        <f>STDEV(sdata0!B67:AG67)</f>
        <v>2.9973250106138539E-2</v>
      </c>
      <c r="AU72" s="3">
        <f>AVERAGE(sdata1!B67:AG67)</f>
        <v>4.9197860962566842E-2</v>
      </c>
      <c r="AV72" s="3">
        <f>STDEV(sdata1!B67:AG67)</f>
        <v>1.6945863219141891E-2</v>
      </c>
      <c r="AW72">
        <f t="shared" ref="AW72:AW87" si="22">AS72/AU72</f>
        <v>1.7753623188405798</v>
      </c>
      <c r="AX72">
        <f t="shared" ref="AX72:AX87" si="23">AS72*$AX$5</f>
        <v>22.272727272727273</v>
      </c>
      <c r="AY72">
        <f t="shared" ref="AY72:AY87" si="24">AU72*$AX$5</f>
        <v>12.545454545454545</v>
      </c>
    </row>
    <row r="73" spans="44:51">
      <c r="AR73" s="6">
        <f t="shared" si="21"/>
        <v>66</v>
      </c>
      <c r="AS73" s="3">
        <f>AVERAGE(sdata0!B68:AG68)</f>
        <v>8.4848484848484854E-2</v>
      </c>
      <c r="AT73" s="3">
        <f>STDEV(sdata0!B68:AG68)</f>
        <v>2.8938558108492943E-2</v>
      </c>
      <c r="AU73" s="3">
        <f>AVERAGE(sdata1!B68:AG68)</f>
        <v>4.7771836007130128E-2</v>
      </c>
      <c r="AV73" s="3">
        <f>STDEV(sdata1!B68:AG68)</f>
        <v>1.6434898944742433E-2</v>
      </c>
      <c r="AW73">
        <f t="shared" si="22"/>
        <v>1.7761194029850746</v>
      </c>
      <c r="AX73">
        <f t="shared" si="23"/>
        <v>21.636363636363637</v>
      </c>
      <c r="AY73">
        <f t="shared" si="24"/>
        <v>12.181818181818183</v>
      </c>
    </row>
    <row r="74" spans="44:51">
      <c r="AR74" s="6">
        <f t="shared" si="21"/>
        <v>67</v>
      </c>
      <c r="AS74" s="3">
        <f>AVERAGE(sdata0!B69:AG69)</f>
        <v>8.1996434937611426E-2</v>
      </c>
      <c r="AT74" s="3">
        <f>STDEV(sdata0!B69:AG69)</f>
        <v>2.8030550996582183E-2</v>
      </c>
      <c r="AU74" s="3">
        <f>AVERAGE(sdata1!B69:AG69)</f>
        <v>4.63458110516934E-2</v>
      </c>
      <c r="AV74" s="3">
        <f>STDEV(sdata1!B69:AG69)</f>
        <v>1.6056243113631855E-2</v>
      </c>
      <c r="AW74">
        <f t="shared" si="22"/>
        <v>1.7692307692307698</v>
      </c>
      <c r="AX74">
        <f t="shared" si="23"/>
        <v>20.909090909090914</v>
      </c>
      <c r="AY74">
        <f t="shared" si="24"/>
        <v>11.818181818181817</v>
      </c>
    </row>
    <row r="75" spans="44:51">
      <c r="AR75" s="6">
        <f t="shared" si="21"/>
        <v>68</v>
      </c>
      <c r="AS75" s="3">
        <f>AVERAGE(sdata0!B70:AG70)</f>
        <v>7.9500891265597159E-2</v>
      </c>
      <c r="AT75" s="3">
        <f>STDEV(sdata0!B70:AG70)</f>
        <v>2.7174569669585022E-2</v>
      </c>
      <c r="AU75" s="3">
        <f>AVERAGE(sdata1!B70:AG70)</f>
        <v>4.5276292335115861E-2</v>
      </c>
      <c r="AV75" s="3">
        <f>STDEV(sdata1!B70:AG70)</f>
        <v>1.5721884713429401E-2</v>
      </c>
      <c r="AW75">
        <f t="shared" si="22"/>
        <v>1.7559055118110241</v>
      </c>
      <c r="AX75">
        <f t="shared" si="23"/>
        <v>20.272727272727277</v>
      </c>
      <c r="AY75">
        <f t="shared" si="24"/>
        <v>11.545454545454545</v>
      </c>
    </row>
    <row r="76" spans="44:51">
      <c r="AR76" s="6">
        <f t="shared" si="21"/>
        <v>69</v>
      </c>
      <c r="AS76" s="3">
        <f>AVERAGE(sdata0!B71:AG71)</f>
        <v>7.8074866310160446E-2</v>
      </c>
      <c r="AT76" s="3">
        <f>STDEV(sdata0!B71:AG71)</f>
        <v>2.6565815375647579E-2</v>
      </c>
      <c r="AU76" s="3">
        <f>AVERAGE(sdata1!B71:AG71)</f>
        <v>4.4206773618538323E-2</v>
      </c>
      <c r="AV76" s="3">
        <f>STDEV(sdata1!B71:AG71)</f>
        <v>1.5497978595073646E-2</v>
      </c>
      <c r="AW76">
        <f t="shared" si="22"/>
        <v>1.7661290322580649</v>
      </c>
      <c r="AX76">
        <f t="shared" si="23"/>
        <v>19.909090909090914</v>
      </c>
      <c r="AY76">
        <f t="shared" si="24"/>
        <v>11.272727272727272</v>
      </c>
    </row>
    <row r="77" spans="44:51">
      <c r="AR77" s="6">
        <f t="shared" si="21"/>
        <v>70</v>
      </c>
      <c r="AS77" s="3">
        <f>AVERAGE(sdata0!B72:AG72)</f>
        <v>7.5935828877005354E-2</v>
      </c>
      <c r="AT77" s="3">
        <f>STDEV(sdata0!B72:AG72)</f>
        <v>2.5969711590633042E-2</v>
      </c>
      <c r="AU77" s="3">
        <f>AVERAGE(sdata1!B72:AG72)</f>
        <v>4.2067736185383238E-2</v>
      </c>
      <c r="AV77" s="3">
        <f>STDEV(sdata1!B72:AG72)</f>
        <v>1.4577574545640549E-2</v>
      </c>
      <c r="AW77">
        <f t="shared" si="22"/>
        <v>1.8050847457627124</v>
      </c>
      <c r="AX77">
        <f t="shared" si="23"/>
        <v>19.363636363636367</v>
      </c>
      <c r="AY77">
        <f t="shared" si="24"/>
        <v>10.727272727272725</v>
      </c>
    </row>
    <row r="78" spans="44:51">
      <c r="AR78" s="6">
        <f t="shared" si="21"/>
        <v>71</v>
      </c>
      <c r="AS78" s="3">
        <f>AVERAGE(sdata0!B73:AG73)</f>
        <v>7.2727272727272724E-2</v>
      </c>
      <c r="AT78" s="3">
        <f>STDEV(sdata0!B73:AG73)</f>
        <v>2.4762688279704015E-2</v>
      </c>
      <c r="AU78" s="3">
        <f>AVERAGE(sdata1!B73:AG73)</f>
        <v>4.1711229946524063E-2</v>
      </c>
      <c r="AV78" s="3">
        <f>STDEV(sdata1!B73:AG73)</f>
        <v>1.438448556280358E-2</v>
      </c>
      <c r="AW78">
        <f t="shared" si="22"/>
        <v>1.7435897435897436</v>
      </c>
      <c r="AX78">
        <f t="shared" si="23"/>
        <v>18.545454545454543</v>
      </c>
      <c r="AY78">
        <f t="shared" si="24"/>
        <v>10.636363636363637</v>
      </c>
    </row>
    <row r="79" spans="44:51">
      <c r="AR79" s="6">
        <f t="shared" si="21"/>
        <v>72</v>
      </c>
      <c r="AS79" s="3">
        <f>AVERAGE(sdata0!B74:AG74)</f>
        <v>7.0944741532976821E-2</v>
      </c>
      <c r="AT79" s="3">
        <f>STDEV(sdata0!B74:AG74)</f>
        <v>2.4075655805700789E-2</v>
      </c>
      <c r="AU79" s="3">
        <f>AVERAGE(sdata1!B74:AG74)</f>
        <v>4.0641711229946524E-2</v>
      </c>
      <c r="AV79" s="3">
        <f>STDEV(sdata1!B74:AG74)</f>
        <v>1.3950285463267698E-2</v>
      </c>
      <c r="AW79">
        <f t="shared" si="22"/>
        <v>1.7456140350877192</v>
      </c>
      <c r="AX79">
        <f t="shared" si="23"/>
        <v>18.09090909090909</v>
      </c>
      <c r="AY79">
        <f t="shared" si="24"/>
        <v>10.363636363636363</v>
      </c>
    </row>
    <row r="80" spans="44:51">
      <c r="AR80" s="6">
        <f t="shared" si="21"/>
        <v>73</v>
      </c>
      <c r="AS80" s="3">
        <f>AVERAGE(sdata0!B75:AG75)</f>
        <v>6.8805704099821743E-2</v>
      </c>
      <c r="AT80" s="3">
        <f>STDEV(sdata0!B75:AG75)</f>
        <v>2.3618370160501816E-2</v>
      </c>
      <c r="AU80" s="3">
        <f>AVERAGE(sdata1!B75:AG75)</f>
        <v>3.9215686274509803E-2</v>
      </c>
      <c r="AV80" s="3">
        <f>STDEV(sdata1!B75:AG75)</f>
        <v>1.3697450350253314E-2</v>
      </c>
      <c r="AW80">
        <f t="shared" si="22"/>
        <v>1.7545454545454544</v>
      </c>
      <c r="AX80">
        <f t="shared" si="23"/>
        <v>17.545454545454543</v>
      </c>
      <c r="AY80">
        <f t="shared" si="24"/>
        <v>10</v>
      </c>
    </row>
    <row r="81" spans="44:51">
      <c r="AR81" s="6">
        <f t="shared" si="21"/>
        <v>74</v>
      </c>
      <c r="AS81" s="3">
        <f>AVERAGE(sdata0!B76:AG76)</f>
        <v>6.7023172905525841E-2</v>
      </c>
      <c r="AT81" s="3">
        <f>STDEV(sdata0!B76:AG76)</f>
        <v>2.2897027769456603E-2</v>
      </c>
      <c r="AU81" s="3">
        <f>AVERAGE(sdata1!B76:AG76)</f>
        <v>3.7789661319073083E-2</v>
      </c>
      <c r="AV81" s="3">
        <f>STDEV(sdata1!B76:AG76)</f>
        <v>1.3387746786029766E-2</v>
      </c>
      <c r="AW81">
        <f t="shared" si="22"/>
        <v>1.7735849056603772</v>
      </c>
      <c r="AX81">
        <f t="shared" si="23"/>
        <v>17.09090909090909</v>
      </c>
      <c r="AY81">
        <f t="shared" si="24"/>
        <v>9.6363636363636367</v>
      </c>
    </row>
    <row r="82" spans="44:51">
      <c r="AR82" s="6">
        <f t="shared" si="21"/>
        <v>75</v>
      </c>
      <c r="AS82" s="3">
        <f>AVERAGE(sdata0!B77:AG77)</f>
        <v>6.5240641711229938E-2</v>
      </c>
      <c r="AT82" s="3">
        <f>STDEV(sdata0!B77:AG77)</f>
        <v>2.2340741581309574E-2</v>
      </c>
      <c r="AU82" s="3">
        <f>AVERAGE(sdata1!B77:AG77)</f>
        <v>3.6720142602495551E-2</v>
      </c>
      <c r="AV82" s="3">
        <f>STDEV(sdata1!B77:AG77)</f>
        <v>1.2920093018512033E-2</v>
      </c>
      <c r="AW82">
        <f t="shared" si="22"/>
        <v>1.776699029126213</v>
      </c>
      <c r="AX82">
        <f t="shared" si="23"/>
        <v>16.636363636363633</v>
      </c>
      <c r="AY82">
        <f t="shared" si="24"/>
        <v>9.3636363636363651</v>
      </c>
    </row>
    <row r="83" spans="44:51">
      <c r="AR83" s="6">
        <f t="shared" si="21"/>
        <v>76</v>
      </c>
      <c r="AS83" s="3">
        <f>AVERAGE(sdata0!B78:AG78)</f>
        <v>6.4527629233511574E-2</v>
      </c>
      <c r="AT83" s="3">
        <f>STDEV(sdata0!B78:AG78)</f>
        <v>2.2415710723489794E-2</v>
      </c>
      <c r="AU83" s="3">
        <f>AVERAGE(sdata1!B78:AG78)</f>
        <v>3.6720142602495551E-2</v>
      </c>
      <c r="AV83" s="3">
        <f>STDEV(sdata1!B78:AG78)</f>
        <v>1.2800510283072386E-2</v>
      </c>
      <c r="AW83">
        <f t="shared" si="22"/>
        <v>1.7572815533980575</v>
      </c>
      <c r="AX83">
        <f t="shared" si="23"/>
        <v>16.45454545454545</v>
      </c>
      <c r="AY83">
        <f t="shared" si="24"/>
        <v>9.3636363636363651</v>
      </c>
    </row>
    <row r="84" spans="44:51">
      <c r="AR84" s="6">
        <f t="shared" si="21"/>
        <v>77</v>
      </c>
      <c r="AS84" s="3">
        <f>AVERAGE(sdata0!B79:AG79)</f>
        <v>6.167557932263814E-2</v>
      </c>
      <c r="AT84" s="3">
        <f>STDEV(sdata0!B79:AG79)</f>
        <v>2.1342191722751223E-2</v>
      </c>
      <c r="AU84" s="3">
        <f>AVERAGE(sdata1!B79:AG79)</f>
        <v>3.6363636363636355E-2</v>
      </c>
      <c r="AV84" s="3">
        <f>STDEV(sdata1!B79:AG79)</f>
        <v>1.2535643495026493E-2</v>
      </c>
      <c r="AW84">
        <f t="shared" si="22"/>
        <v>1.6960784313725492</v>
      </c>
      <c r="AX84">
        <f t="shared" si="23"/>
        <v>15.727272727272725</v>
      </c>
      <c r="AY84">
        <f t="shared" si="24"/>
        <v>9.2727272727272698</v>
      </c>
    </row>
    <row r="85" spans="44:51">
      <c r="AR85" s="6">
        <f t="shared" si="21"/>
        <v>78</v>
      </c>
      <c r="AS85" s="3">
        <f>AVERAGE(sdata0!B80:AG80)</f>
        <v>5.9536541889483069E-2</v>
      </c>
      <c r="AT85" s="3">
        <f>STDEV(sdata0!B80:AG80)</f>
        <v>2.0363341769515372E-2</v>
      </c>
      <c r="AU85" s="3">
        <f>AVERAGE(sdata1!B80:AG80)</f>
        <v>3.4581105169340459E-2</v>
      </c>
      <c r="AV85" s="3">
        <f>STDEV(sdata1!B80:AG80)</f>
        <v>1.2127501775940276E-2</v>
      </c>
      <c r="AW85">
        <f t="shared" si="22"/>
        <v>1.7216494845360828</v>
      </c>
      <c r="AX85">
        <f t="shared" si="23"/>
        <v>15.181818181818183</v>
      </c>
      <c r="AY85">
        <f t="shared" si="24"/>
        <v>8.8181818181818166</v>
      </c>
    </row>
    <row r="86" spans="44:51">
      <c r="AR86" s="6">
        <f t="shared" si="21"/>
        <v>79</v>
      </c>
      <c r="AS86" s="3">
        <f>AVERAGE(sdata0!B81:AG81)</f>
        <v>5.9180035650623887E-2</v>
      </c>
      <c r="AT86" s="3">
        <f>STDEV(sdata0!B81:AG81)</f>
        <v>2.0411344325560962E-2</v>
      </c>
      <c r="AU86" s="3">
        <f>AVERAGE(sdata1!B81:AG81)</f>
        <v>3.2798573975044557E-2</v>
      </c>
      <c r="AV86" s="3">
        <f>STDEV(sdata1!B81:AG81)</f>
        <v>1.153670934484472E-2</v>
      </c>
      <c r="AW86">
        <f t="shared" si="22"/>
        <v>1.804347826086957</v>
      </c>
      <c r="AX86">
        <f t="shared" si="23"/>
        <v>15.090909090909092</v>
      </c>
      <c r="AY86">
        <f t="shared" si="24"/>
        <v>8.3636363636363615</v>
      </c>
    </row>
    <row r="87" spans="44:51">
      <c r="AR87" s="6">
        <f t="shared" si="21"/>
        <v>80</v>
      </c>
      <c r="AS87" s="3">
        <f>AVERAGE(sdata0!B82:AG82)</f>
        <v>5.6684491978609627E-2</v>
      </c>
      <c r="AT87" s="3">
        <f>STDEV(sdata0!B82:AG82)</f>
        <v>1.9399967606693332E-2</v>
      </c>
      <c r="AU87" s="3">
        <f>AVERAGE(sdata1!B82:AG82)</f>
        <v>3.2442067736185382E-2</v>
      </c>
      <c r="AV87" s="3">
        <f>STDEV(sdata1!B82:AG82)</f>
        <v>1.1378079668148994E-2</v>
      </c>
      <c r="AW87">
        <f t="shared" si="22"/>
        <v>1.7472527472527475</v>
      </c>
      <c r="AX87">
        <f t="shared" si="23"/>
        <v>14.454545454545455</v>
      </c>
      <c r="AY87">
        <f t="shared" si="24"/>
        <v>8.2727272727272716</v>
      </c>
    </row>
    <row r="88" spans="44:51">
      <c r="AR88" s="6">
        <f t="shared" si="21"/>
        <v>81</v>
      </c>
      <c r="AS88" s="3">
        <f>AVERAGE(sdata0!B83:AG83)</f>
        <v>5.6327985739750445E-2</v>
      </c>
      <c r="AT88" s="3">
        <f>STDEV(sdata0!B83:AG83)</f>
        <v>1.939275974183121E-2</v>
      </c>
      <c r="AU88" s="3">
        <f>AVERAGE(sdata1!B83:AG83)</f>
        <v>3.1729055258467025E-2</v>
      </c>
      <c r="AV88" s="3">
        <f>STDEV(sdata1!B83:AG83)</f>
        <v>1.1154715042539762E-2</v>
      </c>
      <c r="AW88">
        <f t="shared" ref="AW88:AW151" si="25">AS88/AU88</f>
        <v>1.7752808988764044</v>
      </c>
      <c r="AX88">
        <f t="shared" ref="AX88:AX151" si="26">AS88*$AX$5</f>
        <v>14.363636363636363</v>
      </c>
      <c r="AY88">
        <f t="shared" ref="AY88:AY151" si="27">AU88*$AX$5</f>
        <v>8.0909090909090917</v>
      </c>
    </row>
    <row r="89" spans="44:51">
      <c r="AR89" s="6">
        <f t="shared" si="21"/>
        <v>82</v>
      </c>
      <c r="AS89" s="3">
        <f>AVERAGE(sdata0!B84:AG84)</f>
        <v>5.3832442067736186E-2</v>
      </c>
      <c r="AT89" s="3">
        <f>STDEV(sdata0!B84:AG84)</f>
        <v>1.8401386462224289E-2</v>
      </c>
      <c r="AU89" s="3">
        <f>AVERAGE(sdata1!B84:AG84)</f>
        <v>3.1372549019607836E-2</v>
      </c>
      <c r="AV89" s="3">
        <f>STDEV(sdata1!B84:AG84)</f>
        <v>1.0952345132367812E-2</v>
      </c>
      <c r="AW89">
        <f t="shared" si="25"/>
        <v>1.7159090909090913</v>
      </c>
      <c r="AX89">
        <f t="shared" si="26"/>
        <v>13.727272727272727</v>
      </c>
      <c r="AY89">
        <f t="shared" si="27"/>
        <v>7.9999999999999982</v>
      </c>
    </row>
    <row r="90" spans="44:51">
      <c r="AR90" s="6">
        <f t="shared" si="21"/>
        <v>83</v>
      </c>
      <c r="AS90" s="3">
        <f>AVERAGE(sdata0!B85:AG85)</f>
        <v>5.204991087344029E-2</v>
      </c>
      <c r="AT90" s="3">
        <f>STDEV(sdata0!B85:AG85)</f>
        <v>1.7892919916334536E-2</v>
      </c>
      <c r="AU90" s="3">
        <f>AVERAGE(sdata1!B85:AG85)</f>
        <v>2.9946524064171122E-2</v>
      </c>
      <c r="AV90" s="3">
        <f>STDEV(sdata1!B85:AG85)</f>
        <v>1.0562456239326924E-2</v>
      </c>
      <c r="AW90">
        <f t="shared" si="25"/>
        <v>1.7380952380952384</v>
      </c>
      <c r="AX90">
        <f t="shared" si="26"/>
        <v>13.272727272727273</v>
      </c>
      <c r="AY90">
        <f t="shared" si="27"/>
        <v>7.6363636363636358</v>
      </c>
    </row>
    <row r="91" spans="44:51">
      <c r="AR91" s="6">
        <f t="shared" si="21"/>
        <v>84</v>
      </c>
      <c r="AS91" s="3">
        <f>AVERAGE(sdata0!B86:AG86)</f>
        <v>5.0623885918003556E-2</v>
      </c>
      <c r="AT91" s="3">
        <f>STDEV(sdata0!B86:AG86)</f>
        <v>1.7313141060422053E-2</v>
      </c>
      <c r="AU91" s="3">
        <f>AVERAGE(sdata1!B86:AG86)</f>
        <v>3.03030303030303E-2</v>
      </c>
      <c r="AV91" s="3">
        <f>STDEV(sdata1!B86:AG86)</f>
        <v>1.0965102673247564E-2</v>
      </c>
      <c r="AW91">
        <f t="shared" si="25"/>
        <v>1.6705882352941175</v>
      </c>
      <c r="AX91">
        <f t="shared" si="26"/>
        <v>12.909090909090907</v>
      </c>
      <c r="AY91">
        <f t="shared" si="27"/>
        <v>7.7272727272727266</v>
      </c>
    </row>
    <row r="92" spans="44:51">
      <c r="AR92" s="6">
        <f t="shared" si="21"/>
        <v>85</v>
      </c>
      <c r="AS92" s="3">
        <f>AVERAGE(sdata0!B87:AG87)</f>
        <v>5.0267379679144381E-2</v>
      </c>
      <c r="AT92" s="3">
        <f>STDEV(sdata0!B87:AG87)</f>
        <v>1.7256522367602091E-2</v>
      </c>
      <c r="AU92" s="3">
        <f>AVERAGE(sdata1!B87:AG87)</f>
        <v>2.9233511586452765E-2</v>
      </c>
      <c r="AV92" s="3">
        <f>STDEV(sdata1!B87:AG87)</f>
        <v>1.0280739970650611E-2</v>
      </c>
      <c r="AW92">
        <f t="shared" si="25"/>
        <v>1.719512195121951</v>
      </c>
      <c r="AX92">
        <f t="shared" si="26"/>
        <v>12.818181818181817</v>
      </c>
      <c r="AY92">
        <f t="shared" si="27"/>
        <v>7.454545454545455</v>
      </c>
    </row>
    <row r="93" spans="44:51">
      <c r="AR93" s="6">
        <f t="shared" si="21"/>
        <v>86</v>
      </c>
      <c r="AS93" s="3">
        <f>AVERAGE(sdata0!B88:AG88)</f>
        <v>4.8128342245989303E-2</v>
      </c>
      <c r="AT93" s="3">
        <f>STDEV(sdata0!B88:AG88)</f>
        <v>1.6738338084554903E-2</v>
      </c>
      <c r="AU93" s="3">
        <f>AVERAGE(sdata1!B88:AG88)</f>
        <v>2.8163992869875223E-2</v>
      </c>
      <c r="AV93" s="3">
        <f>STDEV(sdata1!B88:AG88)</f>
        <v>9.7359497547022961E-3</v>
      </c>
      <c r="AW93">
        <f t="shared" si="25"/>
        <v>1.7088607594936709</v>
      </c>
      <c r="AX93">
        <f t="shared" si="26"/>
        <v>12.272727272727272</v>
      </c>
      <c r="AY93">
        <f t="shared" si="27"/>
        <v>7.1818181818181817</v>
      </c>
    </row>
    <row r="94" spans="44:51">
      <c r="AR94" s="6">
        <f t="shared" si="21"/>
        <v>87</v>
      </c>
      <c r="AS94" s="3">
        <f>AVERAGE(sdata0!B89:AG89)</f>
        <v>4.8484848484848485E-2</v>
      </c>
      <c r="AT94" s="3">
        <f>STDEV(sdata0!B89:AG89)</f>
        <v>1.6846570197091841E-2</v>
      </c>
      <c r="AU94" s="3">
        <f>AVERAGE(sdata1!B89:AG89)</f>
        <v>2.7094474153297684E-2</v>
      </c>
      <c r="AV94" s="3">
        <f>STDEV(sdata1!B89:AG89)</f>
        <v>9.5181157053634176E-3</v>
      </c>
      <c r="AW94">
        <f t="shared" si="25"/>
        <v>1.7894736842105263</v>
      </c>
      <c r="AX94">
        <f t="shared" si="26"/>
        <v>12.363636363636363</v>
      </c>
      <c r="AY94">
        <f t="shared" si="27"/>
        <v>6.9090909090909092</v>
      </c>
    </row>
    <row r="95" spans="44:51">
      <c r="AR95" s="6">
        <f t="shared" si="21"/>
        <v>88</v>
      </c>
      <c r="AS95" s="3">
        <f>AVERAGE(sdata0!B90:AG90)</f>
        <v>4.5632798573975043E-2</v>
      </c>
      <c r="AT95" s="3">
        <f>STDEV(sdata0!B90:AG90)</f>
        <v>1.5712989728438206E-2</v>
      </c>
      <c r="AU95" s="3">
        <f>AVERAGE(sdata1!B90:AG90)</f>
        <v>2.7094474153297684E-2</v>
      </c>
      <c r="AV95" s="3">
        <f>STDEV(sdata1!B90:AG90)</f>
        <v>9.1892897647621614E-3</v>
      </c>
      <c r="AW95">
        <f t="shared" si="25"/>
        <v>1.6842105263157894</v>
      </c>
      <c r="AX95">
        <f t="shared" si="26"/>
        <v>11.636363636363637</v>
      </c>
      <c r="AY95">
        <f t="shared" si="27"/>
        <v>6.9090909090909092</v>
      </c>
    </row>
    <row r="96" spans="44:51">
      <c r="AR96" s="6">
        <f t="shared" si="21"/>
        <v>89</v>
      </c>
      <c r="AS96" s="3">
        <f>AVERAGE(sdata0!B91:AG91)</f>
        <v>4.5276292335115854E-2</v>
      </c>
      <c r="AT96" s="3">
        <f>STDEV(sdata0!B91:AG91)</f>
        <v>1.5525017833884823E-2</v>
      </c>
      <c r="AU96" s="3">
        <f>AVERAGE(sdata1!B91:AG91)</f>
        <v>2.5668449197860967E-2</v>
      </c>
      <c r="AV96" s="3">
        <f>STDEV(sdata1!B91:AG91)</f>
        <v>9.0048705456792048E-3</v>
      </c>
      <c r="AW96">
        <f t="shared" si="25"/>
        <v>1.7638888888888882</v>
      </c>
      <c r="AX96">
        <f t="shared" si="26"/>
        <v>11.545454545454543</v>
      </c>
      <c r="AY96">
        <f t="shared" si="27"/>
        <v>6.5454545454545467</v>
      </c>
    </row>
    <row r="97" spans="44:51">
      <c r="AR97" s="6">
        <f t="shared" si="21"/>
        <v>90</v>
      </c>
      <c r="AS97" s="3">
        <f>AVERAGE(sdata0!B92:AG92)</f>
        <v>4.3850267379679141E-2</v>
      </c>
      <c r="AT97" s="3">
        <f>STDEV(sdata0!B92:AG92)</f>
        <v>1.5068030459367781E-2</v>
      </c>
      <c r="AU97" s="3">
        <f>AVERAGE(sdata1!B92:AG92)</f>
        <v>2.5668449197860963E-2</v>
      </c>
      <c r="AV97" s="3">
        <f>STDEV(sdata1!B92:AG92)</f>
        <v>9.1740630935481706E-3</v>
      </c>
      <c r="AW97">
        <f t="shared" si="25"/>
        <v>1.708333333333333</v>
      </c>
      <c r="AX97">
        <f t="shared" si="26"/>
        <v>11.181818181818182</v>
      </c>
      <c r="AY97">
        <f t="shared" si="27"/>
        <v>6.5454545454545459</v>
      </c>
    </row>
    <row r="98" spans="44:51">
      <c r="AR98" s="6">
        <f t="shared" si="21"/>
        <v>91</v>
      </c>
      <c r="AS98" s="3">
        <f>AVERAGE(sdata0!B93:AG93)</f>
        <v>4.2780748663101602E-2</v>
      </c>
      <c r="AT98" s="3">
        <f>STDEV(sdata0!B93:AG93)</f>
        <v>1.4824830885344725E-2</v>
      </c>
      <c r="AU98" s="3">
        <f>AVERAGE(sdata1!B93:AG93)</f>
        <v>2.4242424242424242E-2</v>
      </c>
      <c r="AV98" s="3">
        <f>STDEV(sdata1!B93:AG93)</f>
        <v>8.5591201023444592E-3</v>
      </c>
      <c r="AW98">
        <f t="shared" si="25"/>
        <v>1.7647058823529411</v>
      </c>
      <c r="AX98">
        <f t="shared" si="26"/>
        <v>10.909090909090908</v>
      </c>
      <c r="AY98">
        <f t="shared" si="27"/>
        <v>6.1818181818181817</v>
      </c>
    </row>
    <row r="99" spans="44:51">
      <c r="AR99" s="6">
        <f t="shared" si="21"/>
        <v>92</v>
      </c>
      <c r="AS99" s="3">
        <f>AVERAGE(sdata0!B94:AG94)</f>
        <v>4.1354723707664881E-2</v>
      </c>
      <c r="AT99" s="3">
        <f>STDEV(sdata0!B94:AG94)</f>
        <v>1.4178912421019504E-2</v>
      </c>
      <c r="AU99" s="3">
        <f>AVERAGE(sdata1!B94:AG94)</f>
        <v>2.4242424242424242E-2</v>
      </c>
      <c r="AV99" s="3">
        <f>STDEV(sdata1!B94:AG94)</f>
        <v>8.5591201023444592E-3</v>
      </c>
      <c r="AW99">
        <f t="shared" si="25"/>
        <v>1.7058823529411764</v>
      </c>
      <c r="AX99">
        <f t="shared" si="26"/>
        <v>10.545454545454545</v>
      </c>
      <c r="AY99">
        <f t="shared" si="27"/>
        <v>6.1818181818181817</v>
      </c>
    </row>
    <row r="100" spans="44:51">
      <c r="AR100" s="6">
        <f t="shared" si="21"/>
        <v>93</v>
      </c>
      <c r="AS100" s="3">
        <f>AVERAGE(sdata0!B95:AG95)</f>
        <v>4.1354723707664881E-2</v>
      </c>
      <c r="AT100" s="3">
        <f>STDEV(sdata0!B95:AG95)</f>
        <v>1.4070032599215245E-2</v>
      </c>
      <c r="AU100" s="3">
        <f>AVERAGE(sdata1!B95:AG95)</f>
        <v>2.3885918003565064E-2</v>
      </c>
      <c r="AV100" s="3">
        <f>STDEV(sdata1!B95:AG95)</f>
        <v>8.6727058108111797E-3</v>
      </c>
      <c r="AW100">
        <f t="shared" si="25"/>
        <v>1.7313432835820892</v>
      </c>
      <c r="AX100">
        <f t="shared" si="26"/>
        <v>10.545454545454545</v>
      </c>
      <c r="AY100">
        <f t="shared" si="27"/>
        <v>6.0909090909090917</v>
      </c>
    </row>
    <row r="101" spans="44:51">
      <c r="AR101" s="6">
        <f t="shared" si="21"/>
        <v>94</v>
      </c>
      <c r="AS101" s="3">
        <f>AVERAGE(sdata0!B96:AG96)</f>
        <v>3.9928698752228167E-2</v>
      </c>
      <c r="AT101" s="3">
        <f>STDEV(sdata0!B96:AG96)</f>
        <v>1.3900086360338097E-2</v>
      </c>
      <c r="AU101" s="3">
        <f>AVERAGE(sdata1!B96:AG96)</f>
        <v>2.3172905525846707E-2</v>
      </c>
      <c r="AV101" s="3">
        <f>STDEV(sdata1!B96:AG96)</f>
        <v>8.3104961272450449E-3</v>
      </c>
      <c r="AW101">
        <f t="shared" si="25"/>
        <v>1.723076923076923</v>
      </c>
      <c r="AX101">
        <f t="shared" si="26"/>
        <v>10.181818181818183</v>
      </c>
      <c r="AY101">
        <f t="shared" si="27"/>
        <v>5.9090909090909101</v>
      </c>
    </row>
    <row r="102" spans="44:51">
      <c r="AR102" s="6">
        <f t="shared" si="21"/>
        <v>95</v>
      </c>
      <c r="AS102" s="3">
        <f>AVERAGE(sdata0!B97:AG97)</f>
        <v>3.8146167557932265E-2</v>
      </c>
      <c r="AT102" s="3">
        <f>STDEV(sdata0!B97:AG97)</f>
        <v>1.3017116356330431E-2</v>
      </c>
      <c r="AU102" s="3">
        <f>AVERAGE(sdata1!B97:AG97)</f>
        <v>2.3172905525846707E-2</v>
      </c>
      <c r="AV102" s="3">
        <f>STDEV(sdata1!B97:AG97)</f>
        <v>8.3104961272450449E-3</v>
      </c>
      <c r="AW102">
        <f t="shared" si="25"/>
        <v>1.6461538461538459</v>
      </c>
      <c r="AX102">
        <f t="shared" si="26"/>
        <v>9.7272727272727266</v>
      </c>
      <c r="AY102">
        <f t="shared" si="27"/>
        <v>5.9090909090909101</v>
      </c>
    </row>
    <row r="103" spans="44:51">
      <c r="AR103" s="6">
        <f t="shared" si="21"/>
        <v>96</v>
      </c>
      <c r="AS103" s="3">
        <f>AVERAGE(sdata0!B98:AG98)</f>
        <v>3.7789661319073083E-2</v>
      </c>
      <c r="AT103" s="3">
        <f>STDEV(sdata0!B98:AG98)</f>
        <v>1.2920093018512047E-2</v>
      </c>
      <c r="AU103" s="3">
        <f>AVERAGE(sdata1!B98:AG98)</f>
        <v>2.1746880570409983E-2</v>
      </c>
      <c r="AV103" s="3">
        <f>STDEV(sdata1!B98:AG98)</f>
        <v>7.7173514138407636E-3</v>
      </c>
      <c r="AW103">
        <f t="shared" si="25"/>
        <v>1.7377049180327868</v>
      </c>
      <c r="AX103">
        <f t="shared" si="26"/>
        <v>9.6363636363636367</v>
      </c>
      <c r="AY103">
        <f t="shared" si="27"/>
        <v>5.5454545454545459</v>
      </c>
    </row>
    <row r="104" spans="44:51">
      <c r="AR104" s="6">
        <f t="shared" si="21"/>
        <v>97</v>
      </c>
      <c r="AS104" s="3">
        <f>AVERAGE(sdata0!B99:AG99)</f>
        <v>3.7433155080213908E-2</v>
      </c>
      <c r="AT104" s="3">
        <f>STDEV(sdata0!B99:AG99)</f>
        <v>1.2930909339383827E-2</v>
      </c>
      <c r="AU104" s="3">
        <f>AVERAGE(sdata1!B99:AG99)</f>
        <v>2.0320855614973259E-2</v>
      </c>
      <c r="AV104" s="3">
        <f>STDEV(sdata1!B99:AG99)</f>
        <v>7.4029788819493349E-3</v>
      </c>
      <c r="AW104">
        <f t="shared" si="25"/>
        <v>1.8421052631578951</v>
      </c>
      <c r="AX104">
        <f t="shared" si="26"/>
        <v>9.5454545454545467</v>
      </c>
      <c r="AY104">
        <f t="shared" si="27"/>
        <v>5.1818181818181808</v>
      </c>
    </row>
    <row r="105" spans="44:51">
      <c r="AR105" s="6">
        <f t="shared" si="21"/>
        <v>98</v>
      </c>
      <c r="AS105" s="3">
        <f>AVERAGE(sdata0!B100:AG100)</f>
        <v>3.6363636363636369E-2</v>
      </c>
      <c r="AT105" s="3">
        <f>STDEV(sdata0!B100:AG100)</f>
        <v>1.2535643495026443E-2</v>
      </c>
      <c r="AU105" s="3">
        <f>AVERAGE(sdata1!B100:AG100)</f>
        <v>2.0320855614973262E-2</v>
      </c>
      <c r="AV105" s="3">
        <f>STDEV(sdata1!B100:AG100)</f>
        <v>8.0019570497767822E-3</v>
      </c>
      <c r="AW105">
        <f t="shared" si="25"/>
        <v>1.7894736842105265</v>
      </c>
      <c r="AX105">
        <f t="shared" si="26"/>
        <v>9.2727272727272734</v>
      </c>
      <c r="AY105">
        <f t="shared" si="27"/>
        <v>5.1818181818181817</v>
      </c>
    </row>
    <row r="106" spans="44:51">
      <c r="AR106" s="6">
        <f t="shared" si="21"/>
        <v>99</v>
      </c>
      <c r="AS106" s="3">
        <f>AVERAGE(sdata0!B101:AG101)</f>
        <v>3.5294117647058816E-2</v>
      </c>
      <c r="AT106" s="3">
        <f>STDEV(sdata0!B101:AG101)</f>
        <v>1.202330173863209E-2</v>
      </c>
      <c r="AU106" s="3">
        <f>AVERAGE(sdata1!B101:AG101)</f>
        <v>1.9607843137254902E-2</v>
      </c>
      <c r="AV106" s="3">
        <f>STDEV(sdata1!B101:AG101)</f>
        <v>7.4406533180432465E-3</v>
      </c>
      <c r="AW106">
        <f t="shared" si="25"/>
        <v>1.7999999999999996</v>
      </c>
      <c r="AX106">
        <f t="shared" si="26"/>
        <v>8.9999999999999982</v>
      </c>
      <c r="AY106">
        <f t="shared" si="27"/>
        <v>5</v>
      </c>
    </row>
    <row r="107" spans="44:51">
      <c r="AR107" s="6">
        <f t="shared" si="21"/>
        <v>100</v>
      </c>
      <c r="AS107" s="3">
        <f>AVERAGE(sdata0!B102:AG102)</f>
        <v>3.422459893048127E-2</v>
      </c>
      <c r="AT107" s="3">
        <f>STDEV(sdata0!B102:AG102)</f>
        <v>1.1776583427914522E-2</v>
      </c>
      <c r="AU107" s="3">
        <f>AVERAGE(sdata1!B102:AG102)</f>
        <v>1.9607843137254902E-2</v>
      </c>
      <c r="AV107" s="3">
        <f>STDEV(sdata1!B102:AG102)</f>
        <v>7.2310152606218786E-3</v>
      </c>
      <c r="AW107">
        <f t="shared" si="25"/>
        <v>1.7454545454545447</v>
      </c>
      <c r="AX107">
        <f t="shared" si="26"/>
        <v>8.7272727272727231</v>
      </c>
      <c r="AY107">
        <f t="shared" si="27"/>
        <v>5</v>
      </c>
    </row>
    <row r="108" spans="44:51">
      <c r="AR108" s="6">
        <f t="shared" si="21"/>
        <v>101</v>
      </c>
      <c r="AS108" s="3">
        <f>AVERAGE(sdata0!B103:AG103)</f>
        <v>3.3155080213903738E-2</v>
      </c>
      <c r="AT108" s="3">
        <f>STDEV(sdata0!B103:AG103)</f>
        <v>1.1414882178271765E-2</v>
      </c>
      <c r="AU108" s="3">
        <f>AVERAGE(sdata1!B103:AG103)</f>
        <v>1.9607843137254902E-2</v>
      </c>
      <c r="AV108" s="3">
        <f>STDEV(sdata1!B103:AG103)</f>
        <v>7.2310152606218786E-3</v>
      </c>
      <c r="AW108">
        <f t="shared" si="25"/>
        <v>1.6909090909090907</v>
      </c>
      <c r="AX108">
        <f t="shared" si="26"/>
        <v>8.4545454545454533</v>
      </c>
      <c r="AY108">
        <f t="shared" si="27"/>
        <v>5</v>
      </c>
    </row>
    <row r="109" spans="44:51">
      <c r="AR109" s="6">
        <f t="shared" si="21"/>
        <v>102</v>
      </c>
      <c r="AS109" s="3">
        <f>AVERAGE(sdata0!B104:AG104)</f>
        <v>3.3155080213903738E-2</v>
      </c>
      <c r="AT109" s="3">
        <f>STDEV(sdata0!B104:AG104)</f>
        <v>1.1548821378988758E-2</v>
      </c>
      <c r="AU109" s="3">
        <f>AVERAGE(sdata1!B104:AG104)</f>
        <v>1.8538324420677359E-2</v>
      </c>
      <c r="AV109" s="3">
        <f>STDEV(sdata1!B104:AG104)</f>
        <v>6.5833102718785797E-3</v>
      </c>
      <c r="AW109">
        <f t="shared" si="25"/>
        <v>1.7884615384615385</v>
      </c>
      <c r="AX109">
        <f t="shared" si="26"/>
        <v>8.4545454545454533</v>
      </c>
      <c r="AY109">
        <f t="shared" si="27"/>
        <v>4.7272727272727266</v>
      </c>
    </row>
    <row r="110" spans="44:51">
      <c r="AR110" s="6">
        <f t="shared" si="21"/>
        <v>103</v>
      </c>
      <c r="AS110" s="3">
        <f>AVERAGE(sdata0!B105:AG105)</f>
        <v>3.1729055258467025E-2</v>
      </c>
      <c r="AT110" s="3">
        <f>STDEV(sdata0!B105:AG105)</f>
        <v>1.0875485620437357E-2</v>
      </c>
      <c r="AU110" s="3">
        <f>AVERAGE(sdata1!B105:AG105)</f>
        <v>1.8538324420677359E-2</v>
      </c>
      <c r="AV110" s="3">
        <f>STDEV(sdata1!B105:AG105)</f>
        <v>7.0350162996076319E-3</v>
      </c>
      <c r="AW110">
        <f t="shared" si="25"/>
        <v>1.7115384615384619</v>
      </c>
      <c r="AX110">
        <f t="shared" si="26"/>
        <v>8.0909090909090917</v>
      </c>
      <c r="AY110">
        <f t="shared" si="27"/>
        <v>4.7272727272727266</v>
      </c>
    </row>
    <row r="111" spans="44:51">
      <c r="AR111" s="6">
        <f t="shared" si="21"/>
        <v>104</v>
      </c>
      <c r="AS111" s="3">
        <f>AVERAGE(sdata0!B106:AG106)</f>
        <v>3.0659536541889479E-2</v>
      </c>
      <c r="AT111" s="3">
        <f>STDEV(sdata0!B106:AG106)</f>
        <v>1.0641576867450485E-2</v>
      </c>
      <c r="AU111" s="3">
        <f>AVERAGE(sdata1!B106:AG106)</f>
        <v>1.7825311942959002E-2</v>
      </c>
      <c r="AV111" s="3">
        <f>STDEV(sdata1!B106:AG106)</f>
        <v>6.4111677754478411E-3</v>
      </c>
      <c r="AW111">
        <f t="shared" si="25"/>
        <v>1.7199999999999998</v>
      </c>
      <c r="AX111">
        <f t="shared" si="26"/>
        <v>7.8181818181818175</v>
      </c>
      <c r="AY111">
        <f t="shared" si="27"/>
        <v>4.5454545454545459</v>
      </c>
    </row>
    <row r="112" spans="44:51">
      <c r="AR112" s="6">
        <f t="shared" si="21"/>
        <v>105</v>
      </c>
      <c r="AS112" s="3">
        <f>AVERAGE(sdata0!B107:AG107)</f>
        <v>3.03030303030303E-2</v>
      </c>
      <c r="AT112" s="3">
        <f>STDEV(sdata0!B107:AG107)</f>
        <v>1.0535950661187442E-2</v>
      </c>
      <c r="AU112" s="3">
        <f>AVERAGE(sdata1!B107:AG107)</f>
        <v>1.7825311942958999E-2</v>
      </c>
      <c r="AV112" s="3">
        <f>STDEV(sdata1!B107:AG107)</f>
        <v>6.4111677754478446E-3</v>
      </c>
      <c r="AW112">
        <f t="shared" si="25"/>
        <v>1.7000000000000002</v>
      </c>
      <c r="AX112">
        <f t="shared" si="26"/>
        <v>7.7272727272727266</v>
      </c>
      <c r="AY112">
        <f t="shared" si="27"/>
        <v>4.545454545454545</v>
      </c>
    </row>
    <row r="113" spans="44:51">
      <c r="AR113" s="6">
        <f t="shared" si="21"/>
        <v>106</v>
      </c>
      <c r="AS113" s="3">
        <f>AVERAGE(sdata0!B108:AG108)</f>
        <v>2.887700534759358E-2</v>
      </c>
      <c r="AT113" s="3">
        <f>STDEV(sdata0!B108:AG108)</f>
        <v>9.9630578342118532E-3</v>
      </c>
      <c r="AU113" s="3">
        <f>AVERAGE(sdata1!B108:AG108)</f>
        <v>1.6755793226381457E-2</v>
      </c>
      <c r="AV113" s="3">
        <f>STDEV(sdata1!B108:AG108)</f>
        <v>6.0982369530790566E-3</v>
      </c>
      <c r="AW113">
        <f t="shared" si="25"/>
        <v>1.7234042553191493</v>
      </c>
      <c r="AX113">
        <f t="shared" si="26"/>
        <v>7.3636363636363624</v>
      </c>
      <c r="AY113">
        <f t="shared" si="27"/>
        <v>4.2727272727272716</v>
      </c>
    </row>
    <row r="114" spans="44:51">
      <c r="AR114" s="6">
        <f t="shared" si="21"/>
        <v>107</v>
      </c>
      <c r="AS114" s="3">
        <f>AVERAGE(sdata0!B109:AG109)</f>
        <v>3.03030303030303E-2</v>
      </c>
      <c r="AT114" s="3">
        <f>STDEV(sdata0!B109:AG109)</f>
        <v>1.0965102673247558E-2</v>
      </c>
      <c r="AU114" s="3">
        <f>AVERAGE(sdata1!B109:AG109)</f>
        <v>1.6755793226381464E-2</v>
      </c>
      <c r="AV114" s="3">
        <f>STDEV(sdata1!B109:AG109)</f>
        <v>6.0982369530790418E-3</v>
      </c>
      <c r="AW114">
        <f t="shared" si="25"/>
        <v>1.808510638297872</v>
      </c>
      <c r="AX114">
        <f t="shared" si="26"/>
        <v>7.7272727272727266</v>
      </c>
      <c r="AY114">
        <f t="shared" si="27"/>
        <v>4.2727272727272734</v>
      </c>
    </row>
    <row r="115" spans="44:51">
      <c r="AR115" s="6">
        <f t="shared" si="21"/>
        <v>108</v>
      </c>
      <c r="AS115" s="3">
        <f>AVERAGE(sdata0!B110:AG110)</f>
        <v>2.7450980392156862E-2</v>
      </c>
      <c r="AT115" s="3">
        <f>STDEV(sdata0!B110:AG110)</f>
        <v>9.9208710907243355E-3</v>
      </c>
      <c r="AU115" s="3">
        <f>AVERAGE(sdata1!B110:AG110)</f>
        <v>1.7468805704099821E-2</v>
      </c>
      <c r="AV115" s="3">
        <f>STDEV(sdata1!B110:AG110)</f>
        <v>6.8741946760958045E-3</v>
      </c>
      <c r="AW115">
        <f t="shared" si="25"/>
        <v>1.5714285714285716</v>
      </c>
      <c r="AX115">
        <f t="shared" si="26"/>
        <v>7</v>
      </c>
      <c r="AY115">
        <f t="shared" si="27"/>
        <v>4.4545454545454541</v>
      </c>
    </row>
    <row r="116" spans="44:51">
      <c r="AR116" s="6">
        <f t="shared" si="21"/>
        <v>109</v>
      </c>
      <c r="AS116" s="3">
        <f>AVERAGE(sdata0!B111:AG111)</f>
        <v>2.7094474153297684E-2</v>
      </c>
      <c r="AT116" s="3">
        <f>STDEV(sdata0!B111:AG111)</f>
        <v>9.5181157053634176E-3</v>
      </c>
      <c r="AU116" s="3">
        <f>AVERAGE(sdata1!B111:AG111)</f>
        <v>1.60427807486631E-2</v>
      </c>
      <c r="AV116" s="3">
        <f>STDEV(sdata1!B111:AG111)</f>
        <v>6.189260447043687E-3</v>
      </c>
      <c r="AW116">
        <f t="shared" si="25"/>
        <v>1.6888888888888891</v>
      </c>
      <c r="AX116">
        <f t="shared" si="26"/>
        <v>6.9090909090909092</v>
      </c>
      <c r="AY116">
        <f t="shared" si="27"/>
        <v>4.0909090909090908</v>
      </c>
    </row>
    <row r="117" spans="44:51">
      <c r="AR117" s="6">
        <f t="shared" si="21"/>
        <v>110</v>
      </c>
      <c r="AS117" s="3">
        <f>AVERAGE(sdata0!B112:AG112)</f>
        <v>2.6381461675579324E-2</v>
      </c>
      <c r="AT117" s="3">
        <f>STDEV(sdata0!B112:AG112)</f>
        <v>9.2951780798047976E-3</v>
      </c>
      <c r="AU117" s="3">
        <f>AVERAGE(sdata1!B112:AG112)</f>
        <v>1.5686274509803921E-2</v>
      </c>
      <c r="AV117" s="3">
        <f>STDEV(sdata1!B112:AG112)</f>
        <v>5.8166262643887584E-3</v>
      </c>
      <c r="AW117">
        <f t="shared" si="25"/>
        <v>1.6818181818181819</v>
      </c>
      <c r="AX117">
        <f t="shared" si="26"/>
        <v>6.7272727272727275</v>
      </c>
      <c r="AY117">
        <f t="shared" si="27"/>
        <v>4</v>
      </c>
    </row>
    <row r="118" spans="44:51">
      <c r="AR118" s="6">
        <f t="shared" si="21"/>
        <v>111</v>
      </c>
      <c r="AS118" s="3">
        <f>AVERAGE(sdata0!B113:AG113)</f>
        <v>2.6381461675579324E-2</v>
      </c>
      <c r="AT118" s="3">
        <f>STDEV(sdata0!B113:AG113)</f>
        <v>9.1282306848217837E-3</v>
      </c>
      <c r="AU118" s="3">
        <f>AVERAGE(sdata1!B113:AG113)</f>
        <v>1.4616755793226381E-2</v>
      </c>
      <c r="AV118" s="3">
        <f>STDEV(sdata1!B113:AG113)</f>
        <v>5.5710873028499306E-3</v>
      </c>
      <c r="AW118">
        <f t="shared" si="25"/>
        <v>1.8048780487804879</v>
      </c>
      <c r="AX118">
        <f t="shared" si="26"/>
        <v>6.7272727272727275</v>
      </c>
      <c r="AY118">
        <f t="shared" si="27"/>
        <v>3.7272727272727271</v>
      </c>
    </row>
    <row r="119" spans="44:51">
      <c r="AR119" s="6">
        <f t="shared" si="21"/>
        <v>112</v>
      </c>
      <c r="AS119" s="3">
        <f>AVERAGE(sdata0!B114:AG114)</f>
        <v>2.5311942959001785E-2</v>
      </c>
      <c r="AT119" s="3">
        <f>STDEV(sdata0!B114:AG114)</f>
        <v>8.8324375709358579E-3</v>
      </c>
      <c r="AU119" s="3">
        <f>AVERAGE(sdata1!B114:AG114)</f>
        <v>1.5329768270944743E-2</v>
      </c>
      <c r="AV119" s="3">
        <f>STDEV(sdata1!B114:AG114)</f>
        <v>5.9355879895236809E-3</v>
      </c>
      <c r="AW119">
        <f t="shared" si="25"/>
        <v>1.6511627906976745</v>
      </c>
      <c r="AX119">
        <f t="shared" si="26"/>
        <v>6.454545454545455</v>
      </c>
      <c r="AY119">
        <f t="shared" si="27"/>
        <v>3.9090909090909096</v>
      </c>
    </row>
    <row r="120" spans="44:51">
      <c r="AR120" s="6">
        <f t="shared" si="21"/>
        <v>113</v>
      </c>
      <c r="AS120" s="3">
        <f>AVERAGE(sdata0!B115:AG115)</f>
        <v>2.4955436720142599E-2</v>
      </c>
      <c r="AT120" s="3">
        <f>STDEV(sdata0!B115:AG115)</f>
        <v>8.8165946208340219E-3</v>
      </c>
      <c r="AU120" s="3">
        <f>AVERAGE(sdata1!B115:AG115)</f>
        <v>1.5329768270944743E-2</v>
      </c>
      <c r="AV120" s="3">
        <f>STDEV(sdata1!B115:AG115)</f>
        <v>5.6705788665193796E-3</v>
      </c>
      <c r="AW120">
        <f t="shared" si="25"/>
        <v>1.6279069767441856</v>
      </c>
      <c r="AX120">
        <f t="shared" si="26"/>
        <v>6.3636363636363624</v>
      </c>
      <c r="AY120">
        <f t="shared" si="27"/>
        <v>3.9090909090909096</v>
      </c>
    </row>
    <row r="121" spans="44:51">
      <c r="AR121" s="6">
        <f t="shared" si="21"/>
        <v>114</v>
      </c>
      <c r="AS121" s="3">
        <f>AVERAGE(sdata0!B116:AG116)</f>
        <v>2.3529411764705879E-2</v>
      </c>
      <c r="AT121" s="3">
        <f>STDEV(sdata0!B116:AG116)</f>
        <v>8.2259517503541438E-3</v>
      </c>
      <c r="AU121" s="3">
        <f>AVERAGE(sdata1!B116:AG116)</f>
        <v>1.4616755793226381E-2</v>
      </c>
      <c r="AV121" s="3">
        <f>STDEV(sdata1!B116:AG116)</f>
        <v>5.2878420585352349E-3</v>
      </c>
      <c r="AW121">
        <f t="shared" si="25"/>
        <v>1.6097560975609755</v>
      </c>
      <c r="AX121">
        <f t="shared" si="26"/>
        <v>5.9999999999999991</v>
      </c>
      <c r="AY121">
        <f t="shared" si="27"/>
        <v>3.7272727272727271</v>
      </c>
    </row>
    <row r="122" spans="44:51">
      <c r="AR122" s="6">
        <f t="shared" si="21"/>
        <v>115</v>
      </c>
      <c r="AS122" s="3">
        <f>AVERAGE(sdata0!B117:AG117)</f>
        <v>2.3529411764705885E-2</v>
      </c>
      <c r="AT122" s="3">
        <f>STDEV(sdata0!B117:AG117)</f>
        <v>8.4108276821675352E-3</v>
      </c>
      <c r="AU122" s="3">
        <f>AVERAGE(sdata1!B117:AG117)</f>
        <v>1.4260249554367201E-2</v>
      </c>
      <c r="AV122" s="3">
        <f>STDEV(sdata1!B117:AG117)</f>
        <v>5.3404586983455266E-3</v>
      </c>
      <c r="AW122">
        <f t="shared" si="25"/>
        <v>1.6500000000000004</v>
      </c>
      <c r="AX122">
        <f t="shared" si="26"/>
        <v>6.0000000000000009</v>
      </c>
      <c r="AY122">
        <f t="shared" si="27"/>
        <v>3.6363636363636362</v>
      </c>
    </row>
    <row r="123" spans="44:51">
      <c r="AR123" s="6">
        <f t="shared" si="21"/>
        <v>116</v>
      </c>
      <c r="AS123" s="3">
        <f>AVERAGE(sdata0!B118:AG118)</f>
        <v>2.3172905525846707E-2</v>
      </c>
      <c r="AT123" s="3">
        <f>STDEV(sdata0!B118:AG118)</f>
        <v>8.1233371086637321E-3</v>
      </c>
      <c r="AU123" s="3">
        <f>AVERAGE(sdata1!B118:AG118)</f>
        <v>1.2834224598930482E-2</v>
      </c>
      <c r="AV123" s="3">
        <f>STDEV(sdata1!B118:AG118)</f>
        <v>5.5710873028499272E-3</v>
      </c>
      <c r="AW123">
        <f t="shared" si="25"/>
        <v>1.8055555555555558</v>
      </c>
      <c r="AX123">
        <f t="shared" si="26"/>
        <v>5.9090909090909101</v>
      </c>
      <c r="AY123">
        <f t="shared" si="27"/>
        <v>3.2727272727272729</v>
      </c>
    </row>
    <row r="124" spans="44:51">
      <c r="AR124" s="6">
        <f t="shared" si="21"/>
        <v>117</v>
      </c>
      <c r="AS124" s="3">
        <f>AVERAGE(sdata0!B119:AG119)</f>
        <v>2.1746880570409986E-2</v>
      </c>
      <c r="AT124" s="3">
        <f>STDEV(sdata0!B119:AG119)</f>
        <v>7.9141173193648957E-3</v>
      </c>
      <c r="AU124" s="3">
        <f>AVERAGE(sdata1!B119:AG119)</f>
        <v>1.3547237076648842E-2</v>
      </c>
      <c r="AV124" s="3">
        <f>STDEV(sdata1!B119:AG119)</f>
        <v>5.0719199269244186E-3</v>
      </c>
      <c r="AW124">
        <f t="shared" si="25"/>
        <v>1.6052631578947372</v>
      </c>
      <c r="AX124">
        <f t="shared" si="26"/>
        <v>5.5454545454545467</v>
      </c>
      <c r="AY124">
        <f t="shared" si="27"/>
        <v>3.4545454545454546</v>
      </c>
    </row>
    <row r="125" spans="44:51">
      <c r="AR125" s="6">
        <f t="shared" si="21"/>
        <v>118</v>
      </c>
      <c r="AS125" s="3">
        <f>AVERAGE(sdata0!B120:AG120)</f>
        <v>2.1390374331550804E-2</v>
      </c>
      <c r="AT125" s="3">
        <f>STDEV(sdata0!B120:AG120)</f>
        <v>7.5154356324000585E-3</v>
      </c>
      <c r="AU125" s="3">
        <f>AVERAGE(sdata1!B120:AG120)</f>
        <v>1.2477718360071303E-2</v>
      </c>
      <c r="AV125" s="3">
        <f>STDEV(sdata1!B120:AG120)</f>
        <v>5.4952866646695688E-3</v>
      </c>
      <c r="AW125">
        <f t="shared" si="25"/>
        <v>1.7142857142857142</v>
      </c>
      <c r="AX125">
        <f t="shared" si="26"/>
        <v>5.454545454545455</v>
      </c>
      <c r="AY125">
        <f t="shared" si="27"/>
        <v>3.1818181818181821</v>
      </c>
    </row>
    <row r="126" spans="44:51">
      <c r="AR126" s="6">
        <f t="shared" si="21"/>
        <v>119</v>
      </c>
      <c r="AS126" s="3">
        <f>AVERAGE(sdata0!B121:AG121)</f>
        <v>2.2103386809269161E-2</v>
      </c>
      <c r="AT126" s="3">
        <f>STDEV(sdata0!B121:AG121)</f>
        <v>7.8964321188946789E-3</v>
      </c>
      <c r="AU126" s="3">
        <f>AVERAGE(sdata1!B121:AG121)</f>
        <v>1.2834224598930482E-2</v>
      </c>
      <c r="AV126" s="3">
        <f>STDEV(sdata1!B121:AG121)</f>
        <v>4.6700956559893956E-3</v>
      </c>
      <c r="AW126">
        <f t="shared" si="25"/>
        <v>1.7222222222222221</v>
      </c>
      <c r="AX126">
        <f t="shared" si="26"/>
        <v>5.6363636363636358</v>
      </c>
      <c r="AY126">
        <f t="shared" si="27"/>
        <v>3.2727272727272729</v>
      </c>
    </row>
    <row r="127" spans="44:51">
      <c r="AR127" s="6">
        <f t="shared" si="21"/>
        <v>120</v>
      </c>
      <c r="AS127" s="3">
        <f>AVERAGE(sdata0!B122:AG122)</f>
        <v>2.0320855614973259E-2</v>
      </c>
      <c r="AT127" s="3">
        <f>STDEV(sdata0!B122:AG122)</f>
        <v>7.6078798903866365E-3</v>
      </c>
      <c r="AU127" s="3">
        <f>AVERAGE(sdata1!B122:AG122)</f>
        <v>1.2121212121212121E-2</v>
      </c>
      <c r="AV127" s="3">
        <f>STDEV(sdata1!B122:AG122)</f>
        <v>4.7883446389677883E-3</v>
      </c>
      <c r="AW127">
        <f t="shared" si="25"/>
        <v>1.6764705882352939</v>
      </c>
      <c r="AX127">
        <f t="shared" si="26"/>
        <v>5.1818181818181808</v>
      </c>
      <c r="AY127">
        <f t="shared" si="27"/>
        <v>3.0909090909090908</v>
      </c>
    </row>
    <row r="128" spans="44:51">
      <c r="AR128" s="6">
        <f t="shared" si="21"/>
        <v>121</v>
      </c>
      <c r="AS128" s="3">
        <f>AVERAGE(sdata0!B123:AG123)</f>
        <v>1.9607843137254902E-2</v>
      </c>
      <c r="AT128" s="3">
        <f>STDEV(sdata0!B123:AG123)</f>
        <v>7.2310152606218786E-3</v>
      </c>
      <c r="AU128" s="3">
        <f>AVERAGE(sdata1!B123:AG123)</f>
        <v>1.1408199643493761E-2</v>
      </c>
      <c r="AV128" s="3">
        <f>STDEV(sdata1!B123:AG123)</f>
        <v>5.3925619682535578E-3</v>
      </c>
      <c r="AW128">
        <f t="shared" si="25"/>
        <v>1.71875</v>
      </c>
      <c r="AX128">
        <f t="shared" si="26"/>
        <v>5</v>
      </c>
      <c r="AY128">
        <f t="shared" si="27"/>
        <v>2.9090909090909092</v>
      </c>
    </row>
    <row r="129" spans="44:51">
      <c r="AR129" s="6">
        <f t="shared" si="21"/>
        <v>122</v>
      </c>
      <c r="AS129" s="3">
        <f>AVERAGE(sdata0!B124:AG124)</f>
        <v>1.8538324420677359E-2</v>
      </c>
      <c r="AT129" s="3">
        <f>STDEV(sdata0!B124:AG124)</f>
        <v>6.5833102718785797E-3</v>
      </c>
      <c r="AU129" s="3">
        <f>AVERAGE(sdata1!B124:AG124)</f>
        <v>1.1764705882352939E-2</v>
      </c>
      <c r="AV129" s="3">
        <f>STDEV(sdata1!B124:AG124)</f>
        <v>4.9604355453621678E-3</v>
      </c>
      <c r="AW129">
        <f t="shared" si="25"/>
        <v>1.5757575757575759</v>
      </c>
      <c r="AX129">
        <f t="shared" si="26"/>
        <v>4.7272727272727266</v>
      </c>
      <c r="AY129">
        <f t="shared" si="27"/>
        <v>2.9999999999999996</v>
      </c>
    </row>
    <row r="130" spans="44:51">
      <c r="AR130" s="6">
        <f t="shared" si="21"/>
        <v>123</v>
      </c>
      <c r="AS130" s="3">
        <f>AVERAGE(sdata0!B125:AG125)</f>
        <v>1.8538324420677359E-2</v>
      </c>
      <c r="AT130" s="3">
        <f>STDEV(sdata0!B125:AG125)</f>
        <v>6.8129079133497387E-3</v>
      </c>
      <c r="AU130" s="3">
        <f>AVERAGE(sdata1!B125:AG125)</f>
        <v>1.1764705882352939E-2</v>
      </c>
      <c r="AV130" s="3">
        <f>STDEV(sdata1!B125:AG125)</f>
        <v>4.6400625749800943E-3</v>
      </c>
      <c r="AW130">
        <f t="shared" si="25"/>
        <v>1.5757575757575759</v>
      </c>
      <c r="AX130">
        <f t="shared" si="26"/>
        <v>4.7272727272727266</v>
      </c>
      <c r="AY130">
        <f t="shared" si="27"/>
        <v>2.9999999999999996</v>
      </c>
    </row>
    <row r="131" spans="44:51">
      <c r="AR131" s="6">
        <f t="shared" si="21"/>
        <v>124</v>
      </c>
      <c r="AS131" s="3">
        <f>AVERAGE(sdata0!B126:AG126)</f>
        <v>1.8894830659536538E-2</v>
      </c>
      <c r="AT131" s="3">
        <f>STDEV(sdata0!B126:AG126)</f>
        <v>6.7510648068806987E-3</v>
      </c>
      <c r="AU131" s="3">
        <f>AVERAGE(sdata1!B126:AG126)</f>
        <v>1.1408199643493761E-2</v>
      </c>
      <c r="AV131" s="3">
        <f>STDEV(sdata1!B126:AG126)</f>
        <v>4.7883446389677927E-3</v>
      </c>
      <c r="AW131">
        <f t="shared" si="25"/>
        <v>1.6562499999999998</v>
      </c>
      <c r="AX131">
        <f t="shared" si="26"/>
        <v>4.8181818181818175</v>
      </c>
      <c r="AY131">
        <f t="shared" si="27"/>
        <v>2.9090909090909092</v>
      </c>
    </row>
    <row r="132" spans="44:51">
      <c r="AR132" s="6">
        <f t="shared" si="21"/>
        <v>125</v>
      </c>
      <c r="AS132" s="3">
        <f>AVERAGE(sdata0!B127:AG127)</f>
        <v>1.8538324420677359E-2</v>
      </c>
      <c r="AT132" s="3">
        <f>STDEV(sdata0!B127:AG127)</f>
        <v>6.5833102718785797E-3</v>
      </c>
      <c r="AU132" s="3">
        <f>AVERAGE(sdata1!B127:AG127)</f>
        <v>1.06951871657754E-2</v>
      </c>
      <c r="AV132" s="3">
        <f>STDEV(sdata1!B127:AG127)</f>
        <v>4.3282852651055082E-3</v>
      </c>
      <c r="AW132">
        <f t="shared" si="25"/>
        <v>1.7333333333333332</v>
      </c>
      <c r="AX132">
        <f t="shared" si="26"/>
        <v>4.7272727272727266</v>
      </c>
      <c r="AY132">
        <f t="shared" si="27"/>
        <v>2.7272727272727271</v>
      </c>
    </row>
    <row r="133" spans="44:51">
      <c r="AR133" s="6">
        <f t="shared" si="21"/>
        <v>126</v>
      </c>
      <c r="AS133" s="3">
        <f>AVERAGE(sdata0!B128:AG128)</f>
        <v>1.8538324420677359E-2</v>
      </c>
      <c r="AT133" s="3">
        <f>STDEV(sdata0!B128:AG128)</f>
        <v>6.8129079133497387E-3</v>
      </c>
      <c r="AU133" s="3">
        <f>AVERAGE(sdata1!B128:AG128)</f>
        <v>1.1408199643493761E-2</v>
      </c>
      <c r="AV133" s="3">
        <f>STDEV(sdata1!B128:AG128)</f>
        <v>4.4556149162119068E-3</v>
      </c>
      <c r="AW133">
        <f t="shared" si="25"/>
        <v>1.6249999999999998</v>
      </c>
      <c r="AX133">
        <f t="shared" si="26"/>
        <v>4.7272727272727266</v>
      </c>
      <c r="AY133">
        <f t="shared" si="27"/>
        <v>2.9090909090909092</v>
      </c>
    </row>
    <row r="134" spans="44:51">
      <c r="AR134" s="6">
        <f t="shared" si="21"/>
        <v>127</v>
      </c>
      <c r="AS134" s="3">
        <f>AVERAGE(sdata0!B129:AG129)</f>
        <v>1.8894830659536538E-2</v>
      </c>
      <c r="AT134" s="3">
        <f>STDEV(sdata0!B129:AG129)</f>
        <v>6.7510648068806987E-3</v>
      </c>
      <c r="AU134" s="3">
        <f>AVERAGE(sdata1!B129:AG129)</f>
        <v>1.1408199643493761E-2</v>
      </c>
      <c r="AV134" s="3">
        <f>STDEV(sdata1!B129:AG129)</f>
        <v>4.7883446389677927E-3</v>
      </c>
      <c r="AW134">
        <f t="shared" si="25"/>
        <v>1.6562499999999998</v>
      </c>
      <c r="AX134">
        <f t="shared" si="26"/>
        <v>4.8181818181818175</v>
      </c>
      <c r="AY134">
        <f t="shared" si="27"/>
        <v>2.9090909090909092</v>
      </c>
    </row>
    <row r="135" spans="44:51">
      <c r="AR135" s="6">
        <f t="shared" si="21"/>
        <v>128</v>
      </c>
      <c r="AS135" s="3">
        <f>AVERAGE(sdata0!B130:AG130)</f>
        <v>1.7112299465240642E-2</v>
      </c>
      <c r="AT135" s="3">
        <f>STDEV(sdata0!B130:AG130)</f>
        <v>6.1439172690246355E-3</v>
      </c>
      <c r="AU135" s="3">
        <f>AVERAGE(sdata1!B130:AG130)</f>
        <v>9.9821746880570401E-3</v>
      </c>
      <c r="AV135" s="3">
        <f>STDEV(sdata1!B130:AG130)</f>
        <v>4.4241260770020892E-3</v>
      </c>
      <c r="AW135">
        <f t="shared" si="25"/>
        <v>1.7142857142857144</v>
      </c>
      <c r="AX135">
        <f t="shared" si="26"/>
        <v>4.3636363636363633</v>
      </c>
      <c r="AY135">
        <f t="shared" si="27"/>
        <v>2.5454545454545454</v>
      </c>
    </row>
    <row r="136" spans="44:51">
      <c r="AR136" s="6">
        <f t="shared" ref="AR136:AR157" si="28">AR135+$B$4</f>
        <v>129</v>
      </c>
      <c r="AS136" s="3">
        <f>AVERAGE(sdata0!B131:AG131)</f>
        <v>1.6399286987522278E-2</v>
      </c>
      <c r="AT136" s="3">
        <f>STDEV(sdata0!B131:AG131)</f>
        <v>6.0290675669475149E-3</v>
      </c>
      <c r="AU136" s="3">
        <f>AVERAGE(sdata1!B131:AG131)</f>
        <v>1.033868092691622E-2</v>
      </c>
      <c r="AV136" s="3">
        <f>STDEV(sdata1!B131:AG131)</f>
        <v>4.0271005337448656E-3</v>
      </c>
      <c r="AW136">
        <f t="shared" si="25"/>
        <v>1.586206896551724</v>
      </c>
      <c r="AX136">
        <f t="shared" si="26"/>
        <v>4.1818181818181808</v>
      </c>
      <c r="AY136">
        <f t="shared" si="27"/>
        <v>2.6363636363636362</v>
      </c>
    </row>
    <row r="137" spans="44:51">
      <c r="AR137" s="6">
        <f t="shared" si="28"/>
        <v>130</v>
      </c>
      <c r="AS137" s="3">
        <f>AVERAGE(sdata0!B132:AG132)</f>
        <v>1.60427807486631E-2</v>
      </c>
      <c r="AT137" s="3">
        <f>STDEV(sdata0!B132:AG132)</f>
        <v>5.6705788665193865E-3</v>
      </c>
      <c r="AU137" s="3">
        <f>AVERAGE(sdata1!B132:AG132)</f>
        <v>9.9821746880570401E-3</v>
      </c>
      <c r="AV137" s="3">
        <f>STDEV(sdata1!B132:AG132)</f>
        <v>3.6635244431130506E-3</v>
      </c>
      <c r="AW137">
        <f t="shared" si="25"/>
        <v>1.6071428571428572</v>
      </c>
      <c r="AX137">
        <f t="shared" si="26"/>
        <v>4.0909090909090908</v>
      </c>
      <c r="AY137">
        <f t="shared" si="27"/>
        <v>2.5454545454545454</v>
      </c>
    </row>
    <row r="138" spans="44:51">
      <c r="AR138" s="6">
        <f t="shared" si="28"/>
        <v>131</v>
      </c>
      <c r="AS138" s="3">
        <f>AVERAGE(sdata0!B133:AG133)</f>
        <v>1.5329768270944743E-2</v>
      </c>
      <c r="AT138" s="3">
        <f>STDEV(sdata0!B133:AG133)</f>
        <v>5.6705788665193796E-3</v>
      </c>
      <c r="AU138" s="3">
        <f>AVERAGE(sdata1!B133:AG133)</f>
        <v>9.2691622103386814E-3</v>
      </c>
      <c r="AV138" s="3">
        <f>STDEV(sdata1!B133:AG133)</f>
        <v>4.0271005337448656E-3</v>
      </c>
      <c r="AW138">
        <f t="shared" si="25"/>
        <v>1.653846153846154</v>
      </c>
      <c r="AX138">
        <f t="shared" si="26"/>
        <v>3.9090909090909096</v>
      </c>
      <c r="AY138">
        <f t="shared" si="27"/>
        <v>2.3636363636363638</v>
      </c>
    </row>
    <row r="139" spans="44:51">
      <c r="AR139" s="6">
        <f t="shared" si="28"/>
        <v>132</v>
      </c>
      <c r="AS139" s="3">
        <f>AVERAGE(sdata0!B134:AG134)</f>
        <v>1.5329768270944743E-2</v>
      </c>
      <c r="AT139" s="3">
        <f>STDEV(sdata0!B134:AG134)</f>
        <v>5.6705788665193796E-3</v>
      </c>
      <c r="AU139" s="3">
        <f>AVERAGE(sdata1!B134:AG134)</f>
        <v>9.6256684491978616E-3</v>
      </c>
      <c r="AV139" s="3">
        <f>STDEV(sdata1!B134:AG134)</f>
        <v>4.0616685543318687E-3</v>
      </c>
      <c r="AW139">
        <f t="shared" si="25"/>
        <v>1.5925925925925926</v>
      </c>
      <c r="AX139">
        <f t="shared" si="26"/>
        <v>3.9090909090909096</v>
      </c>
      <c r="AY139">
        <f t="shared" si="27"/>
        <v>2.4545454545454546</v>
      </c>
    </row>
    <row r="140" spans="44:51">
      <c r="AR140" s="6">
        <f t="shared" si="28"/>
        <v>133</v>
      </c>
      <c r="AS140" s="3">
        <f>AVERAGE(sdata0!B135:AG135)</f>
        <v>1.4973262032085559E-2</v>
      </c>
      <c r="AT140" s="3">
        <f>STDEV(sdata0!B135:AG135)</f>
        <v>5.7683546724223633E-3</v>
      </c>
      <c r="AU140" s="3">
        <f>AVERAGE(sdata1!B135:AG135)</f>
        <v>9.2691622103386814E-3</v>
      </c>
      <c r="AV140" s="3">
        <f>STDEV(sdata1!B135:AG135)</f>
        <v>3.6251618734791202E-3</v>
      </c>
      <c r="AW140">
        <f t="shared" si="25"/>
        <v>1.615384615384615</v>
      </c>
      <c r="AX140">
        <f t="shared" si="26"/>
        <v>3.8181818181818175</v>
      </c>
      <c r="AY140">
        <f t="shared" si="27"/>
        <v>2.3636363636363638</v>
      </c>
    </row>
    <row r="141" spans="44:51">
      <c r="AR141" s="6">
        <f t="shared" si="28"/>
        <v>134</v>
      </c>
      <c r="AS141" s="3">
        <f>AVERAGE(sdata0!B136:AG136)</f>
        <v>1.4973262032085559E-2</v>
      </c>
      <c r="AT141" s="3">
        <f>STDEV(sdata0!B136:AG136)</f>
        <v>5.7683546724223633E-3</v>
      </c>
      <c r="AU141" s="3">
        <f>AVERAGE(sdata1!B136:AG136)</f>
        <v>8.9126559714795012E-3</v>
      </c>
      <c r="AV141" s="3">
        <f>STDEV(sdata1!B136:AG136)</f>
        <v>3.5471922891501606E-3</v>
      </c>
      <c r="AW141">
        <f t="shared" si="25"/>
        <v>1.6799999999999997</v>
      </c>
      <c r="AX141">
        <f t="shared" si="26"/>
        <v>3.8181818181818175</v>
      </c>
      <c r="AY141">
        <f t="shared" si="27"/>
        <v>2.2727272727272729</v>
      </c>
    </row>
    <row r="142" spans="44:51">
      <c r="AR142" s="6">
        <f t="shared" si="28"/>
        <v>135</v>
      </c>
      <c r="AS142" s="3">
        <f>AVERAGE(sdata0!B137:AG137)</f>
        <v>1.4260249554367201E-2</v>
      </c>
      <c r="AT142" s="3">
        <f>STDEV(sdata0!B137:AG137)</f>
        <v>5.3404586983455266E-3</v>
      </c>
      <c r="AU142" s="3">
        <f>AVERAGE(sdata1!B137:AG137)</f>
        <v>8.1996434937611409E-3</v>
      </c>
      <c r="AV142" s="3">
        <f>STDEV(sdata1!B137:AG137)</f>
        <v>3.7014894409746627E-3</v>
      </c>
      <c r="AW142">
        <f t="shared" si="25"/>
        <v>1.7391304347826086</v>
      </c>
      <c r="AX142">
        <f t="shared" si="26"/>
        <v>3.6363636363636362</v>
      </c>
      <c r="AY142">
        <f t="shared" si="27"/>
        <v>2.0909090909090908</v>
      </c>
    </row>
    <row r="143" spans="44:51">
      <c r="AR143" s="6">
        <f t="shared" si="28"/>
        <v>136</v>
      </c>
      <c r="AS143" s="3">
        <f>AVERAGE(sdata0!B138:AG138)</f>
        <v>1.4260249554367201E-2</v>
      </c>
      <c r="AT143" s="3">
        <f>STDEV(sdata0!B138:AG138)</f>
        <v>5.6210532116940468E-3</v>
      </c>
      <c r="AU143" s="3">
        <f>AVERAGE(sdata1!B138:AG138)</f>
        <v>8.9126559714795012E-3</v>
      </c>
      <c r="AV143" s="3">
        <f>STDEV(sdata1!B138:AG138)</f>
        <v>3.5471922891501606E-3</v>
      </c>
      <c r="AW143">
        <f t="shared" si="25"/>
        <v>1.5999999999999999</v>
      </c>
      <c r="AX143">
        <f t="shared" si="26"/>
        <v>3.6363636363636362</v>
      </c>
      <c r="AY143">
        <f t="shared" si="27"/>
        <v>2.2727272727272729</v>
      </c>
    </row>
    <row r="144" spans="44:51">
      <c r="AR144" s="6">
        <f t="shared" si="28"/>
        <v>137</v>
      </c>
      <c r="AS144" s="3">
        <f>AVERAGE(sdata0!B139:AG139)</f>
        <v>1.3903743315508022E-2</v>
      </c>
      <c r="AT144" s="3">
        <f>STDEV(sdata0!B139:AG139)</f>
        <v>5.6458703443362989E-3</v>
      </c>
      <c r="AU144" s="3">
        <f>AVERAGE(sdata1!B139:AG139)</f>
        <v>8.1996434937611409E-3</v>
      </c>
      <c r="AV144" s="3">
        <f>STDEV(sdata1!B139:AG139)</f>
        <v>3.7014894409746627E-3</v>
      </c>
      <c r="AW144">
        <f t="shared" si="25"/>
        <v>1.6956521739130435</v>
      </c>
      <c r="AX144">
        <f t="shared" si="26"/>
        <v>3.5454545454545459</v>
      </c>
      <c r="AY144">
        <f t="shared" si="27"/>
        <v>2.0909090909090908</v>
      </c>
    </row>
    <row r="145" spans="44:51">
      <c r="AR145" s="6">
        <f t="shared" si="28"/>
        <v>138</v>
      </c>
      <c r="AS145" s="3">
        <f>AVERAGE(sdata0!B140:AG140)</f>
        <v>1.2834224598930482E-2</v>
      </c>
      <c r="AT145" s="3">
        <f>STDEV(sdata0!B140:AG140)</f>
        <v>5.2878420585352305E-3</v>
      </c>
      <c r="AU145" s="3">
        <f>AVERAGE(sdata1!B140:AG140)</f>
        <v>7.8431372549019607E-3</v>
      </c>
      <c r="AV145" s="3">
        <f>STDEV(sdata1!B140:AG140)</f>
        <v>3.5075576117643758E-3</v>
      </c>
      <c r="AW145">
        <f t="shared" si="25"/>
        <v>1.6363636363636365</v>
      </c>
      <c r="AX145">
        <f t="shared" si="26"/>
        <v>3.2727272727272729</v>
      </c>
      <c r="AY145">
        <f t="shared" si="27"/>
        <v>2</v>
      </c>
    </row>
    <row r="146" spans="44:51">
      <c r="AR146" s="6">
        <f t="shared" si="28"/>
        <v>139</v>
      </c>
      <c r="AS146" s="3">
        <f>AVERAGE(sdata0!B141:AG141)</f>
        <v>1.1408199643493761E-2</v>
      </c>
      <c r="AT146" s="3">
        <f>STDEV(sdata0!B141:AG141)</f>
        <v>4.0959448460164225E-3</v>
      </c>
      <c r="AU146" s="3">
        <f>AVERAGE(sdata1!B141:AG141)</f>
        <v>8.1996434937611409E-3</v>
      </c>
      <c r="AV146" s="3">
        <f>STDEV(sdata1!B141:AG141)</f>
        <v>4.0959448460164216E-3</v>
      </c>
      <c r="AW146">
        <f t="shared" si="25"/>
        <v>1.3913043478260869</v>
      </c>
      <c r="AX146">
        <f t="shared" si="26"/>
        <v>2.9090909090909092</v>
      </c>
      <c r="AY146">
        <f t="shared" si="27"/>
        <v>2.0909090909090908</v>
      </c>
    </row>
    <row r="147" spans="44:51">
      <c r="AR147" s="6">
        <f t="shared" si="28"/>
        <v>140</v>
      </c>
      <c r="AS147" s="3">
        <f>AVERAGE(sdata0!B142:AG142)</f>
        <v>1.2477718360071303E-2</v>
      </c>
      <c r="AT147" s="3">
        <f>STDEV(sdata0!B142:AG142)</f>
        <v>4.5794055538913052E-3</v>
      </c>
      <c r="AU147" s="3">
        <f>AVERAGE(sdata1!B142:AG142)</f>
        <v>8.5561497326203211E-3</v>
      </c>
      <c r="AV147" s="3">
        <f>STDEV(sdata1!B142:AG142)</f>
        <v>3.8496071263295815E-3</v>
      </c>
      <c r="AW147">
        <f t="shared" si="25"/>
        <v>1.4583333333333335</v>
      </c>
      <c r="AX147">
        <f t="shared" si="26"/>
        <v>3.1818181818181821</v>
      </c>
      <c r="AY147">
        <f t="shared" si="27"/>
        <v>2.1818181818181817</v>
      </c>
    </row>
    <row r="148" spans="44:51">
      <c r="AR148" s="6">
        <f t="shared" si="28"/>
        <v>141</v>
      </c>
      <c r="AS148" s="3">
        <f>AVERAGE(sdata0!B143:AG143)</f>
        <v>1.2121212121212121E-2</v>
      </c>
      <c r="AT148" s="3">
        <f>STDEV(sdata0!B143:AG143)</f>
        <v>4.7883446389677883E-3</v>
      </c>
      <c r="AU148" s="3">
        <f>AVERAGE(sdata1!B143:AG143)</f>
        <v>7.8431372549019607E-3</v>
      </c>
      <c r="AV148" s="3">
        <f>STDEV(sdata1!B143:AG143)</f>
        <v>3.5075576117643758E-3</v>
      </c>
      <c r="AW148">
        <f t="shared" si="25"/>
        <v>1.5454545454545454</v>
      </c>
      <c r="AX148">
        <f t="shared" si="26"/>
        <v>3.0909090909090908</v>
      </c>
      <c r="AY148">
        <f t="shared" si="27"/>
        <v>2</v>
      </c>
    </row>
    <row r="149" spans="44:51">
      <c r="AR149" s="6">
        <f t="shared" si="28"/>
        <v>142</v>
      </c>
      <c r="AS149" s="3">
        <f>AVERAGE(sdata0!B144:AG144)</f>
        <v>1.2121212121212121E-2</v>
      </c>
      <c r="AT149" s="3">
        <f>STDEV(sdata0!B144:AG144)</f>
        <v>4.7883446389677883E-3</v>
      </c>
      <c r="AU149" s="3">
        <f>AVERAGE(sdata1!B144:AG144)</f>
        <v>7.4866310160427805E-3</v>
      </c>
      <c r="AV149" s="3">
        <f>STDEV(sdata1!B144:AG144)</f>
        <v>3.7014894409746614E-3</v>
      </c>
      <c r="AW149">
        <f t="shared" si="25"/>
        <v>1.6190476190476191</v>
      </c>
      <c r="AX149">
        <f t="shared" si="26"/>
        <v>3.0909090909090908</v>
      </c>
      <c r="AY149">
        <f t="shared" si="27"/>
        <v>1.9090909090909089</v>
      </c>
    </row>
    <row r="150" spans="44:51">
      <c r="AR150" s="6">
        <f t="shared" si="28"/>
        <v>143</v>
      </c>
      <c r="AS150" s="3">
        <f>AVERAGE(sdata0!B145:AG145)</f>
        <v>1.1764705882352939E-2</v>
      </c>
      <c r="AT150" s="3">
        <f>STDEV(sdata0!B145:AG145)</f>
        <v>4.9604355453621678E-3</v>
      </c>
      <c r="AU150" s="3">
        <f>AVERAGE(sdata1!B145:AG145)</f>
        <v>7.4866310160427805E-3</v>
      </c>
      <c r="AV150" s="3">
        <f>STDEV(sdata1!B145:AG145)</f>
        <v>3.7014894409746614E-3</v>
      </c>
      <c r="AW150">
        <f t="shared" si="25"/>
        <v>1.5714285714285712</v>
      </c>
      <c r="AX150">
        <f t="shared" si="26"/>
        <v>2.9999999999999996</v>
      </c>
      <c r="AY150">
        <f t="shared" si="27"/>
        <v>1.9090909090909089</v>
      </c>
    </row>
    <row r="151" spans="44:51">
      <c r="AR151" s="6">
        <f t="shared" si="28"/>
        <v>144</v>
      </c>
      <c r="AS151" s="3">
        <f>AVERAGE(sdata0!B146:AG146)</f>
        <v>1.2121212121212121E-2</v>
      </c>
      <c r="AT151" s="3">
        <f>STDEV(sdata0!B146:AG146)</f>
        <v>4.7883446389677909E-3</v>
      </c>
      <c r="AU151" s="3">
        <f>AVERAGE(sdata1!B146:AG146)</f>
        <v>8.1996434937611409E-3</v>
      </c>
      <c r="AV151" s="3">
        <f>STDEV(sdata1!B146:AG146)</f>
        <v>3.7014894409746627E-3</v>
      </c>
      <c r="AW151">
        <f t="shared" si="25"/>
        <v>1.4782608695652173</v>
      </c>
      <c r="AX151">
        <f t="shared" si="26"/>
        <v>3.0909090909090908</v>
      </c>
      <c r="AY151">
        <f t="shared" si="27"/>
        <v>2.0909090909090908</v>
      </c>
    </row>
    <row r="152" spans="44:51">
      <c r="AR152" s="6">
        <f t="shared" si="28"/>
        <v>145</v>
      </c>
      <c r="AS152" s="3">
        <f>AVERAGE(sdata0!B147:AG147)</f>
        <v>1.1408199643493761E-2</v>
      </c>
      <c r="AT152" s="3">
        <f>STDEV(sdata0!B147:AG147)</f>
        <v>4.7883446389677927E-3</v>
      </c>
      <c r="AU152" s="3">
        <f>AVERAGE(sdata1!B147:AG147)</f>
        <v>7.4866310160427805E-3</v>
      </c>
      <c r="AV152" s="3">
        <f>STDEV(sdata1!B147:AG147)</f>
        <v>3.7014894409746614E-3</v>
      </c>
      <c r="AW152">
        <f t="shared" ref="AW152:AW155" si="29">AS152/AU152</f>
        <v>1.5238095238095237</v>
      </c>
      <c r="AX152">
        <f t="shared" ref="AX152:AX155" si="30">AS152*$AX$5</f>
        <v>2.9090909090909092</v>
      </c>
      <c r="AY152">
        <f t="shared" ref="AY152:AY155" si="31">AU152*$AX$5</f>
        <v>1.9090909090909089</v>
      </c>
    </row>
    <row r="153" spans="44:51">
      <c r="AR153" s="6">
        <f t="shared" si="28"/>
        <v>146</v>
      </c>
      <c r="AS153" s="3">
        <f>AVERAGE(sdata0!B148:AG148)</f>
        <v>1.1408199643493761E-2</v>
      </c>
      <c r="AT153" s="3">
        <f>STDEV(sdata0!B148:AG148)</f>
        <v>5.9355879895236843E-3</v>
      </c>
      <c r="AU153" s="3">
        <f>AVERAGE(sdata1!B148:AG148)</f>
        <v>7.1301247771836003E-3</v>
      </c>
      <c r="AV153" s="3">
        <f>STDEV(sdata1!B148:AG148)</f>
        <v>3.4269133235502068E-3</v>
      </c>
      <c r="AW153">
        <f t="shared" si="29"/>
        <v>1.6</v>
      </c>
      <c r="AX153">
        <f t="shared" si="30"/>
        <v>2.9090909090909092</v>
      </c>
      <c r="AY153">
        <f t="shared" si="31"/>
        <v>1.8181818181818181</v>
      </c>
    </row>
    <row r="154" spans="44:51">
      <c r="AR154" s="6">
        <f t="shared" si="28"/>
        <v>147</v>
      </c>
      <c r="AS154" s="3">
        <f>AVERAGE(sdata0!B149:AG149)</f>
        <v>1.1051693404634581E-2</v>
      </c>
      <c r="AT154" s="3">
        <f>STDEV(sdata0!B149:AG149)</f>
        <v>4.2302736468281844E-3</v>
      </c>
      <c r="AU154" s="3">
        <f>AVERAGE(sdata1!B149:AG149)</f>
        <v>7.1301247771836003E-3</v>
      </c>
      <c r="AV154" s="3">
        <f>STDEV(sdata1!B149:AG149)</f>
        <v>3.8496071263295802E-3</v>
      </c>
      <c r="AW154">
        <f t="shared" si="29"/>
        <v>1.55</v>
      </c>
      <c r="AX154">
        <f t="shared" si="30"/>
        <v>2.8181818181818179</v>
      </c>
      <c r="AY154">
        <f t="shared" si="31"/>
        <v>1.8181818181818181</v>
      </c>
    </row>
    <row r="155" spans="44:51">
      <c r="AR155" s="6">
        <f t="shared" si="28"/>
        <v>148</v>
      </c>
      <c r="AS155" s="3">
        <f>AVERAGE(sdata0!B150:AG150)</f>
        <v>9.9821746880570401E-3</v>
      </c>
      <c r="AT155" s="3">
        <f>STDEV(sdata0!B150:AG150)</f>
        <v>4.0616685543318687E-3</v>
      </c>
      <c r="AU155" s="3">
        <f>AVERAGE(sdata1!B150:AG150)</f>
        <v>6.4171122994652408E-3</v>
      </c>
      <c r="AV155" s="3">
        <f>STDEV(sdata1!B150:AG150)</f>
        <v>3.6251618734791202E-3</v>
      </c>
      <c r="AW155">
        <f t="shared" si="29"/>
        <v>1.5555555555555554</v>
      </c>
      <c r="AX155">
        <f t="shared" si="30"/>
        <v>2.5454545454545454</v>
      </c>
      <c r="AY155">
        <f t="shared" si="31"/>
        <v>1.6363636363636365</v>
      </c>
    </row>
    <row r="156" spans="44:51">
      <c r="AR156" s="6">
        <f t="shared" si="28"/>
        <v>149</v>
      </c>
      <c r="AS156" s="3">
        <f>AVERAGE(sdata0!B151:AG151)</f>
        <v>1.06951871657754E-2</v>
      </c>
      <c r="AT156" s="3">
        <f>STDEV(sdata0!B151:AG151)</f>
        <v>4.3282852651055108E-3</v>
      </c>
      <c r="AU156" s="3">
        <f>AVERAGE(sdata1!B151:AG151)</f>
        <v>5.7040998217468804E-3</v>
      </c>
      <c r="AV156" s="3">
        <f>STDEV(sdata1!B151:AG151)</f>
        <v>3.2164687539793114E-3</v>
      </c>
      <c r="AW156">
        <f t="shared" ref="AW156:AW157" si="32">AS156/AU156</f>
        <v>1.875</v>
      </c>
      <c r="AX156">
        <f t="shared" ref="AX156:AX157" si="33">AS156*$AX$5</f>
        <v>2.7272727272727271</v>
      </c>
      <c r="AY156">
        <f t="shared" ref="AY156:AY157" si="34">AU156*$AX$5</f>
        <v>1.4545454545454546</v>
      </c>
    </row>
    <row r="157" spans="44:51">
      <c r="AR157" s="6">
        <f t="shared" si="28"/>
        <v>150</v>
      </c>
      <c r="AS157" s="3">
        <f>AVERAGE(sdata0!B152:AG152)</f>
        <v>9.2691622103386814E-3</v>
      </c>
      <c r="AT157" s="3">
        <f>STDEV(sdata0!B152:AG152)</f>
        <v>3.6251618734791202E-3</v>
      </c>
      <c r="AU157" s="3">
        <f>AVERAGE(sdata1!B152:AG152)</f>
        <v>6.0606060606060606E-3</v>
      </c>
      <c r="AV157" s="3">
        <f>STDEV(sdata1!B152:AG152)</f>
        <v>3.663524443113048E-3</v>
      </c>
      <c r="AW157">
        <f t="shared" si="32"/>
        <v>1.5294117647058825</v>
      </c>
      <c r="AX157">
        <f t="shared" si="33"/>
        <v>2.3636363636363638</v>
      </c>
      <c r="AY157">
        <f t="shared" si="34"/>
        <v>1.5454545454545454</v>
      </c>
    </row>
    <row r="158" spans="44:51">
      <c r="AR158" s="6"/>
      <c r="AS158" s="3"/>
      <c r="AT158" s="3"/>
      <c r="AU158" s="3"/>
      <c r="AV158" s="3"/>
    </row>
    <row r="159" spans="44:51">
      <c r="AR159" s="6"/>
      <c r="AS159" s="3"/>
      <c r="AT159" s="3"/>
      <c r="AU159" s="3"/>
      <c r="AV159" s="3"/>
    </row>
    <row r="160" spans="44:51">
      <c r="AR160" s="6"/>
      <c r="AS160" s="3"/>
      <c r="AT160" s="3"/>
      <c r="AU160" s="3"/>
      <c r="AV160" s="3"/>
    </row>
    <row r="161" spans="28:48">
      <c r="AR161" s="6"/>
      <c r="AS161" s="3"/>
      <c r="AT161" s="3"/>
      <c r="AU161" s="3"/>
      <c r="AV161" s="3"/>
    </row>
    <row r="162" spans="28:48">
      <c r="AR162" s="6"/>
      <c r="AS162" s="3"/>
      <c r="AT162" s="3"/>
      <c r="AU162" s="3"/>
      <c r="AV162" s="3"/>
    </row>
    <row r="163" spans="28:48">
      <c r="AR163" s="6"/>
      <c r="AS163" s="3"/>
      <c r="AT163" s="3"/>
      <c r="AU163" s="3"/>
      <c r="AV163" s="3"/>
    </row>
    <row r="164" spans="28:48">
      <c r="AR164" s="6"/>
      <c r="AS164" s="3"/>
      <c r="AT164" s="3"/>
      <c r="AU164" s="3"/>
      <c r="AV164" s="3"/>
    </row>
    <row r="165" spans="28:48">
      <c r="AR165" s="6"/>
      <c r="AS165" s="3"/>
      <c r="AT165" s="3"/>
      <c r="AU165" s="3"/>
      <c r="AV165" s="3"/>
    </row>
    <row r="166" spans="28:48">
      <c r="AB166" s="3"/>
      <c r="AC166" s="3"/>
      <c r="AD166" s="3"/>
      <c r="AE166" s="3"/>
      <c r="AR166" s="6"/>
      <c r="AS166" s="3"/>
      <c r="AT166" s="3"/>
      <c r="AU166" s="3"/>
      <c r="AV166" s="3"/>
    </row>
    <row r="167" spans="28:48">
      <c r="AB167" s="3"/>
      <c r="AC167" s="3"/>
      <c r="AD167" s="3"/>
      <c r="AE167" s="3"/>
      <c r="AR167" s="6"/>
      <c r="AS167" s="3"/>
      <c r="AT167" s="3"/>
      <c r="AU167" s="3"/>
      <c r="AV167" s="3"/>
    </row>
    <row r="168" spans="28:48">
      <c r="AB168" s="3"/>
      <c r="AC168" s="3"/>
      <c r="AD168" s="3"/>
      <c r="AE168" s="3"/>
    </row>
    <row r="169" spans="28:48">
      <c r="AB169" s="3"/>
      <c r="AC169" s="3"/>
      <c r="AD169" s="3"/>
      <c r="AE169" s="3"/>
    </row>
  </sheetData>
  <sortState ref="I26:I34">
    <sortCondition ref="I25"/>
  </sortState>
  <mergeCells count="5">
    <mergeCell ref="J2:K2"/>
    <mergeCell ref="AS5:AT5"/>
    <mergeCell ref="AU5:AV5"/>
    <mergeCell ref="H25:J25"/>
    <mergeCell ref="AX5:AY5"/>
  </mergeCells>
  <conditionalFormatting sqref="J7:AO7">
    <cfRule type="top10" dxfId="1" priority="1" percent="1" bottom="1" rank="10"/>
    <cfRule type="top10" dxfId="0" priority="2" percent="1" rank="10"/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G162"/>
  <sheetViews>
    <sheetView zoomScale="80" zoomScaleNormal="80" workbookViewId="0">
      <pane ySplit="7200" topLeftCell="A145"/>
      <selection activeCell="M2" sqref="M2:AG152"/>
      <selection pane="bottomLeft" activeCell="A153" sqref="A153:A154"/>
    </sheetView>
  </sheetViews>
  <sheetFormatPr defaultRowHeight="15"/>
  <cols>
    <col min="1" max="1" width="10.85546875" bestFit="1" customWidth="1"/>
    <col min="2" max="32" width="6" customWidth="1"/>
    <col min="33" max="33" width="6" bestFit="1" customWidth="1"/>
  </cols>
  <sheetData>
    <row r="1" spans="1:33">
      <c r="A1" t="str">
        <f>data0!A1</f>
        <v>HI</v>
      </c>
      <c r="B1">
        <f>data0!B1</f>
        <v>0</v>
      </c>
      <c r="C1">
        <f>data0!C1</f>
        <v>1</v>
      </c>
      <c r="D1">
        <f>data0!D1</f>
        <v>2</v>
      </c>
      <c r="E1">
        <f>data0!E1</f>
        <v>3</v>
      </c>
      <c r="F1">
        <f>data0!F1</f>
        <v>4</v>
      </c>
      <c r="G1">
        <f>data0!G1</f>
        <v>5</v>
      </c>
      <c r="H1">
        <f>data0!H1</f>
        <v>6</v>
      </c>
      <c r="I1">
        <f>data0!I1</f>
        <v>7</v>
      </c>
      <c r="J1">
        <f>data0!J1</f>
        <v>8</v>
      </c>
      <c r="K1">
        <f>data0!K1</f>
        <v>9</v>
      </c>
      <c r="L1">
        <f>data0!L1</f>
        <v>10</v>
      </c>
      <c r="M1">
        <f>data0!M1</f>
        <v>11</v>
      </c>
      <c r="N1">
        <f>data0!N1</f>
        <v>12</v>
      </c>
      <c r="O1">
        <f>data0!O1</f>
        <v>13</v>
      </c>
      <c r="P1">
        <f>data0!P1</f>
        <v>14</v>
      </c>
      <c r="Q1">
        <f>data0!Q1</f>
        <v>15</v>
      </c>
      <c r="R1">
        <f>data0!R1</f>
        <v>16</v>
      </c>
      <c r="S1">
        <f>data0!S1</f>
        <v>17</v>
      </c>
      <c r="T1">
        <f>data0!T1</f>
        <v>18</v>
      </c>
      <c r="U1">
        <f>data0!U1</f>
        <v>19</v>
      </c>
      <c r="V1">
        <f>data0!V1</f>
        <v>20</v>
      </c>
      <c r="W1">
        <f>data0!W1</f>
        <v>21</v>
      </c>
      <c r="X1">
        <f>data0!X1</f>
        <v>22</v>
      </c>
      <c r="Y1">
        <f>data0!Y1</f>
        <v>23</v>
      </c>
      <c r="Z1">
        <f>data0!Z1</f>
        <v>24</v>
      </c>
      <c r="AA1">
        <f>data0!AA1</f>
        <v>25</v>
      </c>
      <c r="AB1">
        <f>data0!AB1</f>
        <v>26</v>
      </c>
      <c r="AC1">
        <f>data0!AC1</f>
        <v>27</v>
      </c>
      <c r="AD1">
        <f>data0!AD1</f>
        <v>28</v>
      </c>
      <c r="AE1">
        <f>data0!AE1</f>
        <v>29</v>
      </c>
      <c r="AF1">
        <f>data0!AF1</f>
        <v>30</v>
      </c>
      <c r="AG1">
        <f>data0!AG1</f>
        <v>31</v>
      </c>
    </row>
    <row r="2" spans="1:33">
      <c r="A2">
        <f>data0!A2</f>
        <v>0</v>
      </c>
      <c r="B2">
        <f>MIN(1,dataScale*data0!B2)</f>
        <v>0</v>
      </c>
      <c r="C2">
        <f>MIN(1,dataScale*data0!C2)</f>
        <v>0</v>
      </c>
      <c r="D2">
        <f>MIN(1,dataScale*data0!D2)</f>
        <v>0</v>
      </c>
      <c r="E2">
        <f>MIN(1,dataScale*data0!E2)</f>
        <v>0.42745098039215684</v>
      </c>
      <c r="F2">
        <f>MIN(1,dataScale*data0!F2)</f>
        <v>0.3529411764705882</v>
      </c>
      <c r="G2">
        <f>MIN(1,dataScale*data0!G2)</f>
        <v>0.67450980392156867</v>
      </c>
      <c r="H2">
        <f>MIN(1,dataScale*data0!H2)</f>
        <v>0.17254901960784313</v>
      </c>
      <c r="I2">
        <f>MIN(1,dataScale*data0!I2)</f>
        <v>0.98039215686274506</v>
      </c>
      <c r="J2">
        <f>MIN(1,dataScale*data0!J2)</f>
        <v>0.75294117647058822</v>
      </c>
      <c r="K2">
        <f>MIN(1,dataScale*data0!K2)</f>
        <v>0.2196078431372549</v>
      </c>
      <c r="L2">
        <f>MIN(1,dataScale*data0!L2)</f>
        <v>0.32549019607843138</v>
      </c>
    </row>
    <row r="3" spans="1:33">
      <c r="A3">
        <f>data0!A3</f>
        <v>1</v>
      </c>
      <c r="B3">
        <f>MIN(1,dataScale*data0!B3)</f>
        <v>0</v>
      </c>
      <c r="C3">
        <f>MIN(1,dataScale*data0!C3)</f>
        <v>0.88235294117647056</v>
      </c>
      <c r="D3">
        <f>MIN(1,dataScale*data0!D3)</f>
        <v>0.88627450980392153</v>
      </c>
      <c r="E3">
        <f>MIN(1,dataScale*data0!E3)</f>
        <v>0.86274509803921573</v>
      </c>
      <c r="F3">
        <f>MIN(1,dataScale*data0!F3)</f>
        <v>0.90980392156862744</v>
      </c>
      <c r="G3">
        <f>MIN(1,dataScale*data0!G3)</f>
        <v>0.92941176470588238</v>
      </c>
      <c r="H3">
        <f>MIN(1,dataScale*data0!H3)</f>
        <v>0.999</v>
      </c>
      <c r="I3">
        <f>MIN(1,dataScale*data0!I3)</f>
        <v>0.999</v>
      </c>
      <c r="J3">
        <f>MIN(1,dataScale*data0!J3)</f>
        <v>0.97254901960784312</v>
      </c>
      <c r="K3">
        <f>MIN(1,dataScale*data0!K3)</f>
        <v>0.92549019607843142</v>
      </c>
      <c r="L3">
        <f>MIN(1,dataScale*data0!L3)</f>
        <v>0.999</v>
      </c>
    </row>
    <row r="4" spans="1:33">
      <c r="A4">
        <f>data0!A4</f>
        <v>2</v>
      </c>
      <c r="B4">
        <f>MIN(1,dataScale*data0!B4)</f>
        <v>0</v>
      </c>
      <c r="C4">
        <f>MIN(1,dataScale*data0!C4)</f>
        <v>0.8784313725490196</v>
      </c>
      <c r="D4">
        <f>MIN(1,dataScale*data0!D4)</f>
        <v>0.8784313725490196</v>
      </c>
      <c r="E4">
        <f>MIN(1,dataScale*data0!E4)</f>
        <v>0.85882352941176465</v>
      </c>
      <c r="F4">
        <f>MIN(1,dataScale*data0!F4)</f>
        <v>0.90588235294117647</v>
      </c>
      <c r="G4">
        <f>MIN(1,dataScale*data0!G4)</f>
        <v>0.92941176470588238</v>
      </c>
      <c r="H4">
        <f>MIN(1,dataScale*data0!H4)</f>
        <v>0.999</v>
      </c>
      <c r="I4">
        <f>MIN(1,dataScale*data0!I4)</f>
        <v>0.999</v>
      </c>
      <c r="J4">
        <f>MIN(1,dataScale*data0!J4)</f>
        <v>0.97254901960784312</v>
      </c>
      <c r="K4">
        <f>MIN(1,dataScale*data0!K4)</f>
        <v>0.92156862745098034</v>
      </c>
      <c r="L4">
        <f>MIN(1,dataScale*data0!L4)</f>
        <v>0.999</v>
      </c>
    </row>
    <row r="5" spans="1:33">
      <c r="A5">
        <f>data0!A5</f>
        <v>3</v>
      </c>
      <c r="B5">
        <f>MIN(1,dataScale*data0!B5)</f>
        <v>0</v>
      </c>
      <c r="C5">
        <f>MIN(1,dataScale*data0!C5)</f>
        <v>0.8784313725490196</v>
      </c>
      <c r="D5">
        <f>MIN(1,dataScale*data0!D5)</f>
        <v>0.88627450980392153</v>
      </c>
      <c r="E5">
        <f>MIN(1,dataScale*data0!E5)</f>
        <v>0.8666666666666667</v>
      </c>
      <c r="F5">
        <f>MIN(1,dataScale*data0!F5)</f>
        <v>0.90980392156862744</v>
      </c>
      <c r="G5">
        <f>MIN(1,dataScale*data0!G5)</f>
        <v>0.93333333333333335</v>
      </c>
      <c r="H5">
        <f>MIN(1,dataScale*data0!H5)</f>
        <v>0.999</v>
      </c>
      <c r="I5">
        <f>MIN(1,dataScale*data0!I5)</f>
        <v>0.999</v>
      </c>
      <c r="J5">
        <f>MIN(1,dataScale*data0!J5)</f>
        <v>0.98039215686274506</v>
      </c>
      <c r="K5">
        <f>MIN(1,dataScale*data0!K5)</f>
        <v>0.92156862745098034</v>
      </c>
      <c r="L5">
        <f>MIN(1,dataScale*data0!L5)</f>
        <v>0.999</v>
      </c>
    </row>
    <row r="6" spans="1:33">
      <c r="A6">
        <f>data0!A6</f>
        <v>4</v>
      </c>
      <c r="B6">
        <f>MIN(1,dataScale*data0!B6)</f>
        <v>0</v>
      </c>
      <c r="C6">
        <f>MIN(1,dataScale*data0!C6)</f>
        <v>0.88627450980392153</v>
      </c>
      <c r="D6">
        <f>MIN(1,dataScale*data0!D6)</f>
        <v>0.8901960784313725</v>
      </c>
      <c r="E6">
        <f>MIN(1,dataScale*data0!E6)</f>
        <v>0.87058823529411766</v>
      </c>
      <c r="F6">
        <f>MIN(1,dataScale*data0!F6)</f>
        <v>0.91764705882352937</v>
      </c>
      <c r="G6">
        <f>MIN(1,dataScale*data0!G6)</f>
        <v>0.94117647058823528</v>
      </c>
      <c r="H6">
        <f>MIN(1,dataScale*data0!H6)</f>
        <v>0.999</v>
      </c>
      <c r="I6">
        <f>MIN(1,dataScale*data0!I6)</f>
        <v>0.999</v>
      </c>
      <c r="J6">
        <f>MIN(1,dataScale*data0!J6)</f>
        <v>0.9882352941176471</v>
      </c>
      <c r="K6">
        <f>MIN(1,dataScale*data0!K6)</f>
        <v>0.93725490196078431</v>
      </c>
      <c r="L6">
        <f>MIN(1,dataScale*data0!L6)</f>
        <v>0.999</v>
      </c>
    </row>
    <row r="7" spans="1:33">
      <c r="A7">
        <f>data0!A7</f>
        <v>5</v>
      </c>
      <c r="B7">
        <f>MIN(1,dataScale*data0!B7)</f>
        <v>0</v>
      </c>
      <c r="C7">
        <f>MIN(1,dataScale*data0!C7)</f>
        <v>0.89411764705882346</v>
      </c>
      <c r="D7">
        <f>MIN(1,dataScale*data0!D7)</f>
        <v>0.89803921568627454</v>
      </c>
      <c r="E7">
        <f>MIN(1,dataScale*data0!E7)</f>
        <v>0.88235294117647056</v>
      </c>
      <c r="F7">
        <f>MIN(1,dataScale*data0!F7)</f>
        <v>0.92549019607843142</v>
      </c>
      <c r="G7">
        <f>MIN(1,dataScale*data0!G7)</f>
        <v>0.94901960784313721</v>
      </c>
      <c r="H7">
        <f>MIN(1,dataScale*data0!H7)</f>
        <v>0.999</v>
      </c>
      <c r="I7">
        <f>MIN(1,dataScale*data0!I7)</f>
        <v>0.999</v>
      </c>
      <c r="J7">
        <f>MIN(1,dataScale*data0!J7)</f>
        <v>0.99607843137254903</v>
      </c>
      <c r="K7">
        <f>MIN(1,dataScale*data0!K7)</f>
        <v>0.94509803921568625</v>
      </c>
      <c r="L7">
        <f>MIN(1,dataScale*data0!L7)</f>
        <v>0.999</v>
      </c>
    </row>
    <row r="8" spans="1:33">
      <c r="A8">
        <f>data0!A8</f>
        <v>6</v>
      </c>
      <c r="B8">
        <f>MIN(1,dataScale*data0!B8)</f>
        <v>0</v>
      </c>
      <c r="C8">
        <f>MIN(1,dataScale*data0!C8)</f>
        <v>0.90588235294117647</v>
      </c>
      <c r="D8">
        <f>MIN(1,dataScale*data0!D8)</f>
        <v>0.92156862745098034</v>
      </c>
      <c r="E8">
        <f>MIN(1,dataScale*data0!E8)</f>
        <v>0.92549019607843142</v>
      </c>
      <c r="F8">
        <f>MIN(1,dataScale*data0!F8)</f>
        <v>0.94509803921568625</v>
      </c>
      <c r="G8">
        <f>MIN(1,dataScale*data0!G8)</f>
        <v>0.96862745098039216</v>
      </c>
      <c r="H8">
        <f>MIN(1,dataScale*data0!H8)</f>
        <v>0.999</v>
      </c>
      <c r="I8">
        <f>MIN(1,dataScale*data0!I8)</f>
        <v>0.999</v>
      </c>
      <c r="J8">
        <f>MIN(1,dataScale*data0!J8)</f>
        <v>0.999</v>
      </c>
      <c r="K8">
        <f>MIN(1,dataScale*data0!K8)</f>
        <v>0.999</v>
      </c>
      <c r="L8">
        <f>MIN(1,dataScale*data0!L8)</f>
        <v>0.999</v>
      </c>
    </row>
    <row r="9" spans="1:33">
      <c r="A9">
        <f>data0!A9</f>
        <v>7</v>
      </c>
      <c r="B9">
        <f>MIN(1,dataScale*data0!B9)</f>
        <v>0</v>
      </c>
      <c r="C9">
        <f>MIN(1,dataScale*data0!C9)</f>
        <v>0.98039215686274506</v>
      </c>
      <c r="D9">
        <f>MIN(1,dataScale*data0!D9)</f>
        <v>0.999</v>
      </c>
      <c r="E9">
        <f>MIN(1,dataScale*data0!E9)</f>
        <v>0.999</v>
      </c>
      <c r="F9">
        <f>MIN(1,dataScale*data0!F9)</f>
        <v>0.999</v>
      </c>
      <c r="G9">
        <f>MIN(1,dataScale*data0!G9)</f>
        <v>0.999</v>
      </c>
      <c r="H9">
        <f>MIN(1,dataScale*data0!H9)</f>
        <v>0.999</v>
      </c>
      <c r="I9">
        <f>MIN(1,dataScale*data0!I9)</f>
        <v>0.999</v>
      </c>
      <c r="J9">
        <f>MIN(1,dataScale*data0!J9)</f>
        <v>0.999</v>
      </c>
      <c r="K9">
        <f>MIN(1,dataScale*data0!K9)</f>
        <v>0.999</v>
      </c>
      <c r="L9">
        <f>MIN(1,dataScale*data0!L9)</f>
        <v>0.999</v>
      </c>
    </row>
    <row r="10" spans="1:33">
      <c r="A10">
        <f>data0!A10</f>
        <v>8</v>
      </c>
      <c r="B10">
        <f>MIN(1,dataScale*data0!B10)</f>
        <v>0</v>
      </c>
      <c r="C10">
        <f>MIN(1,dataScale*data0!C10)</f>
        <v>0.999</v>
      </c>
      <c r="D10">
        <f>MIN(1,dataScale*data0!D10)</f>
        <v>0.999</v>
      </c>
      <c r="E10">
        <f>MIN(1,dataScale*data0!E10)</f>
        <v>0.999</v>
      </c>
      <c r="F10">
        <f>MIN(1,dataScale*data0!F10)</f>
        <v>0.999</v>
      </c>
      <c r="G10">
        <f>MIN(1,dataScale*data0!G10)</f>
        <v>0.999</v>
      </c>
      <c r="H10">
        <f>MIN(1,dataScale*data0!H10)</f>
        <v>0.999</v>
      </c>
      <c r="I10">
        <f>MIN(1,dataScale*data0!I10)</f>
        <v>0.999</v>
      </c>
      <c r="J10">
        <f>MIN(1,dataScale*data0!J10)</f>
        <v>0.999</v>
      </c>
      <c r="K10">
        <f>MIN(1,dataScale*data0!K10)</f>
        <v>0.999</v>
      </c>
      <c r="L10">
        <f>MIN(1,dataScale*data0!L10)</f>
        <v>0.999</v>
      </c>
    </row>
    <row r="11" spans="1:33">
      <c r="A11">
        <f>data0!A11</f>
        <v>9</v>
      </c>
      <c r="B11">
        <f>MIN(1,dataScale*data0!B11)</f>
        <v>0</v>
      </c>
      <c r="C11">
        <f>MIN(1,dataScale*data0!C11)</f>
        <v>0.999</v>
      </c>
      <c r="D11">
        <f>MIN(1,dataScale*data0!D11)</f>
        <v>0.999</v>
      </c>
      <c r="E11">
        <f>MIN(1,dataScale*data0!E11)</f>
        <v>0.999</v>
      </c>
      <c r="F11">
        <f>MIN(1,dataScale*data0!F11)</f>
        <v>0.999</v>
      </c>
      <c r="G11">
        <f>MIN(1,dataScale*data0!G11)</f>
        <v>0.999</v>
      </c>
      <c r="H11">
        <f>MIN(1,dataScale*data0!H11)</f>
        <v>0.999</v>
      </c>
      <c r="I11">
        <f>MIN(1,dataScale*data0!I11)</f>
        <v>0.999</v>
      </c>
      <c r="J11">
        <f>MIN(1,dataScale*data0!J11)</f>
        <v>0.999</v>
      </c>
      <c r="K11">
        <f>MIN(1,dataScale*data0!K11)</f>
        <v>0.999</v>
      </c>
      <c r="L11">
        <f>MIN(1,dataScale*data0!L11)</f>
        <v>0.999</v>
      </c>
    </row>
    <row r="12" spans="1:33">
      <c r="A12">
        <f>data0!A12</f>
        <v>10</v>
      </c>
      <c r="B12">
        <f>MIN(1,dataScale*data0!B12)</f>
        <v>0</v>
      </c>
      <c r="C12">
        <f>MIN(1,dataScale*data0!C12)</f>
        <v>0.999</v>
      </c>
      <c r="D12">
        <f>MIN(1,dataScale*data0!D12)</f>
        <v>0.999</v>
      </c>
      <c r="E12">
        <f>MIN(1,dataScale*data0!E12)</f>
        <v>0.999</v>
      </c>
      <c r="F12">
        <f>MIN(1,dataScale*data0!F12)</f>
        <v>0.999</v>
      </c>
      <c r="G12">
        <f>MIN(1,dataScale*data0!G12)</f>
        <v>0.999</v>
      </c>
      <c r="H12">
        <f>MIN(1,dataScale*data0!H12)</f>
        <v>0.999</v>
      </c>
      <c r="I12">
        <f>MIN(1,dataScale*data0!I12)</f>
        <v>0.999</v>
      </c>
      <c r="J12">
        <f>MIN(1,dataScale*data0!J12)</f>
        <v>0.999</v>
      </c>
      <c r="K12">
        <f>MIN(1,dataScale*data0!K12)</f>
        <v>0.999</v>
      </c>
      <c r="L12">
        <f>MIN(1,dataScale*data0!L12)</f>
        <v>0.999</v>
      </c>
    </row>
    <row r="13" spans="1:33">
      <c r="A13">
        <f>data0!A13</f>
        <v>11</v>
      </c>
      <c r="B13">
        <f>MIN(1,dataScale*data0!B13)</f>
        <v>0</v>
      </c>
      <c r="C13">
        <f>MIN(1,dataScale*data0!C13)</f>
        <v>0.999</v>
      </c>
      <c r="D13">
        <f>MIN(1,dataScale*data0!D13)</f>
        <v>0.999</v>
      </c>
      <c r="E13">
        <f>MIN(1,dataScale*data0!E13)</f>
        <v>0.999</v>
      </c>
      <c r="F13">
        <f>MIN(1,dataScale*data0!F13)</f>
        <v>0.999</v>
      </c>
      <c r="G13">
        <f>MIN(1,dataScale*data0!G13)</f>
        <v>0.999</v>
      </c>
      <c r="H13">
        <f>MIN(1,dataScale*data0!H13)</f>
        <v>0.999</v>
      </c>
      <c r="I13">
        <f>MIN(1,dataScale*data0!I13)</f>
        <v>0.999</v>
      </c>
      <c r="J13">
        <f>MIN(1,dataScale*data0!J13)</f>
        <v>0.999</v>
      </c>
      <c r="K13">
        <f>MIN(1,dataScale*data0!K13)</f>
        <v>0.999</v>
      </c>
      <c r="L13">
        <f>MIN(1,dataScale*data0!L13)</f>
        <v>0.999</v>
      </c>
    </row>
    <row r="14" spans="1:33">
      <c r="A14">
        <f>data0!A14</f>
        <v>12</v>
      </c>
      <c r="B14">
        <f>MIN(1,dataScale*data0!B14)</f>
        <v>0</v>
      </c>
      <c r="C14">
        <f>MIN(1,dataScale*data0!C14)</f>
        <v>0.999</v>
      </c>
      <c r="D14">
        <f>MIN(1,dataScale*data0!D14)</f>
        <v>0.999</v>
      </c>
      <c r="E14">
        <f>MIN(1,dataScale*data0!E14)</f>
        <v>0.999</v>
      </c>
      <c r="F14">
        <f>MIN(1,dataScale*data0!F14)</f>
        <v>0.999</v>
      </c>
      <c r="G14">
        <f>MIN(1,dataScale*data0!G14)</f>
        <v>0.999</v>
      </c>
      <c r="H14">
        <f>MIN(1,dataScale*data0!H14)</f>
        <v>0.999</v>
      </c>
      <c r="I14">
        <f>MIN(1,dataScale*data0!I14)</f>
        <v>0.999</v>
      </c>
      <c r="J14">
        <f>MIN(1,dataScale*data0!J14)</f>
        <v>0.999</v>
      </c>
      <c r="K14">
        <f>MIN(1,dataScale*data0!K14)</f>
        <v>0.999</v>
      </c>
      <c r="L14">
        <f>MIN(1,dataScale*data0!L14)</f>
        <v>0.999</v>
      </c>
    </row>
    <row r="15" spans="1:33">
      <c r="A15">
        <f>data0!A15</f>
        <v>13</v>
      </c>
      <c r="B15">
        <f>MIN(1,dataScale*data0!B15)</f>
        <v>0</v>
      </c>
      <c r="C15">
        <f>MIN(1,dataScale*data0!C15)</f>
        <v>0.999</v>
      </c>
      <c r="D15">
        <f>MIN(1,dataScale*data0!D15)</f>
        <v>0.999</v>
      </c>
      <c r="E15">
        <f>MIN(1,dataScale*data0!E15)</f>
        <v>0.999</v>
      </c>
      <c r="F15">
        <f>MIN(1,dataScale*data0!F15)</f>
        <v>0.999</v>
      </c>
      <c r="G15">
        <f>MIN(1,dataScale*data0!G15)</f>
        <v>0.999</v>
      </c>
      <c r="H15">
        <f>MIN(1,dataScale*data0!H15)</f>
        <v>0.999</v>
      </c>
      <c r="I15">
        <f>MIN(1,dataScale*data0!I15)</f>
        <v>0.999</v>
      </c>
      <c r="J15">
        <f>MIN(1,dataScale*data0!J15)</f>
        <v>0.999</v>
      </c>
      <c r="K15">
        <f>MIN(1,dataScale*data0!K15)</f>
        <v>0.999</v>
      </c>
      <c r="L15">
        <f>MIN(1,dataScale*data0!L15)</f>
        <v>0.999</v>
      </c>
    </row>
    <row r="16" spans="1:33">
      <c r="A16">
        <f>data0!A16</f>
        <v>14</v>
      </c>
      <c r="B16">
        <f>MIN(1,dataScale*data0!B16)</f>
        <v>0</v>
      </c>
      <c r="C16">
        <f>MIN(1,dataScale*data0!C16)</f>
        <v>0.999</v>
      </c>
      <c r="D16">
        <f>MIN(1,dataScale*data0!D16)</f>
        <v>0.99607843137254903</v>
      </c>
      <c r="E16">
        <f>MIN(1,dataScale*data0!E16)</f>
        <v>0.999</v>
      </c>
      <c r="F16">
        <f>MIN(1,dataScale*data0!F16)</f>
        <v>0.999</v>
      </c>
      <c r="G16">
        <f>MIN(1,dataScale*data0!G16)</f>
        <v>0.999</v>
      </c>
      <c r="H16">
        <f>MIN(1,dataScale*data0!H16)</f>
        <v>0.999</v>
      </c>
      <c r="I16">
        <f>MIN(1,dataScale*data0!I16)</f>
        <v>0.999</v>
      </c>
      <c r="J16">
        <f>MIN(1,dataScale*data0!J16)</f>
        <v>0.999</v>
      </c>
      <c r="K16">
        <f>MIN(1,dataScale*data0!K16)</f>
        <v>0.999</v>
      </c>
      <c r="L16">
        <f>MIN(1,dataScale*data0!L16)</f>
        <v>0.999</v>
      </c>
    </row>
    <row r="17" spans="1:12">
      <c r="A17">
        <f>data0!A17</f>
        <v>15</v>
      </c>
      <c r="B17">
        <f>MIN(1,dataScale*data0!B17)</f>
        <v>0</v>
      </c>
      <c r="C17">
        <f>MIN(1,dataScale*data0!C17)</f>
        <v>0.999</v>
      </c>
      <c r="D17">
        <f>MIN(1,dataScale*data0!D17)</f>
        <v>0.97254901960784312</v>
      </c>
      <c r="E17">
        <f>MIN(1,dataScale*data0!E17)</f>
        <v>0.98431372549019602</v>
      </c>
      <c r="F17">
        <f>MIN(1,dataScale*data0!F17)</f>
        <v>0.999</v>
      </c>
      <c r="G17">
        <f>MIN(1,dataScale*data0!G17)</f>
        <v>0.999</v>
      </c>
      <c r="H17">
        <f>MIN(1,dataScale*data0!H17)</f>
        <v>0.999</v>
      </c>
      <c r="I17">
        <f>MIN(1,dataScale*data0!I17)</f>
        <v>0.999</v>
      </c>
      <c r="J17">
        <f>MIN(1,dataScale*data0!J17)</f>
        <v>0.999</v>
      </c>
      <c r="K17">
        <f>MIN(1,dataScale*data0!K17)</f>
        <v>0.9882352941176471</v>
      </c>
      <c r="L17">
        <f>MIN(1,dataScale*data0!L17)</f>
        <v>0.999</v>
      </c>
    </row>
    <row r="18" spans="1:12">
      <c r="A18">
        <f>data0!A18</f>
        <v>16</v>
      </c>
      <c r="B18">
        <f>MIN(1,dataScale*data0!B18)</f>
        <v>0</v>
      </c>
      <c r="C18">
        <f>MIN(1,dataScale*data0!C18)</f>
        <v>0.999</v>
      </c>
      <c r="D18">
        <f>MIN(1,dataScale*data0!D18)</f>
        <v>0.95686274509803915</v>
      </c>
      <c r="E18">
        <f>MIN(1,dataScale*data0!E18)</f>
        <v>0.96078431372549022</v>
      </c>
      <c r="F18">
        <f>MIN(1,dataScale*data0!F18)</f>
        <v>0.98431372549019602</v>
      </c>
      <c r="G18">
        <f>MIN(1,dataScale*data0!G18)</f>
        <v>0.999</v>
      </c>
      <c r="H18">
        <f>MIN(1,dataScale*data0!H18)</f>
        <v>0.999</v>
      </c>
      <c r="I18">
        <f>MIN(1,dataScale*data0!I18)</f>
        <v>0.999</v>
      </c>
      <c r="J18">
        <f>MIN(1,dataScale*data0!J18)</f>
        <v>0.999</v>
      </c>
      <c r="K18">
        <f>MIN(1,dataScale*data0!K18)</f>
        <v>0.97647058823529409</v>
      </c>
      <c r="L18">
        <f>MIN(1,dataScale*data0!L18)</f>
        <v>0.999</v>
      </c>
    </row>
    <row r="19" spans="1:12">
      <c r="A19">
        <f>data0!A19</f>
        <v>17</v>
      </c>
      <c r="B19">
        <f>MIN(1,dataScale*data0!B19)</f>
        <v>0</v>
      </c>
      <c r="C19">
        <f>MIN(1,dataScale*data0!C19)</f>
        <v>0.99607843137254903</v>
      </c>
      <c r="D19">
        <f>MIN(1,dataScale*data0!D19)</f>
        <v>0.93333333333333335</v>
      </c>
      <c r="E19">
        <f>MIN(1,dataScale*data0!E19)</f>
        <v>0.94901960784313721</v>
      </c>
      <c r="F19">
        <f>MIN(1,dataScale*data0!F19)</f>
        <v>0.96862745098039216</v>
      </c>
      <c r="G19">
        <f>MIN(1,dataScale*data0!G19)</f>
        <v>0.999</v>
      </c>
      <c r="H19">
        <f>MIN(1,dataScale*data0!H19)</f>
        <v>0.999</v>
      </c>
      <c r="I19">
        <f>MIN(1,dataScale*data0!I19)</f>
        <v>0.999</v>
      </c>
      <c r="J19">
        <f>MIN(1,dataScale*data0!J19)</f>
        <v>0.97647058823529409</v>
      </c>
      <c r="K19">
        <f>MIN(1,dataScale*data0!K19)</f>
        <v>0.95294117647058818</v>
      </c>
      <c r="L19">
        <f>MIN(1,dataScale*data0!L19)</f>
        <v>0.999</v>
      </c>
    </row>
    <row r="20" spans="1:12">
      <c r="A20">
        <f>data0!A20</f>
        <v>18</v>
      </c>
      <c r="B20">
        <f>MIN(1,dataScale*data0!B20)</f>
        <v>0</v>
      </c>
      <c r="C20">
        <f>MIN(1,dataScale*data0!C20)</f>
        <v>0.97647058823529409</v>
      </c>
      <c r="D20">
        <f>MIN(1,dataScale*data0!D20)</f>
        <v>0.91764705882352937</v>
      </c>
      <c r="E20">
        <f>MIN(1,dataScale*data0!E20)</f>
        <v>0.92549019607843142</v>
      </c>
      <c r="F20">
        <f>MIN(1,dataScale*data0!F20)</f>
        <v>0.94901960784313721</v>
      </c>
      <c r="G20">
        <f>MIN(1,dataScale*data0!G20)</f>
        <v>0.9882352941176471</v>
      </c>
      <c r="H20">
        <f>MIN(1,dataScale*data0!H20)</f>
        <v>0.999</v>
      </c>
      <c r="I20">
        <f>MIN(1,dataScale*data0!I20)</f>
        <v>0.999</v>
      </c>
      <c r="J20">
        <f>MIN(1,dataScale*data0!J20)</f>
        <v>0.96078431372549022</v>
      </c>
      <c r="K20">
        <f>MIN(1,dataScale*data0!K20)</f>
        <v>0.93333333333333335</v>
      </c>
      <c r="L20">
        <f>MIN(1,dataScale*data0!L20)</f>
        <v>0.999</v>
      </c>
    </row>
    <row r="21" spans="1:12">
      <c r="A21">
        <f>data0!A21</f>
        <v>19</v>
      </c>
      <c r="B21">
        <f>MIN(1,dataScale*data0!B21)</f>
        <v>0</v>
      </c>
      <c r="C21">
        <f>MIN(1,dataScale*data0!C21)</f>
        <v>0.96078431372549022</v>
      </c>
      <c r="D21">
        <f>MIN(1,dataScale*data0!D21)</f>
        <v>0.89803921568627454</v>
      </c>
      <c r="E21">
        <f>MIN(1,dataScale*data0!E21)</f>
        <v>0.90588235294117647</v>
      </c>
      <c r="F21">
        <f>MIN(1,dataScale*data0!F21)</f>
        <v>0.92941176470588238</v>
      </c>
      <c r="G21">
        <f>MIN(1,dataScale*data0!G21)</f>
        <v>0.95686274509803915</v>
      </c>
      <c r="H21">
        <f>MIN(1,dataScale*data0!H21)</f>
        <v>0.999</v>
      </c>
      <c r="I21">
        <f>MIN(1,dataScale*data0!I21)</f>
        <v>0.9882352941176471</v>
      </c>
      <c r="J21">
        <f>MIN(1,dataScale*data0!J21)</f>
        <v>0.94509803921568625</v>
      </c>
      <c r="K21">
        <f>MIN(1,dataScale*data0!K21)</f>
        <v>0.9137254901960784</v>
      </c>
      <c r="L21">
        <f>MIN(1,dataScale*data0!L21)</f>
        <v>0.999</v>
      </c>
    </row>
    <row r="22" spans="1:12">
      <c r="A22">
        <f>data0!A22</f>
        <v>20</v>
      </c>
      <c r="B22">
        <f>MIN(1,dataScale*data0!B22)</f>
        <v>0</v>
      </c>
      <c r="C22">
        <f>MIN(1,dataScale*data0!C22)</f>
        <v>0.94117647058823528</v>
      </c>
      <c r="D22">
        <f>MIN(1,dataScale*data0!D22)</f>
        <v>0.87058823529411766</v>
      </c>
      <c r="E22">
        <f>MIN(1,dataScale*data0!E22)</f>
        <v>0.86274509803921573</v>
      </c>
      <c r="F22">
        <f>MIN(1,dataScale*data0!F22)</f>
        <v>0.90588235294117647</v>
      </c>
      <c r="G22">
        <f>MIN(1,dataScale*data0!G22)</f>
        <v>0.93333333333333335</v>
      </c>
      <c r="H22">
        <f>MIN(1,dataScale*data0!H22)</f>
        <v>0.98431372549019602</v>
      </c>
      <c r="I22">
        <f>MIN(1,dataScale*data0!I22)</f>
        <v>0.94117647058823528</v>
      </c>
      <c r="J22">
        <f>MIN(1,dataScale*data0!J22)</f>
        <v>0.9137254901960784</v>
      </c>
      <c r="K22">
        <f>MIN(1,dataScale*data0!K22)</f>
        <v>0.85490196078431369</v>
      </c>
      <c r="L22">
        <f>MIN(1,dataScale*data0!L22)</f>
        <v>0.92941176470588238</v>
      </c>
    </row>
    <row r="23" spans="1:12">
      <c r="A23">
        <f>data0!A23</f>
        <v>21</v>
      </c>
      <c r="B23">
        <f>MIN(1,dataScale*data0!B23)</f>
        <v>0</v>
      </c>
      <c r="C23">
        <f>MIN(1,dataScale*data0!C23)</f>
        <v>0.91764705882352937</v>
      </c>
      <c r="D23">
        <f>MIN(1,dataScale*data0!D23)</f>
        <v>0.81176470588235294</v>
      </c>
      <c r="E23">
        <f>MIN(1,dataScale*data0!E23)</f>
        <v>0.79607843137254897</v>
      </c>
      <c r="F23">
        <f>MIN(1,dataScale*data0!F23)</f>
        <v>0.84313725490196079</v>
      </c>
      <c r="G23">
        <f>MIN(1,dataScale*data0!G23)</f>
        <v>0.8666666666666667</v>
      </c>
      <c r="H23">
        <f>MIN(1,dataScale*data0!H23)</f>
        <v>0.94901960784313721</v>
      </c>
      <c r="I23">
        <f>MIN(1,dataScale*data0!I23)</f>
        <v>0.86274509803921573</v>
      </c>
      <c r="J23">
        <f>MIN(1,dataScale*data0!J23)</f>
        <v>0.86274509803921573</v>
      </c>
      <c r="K23">
        <f>MIN(1,dataScale*data0!K23)</f>
        <v>0.78431372549019607</v>
      </c>
      <c r="L23">
        <f>MIN(1,dataScale*data0!L23)</f>
        <v>0.85098039215686272</v>
      </c>
    </row>
    <row r="24" spans="1:12">
      <c r="A24">
        <f>data0!A24</f>
        <v>22</v>
      </c>
      <c r="B24">
        <f>MIN(1,dataScale*data0!B24)</f>
        <v>0</v>
      </c>
      <c r="C24">
        <f>MIN(1,dataScale*data0!C24)</f>
        <v>0.88235294117647056</v>
      </c>
      <c r="D24">
        <f>MIN(1,dataScale*data0!D24)</f>
        <v>0.74901960784313726</v>
      </c>
      <c r="E24">
        <f>MIN(1,dataScale*data0!E24)</f>
        <v>0.72549019607843135</v>
      </c>
      <c r="F24">
        <f>MIN(1,dataScale*data0!F24)</f>
        <v>0.77647058823529413</v>
      </c>
      <c r="G24">
        <f>MIN(1,dataScale*data0!G24)</f>
        <v>0.79607843137254897</v>
      </c>
      <c r="H24">
        <f>MIN(1,dataScale*data0!H24)</f>
        <v>0.88235294117647056</v>
      </c>
      <c r="I24">
        <f>MIN(1,dataScale*data0!I24)</f>
        <v>0.79607843137254897</v>
      </c>
      <c r="J24">
        <f>MIN(1,dataScale*data0!J24)</f>
        <v>0.79607843137254897</v>
      </c>
      <c r="K24">
        <f>MIN(1,dataScale*data0!K24)</f>
        <v>0.71764705882352942</v>
      </c>
      <c r="L24">
        <f>MIN(1,dataScale*data0!L24)</f>
        <v>0.7803921568627451</v>
      </c>
    </row>
    <row r="25" spans="1:12">
      <c r="A25">
        <f>data0!A25</f>
        <v>23</v>
      </c>
      <c r="B25">
        <f>MIN(1,dataScale*data0!B25)</f>
        <v>0</v>
      </c>
      <c r="C25">
        <f>MIN(1,dataScale*data0!C25)</f>
        <v>0.82352941176470584</v>
      </c>
      <c r="D25">
        <f>MIN(1,dataScale*data0!D25)</f>
        <v>0.68627450980392157</v>
      </c>
      <c r="E25">
        <f>MIN(1,dataScale*data0!E25)</f>
        <v>0.6705882352941176</v>
      </c>
      <c r="F25">
        <f>MIN(1,dataScale*data0!F25)</f>
        <v>0.71372549019607845</v>
      </c>
      <c r="G25">
        <f>MIN(1,dataScale*data0!G25)</f>
        <v>0.72941176470588232</v>
      </c>
      <c r="H25">
        <f>MIN(1,dataScale*data0!H25)</f>
        <v>0.80784313725490198</v>
      </c>
      <c r="I25">
        <f>MIN(1,dataScale*data0!I25)</f>
        <v>0.73333333333333328</v>
      </c>
      <c r="J25">
        <f>MIN(1,dataScale*data0!J25)</f>
        <v>0.73333333333333328</v>
      </c>
      <c r="K25">
        <f>MIN(1,dataScale*data0!K25)</f>
        <v>0.66274509803921566</v>
      </c>
      <c r="L25">
        <f>MIN(1,dataScale*data0!L25)</f>
        <v>0.71764705882352942</v>
      </c>
    </row>
    <row r="26" spans="1:12">
      <c r="A26">
        <f>data0!A26</f>
        <v>24</v>
      </c>
      <c r="B26">
        <f>MIN(1,dataScale*data0!B26)</f>
        <v>0</v>
      </c>
      <c r="C26">
        <f>MIN(1,dataScale*data0!C26)</f>
        <v>0.75686274509803919</v>
      </c>
      <c r="D26">
        <f>MIN(1,dataScale*data0!D26)</f>
        <v>0.63137254901960782</v>
      </c>
      <c r="E26">
        <f>MIN(1,dataScale*data0!E26)</f>
        <v>0.62352941176470589</v>
      </c>
      <c r="F26">
        <f>MIN(1,dataScale*data0!F26)</f>
        <v>0.6588235294117647</v>
      </c>
      <c r="G26">
        <f>MIN(1,dataScale*data0!G26)</f>
        <v>0.67450980392156867</v>
      </c>
      <c r="H26">
        <f>MIN(1,dataScale*data0!H26)</f>
        <v>0.74901960784313726</v>
      </c>
      <c r="I26">
        <f>MIN(1,dataScale*data0!I26)</f>
        <v>0.6705882352941176</v>
      </c>
      <c r="J26">
        <f>MIN(1,dataScale*data0!J26)</f>
        <v>0.67450980392156867</v>
      </c>
      <c r="K26">
        <f>MIN(1,dataScale*data0!K26)</f>
        <v>0.61176470588235299</v>
      </c>
      <c r="L26">
        <f>MIN(1,dataScale*data0!L26)</f>
        <v>0.66274509803921566</v>
      </c>
    </row>
    <row r="27" spans="1:12">
      <c r="A27">
        <f>data0!A27</f>
        <v>25</v>
      </c>
      <c r="B27">
        <f>MIN(1,dataScale*data0!B27)</f>
        <v>0</v>
      </c>
      <c r="C27">
        <f>MIN(1,dataScale*data0!C27)</f>
        <v>0.70588235294117641</v>
      </c>
      <c r="D27">
        <f>MIN(1,dataScale*data0!D27)</f>
        <v>0.58823529411764708</v>
      </c>
      <c r="E27">
        <f>MIN(1,dataScale*data0!E27)</f>
        <v>0.5725490196078431</v>
      </c>
      <c r="F27">
        <f>MIN(1,dataScale*data0!F27)</f>
        <v>0.60392156862745094</v>
      </c>
      <c r="G27">
        <f>MIN(1,dataScale*data0!G27)</f>
        <v>0.62745098039215685</v>
      </c>
      <c r="H27">
        <f>MIN(1,dataScale*data0!H27)</f>
        <v>0.69019607843137254</v>
      </c>
      <c r="I27">
        <f>MIN(1,dataScale*data0!I27)</f>
        <v>0.62352941176470589</v>
      </c>
      <c r="J27">
        <f>MIN(1,dataScale*data0!J27)</f>
        <v>0.62745098039215685</v>
      </c>
      <c r="K27">
        <f>MIN(1,dataScale*data0!K27)</f>
        <v>0.56862745098039214</v>
      </c>
      <c r="L27">
        <f>MIN(1,dataScale*data0!L27)</f>
        <v>0.61568627450980395</v>
      </c>
    </row>
    <row r="28" spans="1:12">
      <c r="A28">
        <f>data0!A28</f>
        <v>26</v>
      </c>
      <c r="B28">
        <f>MIN(1,dataScale*data0!B28)</f>
        <v>0</v>
      </c>
      <c r="C28">
        <f>MIN(1,dataScale*data0!C28)</f>
        <v>0.65490196078431373</v>
      </c>
      <c r="D28">
        <f>MIN(1,dataScale*data0!D28)</f>
        <v>0.54509803921568623</v>
      </c>
      <c r="E28">
        <f>MIN(1,dataScale*data0!E28)</f>
        <v>0.53333333333333333</v>
      </c>
      <c r="F28">
        <f>MIN(1,dataScale*data0!F28)</f>
        <v>0.5607843137254902</v>
      </c>
      <c r="G28">
        <f>MIN(1,dataScale*data0!G28)</f>
        <v>0.58431372549019611</v>
      </c>
      <c r="H28">
        <f>MIN(1,dataScale*data0!H28)</f>
        <v>0.6470588235294118</v>
      </c>
      <c r="I28">
        <f>MIN(1,dataScale*data0!I28)</f>
        <v>0.58039215686274503</v>
      </c>
      <c r="J28">
        <f>MIN(1,dataScale*data0!J28)</f>
        <v>0.58039215686274503</v>
      </c>
      <c r="K28">
        <f>MIN(1,dataScale*data0!K28)</f>
        <v>0.52549019607843139</v>
      </c>
      <c r="L28">
        <f>MIN(1,dataScale*data0!L28)</f>
        <v>0.56862745098039214</v>
      </c>
    </row>
    <row r="29" spans="1:12">
      <c r="A29">
        <f>data0!A29</f>
        <v>27</v>
      </c>
      <c r="B29">
        <f>MIN(1,dataScale*data0!B29)</f>
        <v>0</v>
      </c>
      <c r="C29">
        <f>MIN(1,dataScale*data0!C29)</f>
        <v>0.61176470588235299</v>
      </c>
      <c r="D29">
        <f>MIN(1,dataScale*data0!D29)</f>
        <v>0.50588235294117645</v>
      </c>
      <c r="E29">
        <f>MIN(1,dataScale*data0!E29)</f>
        <v>0.49803921568627452</v>
      </c>
      <c r="F29">
        <f>MIN(1,dataScale*data0!F29)</f>
        <v>0.52156862745098043</v>
      </c>
      <c r="G29">
        <f>MIN(1,dataScale*data0!G29)</f>
        <v>0.53725490196078429</v>
      </c>
      <c r="H29">
        <f>MIN(1,dataScale*data0!H29)</f>
        <v>0.59607843137254901</v>
      </c>
      <c r="I29">
        <f>MIN(1,dataScale*data0!I29)</f>
        <v>0.53333333333333333</v>
      </c>
      <c r="J29">
        <f>MIN(1,dataScale*data0!J29)</f>
        <v>0.54509803921568623</v>
      </c>
      <c r="K29">
        <f>MIN(1,dataScale*data0!K29)</f>
        <v>0.48627450980392156</v>
      </c>
      <c r="L29">
        <f>MIN(1,dataScale*data0!L29)</f>
        <v>0.52941176470588236</v>
      </c>
    </row>
    <row r="30" spans="1:12">
      <c r="A30">
        <f>data0!A30</f>
        <v>28</v>
      </c>
      <c r="B30">
        <f>MIN(1,dataScale*data0!B30)</f>
        <v>0</v>
      </c>
      <c r="C30">
        <f>MIN(1,dataScale*data0!C30)</f>
        <v>0.5725490196078431</v>
      </c>
      <c r="D30">
        <f>MIN(1,dataScale*data0!D30)</f>
        <v>0.47450980392156861</v>
      </c>
      <c r="E30">
        <f>MIN(1,dataScale*data0!E30)</f>
        <v>0.46274509803921571</v>
      </c>
      <c r="F30">
        <f>MIN(1,dataScale*data0!F30)</f>
        <v>0.48627450980392156</v>
      </c>
      <c r="G30">
        <f>MIN(1,dataScale*data0!G30)</f>
        <v>0.50196078431372548</v>
      </c>
      <c r="H30">
        <f>MIN(1,dataScale*data0!H30)</f>
        <v>0.55294117647058827</v>
      </c>
      <c r="I30">
        <f>MIN(1,dataScale*data0!I30)</f>
        <v>0.50196078431372548</v>
      </c>
      <c r="J30">
        <f>MIN(1,dataScale*data0!J30)</f>
        <v>0.50980392156862742</v>
      </c>
      <c r="K30">
        <f>MIN(1,dataScale*data0!K30)</f>
        <v>0.45882352941176469</v>
      </c>
      <c r="L30">
        <f>MIN(1,dataScale*data0!L30)</f>
        <v>0.49019607843137253</v>
      </c>
    </row>
    <row r="31" spans="1:12">
      <c r="A31">
        <f>data0!A31</f>
        <v>29</v>
      </c>
      <c r="B31">
        <f>MIN(1,dataScale*data0!B31)</f>
        <v>0</v>
      </c>
      <c r="C31">
        <f>MIN(1,dataScale*data0!C31)</f>
        <v>0.53333333333333333</v>
      </c>
      <c r="D31">
        <f>MIN(1,dataScale*data0!D31)</f>
        <v>0.44313725490196076</v>
      </c>
      <c r="E31">
        <f>MIN(1,dataScale*data0!E31)</f>
        <v>0.43529411764705883</v>
      </c>
      <c r="F31">
        <f>MIN(1,dataScale*data0!F31)</f>
        <v>0.45490196078431372</v>
      </c>
      <c r="G31">
        <f>MIN(1,dataScale*data0!G31)</f>
        <v>0.46666666666666667</v>
      </c>
      <c r="H31">
        <f>MIN(1,dataScale*data0!H31)</f>
        <v>0.51764705882352935</v>
      </c>
      <c r="I31">
        <f>MIN(1,dataScale*data0!I31)</f>
        <v>0.46666666666666667</v>
      </c>
      <c r="J31">
        <f>MIN(1,dataScale*data0!J31)</f>
        <v>0.47843137254901957</v>
      </c>
      <c r="K31">
        <f>MIN(1,dataScale*data0!K31)</f>
        <v>0.42352941176470588</v>
      </c>
      <c r="L31">
        <f>MIN(1,dataScale*data0!L31)</f>
        <v>0.45882352941176469</v>
      </c>
    </row>
    <row r="32" spans="1:12">
      <c r="A32">
        <f>data0!A32</f>
        <v>30</v>
      </c>
      <c r="B32">
        <f>MIN(1,dataScale*data0!B32)</f>
        <v>0</v>
      </c>
      <c r="C32">
        <f>MIN(1,dataScale*data0!C32)</f>
        <v>0.49803921568627452</v>
      </c>
      <c r="D32">
        <f>MIN(1,dataScale*data0!D32)</f>
        <v>0.41568627450980389</v>
      </c>
      <c r="E32">
        <f>MIN(1,dataScale*data0!E32)</f>
        <v>0.40784313725490196</v>
      </c>
      <c r="F32">
        <f>MIN(1,dataScale*data0!F32)</f>
        <v>0.42745098039215684</v>
      </c>
      <c r="G32">
        <f>MIN(1,dataScale*data0!G32)</f>
        <v>0.4392156862745098</v>
      </c>
      <c r="H32">
        <f>MIN(1,dataScale*data0!H32)</f>
        <v>0.4823529411764706</v>
      </c>
      <c r="I32">
        <f>MIN(1,dataScale*data0!I32)</f>
        <v>0.43529411764705883</v>
      </c>
      <c r="J32">
        <f>MIN(1,dataScale*data0!J32)</f>
        <v>0.44705882352941173</v>
      </c>
      <c r="K32">
        <f>MIN(1,dataScale*data0!K32)</f>
        <v>0.396078431372549</v>
      </c>
      <c r="L32">
        <f>MIN(1,dataScale*data0!L32)</f>
        <v>0.43137254901960786</v>
      </c>
    </row>
    <row r="33" spans="1:12">
      <c r="A33">
        <f>data0!A33</f>
        <v>31</v>
      </c>
      <c r="B33">
        <f>MIN(1,dataScale*data0!B33)</f>
        <v>0</v>
      </c>
      <c r="C33">
        <f>MIN(1,dataScale*data0!C33)</f>
        <v>0.47058823529411764</v>
      </c>
      <c r="D33">
        <f>MIN(1,dataScale*data0!D33)</f>
        <v>0.38823529411764707</v>
      </c>
      <c r="E33">
        <f>MIN(1,dataScale*data0!E33)</f>
        <v>0.38039215686274508</v>
      </c>
      <c r="F33">
        <f>MIN(1,dataScale*data0!F33)</f>
        <v>0.4</v>
      </c>
      <c r="G33">
        <f>MIN(1,dataScale*data0!G33)</f>
        <v>0.41176470588235292</v>
      </c>
      <c r="H33">
        <f>MIN(1,dataScale*data0!H33)</f>
        <v>0.45490196078431372</v>
      </c>
      <c r="I33">
        <f>MIN(1,dataScale*data0!I33)</f>
        <v>0.41176470588235292</v>
      </c>
      <c r="J33">
        <f>MIN(1,dataScale*data0!J33)</f>
        <v>0.41960784313725491</v>
      </c>
      <c r="K33">
        <f>MIN(1,dataScale*data0!K33)</f>
        <v>0.37254901960784315</v>
      </c>
      <c r="L33">
        <f>MIN(1,dataScale*data0!L33)</f>
        <v>0.40392156862745099</v>
      </c>
    </row>
    <row r="34" spans="1:12">
      <c r="A34">
        <f>data0!A34</f>
        <v>32</v>
      </c>
      <c r="B34">
        <f>MIN(1,dataScale*data0!B34)</f>
        <v>0</v>
      </c>
      <c r="C34">
        <f>MIN(1,dataScale*data0!C34)</f>
        <v>0.44313725490196076</v>
      </c>
      <c r="D34">
        <f>MIN(1,dataScale*data0!D34)</f>
        <v>0.36862745098039218</v>
      </c>
      <c r="E34">
        <f>MIN(1,dataScale*data0!E34)</f>
        <v>0.36078431372549019</v>
      </c>
      <c r="F34">
        <f>MIN(1,dataScale*data0!F34)</f>
        <v>0.37647058823529411</v>
      </c>
      <c r="G34">
        <f>MIN(1,dataScale*data0!G34)</f>
        <v>0.38823529411764707</v>
      </c>
      <c r="H34">
        <f>MIN(1,dataScale*data0!H34)</f>
        <v>0.42745098039215684</v>
      </c>
      <c r="I34">
        <f>MIN(1,dataScale*data0!I34)</f>
        <v>0.38431372549019605</v>
      </c>
      <c r="J34">
        <f>MIN(1,dataScale*data0!J34)</f>
        <v>0.39215686274509803</v>
      </c>
      <c r="K34">
        <f>MIN(1,dataScale*data0!K34)</f>
        <v>0.34901960784313724</v>
      </c>
      <c r="L34">
        <f>MIN(1,dataScale*data0!L34)</f>
        <v>0.38039215686274508</v>
      </c>
    </row>
    <row r="35" spans="1:12">
      <c r="A35">
        <f>data0!A35</f>
        <v>33</v>
      </c>
      <c r="B35">
        <f>MIN(1,dataScale*data0!B35)</f>
        <v>0</v>
      </c>
      <c r="C35">
        <f>MIN(1,dataScale*data0!C35)</f>
        <v>0.41568627450980389</v>
      </c>
      <c r="D35">
        <f>MIN(1,dataScale*data0!D35)</f>
        <v>0.34509803921568627</v>
      </c>
      <c r="E35">
        <f>MIN(1,dataScale*data0!E35)</f>
        <v>0.3411764705882353</v>
      </c>
      <c r="F35">
        <f>MIN(1,dataScale*data0!F35)</f>
        <v>0.3529411764705882</v>
      </c>
      <c r="G35">
        <f>MIN(1,dataScale*data0!G35)</f>
        <v>0.36470588235294116</v>
      </c>
      <c r="H35">
        <f>MIN(1,dataScale*data0!H35)</f>
        <v>0.40392156862745099</v>
      </c>
      <c r="I35">
        <f>MIN(1,dataScale*data0!I35)</f>
        <v>0.36470588235294116</v>
      </c>
      <c r="J35">
        <f>MIN(1,dataScale*data0!J35)</f>
        <v>0.37254901960784315</v>
      </c>
      <c r="K35">
        <f>MIN(1,dataScale*data0!K35)</f>
        <v>0.32941176470588235</v>
      </c>
      <c r="L35">
        <f>MIN(1,dataScale*data0!L35)</f>
        <v>0.36078431372549019</v>
      </c>
    </row>
    <row r="36" spans="1:12">
      <c r="A36">
        <f>data0!A36</f>
        <v>34</v>
      </c>
      <c r="B36">
        <f>MIN(1,dataScale*data0!B36)</f>
        <v>0</v>
      </c>
      <c r="C36">
        <f>MIN(1,dataScale*data0!C36)</f>
        <v>0.39215686274509803</v>
      </c>
      <c r="D36">
        <f>MIN(1,dataScale*data0!D36)</f>
        <v>0.32549019607843138</v>
      </c>
      <c r="E36">
        <f>MIN(1,dataScale*data0!E36)</f>
        <v>0.32156862745098036</v>
      </c>
      <c r="F36">
        <f>MIN(1,dataScale*data0!F36)</f>
        <v>0.33333333333333331</v>
      </c>
      <c r="G36">
        <f>MIN(1,dataScale*data0!G36)</f>
        <v>0.34509803921568627</v>
      </c>
      <c r="H36">
        <f>MIN(1,dataScale*data0!H36)</f>
        <v>0.38039215686274508</v>
      </c>
      <c r="I36">
        <f>MIN(1,dataScale*data0!I36)</f>
        <v>0.34509803921568627</v>
      </c>
      <c r="J36">
        <f>MIN(1,dataScale*data0!J36)</f>
        <v>0.3529411764705882</v>
      </c>
      <c r="K36">
        <f>MIN(1,dataScale*data0!K36)</f>
        <v>0.30980392156862746</v>
      </c>
      <c r="L36">
        <f>MIN(1,dataScale*data0!L36)</f>
        <v>0.33725490196078434</v>
      </c>
    </row>
    <row r="37" spans="1:12">
      <c r="A37">
        <f>data0!A37</f>
        <v>35</v>
      </c>
      <c r="B37">
        <f>MIN(1,dataScale*data0!B37)</f>
        <v>0</v>
      </c>
      <c r="C37">
        <f>MIN(1,dataScale*data0!C37)</f>
        <v>0.37254901960784315</v>
      </c>
      <c r="D37">
        <f>MIN(1,dataScale*data0!D37)</f>
        <v>0.30588235294117649</v>
      </c>
      <c r="E37">
        <f>MIN(1,dataScale*data0!E37)</f>
        <v>0.30588235294117649</v>
      </c>
      <c r="F37">
        <f>MIN(1,dataScale*data0!F37)</f>
        <v>0.31372549019607843</v>
      </c>
      <c r="G37">
        <f>MIN(1,dataScale*data0!G37)</f>
        <v>0.32549019607843138</v>
      </c>
      <c r="H37">
        <f>MIN(1,dataScale*data0!H37)</f>
        <v>0.36078431372549019</v>
      </c>
      <c r="I37">
        <f>MIN(1,dataScale*data0!I37)</f>
        <v>0.32549019607843138</v>
      </c>
      <c r="J37">
        <f>MIN(1,dataScale*data0!J37)</f>
        <v>0.33333333333333331</v>
      </c>
      <c r="K37">
        <f>MIN(1,dataScale*data0!K37)</f>
        <v>0.29411764705882354</v>
      </c>
      <c r="L37">
        <f>MIN(1,dataScale*data0!L37)</f>
        <v>0.31764705882352939</v>
      </c>
    </row>
    <row r="38" spans="1:12">
      <c r="A38">
        <f>data0!A38</f>
        <v>36</v>
      </c>
      <c r="B38">
        <f>MIN(1,dataScale*data0!B38)</f>
        <v>0</v>
      </c>
      <c r="C38">
        <f>MIN(1,dataScale*data0!C38)</f>
        <v>0.3529411764705882</v>
      </c>
      <c r="D38">
        <f>MIN(1,dataScale*data0!D38)</f>
        <v>0.29411764705882354</v>
      </c>
      <c r="E38">
        <f>MIN(1,dataScale*data0!E38)</f>
        <v>0.29019607843137252</v>
      </c>
      <c r="F38">
        <f>MIN(1,dataScale*data0!F38)</f>
        <v>0.29803921568627451</v>
      </c>
      <c r="G38">
        <f>MIN(1,dataScale*data0!G38)</f>
        <v>0.30980392156862746</v>
      </c>
      <c r="H38">
        <f>MIN(1,dataScale*data0!H38)</f>
        <v>0.33725490196078434</v>
      </c>
      <c r="I38">
        <f>MIN(1,dataScale*data0!I38)</f>
        <v>0.30588235294117649</v>
      </c>
      <c r="J38">
        <f>MIN(1,dataScale*data0!J38)</f>
        <v>0.31764705882352939</v>
      </c>
      <c r="K38">
        <f>MIN(1,dataScale*data0!K38)</f>
        <v>0.27843137254901962</v>
      </c>
      <c r="L38">
        <f>MIN(1,dataScale*data0!L38)</f>
        <v>0.30196078431372547</v>
      </c>
    </row>
    <row r="39" spans="1:12">
      <c r="A39">
        <f>data0!A39</f>
        <v>37</v>
      </c>
      <c r="B39">
        <f>MIN(1,dataScale*data0!B39)</f>
        <v>0</v>
      </c>
      <c r="C39">
        <f>MIN(1,dataScale*data0!C39)</f>
        <v>0.33333333333333331</v>
      </c>
      <c r="D39">
        <f>MIN(1,dataScale*data0!D39)</f>
        <v>0.27843137254901962</v>
      </c>
      <c r="E39">
        <f>MIN(1,dataScale*data0!E39)</f>
        <v>0.27058823529411763</v>
      </c>
      <c r="F39">
        <f>MIN(1,dataScale*data0!F39)</f>
        <v>0.28235294117647058</v>
      </c>
      <c r="G39">
        <f>MIN(1,dataScale*data0!G39)</f>
        <v>0.29019607843137252</v>
      </c>
      <c r="H39">
        <f>MIN(1,dataScale*data0!H39)</f>
        <v>0.32156862745098036</v>
      </c>
      <c r="I39">
        <f>MIN(1,dataScale*data0!I39)</f>
        <v>0.29411764705882354</v>
      </c>
      <c r="J39">
        <f>MIN(1,dataScale*data0!J39)</f>
        <v>0.30196078431372547</v>
      </c>
      <c r="K39">
        <f>MIN(1,dataScale*data0!K39)</f>
        <v>0.2627450980392157</v>
      </c>
      <c r="L39">
        <f>MIN(1,dataScale*data0!L39)</f>
        <v>0.28627450980392155</v>
      </c>
    </row>
    <row r="40" spans="1:12">
      <c r="A40">
        <f>data0!A40</f>
        <v>38</v>
      </c>
      <c r="B40">
        <f>MIN(1,dataScale*data0!B40)</f>
        <v>0</v>
      </c>
      <c r="C40">
        <f>MIN(1,dataScale*data0!C40)</f>
        <v>0.31764705882352939</v>
      </c>
      <c r="D40">
        <f>MIN(1,dataScale*data0!D40)</f>
        <v>0.2627450980392157</v>
      </c>
      <c r="E40">
        <f>MIN(1,dataScale*data0!E40)</f>
        <v>0.25882352941176467</v>
      </c>
      <c r="F40">
        <f>MIN(1,dataScale*data0!F40)</f>
        <v>0.27058823529411763</v>
      </c>
      <c r="G40">
        <f>MIN(1,dataScale*data0!G40)</f>
        <v>0.27843137254901962</v>
      </c>
      <c r="H40">
        <f>MIN(1,dataScale*data0!H40)</f>
        <v>0.30588235294117649</v>
      </c>
      <c r="I40">
        <f>MIN(1,dataScale*data0!I40)</f>
        <v>0.27450980392156865</v>
      </c>
      <c r="J40">
        <f>MIN(1,dataScale*data0!J40)</f>
        <v>0.28627450980392155</v>
      </c>
      <c r="K40">
        <f>MIN(1,dataScale*data0!K40)</f>
        <v>0.25098039215686274</v>
      </c>
      <c r="L40">
        <f>MIN(1,dataScale*data0!L40)</f>
        <v>0.27450980392156865</v>
      </c>
    </row>
    <row r="41" spans="1:12">
      <c r="A41">
        <f>data0!A41</f>
        <v>39</v>
      </c>
      <c r="B41">
        <f>MIN(1,dataScale*data0!B41)</f>
        <v>0</v>
      </c>
      <c r="C41">
        <f>MIN(1,dataScale*data0!C41)</f>
        <v>0.30196078431372547</v>
      </c>
      <c r="D41">
        <f>MIN(1,dataScale*data0!D41)</f>
        <v>0.25098039215686274</v>
      </c>
      <c r="E41">
        <f>MIN(1,dataScale*data0!E41)</f>
        <v>0.24705882352941178</v>
      </c>
      <c r="F41">
        <f>MIN(1,dataScale*data0!F41)</f>
        <v>0.25490196078431371</v>
      </c>
      <c r="G41">
        <f>MIN(1,dataScale*data0!G41)</f>
        <v>0.2627450980392157</v>
      </c>
      <c r="H41">
        <f>MIN(1,dataScale*data0!H41)</f>
        <v>0.29019607843137252</v>
      </c>
      <c r="I41">
        <f>MIN(1,dataScale*data0!I41)</f>
        <v>0.2627450980392157</v>
      </c>
      <c r="J41">
        <f>MIN(1,dataScale*data0!J41)</f>
        <v>0.27058823529411763</v>
      </c>
      <c r="K41">
        <f>MIN(1,dataScale*data0!K41)</f>
        <v>0.23921568627450979</v>
      </c>
      <c r="L41">
        <f>MIN(1,dataScale*data0!L41)</f>
        <v>0.25882352941176467</v>
      </c>
    </row>
    <row r="42" spans="1:12">
      <c r="A42">
        <f>data0!A42</f>
        <v>40</v>
      </c>
      <c r="B42">
        <f>MIN(1,dataScale*data0!B42)</f>
        <v>0</v>
      </c>
      <c r="C42">
        <f>MIN(1,dataScale*data0!C42)</f>
        <v>0.28235294117647058</v>
      </c>
      <c r="D42">
        <f>MIN(1,dataScale*data0!D42)</f>
        <v>0.23137254901960785</v>
      </c>
      <c r="E42">
        <f>MIN(1,dataScale*data0!E42)</f>
        <v>0.23921568627450979</v>
      </c>
      <c r="F42">
        <f>MIN(1,dataScale*data0!F42)</f>
        <v>0.24313725490196078</v>
      </c>
      <c r="G42">
        <f>MIN(1,dataScale*data0!G42)</f>
        <v>0.25098039215686274</v>
      </c>
      <c r="H42">
        <f>MIN(1,dataScale*data0!H42)</f>
        <v>0.27450980392156865</v>
      </c>
      <c r="I42">
        <f>MIN(1,dataScale*data0!I42)</f>
        <v>0.25098039215686274</v>
      </c>
      <c r="J42">
        <f>MIN(1,dataScale*data0!J42)</f>
        <v>0.25882352941176467</v>
      </c>
      <c r="K42">
        <f>MIN(1,dataScale*data0!K42)</f>
        <v>0.22745098039215686</v>
      </c>
      <c r="L42">
        <f>MIN(1,dataScale*data0!L42)</f>
        <v>0.24705882352941178</v>
      </c>
    </row>
    <row r="43" spans="1:12">
      <c r="A43">
        <f>data0!A43</f>
        <v>41</v>
      </c>
      <c r="B43">
        <f>MIN(1,dataScale*data0!B43)</f>
        <v>0</v>
      </c>
      <c r="C43">
        <f>MIN(1,dataScale*data0!C43)</f>
        <v>0.27450980392156865</v>
      </c>
      <c r="D43">
        <f>MIN(1,dataScale*data0!D43)</f>
        <v>0.22745098039215686</v>
      </c>
      <c r="E43">
        <f>MIN(1,dataScale*data0!E43)</f>
        <v>0.22352941176470587</v>
      </c>
      <c r="F43">
        <f>MIN(1,dataScale*data0!F43)</f>
        <v>0.23137254901960785</v>
      </c>
      <c r="G43">
        <f>MIN(1,dataScale*data0!G43)</f>
        <v>0.23921568627450979</v>
      </c>
      <c r="H43">
        <f>MIN(1,dataScale*data0!H43)</f>
        <v>0.2627450980392157</v>
      </c>
      <c r="I43">
        <f>MIN(1,dataScale*data0!I43)</f>
        <v>0.23529411764705882</v>
      </c>
      <c r="J43">
        <f>MIN(1,dataScale*data0!J43)</f>
        <v>0.24705882352941178</v>
      </c>
      <c r="K43">
        <f>MIN(1,dataScale*data0!K43)</f>
        <v>0.21568627450980393</v>
      </c>
      <c r="L43">
        <f>MIN(1,dataScale*data0!L43)</f>
        <v>0.23529411764705882</v>
      </c>
    </row>
    <row r="44" spans="1:12">
      <c r="A44">
        <f>data0!A44</f>
        <v>42</v>
      </c>
      <c r="B44">
        <f>MIN(1,dataScale*data0!B44)</f>
        <v>0</v>
      </c>
      <c r="C44">
        <f>MIN(1,dataScale*data0!C44)</f>
        <v>0.2627450980392157</v>
      </c>
      <c r="D44">
        <f>MIN(1,dataScale*data0!D44)</f>
        <v>0.21568627450980393</v>
      </c>
      <c r="E44">
        <f>MIN(1,dataScale*data0!E44)</f>
        <v>0.21568627450980393</v>
      </c>
      <c r="F44">
        <f>MIN(1,dataScale*data0!F44)</f>
        <v>0.2196078431372549</v>
      </c>
      <c r="G44">
        <f>MIN(1,dataScale*data0!G44)</f>
        <v>0.22745098039215686</v>
      </c>
      <c r="H44">
        <f>MIN(1,dataScale*data0!H44)</f>
        <v>0.25098039215686274</v>
      </c>
      <c r="I44">
        <f>MIN(1,dataScale*data0!I44)</f>
        <v>0.22745098039215686</v>
      </c>
      <c r="J44">
        <f>MIN(1,dataScale*data0!J44)</f>
        <v>0.23529411764705882</v>
      </c>
      <c r="K44">
        <f>MIN(1,dataScale*data0!K44)</f>
        <v>0.20392156862745098</v>
      </c>
      <c r="L44">
        <f>MIN(1,dataScale*data0!L44)</f>
        <v>0.22352941176470587</v>
      </c>
    </row>
    <row r="45" spans="1:12">
      <c r="A45">
        <f>data0!A45</f>
        <v>43</v>
      </c>
      <c r="B45">
        <f>MIN(1,dataScale*data0!B45)</f>
        <v>0</v>
      </c>
      <c r="C45">
        <f>MIN(1,dataScale*data0!C45)</f>
        <v>0.24705882352941178</v>
      </c>
      <c r="D45">
        <f>MIN(1,dataScale*data0!D45)</f>
        <v>0.20784313725490194</v>
      </c>
      <c r="E45">
        <f>MIN(1,dataScale*data0!E45)</f>
        <v>0.20392156862745098</v>
      </c>
      <c r="F45">
        <f>MIN(1,dataScale*data0!F45)</f>
        <v>0.21176470588235294</v>
      </c>
      <c r="G45">
        <f>MIN(1,dataScale*data0!G45)</f>
        <v>0.21568627450980393</v>
      </c>
      <c r="H45">
        <f>MIN(1,dataScale*data0!H45)</f>
        <v>0.24313725490196078</v>
      </c>
      <c r="I45">
        <f>MIN(1,dataScale*data0!I45)</f>
        <v>0.21568627450980393</v>
      </c>
      <c r="J45">
        <f>MIN(1,dataScale*data0!J45)</f>
        <v>0.22352941176470587</v>
      </c>
      <c r="K45">
        <f>MIN(1,dataScale*data0!K45)</f>
        <v>0.19607843137254902</v>
      </c>
      <c r="L45">
        <f>MIN(1,dataScale*data0!L45)</f>
        <v>0.21176470588235294</v>
      </c>
    </row>
    <row r="46" spans="1:12">
      <c r="A46">
        <f>data0!A46</f>
        <v>44</v>
      </c>
      <c r="B46">
        <f>MIN(1,dataScale*data0!B46)</f>
        <v>0</v>
      </c>
      <c r="C46">
        <f>MIN(1,dataScale*data0!C46)</f>
        <v>0.23921568627450979</v>
      </c>
      <c r="D46">
        <f>MIN(1,dataScale*data0!D46)</f>
        <v>0.19607843137254902</v>
      </c>
      <c r="E46">
        <f>MIN(1,dataScale*data0!E46)</f>
        <v>0.19607843137254902</v>
      </c>
      <c r="F46">
        <f>MIN(1,dataScale*data0!F46)</f>
        <v>0.20392156862745098</v>
      </c>
      <c r="G46">
        <f>MIN(1,dataScale*data0!G46)</f>
        <v>0.20784313725490194</v>
      </c>
      <c r="H46">
        <f>MIN(1,dataScale*data0!H46)</f>
        <v>0.22745098039215686</v>
      </c>
      <c r="I46">
        <f>MIN(1,dataScale*data0!I46)</f>
        <v>0.20784313725490194</v>
      </c>
      <c r="J46">
        <f>MIN(1,dataScale*data0!J46)</f>
        <v>0.20784313725490194</v>
      </c>
      <c r="K46">
        <f>MIN(1,dataScale*data0!K46)</f>
        <v>0.18823529411764706</v>
      </c>
      <c r="L46">
        <f>MIN(1,dataScale*data0!L46)</f>
        <v>0.20392156862745098</v>
      </c>
    </row>
    <row r="47" spans="1:12">
      <c r="A47">
        <f>data0!A47</f>
        <v>45</v>
      </c>
      <c r="B47">
        <f>MIN(1,dataScale*data0!B47)</f>
        <v>0</v>
      </c>
      <c r="C47">
        <f>MIN(1,dataScale*data0!C47)</f>
        <v>0.22745098039215686</v>
      </c>
      <c r="D47">
        <f>MIN(1,dataScale*data0!D47)</f>
        <v>0.18823529411764706</v>
      </c>
      <c r="E47">
        <f>MIN(1,dataScale*data0!E47)</f>
        <v>0.18823529411764706</v>
      </c>
      <c r="F47">
        <f>MIN(1,dataScale*data0!F47)</f>
        <v>0.19215686274509802</v>
      </c>
      <c r="G47">
        <f>MIN(1,dataScale*data0!G47)</f>
        <v>0.2</v>
      </c>
      <c r="H47">
        <f>MIN(1,dataScale*data0!H47)</f>
        <v>0.2196078431372549</v>
      </c>
      <c r="I47">
        <f>MIN(1,dataScale*data0!I47)</f>
        <v>0.2</v>
      </c>
      <c r="J47">
        <f>MIN(1,dataScale*data0!J47)</f>
        <v>0.20392156862745098</v>
      </c>
      <c r="K47">
        <f>MIN(1,dataScale*data0!K47)</f>
        <v>0.1803921568627451</v>
      </c>
      <c r="L47">
        <f>MIN(1,dataScale*data0!L47)</f>
        <v>0.19607843137254902</v>
      </c>
    </row>
    <row r="48" spans="1:12">
      <c r="A48">
        <f>data0!A48</f>
        <v>46</v>
      </c>
      <c r="B48">
        <f>MIN(1,dataScale*data0!B48)</f>
        <v>0</v>
      </c>
      <c r="C48">
        <f>MIN(1,dataScale*data0!C48)</f>
        <v>0.2196078431372549</v>
      </c>
      <c r="D48">
        <f>MIN(1,dataScale*data0!D48)</f>
        <v>0.1803921568627451</v>
      </c>
      <c r="E48">
        <f>MIN(1,dataScale*data0!E48)</f>
        <v>0.1803921568627451</v>
      </c>
      <c r="F48">
        <f>MIN(1,dataScale*data0!F48)</f>
        <v>0.18431372549019609</v>
      </c>
      <c r="G48">
        <f>MIN(1,dataScale*data0!G48)</f>
        <v>0.19215686274509802</v>
      </c>
      <c r="H48">
        <f>MIN(1,dataScale*data0!H48)</f>
        <v>0.20784313725490194</v>
      </c>
      <c r="I48">
        <f>MIN(1,dataScale*data0!I48)</f>
        <v>0.19215686274509802</v>
      </c>
      <c r="J48">
        <f>MIN(1,dataScale*data0!J48)</f>
        <v>0.19607843137254902</v>
      </c>
      <c r="K48">
        <f>MIN(1,dataScale*data0!K48)</f>
        <v>0.17254901960784313</v>
      </c>
      <c r="L48">
        <f>MIN(1,dataScale*data0!L48)</f>
        <v>0.18823529411764706</v>
      </c>
    </row>
    <row r="49" spans="1:12">
      <c r="A49">
        <f>data0!A49</f>
        <v>47</v>
      </c>
      <c r="B49">
        <f>MIN(1,dataScale*data0!B49)</f>
        <v>0</v>
      </c>
      <c r="C49">
        <f>MIN(1,dataScale*data0!C49)</f>
        <v>0.20784313725490194</v>
      </c>
      <c r="D49">
        <f>MIN(1,dataScale*data0!D49)</f>
        <v>0.17254901960784313</v>
      </c>
      <c r="E49">
        <f>MIN(1,dataScale*data0!E49)</f>
        <v>0.17254901960784313</v>
      </c>
      <c r="F49">
        <f>MIN(1,dataScale*data0!F49)</f>
        <v>0.1764705882352941</v>
      </c>
      <c r="G49">
        <f>MIN(1,dataScale*data0!G49)</f>
        <v>0.1803921568627451</v>
      </c>
      <c r="H49">
        <f>MIN(1,dataScale*data0!H49)</f>
        <v>0.2</v>
      </c>
      <c r="I49">
        <f>MIN(1,dataScale*data0!I49)</f>
        <v>0.18431372549019609</v>
      </c>
      <c r="J49">
        <f>MIN(1,dataScale*data0!J49)</f>
        <v>0.18431372549019609</v>
      </c>
      <c r="K49">
        <f>MIN(1,dataScale*data0!K49)</f>
        <v>0.16470588235294117</v>
      </c>
      <c r="L49">
        <f>MIN(1,dataScale*data0!L49)</f>
        <v>0.1803921568627451</v>
      </c>
    </row>
    <row r="50" spans="1:12">
      <c r="A50">
        <f>data0!A50</f>
        <v>48</v>
      </c>
      <c r="B50">
        <f>MIN(1,dataScale*data0!B50)</f>
        <v>0</v>
      </c>
      <c r="C50">
        <f>MIN(1,dataScale*data0!C50)</f>
        <v>0.2</v>
      </c>
      <c r="D50">
        <f>MIN(1,dataScale*data0!D50)</f>
        <v>0.16862745098039217</v>
      </c>
      <c r="E50">
        <f>MIN(1,dataScale*data0!E50)</f>
        <v>0.16470588235294117</v>
      </c>
      <c r="F50">
        <f>MIN(1,dataScale*data0!F50)</f>
        <v>0.17254901960784313</v>
      </c>
      <c r="G50">
        <f>MIN(1,dataScale*data0!G50)</f>
        <v>0.1764705882352941</v>
      </c>
      <c r="H50">
        <f>MIN(1,dataScale*data0!H50)</f>
        <v>0.19215686274509802</v>
      </c>
      <c r="I50">
        <f>MIN(1,dataScale*data0!I50)</f>
        <v>0.1764705882352941</v>
      </c>
      <c r="J50">
        <f>MIN(1,dataScale*data0!J50)</f>
        <v>0.1764705882352941</v>
      </c>
      <c r="K50">
        <f>MIN(1,dataScale*data0!K50)</f>
        <v>0.15686274509803921</v>
      </c>
      <c r="L50">
        <f>MIN(1,dataScale*data0!L50)</f>
        <v>0.17254901960784313</v>
      </c>
    </row>
    <row r="51" spans="1:12">
      <c r="A51">
        <f>data0!A51</f>
        <v>49</v>
      </c>
      <c r="B51">
        <f>MIN(1,dataScale*data0!B51)</f>
        <v>0</v>
      </c>
      <c r="C51">
        <f>MIN(1,dataScale*data0!C51)</f>
        <v>0.19215686274509802</v>
      </c>
      <c r="D51">
        <f>MIN(1,dataScale*data0!D51)</f>
        <v>0.16078431372549018</v>
      </c>
      <c r="E51">
        <f>MIN(1,dataScale*data0!E51)</f>
        <v>0.15686274509803921</v>
      </c>
      <c r="F51">
        <f>MIN(1,dataScale*data0!F51)</f>
        <v>0.16470588235294117</v>
      </c>
      <c r="G51">
        <f>MIN(1,dataScale*data0!G51)</f>
        <v>0.16862745098039217</v>
      </c>
      <c r="H51">
        <f>MIN(1,dataScale*data0!H51)</f>
        <v>0.18431372549019609</v>
      </c>
      <c r="I51">
        <f>MIN(1,dataScale*data0!I51)</f>
        <v>0.16862745098039217</v>
      </c>
      <c r="J51">
        <f>MIN(1,dataScale*data0!J51)</f>
        <v>0.1764705882352941</v>
      </c>
      <c r="K51">
        <f>MIN(1,dataScale*data0!K51)</f>
        <v>0.14901960784313725</v>
      </c>
      <c r="L51">
        <f>MIN(1,dataScale*data0!L51)</f>
        <v>0.16470588235294117</v>
      </c>
    </row>
    <row r="52" spans="1:12">
      <c r="A52">
        <f>data0!A52</f>
        <v>50</v>
      </c>
      <c r="B52">
        <f>MIN(1,dataScale*data0!B52)</f>
        <v>0</v>
      </c>
      <c r="C52">
        <f>MIN(1,dataScale*data0!C52)</f>
        <v>0.18431372549019609</v>
      </c>
      <c r="D52">
        <f>MIN(1,dataScale*data0!D52)</f>
        <v>0.15686274509803921</v>
      </c>
      <c r="E52">
        <f>MIN(1,dataScale*data0!E52)</f>
        <v>0.14901960784313725</v>
      </c>
      <c r="F52">
        <f>MIN(1,dataScale*data0!F52)</f>
        <v>0.15686274509803921</v>
      </c>
      <c r="G52">
        <f>MIN(1,dataScale*data0!G52)</f>
        <v>0.16078431372549018</v>
      </c>
      <c r="H52">
        <f>MIN(1,dataScale*data0!H52)</f>
        <v>0.1803921568627451</v>
      </c>
      <c r="I52">
        <f>MIN(1,dataScale*data0!I52)</f>
        <v>0.16078431372549018</v>
      </c>
      <c r="J52">
        <f>MIN(1,dataScale*data0!J52)</f>
        <v>0.16078431372549018</v>
      </c>
      <c r="K52">
        <f>MIN(1,dataScale*data0!K52)</f>
        <v>0.14509803921568626</v>
      </c>
      <c r="L52">
        <f>MIN(1,dataScale*data0!L52)</f>
        <v>0.16078431372549018</v>
      </c>
    </row>
    <row r="53" spans="1:12">
      <c r="A53">
        <f>data0!A53</f>
        <v>51</v>
      </c>
      <c r="B53">
        <f>MIN(1,dataScale*data0!B53)</f>
        <v>0</v>
      </c>
      <c r="C53">
        <f>MIN(1,dataScale*data0!C53)</f>
        <v>0.1803921568627451</v>
      </c>
      <c r="D53">
        <f>MIN(1,dataScale*data0!D53)</f>
        <v>0.14901960784313725</v>
      </c>
      <c r="E53">
        <f>MIN(1,dataScale*data0!E53)</f>
        <v>0.14509803921568626</v>
      </c>
      <c r="F53">
        <f>MIN(1,dataScale*data0!F53)</f>
        <v>0.15294117647058825</v>
      </c>
      <c r="G53">
        <f>MIN(1,dataScale*data0!G53)</f>
        <v>0.15686274509803921</v>
      </c>
      <c r="H53">
        <f>MIN(1,dataScale*data0!H53)</f>
        <v>0.17254901960784313</v>
      </c>
      <c r="I53">
        <f>MIN(1,dataScale*data0!I53)</f>
        <v>0.15294117647058825</v>
      </c>
      <c r="J53">
        <f>MIN(1,dataScale*data0!J53)</f>
        <v>0.15686274509803921</v>
      </c>
      <c r="K53">
        <f>MIN(1,dataScale*data0!K53)</f>
        <v>0.14117647058823529</v>
      </c>
      <c r="L53">
        <f>MIN(1,dataScale*data0!L53)</f>
        <v>0.15294117647058825</v>
      </c>
    </row>
    <row r="54" spans="1:12">
      <c r="A54">
        <f>data0!A54</f>
        <v>52</v>
      </c>
      <c r="B54">
        <f>MIN(1,dataScale*data0!B54)</f>
        <v>0</v>
      </c>
      <c r="C54">
        <f>MIN(1,dataScale*data0!C54)</f>
        <v>0.17254901960784313</v>
      </c>
      <c r="D54">
        <f>MIN(1,dataScale*data0!D54)</f>
        <v>0.14117647058823529</v>
      </c>
      <c r="E54">
        <f>MIN(1,dataScale*data0!E54)</f>
        <v>0.13725490196078433</v>
      </c>
      <c r="F54">
        <f>MIN(1,dataScale*data0!F54)</f>
        <v>0.14509803921568626</v>
      </c>
      <c r="G54">
        <f>MIN(1,dataScale*data0!G54)</f>
        <v>0.14901960784313725</v>
      </c>
      <c r="H54">
        <f>MIN(1,dataScale*data0!H54)</f>
        <v>0.16470588235294117</v>
      </c>
      <c r="I54">
        <f>MIN(1,dataScale*data0!I54)</f>
        <v>0.14901960784313725</v>
      </c>
      <c r="J54">
        <f>MIN(1,dataScale*data0!J54)</f>
        <v>0.14901960784313725</v>
      </c>
      <c r="K54">
        <f>MIN(1,dataScale*data0!K54)</f>
        <v>0.13333333333333333</v>
      </c>
      <c r="L54">
        <f>MIN(1,dataScale*data0!L54)</f>
        <v>0.14901960784313725</v>
      </c>
    </row>
    <row r="55" spans="1:12">
      <c r="A55">
        <f>data0!A55</f>
        <v>53</v>
      </c>
      <c r="B55">
        <f>MIN(1,dataScale*data0!B55)</f>
        <v>0</v>
      </c>
      <c r="C55">
        <f>MIN(1,dataScale*data0!C55)</f>
        <v>0.16470588235294117</v>
      </c>
      <c r="D55">
        <f>MIN(1,dataScale*data0!D55)</f>
        <v>0.13725490196078433</v>
      </c>
      <c r="E55">
        <f>MIN(1,dataScale*data0!E55)</f>
        <v>0.13333333333333333</v>
      </c>
      <c r="F55">
        <f>MIN(1,dataScale*data0!F55)</f>
        <v>0.14117647058823529</v>
      </c>
      <c r="G55">
        <f>MIN(1,dataScale*data0!G55)</f>
        <v>0.14509803921568626</v>
      </c>
      <c r="H55">
        <f>MIN(1,dataScale*data0!H55)</f>
        <v>0.15686274509803921</v>
      </c>
      <c r="I55">
        <f>MIN(1,dataScale*data0!I55)</f>
        <v>0.14509803921568626</v>
      </c>
      <c r="J55">
        <f>MIN(1,dataScale*data0!J55)</f>
        <v>0.14901960784313725</v>
      </c>
      <c r="K55">
        <f>MIN(1,dataScale*data0!K55)</f>
        <v>0.12941176470588234</v>
      </c>
      <c r="L55">
        <f>MIN(1,dataScale*data0!L55)</f>
        <v>0.14117647058823529</v>
      </c>
    </row>
    <row r="56" spans="1:12">
      <c r="A56">
        <f>data0!A56</f>
        <v>54</v>
      </c>
      <c r="B56">
        <f>MIN(1,dataScale*data0!B56)</f>
        <v>0</v>
      </c>
      <c r="C56">
        <f>MIN(1,dataScale*data0!C56)</f>
        <v>0.16078431372549018</v>
      </c>
      <c r="D56">
        <f>MIN(1,dataScale*data0!D56)</f>
        <v>0.13333333333333333</v>
      </c>
      <c r="E56">
        <f>MIN(1,dataScale*data0!E56)</f>
        <v>0.12549019607843137</v>
      </c>
      <c r="F56">
        <f>MIN(1,dataScale*data0!F56)</f>
        <v>0.13725490196078433</v>
      </c>
      <c r="G56">
        <f>MIN(1,dataScale*data0!G56)</f>
        <v>0.13725490196078433</v>
      </c>
      <c r="H56">
        <f>MIN(1,dataScale*data0!H56)</f>
        <v>0.15294117647058825</v>
      </c>
      <c r="I56">
        <f>MIN(1,dataScale*data0!I56)</f>
        <v>0.13725490196078433</v>
      </c>
      <c r="J56">
        <f>MIN(1,dataScale*data0!J56)</f>
        <v>0.14117647058823529</v>
      </c>
      <c r="K56">
        <f>MIN(1,dataScale*data0!K56)</f>
        <v>0.12549019607843137</v>
      </c>
      <c r="L56">
        <f>MIN(1,dataScale*data0!L56)</f>
        <v>0.13725490196078433</v>
      </c>
    </row>
    <row r="57" spans="1:12">
      <c r="A57">
        <f>data0!A57</f>
        <v>55</v>
      </c>
      <c r="B57">
        <f>MIN(1,dataScale*data0!B57)</f>
        <v>0</v>
      </c>
      <c r="C57">
        <f>MIN(1,dataScale*data0!C57)</f>
        <v>0.14901960784313725</v>
      </c>
      <c r="D57">
        <f>MIN(1,dataScale*data0!D57)</f>
        <v>0.12549019607843137</v>
      </c>
      <c r="E57">
        <f>MIN(1,dataScale*data0!E57)</f>
        <v>0.12156862745098039</v>
      </c>
      <c r="F57">
        <f>MIN(1,dataScale*data0!F57)</f>
        <v>0.12941176470588234</v>
      </c>
      <c r="G57">
        <f>MIN(1,dataScale*data0!G57)</f>
        <v>0.13333333333333333</v>
      </c>
      <c r="H57">
        <f>MIN(1,dataScale*data0!H57)</f>
        <v>0.14509803921568626</v>
      </c>
      <c r="I57">
        <f>MIN(1,dataScale*data0!I57)</f>
        <v>0.13333333333333333</v>
      </c>
      <c r="J57">
        <f>MIN(1,dataScale*data0!J57)</f>
        <v>0.13333333333333333</v>
      </c>
      <c r="K57">
        <f>MIN(1,dataScale*data0!K57)</f>
        <v>0.11764705882352941</v>
      </c>
      <c r="L57">
        <f>MIN(1,dataScale*data0!L57)</f>
        <v>0.13333333333333333</v>
      </c>
    </row>
    <row r="58" spans="1:12">
      <c r="A58">
        <f>data0!A58</f>
        <v>56</v>
      </c>
      <c r="B58">
        <f>MIN(1,dataScale*data0!B58)</f>
        <v>0</v>
      </c>
      <c r="C58">
        <f>MIN(1,dataScale*data0!C58)</f>
        <v>0.14901960784313725</v>
      </c>
      <c r="D58">
        <f>MIN(1,dataScale*data0!D58)</f>
        <v>0.12156862745098039</v>
      </c>
      <c r="E58">
        <f>MIN(1,dataScale*data0!E58)</f>
        <v>0.11764705882352941</v>
      </c>
      <c r="F58">
        <f>MIN(1,dataScale*data0!F58)</f>
        <v>0.12549019607843137</v>
      </c>
      <c r="G58">
        <f>MIN(1,dataScale*data0!G58)</f>
        <v>0.12941176470588234</v>
      </c>
      <c r="H58">
        <f>MIN(1,dataScale*data0!H58)</f>
        <v>0.14117647058823529</v>
      </c>
      <c r="I58">
        <f>MIN(1,dataScale*data0!I58)</f>
        <v>0.12941176470588234</v>
      </c>
      <c r="J58">
        <f>MIN(1,dataScale*data0!J58)</f>
        <v>0.12549019607843137</v>
      </c>
      <c r="K58">
        <f>MIN(1,dataScale*data0!K58)</f>
        <v>0.11372549019607843</v>
      </c>
      <c r="L58">
        <f>MIN(1,dataScale*data0!L58)</f>
        <v>0.12549019607843137</v>
      </c>
    </row>
    <row r="59" spans="1:12">
      <c r="A59">
        <f>data0!A59</f>
        <v>57</v>
      </c>
      <c r="B59">
        <f>MIN(1,dataScale*data0!B59)</f>
        <v>0</v>
      </c>
      <c r="C59">
        <f>MIN(1,dataScale*data0!C59)</f>
        <v>0.14509803921568626</v>
      </c>
      <c r="D59">
        <f>MIN(1,dataScale*data0!D59)</f>
        <v>0.11372549019607843</v>
      </c>
      <c r="E59">
        <f>MIN(1,dataScale*data0!E59)</f>
        <v>0.10980392156862745</v>
      </c>
      <c r="F59">
        <f>MIN(1,dataScale*data0!F59)</f>
        <v>0.12156862745098039</v>
      </c>
      <c r="G59">
        <f>MIN(1,dataScale*data0!G59)</f>
        <v>0.12549019607843137</v>
      </c>
      <c r="H59">
        <f>MIN(1,dataScale*data0!H59)</f>
        <v>0.13725490196078433</v>
      </c>
      <c r="I59">
        <f>MIN(1,dataScale*data0!I59)</f>
        <v>0.12549019607843137</v>
      </c>
      <c r="J59">
        <f>MIN(1,dataScale*data0!J59)</f>
        <v>0.12549019607843137</v>
      </c>
      <c r="K59">
        <f>MIN(1,dataScale*data0!K59)</f>
        <v>0.10980392156862745</v>
      </c>
      <c r="L59">
        <f>MIN(1,dataScale*data0!L59)</f>
        <v>0.12156862745098039</v>
      </c>
    </row>
    <row r="60" spans="1:12">
      <c r="A60">
        <f>data0!A60</f>
        <v>58</v>
      </c>
      <c r="B60">
        <f>MIN(1,dataScale*data0!B60)</f>
        <v>0</v>
      </c>
      <c r="C60">
        <f>MIN(1,dataScale*data0!C60)</f>
        <v>0.13725490196078433</v>
      </c>
      <c r="D60">
        <f>MIN(1,dataScale*data0!D60)</f>
        <v>0.11372549019607843</v>
      </c>
      <c r="E60">
        <f>MIN(1,dataScale*data0!E60)</f>
        <v>0.10980392156862745</v>
      </c>
      <c r="F60">
        <f>MIN(1,dataScale*data0!F60)</f>
        <v>0.11764705882352941</v>
      </c>
      <c r="G60">
        <f>MIN(1,dataScale*data0!G60)</f>
        <v>0.11764705882352941</v>
      </c>
      <c r="H60">
        <f>MIN(1,dataScale*data0!H60)</f>
        <v>0.13333333333333333</v>
      </c>
      <c r="I60">
        <f>MIN(1,dataScale*data0!I60)</f>
        <v>0.12156862745098039</v>
      </c>
      <c r="J60">
        <f>MIN(1,dataScale*data0!J60)</f>
        <v>0.11764705882352941</v>
      </c>
      <c r="K60">
        <f>MIN(1,dataScale*data0!K60)</f>
        <v>0.10588235294117647</v>
      </c>
      <c r="L60">
        <f>MIN(1,dataScale*data0!L60)</f>
        <v>0.11764705882352941</v>
      </c>
    </row>
    <row r="61" spans="1:12">
      <c r="A61">
        <f>data0!A61</f>
        <v>59</v>
      </c>
      <c r="B61">
        <f>MIN(1,dataScale*data0!B61)</f>
        <v>0</v>
      </c>
      <c r="C61">
        <f>MIN(1,dataScale*data0!C61)</f>
        <v>0.12941176470588234</v>
      </c>
      <c r="D61">
        <f>MIN(1,dataScale*data0!D61)</f>
        <v>0.10980392156862745</v>
      </c>
      <c r="E61">
        <f>MIN(1,dataScale*data0!E61)</f>
        <v>0.10196078431372549</v>
      </c>
      <c r="F61">
        <f>MIN(1,dataScale*data0!F61)</f>
        <v>0.11372549019607843</v>
      </c>
      <c r="G61">
        <f>MIN(1,dataScale*data0!G61)</f>
        <v>0.11764705882352941</v>
      </c>
      <c r="H61">
        <f>MIN(1,dataScale*data0!H61)</f>
        <v>0.12941176470588234</v>
      </c>
      <c r="I61">
        <f>MIN(1,dataScale*data0!I61)</f>
        <v>0.11764705882352941</v>
      </c>
      <c r="J61">
        <f>MIN(1,dataScale*data0!J61)</f>
        <v>0.11764705882352941</v>
      </c>
      <c r="K61">
        <f>MIN(1,dataScale*data0!K61)</f>
        <v>0.10588235294117647</v>
      </c>
      <c r="L61">
        <f>MIN(1,dataScale*data0!L61)</f>
        <v>0.11372549019607843</v>
      </c>
    </row>
    <row r="62" spans="1:12">
      <c r="A62">
        <f>data0!A62</f>
        <v>60</v>
      </c>
      <c r="B62">
        <f>MIN(1,dataScale*data0!B62)</f>
        <v>0</v>
      </c>
      <c r="C62">
        <f>MIN(1,dataScale*data0!C62)</f>
        <v>0.12549019607843137</v>
      </c>
      <c r="D62">
        <f>MIN(1,dataScale*data0!D62)</f>
        <v>0.10980392156862745</v>
      </c>
      <c r="E62">
        <f>MIN(1,dataScale*data0!E62)</f>
        <v>9.8039215686274508E-2</v>
      </c>
      <c r="F62">
        <f>MIN(1,dataScale*data0!F62)</f>
        <v>0.10980392156862745</v>
      </c>
      <c r="G62">
        <f>MIN(1,dataScale*data0!G62)</f>
        <v>0.11372549019607843</v>
      </c>
      <c r="H62">
        <f>MIN(1,dataScale*data0!H62)</f>
        <v>0.12549019607843137</v>
      </c>
      <c r="I62">
        <f>MIN(1,dataScale*data0!I62)</f>
        <v>0.11372549019607843</v>
      </c>
      <c r="J62">
        <f>MIN(1,dataScale*data0!J62)</f>
        <v>0.10980392156862745</v>
      </c>
      <c r="K62">
        <f>MIN(1,dataScale*data0!K62)</f>
        <v>0.10196078431372549</v>
      </c>
      <c r="L62">
        <f>MIN(1,dataScale*data0!L62)</f>
        <v>0.10980392156862745</v>
      </c>
    </row>
    <row r="63" spans="1:12">
      <c r="A63">
        <f>data0!A63</f>
        <v>61</v>
      </c>
      <c r="B63">
        <f>MIN(1,dataScale*data0!B63)</f>
        <v>0</v>
      </c>
      <c r="C63">
        <f>MIN(1,dataScale*data0!C63)</f>
        <v>0.11764705882352941</v>
      </c>
      <c r="D63">
        <f>MIN(1,dataScale*data0!D63)</f>
        <v>0.10196078431372549</v>
      </c>
      <c r="E63">
        <f>MIN(1,dataScale*data0!E63)</f>
        <v>9.8039215686274508E-2</v>
      </c>
      <c r="F63">
        <f>MIN(1,dataScale*data0!F63)</f>
        <v>0.10588235294117647</v>
      </c>
      <c r="G63">
        <f>MIN(1,dataScale*data0!G63)</f>
        <v>0.10980392156862745</v>
      </c>
      <c r="H63">
        <f>MIN(1,dataScale*data0!H63)</f>
        <v>0.12156862745098039</v>
      </c>
      <c r="I63">
        <f>MIN(1,dataScale*data0!I63)</f>
        <v>0.10980392156862745</v>
      </c>
      <c r="J63">
        <f>MIN(1,dataScale*data0!J63)</f>
        <v>0.10980392156862745</v>
      </c>
      <c r="K63">
        <f>MIN(1,dataScale*data0!K63)</f>
        <v>9.8039215686274508E-2</v>
      </c>
      <c r="L63">
        <f>MIN(1,dataScale*data0!L63)</f>
        <v>0.10980392156862745</v>
      </c>
    </row>
    <row r="64" spans="1:12">
      <c r="A64">
        <f>data0!A64</f>
        <v>62</v>
      </c>
      <c r="B64">
        <f>MIN(1,dataScale*data0!B64)</f>
        <v>0</v>
      </c>
      <c r="C64">
        <f>MIN(1,dataScale*data0!C64)</f>
        <v>0.11764705882352941</v>
      </c>
      <c r="D64">
        <f>MIN(1,dataScale*data0!D64)</f>
        <v>9.8039215686274508E-2</v>
      </c>
      <c r="E64">
        <f>MIN(1,dataScale*data0!E64)</f>
        <v>9.4117647058823528E-2</v>
      </c>
      <c r="F64">
        <f>MIN(1,dataScale*data0!F64)</f>
        <v>0.10588235294117647</v>
      </c>
      <c r="G64">
        <f>MIN(1,dataScale*data0!G64)</f>
        <v>0.10588235294117647</v>
      </c>
      <c r="H64">
        <f>MIN(1,dataScale*data0!H64)</f>
        <v>0.11764705882352941</v>
      </c>
      <c r="I64">
        <f>MIN(1,dataScale*data0!I64)</f>
        <v>0.10588235294117647</v>
      </c>
      <c r="J64">
        <f>MIN(1,dataScale*data0!J64)</f>
        <v>0.10588235294117647</v>
      </c>
      <c r="K64">
        <f>MIN(1,dataScale*data0!K64)</f>
        <v>9.4117647058823528E-2</v>
      </c>
      <c r="L64">
        <f>MIN(1,dataScale*data0!L64)</f>
        <v>0.10588235294117647</v>
      </c>
    </row>
    <row r="65" spans="1:12">
      <c r="A65">
        <f>data0!A65</f>
        <v>63</v>
      </c>
      <c r="B65">
        <f>MIN(1,dataScale*data0!B65)</f>
        <v>0</v>
      </c>
      <c r="C65">
        <f>MIN(1,dataScale*data0!C65)</f>
        <v>0.11372549019607843</v>
      </c>
      <c r="D65">
        <f>MIN(1,dataScale*data0!D65)</f>
        <v>9.4117647058823528E-2</v>
      </c>
      <c r="E65">
        <f>MIN(1,dataScale*data0!E65)</f>
        <v>9.0196078431372548E-2</v>
      </c>
      <c r="F65">
        <f>MIN(1,dataScale*data0!F65)</f>
        <v>0.10196078431372549</v>
      </c>
      <c r="G65">
        <f>MIN(1,dataScale*data0!G65)</f>
        <v>0.10196078431372549</v>
      </c>
      <c r="H65">
        <f>MIN(1,dataScale*data0!H65)</f>
        <v>0.11372549019607843</v>
      </c>
      <c r="I65">
        <f>MIN(1,dataScale*data0!I65)</f>
        <v>0.10196078431372549</v>
      </c>
      <c r="J65">
        <f>MIN(1,dataScale*data0!J65)</f>
        <v>0.10196078431372549</v>
      </c>
      <c r="K65">
        <f>MIN(1,dataScale*data0!K65)</f>
        <v>9.4117647058823528E-2</v>
      </c>
      <c r="L65">
        <f>MIN(1,dataScale*data0!L65)</f>
        <v>0.10196078431372549</v>
      </c>
    </row>
    <row r="66" spans="1:12">
      <c r="A66">
        <f>data0!A66</f>
        <v>64</v>
      </c>
      <c r="B66">
        <f>MIN(1,dataScale*data0!B66)</f>
        <v>0</v>
      </c>
      <c r="C66">
        <f>MIN(1,dataScale*data0!C66)</f>
        <v>0.10980392156862745</v>
      </c>
      <c r="D66">
        <f>MIN(1,dataScale*data0!D66)</f>
        <v>9.0196078431372548E-2</v>
      </c>
      <c r="E66">
        <f>MIN(1,dataScale*data0!E66)</f>
        <v>9.0196078431372548E-2</v>
      </c>
      <c r="F66">
        <f>MIN(1,dataScale*data0!F66)</f>
        <v>9.8039215686274508E-2</v>
      </c>
      <c r="G66">
        <f>MIN(1,dataScale*data0!G66)</f>
        <v>0.10196078431372549</v>
      </c>
      <c r="H66">
        <f>MIN(1,dataScale*data0!H66)</f>
        <v>0.10980392156862745</v>
      </c>
      <c r="I66">
        <f>MIN(1,dataScale*data0!I66)</f>
        <v>0.10196078431372549</v>
      </c>
      <c r="J66">
        <f>MIN(1,dataScale*data0!J66)</f>
        <v>9.8039215686274508E-2</v>
      </c>
      <c r="K66">
        <f>MIN(1,dataScale*data0!K66)</f>
        <v>9.0196078431372548E-2</v>
      </c>
      <c r="L66">
        <f>MIN(1,dataScale*data0!L66)</f>
        <v>9.8039215686274508E-2</v>
      </c>
    </row>
    <row r="67" spans="1:12">
      <c r="A67">
        <f>data0!A67</f>
        <v>65</v>
      </c>
      <c r="B67">
        <f>MIN(1,dataScale*data0!B67)</f>
        <v>0</v>
      </c>
      <c r="C67">
        <f>MIN(1,dataScale*data0!C67)</f>
        <v>0.10588235294117647</v>
      </c>
      <c r="D67">
        <f>MIN(1,dataScale*data0!D67)</f>
        <v>8.6274509803921567E-2</v>
      </c>
      <c r="E67">
        <f>MIN(1,dataScale*data0!E67)</f>
        <v>8.6274509803921567E-2</v>
      </c>
      <c r="F67">
        <f>MIN(1,dataScale*data0!F67)</f>
        <v>9.4117647058823528E-2</v>
      </c>
      <c r="G67">
        <f>MIN(1,dataScale*data0!G67)</f>
        <v>9.8039215686274508E-2</v>
      </c>
      <c r="H67">
        <f>MIN(1,dataScale*data0!H67)</f>
        <v>0.10980392156862745</v>
      </c>
      <c r="I67">
        <f>MIN(1,dataScale*data0!I67)</f>
        <v>9.8039215686274508E-2</v>
      </c>
      <c r="J67">
        <f>MIN(1,dataScale*data0!J67)</f>
        <v>9.8039215686274508E-2</v>
      </c>
      <c r="K67">
        <f>MIN(1,dataScale*data0!K67)</f>
        <v>8.6274509803921567E-2</v>
      </c>
      <c r="L67">
        <f>MIN(1,dataScale*data0!L67)</f>
        <v>9.8039215686274508E-2</v>
      </c>
    </row>
    <row r="68" spans="1:12">
      <c r="A68">
        <f>data0!A68</f>
        <v>66</v>
      </c>
      <c r="B68">
        <f>MIN(1,dataScale*data0!B68)</f>
        <v>0</v>
      </c>
      <c r="C68">
        <f>MIN(1,dataScale*data0!C68)</f>
        <v>0.10196078431372549</v>
      </c>
      <c r="D68">
        <f>MIN(1,dataScale*data0!D68)</f>
        <v>8.6274509803921567E-2</v>
      </c>
      <c r="E68">
        <f>MIN(1,dataScale*data0!E68)</f>
        <v>8.2352941176470587E-2</v>
      </c>
      <c r="F68">
        <f>MIN(1,dataScale*data0!F68)</f>
        <v>9.4117647058823528E-2</v>
      </c>
      <c r="G68">
        <f>MIN(1,dataScale*data0!G68)</f>
        <v>9.4117647058823528E-2</v>
      </c>
      <c r="H68">
        <f>MIN(1,dataScale*data0!H68)</f>
        <v>0.10588235294117647</v>
      </c>
      <c r="I68">
        <f>MIN(1,dataScale*data0!I68)</f>
        <v>9.4117647058823528E-2</v>
      </c>
      <c r="J68">
        <f>MIN(1,dataScale*data0!J68)</f>
        <v>9.4117647058823528E-2</v>
      </c>
      <c r="K68">
        <f>MIN(1,dataScale*data0!K68)</f>
        <v>8.6274509803921567E-2</v>
      </c>
      <c r="L68">
        <f>MIN(1,dataScale*data0!L68)</f>
        <v>9.4117647058823528E-2</v>
      </c>
    </row>
    <row r="69" spans="1:12">
      <c r="A69">
        <f>data0!A69</f>
        <v>67</v>
      </c>
      <c r="B69">
        <f>MIN(1,dataScale*data0!B69)</f>
        <v>0</v>
      </c>
      <c r="C69">
        <f>MIN(1,dataScale*data0!C69)</f>
        <v>0.10196078431372549</v>
      </c>
      <c r="D69">
        <f>MIN(1,dataScale*data0!D69)</f>
        <v>8.2352941176470587E-2</v>
      </c>
      <c r="E69">
        <f>MIN(1,dataScale*data0!E69)</f>
        <v>8.2352941176470587E-2</v>
      </c>
      <c r="F69">
        <f>MIN(1,dataScale*data0!F69)</f>
        <v>9.0196078431372548E-2</v>
      </c>
      <c r="G69">
        <f>MIN(1,dataScale*data0!G69)</f>
        <v>9.0196078431372548E-2</v>
      </c>
      <c r="H69">
        <f>MIN(1,dataScale*data0!H69)</f>
        <v>0.10196078431372549</v>
      </c>
      <c r="I69">
        <f>MIN(1,dataScale*data0!I69)</f>
        <v>9.0196078431372548E-2</v>
      </c>
      <c r="J69">
        <f>MIN(1,dataScale*data0!J69)</f>
        <v>9.0196078431372548E-2</v>
      </c>
      <c r="K69">
        <f>MIN(1,dataScale*data0!K69)</f>
        <v>8.2352941176470587E-2</v>
      </c>
      <c r="L69">
        <f>MIN(1,dataScale*data0!L69)</f>
        <v>9.0196078431372548E-2</v>
      </c>
    </row>
    <row r="70" spans="1:12">
      <c r="A70">
        <f>data0!A70</f>
        <v>68</v>
      </c>
      <c r="B70">
        <f>MIN(1,dataScale*data0!B70)</f>
        <v>0</v>
      </c>
      <c r="C70">
        <f>MIN(1,dataScale*data0!C70)</f>
        <v>9.8039215686274508E-2</v>
      </c>
      <c r="D70">
        <f>MIN(1,dataScale*data0!D70)</f>
        <v>8.2352941176470587E-2</v>
      </c>
      <c r="E70">
        <f>MIN(1,dataScale*data0!E70)</f>
        <v>7.8431372549019607E-2</v>
      </c>
      <c r="F70">
        <f>MIN(1,dataScale*data0!F70)</f>
        <v>8.6274509803921567E-2</v>
      </c>
      <c r="G70">
        <f>MIN(1,dataScale*data0!G70)</f>
        <v>9.0196078431372548E-2</v>
      </c>
      <c r="H70">
        <f>MIN(1,dataScale*data0!H70)</f>
        <v>9.8039215686274508E-2</v>
      </c>
      <c r="I70">
        <f>MIN(1,dataScale*data0!I70)</f>
        <v>9.0196078431372548E-2</v>
      </c>
      <c r="J70">
        <f>MIN(1,dataScale*data0!J70)</f>
        <v>8.6274509803921567E-2</v>
      </c>
      <c r="K70">
        <f>MIN(1,dataScale*data0!K70)</f>
        <v>7.8431372549019607E-2</v>
      </c>
      <c r="L70">
        <f>MIN(1,dataScale*data0!L70)</f>
        <v>8.6274509803921567E-2</v>
      </c>
    </row>
    <row r="71" spans="1:12">
      <c r="A71">
        <f>data0!A71</f>
        <v>69</v>
      </c>
      <c r="B71">
        <f>MIN(1,dataScale*data0!B71)</f>
        <v>0</v>
      </c>
      <c r="C71">
        <f>MIN(1,dataScale*data0!C71)</f>
        <v>9.4117647058823528E-2</v>
      </c>
      <c r="D71">
        <f>MIN(1,dataScale*data0!D71)</f>
        <v>8.2352941176470587E-2</v>
      </c>
      <c r="E71">
        <f>MIN(1,dataScale*data0!E71)</f>
        <v>7.8431372549019607E-2</v>
      </c>
      <c r="F71">
        <f>MIN(1,dataScale*data0!F71)</f>
        <v>8.6274509803921567E-2</v>
      </c>
      <c r="G71">
        <f>MIN(1,dataScale*data0!G71)</f>
        <v>8.6274509803921567E-2</v>
      </c>
      <c r="H71">
        <f>MIN(1,dataScale*data0!H71)</f>
        <v>9.8039215686274508E-2</v>
      </c>
      <c r="I71">
        <f>MIN(1,dataScale*data0!I71)</f>
        <v>8.6274509803921567E-2</v>
      </c>
      <c r="J71">
        <f>MIN(1,dataScale*data0!J71)</f>
        <v>8.2352941176470587E-2</v>
      </c>
      <c r="K71">
        <f>MIN(1,dataScale*data0!K71)</f>
        <v>7.8431372549019607E-2</v>
      </c>
      <c r="L71">
        <f>MIN(1,dataScale*data0!L71)</f>
        <v>8.6274509803921567E-2</v>
      </c>
    </row>
    <row r="72" spans="1:12">
      <c r="A72">
        <f>data0!A72</f>
        <v>70</v>
      </c>
      <c r="B72">
        <f>MIN(1,dataScale*data0!B72)</f>
        <v>0</v>
      </c>
      <c r="C72">
        <f>MIN(1,dataScale*data0!C72)</f>
        <v>9.0196078431372548E-2</v>
      </c>
      <c r="D72">
        <f>MIN(1,dataScale*data0!D72)</f>
        <v>7.8431372549019607E-2</v>
      </c>
      <c r="E72">
        <f>MIN(1,dataScale*data0!E72)</f>
        <v>7.4509803921568626E-2</v>
      </c>
      <c r="F72">
        <f>MIN(1,dataScale*data0!F72)</f>
        <v>8.2352941176470587E-2</v>
      </c>
      <c r="G72">
        <f>MIN(1,dataScale*data0!G72)</f>
        <v>8.6274509803921567E-2</v>
      </c>
      <c r="H72">
        <f>MIN(1,dataScale*data0!H72)</f>
        <v>9.4117647058823528E-2</v>
      </c>
      <c r="I72">
        <f>MIN(1,dataScale*data0!I72)</f>
        <v>9.0196078431372548E-2</v>
      </c>
      <c r="J72">
        <f>MIN(1,dataScale*data0!J72)</f>
        <v>8.2352941176470587E-2</v>
      </c>
      <c r="K72">
        <f>MIN(1,dataScale*data0!K72)</f>
        <v>7.4509803921568626E-2</v>
      </c>
      <c r="L72">
        <f>MIN(1,dataScale*data0!L72)</f>
        <v>8.2352941176470587E-2</v>
      </c>
    </row>
    <row r="73" spans="1:12">
      <c r="A73">
        <f>data0!A73</f>
        <v>71</v>
      </c>
      <c r="B73">
        <f>MIN(1,dataScale*data0!B73)</f>
        <v>0</v>
      </c>
      <c r="C73">
        <f>MIN(1,dataScale*data0!C73)</f>
        <v>8.6274509803921567E-2</v>
      </c>
      <c r="D73">
        <f>MIN(1,dataScale*data0!D73)</f>
        <v>7.4509803921568626E-2</v>
      </c>
      <c r="E73">
        <f>MIN(1,dataScale*data0!E73)</f>
        <v>7.0588235294117646E-2</v>
      </c>
      <c r="F73">
        <f>MIN(1,dataScale*data0!F73)</f>
        <v>7.8431372549019607E-2</v>
      </c>
      <c r="G73">
        <f>MIN(1,dataScale*data0!G73)</f>
        <v>8.2352941176470587E-2</v>
      </c>
      <c r="H73">
        <f>MIN(1,dataScale*data0!H73)</f>
        <v>9.0196078431372548E-2</v>
      </c>
      <c r="I73">
        <f>MIN(1,dataScale*data0!I73)</f>
        <v>8.2352941176470587E-2</v>
      </c>
      <c r="J73">
        <f>MIN(1,dataScale*data0!J73)</f>
        <v>7.8431372549019607E-2</v>
      </c>
      <c r="K73">
        <f>MIN(1,dataScale*data0!K73)</f>
        <v>7.4509803921568626E-2</v>
      </c>
      <c r="L73">
        <f>MIN(1,dataScale*data0!L73)</f>
        <v>8.2352941176470587E-2</v>
      </c>
    </row>
    <row r="74" spans="1:12">
      <c r="A74">
        <f>data0!A74</f>
        <v>72</v>
      </c>
      <c r="B74">
        <f>MIN(1,dataScale*data0!B74)</f>
        <v>0</v>
      </c>
      <c r="C74">
        <f>MIN(1,dataScale*data0!C74)</f>
        <v>8.6274509803921567E-2</v>
      </c>
      <c r="D74">
        <f>MIN(1,dataScale*data0!D74)</f>
        <v>7.4509803921568626E-2</v>
      </c>
      <c r="E74">
        <f>MIN(1,dataScale*data0!E74)</f>
        <v>7.0588235294117646E-2</v>
      </c>
      <c r="F74">
        <f>MIN(1,dataScale*data0!F74)</f>
        <v>7.8431372549019607E-2</v>
      </c>
      <c r="G74">
        <f>MIN(1,dataScale*data0!G74)</f>
        <v>7.8431372549019607E-2</v>
      </c>
      <c r="H74">
        <f>MIN(1,dataScale*data0!H74)</f>
        <v>8.6274509803921567E-2</v>
      </c>
      <c r="I74">
        <f>MIN(1,dataScale*data0!I74)</f>
        <v>7.8431372549019607E-2</v>
      </c>
      <c r="J74">
        <f>MIN(1,dataScale*data0!J74)</f>
        <v>7.8431372549019607E-2</v>
      </c>
      <c r="K74">
        <f>MIN(1,dataScale*data0!K74)</f>
        <v>7.0588235294117646E-2</v>
      </c>
      <c r="L74">
        <f>MIN(1,dataScale*data0!L74)</f>
        <v>7.8431372549019607E-2</v>
      </c>
    </row>
    <row r="75" spans="1:12">
      <c r="A75">
        <f>data0!A75</f>
        <v>73</v>
      </c>
      <c r="B75">
        <f>MIN(1,dataScale*data0!B75)</f>
        <v>0</v>
      </c>
      <c r="C75">
        <f>MIN(1,dataScale*data0!C75)</f>
        <v>8.2352941176470587E-2</v>
      </c>
      <c r="D75">
        <f>MIN(1,dataScale*data0!D75)</f>
        <v>7.0588235294117646E-2</v>
      </c>
      <c r="E75">
        <f>MIN(1,dataScale*data0!E75)</f>
        <v>6.6666666666666666E-2</v>
      </c>
      <c r="F75">
        <f>MIN(1,dataScale*data0!F75)</f>
        <v>7.4509803921568626E-2</v>
      </c>
      <c r="G75">
        <f>MIN(1,dataScale*data0!G75)</f>
        <v>7.8431372549019607E-2</v>
      </c>
      <c r="H75">
        <f>MIN(1,dataScale*data0!H75)</f>
        <v>8.6274509803921567E-2</v>
      </c>
      <c r="I75">
        <f>MIN(1,dataScale*data0!I75)</f>
        <v>7.8431372549019607E-2</v>
      </c>
      <c r="J75">
        <f>MIN(1,dataScale*data0!J75)</f>
        <v>7.4509803921568626E-2</v>
      </c>
      <c r="K75">
        <f>MIN(1,dataScale*data0!K75)</f>
        <v>6.6666666666666666E-2</v>
      </c>
      <c r="L75">
        <f>MIN(1,dataScale*data0!L75)</f>
        <v>7.8431372549019607E-2</v>
      </c>
    </row>
    <row r="76" spans="1:12">
      <c r="A76">
        <f>data0!A76</f>
        <v>74</v>
      </c>
      <c r="B76">
        <f>MIN(1,dataScale*data0!B76)</f>
        <v>0</v>
      </c>
      <c r="C76">
        <f>MIN(1,dataScale*data0!C76)</f>
        <v>8.2352941176470587E-2</v>
      </c>
      <c r="D76">
        <f>MIN(1,dataScale*data0!D76)</f>
        <v>6.6666666666666666E-2</v>
      </c>
      <c r="E76">
        <f>MIN(1,dataScale*data0!E76)</f>
        <v>6.6666666666666666E-2</v>
      </c>
      <c r="F76">
        <f>MIN(1,dataScale*data0!F76)</f>
        <v>7.4509803921568626E-2</v>
      </c>
      <c r="G76">
        <f>MIN(1,dataScale*data0!G76)</f>
        <v>7.4509803921568626E-2</v>
      </c>
      <c r="H76">
        <f>MIN(1,dataScale*data0!H76)</f>
        <v>8.2352941176470587E-2</v>
      </c>
      <c r="I76">
        <f>MIN(1,dataScale*data0!I76)</f>
        <v>7.4509803921568626E-2</v>
      </c>
      <c r="J76">
        <f>MIN(1,dataScale*data0!J76)</f>
        <v>7.4509803921568626E-2</v>
      </c>
      <c r="K76">
        <f>MIN(1,dataScale*data0!K76)</f>
        <v>6.6666666666666666E-2</v>
      </c>
      <c r="L76">
        <f>MIN(1,dataScale*data0!L76)</f>
        <v>7.4509803921568626E-2</v>
      </c>
    </row>
    <row r="77" spans="1:12">
      <c r="A77">
        <f>data0!A77</f>
        <v>75</v>
      </c>
      <c r="B77">
        <f>MIN(1,dataScale*data0!B77)</f>
        <v>0</v>
      </c>
      <c r="C77">
        <f>MIN(1,dataScale*data0!C77)</f>
        <v>7.8431372549019607E-2</v>
      </c>
      <c r="D77">
        <f>MIN(1,dataScale*data0!D77)</f>
        <v>6.6666666666666666E-2</v>
      </c>
      <c r="E77">
        <f>MIN(1,dataScale*data0!E77)</f>
        <v>6.2745098039215685E-2</v>
      </c>
      <c r="F77">
        <f>MIN(1,dataScale*data0!F77)</f>
        <v>7.0588235294117646E-2</v>
      </c>
      <c r="G77">
        <f>MIN(1,dataScale*data0!G77)</f>
        <v>7.4509803921568626E-2</v>
      </c>
      <c r="H77">
        <f>MIN(1,dataScale*data0!H77)</f>
        <v>8.2352941176470587E-2</v>
      </c>
      <c r="I77">
        <f>MIN(1,dataScale*data0!I77)</f>
        <v>7.4509803921568626E-2</v>
      </c>
      <c r="J77">
        <f>MIN(1,dataScale*data0!J77)</f>
        <v>7.0588235294117646E-2</v>
      </c>
      <c r="K77">
        <f>MIN(1,dataScale*data0!K77)</f>
        <v>6.6666666666666666E-2</v>
      </c>
      <c r="L77">
        <f>MIN(1,dataScale*data0!L77)</f>
        <v>7.0588235294117646E-2</v>
      </c>
    </row>
    <row r="78" spans="1:12">
      <c r="A78">
        <f>data0!A78</f>
        <v>76</v>
      </c>
      <c r="B78">
        <f>MIN(1,dataScale*data0!B78)</f>
        <v>0</v>
      </c>
      <c r="C78">
        <f>MIN(1,dataScale*data0!C78)</f>
        <v>7.8431372549019607E-2</v>
      </c>
      <c r="D78">
        <f>MIN(1,dataScale*data0!D78)</f>
        <v>6.6666666666666666E-2</v>
      </c>
      <c r="E78">
        <f>MIN(1,dataScale*data0!E78)</f>
        <v>6.2745098039215685E-2</v>
      </c>
      <c r="F78">
        <f>MIN(1,dataScale*data0!F78)</f>
        <v>7.0588235294117646E-2</v>
      </c>
      <c r="G78">
        <f>MIN(1,dataScale*data0!G78)</f>
        <v>7.0588235294117646E-2</v>
      </c>
      <c r="H78">
        <f>MIN(1,dataScale*data0!H78)</f>
        <v>8.6274509803921567E-2</v>
      </c>
      <c r="I78">
        <f>MIN(1,dataScale*data0!I78)</f>
        <v>7.0588235294117646E-2</v>
      </c>
      <c r="J78">
        <f>MIN(1,dataScale*data0!J78)</f>
        <v>7.0588235294117646E-2</v>
      </c>
      <c r="K78">
        <f>MIN(1,dataScale*data0!K78)</f>
        <v>6.2745098039215685E-2</v>
      </c>
      <c r="L78">
        <f>MIN(1,dataScale*data0!L78)</f>
        <v>7.0588235294117646E-2</v>
      </c>
    </row>
    <row r="79" spans="1:12">
      <c r="A79">
        <f>data0!A79</f>
        <v>77</v>
      </c>
      <c r="B79">
        <f>MIN(1,dataScale*data0!B79)</f>
        <v>0</v>
      </c>
      <c r="C79">
        <f>MIN(1,dataScale*data0!C79)</f>
        <v>7.4509803921568626E-2</v>
      </c>
      <c r="D79">
        <f>MIN(1,dataScale*data0!D79)</f>
        <v>5.8823529411764705E-2</v>
      </c>
      <c r="E79">
        <f>MIN(1,dataScale*data0!E79)</f>
        <v>5.8823529411764705E-2</v>
      </c>
      <c r="F79">
        <f>MIN(1,dataScale*data0!F79)</f>
        <v>6.6666666666666666E-2</v>
      </c>
      <c r="G79">
        <f>MIN(1,dataScale*data0!G79)</f>
        <v>7.0588235294117646E-2</v>
      </c>
      <c r="H79">
        <f>MIN(1,dataScale*data0!H79)</f>
        <v>7.8431372549019607E-2</v>
      </c>
      <c r="I79">
        <f>MIN(1,dataScale*data0!I79)</f>
        <v>7.0588235294117646E-2</v>
      </c>
      <c r="J79">
        <f>MIN(1,dataScale*data0!J79)</f>
        <v>6.6666666666666666E-2</v>
      </c>
      <c r="K79">
        <f>MIN(1,dataScale*data0!K79)</f>
        <v>6.2745098039215685E-2</v>
      </c>
      <c r="L79">
        <f>MIN(1,dataScale*data0!L79)</f>
        <v>7.0588235294117646E-2</v>
      </c>
    </row>
    <row r="80" spans="1:12">
      <c r="A80">
        <f>data0!A80</f>
        <v>78</v>
      </c>
      <c r="B80">
        <f>MIN(1,dataScale*data0!B80)</f>
        <v>0</v>
      </c>
      <c r="C80">
        <f>MIN(1,dataScale*data0!C80)</f>
        <v>7.0588235294117646E-2</v>
      </c>
      <c r="D80">
        <f>MIN(1,dataScale*data0!D80)</f>
        <v>5.8823529411764705E-2</v>
      </c>
      <c r="E80">
        <f>MIN(1,dataScale*data0!E80)</f>
        <v>5.8823529411764705E-2</v>
      </c>
      <c r="F80">
        <f>MIN(1,dataScale*data0!F80)</f>
        <v>6.6666666666666666E-2</v>
      </c>
      <c r="G80">
        <f>MIN(1,dataScale*data0!G80)</f>
        <v>6.6666666666666666E-2</v>
      </c>
      <c r="H80">
        <f>MIN(1,dataScale*data0!H80)</f>
        <v>7.4509803921568626E-2</v>
      </c>
      <c r="I80">
        <f>MIN(1,dataScale*data0!I80)</f>
        <v>6.6666666666666666E-2</v>
      </c>
      <c r="J80">
        <f>MIN(1,dataScale*data0!J80)</f>
        <v>6.6666666666666666E-2</v>
      </c>
      <c r="K80">
        <f>MIN(1,dataScale*data0!K80)</f>
        <v>5.8823529411764705E-2</v>
      </c>
      <c r="L80">
        <f>MIN(1,dataScale*data0!L80)</f>
        <v>6.6666666666666666E-2</v>
      </c>
    </row>
    <row r="81" spans="1:12">
      <c r="A81">
        <f>data0!A81</f>
        <v>79</v>
      </c>
      <c r="B81">
        <f>MIN(1,dataScale*data0!B81)</f>
        <v>0</v>
      </c>
      <c r="C81">
        <f>MIN(1,dataScale*data0!C81)</f>
        <v>7.0588235294117646E-2</v>
      </c>
      <c r="D81">
        <f>MIN(1,dataScale*data0!D81)</f>
        <v>5.8823529411764705E-2</v>
      </c>
      <c r="E81">
        <f>MIN(1,dataScale*data0!E81)</f>
        <v>5.4901960784313725E-2</v>
      </c>
      <c r="F81">
        <f>MIN(1,dataScale*data0!F81)</f>
        <v>6.6666666666666666E-2</v>
      </c>
      <c r="G81">
        <f>MIN(1,dataScale*data0!G81)</f>
        <v>6.6666666666666666E-2</v>
      </c>
      <c r="H81">
        <f>MIN(1,dataScale*data0!H81)</f>
        <v>7.4509803921568626E-2</v>
      </c>
      <c r="I81">
        <f>MIN(1,dataScale*data0!I81)</f>
        <v>6.6666666666666666E-2</v>
      </c>
      <c r="J81">
        <f>MIN(1,dataScale*data0!J81)</f>
        <v>6.6666666666666666E-2</v>
      </c>
      <c r="K81">
        <f>MIN(1,dataScale*data0!K81)</f>
        <v>5.8823529411764705E-2</v>
      </c>
      <c r="L81">
        <f>MIN(1,dataScale*data0!L81)</f>
        <v>6.6666666666666666E-2</v>
      </c>
    </row>
    <row r="82" spans="1:12">
      <c r="A82">
        <f>data0!A82</f>
        <v>80</v>
      </c>
      <c r="B82">
        <f>MIN(1,dataScale*data0!B82)</f>
        <v>0</v>
      </c>
      <c r="C82">
        <f>MIN(1,dataScale*data0!C82)</f>
        <v>6.6666666666666666E-2</v>
      </c>
      <c r="D82">
        <f>MIN(1,dataScale*data0!D82)</f>
        <v>5.8823529411764705E-2</v>
      </c>
      <c r="E82">
        <f>MIN(1,dataScale*data0!E82)</f>
        <v>5.4901960784313725E-2</v>
      </c>
      <c r="F82">
        <f>MIN(1,dataScale*data0!F82)</f>
        <v>6.2745098039215685E-2</v>
      </c>
      <c r="G82">
        <f>MIN(1,dataScale*data0!G82)</f>
        <v>6.2745098039215685E-2</v>
      </c>
      <c r="H82">
        <f>MIN(1,dataScale*data0!H82)</f>
        <v>7.0588235294117646E-2</v>
      </c>
      <c r="I82">
        <f>MIN(1,dataScale*data0!I82)</f>
        <v>6.6666666666666666E-2</v>
      </c>
      <c r="J82">
        <f>MIN(1,dataScale*data0!J82)</f>
        <v>6.2745098039215685E-2</v>
      </c>
      <c r="K82">
        <f>MIN(1,dataScale*data0!K82)</f>
        <v>5.4901960784313725E-2</v>
      </c>
      <c r="L82">
        <f>MIN(1,dataScale*data0!L82)</f>
        <v>6.2745098039215685E-2</v>
      </c>
    </row>
    <row r="83" spans="1:12">
      <c r="A83">
        <f>data0!A83</f>
        <v>81</v>
      </c>
      <c r="B83">
        <f>MIN(1,dataScale*data0!B83)</f>
        <v>0</v>
      </c>
      <c r="C83">
        <f>MIN(1,dataScale*data0!C83)</f>
        <v>6.6666666666666666E-2</v>
      </c>
      <c r="D83">
        <f>MIN(1,dataScale*data0!D83)</f>
        <v>5.4901960784313725E-2</v>
      </c>
      <c r="E83">
        <f>MIN(1,dataScale*data0!E83)</f>
        <v>5.4901960784313725E-2</v>
      </c>
      <c r="F83">
        <f>MIN(1,dataScale*data0!F83)</f>
        <v>6.2745098039215685E-2</v>
      </c>
      <c r="G83">
        <f>MIN(1,dataScale*data0!G83)</f>
        <v>6.2745098039215685E-2</v>
      </c>
      <c r="H83">
        <f>MIN(1,dataScale*data0!H83)</f>
        <v>7.0588235294117646E-2</v>
      </c>
      <c r="I83">
        <f>MIN(1,dataScale*data0!I83)</f>
        <v>6.2745098039215685E-2</v>
      </c>
      <c r="J83">
        <f>MIN(1,dataScale*data0!J83)</f>
        <v>6.2745098039215685E-2</v>
      </c>
      <c r="K83">
        <f>MIN(1,dataScale*data0!K83)</f>
        <v>5.4901960784313725E-2</v>
      </c>
      <c r="L83">
        <f>MIN(1,dataScale*data0!L83)</f>
        <v>6.6666666666666666E-2</v>
      </c>
    </row>
    <row r="84" spans="1:12">
      <c r="A84">
        <f>data0!A84</f>
        <v>82</v>
      </c>
      <c r="B84">
        <f>MIN(1,dataScale*data0!B84)</f>
        <v>0</v>
      </c>
      <c r="C84">
        <f>MIN(1,dataScale*data0!C84)</f>
        <v>6.2745098039215685E-2</v>
      </c>
      <c r="D84">
        <f>MIN(1,dataScale*data0!D84)</f>
        <v>5.4901960784313725E-2</v>
      </c>
      <c r="E84">
        <f>MIN(1,dataScale*data0!E84)</f>
        <v>5.0980392156862744E-2</v>
      </c>
      <c r="F84">
        <f>MIN(1,dataScale*data0!F84)</f>
        <v>5.8823529411764705E-2</v>
      </c>
      <c r="G84">
        <f>MIN(1,dataScale*data0!G84)</f>
        <v>5.8823529411764705E-2</v>
      </c>
      <c r="H84">
        <f>MIN(1,dataScale*data0!H84)</f>
        <v>6.6666666666666666E-2</v>
      </c>
      <c r="I84">
        <f>MIN(1,dataScale*data0!I84)</f>
        <v>6.2745098039215685E-2</v>
      </c>
      <c r="J84">
        <f>MIN(1,dataScale*data0!J84)</f>
        <v>5.8823529411764705E-2</v>
      </c>
      <c r="K84">
        <f>MIN(1,dataScale*data0!K84)</f>
        <v>5.4901960784313725E-2</v>
      </c>
      <c r="L84">
        <f>MIN(1,dataScale*data0!L84)</f>
        <v>6.2745098039215685E-2</v>
      </c>
    </row>
    <row r="85" spans="1:12">
      <c r="A85">
        <f>data0!A85</f>
        <v>83</v>
      </c>
      <c r="B85">
        <f>MIN(1,dataScale*data0!B85)</f>
        <v>0</v>
      </c>
      <c r="C85">
        <f>MIN(1,dataScale*data0!C85)</f>
        <v>6.2745098039215685E-2</v>
      </c>
      <c r="D85">
        <f>MIN(1,dataScale*data0!D85)</f>
        <v>5.4901960784313725E-2</v>
      </c>
      <c r="E85">
        <f>MIN(1,dataScale*data0!E85)</f>
        <v>5.0980392156862744E-2</v>
      </c>
      <c r="F85">
        <f>MIN(1,dataScale*data0!F85)</f>
        <v>5.4901960784313725E-2</v>
      </c>
      <c r="G85">
        <f>MIN(1,dataScale*data0!G85)</f>
        <v>5.8823529411764705E-2</v>
      </c>
      <c r="H85">
        <f>MIN(1,dataScale*data0!H85)</f>
        <v>6.6666666666666666E-2</v>
      </c>
      <c r="I85">
        <f>MIN(1,dataScale*data0!I85)</f>
        <v>5.8823529411764705E-2</v>
      </c>
      <c r="J85">
        <f>MIN(1,dataScale*data0!J85)</f>
        <v>5.8823529411764705E-2</v>
      </c>
      <c r="K85">
        <f>MIN(1,dataScale*data0!K85)</f>
        <v>5.0980392156862744E-2</v>
      </c>
      <c r="L85">
        <f>MIN(1,dataScale*data0!L85)</f>
        <v>5.4901960784313725E-2</v>
      </c>
    </row>
    <row r="86" spans="1:12">
      <c r="A86">
        <f>data0!A86</f>
        <v>84</v>
      </c>
      <c r="B86">
        <f>MIN(1,dataScale*data0!B86)</f>
        <v>0</v>
      </c>
      <c r="C86">
        <f>MIN(1,dataScale*data0!C86)</f>
        <v>5.8823529411764705E-2</v>
      </c>
      <c r="D86">
        <f>MIN(1,dataScale*data0!D86)</f>
        <v>5.0980392156862744E-2</v>
      </c>
      <c r="E86">
        <f>MIN(1,dataScale*data0!E86)</f>
        <v>5.0980392156862744E-2</v>
      </c>
      <c r="F86">
        <f>MIN(1,dataScale*data0!F86)</f>
        <v>5.0980392156862744E-2</v>
      </c>
      <c r="G86">
        <f>MIN(1,dataScale*data0!G86)</f>
        <v>5.8823529411764705E-2</v>
      </c>
      <c r="H86">
        <f>MIN(1,dataScale*data0!H86)</f>
        <v>6.2745098039215685E-2</v>
      </c>
      <c r="I86">
        <f>MIN(1,dataScale*data0!I86)</f>
        <v>5.8823529411764705E-2</v>
      </c>
      <c r="J86">
        <f>MIN(1,dataScale*data0!J86)</f>
        <v>5.4901960784313725E-2</v>
      </c>
      <c r="K86">
        <f>MIN(1,dataScale*data0!K86)</f>
        <v>5.0980392156862744E-2</v>
      </c>
      <c r="L86">
        <f>MIN(1,dataScale*data0!L86)</f>
        <v>5.8823529411764705E-2</v>
      </c>
    </row>
    <row r="87" spans="1:12">
      <c r="A87">
        <f>data0!A87</f>
        <v>85</v>
      </c>
      <c r="B87">
        <f>MIN(1,dataScale*data0!B87)</f>
        <v>0</v>
      </c>
      <c r="C87">
        <f>MIN(1,dataScale*data0!C87)</f>
        <v>5.8823529411764705E-2</v>
      </c>
      <c r="D87">
        <f>MIN(1,dataScale*data0!D87)</f>
        <v>5.0980392156862744E-2</v>
      </c>
      <c r="E87">
        <f>MIN(1,dataScale*data0!E87)</f>
        <v>4.7058823529411764E-2</v>
      </c>
      <c r="F87">
        <f>MIN(1,dataScale*data0!F87)</f>
        <v>5.4901960784313725E-2</v>
      </c>
      <c r="G87">
        <f>MIN(1,dataScale*data0!G87)</f>
        <v>5.4901960784313725E-2</v>
      </c>
      <c r="H87">
        <f>MIN(1,dataScale*data0!H87)</f>
        <v>6.2745098039215685E-2</v>
      </c>
      <c r="I87">
        <f>MIN(1,dataScale*data0!I87)</f>
        <v>5.8823529411764705E-2</v>
      </c>
      <c r="J87">
        <f>MIN(1,dataScale*data0!J87)</f>
        <v>5.4901960784313725E-2</v>
      </c>
      <c r="K87">
        <f>MIN(1,dataScale*data0!K87)</f>
        <v>5.0980392156862744E-2</v>
      </c>
      <c r="L87">
        <f>MIN(1,dataScale*data0!L87)</f>
        <v>5.8823529411764705E-2</v>
      </c>
    </row>
    <row r="88" spans="1:12">
      <c r="A88">
        <f>data0!A88</f>
        <v>86</v>
      </c>
      <c r="B88">
        <f>MIN(1,dataScale*data0!B88)</f>
        <v>0</v>
      </c>
      <c r="C88">
        <f>MIN(1,dataScale*data0!C88)</f>
        <v>5.4901960784313725E-2</v>
      </c>
      <c r="D88">
        <f>MIN(1,dataScale*data0!D88)</f>
        <v>5.0980392156862744E-2</v>
      </c>
      <c r="E88">
        <f>MIN(1,dataScale*data0!E88)</f>
        <v>4.7058823529411764E-2</v>
      </c>
      <c r="F88">
        <f>MIN(1,dataScale*data0!F88)</f>
        <v>5.0980392156862744E-2</v>
      </c>
      <c r="G88">
        <f>MIN(1,dataScale*data0!G88)</f>
        <v>5.4901960784313725E-2</v>
      </c>
      <c r="H88">
        <f>MIN(1,dataScale*data0!H88)</f>
        <v>6.2745098039215685E-2</v>
      </c>
      <c r="I88">
        <f>MIN(1,dataScale*data0!I88)</f>
        <v>5.4901960784313725E-2</v>
      </c>
      <c r="J88">
        <f>MIN(1,dataScale*data0!J88)</f>
        <v>5.4901960784313725E-2</v>
      </c>
      <c r="K88">
        <f>MIN(1,dataScale*data0!K88)</f>
        <v>4.3137254901960784E-2</v>
      </c>
      <c r="L88">
        <f>MIN(1,dataScale*data0!L88)</f>
        <v>5.4901960784313725E-2</v>
      </c>
    </row>
    <row r="89" spans="1:12">
      <c r="A89">
        <f>data0!A89</f>
        <v>87</v>
      </c>
      <c r="B89">
        <f>MIN(1,dataScale*data0!B89)</f>
        <v>0</v>
      </c>
      <c r="C89">
        <f>MIN(1,dataScale*data0!C89)</f>
        <v>6.2745098039215685E-2</v>
      </c>
      <c r="D89">
        <f>MIN(1,dataScale*data0!D89)</f>
        <v>4.7058823529411764E-2</v>
      </c>
      <c r="E89">
        <f>MIN(1,dataScale*data0!E89)</f>
        <v>4.7058823529411764E-2</v>
      </c>
      <c r="F89">
        <f>MIN(1,dataScale*data0!F89)</f>
        <v>5.4901960784313725E-2</v>
      </c>
      <c r="G89">
        <f>MIN(1,dataScale*data0!G89)</f>
        <v>5.4901960784313725E-2</v>
      </c>
      <c r="H89">
        <f>MIN(1,dataScale*data0!H89)</f>
        <v>5.8823529411764705E-2</v>
      </c>
      <c r="I89">
        <f>MIN(1,dataScale*data0!I89)</f>
        <v>5.4901960784313725E-2</v>
      </c>
      <c r="J89">
        <f>MIN(1,dataScale*data0!J89)</f>
        <v>5.0980392156862744E-2</v>
      </c>
      <c r="K89">
        <f>MIN(1,dataScale*data0!K89)</f>
        <v>4.7058823529411764E-2</v>
      </c>
      <c r="L89">
        <f>MIN(1,dataScale*data0!L89)</f>
        <v>5.4901960784313725E-2</v>
      </c>
    </row>
    <row r="90" spans="1:12">
      <c r="A90">
        <f>data0!A90</f>
        <v>88</v>
      </c>
      <c r="B90">
        <f>MIN(1,dataScale*data0!B90)</f>
        <v>0</v>
      </c>
      <c r="C90">
        <f>MIN(1,dataScale*data0!C90)</f>
        <v>5.0980392156862744E-2</v>
      </c>
      <c r="D90">
        <f>MIN(1,dataScale*data0!D90)</f>
        <v>4.7058823529411764E-2</v>
      </c>
      <c r="E90">
        <f>MIN(1,dataScale*data0!E90)</f>
        <v>4.3137254901960784E-2</v>
      </c>
      <c r="F90">
        <f>MIN(1,dataScale*data0!F90)</f>
        <v>4.7058823529411764E-2</v>
      </c>
      <c r="G90">
        <f>MIN(1,dataScale*data0!G90)</f>
        <v>5.0980392156862744E-2</v>
      </c>
      <c r="H90">
        <f>MIN(1,dataScale*data0!H90)</f>
        <v>5.8823529411764705E-2</v>
      </c>
      <c r="I90">
        <f>MIN(1,dataScale*data0!I90)</f>
        <v>5.4901960784313725E-2</v>
      </c>
      <c r="J90">
        <f>MIN(1,dataScale*data0!J90)</f>
        <v>5.0980392156862744E-2</v>
      </c>
      <c r="K90">
        <f>MIN(1,dataScale*data0!K90)</f>
        <v>4.7058823529411764E-2</v>
      </c>
      <c r="L90">
        <f>MIN(1,dataScale*data0!L90)</f>
        <v>5.0980392156862744E-2</v>
      </c>
    </row>
    <row r="91" spans="1:12">
      <c r="A91">
        <f>data0!A91</f>
        <v>89</v>
      </c>
      <c r="B91">
        <f>MIN(1,dataScale*data0!B91)</f>
        <v>0</v>
      </c>
      <c r="C91">
        <f>MIN(1,dataScale*data0!C91)</f>
        <v>5.0980392156862744E-2</v>
      </c>
      <c r="D91">
        <f>MIN(1,dataScale*data0!D91)</f>
        <v>4.7058823529411764E-2</v>
      </c>
      <c r="E91">
        <f>MIN(1,dataScale*data0!E91)</f>
        <v>4.3137254901960784E-2</v>
      </c>
      <c r="F91">
        <f>MIN(1,dataScale*data0!F91)</f>
        <v>5.0980392156862744E-2</v>
      </c>
      <c r="G91">
        <f>MIN(1,dataScale*data0!G91)</f>
        <v>5.0980392156862744E-2</v>
      </c>
      <c r="H91">
        <f>MIN(1,dataScale*data0!H91)</f>
        <v>5.4901960784313725E-2</v>
      </c>
      <c r="I91">
        <f>MIN(1,dataScale*data0!I91)</f>
        <v>5.0980392156862744E-2</v>
      </c>
      <c r="J91">
        <f>MIN(1,dataScale*data0!J91)</f>
        <v>5.0980392156862744E-2</v>
      </c>
      <c r="K91">
        <f>MIN(1,dataScale*data0!K91)</f>
        <v>4.3137254901960784E-2</v>
      </c>
      <c r="L91">
        <f>MIN(1,dataScale*data0!L91)</f>
        <v>5.4901960784313725E-2</v>
      </c>
    </row>
    <row r="92" spans="1:12">
      <c r="A92">
        <f>data0!A92</f>
        <v>90</v>
      </c>
      <c r="B92">
        <f>MIN(1,dataScale*data0!B92)</f>
        <v>0</v>
      </c>
      <c r="C92">
        <f>MIN(1,dataScale*data0!C92)</f>
        <v>5.0980392156862744E-2</v>
      </c>
      <c r="D92">
        <f>MIN(1,dataScale*data0!D92)</f>
        <v>4.3137254901960784E-2</v>
      </c>
      <c r="E92">
        <f>MIN(1,dataScale*data0!E92)</f>
        <v>4.3137254901960784E-2</v>
      </c>
      <c r="F92">
        <f>MIN(1,dataScale*data0!F92)</f>
        <v>4.7058823529411764E-2</v>
      </c>
      <c r="G92">
        <f>MIN(1,dataScale*data0!G92)</f>
        <v>5.0980392156862744E-2</v>
      </c>
      <c r="H92">
        <f>MIN(1,dataScale*data0!H92)</f>
        <v>5.4901960784313725E-2</v>
      </c>
      <c r="I92">
        <f>MIN(1,dataScale*data0!I92)</f>
        <v>5.0980392156862744E-2</v>
      </c>
      <c r="J92">
        <f>MIN(1,dataScale*data0!J92)</f>
        <v>4.7058823529411764E-2</v>
      </c>
      <c r="K92">
        <f>MIN(1,dataScale*data0!K92)</f>
        <v>4.3137254901960784E-2</v>
      </c>
      <c r="L92">
        <f>MIN(1,dataScale*data0!L92)</f>
        <v>5.0980392156862744E-2</v>
      </c>
    </row>
    <row r="93" spans="1:12">
      <c r="A93">
        <f>data0!A93</f>
        <v>91</v>
      </c>
      <c r="B93">
        <f>MIN(1,dataScale*data0!B93)</f>
        <v>0</v>
      </c>
      <c r="C93">
        <f>MIN(1,dataScale*data0!C93)</f>
        <v>5.0980392156862744E-2</v>
      </c>
      <c r="D93">
        <f>MIN(1,dataScale*data0!D93)</f>
        <v>4.3137254901960784E-2</v>
      </c>
      <c r="E93">
        <f>MIN(1,dataScale*data0!E93)</f>
        <v>3.9215686274509803E-2</v>
      </c>
      <c r="F93">
        <f>MIN(1,dataScale*data0!F93)</f>
        <v>4.7058823529411764E-2</v>
      </c>
      <c r="G93">
        <f>MIN(1,dataScale*data0!G93)</f>
        <v>4.7058823529411764E-2</v>
      </c>
      <c r="H93">
        <f>MIN(1,dataScale*data0!H93)</f>
        <v>5.4901960784313725E-2</v>
      </c>
      <c r="I93">
        <f>MIN(1,dataScale*data0!I93)</f>
        <v>5.0980392156862744E-2</v>
      </c>
      <c r="J93">
        <f>MIN(1,dataScale*data0!J93)</f>
        <v>4.7058823529411764E-2</v>
      </c>
      <c r="K93">
        <f>MIN(1,dataScale*data0!K93)</f>
        <v>4.3137254901960784E-2</v>
      </c>
      <c r="L93">
        <f>MIN(1,dataScale*data0!L93)</f>
        <v>4.7058823529411764E-2</v>
      </c>
    </row>
    <row r="94" spans="1:12">
      <c r="A94">
        <f>data0!A94</f>
        <v>92</v>
      </c>
      <c r="B94">
        <f>MIN(1,dataScale*data0!B94)</f>
        <v>0</v>
      </c>
      <c r="C94">
        <f>MIN(1,dataScale*data0!C94)</f>
        <v>5.0980392156862744E-2</v>
      </c>
      <c r="D94">
        <f>MIN(1,dataScale*data0!D94)</f>
        <v>4.3137254901960784E-2</v>
      </c>
      <c r="E94">
        <f>MIN(1,dataScale*data0!E94)</f>
        <v>3.9215686274509803E-2</v>
      </c>
      <c r="F94">
        <f>MIN(1,dataScale*data0!F94)</f>
        <v>4.7058823529411764E-2</v>
      </c>
      <c r="G94">
        <f>MIN(1,dataScale*data0!G94)</f>
        <v>4.3137254901960784E-2</v>
      </c>
      <c r="H94">
        <f>MIN(1,dataScale*data0!H94)</f>
        <v>5.0980392156862744E-2</v>
      </c>
      <c r="I94">
        <f>MIN(1,dataScale*data0!I94)</f>
        <v>4.7058823529411764E-2</v>
      </c>
      <c r="J94">
        <f>MIN(1,dataScale*data0!J94)</f>
        <v>4.3137254901960784E-2</v>
      </c>
      <c r="K94">
        <f>MIN(1,dataScale*data0!K94)</f>
        <v>4.3137254901960784E-2</v>
      </c>
      <c r="L94">
        <f>MIN(1,dataScale*data0!L94)</f>
        <v>4.7058823529411764E-2</v>
      </c>
    </row>
    <row r="95" spans="1:12">
      <c r="A95">
        <f>data0!A95</f>
        <v>93</v>
      </c>
      <c r="B95">
        <f>MIN(1,dataScale*data0!B95)</f>
        <v>0</v>
      </c>
      <c r="C95">
        <f>MIN(1,dataScale*data0!C95)</f>
        <v>4.7058823529411764E-2</v>
      </c>
      <c r="D95">
        <f>MIN(1,dataScale*data0!D95)</f>
        <v>4.3137254901960784E-2</v>
      </c>
      <c r="E95">
        <f>MIN(1,dataScale*data0!E95)</f>
        <v>3.9215686274509803E-2</v>
      </c>
      <c r="F95">
        <f>MIN(1,dataScale*data0!F95)</f>
        <v>4.7058823529411764E-2</v>
      </c>
      <c r="G95">
        <f>MIN(1,dataScale*data0!G95)</f>
        <v>4.7058823529411764E-2</v>
      </c>
      <c r="H95">
        <f>MIN(1,dataScale*data0!H95)</f>
        <v>5.0980392156862744E-2</v>
      </c>
      <c r="I95">
        <f>MIN(1,dataScale*data0!I95)</f>
        <v>4.7058823529411764E-2</v>
      </c>
      <c r="J95">
        <f>MIN(1,dataScale*data0!J95)</f>
        <v>4.3137254901960784E-2</v>
      </c>
      <c r="K95">
        <f>MIN(1,dataScale*data0!K95)</f>
        <v>4.3137254901960784E-2</v>
      </c>
      <c r="L95">
        <f>MIN(1,dataScale*data0!L95)</f>
        <v>4.7058823529411764E-2</v>
      </c>
    </row>
    <row r="96" spans="1:12">
      <c r="A96">
        <f>data0!A96</f>
        <v>94</v>
      </c>
      <c r="B96">
        <f>MIN(1,dataScale*data0!B96)</f>
        <v>0</v>
      </c>
      <c r="C96">
        <f>MIN(1,dataScale*data0!C96)</f>
        <v>4.7058823529411764E-2</v>
      </c>
      <c r="D96">
        <f>MIN(1,dataScale*data0!D96)</f>
        <v>3.9215686274509803E-2</v>
      </c>
      <c r="E96">
        <f>MIN(1,dataScale*data0!E96)</f>
        <v>3.9215686274509803E-2</v>
      </c>
      <c r="F96">
        <f>MIN(1,dataScale*data0!F96)</f>
        <v>3.9215686274509803E-2</v>
      </c>
      <c r="G96">
        <f>MIN(1,dataScale*data0!G96)</f>
        <v>4.7058823529411764E-2</v>
      </c>
      <c r="H96">
        <f>MIN(1,dataScale*data0!H96)</f>
        <v>5.0980392156862744E-2</v>
      </c>
      <c r="I96">
        <f>MIN(1,dataScale*data0!I96)</f>
        <v>4.7058823529411764E-2</v>
      </c>
      <c r="J96">
        <f>MIN(1,dataScale*data0!J96)</f>
        <v>4.3137254901960784E-2</v>
      </c>
      <c r="K96">
        <f>MIN(1,dataScale*data0!K96)</f>
        <v>3.9215686274509803E-2</v>
      </c>
      <c r="L96">
        <f>MIN(1,dataScale*data0!L96)</f>
        <v>4.7058823529411764E-2</v>
      </c>
    </row>
    <row r="97" spans="1:12">
      <c r="A97">
        <f>data0!A97</f>
        <v>95</v>
      </c>
      <c r="B97">
        <f>MIN(1,dataScale*data0!B97)</f>
        <v>0</v>
      </c>
      <c r="C97">
        <f>MIN(1,dataScale*data0!C97)</f>
        <v>4.3137254901960784E-2</v>
      </c>
      <c r="D97">
        <f>MIN(1,dataScale*data0!D97)</f>
        <v>3.9215686274509803E-2</v>
      </c>
      <c r="E97">
        <f>MIN(1,dataScale*data0!E97)</f>
        <v>3.5294117647058823E-2</v>
      </c>
      <c r="F97">
        <f>MIN(1,dataScale*data0!F97)</f>
        <v>4.3137254901960784E-2</v>
      </c>
      <c r="G97">
        <f>MIN(1,dataScale*data0!G97)</f>
        <v>4.3137254901960784E-2</v>
      </c>
      <c r="H97">
        <f>MIN(1,dataScale*data0!H97)</f>
        <v>4.7058823529411764E-2</v>
      </c>
      <c r="I97">
        <f>MIN(1,dataScale*data0!I97)</f>
        <v>4.3137254901960784E-2</v>
      </c>
      <c r="J97">
        <f>MIN(1,dataScale*data0!J97)</f>
        <v>4.3137254901960784E-2</v>
      </c>
      <c r="K97">
        <f>MIN(1,dataScale*data0!K97)</f>
        <v>3.9215686274509803E-2</v>
      </c>
      <c r="L97">
        <f>MIN(1,dataScale*data0!L97)</f>
        <v>4.3137254901960784E-2</v>
      </c>
    </row>
    <row r="98" spans="1:12">
      <c r="A98">
        <f>data0!A98</f>
        <v>96</v>
      </c>
      <c r="B98">
        <f>MIN(1,dataScale*data0!B98)</f>
        <v>0</v>
      </c>
      <c r="C98">
        <f>MIN(1,dataScale*data0!C98)</f>
        <v>4.3137254901960784E-2</v>
      </c>
      <c r="D98">
        <f>MIN(1,dataScale*data0!D98)</f>
        <v>3.9215686274509803E-2</v>
      </c>
      <c r="E98">
        <f>MIN(1,dataScale*data0!E98)</f>
        <v>3.5294117647058823E-2</v>
      </c>
      <c r="F98">
        <f>MIN(1,dataScale*data0!F98)</f>
        <v>4.3137254901960784E-2</v>
      </c>
      <c r="G98">
        <f>MIN(1,dataScale*data0!G98)</f>
        <v>4.3137254901960784E-2</v>
      </c>
      <c r="H98">
        <f>MIN(1,dataScale*data0!H98)</f>
        <v>4.7058823529411764E-2</v>
      </c>
      <c r="I98">
        <f>MIN(1,dataScale*data0!I98)</f>
        <v>4.3137254901960784E-2</v>
      </c>
      <c r="J98">
        <f>MIN(1,dataScale*data0!J98)</f>
        <v>3.9215686274509803E-2</v>
      </c>
      <c r="K98">
        <f>MIN(1,dataScale*data0!K98)</f>
        <v>3.9215686274509803E-2</v>
      </c>
      <c r="L98">
        <f>MIN(1,dataScale*data0!L98)</f>
        <v>4.3137254901960784E-2</v>
      </c>
    </row>
    <row r="99" spans="1:12">
      <c r="A99">
        <f>data0!A99</f>
        <v>97</v>
      </c>
      <c r="B99">
        <f>MIN(1,dataScale*data0!B99)</f>
        <v>0</v>
      </c>
      <c r="C99">
        <f>MIN(1,dataScale*data0!C99)</f>
        <v>4.3137254901960784E-2</v>
      </c>
      <c r="D99">
        <f>MIN(1,dataScale*data0!D99)</f>
        <v>3.9215686274509803E-2</v>
      </c>
      <c r="E99">
        <f>MIN(1,dataScale*data0!E99)</f>
        <v>3.5294117647058823E-2</v>
      </c>
      <c r="F99">
        <f>MIN(1,dataScale*data0!F99)</f>
        <v>4.3137254901960784E-2</v>
      </c>
      <c r="G99">
        <f>MIN(1,dataScale*data0!G99)</f>
        <v>4.3137254901960784E-2</v>
      </c>
      <c r="H99">
        <f>MIN(1,dataScale*data0!H99)</f>
        <v>4.7058823529411764E-2</v>
      </c>
      <c r="I99">
        <f>MIN(1,dataScale*data0!I99)</f>
        <v>4.3137254901960784E-2</v>
      </c>
      <c r="J99">
        <f>MIN(1,dataScale*data0!J99)</f>
        <v>3.9215686274509803E-2</v>
      </c>
      <c r="K99">
        <f>MIN(1,dataScale*data0!K99)</f>
        <v>3.5294117647058823E-2</v>
      </c>
      <c r="L99">
        <f>MIN(1,dataScale*data0!L99)</f>
        <v>4.3137254901960784E-2</v>
      </c>
    </row>
    <row r="100" spans="1:12">
      <c r="A100">
        <f>data0!A100</f>
        <v>98</v>
      </c>
      <c r="B100">
        <f>MIN(1,dataScale*data0!B100)</f>
        <v>0</v>
      </c>
      <c r="C100">
        <f>MIN(1,dataScale*data0!C100)</f>
        <v>3.9215686274509803E-2</v>
      </c>
      <c r="D100">
        <f>MIN(1,dataScale*data0!D100)</f>
        <v>3.5294117647058823E-2</v>
      </c>
      <c r="E100">
        <f>MIN(1,dataScale*data0!E100)</f>
        <v>3.5294117647058823E-2</v>
      </c>
      <c r="F100">
        <f>MIN(1,dataScale*data0!F100)</f>
        <v>4.3137254901960784E-2</v>
      </c>
      <c r="G100">
        <f>MIN(1,dataScale*data0!G100)</f>
        <v>4.3137254901960784E-2</v>
      </c>
      <c r="H100">
        <f>MIN(1,dataScale*data0!H100)</f>
        <v>4.3137254901960784E-2</v>
      </c>
      <c r="I100">
        <f>MIN(1,dataScale*data0!I100)</f>
        <v>4.3137254901960784E-2</v>
      </c>
      <c r="J100">
        <f>MIN(1,dataScale*data0!J100)</f>
        <v>3.9215686274509803E-2</v>
      </c>
      <c r="K100">
        <f>MIN(1,dataScale*data0!K100)</f>
        <v>3.5294117647058823E-2</v>
      </c>
      <c r="L100">
        <f>MIN(1,dataScale*data0!L100)</f>
        <v>4.3137254901960784E-2</v>
      </c>
    </row>
    <row r="101" spans="1:12">
      <c r="A101">
        <f>data0!A101</f>
        <v>99</v>
      </c>
      <c r="B101">
        <f>MIN(1,dataScale*data0!B101)</f>
        <v>0</v>
      </c>
      <c r="C101">
        <f>MIN(1,dataScale*data0!C101)</f>
        <v>3.9215686274509803E-2</v>
      </c>
      <c r="D101">
        <f>MIN(1,dataScale*data0!D101)</f>
        <v>3.5294117647058823E-2</v>
      </c>
      <c r="E101">
        <f>MIN(1,dataScale*data0!E101)</f>
        <v>3.5294117647058823E-2</v>
      </c>
      <c r="F101">
        <f>MIN(1,dataScale*data0!F101)</f>
        <v>3.9215686274509803E-2</v>
      </c>
      <c r="G101">
        <f>MIN(1,dataScale*data0!G101)</f>
        <v>3.9215686274509803E-2</v>
      </c>
      <c r="H101">
        <f>MIN(1,dataScale*data0!H101)</f>
        <v>4.3137254901960784E-2</v>
      </c>
      <c r="I101">
        <f>MIN(1,dataScale*data0!I101)</f>
        <v>4.3137254901960784E-2</v>
      </c>
      <c r="J101">
        <f>MIN(1,dataScale*data0!J101)</f>
        <v>3.9215686274509803E-2</v>
      </c>
      <c r="K101">
        <f>MIN(1,dataScale*data0!K101)</f>
        <v>3.5294117647058823E-2</v>
      </c>
      <c r="L101">
        <f>MIN(1,dataScale*data0!L101)</f>
        <v>3.9215686274509803E-2</v>
      </c>
    </row>
    <row r="102" spans="1:12">
      <c r="A102">
        <f>data0!A102</f>
        <v>100</v>
      </c>
      <c r="B102">
        <f>MIN(1,dataScale*data0!B102)</f>
        <v>0</v>
      </c>
      <c r="C102">
        <f>MIN(1,dataScale*data0!C102)</f>
        <v>3.9215686274509803E-2</v>
      </c>
      <c r="D102">
        <f>MIN(1,dataScale*data0!D102)</f>
        <v>3.5294117647058823E-2</v>
      </c>
      <c r="E102">
        <f>MIN(1,dataScale*data0!E102)</f>
        <v>3.1372549019607843E-2</v>
      </c>
      <c r="F102">
        <f>MIN(1,dataScale*data0!F102)</f>
        <v>3.5294117647058823E-2</v>
      </c>
      <c r="G102">
        <f>MIN(1,dataScale*data0!G102)</f>
        <v>3.9215686274509803E-2</v>
      </c>
      <c r="H102">
        <f>MIN(1,dataScale*data0!H102)</f>
        <v>4.3137254901960784E-2</v>
      </c>
      <c r="I102">
        <f>MIN(1,dataScale*data0!I102)</f>
        <v>3.9215686274509803E-2</v>
      </c>
      <c r="J102">
        <f>MIN(1,dataScale*data0!J102)</f>
        <v>3.9215686274509803E-2</v>
      </c>
      <c r="K102">
        <f>MIN(1,dataScale*data0!K102)</f>
        <v>3.5294117647058823E-2</v>
      </c>
      <c r="L102">
        <f>MIN(1,dataScale*data0!L102)</f>
        <v>3.9215686274509803E-2</v>
      </c>
    </row>
    <row r="103" spans="1:12">
      <c r="A103">
        <f>data0!A103</f>
        <v>101</v>
      </c>
      <c r="B103">
        <f>MIN(1,dataScale*data0!B103)</f>
        <v>0</v>
      </c>
      <c r="C103">
        <f>MIN(1,dataScale*data0!C103)</f>
        <v>3.9215686274509803E-2</v>
      </c>
      <c r="D103">
        <f>MIN(1,dataScale*data0!D103)</f>
        <v>3.5294117647058823E-2</v>
      </c>
      <c r="E103">
        <f>MIN(1,dataScale*data0!E103)</f>
        <v>3.1372549019607843E-2</v>
      </c>
      <c r="F103">
        <f>MIN(1,dataScale*data0!F103)</f>
        <v>3.9215686274509803E-2</v>
      </c>
      <c r="G103">
        <f>MIN(1,dataScale*data0!G103)</f>
        <v>3.1372549019607843E-2</v>
      </c>
      <c r="H103">
        <f>MIN(1,dataScale*data0!H103)</f>
        <v>3.9215686274509803E-2</v>
      </c>
      <c r="I103">
        <f>MIN(1,dataScale*data0!I103)</f>
        <v>3.9215686274509803E-2</v>
      </c>
      <c r="J103">
        <f>MIN(1,dataScale*data0!J103)</f>
        <v>3.5294117647058823E-2</v>
      </c>
      <c r="K103">
        <f>MIN(1,dataScale*data0!K103)</f>
        <v>3.5294117647058823E-2</v>
      </c>
      <c r="L103">
        <f>MIN(1,dataScale*data0!L103)</f>
        <v>3.9215686274509803E-2</v>
      </c>
    </row>
    <row r="104" spans="1:12">
      <c r="A104">
        <f>data0!A104</f>
        <v>102</v>
      </c>
      <c r="B104">
        <f>MIN(1,dataScale*data0!B104)</f>
        <v>0</v>
      </c>
      <c r="C104">
        <f>MIN(1,dataScale*data0!C104)</f>
        <v>3.5294117647058823E-2</v>
      </c>
      <c r="D104">
        <f>MIN(1,dataScale*data0!D104)</f>
        <v>3.5294117647058823E-2</v>
      </c>
      <c r="E104">
        <f>MIN(1,dataScale*data0!E104)</f>
        <v>3.1372549019607843E-2</v>
      </c>
      <c r="F104">
        <f>MIN(1,dataScale*data0!F104)</f>
        <v>3.9215686274509803E-2</v>
      </c>
      <c r="G104">
        <f>MIN(1,dataScale*data0!G104)</f>
        <v>3.5294117647058823E-2</v>
      </c>
      <c r="H104">
        <f>MIN(1,dataScale*data0!H104)</f>
        <v>4.3137254901960784E-2</v>
      </c>
      <c r="I104">
        <f>MIN(1,dataScale*data0!I104)</f>
        <v>3.9215686274509803E-2</v>
      </c>
      <c r="J104">
        <f>MIN(1,dataScale*data0!J104)</f>
        <v>3.5294117647058823E-2</v>
      </c>
      <c r="K104">
        <f>MIN(1,dataScale*data0!K104)</f>
        <v>3.1372549019607843E-2</v>
      </c>
      <c r="L104">
        <f>MIN(1,dataScale*data0!L104)</f>
        <v>3.9215686274509803E-2</v>
      </c>
    </row>
    <row r="105" spans="1:12">
      <c r="A105">
        <f>data0!A105</f>
        <v>103</v>
      </c>
      <c r="B105">
        <f>MIN(1,dataScale*data0!B105)</f>
        <v>0</v>
      </c>
      <c r="C105">
        <f>MIN(1,dataScale*data0!C105)</f>
        <v>3.5294117647058823E-2</v>
      </c>
      <c r="D105">
        <f>MIN(1,dataScale*data0!D105)</f>
        <v>3.1372549019607843E-2</v>
      </c>
      <c r="E105">
        <f>MIN(1,dataScale*data0!E105)</f>
        <v>3.1372549019607843E-2</v>
      </c>
      <c r="F105">
        <f>MIN(1,dataScale*data0!F105)</f>
        <v>3.5294117647058823E-2</v>
      </c>
      <c r="G105">
        <f>MIN(1,dataScale*data0!G105)</f>
        <v>3.5294117647058823E-2</v>
      </c>
      <c r="H105">
        <f>MIN(1,dataScale*data0!H105)</f>
        <v>3.9215686274509803E-2</v>
      </c>
      <c r="I105">
        <f>MIN(1,dataScale*data0!I105)</f>
        <v>3.9215686274509803E-2</v>
      </c>
      <c r="J105">
        <f>MIN(1,dataScale*data0!J105)</f>
        <v>3.5294117647058823E-2</v>
      </c>
      <c r="K105">
        <f>MIN(1,dataScale*data0!K105)</f>
        <v>3.1372549019607843E-2</v>
      </c>
      <c r="L105">
        <f>MIN(1,dataScale*data0!L105)</f>
        <v>3.5294117647058823E-2</v>
      </c>
    </row>
    <row r="106" spans="1:12">
      <c r="A106">
        <f>data0!A106</f>
        <v>104</v>
      </c>
      <c r="B106">
        <f>MIN(1,dataScale*data0!B106)</f>
        <v>0</v>
      </c>
      <c r="C106">
        <f>MIN(1,dataScale*data0!C106)</f>
        <v>3.5294117647058823E-2</v>
      </c>
      <c r="D106">
        <f>MIN(1,dataScale*data0!D106)</f>
        <v>3.1372549019607843E-2</v>
      </c>
      <c r="E106">
        <f>MIN(1,dataScale*data0!E106)</f>
        <v>2.7450980392156862E-2</v>
      </c>
      <c r="F106">
        <f>MIN(1,dataScale*data0!F106)</f>
        <v>3.5294117647058823E-2</v>
      </c>
      <c r="G106">
        <f>MIN(1,dataScale*data0!G106)</f>
        <v>3.5294117647058823E-2</v>
      </c>
      <c r="H106">
        <f>MIN(1,dataScale*data0!H106)</f>
        <v>3.9215686274509803E-2</v>
      </c>
      <c r="I106">
        <f>MIN(1,dataScale*data0!I106)</f>
        <v>3.5294117647058823E-2</v>
      </c>
      <c r="J106">
        <f>MIN(1,dataScale*data0!J106)</f>
        <v>3.1372549019607843E-2</v>
      </c>
      <c r="K106">
        <f>MIN(1,dataScale*data0!K106)</f>
        <v>3.1372549019607843E-2</v>
      </c>
      <c r="L106">
        <f>MIN(1,dataScale*data0!L106)</f>
        <v>3.5294117647058823E-2</v>
      </c>
    </row>
    <row r="107" spans="1:12">
      <c r="A107">
        <f>data0!A107</f>
        <v>105</v>
      </c>
      <c r="B107">
        <f>MIN(1,dataScale*data0!B107)</f>
        <v>0</v>
      </c>
      <c r="C107">
        <f>MIN(1,dataScale*data0!C107)</f>
        <v>3.1372549019607843E-2</v>
      </c>
      <c r="D107">
        <f>MIN(1,dataScale*data0!D107)</f>
        <v>3.1372549019607843E-2</v>
      </c>
      <c r="E107">
        <f>MIN(1,dataScale*data0!E107)</f>
        <v>2.7450980392156862E-2</v>
      </c>
      <c r="F107">
        <f>MIN(1,dataScale*data0!F107)</f>
        <v>3.5294117647058823E-2</v>
      </c>
      <c r="G107">
        <f>MIN(1,dataScale*data0!G107)</f>
        <v>3.5294117647058823E-2</v>
      </c>
      <c r="H107">
        <f>MIN(1,dataScale*data0!H107)</f>
        <v>3.9215686274509803E-2</v>
      </c>
      <c r="I107">
        <f>MIN(1,dataScale*data0!I107)</f>
        <v>3.5294117647058823E-2</v>
      </c>
      <c r="J107">
        <f>MIN(1,dataScale*data0!J107)</f>
        <v>3.1372549019607843E-2</v>
      </c>
      <c r="K107">
        <f>MIN(1,dataScale*data0!K107)</f>
        <v>3.1372549019607843E-2</v>
      </c>
      <c r="L107">
        <f>MIN(1,dataScale*data0!L107)</f>
        <v>3.5294117647058823E-2</v>
      </c>
    </row>
    <row r="108" spans="1:12">
      <c r="A108">
        <f>data0!A108</f>
        <v>106</v>
      </c>
      <c r="B108">
        <f>MIN(1,dataScale*data0!B108)</f>
        <v>0</v>
      </c>
      <c r="C108">
        <f>MIN(1,dataScale*data0!C108)</f>
        <v>3.1372549019607843E-2</v>
      </c>
      <c r="D108">
        <f>MIN(1,dataScale*data0!D108)</f>
        <v>2.7450980392156862E-2</v>
      </c>
      <c r="E108">
        <f>MIN(1,dataScale*data0!E108)</f>
        <v>2.7450980392156862E-2</v>
      </c>
      <c r="F108">
        <f>MIN(1,dataScale*data0!F108)</f>
        <v>3.1372549019607843E-2</v>
      </c>
      <c r="G108">
        <f>MIN(1,dataScale*data0!G108)</f>
        <v>3.1372549019607843E-2</v>
      </c>
      <c r="H108">
        <f>MIN(1,dataScale*data0!H108)</f>
        <v>3.5294117647058823E-2</v>
      </c>
      <c r="I108">
        <f>MIN(1,dataScale*data0!I108)</f>
        <v>3.5294117647058823E-2</v>
      </c>
      <c r="J108">
        <f>MIN(1,dataScale*data0!J108)</f>
        <v>3.1372549019607843E-2</v>
      </c>
      <c r="K108">
        <f>MIN(1,dataScale*data0!K108)</f>
        <v>3.1372549019607843E-2</v>
      </c>
      <c r="L108">
        <f>MIN(1,dataScale*data0!L108)</f>
        <v>3.5294117647058823E-2</v>
      </c>
    </row>
    <row r="109" spans="1:12">
      <c r="A109">
        <f>data0!A109</f>
        <v>107</v>
      </c>
      <c r="B109">
        <f>MIN(1,dataScale*data0!B109)</f>
        <v>0</v>
      </c>
      <c r="C109">
        <f>MIN(1,dataScale*data0!C109)</f>
        <v>3.1372549019607843E-2</v>
      </c>
      <c r="D109">
        <f>MIN(1,dataScale*data0!D109)</f>
        <v>3.1372549019607843E-2</v>
      </c>
      <c r="E109">
        <f>MIN(1,dataScale*data0!E109)</f>
        <v>2.7450980392156862E-2</v>
      </c>
      <c r="F109">
        <f>MIN(1,dataScale*data0!F109)</f>
        <v>3.5294117647058823E-2</v>
      </c>
      <c r="G109">
        <f>MIN(1,dataScale*data0!G109)</f>
        <v>3.1372549019607843E-2</v>
      </c>
      <c r="H109">
        <f>MIN(1,dataScale*data0!H109)</f>
        <v>3.5294117647058823E-2</v>
      </c>
      <c r="I109">
        <f>MIN(1,dataScale*data0!I109)</f>
        <v>4.3137254901960784E-2</v>
      </c>
      <c r="J109">
        <f>MIN(1,dataScale*data0!J109)</f>
        <v>3.5294117647058823E-2</v>
      </c>
      <c r="K109">
        <f>MIN(1,dataScale*data0!K109)</f>
        <v>2.7450980392156862E-2</v>
      </c>
      <c r="L109">
        <f>MIN(1,dataScale*data0!L109)</f>
        <v>3.5294117647058823E-2</v>
      </c>
    </row>
    <row r="110" spans="1:12">
      <c r="A110">
        <f>data0!A110</f>
        <v>108</v>
      </c>
      <c r="B110">
        <f>MIN(1,dataScale*data0!B110)</f>
        <v>0</v>
      </c>
      <c r="C110">
        <f>MIN(1,dataScale*data0!C110)</f>
        <v>3.1372549019607843E-2</v>
      </c>
      <c r="D110">
        <f>MIN(1,dataScale*data0!D110)</f>
        <v>2.3529411764705882E-2</v>
      </c>
      <c r="E110">
        <f>MIN(1,dataScale*data0!E110)</f>
        <v>2.3529411764705882E-2</v>
      </c>
      <c r="F110">
        <f>MIN(1,dataScale*data0!F110)</f>
        <v>3.1372549019607843E-2</v>
      </c>
      <c r="G110">
        <f>MIN(1,dataScale*data0!G110)</f>
        <v>3.1372549019607843E-2</v>
      </c>
      <c r="H110">
        <f>MIN(1,dataScale*data0!H110)</f>
        <v>3.5294117647058823E-2</v>
      </c>
      <c r="I110">
        <f>MIN(1,dataScale*data0!I110)</f>
        <v>3.5294117647058823E-2</v>
      </c>
      <c r="J110">
        <f>MIN(1,dataScale*data0!J110)</f>
        <v>3.1372549019607843E-2</v>
      </c>
      <c r="K110">
        <f>MIN(1,dataScale*data0!K110)</f>
        <v>2.7450980392156862E-2</v>
      </c>
      <c r="L110">
        <f>MIN(1,dataScale*data0!L110)</f>
        <v>3.1372549019607843E-2</v>
      </c>
    </row>
    <row r="111" spans="1:12">
      <c r="A111">
        <f>data0!A111</f>
        <v>109</v>
      </c>
      <c r="B111">
        <f>MIN(1,dataScale*data0!B111)</f>
        <v>0</v>
      </c>
      <c r="C111">
        <f>MIN(1,dataScale*data0!C111)</f>
        <v>3.1372549019607843E-2</v>
      </c>
      <c r="D111">
        <f>MIN(1,dataScale*data0!D111)</f>
        <v>2.7450980392156862E-2</v>
      </c>
      <c r="E111">
        <f>MIN(1,dataScale*data0!E111)</f>
        <v>2.3529411764705882E-2</v>
      </c>
      <c r="F111">
        <f>MIN(1,dataScale*data0!F111)</f>
        <v>3.1372549019607843E-2</v>
      </c>
      <c r="G111">
        <f>MIN(1,dataScale*data0!G111)</f>
        <v>3.1372549019607843E-2</v>
      </c>
      <c r="H111">
        <f>MIN(1,dataScale*data0!H111)</f>
        <v>3.5294117647058823E-2</v>
      </c>
      <c r="I111">
        <f>MIN(1,dataScale*data0!I111)</f>
        <v>3.1372549019607843E-2</v>
      </c>
      <c r="J111">
        <f>MIN(1,dataScale*data0!J111)</f>
        <v>2.7450980392156862E-2</v>
      </c>
      <c r="K111">
        <f>MIN(1,dataScale*data0!K111)</f>
        <v>2.7450980392156862E-2</v>
      </c>
      <c r="L111">
        <f>MIN(1,dataScale*data0!L111)</f>
        <v>3.1372549019607843E-2</v>
      </c>
    </row>
    <row r="112" spans="1:12">
      <c r="A112">
        <f>data0!A112</f>
        <v>110</v>
      </c>
      <c r="B112">
        <f>MIN(1,dataScale*data0!B112)</f>
        <v>0</v>
      </c>
      <c r="C112">
        <f>MIN(1,dataScale*data0!C112)</f>
        <v>3.1372549019607843E-2</v>
      </c>
      <c r="D112">
        <f>MIN(1,dataScale*data0!D112)</f>
        <v>2.3529411764705882E-2</v>
      </c>
      <c r="E112">
        <f>MIN(1,dataScale*data0!E112)</f>
        <v>2.3529411764705882E-2</v>
      </c>
      <c r="F112">
        <f>MIN(1,dataScale*data0!F112)</f>
        <v>3.1372549019607843E-2</v>
      </c>
      <c r="G112">
        <f>MIN(1,dataScale*data0!G112)</f>
        <v>3.1372549019607843E-2</v>
      </c>
      <c r="H112">
        <f>MIN(1,dataScale*data0!H112)</f>
        <v>3.1372549019607843E-2</v>
      </c>
      <c r="I112">
        <f>MIN(1,dataScale*data0!I112)</f>
        <v>3.1372549019607843E-2</v>
      </c>
      <c r="J112">
        <f>MIN(1,dataScale*data0!J112)</f>
        <v>2.7450980392156862E-2</v>
      </c>
      <c r="K112">
        <f>MIN(1,dataScale*data0!K112)</f>
        <v>2.7450980392156862E-2</v>
      </c>
      <c r="L112">
        <f>MIN(1,dataScale*data0!L112)</f>
        <v>3.1372549019607843E-2</v>
      </c>
    </row>
    <row r="113" spans="1:12">
      <c r="A113">
        <f>data0!A113</f>
        <v>111</v>
      </c>
      <c r="B113">
        <f>MIN(1,dataScale*data0!B113)</f>
        <v>0</v>
      </c>
      <c r="C113">
        <f>MIN(1,dataScale*data0!C113)</f>
        <v>2.7450980392156862E-2</v>
      </c>
      <c r="D113">
        <f>MIN(1,dataScale*data0!D113)</f>
        <v>2.7450980392156862E-2</v>
      </c>
      <c r="E113">
        <f>MIN(1,dataScale*data0!E113)</f>
        <v>2.3529411764705882E-2</v>
      </c>
      <c r="F113">
        <f>MIN(1,dataScale*data0!F113)</f>
        <v>3.1372549019607843E-2</v>
      </c>
      <c r="G113">
        <f>MIN(1,dataScale*data0!G113)</f>
        <v>3.1372549019607843E-2</v>
      </c>
      <c r="H113">
        <f>MIN(1,dataScale*data0!H113)</f>
        <v>3.1372549019607843E-2</v>
      </c>
      <c r="I113">
        <f>MIN(1,dataScale*data0!I113)</f>
        <v>3.1372549019607843E-2</v>
      </c>
      <c r="J113">
        <f>MIN(1,dataScale*data0!J113)</f>
        <v>2.7450980392156862E-2</v>
      </c>
      <c r="K113">
        <f>MIN(1,dataScale*data0!K113)</f>
        <v>2.7450980392156862E-2</v>
      </c>
      <c r="L113">
        <f>MIN(1,dataScale*data0!L113)</f>
        <v>3.1372549019607843E-2</v>
      </c>
    </row>
    <row r="114" spans="1:12">
      <c r="A114">
        <f>data0!A114</f>
        <v>112</v>
      </c>
      <c r="B114">
        <f>MIN(1,dataScale*data0!B114)</f>
        <v>0</v>
      </c>
      <c r="C114">
        <f>MIN(1,dataScale*data0!C114)</f>
        <v>2.7450980392156862E-2</v>
      </c>
      <c r="D114">
        <f>MIN(1,dataScale*data0!D114)</f>
        <v>2.7450980392156862E-2</v>
      </c>
      <c r="E114">
        <f>MIN(1,dataScale*data0!E114)</f>
        <v>2.3529411764705882E-2</v>
      </c>
      <c r="F114">
        <f>MIN(1,dataScale*data0!F114)</f>
        <v>3.1372549019607843E-2</v>
      </c>
      <c r="G114">
        <f>MIN(1,dataScale*data0!G114)</f>
        <v>2.7450980392156862E-2</v>
      </c>
      <c r="H114">
        <f>MIN(1,dataScale*data0!H114)</f>
        <v>3.1372549019607843E-2</v>
      </c>
      <c r="I114">
        <f>MIN(1,dataScale*data0!I114)</f>
        <v>3.1372549019607843E-2</v>
      </c>
      <c r="J114">
        <f>MIN(1,dataScale*data0!J114)</f>
        <v>2.7450980392156862E-2</v>
      </c>
      <c r="K114">
        <f>MIN(1,dataScale*data0!K114)</f>
        <v>2.3529411764705882E-2</v>
      </c>
      <c r="L114">
        <f>MIN(1,dataScale*data0!L114)</f>
        <v>2.7450980392156862E-2</v>
      </c>
    </row>
    <row r="115" spans="1:12">
      <c r="A115">
        <f>data0!A115</f>
        <v>113</v>
      </c>
      <c r="B115">
        <f>MIN(1,dataScale*data0!B115)</f>
        <v>0</v>
      </c>
      <c r="C115">
        <f>MIN(1,dataScale*data0!C115)</f>
        <v>3.1372549019607843E-2</v>
      </c>
      <c r="D115">
        <f>MIN(1,dataScale*data0!D115)</f>
        <v>2.3529411764705882E-2</v>
      </c>
      <c r="E115">
        <f>MIN(1,dataScale*data0!E115)</f>
        <v>2.3529411764705882E-2</v>
      </c>
      <c r="F115">
        <f>MIN(1,dataScale*data0!F115)</f>
        <v>2.7450980392156862E-2</v>
      </c>
      <c r="G115">
        <f>MIN(1,dataScale*data0!G115)</f>
        <v>2.7450980392156862E-2</v>
      </c>
      <c r="H115">
        <f>MIN(1,dataScale*data0!H115)</f>
        <v>3.1372549019607843E-2</v>
      </c>
      <c r="I115">
        <f>MIN(1,dataScale*data0!I115)</f>
        <v>3.1372549019607843E-2</v>
      </c>
      <c r="J115">
        <f>MIN(1,dataScale*data0!J115)</f>
        <v>2.7450980392156862E-2</v>
      </c>
      <c r="K115">
        <f>MIN(1,dataScale*data0!K115)</f>
        <v>2.3529411764705882E-2</v>
      </c>
      <c r="L115">
        <f>MIN(1,dataScale*data0!L115)</f>
        <v>2.7450980392156862E-2</v>
      </c>
    </row>
    <row r="116" spans="1:12">
      <c r="A116">
        <f>data0!A116</f>
        <v>114</v>
      </c>
      <c r="B116">
        <f>MIN(1,dataScale*data0!B116)</f>
        <v>0</v>
      </c>
      <c r="C116">
        <f>MIN(1,dataScale*data0!C116)</f>
        <v>2.7450980392156862E-2</v>
      </c>
      <c r="D116">
        <f>MIN(1,dataScale*data0!D116)</f>
        <v>2.3529411764705882E-2</v>
      </c>
      <c r="E116">
        <f>MIN(1,dataScale*data0!E116)</f>
        <v>2.3529411764705882E-2</v>
      </c>
      <c r="F116">
        <f>MIN(1,dataScale*data0!F116)</f>
        <v>2.7450980392156862E-2</v>
      </c>
      <c r="G116">
        <f>MIN(1,dataScale*data0!G116)</f>
        <v>2.7450980392156862E-2</v>
      </c>
      <c r="H116">
        <f>MIN(1,dataScale*data0!H116)</f>
        <v>3.1372549019607843E-2</v>
      </c>
      <c r="I116">
        <f>MIN(1,dataScale*data0!I116)</f>
        <v>2.3529411764705882E-2</v>
      </c>
      <c r="J116">
        <f>MIN(1,dataScale*data0!J116)</f>
        <v>2.3529411764705882E-2</v>
      </c>
      <c r="K116">
        <f>MIN(1,dataScale*data0!K116)</f>
        <v>2.3529411764705882E-2</v>
      </c>
      <c r="L116">
        <f>MIN(1,dataScale*data0!L116)</f>
        <v>2.7450980392156862E-2</v>
      </c>
    </row>
    <row r="117" spans="1:12">
      <c r="A117">
        <f>data0!A117</f>
        <v>115</v>
      </c>
      <c r="B117">
        <f>MIN(1,dataScale*data0!B117)</f>
        <v>0</v>
      </c>
      <c r="C117">
        <f>MIN(1,dataScale*data0!C117)</f>
        <v>2.7450980392156862E-2</v>
      </c>
      <c r="D117">
        <f>MIN(1,dataScale*data0!D117)</f>
        <v>2.3529411764705882E-2</v>
      </c>
      <c r="E117">
        <f>MIN(1,dataScale*data0!E117)</f>
        <v>1.9607843137254902E-2</v>
      </c>
      <c r="F117">
        <f>MIN(1,dataScale*data0!F117)</f>
        <v>2.7450980392156862E-2</v>
      </c>
      <c r="G117">
        <f>MIN(1,dataScale*data0!G117)</f>
        <v>2.7450980392156862E-2</v>
      </c>
      <c r="H117">
        <f>MIN(1,dataScale*data0!H117)</f>
        <v>3.1372549019607843E-2</v>
      </c>
      <c r="I117">
        <f>MIN(1,dataScale*data0!I117)</f>
        <v>2.7450980392156862E-2</v>
      </c>
      <c r="J117">
        <f>MIN(1,dataScale*data0!J117)</f>
        <v>2.3529411764705882E-2</v>
      </c>
      <c r="K117">
        <f>MIN(1,dataScale*data0!K117)</f>
        <v>2.3529411764705882E-2</v>
      </c>
      <c r="L117">
        <f>MIN(1,dataScale*data0!L117)</f>
        <v>2.7450980392156862E-2</v>
      </c>
    </row>
    <row r="118" spans="1:12">
      <c r="A118">
        <f>data0!A118</f>
        <v>116</v>
      </c>
      <c r="B118">
        <f>MIN(1,dataScale*data0!B118)</f>
        <v>0</v>
      </c>
      <c r="C118">
        <f>MIN(1,dataScale*data0!C118)</f>
        <v>2.7450980392156862E-2</v>
      </c>
      <c r="D118">
        <f>MIN(1,dataScale*data0!D118)</f>
        <v>2.3529411764705882E-2</v>
      </c>
      <c r="E118">
        <f>MIN(1,dataScale*data0!E118)</f>
        <v>1.9607843137254902E-2</v>
      </c>
      <c r="F118">
        <f>MIN(1,dataScale*data0!F118)</f>
        <v>2.7450980392156862E-2</v>
      </c>
      <c r="G118">
        <f>MIN(1,dataScale*data0!G118)</f>
        <v>2.7450980392156862E-2</v>
      </c>
      <c r="H118">
        <f>MIN(1,dataScale*data0!H118)</f>
        <v>2.7450980392156862E-2</v>
      </c>
      <c r="I118">
        <f>MIN(1,dataScale*data0!I118)</f>
        <v>2.7450980392156862E-2</v>
      </c>
      <c r="J118">
        <f>MIN(1,dataScale*data0!J118)</f>
        <v>2.3529411764705882E-2</v>
      </c>
      <c r="K118">
        <f>MIN(1,dataScale*data0!K118)</f>
        <v>2.3529411764705882E-2</v>
      </c>
      <c r="L118">
        <f>MIN(1,dataScale*data0!L118)</f>
        <v>2.7450980392156862E-2</v>
      </c>
    </row>
    <row r="119" spans="1:12">
      <c r="A119">
        <f>data0!A119</f>
        <v>117</v>
      </c>
      <c r="B119">
        <f>MIN(1,dataScale*data0!B119)</f>
        <v>0</v>
      </c>
      <c r="C119">
        <f>MIN(1,dataScale*data0!C119)</f>
        <v>2.3529411764705882E-2</v>
      </c>
      <c r="D119">
        <f>MIN(1,dataScale*data0!D119)</f>
        <v>1.9607843137254902E-2</v>
      </c>
      <c r="E119">
        <f>MIN(1,dataScale*data0!E119)</f>
        <v>1.9607843137254902E-2</v>
      </c>
      <c r="F119">
        <f>MIN(1,dataScale*data0!F119)</f>
        <v>2.7450980392156862E-2</v>
      </c>
      <c r="G119">
        <f>MIN(1,dataScale*data0!G119)</f>
        <v>2.3529411764705882E-2</v>
      </c>
      <c r="H119">
        <f>MIN(1,dataScale*data0!H119)</f>
        <v>2.7450980392156862E-2</v>
      </c>
      <c r="I119">
        <f>MIN(1,dataScale*data0!I119)</f>
        <v>2.7450980392156862E-2</v>
      </c>
      <c r="J119">
        <f>MIN(1,dataScale*data0!J119)</f>
        <v>2.3529411764705882E-2</v>
      </c>
      <c r="K119">
        <f>MIN(1,dataScale*data0!K119)</f>
        <v>1.9607843137254902E-2</v>
      </c>
      <c r="L119">
        <f>MIN(1,dataScale*data0!L119)</f>
        <v>2.7450980392156862E-2</v>
      </c>
    </row>
    <row r="120" spans="1:12">
      <c r="A120">
        <f>data0!A120</f>
        <v>118</v>
      </c>
      <c r="B120">
        <f>MIN(1,dataScale*data0!B120)</f>
        <v>0</v>
      </c>
      <c r="C120">
        <f>MIN(1,dataScale*data0!C120)</f>
        <v>2.3529411764705882E-2</v>
      </c>
      <c r="D120">
        <f>MIN(1,dataScale*data0!D120)</f>
        <v>1.9607843137254902E-2</v>
      </c>
      <c r="E120">
        <f>MIN(1,dataScale*data0!E120)</f>
        <v>1.9607843137254902E-2</v>
      </c>
      <c r="F120">
        <f>MIN(1,dataScale*data0!F120)</f>
        <v>2.3529411764705882E-2</v>
      </c>
      <c r="G120">
        <f>MIN(1,dataScale*data0!G120)</f>
        <v>2.3529411764705882E-2</v>
      </c>
      <c r="H120">
        <f>MIN(1,dataScale*data0!H120)</f>
        <v>2.7450980392156862E-2</v>
      </c>
      <c r="I120">
        <f>MIN(1,dataScale*data0!I120)</f>
        <v>2.7450980392156862E-2</v>
      </c>
      <c r="J120">
        <f>MIN(1,dataScale*data0!J120)</f>
        <v>2.3529411764705882E-2</v>
      </c>
      <c r="K120">
        <f>MIN(1,dataScale*data0!K120)</f>
        <v>2.3529411764705882E-2</v>
      </c>
      <c r="L120">
        <f>MIN(1,dataScale*data0!L120)</f>
        <v>2.3529411764705882E-2</v>
      </c>
    </row>
    <row r="121" spans="1:12">
      <c r="A121">
        <f>data0!A121</f>
        <v>119</v>
      </c>
      <c r="B121">
        <f>MIN(1,dataScale*data0!B121)</f>
        <v>0</v>
      </c>
      <c r="C121">
        <f>MIN(1,dataScale*data0!C121)</f>
        <v>2.3529411764705882E-2</v>
      </c>
      <c r="D121">
        <f>MIN(1,dataScale*data0!D121)</f>
        <v>2.7450980392156862E-2</v>
      </c>
      <c r="E121">
        <f>MIN(1,dataScale*data0!E121)</f>
        <v>1.9607843137254902E-2</v>
      </c>
      <c r="F121">
        <f>MIN(1,dataScale*data0!F121)</f>
        <v>2.7450980392156862E-2</v>
      </c>
      <c r="G121">
        <f>MIN(1,dataScale*data0!G121)</f>
        <v>2.3529411764705882E-2</v>
      </c>
      <c r="H121">
        <f>MIN(1,dataScale*data0!H121)</f>
        <v>2.7450980392156862E-2</v>
      </c>
      <c r="I121">
        <f>MIN(1,dataScale*data0!I121)</f>
        <v>2.7450980392156862E-2</v>
      </c>
      <c r="J121">
        <f>MIN(1,dataScale*data0!J121)</f>
        <v>2.3529411764705882E-2</v>
      </c>
      <c r="K121">
        <f>MIN(1,dataScale*data0!K121)</f>
        <v>1.9607843137254902E-2</v>
      </c>
      <c r="L121">
        <f>MIN(1,dataScale*data0!L121)</f>
        <v>2.3529411764705882E-2</v>
      </c>
    </row>
    <row r="122" spans="1:12">
      <c r="A122">
        <f>data0!A122</f>
        <v>120</v>
      </c>
      <c r="B122">
        <f>MIN(1,dataScale*data0!B122)</f>
        <v>0</v>
      </c>
      <c r="C122">
        <f>MIN(1,dataScale*data0!C122)</f>
        <v>2.3529411764705882E-2</v>
      </c>
      <c r="D122">
        <f>MIN(1,dataScale*data0!D122)</f>
        <v>1.5686274509803921E-2</v>
      </c>
      <c r="E122">
        <f>MIN(1,dataScale*data0!E122)</f>
        <v>1.9607843137254902E-2</v>
      </c>
      <c r="F122">
        <f>MIN(1,dataScale*data0!F122)</f>
        <v>2.3529411764705882E-2</v>
      </c>
      <c r="G122">
        <f>MIN(1,dataScale*data0!G122)</f>
        <v>2.3529411764705882E-2</v>
      </c>
      <c r="H122">
        <f>MIN(1,dataScale*data0!H122)</f>
        <v>2.7450980392156862E-2</v>
      </c>
      <c r="I122">
        <f>MIN(1,dataScale*data0!I122)</f>
        <v>2.7450980392156862E-2</v>
      </c>
      <c r="J122">
        <f>MIN(1,dataScale*data0!J122)</f>
        <v>1.9607843137254902E-2</v>
      </c>
      <c r="K122">
        <f>MIN(1,dataScale*data0!K122)</f>
        <v>1.9607843137254902E-2</v>
      </c>
      <c r="L122">
        <f>MIN(1,dataScale*data0!L122)</f>
        <v>2.3529411764705882E-2</v>
      </c>
    </row>
    <row r="123" spans="1:12">
      <c r="A123">
        <f>data0!A123</f>
        <v>121</v>
      </c>
      <c r="B123">
        <f>MIN(1,dataScale*data0!B123)</f>
        <v>0</v>
      </c>
      <c r="C123">
        <f>MIN(1,dataScale*data0!C123)</f>
        <v>2.3529411764705882E-2</v>
      </c>
      <c r="D123">
        <f>MIN(1,dataScale*data0!D123)</f>
        <v>1.5686274509803921E-2</v>
      </c>
      <c r="E123">
        <f>MIN(1,dataScale*data0!E123)</f>
        <v>1.9607843137254902E-2</v>
      </c>
      <c r="F123">
        <f>MIN(1,dataScale*data0!F123)</f>
        <v>1.9607843137254902E-2</v>
      </c>
      <c r="G123">
        <f>MIN(1,dataScale*data0!G123)</f>
        <v>2.3529411764705882E-2</v>
      </c>
      <c r="H123">
        <f>MIN(1,dataScale*data0!H123)</f>
        <v>2.7450980392156862E-2</v>
      </c>
      <c r="I123">
        <f>MIN(1,dataScale*data0!I123)</f>
        <v>2.3529411764705882E-2</v>
      </c>
      <c r="J123">
        <f>MIN(1,dataScale*data0!J123)</f>
        <v>1.9607843137254902E-2</v>
      </c>
      <c r="K123">
        <f>MIN(1,dataScale*data0!K123)</f>
        <v>1.9607843137254902E-2</v>
      </c>
      <c r="L123">
        <f>MIN(1,dataScale*data0!L123)</f>
        <v>2.3529411764705882E-2</v>
      </c>
    </row>
    <row r="124" spans="1:12">
      <c r="A124">
        <f>data0!A124</f>
        <v>122</v>
      </c>
      <c r="B124">
        <f>MIN(1,dataScale*data0!B124)</f>
        <v>0</v>
      </c>
      <c r="C124">
        <f>MIN(1,dataScale*data0!C124)</f>
        <v>1.9607843137254902E-2</v>
      </c>
      <c r="D124">
        <f>MIN(1,dataScale*data0!D124)</f>
        <v>1.9607843137254902E-2</v>
      </c>
      <c r="E124">
        <f>MIN(1,dataScale*data0!E124)</f>
        <v>1.5686274509803921E-2</v>
      </c>
      <c r="F124">
        <f>MIN(1,dataScale*data0!F124)</f>
        <v>1.9607843137254902E-2</v>
      </c>
      <c r="G124">
        <f>MIN(1,dataScale*data0!G124)</f>
        <v>1.9607843137254902E-2</v>
      </c>
      <c r="H124">
        <f>MIN(1,dataScale*data0!H124)</f>
        <v>2.3529411764705882E-2</v>
      </c>
      <c r="I124">
        <f>MIN(1,dataScale*data0!I124)</f>
        <v>2.3529411764705882E-2</v>
      </c>
      <c r="J124">
        <f>MIN(1,dataScale*data0!J124)</f>
        <v>1.9607843137254902E-2</v>
      </c>
      <c r="K124">
        <f>MIN(1,dataScale*data0!K124)</f>
        <v>1.9607843137254902E-2</v>
      </c>
      <c r="L124">
        <f>MIN(1,dataScale*data0!L124)</f>
        <v>2.3529411764705882E-2</v>
      </c>
    </row>
    <row r="125" spans="1:12">
      <c r="A125">
        <f>data0!A125</f>
        <v>123</v>
      </c>
      <c r="B125">
        <f>MIN(1,dataScale*data0!B125)</f>
        <v>0</v>
      </c>
      <c r="C125">
        <f>MIN(1,dataScale*data0!C125)</f>
        <v>1.9607843137254902E-2</v>
      </c>
      <c r="D125">
        <f>MIN(1,dataScale*data0!D125)</f>
        <v>1.5686274509803921E-2</v>
      </c>
      <c r="E125">
        <f>MIN(1,dataScale*data0!E125)</f>
        <v>1.9607843137254902E-2</v>
      </c>
      <c r="F125">
        <f>MIN(1,dataScale*data0!F125)</f>
        <v>1.9607843137254902E-2</v>
      </c>
      <c r="G125">
        <f>MIN(1,dataScale*data0!G125)</f>
        <v>2.3529411764705882E-2</v>
      </c>
      <c r="H125">
        <f>MIN(1,dataScale*data0!H125)</f>
        <v>2.3529411764705882E-2</v>
      </c>
      <c r="I125">
        <f>MIN(1,dataScale*data0!I125)</f>
        <v>2.3529411764705882E-2</v>
      </c>
      <c r="J125">
        <f>MIN(1,dataScale*data0!J125)</f>
        <v>1.9607843137254902E-2</v>
      </c>
      <c r="K125">
        <f>MIN(1,dataScale*data0!K125)</f>
        <v>1.5686274509803921E-2</v>
      </c>
      <c r="L125">
        <f>MIN(1,dataScale*data0!L125)</f>
        <v>2.3529411764705882E-2</v>
      </c>
    </row>
    <row r="126" spans="1:12">
      <c r="A126">
        <f>data0!A126</f>
        <v>124</v>
      </c>
      <c r="B126">
        <f>MIN(1,dataScale*data0!B126)</f>
        <v>0</v>
      </c>
      <c r="C126">
        <f>MIN(1,dataScale*data0!C126)</f>
        <v>1.9607843137254902E-2</v>
      </c>
      <c r="D126">
        <f>MIN(1,dataScale*data0!D126)</f>
        <v>1.9607843137254902E-2</v>
      </c>
      <c r="E126">
        <f>MIN(1,dataScale*data0!E126)</f>
        <v>1.5686274509803921E-2</v>
      </c>
      <c r="F126">
        <f>MIN(1,dataScale*data0!F126)</f>
        <v>2.3529411764705882E-2</v>
      </c>
      <c r="G126">
        <f>MIN(1,dataScale*data0!G126)</f>
        <v>1.9607843137254902E-2</v>
      </c>
      <c r="H126">
        <f>MIN(1,dataScale*data0!H126)</f>
        <v>2.3529411764705882E-2</v>
      </c>
      <c r="I126">
        <f>MIN(1,dataScale*data0!I126)</f>
        <v>2.3529411764705882E-2</v>
      </c>
      <c r="J126">
        <f>MIN(1,dataScale*data0!J126)</f>
        <v>1.9607843137254902E-2</v>
      </c>
      <c r="K126">
        <f>MIN(1,dataScale*data0!K126)</f>
        <v>1.9607843137254902E-2</v>
      </c>
      <c r="L126">
        <f>MIN(1,dataScale*data0!L126)</f>
        <v>2.3529411764705882E-2</v>
      </c>
    </row>
    <row r="127" spans="1:12">
      <c r="A127">
        <f>data0!A127</f>
        <v>125</v>
      </c>
      <c r="B127">
        <f>MIN(1,dataScale*data0!B127)</f>
        <v>0</v>
      </c>
      <c r="C127">
        <f>MIN(1,dataScale*data0!C127)</f>
        <v>1.9607843137254902E-2</v>
      </c>
      <c r="D127">
        <f>MIN(1,dataScale*data0!D127)</f>
        <v>1.9607843137254902E-2</v>
      </c>
      <c r="E127">
        <f>MIN(1,dataScale*data0!E127)</f>
        <v>1.5686274509803921E-2</v>
      </c>
      <c r="F127">
        <f>MIN(1,dataScale*data0!F127)</f>
        <v>1.9607843137254902E-2</v>
      </c>
      <c r="G127">
        <f>MIN(1,dataScale*data0!G127)</f>
        <v>1.9607843137254902E-2</v>
      </c>
      <c r="H127">
        <f>MIN(1,dataScale*data0!H127)</f>
        <v>2.3529411764705882E-2</v>
      </c>
      <c r="I127">
        <f>MIN(1,dataScale*data0!I127)</f>
        <v>2.3529411764705882E-2</v>
      </c>
      <c r="J127">
        <f>MIN(1,dataScale*data0!J127)</f>
        <v>1.9607843137254902E-2</v>
      </c>
      <c r="K127">
        <f>MIN(1,dataScale*data0!K127)</f>
        <v>1.9607843137254902E-2</v>
      </c>
      <c r="L127">
        <f>MIN(1,dataScale*data0!L127)</f>
        <v>2.3529411764705882E-2</v>
      </c>
    </row>
    <row r="128" spans="1:12">
      <c r="A128">
        <f>data0!A128</f>
        <v>126</v>
      </c>
      <c r="B128">
        <f>MIN(1,dataScale*data0!B128)</f>
        <v>0</v>
      </c>
      <c r="C128">
        <f>MIN(1,dataScale*data0!C128)</f>
        <v>1.9607843137254902E-2</v>
      </c>
      <c r="D128">
        <f>MIN(1,dataScale*data0!D128)</f>
        <v>2.3529411764705882E-2</v>
      </c>
      <c r="E128">
        <f>MIN(1,dataScale*data0!E128)</f>
        <v>1.5686274509803921E-2</v>
      </c>
      <c r="F128">
        <f>MIN(1,dataScale*data0!F128)</f>
        <v>2.3529411764705882E-2</v>
      </c>
      <c r="G128">
        <f>MIN(1,dataScale*data0!G128)</f>
        <v>1.9607843137254902E-2</v>
      </c>
      <c r="H128">
        <f>MIN(1,dataScale*data0!H128)</f>
        <v>1.9607843137254902E-2</v>
      </c>
      <c r="I128">
        <f>MIN(1,dataScale*data0!I128)</f>
        <v>2.3529411764705882E-2</v>
      </c>
      <c r="J128">
        <f>MIN(1,dataScale*data0!J128)</f>
        <v>1.5686274509803921E-2</v>
      </c>
      <c r="K128">
        <f>MIN(1,dataScale*data0!K128)</f>
        <v>1.9607843137254902E-2</v>
      </c>
      <c r="L128">
        <f>MIN(1,dataScale*data0!L128)</f>
        <v>2.3529411764705882E-2</v>
      </c>
    </row>
    <row r="129" spans="1:12">
      <c r="A129">
        <f>data0!A129</f>
        <v>127</v>
      </c>
      <c r="B129">
        <f>MIN(1,dataScale*data0!B129)</f>
        <v>0</v>
      </c>
      <c r="C129">
        <f>MIN(1,dataScale*data0!C129)</f>
        <v>1.9607843137254902E-2</v>
      </c>
      <c r="D129">
        <f>MIN(1,dataScale*data0!D129)</f>
        <v>1.9607843137254902E-2</v>
      </c>
      <c r="E129">
        <f>MIN(1,dataScale*data0!E129)</f>
        <v>1.5686274509803921E-2</v>
      </c>
      <c r="F129">
        <f>MIN(1,dataScale*data0!F129)</f>
        <v>2.3529411764705882E-2</v>
      </c>
      <c r="G129">
        <f>MIN(1,dataScale*data0!G129)</f>
        <v>1.9607843137254902E-2</v>
      </c>
      <c r="H129">
        <f>MIN(1,dataScale*data0!H129)</f>
        <v>2.3529411764705882E-2</v>
      </c>
      <c r="I129">
        <f>MIN(1,dataScale*data0!I129)</f>
        <v>2.3529411764705882E-2</v>
      </c>
      <c r="J129">
        <f>MIN(1,dataScale*data0!J129)</f>
        <v>1.9607843137254902E-2</v>
      </c>
      <c r="K129">
        <f>MIN(1,dataScale*data0!K129)</f>
        <v>1.9607843137254902E-2</v>
      </c>
      <c r="L129">
        <f>MIN(1,dataScale*data0!L129)</f>
        <v>2.3529411764705882E-2</v>
      </c>
    </row>
    <row r="130" spans="1:12">
      <c r="A130">
        <f>data0!A130</f>
        <v>128</v>
      </c>
      <c r="B130">
        <f>MIN(1,dataScale*data0!B130)</f>
        <v>0</v>
      </c>
      <c r="C130">
        <f>MIN(1,dataScale*data0!C130)</f>
        <v>1.9607843137254902E-2</v>
      </c>
      <c r="D130">
        <f>MIN(1,dataScale*data0!D130)</f>
        <v>1.5686274509803921E-2</v>
      </c>
      <c r="E130">
        <f>MIN(1,dataScale*data0!E130)</f>
        <v>1.5686274509803921E-2</v>
      </c>
      <c r="F130">
        <f>MIN(1,dataScale*data0!F130)</f>
        <v>1.9607843137254902E-2</v>
      </c>
      <c r="G130">
        <f>MIN(1,dataScale*data0!G130)</f>
        <v>1.9607843137254902E-2</v>
      </c>
      <c r="H130">
        <f>MIN(1,dataScale*data0!H130)</f>
        <v>1.9607843137254902E-2</v>
      </c>
      <c r="I130">
        <f>MIN(1,dataScale*data0!I130)</f>
        <v>2.3529411764705882E-2</v>
      </c>
      <c r="J130">
        <f>MIN(1,dataScale*data0!J130)</f>
        <v>1.9607843137254902E-2</v>
      </c>
      <c r="K130">
        <f>MIN(1,dataScale*data0!K130)</f>
        <v>1.5686274509803921E-2</v>
      </c>
      <c r="L130">
        <f>MIN(1,dataScale*data0!L130)</f>
        <v>1.9607843137254902E-2</v>
      </c>
    </row>
    <row r="131" spans="1:12">
      <c r="A131">
        <f>data0!A131</f>
        <v>129</v>
      </c>
      <c r="B131">
        <f>MIN(1,dataScale*data0!B131)</f>
        <v>0</v>
      </c>
      <c r="C131">
        <f>MIN(1,dataScale*data0!C131)</f>
        <v>1.5686274509803921E-2</v>
      </c>
      <c r="D131">
        <f>MIN(1,dataScale*data0!D131)</f>
        <v>1.5686274509803921E-2</v>
      </c>
      <c r="E131">
        <f>MIN(1,dataScale*data0!E131)</f>
        <v>1.5686274509803921E-2</v>
      </c>
      <c r="F131">
        <f>MIN(1,dataScale*data0!F131)</f>
        <v>1.9607843137254902E-2</v>
      </c>
      <c r="G131">
        <f>MIN(1,dataScale*data0!G131)</f>
        <v>1.9607843137254902E-2</v>
      </c>
      <c r="H131">
        <f>MIN(1,dataScale*data0!H131)</f>
        <v>2.3529411764705882E-2</v>
      </c>
      <c r="I131">
        <f>MIN(1,dataScale*data0!I131)</f>
        <v>1.9607843137254902E-2</v>
      </c>
      <c r="J131">
        <f>MIN(1,dataScale*data0!J131)</f>
        <v>1.5686274509803921E-2</v>
      </c>
      <c r="K131">
        <f>MIN(1,dataScale*data0!K131)</f>
        <v>1.5686274509803921E-2</v>
      </c>
      <c r="L131">
        <f>MIN(1,dataScale*data0!L131)</f>
        <v>1.9607843137254902E-2</v>
      </c>
    </row>
    <row r="132" spans="1:12">
      <c r="A132">
        <f>data0!A132</f>
        <v>130</v>
      </c>
      <c r="B132">
        <f>MIN(1,dataScale*data0!B132)</f>
        <v>0</v>
      </c>
      <c r="C132">
        <f>MIN(1,dataScale*data0!C132)</f>
        <v>1.5686274509803921E-2</v>
      </c>
      <c r="D132">
        <f>MIN(1,dataScale*data0!D132)</f>
        <v>1.5686274509803921E-2</v>
      </c>
      <c r="E132">
        <f>MIN(1,dataScale*data0!E132)</f>
        <v>1.5686274509803921E-2</v>
      </c>
      <c r="F132">
        <f>MIN(1,dataScale*data0!F132)</f>
        <v>1.5686274509803921E-2</v>
      </c>
      <c r="G132">
        <f>MIN(1,dataScale*data0!G132)</f>
        <v>1.9607843137254902E-2</v>
      </c>
      <c r="H132">
        <f>MIN(1,dataScale*data0!H132)</f>
        <v>1.9607843137254902E-2</v>
      </c>
      <c r="I132">
        <f>MIN(1,dataScale*data0!I132)</f>
        <v>1.9607843137254902E-2</v>
      </c>
      <c r="J132">
        <f>MIN(1,dataScale*data0!J132)</f>
        <v>1.5686274509803921E-2</v>
      </c>
      <c r="K132">
        <f>MIN(1,dataScale*data0!K132)</f>
        <v>1.9607843137254902E-2</v>
      </c>
      <c r="L132">
        <f>MIN(1,dataScale*data0!L132)</f>
        <v>1.9607843137254902E-2</v>
      </c>
    </row>
    <row r="133" spans="1:12">
      <c r="A133">
        <f>data0!A133</f>
        <v>131</v>
      </c>
      <c r="B133">
        <f>MIN(1,dataScale*data0!B133)</f>
        <v>0</v>
      </c>
      <c r="C133">
        <f>MIN(1,dataScale*data0!C133)</f>
        <v>1.5686274509803921E-2</v>
      </c>
      <c r="D133">
        <f>MIN(1,dataScale*data0!D133)</f>
        <v>1.5686274509803921E-2</v>
      </c>
      <c r="E133">
        <f>MIN(1,dataScale*data0!E133)</f>
        <v>1.1764705882352941E-2</v>
      </c>
      <c r="F133">
        <f>MIN(1,dataScale*data0!F133)</f>
        <v>1.9607843137254902E-2</v>
      </c>
      <c r="G133">
        <f>MIN(1,dataScale*data0!G133)</f>
        <v>1.5686274509803921E-2</v>
      </c>
      <c r="H133">
        <f>MIN(1,dataScale*data0!H133)</f>
        <v>1.9607843137254902E-2</v>
      </c>
      <c r="I133">
        <f>MIN(1,dataScale*data0!I133)</f>
        <v>1.9607843137254902E-2</v>
      </c>
      <c r="J133">
        <f>MIN(1,dataScale*data0!J133)</f>
        <v>1.5686274509803921E-2</v>
      </c>
      <c r="K133">
        <f>MIN(1,dataScale*data0!K133)</f>
        <v>1.5686274509803921E-2</v>
      </c>
      <c r="L133">
        <f>MIN(1,dataScale*data0!L133)</f>
        <v>1.9607843137254902E-2</v>
      </c>
    </row>
    <row r="134" spans="1:12">
      <c r="A134">
        <f>data0!A134</f>
        <v>132</v>
      </c>
      <c r="B134">
        <f>MIN(1,dataScale*data0!B134)</f>
        <v>0</v>
      </c>
      <c r="C134">
        <f>MIN(1,dataScale*data0!C134)</f>
        <v>1.5686274509803921E-2</v>
      </c>
      <c r="D134">
        <f>MIN(1,dataScale*data0!D134)</f>
        <v>1.5686274509803921E-2</v>
      </c>
      <c r="E134">
        <f>MIN(1,dataScale*data0!E134)</f>
        <v>1.1764705882352941E-2</v>
      </c>
      <c r="F134">
        <f>MIN(1,dataScale*data0!F134)</f>
        <v>1.9607843137254902E-2</v>
      </c>
      <c r="G134">
        <f>MIN(1,dataScale*data0!G134)</f>
        <v>1.5686274509803921E-2</v>
      </c>
      <c r="H134">
        <f>MIN(1,dataScale*data0!H134)</f>
        <v>1.9607843137254902E-2</v>
      </c>
      <c r="I134">
        <f>MIN(1,dataScale*data0!I134)</f>
        <v>1.9607843137254902E-2</v>
      </c>
      <c r="J134">
        <f>MIN(1,dataScale*data0!J134)</f>
        <v>1.5686274509803921E-2</v>
      </c>
      <c r="K134">
        <f>MIN(1,dataScale*data0!K134)</f>
        <v>1.5686274509803921E-2</v>
      </c>
      <c r="L134">
        <f>MIN(1,dataScale*data0!L134)</f>
        <v>1.9607843137254902E-2</v>
      </c>
    </row>
    <row r="135" spans="1:12">
      <c r="A135">
        <f>data0!A135</f>
        <v>133</v>
      </c>
      <c r="B135">
        <f>MIN(1,dataScale*data0!B135)</f>
        <v>0</v>
      </c>
      <c r="C135">
        <f>MIN(1,dataScale*data0!C135)</f>
        <v>1.5686274509803921E-2</v>
      </c>
      <c r="D135">
        <f>MIN(1,dataScale*data0!D135)</f>
        <v>1.1764705882352941E-2</v>
      </c>
      <c r="E135">
        <f>MIN(1,dataScale*data0!E135)</f>
        <v>1.1764705882352941E-2</v>
      </c>
      <c r="F135">
        <f>MIN(1,dataScale*data0!F135)</f>
        <v>1.9607843137254902E-2</v>
      </c>
      <c r="G135">
        <f>MIN(1,dataScale*data0!G135)</f>
        <v>1.5686274509803921E-2</v>
      </c>
      <c r="H135">
        <f>MIN(1,dataScale*data0!H135)</f>
        <v>1.9607843137254902E-2</v>
      </c>
      <c r="I135">
        <f>MIN(1,dataScale*data0!I135)</f>
        <v>1.9607843137254902E-2</v>
      </c>
      <c r="J135">
        <f>MIN(1,dataScale*data0!J135)</f>
        <v>1.5686274509803921E-2</v>
      </c>
      <c r="K135">
        <f>MIN(1,dataScale*data0!K135)</f>
        <v>1.5686274509803921E-2</v>
      </c>
      <c r="L135">
        <f>MIN(1,dataScale*data0!L135)</f>
        <v>1.9607843137254902E-2</v>
      </c>
    </row>
    <row r="136" spans="1:12">
      <c r="A136">
        <f>data0!A136</f>
        <v>134</v>
      </c>
      <c r="B136">
        <f>MIN(1,dataScale*data0!B136)</f>
        <v>0</v>
      </c>
      <c r="C136">
        <f>MIN(1,dataScale*data0!C136)</f>
        <v>1.1764705882352941E-2</v>
      </c>
      <c r="D136">
        <f>MIN(1,dataScale*data0!D136)</f>
        <v>1.5686274509803921E-2</v>
      </c>
      <c r="E136">
        <f>MIN(1,dataScale*data0!E136)</f>
        <v>1.1764705882352941E-2</v>
      </c>
      <c r="F136">
        <f>MIN(1,dataScale*data0!F136)</f>
        <v>1.9607843137254902E-2</v>
      </c>
      <c r="G136">
        <f>MIN(1,dataScale*data0!G136)</f>
        <v>1.5686274509803921E-2</v>
      </c>
      <c r="H136">
        <f>MIN(1,dataScale*data0!H136)</f>
        <v>1.9607843137254902E-2</v>
      </c>
      <c r="I136">
        <f>MIN(1,dataScale*data0!I136)</f>
        <v>1.9607843137254902E-2</v>
      </c>
      <c r="J136">
        <f>MIN(1,dataScale*data0!J136)</f>
        <v>1.5686274509803921E-2</v>
      </c>
      <c r="K136">
        <f>MIN(1,dataScale*data0!K136)</f>
        <v>1.5686274509803921E-2</v>
      </c>
      <c r="L136">
        <f>MIN(1,dataScale*data0!L136)</f>
        <v>1.9607843137254902E-2</v>
      </c>
    </row>
    <row r="137" spans="1:12">
      <c r="A137">
        <f>data0!A137</f>
        <v>135</v>
      </c>
      <c r="B137">
        <f>MIN(1,dataScale*data0!B137)</f>
        <v>0</v>
      </c>
      <c r="C137">
        <f>MIN(1,dataScale*data0!C137)</f>
        <v>1.5686274509803921E-2</v>
      </c>
      <c r="D137">
        <f>MIN(1,dataScale*data0!D137)</f>
        <v>1.1764705882352941E-2</v>
      </c>
      <c r="E137">
        <f>MIN(1,dataScale*data0!E137)</f>
        <v>1.1764705882352941E-2</v>
      </c>
      <c r="F137">
        <f>MIN(1,dataScale*data0!F137)</f>
        <v>1.5686274509803921E-2</v>
      </c>
      <c r="G137">
        <f>MIN(1,dataScale*data0!G137)</f>
        <v>1.5686274509803921E-2</v>
      </c>
      <c r="H137">
        <f>MIN(1,dataScale*data0!H137)</f>
        <v>1.9607843137254902E-2</v>
      </c>
      <c r="I137">
        <f>MIN(1,dataScale*data0!I137)</f>
        <v>1.9607843137254902E-2</v>
      </c>
      <c r="J137">
        <f>MIN(1,dataScale*data0!J137)</f>
        <v>1.5686274509803921E-2</v>
      </c>
      <c r="K137">
        <f>MIN(1,dataScale*data0!K137)</f>
        <v>1.5686274509803921E-2</v>
      </c>
      <c r="L137">
        <f>MIN(1,dataScale*data0!L137)</f>
        <v>1.5686274509803921E-2</v>
      </c>
    </row>
    <row r="138" spans="1:12">
      <c r="A138">
        <f>data0!A138</f>
        <v>136</v>
      </c>
      <c r="B138">
        <f>MIN(1,dataScale*data0!B138)</f>
        <v>0</v>
      </c>
      <c r="C138">
        <f>MIN(1,dataScale*data0!C138)</f>
        <v>1.5686274509803921E-2</v>
      </c>
      <c r="D138">
        <f>MIN(1,dataScale*data0!D138)</f>
        <v>1.5686274509803921E-2</v>
      </c>
      <c r="E138">
        <f>MIN(1,dataScale*data0!E138)</f>
        <v>1.1764705882352941E-2</v>
      </c>
      <c r="F138">
        <f>MIN(1,dataScale*data0!F138)</f>
        <v>1.9607843137254902E-2</v>
      </c>
      <c r="G138">
        <f>MIN(1,dataScale*data0!G138)</f>
        <v>1.5686274509803921E-2</v>
      </c>
      <c r="H138">
        <f>MIN(1,dataScale*data0!H138)</f>
        <v>1.9607843137254902E-2</v>
      </c>
      <c r="I138">
        <f>MIN(1,dataScale*data0!I138)</f>
        <v>1.9607843137254902E-2</v>
      </c>
      <c r="J138">
        <f>MIN(1,dataScale*data0!J138)</f>
        <v>1.1764705882352941E-2</v>
      </c>
      <c r="K138">
        <f>MIN(1,dataScale*data0!K138)</f>
        <v>1.1764705882352941E-2</v>
      </c>
      <c r="L138">
        <f>MIN(1,dataScale*data0!L138)</f>
        <v>1.5686274509803921E-2</v>
      </c>
    </row>
    <row r="139" spans="1:12">
      <c r="A139">
        <f>data0!A139</f>
        <v>137</v>
      </c>
      <c r="B139">
        <f>MIN(1,dataScale*data0!B139)</f>
        <v>0</v>
      </c>
      <c r="C139">
        <f>MIN(1,dataScale*data0!C139)</f>
        <v>1.1764705882352941E-2</v>
      </c>
      <c r="D139">
        <f>MIN(1,dataScale*data0!D139)</f>
        <v>1.5686274509803921E-2</v>
      </c>
      <c r="E139">
        <f>MIN(1,dataScale*data0!E139)</f>
        <v>1.1764705882352941E-2</v>
      </c>
      <c r="F139">
        <f>MIN(1,dataScale*data0!F139)</f>
        <v>1.9607843137254902E-2</v>
      </c>
      <c r="G139">
        <f>MIN(1,dataScale*data0!G139)</f>
        <v>1.5686274509803921E-2</v>
      </c>
      <c r="H139">
        <f>MIN(1,dataScale*data0!H139)</f>
        <v>1.9607843137254902E-2</v>
      </c>
      <c r="I139">
        <f>MIN(1,dataScale*data0!I139)</f>
        <v>1.9607843137254902E-2</v>
      </c>
      <c r="J139">
        <f>MIN(1,dataScale*data0!J139)</f>
        <v>1.1764705882352941E-2</v>
      </c>
      <c r="K139">
        <f>MIN(1,dataScale*data0!K139)</f>
        <v>1.1764705882352941E-2</v>
      </c>
      <c r="L139">
        <f>MIN(1,dataScale*data0!L139)</f>
        <v>1.5686274509803921E-2</v>
      </c>
    </row>
    <row r="140" spans="1:12">
      <c r="A140">
        <f>data0!A140</f>
        <v>138</v>
      </c>
      <c r="B140">
        <f>MIN(1,dataScale*data0!B140)</f>
        <v>0</v>
      </c>
      <c r="C140">
        <f>MIN(1,dataScale*data0!C140)</f>
        <v>1.1764705882352941E-2</v>
      </c>
      <c r="D140">
        <f>MIN(1,dataScale*data0!D140)</f>
        <v>1.1764705882352941E-2</v>
      </c>
      <c r="E140">
        <f>MIN(1,dataScale*data0!E140)</f>
        <v>1.1764705882352941E-2</v>
      </c>
      <c r="F140">
        <f>MIN(1,dataScale*data0!F140)</f>
        <v>1.9607843137254902E-2</v>
      </c>
      <c r="G140">
        <f>MIN(1,dataScale*data0!G140)</f>
        <v>1.5686274509803921E-2</v>
      </c>
      <c r="H140">
        <f>MIN(1,dataScale*data0!H140)</f>
        <v>1.9607843137254902E-2</v>
      </c>
      <c r="I140">
        <f>MIN(1,dataScale*data0!I140)</f>
        <v>1.5686274509803921E-2</v>
      </c>
      <c r="J140">
        <f>MIN(1,dataScale*data0!J140)</f>
        <v>1.1764705882352941E-2</v>
      </c>
      <c r="K140">
        <f>MIN(1,dataScale*data0!K140)</f>
        <v>1.1764705882352941E-2</v>
      </c>
      <c r="L140">
        <f>MIN(1,dataScale*data0!L140)</f>
        <v>1.1764705882352941E-2</v>
      </c>
    </row>
    <row r="141" spans="1:12">
      <c r="A141">
        <f>data0!A141</f>
        <v>139</v>
      </c>
      <c r="B141">
        <f>MIN(1,dataScale*data0!B141)</f>
        <v>0</v>
      </c>
      <c r="C141">
        <f>MIN(1,dataScale*data0!C141)</f>
        <v>1.1764705882352941E-2</v>
      </c>
      <c r="D141">
        <f>MIN(1,dataScale*data0!D141)</f>
        <v>1.1764705882352941E-2</v>
      </c>
      <c r="E141">
        <f>MIN(1,dataScale*data0!E141)</f>
        <v>1.1764705882352941E-2</v>
      </c>
      <c r="F141">
        <f>MIN(1,dataScale*data0!F141)</f>
        <v>1.1764705882352941E-2</v>
      </c>
      <c r="G141">
        <f>MIN(1,dataScale*data0!G141)</f>
        <v>1.1764705882352941E-2</v>
      </c>
      <c r="H141">
        <f>MIN(1,dataScale*data0!H141)</f>
        <v>1.5686274509803921E-2</v>
      </c>
      <c r="I141">
        <f>MIN(1,dataScale*data0!I141)</f>
        <v>1.5686274509803921E-2</v>
      </c>
      <c r="J141">
        <f>MIN(1,dataScale*data0!J141)</f>
        <v>1.1764705882352941E-2</v>
      </c>
      <c r="K141">
        <f>MIN(1,dataScale*data0!K141)</f>
        <v>1.1764705882352941E-2</v>
      </c>
      <c r="L141">
        <f>MIN(1,dataScale*data0!L141)</f>
        <v>1.1764705882352941E-2</v>
      </c>
    </row>
    <row r="142" spans="1:12">
      <c r="A142">
        <f>data0!A142</f>
        <v>140</v>
      </c>
      <c r="B142">
        <f>MIN(1,dataScale*data0!B142)</f>
        <v>0</v>
      </c>
      <c r="C142">
        <f>MIN(1,dataScale*data0!C142)</f>
        <v>1.1764705882352941E-2</v>
      </c>
      <c r="D142">
        <f>MIN(1,dataScale*data0!D142)</f>
        <v>1.1764705882352941E-2</v>
      </c>
      <c r="E142">
        <f>MIN(1,dataScale*data0!E142)</f>
        <v>1.1764705882352941E-2</v>
      </c>
      <c r="F142">
        <f>MIN(1,dataScale*data0!F142)</f>
        <v>1.5686274509803921E-2</v>
      </c>
      <c r="G142">
        <f>MIN(1,dataScale*data0!G142)</f>
        <v>1.5686274509803921E-2</v>
      </c>
      <c r="H142">
        <f>MIN(1,dataScale*data0!H142)</f>
        <v>1.5686274509803921E-2</v>
      </c>
      <c r="I142">
        <f>MIN(1,dataScale*data0!I142)</f>
        <v>1.5686274509803921E-2</v>
      </c>
      <c r="J142">
        <f>MIN(1,dataScale*data0!J142)</f>
        <v>1.1764705882352941E-2</v>
      </c>
      <c r="K142">
        <f>MIN(1,dataScale*data0!K142)</f>
        <v>1.1764705882352941E-2</v>
      </c>
      <c r="L142">
        <f>MIN(1,dataScale*data0!L142)</f>
        <v>1.5686274509803921E-2</v>
      </c>
    </row>
    <row r="143" spans="1:12">
      <c r="A143">
        <f>data0!A143</f>
        <v>141</v>
      </c>
      <c r="B143">
        <f>MIN(1,dataScale*data0!B143)</f>
        <v>0</v>
      </c>
      <c r="C143">
        <f>MIN(1,dataScale*data0!C143)</f>
        <v>1.1764705882352941E-2</v>
      </c>
      <c r="D143">
        <f>MIN(1,dataScale*data0!D143)</f>
        <v>1.1764705882352941E-2</v>
      </c>
      <c r="E143">
        <f>MIN(1,dataScale*data0!E143)</f>
        <v>7.8431372549019607E-3</v>
      </c>
      <c r="F143">
        <f>MIN(1,dataScale*data0!F143)</f>
        <v>1.5686274509803921E-2</v>
      </c>
      <c r="G143">
        <f>MIN(1,dataScale*data0!G143)</f>
        <v>1.5686274509803921E-2</v>
      </c>
      <c r="H143">
        <f>MIN(1,dataScale*data0!H143)</f>
        <v>1.5686274509803921E-2</v>
      </c>
      <c r="I143">
        <f>MIN(1,dataScale*data0!I143)</f>
        <v>1.5686274509803921E-2</v>
      </c>
      <c r="J143">
        <f>MIN(1,dataScale*data0!J143)</f>
        <v>1.1764705882352941E-2</v>
      </c>
      <c r="K143">
        <f>MIN(1,dataScale*data0!K143)</f>
        <v>1.1764705882352941E-2</v>
      </c>
      <c r="L143">
        <f>MIN(1,dataScale*data0!L143)</f>
        <v>1.5686274509803921E-2</v>
      </c>
    </row>
    <row r="144" spans="1:12">
      <c r="A144">
        <f>data0!A144</f>
        <v>142</v>
      </c>
      <c r="B144">
        <f>MIN(1,dataScale*data0!B144)</f>
        <v>0</v>
      </c>
      <c r="C144">
        <f>MIN(1,dataScale*data0!C144)</f>
        <v>1.1764705882352941E-2</v>
      </c>
      <c r="D144">
        <f>MIN(1,dataScale*data0!D144)</f>
        <v>1.1764705882352941E-2</v>
      </c>
      <c r="E144">
        <f>MIN(1,dataScale*data0!E144)</f>
        <v>7.8431372549019607E-3</v>
      </c>
      <c r="F144">
        <f>MIN(1,dataScale*data0!F144)</f>
        <v>1.5686274509803921E-2</v>
      </c>
      <c r="G144">
        <f>MIN(1,dataScale*data0!G144)</f>
        <v>1.5686274509803921E-2</v>
      </c>
      <c r="H144">
        <f>MIN(1,dataScale*data0!H144)</f>
        <v>1.5686274509803921E-2</v>
      </c>
      <c r="I144">
        <f>MIN(1,dataScale*data0!I144)</f>
        <v>1.5686274509803921E-2</v>
      </c>
      <c r="J144">
        <f>MIN(1,dataScale*data0!J144)</f>
        <v>1.1764705882352941E-2</v>
      </c>
      <c r="K144">
        <f>MIN(1,dataScale*data0!K144)</f>
        <v>1.1764705882352941E-2</v>
      </c>
      <c r="L144">
        <f>MIN(1,dataScale*data0!L144)</f>
        <v>1.5686274509803921E-2</v>
      </c>
    </row>
    <row r="145" spans="1:12">
      <c r="A145">
        <f>data0!A145</f>
        <v>143</v>
      </c>
      <c r="B145">
        <f>MIN(1,dataScale*data0!B145)</f>
        <v>0</v>
      </c>
      <c r="C145">
        <f>MIN(1,dataScale*data0!C145)</f>
        <v>1.1764705882352941E-2</v>
      </c>
      <c r="D145">
        <f>MIN(1,dataScale*data0!D145)</f>
        <v>7.8431372549019607E-3</v>
      </c>
      <c r="E145">
        <f>MIN(1,dataScale*data0!E145)</f>
        <v>7.8431372549019607E-3</v>
      </c>
      <c r="F145">
        <f>MIN(1,dataScale*data0!F145)</f>
        <v>1.5686274509803921E-2</v>
      </c>
      <c r="G145">
        <f>MIN(1,dataScale*data0!G145)</f>
        <v>1.5686274509803921E-2</v>
      </c>
      <c r="H145">
        <f>MIN(1,dataScale*data0!H145)</f>
        <v>1.5686274509803921E-2</v>
      </c>
      <c r="I145">
        <f>MIN(1,dataScale*data0!I145)</f>
        <v>1.5686274509803921E-2</v>
      </c>
      <c r="J145">
        <f>MIN(1,dataScale*data0!J145)</f>
        <v>1.1764705882352941E-2</v>
      </c>
      <c r="K145">
        <f>MIN(1,dataScale*data0!K145)</f>
        <v>1.1764705882352941E-2</v>
      </c>
      <c r="L145">
        <f>MIN(1,dataScale*data0!L145)</f>
        <v>1.5686274509803921E-2</v>
      </c>
    </row>
    <row r="146" spans="1:12">
      <c r="A146">
        <f>data0!A146</f>
        <v>144</v>
      </c>
      <c r="B146">
        <f>MIN(1,dataScale*data0!B146)</f>
        <v>0</v>
      </c>
      <c r="C146">
        <f>MIN(1,dataScale*data0!C146)</f>
        <v>1.1764705882352941E-2</v>
      </c>
      <c r="D146">
        <f>MIN(1,dataScale*data0!D146)</f>
        <v>1.5686274509803921E-2</v>
      </c>
      <c r="E146">
        <f>MIN(1,dataScale*data0!E146)</f>
        <v>7.8431372549019607E-3</v>
      </c>
      <c r="F146">
        <f>MIN(1,dataScale*data0!F146)</f>
        <v>1.5686274509803921E-2</v>
      </c>
      <c r="G146">
        <f>MIN(1,dataScale*data0!G146)</f>
        <v>1.1764705882352941E-2</v>
      </c>
      <c r="H146">
        <f>MIN(1,dataScale*data0!H146)</f>
        <v>1.5686274509803921E-2</v>
      </c>
      <c r="I146">
        <f>MIN(1,dataScale*data0!I146)</f>
        <v>1.5686274509803921E-2</v>
      </c>
      <c r="J146">
        <f>MIN(1,dataScale*data0!J146)</f>
        <v>1.1764705882352941E-2</v>
      </c>
      <c r="K146">
        <f>MIN(1,dataScale*data0!K146)</f>
        <v>1.1764705882352941E-2</v>
      </c>
      <c r="L146">
        <f>MIN(1,dataScale*data0!L146)</f>
        <v>1.5686274509803921E-2</v>
      </c>
    </row>
    <row r="147" spans="1:12">
      <c r="A147">
        <f>data0!A147</f>
        <v>145</v>
      </c>
      <c r="B147">
        <f>MIN(1,dataScale*data0!B147)</f>
        <v>0</v>
      </c>
      <c r="C147">
        <f>MIN(1,dataScale*data0!C147)</f>
        <v>1.1764705882352941E-2</v>
      </c>
      <c r="D147">
        <f>MIN(1,dataScale*data0!D147)</f>
        <v>7.8431372549019607E-3</v>
      </c>
      <c r="E147">
        <f>MIN(1,dataScale*data0!E147)</f>
        <v>7.8431372549019607E-3</v>
      </c>
      <c r="F147">
        <f>MIN(1,dataScale*data0!F147)</f>
        <v>1.1764705882352941E-2</v>
      </c>
      <c r="G147">
        <f>MIN(1,dataScale*data0!G147)</f>
        <v>1.5686274509803921E-2</v>
      </c>
      <c r="H147">
        <f>MIN(1,dataScale*data0!H147)</f>
        <v>1.5686274509803921E-2</v>
      </c>
      <c r="I147">
        <f>MIN(1,dataScale*data0!I147)</f>
        <v>1.5686274509803921E-2</v>
      </c>
      <c r="J147">
        <f>MIN(1,dataScale*data0!J147)</f>
        <v>1.1764705882352941E-2</v>
      </c>
      <c r="K147">
        <f>MIN(1,dataScale*data0!K147)</f>
        <v>1.1764705882352941E-2</v>
      </c>
      <c r="L147">
        <f>MIN(1,dataScale*data0!L147)</f>
        <v>1.5686274509803921E-2</v>
      </c>
    </row>
    <row r="148" spans="1:12">
      <c r="A148">
        <f>data0!A148</f>
        <v>146</v>
      </c>
      <c r="B148">
        <f>MIN(1,dataScale*data0!B148)</f>
        <v>0</v>
      </c>
      <c r="C148">
        <f>MIN(1,dataScale*data0!C148)</f>
        <v>1.9607843137254902E-2</v>
      </c>
      <c r="D148">
        <f>MIN(1,dataScale*data0!D148)</f>
        <v>7.8431372549019607E-3</v>
      </c>
      <c r="E148">
        <f>MIN(1,dataScale*data0!E148)</f>
        <v>7.8431372549019607E-3</v>
      </c>
      <c r="F148">
        <f>MIN(1,dataScale*data0!F148)</f>
        <v>1.5686274509803921E-2</v>
      </c>
      <c r="G148">
        <f>MIN(1,dataScale*data0!G148)</f>
        <v>1.1764705882352941E-2</v>
      </c>
      <c r="H148">
        <f>MIN(1,dataScale*data0!H148)</f>
        <v>1.5686274509803921E-2</v>
      </c>
      <c r="I148">
        <f>MIN(1,dataScale*data0!I148)</f>
        <v>1.5686274509803921E-2</v>
      </c>
      <c r="J148">
        <f>MIN(1,dataScale*data0!J148)</f>
        <v>3.9215686274509803E-3</v>
      </c>
      <c r="K148">
        <f>MIN(1,dataScale*data0!K148)</f>
        <v>1.1764705882352941E-2</v>
      </c>
      <c r="L148">
        <f>MIN(1,dataScale*data0!L148)</f>
        <v>1.5686274509803921E-2</v>
      </c>
    </row>
    <row r="149" spans="1:12">
      <c r="A149">
        <f>data0!A149</f>
        <v>147</v>
      </c>
      <c r="B149">
        <f>MIN(1,dataScale*data0!B149)</f>
        <v>0</v>
      </c>
      <c r="C149">
        <f>MIN(1,dataScale*data0!C149)</f>
        <v>1.1764705882352941E-2</v>
      </c>
      <c r="D149">
        <f>MIN(1,dataScale*data0!D149)</f>
        <v>1.1764705882352941E-2</v>
      </c>
      <c r="E149">
        <f>MIN(1,dataScale*data0!E149)</f>
        <v>7.8431372549019607E-3</v>
      </c>
      <c r="F149">
        <f>MIN(1,dataScale*data0!F149)</f>
        <v>1.5686274509803921E-2</v>
      </c>
      <c r="G149">
        <f>MIN(1,dataScale*data0!G149)</f>
        <v>1.1764705882352941E-2</v>
      </c>
      <c r="H149">
        <f>MIN(1,dataScale*data0!H149)</f>
        <v>1.5686274509803921E-2</v>
      </c>
      <c r="I149">
        <f>MIN(1,dataScale*data0!I149)</f>
        <v>1.1764705882352941E-2</v>
      </c>
      <c r="J149">
        <f>MIN(1,dataScale*data0!J149)</f>
        <v>1.1764705882352941E-2</v>
      </c>
      <c r="K149">
        <f>MIN(1,dataScale*data0!K149)</f>
        <v>1.1764705882352941E-2</v>
      </c>
      <c r="L149">
        <f>MIN(1,dataScale*data0!L149)</f>
        <v>1.1764705882352941E-2</v>
      </c>
    </row>
    <row r="150" spans="1:12">
      <c r="A150">
        <f>data0!A150</f>
        <v>148</v>
      </c>
      <c r="B150">
        <f>MIN(1,dataScale*data0!B150)</f>
        <v>0</v>
      </c>
      <c r="C150">
        <f>MIN(1,dataScale*data0!C150)</f>
        <v>7.8431372549019607E-3</v>
      </c>
      <c r="D150">
        <f>MIN(1,dataScale*data0!D150)</f>
        <v>1.1764705882352941E-2</v>
      </c>
      <c r="E150">
        <f>MIN(1,dataScale*data0!E150)</f>
        <v>7.8431372549019607E-3</v>
      </c>
      <c r="F150">
        <f>MIN(1,dataScale*data0!F150)</f>
        <v>1.1764705882352941E-2</v>
      </c>
      <c r="G150">
        <f>MIN(1,dataScale*data0!G150)</f>
        <v>1.1764705882352941E-2</v>
      </c>
      <c r="H150">
        <f>MIN(1,dataScale*data0!H150)</f>
        <v>1.5686274509803921E-2</v>
      </c>
      <c r="I150">
        <f>MIN(1,dataScale*data0!I150)</f>
        <v>1.1764705882352941E-2</v>
      </c>
      <c r="J150">
        <f>MIN(1,dataScale*data0!J150)</f>
        <v>7.8431372549019607E-3</v>
      </c>
      <c r="K150">
        <f>MIN(1,dataScale*data0!K150)</f>
        <v>1.1764705882352941E-2</v>
      </c>
      <c r="L150">
        <f>MIN(1,dataScale*data0!L150)</f>
        <v>1.1764705882352941E-2</v>
      </c>
    </row>
    <row r="151" spans="1:12">
      <c r="A151">
        <f>data0!A151</f>
        <v>149</v>
      </c>
      <c r="B151">
        <f>MIN(1,dataScale*data0!B151)</f>
        <v>0</v>
      </c>
      <c r="C151">
        <f>MIN(1,dataScale*data0!C151)</f>
        <v>7.8431372549019607E-3</v>
      </c>
      <c r="D151">
        <f>MIN(1,dataScale*data0!D151)</f>
        <v>1.1764705882352941E-2</v>
      </c>
      <c r="E151">
        <f>MIN(1,dataScale*data0!E151)</f>
        <v>7.8431372549019607E-3</v>
      </c>
      <c r="F151">
        <f>MIN(1,dataScale*data0!F151)</f>
        <v>1.5686274509803921E-2</v>
      </c>
      <c r="G151">
        <f>MIN(1,dataScale*data0!G151)</f>
        <v>1.1764705882352941E-2</v>
      </c>
      <c r="H151">
        <f>MIN(1,dataScale*data0!H151)</f>
        <v>1.1764705882352941E-2</v>
      </c>
      <c r="I151">
        <f>MIN(1,dataScale*data0!I151)</f>
        <v>1.5686274509803921E-2</v>
      </c>
      <c r="J151">
        <f>MIN(1,dataScale*data0!J151)</f>
        <v>1.1764705882352941E-2</v>
      </c>
      <c r="K151">
        <f>MIN(1,dataScale*data0!K151)</f>
        <v>1.1764705882352941E-2</v>
      </c>
      <c r="L151">
        <f>MIN(1,dataScale*data0!L151)</f>
        <v>1.1764705882352941E-2</v>
      </c>
    </row>
    <row r="152" spans="1:12">
      <c r="A152">
        <f>data0!A152</f>
        <v>150</v>
      </c>
      <c r="B152">
        <f>MIN(1,dataScale*data0!B152)</f>
        <v>0</v>
      </c>
      <c r="C152">
        <f>MIN(1,dataScale*data0!C152)</f>
        <v>7.8431372549019607E-3</v>
      </c>
      <c r="D152">
        <f>MIN(1,dataScale*data0!D152)</f>
        <v>7.8431372549019607E-3</v>
      </c>
      <c r="E152">
        <f>MIN(1,dataScale*data0!E152)</f>
        <v>7.8431372549019607E-3</v>
      </c>
      <c r="F152">
        <f>MIN(1,dataScale*data0!F152)</f>
        <v>1.1764705882352941E-2</v>
      </c>
      <c r="G152">
        <f>MIN(1,dataScale*data0!G152)</f>
        <v>1.1764705882352941E-2</v>
      </c>
      <c r="H152">
        <f>MIN(1,dataScale*data0!H152)</f>
        <v>1.1764705882352941E-2</v>
      </c>
      <c r="I152">
        <f>MIN(1,dataScale*data0!I152)</f>
        <v>1.1764705882352941E-2</v>
      </c>
      <c r="J152">
        <f>MIN(1,dataScale*data0!J152)</f>
        <v>7.8431372549019607E-3</v>
      </c>
      <c r="K152">
        <f>MIN(1,dataScale*data0!K152)</f>
        <v>1.1764705882352941E-2</v>
      </c>
      <c r="L152">
        <f>MIN(1,dataScale*data0!L152)</f>
        <v>1.1764705882352941E-2</v>
      </c>
    </row>
    <row r="153" spans="1:12">
      <c r="B153" s="2"/>
      <c r="C153" s="2"/>
      <c r="D153" s="2"/>
      <c r="E153" s="2"/>
      <c r="F153" s="2"/>
      <c r="G153" s="2"/>
      <c r="H153" s="2"/>
      <c r="I153" s="2"/>
      <c r="J153" s="2"/>
      <c r="K153" s="2"/>
    </row>
    <row r="154" spans="1:12">
      <c r="B154" s="2"/>
      <c r="C154" s="2"/>
      <c r="D154" s="2"/>
      <c r="E154" s="2"/>
      <c r="F154" s="2"/>
      <c r="G154" s="2"/>
      <c r="H154" s="2"/>
      <c r="I154" s="2"/>
      <c r="J154" s="2"/>
      <c r="K154" s="2"/>
    </row>
    <row r="155" spans="1:12">
      <c r="A155" s="5"/>
      <c r="B155" s="2"/>
      <c r="C155" s="2"/>
      <c r="D155" s="2"/>
      <c r="E155" s="2"/>
      <c r="F155" s="2"/>
      <c r="G155" s="2"/>
      <c r="H155" s="2"/>
      <c r="I155" s="2"/>
      <c r="J155" s="2"/>
      <c r="K155" s="2"/>
    </row>
    <row r="156" spans="1:12">
      <c r="A156" s="5"/>
      <c r="B156" s="2"/>
      <c r="C156" s="2"/>
      <c r="D156" s="2"/>
      <c r="E156" s="2"/>
      <c r="F156" s="2"/>
      <c r="G156" s="2"/>
      <c r="H156" s="2"/>
      <c r="I156" s="2"/>
      <c r="J156" s="2"/>
      <c r="K156" s="2"/>
    </row>
    <row r="157" spans="1:12">
      <c r="A157" s="5"/>
      <c r="B157" s="2"/>
      <c r="C157" s="2"/>
      <c r="D157" s="2"/>
      <c r="E157" s="2"/>
      <c r="F157" s="2"/>
      <c r="G157" s="2"/>
      <c r="H157" s="2"/>
      <c r="I157" s="2"/>
      <c r="J157" s="2"/>
      <c r="K157" s="2"/>
    </row>
    <row r="158" spans="1:12">
      <c r="A158" s="5"/>
      <c r="B158" s="2"/>
      <c r="C158" s="2"/>
      <c r="D158" s="2"/>
      <c r="E158" s="2"/>
      <c r="F158" s="2"/>
      <c r="G158" s="2"/>
      <c r="H158" s="2"/>
      <c r="I158" s="2"/>
      <c r="J158" s="2"/>
      <c r="K158" s="2"/>
    </row>
    <row r="159" spans="1:12">
      <c r="A159" s="5"/>
      <c r="B159" s="2"/>
      <c r="C159" s="2"/>
      <c r="D159" s="2"/>
      <c r="E159" s="2"/>
      <c r="F159" s="2"/>
      <c r="G159" s="2"/>
      <c r="H159" s="2"/>
      <c r="I159" s="2"/>
      <c r="J159" s="2"/>
      <c r="K159" s="2"/>
    </row>
    <row r="160" spans="1:12">
      <c r="A160" s="5"/>
      <c r="B160" s="2"/>
      <c r="C160" s="2"/>
      <c r="D160" s="2"/>
      <c r="E160" s="2"/>
      <c r="F160" s="2"/>
      <c r="G160" s="2"/>
      <c r="H160" s="2"/>
      <c r="I160" s="2"/>
      <c r="J160" s="2"/>
      <c r="K160" s="2"/>
    </row>
    <row r="161" spans="1:11">
      <c r="A161" s="5"/>
      <c r="B161" s="2"/>
      <c r="C161" s="2"/>
      <c r="D161" s="2"/>
      <c r="E161" s="2"/>
      <c r="F161" s="2"/>
      <c r="G161" s="2"/>
      <c r="H161" s="2"/>
      <c r="I161" s="2"/>
      <c r="J161" s="2"/>
      <c r="K161" s="2"/>
    </row>
    <row r="162" spans="1:11">
      <c r="A162" s="5"/>
      <c r="B162" s="2"/>
      <c r="C162" s="2"/>
      <c r="D162" s="2"/>
      <c r="E162" s="2"/>
      <c r="F162" s="2"/>
      <c r="G162" s="2"/>
      <c r="H162" s="2"/>
      <c r="I162" s="2"/>
      <c r="J162" s="2"/>
      <c r="K162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AG153"/>
  <sheetViews>
    <sheetView zoomScale="70" zoomScaleNormal="70" workbookViewId="0">
      <pane ySplit="4800" topLeftCell="A120"/>
      <selection activeCell="M2" sqref="M2:AG152"/>
      <selection pane="bottomLeft" activeCell="B82" sqref="B82"/>
    </sheetView>
  </sheetViews>
  <sheetFormatPr defaultRowHeight="15"/>
  <cols>
    <col min="1" max="1" width="10.85546875" bestFit="1" customWidth="1"/>
    <col min="2" max="32" width="6" customWidth="1"/>
    <col min="33" max="33" width="6" bestFit="1" customWidth="1"/>
  </cols>
  <sheetData>
    <row r="1" spans="1:33">
      <c r="A1" t="str">
        <f>data1!A1</f>
        <v>LO</v>
      </c>
      <c r="B1">
        <f>data1!B1</f>
        <v>0</v>
      </c>
      <c r="C1">
        <f>data1!C1</f>
        <v>1</v>
      </c>
      <c r="D1">
        <f>data1!D1</f>
        <v>2</v>
      </c>
      <c r="E1">
        <f>data1!E1</f>
        <v>3</v>
      </c>
      <c r="F1">
        <f>data1!F1</f>
        <v>4</v>
      </c>
      <c r="G1">
        <f>data1!G1</f>
        <v>5</v>
      </c>
      <c r="H1">
        <f>data1!H1</f>
        <v>6</v>
      </c>
      <c r="I1">
        <f>data1!I1</f>
        <v>7</v>
      </c>
      <c r="J1">
        <f>data1!J1</f>
        <v>8</v>
      </c>
      <c r="K1">
        <f>data1!K1</f>
        <v>9</v>
      </c>
      <c r="L1">
        <f>data1!L1</f>
        <v>10</v>
      </c>
      <c r="M1">
        <f>data1!M1</f>
        <v>11</v>
      </c>
      <c r="N1">
        <f>data1!N1</f>
        <v>12</v>
      </c>
      <c r="O1">
        <f>data1!O1</f>
        <v>13</v>
      </c>
      <c r="P1">
        <f>data1!P1</f>
        <v>14</v>
      </c>
      <c r="Q1">
        <f>data1!Q1</f>
        <v>15</v>
      </c>
      <c r="R1">
        <f>data1!R1</f>
        <v>16</v>
      </c>
      <c r="S1">
        <f>data1!S1</f>
        <v>17</v>
      </c>
      <c r="T1">
        <f>data1!T1</f>
        <v>18</v>
      </c>
      <c r="U1">
        <f>data1!U1</f>
        <v>19</v>
      </c>
      <c r="V1">
        <f>data1!V1</f>
        <v>20</v>
      </c>
      <c r="W1">
        <f>data1!W1</f>
        <v>21</v>
      </c>
      <c r="X1">
        <f>data1!X1</f>
        <v>22</v>
      </c>
      <c r="Y1">
        <f>data1!Y1</f>
        <v>23</v>
      </c>
      <c r="Z1">
        <f>data1!Z1</f>
        <v>24</v>
      </c>
      <c r="AA1">
        <f>data1!AA1</f>
        <v>25</v>
      </c>
      <c r="AB1">
        <f>data1!AB1</f>
        <v>26</v>
      </c>
      <c r="AC1">
        <f>data1!AC1</f>
        <v>27</v>
      </c>
      <c r="AD1">
        <f>data1!AD1</f>
        <v>28</v>
      </c>
      <c r="AE1">
        <f>data1!AE1</f>
        <v>29</v>
      </c>
      <c r="AF1">
        <f>data1!AF1</f>
        <v>30</v>
      </c>
      <c r="AG1">
        <f>data1!AG1</f>
        <v>31</v>
      </c>
    </row>
    <row r="2" spans="1:33">
      <c r="A2">
        <f>data1!A2</f>
        <v>0</v>
      </c>
      <c r="B2">
        <f>MIN(1,dataScale*data1!B2)</f>
        <v>0</v>
      </c>
      <c r="C2">
        <f>MIN(1,dataScale*data1!C2)</f>
        <v>0</v>
      </c>
      <c r="D2">
        <f>MIN(1,dataScale*data1!D2)</f>
        <v>0</v>
      </c>
      <c r="E2">
        <f>MIN(1,dataScale*data1!E2)</f>
        <v>0.23529411764705882</v>
      </c>
      <c r="F2">
        <f>MIN(1,dataScale*data1!F2)</f>
        <v>0.19607843137254902</v>
      </c>
      <c r="G2">
        <f>MIN(1,dataScale*data1!G2)</f>
        <v>0.38431372549019605</v>
      </c>
      <c r="H2">
        <f>MIN(1,dataScale*data1!H2)</f>
        <v>9.8039215686274508E-2</v>
      </c>
      <c r="I2">
        <f>MIN(1,dataScale*data1!I2)</f>
        <v>0.57647058823529407</v>
      </c>
      <c r="J2">
        <f>MIN(1,dataScale*data1!J2)</f>
        <v>0.41960784313725491</v>
      </c>
      <c r="K2">
        <f>MIN(1,dataScale*data1!K2)</f>
        <v>0.12156862745098039</v>
      </c>
      <c r="L2">
        <f>MIN(1,dataScale*data1!L2)</f>
        <v>0.1803921568627451</v>
      </c>
    </row>
    <row r="3" spans="1:33">
      <c r="A3">
        <f>data1!A3</f>
        <v>1</v>
      </c>
      <c r="B3">
        <f>MIN(1,dataScale*data1!B3)</f>
        <v>0</v>
      </c>
      <c r="C3">
        <f>MIN(1,dataScale*data1!C3)</f>
        <v>0.90588235294117647</v>
      </c>
      <c r="D3">
        <f>MIN(1,dataScale*data1!D3)</f>
        <v>0.90980392156862744</v>
      </c>
      <c r="E3">
        <f>MIN(1,dataScale*data1!E3)</f>
        <v>0.88235294117647056</v>
      </c>
      <c r="F3">
        <f>MIN(1,dataScale*data1!F3)</f>
        <v>0.92549019607843142</v>
      </c>
      <c r="G3">
        <f>MIN(1,dataScale*data1!G3)</f>
        <v>0.95294117647058818</v>
      </c>
      <c r="H3">
        <f>MIN(1,dataScale*data1!H3)</f>
        <v>0.999</v>
      </c>
      <c r="I3">
        <f>MIN(1,dataScale*data1!I3)</f>
        <v>0.999</v>
      </c>
      <c r="J3">
        <f>MIN(1,dataScale*data1!J3)</f>
        <v>0.99607843137254903</v>
      </c>
      <c r="K3">
        <f>MIN(1,dataScale*data1!K3)</f>
        <v>0.94901960784313721</v>
      </c>
      <c r="L3">
        <f>MIN(1,dataScale*data1!L3)</f>
        <v>0.999</v>
      </c>
    </row>
    <row r="4" spans="1:33">
      <c r="A4">
        <f>data1!A4</f>
        <v>2</v>
      </c>
      <c r="B4">
        <f>MIN(1,dataScale*data1!B4)</f>
        <v>0</v>
      </c>
      <c r="C4">
        <f>MIN(1,dataScale*data1!C4)</f>
        <v>0.89803921568627454</v>
      </c>
      <c r="D4">
        <f>MIN(1,dataScale*data1!D4)</f>
        <v>0.89803921568627454</v>
      </c>
      <c r="E4">
        <f>MIN(1,dataScale*data1!E4)</f>
        <v>0.8784313725490196</v>
      </c>
      <c r="F4">
        <f>MIN(1,dataScale*data1!F4)</f>
        <v>0.92549019607843142</v>
      </c>
      <c r="G4">
        <f>MIN(1,dataScale*data1!G4)</f>
        <v>0.94901960784313721</v>
      </c>
      <c r="H4">
        <f>MIN(1,dataScale*data1!H4)</f>
        <v>0.999</v>
      </c>
      <c r="I4">
        <f>MIN(1,dataScale*data1!I4)</f>
        <v>0.999</v>
      </c>
      <c r="J4">
        <f>MIN(1,dataScale*data1!J4)</f>
        <v>0.99607843137254903</v>
      </c>
      <c r="K4">
        <f>MIN(1,dataScale*data1!K4)</f>
        <v>0.94509803921568625</v>
      </c>
      <c r="L4">
        <f>MIN(1,dataScale*data1!L4)</f>
        <v>0.999</v>
      </c>
    </row>
    <row r="5" spans="1:33">
      <c r="A5">
        <f>data1!A5</f>
        <v>3</v>
      </c>
      <c r="B5">
        <f>MIN(1,dataScale*data1!B5)</f>
        <v>0</v>
      </c>
      <c r="C5">
        <f>MIN(1,dataScale*data1!C5)</f>
        <v>0.90196078431372551</v>
      </c>
      <c r="D5">
        <f>MIN(1,dataScale*data1!D5)</f>
        <v>0.90588235294117647</v>
      </c>
      <c r="E5">
        <f>MIN(1,dataScale*data1!E5)</f>
        <v>0.8901960784313725</v>
      </c>
      <c r="F5">
        <f>MIN(1,dataScale*data1!F5)</f>
        <v>0.93333333333333335</v>
      </c>
      <c r="G5">
        <f>MIN(1,dataScale*data1!G5)</f>
        <v>0.95686274509803915</v>
      </c>
      <c r="H5">
        <f>MIN(1,dataScale*data1!H5)</f>
        <v>0.999</v>
      </c>
      <c r="I5">
        <f>MIN(1,dataScale*data1!I5)</f>
        <v>0.999</v>
      </c>
      <c r="J5">
        <f>MIN(1,dataScale*data1!J5)</f>
        <v>0.999</v>
      </c>
      <c r="K5">
        <f>MIN(1,dataScale*data1!K5)</f>
        <v>0.95686274509803915</v>
      </c>
      <c r="L5">
        <f>MIN(1,dataScale*data1!L5)</f>
        <v>0.999</v>
      </c>
    </row>
    <row r="6" spans="1:33">
      <c r="A6">
        <f>data1!A6</f>
        <v>4</v>
      </c>
      <c r="B6">
        <f>MIN(1,dataScale*data1!B6)</f>
        <v>0</v>
      </c>
      <c r="C6">
        <f>MIN(1,dataScale*data1!C6)</f>
        <v>0.9137254901960784</v>
      </c>
      <c r="D6">
        <f>MIN(1,dataScale*data1!D6)</f>
        <v>0.95294117647058818</v>
      </c>
      <c r="E6">
        <f>MIN(1,dataScale*data1!E6)</f>
        <v>0.999</v>
      </c>
      <c r="F6">
        <f>MIN(1,dataScale*data1!F6)</f>
        <v>0.98431372549019602</v>
      </c>
      <c r="G6">
        <f>MIN(1,dataScale*data1!G6)</f>
        <v>0.99215686274509807</v>
      </c>
      <c r="H6">
        <f>MIN(1,dataScale*data1!H6)</f>
        <v>0.999</v>
      </c>
      <c r="I6">
        <f>MIN(1,dataScale*data1!I6)</f>
        <v>0.999</v>
      </c>
      <c r="J6">
        <f>MIN(1,dataScale*data1!J6)</f>
        <v>0.999</v>
      </c>
      <c r="K6">
        <f>MIN(1,dataScale*data1!K6)</f>
        <v>0.999</v>
      </c>
      <c r="L6">
        <f>MIN(1,dataScale*data1!L6)</f>
        <v>0.999</v>
      </c>
    </row>
    <row r="7" spans="1:33">
      <c r="A7">
        <f>data1!A7</f>
        <v>5</v>
      </c>
      <c r="B7">
        <f>MIN(1,dataScale*data1!B7)</f>
        <v>0</v>
      </c>
      <c r="C7">
        <f>MIN(1,dataScale*data1!C7)</f>
        <v>0.999</v>
      </c>
      <c r="D7">
        <f>MIN(1,dataScale*data1!D7)</f>
        <v>0.999</v>
      </c>
      <c r="E7">
        <f>MIN(1,dataScale*data1!E7)</f>
        <v>0.999</v>
      </c>
      <c r="F7">
        <f>MIN(1,dataScale*data1!F7)</f>
        <v>0.999</v>
      </c>
      <c r="G7">
        <f>MIN(1,dataScale*data1!G7)</f>
        <v>0.999</v>
      </c>
      <c r="H7">
        <f>MIN(1,dataScale*data1!H7)</f>
        <v>0.999</v>
      </c>
      <c r="I7">
        <f>MIN(1,dataScale*data1!I7)</f>
        <v>0.999</v>
      </c>
      <c r="J7">
        <f>MIN(1,dataScale*data1!J7)</f>
        <v>0.999</v>
      </c>
      <c r="K7">
        <f>MIN(1,dataScale*data1!K7)</f>
        <v>0.999</v>
      </c>
      <c r="L7">
        <f>MIN(1,dataScale*data1!L7)</f>
        <v>0.999</v>
      </c>
    </row>
    <row r="8" spans="1:33">
      <c r="A8">
        <f>data1!A8</f>
        <v>6</v>
      </c>
      <c r="B8">
        <f>MIN(1,dataScale*data1!B8)</f>
        <v>0</v>
      </c>
      <c r="C8">
        <f>MIN(1,dataScale*data1!C8)</f>
        <v>0.999</v>
      </c>
      <c r="D8">
        <f>MIN(1,dataScale*data1!D8)</f>
        <v>0.999</v>
      </c>
      <c r="E8">
        <f>MIN(1,dataScale*data1!E8)</f>
        <v>0.999</v>
      </c>
      <c r="F8">
        <f>MIN(1,dataScale*data1!F8)</f>
        <v>0.999</v>
      </c>
      <c r="G8">
        <f>MIN(1,dataScale*data1!G8)</f>
        <v>0.999</v>
      </c>
      <c r="H8">
        <f>MIN(1,dataScale*data1!H8)</f>
        <v>0.999</v>
      </c>
      <c r="I8">
        <f>MIN(1,dataScale*data1!I8)</f>
        <v>0.999</v>
      </c>
      <c r="J8">
        <f>MIN(1,dataScale*data1!J8)</f>
        <v>0.999</v>
      </c>
      <c r="K8">
        <f>MIN(1,dataScale*data1!K8)</f>
        <v>0.999</v>
      </c>
      <c r="L8">
        <f>MIN(1,dataScale*data1!L8)</f>
        <v>0.999</v>
      </c>
    </row>
    <row r="9" spans="1:33">
      <c r="A9">
        <f>data1!A9</f>
        <v>7</v>
      </c>
      <c r="B9">
        <f>MIN(1,dataScale*data1!B9)</f>
        <v>0</v>
      </c>
      <c r="C9">
        <f>MIN(1,dataScale*data1!C9)</f>
        <v>0.999</v>
      </c>
      <c r="D9">
        <f>MIN(1,dataScale*data1!D9)</f>
        <v>0.999</v>
      </c>
      <c r="E9">
        <f>MIN(1,dataScale*data1!E9)</f>
        <v>0.999</v>
      </c>
      <c r="F9">
        <f>MIN(1,dataScale*data1!F9)</f>
        <v>0.999</v>
      </c>
      <c r="G9">
        <f>MIN(1,dataScale*data1!G9)</f>
        <v>0.999</v>
      </c>
      <c r="H9">
        <f>MIN(1,dataScale*data1!H9)</f>
        <v>0.999</v>
      </c>
      <c r="I9">
        <f>MIN(1,dataScale*data1!I9)</f>
        <v>0.999</v>
      </c>
      <c r="J9">
        <f>MIN(1,dataScale*data1!J9)</f>
        <v>0.999</v>
      </c>
      <c r="K9">
        <f>MIN(1,dataScale*data1!K9)</f>
        <v>0.999</v>
      </c>
      <c r="L9">
        <f>MIN(1,dataScale*data1!L9)</f>
        <v>0.999</v>
      </c>
    </row>
    <row r="10" spans="1:33">
      <c r="A10">
        <f>data1!A10</f>
        <v>8</v>
      </c>
      <c r="B10">
        <f>MIN(1,dataScale*data1!B10)</f>
        <v>0</v>
      </c>
      <c r="C10">
        <f>MIN(1,dataScale*data1!C10)</f>
        <v>0.999</v>
      </c>
      <c r="D10">
        <f>MIN(1,dataScale*data1!D10)</f>
        <v>0.999</v>
      </c>
      <c r="E10">
        <f>MIN(1,dataScale*data1!E10)</f>
        <v>0.999</v>
      </c>
      <c r="F10">
        <f>MIN(1,dataScale*data1!F10)</f>
        <v>0.999</v>
      </c>
      <c r="G10">
        <f>MIN(1,dataScale*data1!G10)</f>
        <v>0.999</v>
      </c>
      <c r="H10">
        <f>MIN(1,dataScale*data1!H10)</f>
        <v>0.999</v>
      </c>
      <c r="I10">
        <f>MIN(1,dataScale*data1!I10)</f>
        <v>0.999</v>
      </c>
      <c r="J10">
        <f>MIN(1,dataScale*data1!J10)</f>
        <v>0.999</v>
      </c>
      <c r="K10">
        <f>MIN(1,dataScale*data1!K10)</f>
        <v>0.999</v>
      </c>
      <c r="L10">
        <f>MIN(1,dataScale*data1!L10)</f>
        <v>0.999</v>
      </c>
    </row>
    <row r="11" spans="1:33">
      <c r="A11">
        <f>data1!A11</f>
        <v>9</v>
      </c>
      <c r="B11">
        <f>MIN(1,dataScale*data1!B11)</f>
        <v>0</v>
      </c>
      <c r="C11">
        <f>MIN(1,dataScale*data1!C11)</f>
        <v>0.999</v>
      </c>
      <c r="D11">
        <f>MIN(1,dataScale*data1!D11)</f>
        <v>0.999</v>
      </c>
      <c r="E11">
        <f>MIN(1,dataScale*data1!E11)</f>
        <v>0.999</v>
      </c>
      <c r="F11">
        <f>MIN(1,dataScale*data1!F11)</f>
        <v>0.999</v>
      </c>
      <c r="G11">
        <f>MIN(1,dataScale*data1!G11)</f>
        <v>0.999</v>
      </c>
      <c r="H11">
        <f>MIN(1,dataScale*data1!H11)</f>
        <v>0.999</v>
      </c>
      <c r="I11">
        <f>MIN(1,dataScale*data1!I11)</f>
        <v>0.999</v>
      </c>
      <c r="J11">
        <f>MIN(1,dataScale*data1!J11)</f>
        <v>0.999</v>
      </c>
      <c r="K11">
        <f>MIN(1,dataScale*data1!K11)</f>
        <v>0.999</v>
      </c>
      <c r="L11">
        <f>MIN(1,dataScale*data1!L11)</f>
        <v>0.999</v>
      </c>
    </row>
    <row r="12" spans="1:33">
      <c r="A12">
        <f>data1!A12</f>
        <v>10</v>
      </c>
      <c r="B12">
        <f>MIN(1,dataScale*data1!B12)</f>
        <v>0</v>
      </c>
      <c r="C12">
        <f>MIN(1,dataScale*data1!C12)</f>
        <v>0.999</v>
      </c>
      <c r="D12">
        <f>MIN(1,dataScale*data1!D12)</f>
        <v>0.999</v>
      </c>
      <c r="E12">
        <f>MIN(1,dataScale*data1!E12)</f>
        <v>0.999</v>
      </c>
      <c r="F12">
        <f>MIN(1,dataScale*data1!F12)</f>
        <v>0.999</v>
      </c>
      <c r="G12">
        <f>MIN(1,dataScale*data1!G12)</f>
        <v>0.999</v>
      </c>
      <c r="H12">
        <f>MIN(1,dataScale*data1!H12)</f>
        <v>0.999</v>
      </c>
      <c r="I12">
        <f>MIN(1,dataScale*data1!I12)</f>
        <v>0.999</v>
      </c>
      <c r="J12">
        <f>MIN(1,dataScale*data1!J12)</f>
        <v>0.999</v>
      </c>
      <c r="K12">
        <f>MIN(1,dataScale*data1!K12)</f>
        <v>0.999</v>
      </c>
      <c r="L12">
        <f>MIN(1,dataScale*data1!L12)</f>
        <v>0.999</v>
      </c>
    </row>
    <row r="13" spans="1:33">
      <c r="A13">
        <f>data1!A13</f>
        <v>11</v>
      </c>
      <c r="B13">
        <f>MIN(1,dataScale*data1!B13)</f>
        <v>0</v>
      </c>
      <c r="C13">
        <f>MIN(1,dataScale*data1!C13)</f>
        <v>0.999</v>
      </c>
      <c r="D13">
        <f>MIN(1,dataScale*data1!D13)</f>
        <v>0.99607843137254903</v>
      </c>
      <c r="E13">
        <f>MIN(1,dataScale*data1!E13)</f>
        <v>0.999</v>
      </c>
      <c r="F13">
        <f>MIN(1,dataScale*data1!F13)</f>
        <v>0.999</v>
      </c>
      <c r="G13">
        <f>MIN(1,dataScale*data1!G13)</f>
        <v>0.999</v>
      </c>
      <c r="H13">
        <f>MIN(1,dataScale*data1!H13)</f>
        <v>0.999</v>
      </c>
      <c r="I13">
        <f>MIN(1,dataScale*data1!I13)</f>
        <v>0.999</v>
      </c>
      <c r="J13">
        <f>MIN(1,dataScale*data1!J13)</f>
        <v>0.999</v>
      </c>
      <c r="K13">
        <f>MIN(1,dataScale*data1!K13)</f>
        <v>0.999</v>
      </c>
      <c r="L13">
        <f>MIN(1,dataScale*data1!L13)</f>
        <v>0.999</v>
      </c>
    </row>
    <row r="14" spans="1:33">
      <c r="A14">
        <f>data1!A14</f>
        <v>12</v>
      </c>
      <c r="B14">
        <f>MIN(1,dataScale*data1!B14)</f>
        <v>0</v>
      </c>
      <c r="C14">
        <f>MIN(1,dataScale*data1!C14)</f>
        <v>0.999</v>
      </c>
      <c r="D14">
        <f>MIN(1,dataScale*data1!D14)</f>
        <v>0.98039215686274506</v>
      </c>
      <c r="E14">
        <f>MIN(1,dataScale*data1!E14)</f>
        <v>0.98431372549019602</v>
      </c>
      <c r="F14">
        <f>MIN(1,dataScale*data1!F14)</f>
        <v>0.999</v>
      </c>
      <c r="G14">
        <f>MIN(1,dataScale*data1!G14)</f>
        <v>0.999</v>
      </c>
      <c r="H14">
        <f>MIN(1,dataScale*data1!H14)</f>
        <v>0.999</v>
      </c>
      <c r="I14">
        <f>MIN(1,dataScale*data1!I14)</f>
        <v>0.999</v>
      </c>
      <c r="J14">
        <f>MIN(1,dataScale*data1!J14)</f>
        <v>0.999</v>
      </c>
      <c r="K14">
        <f>MIN(1,dataScale*data1!K14)</f>
        <v>0.99215686274509807</v>
      </c>
      <c r="L14">
        <f>MIN(1,dataScale*data1!L14)</f>
        <v>0.999</v>
      </c>
    </row>
    <row r="15" spans="1:33">
      <c r="A15">
        <f>data1!A15</f>
        <v>13</v>
      </c>
      <c r="B15">
        <f>MIN(1,dataScale*data1!B15)</f>
        <v>0</v>
      </c>
      <c r="C15">
        <f>MIN(1,dataScale*data1!C15)</f>
        <v>0.999</v>
      </c>
      <c r="D15">
        <f>MIN(1,dataScale*data1!D15)</f>
        <v>0.95686274509803915</v>
      </c>
      <c r="E15">
        <f>MIN(1,dataScale*data1!E15)</f>
        <v>0.96078431372549022</v>
      </c>
      <c r="F15">
        <f>MIN(1,dataScale*data1!F15)</f>
        <v>0.98431372549019602</v>
      </c>
      <c r="G15">
        <f>MIN(1,dataScale*data1!G15)</f>
        <v>0.999</v>
      </c>
      <c r="H15">
        <f>MIN(1,dataScale*data1!H15)</f>
        <v>0.999</v>
      </c>
      <c r="I15">
        <f>MIN(1,dataScale*data1!I15)</f>
        <v>0.999</v>
      </c>
      <c r="J15">
        <f>MIN(1,dataScale*data1!J15)</f>
        <v>0.99607843137254903</v>
      </c>
      <c r="K15">
        <f>MIN(1,dataScale*data1!K15)</f>
        <v>0.96862745098039216</v>
      </c>
      <c r="L15">
        <f>MIN(1,dataScale*data1!L15)</f>
        <v>0.999</v>
      </c>
    </row>
    <row r="16" spans="1:33">
      <c r="A16">
        <f>data1!A16</f>
        <v>14</v>
      </c>
      <c r="B16">
        <f>MIN(1,dataScale*data1!B16)</f>
        <v>0</v>
      </c>
      <c r="C16">
        <f>MIN(1,dataScale*data1!C16)</f>
        <v>0.999</v>
      </c>
      <c r="D16">
        <f>MIN(1,dataScale*data1!D16)</f>
        <v>0.92941176470588238</v>
      </c>
      <c r="E16">
        <f>MIN(1,dataScale*data1!E16)</f>
        <v>0.90588235294117647</v>
      </c>
      <c r="F16">
        <f>MIN(1,dataScale*data1!F16)</f>
        <v>0.94509803921568625</v>
      </c>
      <c r="G16">
        <f>MIN(1,dataScale*data1!G16)</f>
        <v>0.99215686274509807</v>
      </c>
      <c r="H16">
        <f>MIN(1,dataScale*data1!H16)</f>
        <v>0.999</v>
      </c>
      <c r="I16">
        <f>MIN(1,dataScale*data1!I16)</f>
        <v>0.999</v>
      </c>
      <c r="J16">
        <f>MIN(1,dataScale*data1!J16)</f>
        <v>0.96470588235294119</v>
      </c>
      <c r="K16">
        <f>MIN(1,dataScale*data1!K16)</f>
        <v>0.90588235294117647</v>
      </c>
      <c r="L16">
        <f>MIN(1,dataScale*data1!L16)</f>
        <v>0.97647058823529409</v>
      </c>
    </row>
    <row r="17" spans="1:12">
      <c r="A17">
        <f>data1!A17</f>
        <v>15</v>
      </c>
      <c r="B17">
        <f>MIN(1,dataScale*data1!B17)</f>
        <v>0</v>
      </c>
      <c r="C17">
        <f>MIN(1,dataScale*data1!C17)</f>
        <v>0.97647058823529409</v>
      </c>
      <c r="D17">
        <f>MIN(1,dataScale*data1!D17)</f>
        <v>0.85882352941176465</v>
      </c>
      <c r="E17">
        <f>MIN(1,dataScale*data1!E17)</f>
        <v>0.80392156862745101</v>
      </c>
      <c r="F17">
        <f>MIN(1,dataScale*data1!F17)</f>
        <v>0.8666666666666667</v>
      </c>
      <c r="G17">
        <f>MIN(1,dataScale*data1!G17)</f>
        <v>0.90588235294117647</v>
      </c>
      <c r="H17">
        <f>MIN(1,dataScale*data1!H17)</f>
        <v>0.999</v>
      </c>
      <c r="I17">
        <f>MIN(1,dataScale*data1!I17)</f>
        <v>0.90588235294117647</v>
      </c>
      <c r="J17">
        <f>MIN(1,dataScale*data1!J17)</f>
        <v>0.8901960784313725</v>
      </c>
      <c r="K17">
        <f>MIN(1,dataScale*data1!K17)</f>
        <v>0.80392156862745101</v>
      </c>
      <c r="L17">
        <f>MIN(1,dataScale*data1!L17)</f>
        <v>0.8666666666666667</v>
      </c>
    </row>
    <row r="18" spans="1:12">
      <c r="A18">
        <f>data1!A18</f>
        <v>16</v>
      </c>
      <c r="B18">
        <f>MIN(1,dataScale*data1!B18)</f>
        <v>0</v>
      </c>
      <c r="C18">
        <f>MIN(1,dataScale*data1!C18)</f>
        <v>0.92156862745098034</v>
      </c>
      <c r="D18">
        <f>MIN(1,dataScale*data1!D18)</f>
        <v>0.76078431372549016</v>
      </c>
      <c r="E18">
        <f>MIN(1,dataScale*data1!E18)</f>
        <v>0.71764705882352942</v>
      </c>
      <c r="F18">
        <f>MIN(1,dataScale*data1!F18)</f>
        <v>0.76862745098039209</v>
      </c>
      <c r="G18">
        <f>MIN(1,dataScale*data1!G18)</f>
        <v>0.80784313725490198</v>
      </c>
      <c r="H18">
        <f>MIN(1,dataScale*data1!H18)</f>
        <v>0.89803921568627454</v>
      </c>
      <c r="I18">
        <f>MIN(1,dataScale*data1!I18)</f>
        <v>0.80392156862745101</v>
      </c>
      <c r="J18">
        <f>MIN(1,dataScale*data1!J18)</f>
        <v>0.792156862745098</v>
      </c>
      <c r="K18">
        <f>MIN(1,dataScale*data1!K18)</f>
        <v>0.71764705882352942</v>
      </c>
      <c r="L18">
        <f>MIN(1,dataScale*data1!L18)</f>
        <v>0.77254901960784317</v>
      </c>
    </row>
    <row r="19" spans="1:12">
      <c r="A19">
        <f>data1!A19</f>
        <v>17</v>
      </c>
      <c r="B19">
        <f>MIN(1,dataScale*data1!B19)</f>
        <v>0</v>
      </c>
      <c r="C19">
        <f>MIN(1,dataScale*data1!C19)</f>
        <v>0.82352941176470584</v>
      </c>
      <c r="D19">
        <f>MIN(1,dataScale*data1!D19)</f>
        <v>0.67843137254901964</v>
      </c>
      <c r="E19">
        <f>MIN(1,dataScale*data1!E19)</f>
        <v>0.6470588235294118</v>
      </c>
      <c r="F19">
        <f>MIN(1,dataScale*data1!F19)</f>
        <v>0.68627450980392157</v>
      </c>
      <c r="G19">
        <f>MIN(1,dataScale*data1!G19)</f>
        <v>0.72549019607843135</v>
      </c>
      <c r="H19">
        <f>MIN(1,dataScale*data1!H19)</f>
        <v>0.81176470588235294</v>
      </c>
      <c r="I19">
        <f>MIN(1,dataScale*data1!I19)</f>
        <v>0.72549019607843135</v>
      </c>
      <c r="J19">
        <f>MIN(1,dataScale*data1!J19)</f>
        <v>0.70980392156862748</v>
      </c>
      <c r="K19">
        <f>MIN(1,dataScale*data1!K19)</f>
        <v>0.63921568627450975</v>
      </c>
      <c r="L19">
        <f>MIN(1,dataScale*data1!L19)</f>
        <v>0.69411764705882351</v>
      </c>
    </row>
    <row r="20" spans="1:12">
      <c r="A20">
        <f>data1!A20</f>
        <v>18</v>
      </c>
      <c r="B20">
        <f>MIN(1,dataScale*data1!B20)</f>
        <v>0</v>
      </c>
      <c r="C20">
        <f>MIN(1,dataScale*data1!C20)</f>
        <v>0.74117647058823533</v>
      </c>
      <c r="D20">
        <f>MIN(1,dataScale*data1!D20)</f>
        <v>0.61176470588235299</v>
      </c>
      <c r="E20">
        <f>MIN(1,dataScale*data1!E20)</f>
        <v>0.58039215686274503</v>
      </c>
      <c r="F20">
        <f>MIN(1,dataScale*data1!F20)</f>
        <v>0.62352941176470589</v>
      </c>
      <c r="G20">
        <f>MIN(1,dataScale*data1!G20)</f>
        <v>0.65490196078431373</v>
      </c>
      <c r="H20">
        <f>MIN(1,dataScale*data1!H20)</f>
        <v>0.72941176470588232</v>
      </c>
      <c r="I20">
        <f>MIN(1,dataScale*data1!I20)</f>
        <v>0.65098039215686276</v>
      </c>
      <c r="J20">
        <f>MIN(1,dataScale*data1!J20)</f>
        <v>0.64313725490196072</v>
      </c>
      <c r="K20">
        <f>MIN(1,dataScale*data1!K20)</f>
        <v>0.58039215686274503</v>
      </c>
      <c r="L20">
        <f>MIN(1,dataScale*data1!L20)</f>
        <v>0.62745098039215685</v>
      </c>
    </row>
    <row r="21" spans="1:12">
      <c r="A21">
        <f>data1!A21</f>
        <v>19</v>
      </c>
      <c r="B21">
        <f>MIN(1,dataScale*data1!B21)</f>
        <v>0</v>
      </c>
      <c r="C21">
        <f>MIN(1,dataScale*data1!C21)</f>
        <v>0.6705882352941176</v>
      </c>
      <c r="D21">
        <f>MIN(1,dataScale*data1!D21)</f>
        <v>0.55294117647058827</v>
      </c>
      <c r="E21">
        <f>MIN(1,dataScale*data1!E21)</f>
        <v>0.52549019607843139</v>
      </c>
      <c r="F21">
        <f>MIN(1,dataScale*data1!F21)</f>
        <v>0.56470588235294117</v>
      </c>
      <c r="G21">
        <f>MIN(1,dataScale*data1!G21)</f>
        <v>0.59215686274509804</v>
      </c>
      <c r="H21">
        <f>MIN(1,dataScale*data1!H21)</f>
        <v>0.65490196078431373</v>
      </c>
      <c r="I21">
        <f>MIN(1,dataScale*data1!I21)</f>
        <v>0.59215686274509804</v>
      </c>
      <c r="J21">
        <f>MIN(1,dataScale*data1!J21)</f>
        <v>0.58039215686274503</v>
      </c>
      <c r="K21">
        <f>MIN(1,dataScale*data1!K21)</f>
        <v>0.52549019607843139</v>
      </c>
      <c r="L21">
        <f>MIN(1,dataScale*data1!L21)</f>
        <v>0.56862745098039214</v>
      </c>
    </row>
    <row r="22" spans="1:12">
      <c r="A22">
        <f>data1!A22</f>
        <v>20</v>
      </c>
      <c r="B22">
        <f>MIN(1,dataScale*data1!B22)</f>
        <v>0</v>
      </c>
      <c r="C22">
        <f>MIN(1,dataScale*data1!C22)</f>
        <v>0.61176470588235299</v>
      </c>
      <c r="D22">
        <f>MIN(1,dataScale*data1!D22)</f>
        <v>0.50588235294117645</v>
      </c>
      <c r="E22">
        <f>MIN(1,dataScale*data1!E22)</f>
        <v>0.47843137254901957</v>
      </c>
      <c r="F22">
        <f>MIN(1,dataScale*data1!F22)</f>
        <v>0.50980392156862742</v>
      </c>
      <c r="G22">
        <f>MIN(1,dataScale*data1!G22)</f>
        <v>0.54117647058823526</v>
      </c>
      <c r="H22">
        <f>MIN(1,dataScale*data1!H22)</f>
        <v>0.59607843137254901</v>
      </c>
      <c r="I22">
        <f>MIN(1,dataScale*data1!I22)</f>
        <v>0.53725490196078429</v>
      </c>
      <c r="J22">
        <f>MIN(1,dataScale*data1!J22)</f>
        <v>0.52941176470588236</v>
      </c>
      <c r="K22">
        <f>MIN(1,dataScale*data1!K22)</f>
        <v>0.47450980392156861</v>
      </c>
      <c r="L22">
        <f>MIN(1,dataScale*data1!L22)</f>
        <v>0.51764705882352935</v>
      </c>
    </row>
    <row r="23" spans="1:12">
      <c r="A23">
        <f>data1!A23</f>
        <v>21</v>
      </c>
      <c r="B23">
        <f>MIN(1,dataScale*data1!B23)</f>
        <v>0</v>
      </c>
      <c r="C23">
        <f>MIN(1,dataScale*data1!C23)</f>
        <v>0.5607843137254902</v>
      </c>
      <c r="D23">
        <f>MIN(1,dataScale*data1!D23)</f>
        <v>0.45490196078431372</v>
      </c>
      <c r="E23">
        <f>MIN(1,dataScale*data1!E23)</f>
        <v>0.4392156862745098</v>
      </c>
      <c r="F23">
        <f>MIN(1,dataScale*data1!F23)</f>
        <v>0.46666666666666667</v>
      </c>
      <c r="G23">
        <f>MIN(1,dataScale*data1!G23)</f>
        <v>0.49411764705882355</v>
      </c>
      <c r="H23">
        <f>MIN(1,dataScale*data1!H23)</f>
        <v>0.5490196078431373</v>
      </c>
      <c r="I23">
        <f>MIN(1,dataScale*data1!I23)</f>
        <v>0.49019607843137253</v>
      </c>
      <c r="J23">
        <f>MIN(1,dataScale*data1!J23)</f>
        <v>0.4823529411764706</v>
      </c>
      <c r="K23">
        <f>MIN(1,dataScale*data1!K23)</f>
        <v>0.43529411764705883</v>
      </c>
      <c r="L23">
        <f>MIN(1,dataScale*data1!L23)</f>
        <v>0.47450980392156861</v>
      </c>
    </row>
    <row r="24" spans="1:12">
      <c r="A24">
        <f>data1!A24</f>
        <v>22</v>
      </c>
      <c r="B24">
        <f>MIN(1,dataScale*data1!B24)</f>
        <v>0</v>
      </c>
      <c r="C24">
        <f>MIN(1,dataScale*data1!C24)</f>
        <v>0.50980392156862742</v>
      </c>
      <c r="D24">
        <f>MIN(1,dataScale*data1!D24)</f>
        <v>0.41960784313725491</v>
      </c>
      <c r="E24">
        <f>MIN(1,dataScale*data1!E24)</f>
        <v>0.4</v>
      </c>
      <c r="F24">
        <f>MIN(1,dataScale*data1!F24)</f>
        <v>0.42745098039215684</v>
      </c>
      <c r="G24">
        <f>MIN(1,dataScale*data1!G24)</f>
        <v>0.45490196078431372</v>
      </c>
      <c r="H24">
        <f>MIN(1,dataScale*data1!H24)</f>
        <v>0.50196078431372548</v>
      </c>
      <c r="I24">
        <f>MIN(1,dataScale*data1!I24)</f>
        <v>0.45098039215686275</v>
      </c>
      <c r="J24">
        <f>MIN(1,dataScale*data1!J24)</f>
        <v>0.4392156862745098</v>
      </c>
      <c r="K24">
        <f>MIN(1,dataScale*data1!K24)</f>
        <v>0.4</v>
      </c>
      <c r="L24">
        <f>MIN(1,dataScale*data1!L24)</f>
        <v>0.43529411764705883</v>
      </c>
    </row>
    <row r="25" spans="1:12">
      <c r="A25">
        <f>data1!A25</f>
        <v>23</v>
      </c>
      <c r="B25">
        <f>MIN(1,dataScale*data1!B25)</f>
        <v>0</v>
      </c>
      <c r="C25">
        <f>MIN(1,dataScale*data1!C25)</f>
        <v>0.47450980392156861</v>
      </c>
      <c r="D25">
        <f>MIN(1,dataScale*data1!D25)</f>
        <v>0.38823529411764707</v>
      </c>
      <c r="E25">
        <f>MIN(1,dataScale*data1!E25)</f>
        <v>0.36862745098039218</v>
      </c>
      <c r="F25">
        <f>MIN(1,dataScale*data1!F25)</f>
        <v>0.396078431372549</v>
      </c>
      <c r="G25">
        <f>MIN(1,dataScale*data1!G25)</f>
        <v>0.41568627450980389</v>
      </c>
      <c r="H25">
        <f>MIN(1,dataScale*data1!H25)</f>
        <v>0.45882352941176469</v>
      </c>
      <c r="I25">
        <f>MIN(1,dataScale*data1!I25)</f>
        <v>0.41568627450980389</v>
      </c>
      <c r="J25">
        <f>MIN(1,dataScale*data1!J25)</f>
        <v>0.40784313725490196</v>
      </c>
      <c r="K25">
        <f>MIN(1,dataScale*data1!K25)</f>
        <v>0.36862745098039218</v>
      </c>
      <c r="L25">
        <f>MIN(1,dataScale*data1!L25)</f>
        <v>0.4</v>
      </c>
    </row>
    <row r="26" spans="1:12">
      <c r="A26">
        <f>data1!A26</f>
        <v>24</v>
      </c>
      <c r="B26">
        <f>MIN(1,dataScale*data1!B26)</f>
        <v>0</v>
      </c>
      <c r="C26">
        <f>MIN(1,dataScale*data1!C26)</f>
        <v>0.42745098039215684</v>
      </c>
      <c r="D26">
        <f>MIN(1,dataScale*data1!D26)</f>
        <v>0.35686274509803922</v>
      </c>
      <c r="E26">
        <f>MIN(1,dataScale*data1!E26)</f>
        <v>0.3411764705882353</v>
      </c>
      <c r="F26">
        <f>MIN(1,dataScale*data1!F26)</f>
        <v>0.36470588235294116</v>
      </c>
      <c r="G26">
        <f>MIN(1,dataScale*data1!G26)</f>
        <v>0.38431372549019605</v>
      </c>
      <c r="H26">
        <f>MIN(1,dataScale*data1!H26)</f>
        <v>0.42352941176470588</v>
      </c>
      <c r="I26">
        <f>MIN(1,dataScale*data1!I26)</f>
        <v>0.38039215686274508</v>
      </c>
      <c r="J26">
        <f>MIN(1,dataScale*data1!J26)</f>
        <v>0.37647058823529411</v>
      </c>
      <c r="K26">
        <f>MIN(1,dataScale*data1!K26)</f>
        <v>0.3411764705882353</v>
      </c>
      <c r="L26">
        <f>MIN(1,dataScale*data1!L26)</f>
        <v>0.36862745098039218</v>
      </c>
    </row>
    <row r="27" spans="1:12">
      <c r="A27">
        <f>data1!A27</f>
        <v>25</v>
      </c>
      <c r="B27">
        <f>MIN(1,dataScale*data1!B27)</f>
        <v>0</v>
      </c>
      <c r="C27">
        <f>MIN(1,dataScale*data1!C27)</f>
        <v>0.40784313725490196</v>
      </c>
      <c r="D27">
        <f>MIN(1,dataScale*data1!D27)</f>
        <v>0.32941176470588235</v>
      </c>
      <c r="E27">
        <f>MIN(1,dataScale*data1!E27)</f>
        <v>0.31372549019607843</v>
      </c>
      <c r="F27">
        <f>MIN(1,dataScale*data1!F27)</f>
        <v>0.33333333333333331</v>
      </c>
      <c r="G27">
        <f>MIN(1,dataScale*data1!G27)</f>
        <v>0.35686274509803922</v>
      </c>
      <c r="H27">
        <f>MIN(1,dataScale*data1!H27)</f>
        <v>0.396078431372549</v>
      </c>
      <c r="I27">
        <f>MIN(1,dataScale*data1!I27)</f>
        <v>0.35686274509803922</v>
      </c>
      <c r="J27">
        <f>MIN(1,dataScale*data1!J27)</f>
        <v>0.34901960784313724</v>
      </c>
      <c r="K27">
        <f>MIN(1,dataScale*data1!K27)</f>
        <v>0.31372549019607843</v>
      </c>
      <c r="L27">
        <f>MIN(1,dataScale*data1!L27)</f>
        <v>0.34509803921568627</v>
      </c>
    </row>
    <row r="28" spans="1:12">
      <c r="A28">
        <f>data1!A28</f>
        <v>26</v>
      </c>
      <c r="B28">
        <f>MIN(1,dataScale*data1!B28)</f>
        <v>0</v>
      </c>
      <c r="C28">
        <f>MIN(1,dataScale*data1!C28)</f>
        <v>0.37254901960784315</v>
      </c>
      <c r="D28">
        <f>MIN(1,dataScale*data1!D28)</f>
        <v>0.30588235294117649</v>
      </c>
      <c r="E28">
        <f>MIN(1,dataScale*data1!E28)</f>
        <v>0.29411764705882354</v>
      </c>
      <c r="F28">
        <f>MIN(1,dataScale*data1!F28)</f>
        <v>0.30588235294117649</v>
      </c>
      <c r="G28">
        <f>MIN(1,dataScale*data1!G28)</f>
        <v>0.32941176470588235</v>
      </c>
      <c r="H28">
        <f>MIN(1,dataScale*data1!H28)</f>
        <v>0.36862745098039218</v>
      </c>
      <c r="I28">
        <f>MIN(1,dataScale*data1!I28)</f>
        <v>0.32941176470588235</v>
      </c>
      <c r="J28">
        <f>MIN(1,dataScale*data1!J28)</f>
        <v>0.32549019607843138</v>
      </c>
      <c r="K28">
        <f>MIN(1,dataScale*data1!K28)</f>
        <v>0.29411764705882354</v>
      </c>
      <c r="L28">
        <f>MIN(1,dataScale*data1!L28)</f>
        <v>0.31764705882352939</v>
      </c>
    </row>
    <row r="29" spans="1:12">
      <c r="A29">
        <f>data1!A29</f>
        <v>27</v>
      </c>
      <c r="B29">
        <f>MIN(1,dataScale*data1!B29)</f>
        <v>0</v>
      </c>
      <c r="C29">
        <f>MIN(1,dataScale*data1!C29)</f>
        <v>0.34509803921568627</v>
      </c>
      <c r="D29">
        <f>MIN(1,dataScale*data1!D29)</f>
        <v>0.28235294117647058</v>
      </c>
      <c r="E29">
        <f>MIN(1,dataScale*data1!E29)</f>
        <v>0.27450980392156865</v>
      </c>
      <c r="F29">
        <f>MIN(1,dataScale*data1!F29)</f>
        <v>0.28627450980392155</v>
      </c>
      <c r="G29">
        <f>MIN(1,dataScale*data1!G29)</f>
        <v>0.30196078431372547</v>
      </c>
      <c r="H29">
        <f>MIN(1,dataScale*data1!H29)</f>
        <v>0.3411764705882353</v>
      </c>
      <c r="I29">
        <f>MIN(1,dataScale*data1!I29)</f>
        <v>0.30196078431372547</v>
      </c>
      <c r="J29">
        <f>MIN(1,dataScale*data1!J29)</f>
        <v>0.30196078431372547</v>
      </c>
      <c r="K29">
        <f>MIN(1,dataScale*data1!K29)</f>
        <v>0.27058823529411763</v>
      </c>
      <c r="L29">
        <f>MIN(1,dataScale*data1!L29)</f>
        <v>0.29019607843137252</v>
      </c>
    </row>
    <row r="30" spans="1:12">
      <c r="A30">
        <f>data1!A30</f>
        <v>28</v>
      </c>
      <c r="B30">
        <f>MIN(1,dataScale*data1!B30)</f>
        <v>0</v>
      </c>
      <c r="C30">
        <f>MIN(1,dataScale*data1!C30)</f>
        <v>0.32549019607843138</v>
      </c>
      <c r="D30">
        <f>MIN(1,dataScale*data1!D30)</f>
        <v>0.26666666666666666</v>
      </c>
      <c r="E30">
        <f>MIN(1,dataScale*data1!E30)</f>
        <v>0.25490196078431371</v>
      </c>
      <c r="F30">
        <f>MIN(1,dataScale*data1!F30)</f>
        <v>0.26666666666666666</v>
      </c>
      <c r="G30">
        <f>MIN(1,dataScale*data1!G30)</f>
        <v>0.28235294117647058</v>
      </c>
      <c r="H30">
        <f>MIN(1,dataScale*data1!H30)</f>
        <v>0.31764705882352939</v>
      </c>
      <c r="I30">
        <f>MIN(1,dataScale*data1!I30)</f>
        <v>0.28235294117647058</v>
      </c>
      <c r="J30">
        <f>MIN(1,dataScale*data1!J30)</f>
        <v>0.28627450980392155</v>
      </c>
      <c r="K30">
        <f>MIN(1,dataScale*data1!K30)</f>
        <v>0.24705882352941178</v>
      </c>
      <c r="L30">
        <f>MIN(1,dataScale*data1!L30)</f>
        <v>0.27450980392156865</v>
      </c>
    </row>
    <row r="31" spans="1:12">
      <c r="A31">
        <f>data1!A31</f>
        <v>29</v>
      </c>
      <c r="B31">
        <f>MIN(1,dataScale*data1!B31)</f>
        <v>0</v>
      </c>
      <c r="C31">
        <f>MIN(1,dataScale*data1!C31)</f>
        <v>0.30588235294117649</v>
      </c>
      <c r="D31">
        <f>MIN(1,dataScale*data1!D31)</f>
        <v>0.25098039215686274</v>
      </c>
      <c r="E31">
        <f>MIN(1,dataScale*data1!E31)</f>
        <v>0.23921568627450979</v>
      </c>
      <c r="F31">
        <f>MIN(1,dataScale*data1!F31)</f>
        <v>0.25098039215686274</v>
      </c>
      <c r="G31">
        <f>MIN(1,dataScale*data1!G31)</f>
        <v>0.2627450980392157</v>
      </c>
      <c r="H31">
        <f>MIN(1,dataScale*data1!H31)</f>
        <v>0.29411764705882354</v>
      </c>
      <c r="I31">
        <f>MIN(1,dataScale*data1!I31)</f>
        <v>0.2627450980392157</v>
      </c>
      <c r="J31">
        <f>MIN(1,dataScale*data1!J31)</f>
        <v>0.26666666666666666</v>
      </c>
      <c r="K31">
        <f>MIN(1,dataScale*data1!K31)</f>
        <v>0.23529411764705882</v>
      </c>
      <c r="L31">
        <f>MIN(1,dataScale*data1!L31)</f>
        <v>0.25490196078431371</v>
      </c>
    </row>
    <row r="32" spans="1:12">
      <c r="A32">
        <f>data1!A32</f>
        <v>30</v>
      </c>
      <c r="B32">
        <f>MIN(1,dataScale*data1!B32)</f>
        <v>0</v>
      </c>
      <c r="C32">
        <f>MIN(1,dataScale*data1!C32)</f>
        <v>0.28235294117647058</v>
      </c>
      <c r="D32">
        <f>MIN(1,dataScale*data1!D32)</f>
        <v>0.23529411764705882</v>
      </c>
      <c r="E32">
        <f>MIN(1,dataScale*data1!E32)</f>
        <v>0.22745098039215686</v>
      </c>
      <c r="F32">
        <f>MIN(1,dataScale*data1!F32)</f>
        <v>0.23529411764705882</v>
      </c>
      <c r="G32">
        <f>MIN(1,dataScale*data1!G32)</f>
        <v>0.24705882352941178</v>
      </c>
      <c r="H32">
        <f>MIN(1,dataScale*data1!H32)</f>
        <v>0.27450980392156865</v>
      </c>
      <c r="I32">
        <f>MIN(1,dataScale*data1!I32)</f>
        <v>0.24705882352941178</v>
      </c>
      <c r="J32">
        <f>MIN(1,dataScale*data1!J32)</f>
        <v>0.25098039215686274</v>
      </c>
      <c r="K32">
        <f>MIN(1,dataScale*data1!K32)</f>
        <v>0.2196078431372549</v>
      </c>
      <c r="L32">
        <f>MIN(1,dataScale*data1!L32)</f>
        <v>0.23921568627450979</v>
      </c>
    </row>
    <row r="33" spans="1:12">
      <c r="A33">
        <f>data1!A33</f>
        <v>31</v>
      </c>
      <c r="B33">
        <f>MIN(1,dataScale*data1!B33)</f>
        <v>0</v>
      </c>
      <c r="C33">
        <f>MIN(1,dataScale*data1!C33)</f>
        <v>0.26666666666666666</v>
      </c>
      <c r="D33">
        <f>MIN(1,dataScale*data1!D33)</f>
        <v>0.2196078431372549</v>
      </c>
      <c r="E33">
        <f>MIN(1,dataScale*data1!E33)</f>
        <v>0.21176470588235294</v>
      </c>
      <c r="F33">
        <f>MIN(1,dataScale*data1!F33)</f>
        <v>0.2196078431372549</v>
      </c>
      <c r="G33">
        <f>MIN(1,dataScale*data1!G33)</f>
        <v>0.23529411764705882</v>
      </c>
      <c r="H33">
        <f>MIN(1,dataScale*data1!H33)</f>
        <v>0.25882352941176467</v>
      </c>
      <c r="I33">
        <f>MIN(1,dataScale*data1!I33)</f>
        <v>0.23137254901960785</v>
      </c>
      <c r="J33">
        <f>MIN(1,dataScale*data1!J33)</f>
        <v>0.23529411764705882</v>
      </c>
      <c r="K33">
        <f>MIN(1,dataScale*data1!K33)</f>
        <v>0.20392156862745098</v>
      </c>
      <c r="L33">
        <f>MIN(1,dataScale*data1!L33)</f>
        <v>0.22352941176470587</v>
      </c>
    </row>
    <row r="34" spans="1:12">
      <c r="A34">
        <f>data1!A34</f>
        <v>32</v>
      </c>
      <c r="B34">
        <f>MIN(1,dataScale*data1!B34)</f>
        <v>0</v>
      </c>
      <c r="C34">
        <f>MIN(1,dataScale*data1!C34)</f>
        <v>0.25098039215686274</v>
      </c>
      <c r="D34">
        <f>MIN(1,dataScale*data1!D34)</f>
        <v>0.20784313725490194</v>
      </c>
      <c r="E34">
        <f>MIN(1,dataScale*data1!E34)</f>
        <v>0.2</v>
      </c>
      <c r="F34">
        <f>MIN(1,dataScale*data1!F34)</f>
        <v>0.20784313725490194</v>
      </c>
      <c r="G34">
        <f>MIN(1,dataScale*data1!G34)</f>
        <v>0.2196078431372549</v>
      </c>
      <c r="H34">
        <f>MIN(1,dataScale*data1!H34)</f>
        <v>0.24313725490196078</v>
      </c>
      <c r="I34">
        <f>MIN(1,dataScale*data1!I34)</f>
        <v>0.2196078431372549</v>
      </c>
      <c r="J34">
        <f>MIN(1,dataScale*data1!J34)</f>
        <v>0.22352941176470587</v>
      </c>
      <c r="K34">
        <f>MIN(1,dataScale*data1!K34)</f>
        <v>0.19215686274509802</v>
      </c>
      <c r="L34">
        <f>MIN(1,dataScale*data1!L34)</f>
        <v>0.21176470588235294</v>
      </c>
    </row>
    <row r="35" spans="1:12">
      <c r="A35">
        <f>data1!A35</f>
        <v>33</v>
      </c>
      <c r="B35">
        <f>MIN(1,dataScale*data1!B35)</f>
        <v>0</v>
      </c>
      <c r="C35">
        <f>MIN(1,dataScale*data1!C35)</f>
        <v>0.23529411764705882</v>
      </c>
      <c r="D35">
        <f>MIN(1,dataScale*data1!D35)</f>
        <v>0.19607843137254902</v>
      </c>
      <c r="E35">
        <f>MIN(1,dataScale*data1!E35)</f>
        <v>0.18823529411764706</v>
      </c>
      <c r="F35">
        <f>MIN(1,dataScale*data1!F35)</f>
        <v>0.19607843137254902</v>
      </c>
      <c r="G35">
        <f>MIN(1,dataScale*data1!G35)</f>
        <v>0.20784313725490194</v>
      </c>
      <c r="H35">
        <f>MIN(1,dataScale*data1!H35)</f>
        <v>0.23137254901960785</v>
      </c>
      <c r="I35">
        <f>MIN(1,dataScale*data1!I35)</f>
        <v>0.20784313725490194</v>
      </c>
      <c r="J35">
        <f>MIN(1,dataScale*data1!J35)</f>
        <v>0.21176470588235294</v>
      </c>
      <c r="K35">
        <f>MIN(1,dataScale*data1!K35)</f>
        <v>0.1803921568627451</v>
      </c>
      <c r="L35">
        <f>MIN(1,dataScale*data1!L35)</f>
        <v>0.2</v>
      </c>
    </row>
    <row r="36" spans="1:12">
      <c r="A36">
        <f>data1!A36</f>
        <v>34</v>
      </c>
      <c r="B36">
        <f>MIN(1,dataScale*data1!B36)</f>
        <v>0</v>
      </c>
      <c r="C36">
        <f>MIN(1,dataScale*data1!C36)</f>
        <v>0.22352941176470587</v>
      </c>
      <c r="D36">
        <f>MIN(1,dataScale*data1!D36)</f>
        <v>0.1803921568627451</v>
      </c>
      <c r="E36">
        <f>MIN(1,dataScale*data1!E36)</f>
        <v>0.1803921568627451</v>
      </c>
      <c r="F36">
        <f>MIN(1,dataScale*data1!F36)</f>
        <v>0.18431372549019609</v>
      </c>
      <c r="G36">
        <f>MIN(1,dataScale*data1!G36)</f>
        <v>0.19607843137254902</v>
      </c>
      <c r="H36">
        <f>MIN(1,dataScale*data1!H36)</f>
        <v>0.22352941176470587</v>
      </c>
      <c r="I36">
        <f>MIN(1,dataScale*data1!I36)</f>
        <v>0.19607843137254902</v>
      </c>
      <c r="J36">
        <f>MIN(1,dataScale*data1!J36)</f>
        <v>0.19607843137254902</v>
      </c>
      <c r="K36">
        <f>MIN(1,dataScale*data1!K36)</f>
        <v>0.17254901960784313</v>
      </c>
      <c r="L36">
        <f>MIN(1,dataScale*data1!L36)</f>
        <v>0.18823529411764706</v>
      </c>
    </row>
    <row r="37" spans="1:12">
      <c r="A37">
        <f>data1!A37</f>
        <v>35</v>
      </c>
      <c r="B37">
        <f>MIN(1,dataScale*data1!B37)</f>
        <v>0</v>
      </c>
      <c r="C37">
        <f>MIN(1,dataScale*data1!C37)</f>
        <v>0.21176470588235294</v>
      </c>
      <c r="D37">
        <f>MIN(1,dataScale*data1!D37)</f>
        <v>0.17254901960784313</v>
      </c>
      <c r="E37">
        <f>MIN(1,dataScale*data1!E37)</f>
        <v>0.16470588235294117</v>
      </c>
      <c r="F37">
        <f>MIN(1,dataScale*data1!F37)</f>
        <v>0.16862745098039217</v>
      </c>
      <c r="G37">
        <f>MIN(1,dataScale*data1!G37)</f>
        <v>0.18431372549019609</v>
      </c>
      <c r="H37">
        <f>MIN(1,dataScale*data1!H37)</f>
        <v>0.20392156862745098</v>
      </c>
      <c r="I37">
        <f>MIN(1,dataScale*data1!I37)</f>
        <v>0.18431372549019609</v>
      </c>
      <c r="J37">
        <f>MIN(1,dataScale*data1!J37)</f>
        <v>0.18823529411764706</v>
      </c>
      <c r="K37">
        <f>MIN(1,dataScale*data1!K37)</f>
        <v>0.16078431372549018</v>
      </c>
      <c r="L37">
        <f>MIN(1,dataScale*data1!L37)</f>
        <v>0.1764705882352941</v>
      </c>
    </row>
    <row r="38" spans="1:12">
      <c r="A38">
        <f>data1!A38</f>
        <v>36</v>
      </c>
      <c r="B38">
        <f>MIN(1,dataScale*data1!B38)</f>
        <v>0</v>
      </c>
      <c r="C38">
        <f>MIN(1,dataScale*data1!C38)</f>
        <v>0.2</v>
      </c>
      <c r="D38">
        <f>MIN(1,dataScale*data1!D38)</f>
        <v>0.16078431372549018</v>
      </c>
      <c r="E38">
        <f>MIN(1,dataScale*data1!E38)</f>
        <v>0.16078431372549018</v>
      </c>
      <c r="F38">
        <f>MIN(1,dataScale*data1!F38)</f>
        <v>0.16470588235294117</v>
      </c>
      <c r="G38">
        <f>MIN(1,dataScale*data1!G38)</f>
        <v>0.1764705882352941</v>
      </c>
      <c r="H38">
        <f>MIN(1,dataScale*data1!H38)</f>
        <v>0.19215686274509802</v>
      </c>
      <c r="I38">
        <f>MIN(1,dataScale*data1!I38)</f>
        <v>0.17254901960784313</v>
      </c>
      <c r="J38">
        <f>MIN(1,dataScale*data1!J38)</f>
        <v>0.1764705882352941</v>
      </c>
      <c r="K38">
        <f>MIN(1,dataScale*data1!K38)</f>
        <v>0.15294117647058825</v>
      </c>
      <c r="L38">
        <f>MIN(1,dataScale*data1!L38)</f>
        <v>0.16862745098039217</v>
      </c>
    </row>
    <row r="39" spans="1:12">
      <c r="A39">
        <f>data1!A39</f>
        <v>37</v>
      </c>
      <c r="B39">
        <f>MIN(1,dataScale*data1!B39)</f>
        <v>0</v>
      </c>
      <c r="C39">
        <f>MIN(1,dataScale*data1!C39)</f>
        <v>0.19215686274509802</v>
      </c>
      <c r="D39">
        <f>MIN(1,dataScale*data1!D39)</f>
        <v>0.15686274509803921</v>
      </c>
      <c r="E39">
        <f>MIN(1,dataScale*data1!E39)</f>
        <v>0.14901960784313725</v>
      </c>
      <c r="F39">
        <f>MIN(1,dataScale*data1!F39)</f>
        <v>0.15686274509803921</v>
      </c>
      <c r="G39">
        <f>MIN(1,dataScale*data1!G39)</f>
        <v>0.16470588235294117</v>
      </c>
      <c r="H39">
        <f>MIN(1,dataScale*data1!H39)</f>
        <v>0.18431372549019609</v>
      </c>
      <c r="I39">
        <f>MIN(1,dataScale*data1!I39)</f>
        <v>0.16470588235294117</v>
      </c>
      <c r="J39">
        <f>MIN(1,dataScale*data1!J39)</f>
        <v>0.16862745098039217</v>
      </c>
      <c r="K39">
        <f>MIN(1,dataScale*data1!K39)</f>
        <v>0.14509803921568626</v>
      </c>
      <c r="L39">
        <f>MIN(1,dataScale*data1!L39)</f>
        <v>0.16078431372549018</v>
      </c>
    </row>
    <row r="40" spans="1:12">
      <c r="A40">
        <f>data1!A40</f>
        <v>38</v>
      </c>
      <c r="B40">
        <f>MIN(1,dataScale*data1!B40)</f>
        <v>0</v>
      </c>
      <c r="C40">
        <f>MIN(1,dataScale*data1!C40)</f>
        <v>0.1803921568627451</v>
      </c>
      <c r="D40">
        <f>MIN(1,dataScale*data1!D40)</f>
        <v>0.14901960784313725</v>
      </c>
      <c r="E40">
        <f>MIN(1,dataScale*data1!E40)</f>
        <v>0.14509803921568626</v>
      </c>
      <c r="F40">
        <f>MIN(1,dataScale*data1!F40)</f>
        <v>0.14901960784313725</v>
      </c>
      <c r="G40">
        <f>MIN(1,dataScale*data1!G40)</f>
        <v>0.15686274509803921</v>
      </c>
      <c r="H40">
        <f>MIN(1,dataScale*data1!H40)</f>
        <v>0.1764705882352941</v>
      </c>
      <c r="I40">
        <f>MIN(1,dataScale*data1!I40)</f>
        <v>0.15686274509803921</v>
      </c>
      <c r="J40">
        <f>MIN(1,dataScale*data1!J40)</f>
        <v>0.16078431372549018</v>
      </c>
      <c r="K40">
        <f>MIN(1,dataScale*data1!K40)</f>
        <v>0.13725490196078433</v>
      </c>
      <c r="L40">
        <f>MIN(1,dataScale*data1!L40)</f>
        <v>0.15294117647058825</v>
      </c>
    </row>
    <row r="41" spans="1:12">
      <c r="A41">
        <f>data1!A41</f>
        <v>39</v>
      </c>
      <c r="B41">
        <f>MIN(1,dataScale*data1!B41)</f>
        <v>0</v>
      </c>
      <c r="C41">
        <f>MIN(1,dataScale*data1!C41)</f>
        <v>0.17254901960784313</v>
      </c>
      <c r="D41">
        <f>MIN(1,dataScale*data1!D41)</f>
        <v>0.14117647058823529</v>
      </c>
      <c r="E41">
        <f>MIN(1,dataScale*data1!E41)</f>
        <v>0.13725490196078433</v>
      </c>
      <c r="F41">
        <f>MIN(1,dataScale*data1!F41)</f>
        <v>0.14117647058823529</v>
      </c>
      <c r="G41">
        <f>MIN(1,dataScale*data1!G41)</f>
        <v>0.14901960784313725</v>
      </c>
      <c r="H41">
        <f>MIN(1,dataScale*data1!H41)</f>
        <v>0.16470588235294117</v>
      </c>
      <c r="I41">
        <f>MIN(1,dataScale*data1!I41)</f>
        <v>0.14901960784313725</v>
      </c>
      <c r="J41">
        <f>MIN(1,dataScale*data1!J41)</f>
        <v>0.15294117647058825</v>
      </c>
      <c r="K41">
        <f>MIN(1,dataScale*data1!K41)</f>
        <v>0.12941176470588234</v>
      </c>
      <c r="L41">
        <f>MIN(1,dataScale*data1!L41)</f>
        <v>0.14509803921568626</v>
      </c>
    </row>
    <row r="42" spans="1:12">
      <c r="A42">
        <f>data1!A42</f>
        <v>40</v>
      </c>
      <c r="B42">
        <f>MIN(1,dataScale*data1!B42)</f>
        <v>0</v>
      </c>
      <c r="C42">
        <f>MIN(1,dataScale*data1!C42)</f>
        <v>0.16470588235294117</v>
      </c>
      <c r="D42">
        <f>MIN(1,dataScale*data1!D42)</f>
        <v>0.13333333333333333</v>
      </c>
      <c r="E42">
        <f>MIN(1,dataScale*data1!E42)</f>
        <v>0.12941176470588234</v>
      </c>
      <c r="F42">
        <f>MIN(1,dataScale*data1!F42)</f>
        <v>0.13333333333333333</v>
      </c>
      <c r="G42">
        <f>MIN(1,dataScale*data1!G42)</f>
        <v>0.14117647058823529</v>
      </c>
      <c r="H42">
        <f>MIN(1,dataScale*data1!H42)</f>
        <v>0.15686274509803921</v>
      </c>
      <c r="I42">
        <f>MIN(1,dataScale*data1!I42)</f>
        <v>0.13725490196078433</v>
      </c>
      <c r="J42">
        <f>MIN(1,dataScale*data1!J42)</f>
        <v>0.14509803921568626</v>
      </c>
      <c r="K42">
        <f>MIN(1,dataScale*data1!K42)</f>
        <v>0.12549019607843137</v>
      </c>
      <c r="L42">
        <f>MIN(1,dataScale*data1!L42)</f>
        <v>0.13725490196078433</v>
      </c>
    </row>
    <row r="43" spans="1:12">
      <c r="A43">
        <f>data1!A43</f>
        <v>41</v>
      </c>
      <c r="B43">
        <f>MIN(1,dataScale*data1!B43)</f>
        <v>0</v>
      </c>
      <c r="C43">
        <f>MIN(1,dataScale*data1!C43)</f>
        <v>0.15686274509803921</v>
      </c>
      <c r="D43">
        <f>MIN(1,dataScale*data1!D43)</f>
        <v>0.12549019607843137</v>
      </c>
      <c r="E43">
        <f>MIN(1,dataScale*data1!E43)</f>
        <v>0.12549019607843137</v>
      </c>
      <c r="F43">
        <f>MIN(1,dataScale*data1!F43)</f>
        <v>0.12941176470588234</v>
      </c>
      <c r="G43">
        <f>MIN(1,dataScale*data1!G43)</f>
        <v>0.13725490196078433</v>
      </c>
      <c r="H43">
        <f>MIN(1,dataScale*data1!H43)</f>
        <v>0.15294117647058825</v>
      </c>
      <c r="I43">
        <f>MIN(1,dataScale*data1!I43)</f>
        <v>0.13725490196078433</v>
      </c>
      <c r="J43">
        <f>MIN(1,dataScale*data1!J43)</f>
        <v>0.13725490196078433</v>
      </c>
      <c r="K43">
        <f>MIN(1,dataScale*data1!K43)</f>
        <v>0.11764705882352941</v>
      </c>
      <c r="L43">
        <f>MIN(1,dataScale*data1!L43)</f>
        <v>0.12941176470588234</v>
      </c>
    </row>
    <row r="44" spans="1:12">
      <c r="A44">
        <f>data1!A44</f>
        <v>42</v>
      </c>
      <c r="B44">
        <f>MIN(1,dataScale*data1!B44)</f>
        <v>0</v>
      </c>
      <c r="C44">
        <f>MIN(1,dataScale*data1!C44)</f>
        <v>0.14901960784313725</v>
      </c>
      <c r="D44">
        <f>MIN(1,dataScale*data1!D44)</f>
        <v>0.12156862745098039</v>
      </c>
      <c r="E44">
        <f>MIN(1,dataScale*data1!E44)</f>
        <v>0.11764705882352941</v>
      </c>
      <c r="F44">
        <f>MIN(1,dataScale*data1!F44)</f>
        <v>0.12156862745098039</v>
      </c>
      <c r="G44">
        <f>MIN(1,dataScale*data1!G44)</f>
        <v>0.12941176470588234</v>
      </c>
      <c r="H44">
        <f>MIN(1,dataScale*data1!H44)</f>
        <v>0.14509803921568626</v>
      </c>
      <c r="I44">
        <f>MIN(1,dataScale*data1!I44)</f>
        <v>0.12941176470588234</v>
      </c>
      <c r="J44">
        <f>MIN(1,dataScale*data1!J44)</f>
        <v>0.13333333333333333</v>
      </c>
      <c r="K44">
        <f>MIN(1,dataScale*data1!K44)</f>
        <v>0.11372549019607843</v>
      </c>
      <c r="L44">
        <f>MIN(1,dataScale*data1!L44)</f>
        <v>0.12549019607843137</v>
      </c>
    </row>
    <row r="45" spans="1:12">
      <c r="A45">
        <f>data1!A45</f>
        <v>43</v>
      </c>
      <c r="B45">
        <f>MIN(1,dataScale*data1!B45)</f>
        <v>0</v>
      </c>
      <c r="C45">
        <f>MIN(1,dataScale*data1!C45)</f>
        <v>0.14117647058823529</v>
      </c>
      <c r="D45">
        <f>MIN(1,dataScale*data1!D45)</f>
        <v>0.11764705882352941</v>
      </c>
      <c r="E45">
        <f>MIN(1,dataScale*data1!E45)</f>
        <v>0.10980392156862745</v>
      </c>
      <c r="F45">
        <f>MIN(1,dataScale*data1!F45)</f>
        <v>0.11764705882352941</v>
      </c>
      <c r="G45">
        <f>MIN(1,dataScale*data1!G45)</f>
        <v>0.12549019607843137</v>
      </c>
      <c r="H45">
        <f>MIN(1,dataScale*data1!H45)</f>
        <v>0.13725490196078433</v>
      </c>
      <c r="I45">
        <f>MIN(1,dataScale*data1!I45)</f>
        <v>0.12156862745098039</v>
      </c>
      <c r="J45">
        <f>MIN(1,dataScale*data1!J45)</f>
        <v>0.12941176470588234</v>
      </c>
      <c r="K45">
        <f>MIN(1,dataScale*data1!K45)</f>
        <v>0.10980392156862745</v>
      </c>
      <c r="L45">
        <f>MIN(1,dataScale*data1!L45)</f>
        <v>0.11764705882352941</v>
      </c>
    </row>
    <row r="46" spans="1:12">
      <c r="A46">
        <f>data1!A46</f>
        <v>44</v>
      </c>
      <c r="B46">
        <f>MIN(1,dataScale*data1!B46)</f>
        <v>0</v>
      </c>
      <c r="C46">
        <f>MIN(1,dataScale*data1!C46)</f>
        <v>0.13725490196078433</v>
      </c>
      <c r="D46">
        <f>MIN(1,dataScale*data1!D46)</f>
        <v>0.11372549019607843</v>
      </c>
      <c r="E46">
        <f>MIN(1,dataScale*data1!E46)</f>
        <v>0.10980392156862745</v>
      </c>
      <c r="F46">
        <f>MIN(1,dataScale*data1!F46)</f>
        <v>0.11372549019607843</v>
      </c>
      <c r="G46">
        <f>MIN(1,dataScale*data1!G46)</f>
        <v>0.11764705882352941</v>
      </c>
      <c r="H46">
        <f>MIN(1,dataScale*data1!H46)</f>
        <v>0.13333333333333333</v>
      </c>
      <c r="I46">
        <f>MIN(1,dataScale*data1!I46)</f>
        <v>0.11764705882352941</v>
      </c>
      <c r="J46">
        <f>MIN(1,dataScale*data1!J46)</f>
        <v>0.11764705882352941</v>
      </c>
      <c r="K46">
        <f>MIN(1,dataScale*data1!K46)</f>
        <v>0.10196078431372549</v>
      </c>
      <c r="L46">
        <f>MIN(1,dataScale*data1!L46)</f>
        <v>0.11372549019607843</v>
      </c>
    </row>
    <row r="47" spans="1:12">
      <c r="A47">
        <f>data1!A47</f>
        <v>45</v>
      </c>
      <c r="B47">
        <f>MIN(1,dataScale*data1!B47)</f>
        <v>0</v>
      </c>
      <c r="C47">
        <f>MIN(1,dataScale*data1!C47)</f>
        <v>0.12941176470588234</v>
      </c>
      <c r="D47">
        <f>MIN(1,dataScale*data1!D47)</f>
        <v>0.10196078431372549</v>
      </c>
      <c r="E47">
        <f>MIN(1,dataScale*data1!E47)</f>
        <v>0.10588235294117647</v>
      </c>
      <c r="F47">
        <f>MIN(1,dataScale*data1!F47)</f>
        <v>0.10588235294117647</v>
      </c>
      <c r="G47">
        <f>MIN(1,dataScale*data1!G47)</f>
        <v>0.11372549019607843</v>
      </c>
      <c r="H47">
        <f>MIN(1,dataScale*data1!H47)</f>
        <v>0.12549019607843137</v>
      </c>
      <c r="I47">
        <f>MIN(1,dataScale*data1!I47)</f>
        <v>0.11372549019607843</v>
      </c>
      <c r="J47">
        <f>MIN(1,dataScale*data1!J47)</f>
        <v>0.11764705882352941</v>
      </c>
      <c r="K47">
        <f>MIN(1,dataScale*data1!K47)</f>
        <v>9.8039215686274508E-2</v>
      </c>
      <c r="L47">
        <f>MIN(1,dataScale*data1!L47)</f>
        <v>0.10980392156862745</v>
      </c>
    </row>
    <row r="48" spans="1:12">
      <c r="A48">
        <f>data1!A48</f>
        <v>46</v>
      </c>
      <c r="B48">
        <f>MIN(1,dataScale*data1!B48)</f>
        <v>0</v>
      </c>
      <c r="C48">
        <f>MIN(1,dataScale*data1!C48)</f>
        <v>0.12549019607843137</v>
      </c>
      <c r="D48">
        <f>MIN(1,dataScale*data1!D48)</f>
        <v>0.10196078431372549</v>
      </c>
      <c r="E48">
        <f>MIN(1,dataScale*data1!E48)</f>
        <v>0.10196078431372549</v>
      </c>
      <c r="F48">
        <f>MIN(1,dataScale*data1!F48)</f>
        <v>0.10196078431372549</v>
      </c>
      <c r="G48">
        <f>MIN(1,dataScale*data1!G48)</f>
        <v>0.10980392156862745</v>
      </c>
      <c r="H48">
        <f>MIN(1,dataScale*data1!H48)</f>
        <v>0.12156862745098039</v>
      </c>
      <c r="I48">
        <f>MIN(1,dataScale*data1!I48)</f>
        <v>0.10980392156862745</v>
      </c>
      <c r="J48">
        <f>MIN(1,dataScale*data1!J48)</f>
        <v>0.11372549019607843</v>
      </c>
      <c r="K48">
        <f>MIN(1,dataScale*data1!K48)</f>
        <v>9.4117647058823528E-2</v>
      </c>
      <c r="L48">
        <f>MIN(1,dataScale*data1!L48)</f>
        <v>0.10588235294117647</v>
      </c>
    </row>
    <row r="49" spans="1:12">
      <c r="A49">
        <f>data1!A49</f>
        <v>47</v>
      </c>
      <c r="B49">
        <f>MIN(1,dataScale*data1!B49)</f>
        <v>0</v>
      </c>
      <c r="C49">
        <f>MIN(1,dataScale*data1!C49)</f>
        <v>0.12156862745098039</v>
      </c>
      <c r="D49">
        <f>MIN(1,dataScale*data1!D49)</f>
        <v>9.8039215686274508E-2</v>
      </c>
      <c r="E49">
        <f>MIN(1,dataScale*data1!E49)</f>
        <v>9.8039215686274508E-2</v>
      </c>
      <c r="F49">
        <f>MIN(1,dataScale*data1!F49)</f>
        <v>9.8039215686274508E-2</v>
      </c>
      <c r="G49">
        <f>MIN(1,dataScale*data1!G49)</f>
        <v>0.10196078431372549</v>
      </c>
      <c r="H49">
        <f>MIN(1,dataScale*data1!H49)</f>
        <v>0.11372549019607843</v>
      </c>
      <c r="I49">
        <f>MIN(1,dataScale*data1!I49)</f>
        <v>0.10196078431372549</v>
      </c>
      <c r="J49">
        <f>MIN(1,dataScale*data1!J49)</f>
        <v>0.10980392156862745</v>
      </c>
      <c r="K49">
        <f>MIN(1,dataScale*data1!K49)</f>
        <v>9.0196078431372548E-2</v>
      </c>
      <c r="L49">
        <f>MIN(1,dataScale*data1!L49)</f>
        <v>0.10196078431372549</v>
      </c>
    </row>
    <row r="50" spans="1:12">
      <c r="A50">
        <f>data1!A50</f>
        <v>48</v>
      </c>
      <c r="B50">
        <f>MIN(1,dataScale*data1!B50)</f>
        <v>0</v>
      </c>
      <c r="C50">
        <f>MIN(1,dataScale*data1!C50)</f>
        <v>0.11372549019607843</v>
      </c>
      <c r="D50">
        <f>MIN(1,dataScale*data1!D50)</f>
        <v>9.8039215686274508E-2</v>
      </c>
      <c r="E50">
        <f>MIN(1,dataScale*data1!E50)</f>
        <v>9.4117647058823528E-2</v>
      </c>
      <c r="F50">
        <f>MIN(1,dataScale*data1!F50)</f>
        <v>9.4117647058823528E-2</v>
      </c>
      <c r="G50">
        <f>MIN(1,dataScale*data1!G50)</f>
        <v>9.8039215686274508E-2</v>
      </c>
      <c r="H50">
        <f>MIN(1,dataScale*data1!H50)</f>
        <v>0.10980392156862745</v>
      </c>
      <c r="I50">
        <f>MIN(1,dataScale*data1!I50)</f>
        <v>9.8039215686274508E-2</v>
      </c>
      <c r="J50">
        <f>MIN(1,dataScale*data1!J50)</f>
        <v>0.10196078431372549</v>
      </c>
      <c r="K50">
        <f>MIN(1,dataScale*data1!K50)</f>
        <v>8.6274509803921567E-2</v>
      </c>
      <c r="L50">
        <f>MIN(1,dataScale*data1!L50)</f>
        <v>9.4117647058823528E-2</v>
      </c>
    </row>
    <row r="51" spans="1:12">
      <c r="A51">
        <f>data1!A51</f>
        <v>49</v>
      </c>
      <c r="B51">
        <f>MIN(1,dataScale*data1!B51)</f>
        <v>0</v>
      </c>
      <c r="C51">
        <f>MIN(1,dataScale*data1!C51)</f>
        <v>0.10980392156862745</v>
      </c>
      <c r="D51">
        <f>MIN(1,dataScale*data1!D51)</f>
        <v>9.0196078431372548E-2</v>
      </c>
      <c r="E51">
        <f>MIN(1,dataScale*data1!E51)</f>
        <v>8.6274509803921567E-2</v>
      </c>
      <c r="F51">
        <f>MIN(1,dataScale*data1!F51)</f>
        <v>9.0196078431372548E-2</v>
      </c>
      <c r="G51">
        <f>MIN(1,dataScale*data1!G51)</f>
        <v>9.8039215686274508E-2</v>
      </c>
      <c r="H51">
        <f>MIN(1,dataScale*data1!H51)</f>
        <v>0.10588235294117647</v>
      </c>
      <c r="I51">
        <f>MIN(1,dataScale*data1!I51)</f>
        <v>9.8039215686274508E-2</v>
      </c>
      <c r="J51">
        <f>MIN(1,dataScale*data1!J51)</f>
        <v>9.8039215686274508E-2</v>
      </c>
      <c r="K51">
        <f>MIN(1,dataScale*data1!K51)</f>
        <v>8.2352941176470587E-2</v>
      </c>
      <c r="L51">
        <f>MIN(1,dataScale*data1!L51)</f>
        <v>9.4117647058823528E-2</v>
      </c>
    </row>
    <row r="52" spans="1:12">
      <c r="A52">
        <f>data1!A52</f>
        <v>50</v>
      </c>
      <c r="B52">
        <f>MIN(1,dataScale*data1!B52)</f>
        <v>0</v>
      </c>
      <c r="C52">
        <f>MIN(1,dataScale*data1!C52)</f>
        <v>0.10980392156862745</v>
      </c>
      <c r="D52">
        <f>MIN(1,dataScale*data1!D52)</f>
        <v>8.6274509803921567E-2</v>
      </c>
      <c r="E52">
        <f>MIN(1,dataScale*data1!E52)</f>
        <v>8.6274509803921567E-2</v>
      </c>
      <c r="F52">
        <f>MIN(1,dataScale*data1!F52)</f>
        <v>8.6274509803921567E-2</v>
      </c>
      <c r="G52">
        <f>MIN(1,dataScale*data1!G52)</f>
        <v>9.0196078431372548E-2</v>
      </c>
      <c r="H52">
        <f>MIN(1,dataScale*data1!H52)</f>
        <v>0.10588235294117647</v>
      </c>
      <c r="I52">
        <f>MIN(1,dataScale*data1!I52)</f>
        <v>9.0196078431372548E-2</v>
      </c>
      <c r="J52">
        <f>MIN(1,dataScale*data1!J52)</f>
        <v>9.4117647058823528E-2</v>
      </c>
      <c r="K52">
        <f>MIN(1,dataScale*data1!K52)</f>
        <v>7.8431372549019607E-2</v>
      </c>
      <c r="L52">
        <f>MIN(1,dataScale*data1!L52)</f>
        <v>9.0196078431372548E-2</v>
      </c>
    </row>
    <row r="53" spans="1:12">
      <c r="A53">
        <f>data1!A53</f>
        <v>51</v>
      </c>
      <c r="B53">
        <f>MIN(1,dataScale*data1!B53)</f>
        <v>0</v>
      </c>
      <c r="C53">
        <f>MIN(1,dataScale*data1!C53)</f>
        <v>0.10196078431372549</v>
      </c>
      <c r="D53">
        <f>MIN(1,dataScale*data1!D53)</f>
        <v>8.6274509803921567E-2</v>
      </c>
      <c r="E53">
        <f>MIN(1,dataScale*data1!E53)</f>
        <v>8.2352941176470587E-2</v>
      </c>
      <c r="F53">
        <f>MIN(1,dataScale*data1!F53)</f>
        <v>8.2352941176470587E-2</v>
      </c>
      <c r="G53">
        <f>MIN(1,dataScale*data1!G53)</f>
        <v>9.0196078431372548E-2</v>
      </c>
      <c r="H53">
        <f>MIN(1,dataScale*data1!H53)</f>
        <v>9.8039215686274508E-2</v>
      </c>
      <c r="I53">
        <f>MIN(1,dataScale*data1!I53)</f>
        <v>9.0196078431372548E-2</v>
      </c>
      <c r="J53">
        <f>MIN(1,dataScale*data1!J53)</f>
        <v>8.6274509803921567E-2</v>
      </c>
      <c r="K53">
        <f>MIN(1,dataScale*data1!K53)</f>
        <v>7.8431372549019607E-2</v>
      </c>
      <c r="L53">
        <f>MIN(1,dataScale*data1!L53)</f>
        <v>8.6274509803921567E-2</v>
      </c>
    </row>
    <row r="54" spans="1:12">
      <c r="A54">
        <f>data1!A54</f>
        <v>52</v>
      </c>
      <c r="B54">
        <f>MIN(1,dataScale*data1!B54)</f>
        <v>0</v>
      </c>
      <c r="C54">
        <f>MIN(1,dataScale*data1!C54)</f>
        <v>9.4117647058823528E-2</v>
      </c>
      <c r="D54">
        <f>MIN(1,dataScale*data1!D54)</f>
        <v>7.8431372549019607E-2</v>
      </c>
      <c r="E54">
        <f>MIN(1,dataScale*data1!E54)</f>
        <v>7.0588235294117646E-2</v>
      </c>
      <c r="F54">
        <f>MIN(1,dataScale*data1!F54)</f>
        <v>8.2352941176470587E-2</v>
      </c>
      <c r="G54">
        <f>MIN(1,dataScale*data1!G54)</f>
        <v>8.6274509803921567E-2</v>
      </c>
      <c r="H54">
        <f>MIN(1,dataScale*data1!H54)</f>
        <v>9.4117647058823528E-2</v>
      </c>
      <c r="I54">
        <f>MIN(1,dataScale*data1!I54)</f>
        <v>8.6274509803921567E-2</v>
      </c>
      <c r="J54">
        <f>MIN(1,dataScale*data1!J54)</f>
        <v>8.2352941176470587E-2</v>
      </c>
      <c r="K54">
        <f>MIN(1,dataScale*data1!K54)</f>
        <v>7.4509803921568626E-2</v>
      </c>
      <c r="L54">
        <f>MIN(1,dataScale*data1!L54)</f>
        <v>8.2352941176470587E-2</v>
      </c>
    </row>
    <row r="55" spans="1:12">
      <c r="A55">
        <f>data1!A55</f>
        <v>53</v>
      </c>
      <c r="B55">
        <f>MIN(1,dataScale*data1!B55)</f>
        <v>0</v>
      </c>
      <c r="C55">
        <f>MIN(1,dataScale*data1!C55)</f>
        <v>9.8039215686274508E-2</v>
      </c>
      <c r="D55">
        <f>MIN(1,dataScale*data1!D55)</f>
        <v>7.8431372549019607E-2</v>
      </c>
      <c r="E55">
        <f>MIN(1,dataScale*data1!E55)</f>
        <v>7.4509803921568626E-2</v>
      </c>
      <c r="F55">
        <f>MIN(1,dataScale*data1!F55)</f>
        <v>7.8431372549019607E-2</v>
      </c>
      <c r="G55">
        <f>MIN(1,dataScale*data1!G55)</f>
        <v>8.2352941176470587E-2</v>
      </c>
      <c r="H55">
        <f>MIN(1,dataScale*data1!H55)</f>
        <v>9.0196078431372548E-2</v>
      </c>
      <c r="I55">
        <f>MIN(1,dataScale*data1!I55)</f>
        <v>8.2352941176470587E-2</v>
      </c>
      <c r="J55">
        <f>MIN(1,dataScale*data1!J55)</f>
        <v>7.8431372549019607E-2</v>
      </c>
      <c r="K55">
        <f>MIN(1,dataScale*data1!K55)</f>
        <v>7.0588235294117646E-2</v>
      </c>
      <c r="L55">
        <f>MIN(1,dataScale*data1!L55)</f>
        <v>7.8431372549019607E-2</v>
      </c>
    </row>
    <row r="56" spans="1:12">
      <c r="A56">
        <f>data1!A56</f>
        <v>54</v>
      </c>
      <c r="B56">
        <f>MIN(1,dataScale*data1!B56)</f>
        <v>0</v>
      </c>
      <c r="C56">
        <f>MIN(1,dataScale*data1!C56)</f>
        <v>9.4117647058823528E-2</v>
      </c>
      <c r="D56">
        <f>MIN(1,dataScale*data1!D56)</f>
        <v>7.8431372549019607E-2</v>
      </c>
      <c r="E56">
        <f>MIN(1,dataScale*data1!E56)</f>
        <v>7.0588235294117646E-2</v>
      </c>
      <c r="F56">
        <f>MIN(1,dataScale*data1!F56)</f>
        <v>7.4509803921568626E-2</v>
      </c>
      <c r="G56">
        <f>MIN(1,dataScale*data1!G56)</f>
        <v>7.8431372549019607E-2</v>
      </c>
      <c r="H56">
        <f>MIN(1,dataScale*data1!H56)</f>
        <v>8.6274509803921567E-2</v>
      </c>
      <c r="I56">
        <f>MIN(1,dataScale*data1!I56)</f>
        <v>7.8431372549019607E-2</v>
      </c>
      <c r="J56">
        <f>MIN(1,dataScale*data1!J56)</f>
        <v>7.8431372549019607E-2</v>
      </c>
      <c r="K56">
        <f>MIN(1,dataScale*data1!K56)</f>
        <v>6.6666666666666666E-2</v>
      </c>
      <c r="L56">
        <f>MIN(1,dataScale*data1!L56)</f>
        <v>7.4509803921568626E-2</v>
      </c>
    </row>
    <row r="57" spans="1:12">
      <c r="A57">
        <f>data1!A57</f>
        <v>55</v>
      </c>
      <c r="B57">
        <f>MIN(1,dataScale*data1!B57)</f>
        <v>0</v>
      </c>
      <c r="C57">
        <f>MIN(1,dataScale*data1!C57)</f>
        <v>9.0196078431372548E-2</v>
      </c>
      <c r="D57">
        <f>MIN(1,dataScale*data1!D57)</f>
        <v>7.4509803921568626E-2</v>
      </c>
      <c r="E57">
        <f>MIN(1,dataScale*data1!E57)</f>
        <v>7.0588235294117646E-2</v>
      </c>
      <c r="F57">
        <f>MIN(1,dataScale*data1!F57)</f>
        <v>7.0588235294117646E-2</v>
      </c>
      <c r="G57">
        <f>MIN(1,dataScale*data1!G57)</f>
        <v>7.4509803921568626E-2</v>
      </c>
      <c r="H57">
        <f>MIN(1,dataScale*data1!H57)</f>
        <v>8.6274509803921567E-2</v>
      </c>
      <c r="I57">
        <f>MIN(1,dataScale*data1!I57)</f>
        <v>7.4509803921568626E-2</v>
      </c>
      <c r="J57">
        <f>MIN(1,dataScale*data1!J57)</f>
        <v>7.8431372549019607E-2</v>
      </c>
      <c r="K57">
        <f>MIN(1,dataScale*data1!K57)</f>
        <v>6.6666666666666666E-2</v>
      </c>
      <c r="L57">
        <f>MIN(1,dataScale*data1!L57)</f>
        <v>7.4509803921568626E-2</v>
      </c>
    </row>
    <row r="58" spans="1:12">
      <c r="A58">
        <f>data1!A58</f>
        <v>56</v>
      </c>
      <c r="B58">
        <f>MIN(1,dataScale*data1!B58)</f>
        <v>0</v>
      </c>
      <c r="C58">
        <f>MIN(1,dataScale*data1!C58)</f>
        <v>8.2352941176470587E-2</v>
      </c>
      <c r="D58">
        <f>MIN(1,dataScale*data1!D58)</f>
        <v>7.0588235294117646E-2</v>
      </c>
      <c r="E58">
        <f>MIN(1,dataScale*data1!E58)</f>
        <v>7.0588235294117646E-2</v>
      </c>
      <c r="F58">
        <f>MIN(1,dataScale*data1!F58)</f>
        <v>7.0588235294117646E-2</v>
      </c>
      <c r="G58">
        <f>MIN(1,dataScale*data1!G58)</f>
        <v>7.4509803921568626E-2</v>
      </c>
      <c r="H58">
        <f>MIN(1,dataScale*data1!H58)</f>
        <v>8.2352941176470587E-2</v>
      </c>
      <c r="I58">
        <f>MIN(1,dataScale*data1!I58)</f>
        <v>7.4509803921568626E-2</v>
      </c>
      <c r="J58">
        <f>MIN(1,dataScale*data1!J58)</f>
        <v>7.4509803921568626E-2</v>
      </c>
      <c r="K58">
        <f>MIN(1,dataScale*data1!K58)</f>
        <v>6.2745098039215685E-2</v>
      </c>
      <c r="L58">
        <f>MIN(1,dataScale*data1!L58)</f>
        <v>7.0588235294117646E-2</v>
      </c>
    </row>
    <row r="59" spans="1:12">
      <c r="A59">
        <f>data1!A59</f>
        <v>57</v>
      </c>
      <c r="B59">
        <f>MIN(1,dataScale*data1!B59)</f>
        <v>0</v>
      </c>
      <c r="C59">
        <f>MIN(1,dataScale*data1!C59)</f>
        <v>8.2352941176470587E-2</v>
      </c>
      <c r="D59">
        <f>MIN(1,dataScale*data1!D59)</f>
        <v>7.0588235294117646E-2</v>
      </c>
      <c r="E59">
        <f>MIN(1,dataScale*data1!E59)</f>
        <v>6.6666666666666666E-2</v>
      </c>
      <c r="F59">
        <f>MIN(1,dataScale*data1!F59)</f>
        <v>6.6666666666666666E-2</v>
      </c>
      <c r="G59">
        <f>MIN(1,dataScale*data1!G59)</f>
        <v>7.0588235294117646E-2</v>
      </c>
      <c r="H59">
        <f>MIN(1,dataScale*data1!H59)</f>
        <v>7.8431372549019607E-2</v>
      </c>
      <c r="I59">
        <f>MIN(1,dataScale*data1!I59)</f>
        <v>7.0588235294117646E-2</v>
      </c>
      <c r="J59">
        <f>MIN(1,dataScale*data1!J59)</f>
        <v>6.6666666666666666E-2</v>
      </c>
      <c r="K59">
        <f>MIN(1,dataScale*data1!K59)</f>
        <v>6.2745098039215685E-2</v>
      </c>
      <c r="L59">
        <f>MIN(1,dataScale*data1!L59)</f>
        <v>7.0588235294117646E-2</v>
      </c>
    </row>
    <row r="60" spans="1:12">
      <c r="A60">
        <f>data1!A60</f>
        <v>58</v>
      </c>
      <c r="B60">
        <f>MIN(1,dataScale*data1!B60)</f>
        <v>0</v>
      </c>
      <c r="C60">
        <f>MIN(1,dataScale*data1!C60)</f>
        <v>7.8431372549019607E-2</v>
      </c>
      <c r="D60">
        <f>MIN(1,dataScale*data1!D60)</f>
        <v>6.6666666666666666E-2</v>
      </c>
      <c r="E60">
        <f>MIN(1,dataScale*data1!E60)</f>
        <v>6.2745098039215685E-2</v>
      </c>
      <c r="F60">
        <f>MIN(1,dataScale*data1!F60)</f>
        <v>6.6666666666666666E-2</v>
      </c>
      <c r="G60">
        <f>MIN(1,dataScale*data1!G60)</f>
        <v>6.6666666666666666E-2</v>
      </c>
      <c r="H60">
        <f>MIN(1,dataScale*data1!H60)</f>
        <v>7.4509803921568626E-2</v>
      </c>
      <c r="I60">
        <f>MIN(1,dataScale*data1!I60)</f>
        <v>7.0588235294117646E-2</v>
      </c>
      <c r="J60">
        <f>MIN(1,dataScale*data1!J60)</f>
        <v>6.6666666666666666E-2</v>
      </c>
      <c r="K60">
        <f>MIN(1,dataScale*data1!K60)</f>
        <v>5.8823529411764705E-2</v>
      </c>
      <c r="L60">
        <f>MIN(1,dataScale*data1!L60)</f>
        <v>6.6666666666666666E-2</v>
      </c>
    </row>
    <row r="61" spans="1:12">
      <c r="A61">
        <f>data1!A61</f>
        <v>59</v>
      </c>
      <c r="B61">
        <f>MIN(1,dataScale*data1!B61)</f>
        <v>0</v>
      </c>
      <c r="C61">
        <f>MIN(1,dataScale*data1!C61)</f>
        <v>7.8431372549019607E-2</v>
      </c>
      <c r="D61">
        <f>MIN(1,dataScale*data1!D61)</f>
        <v>6.2745098039215685E-2</v>
      </c>
      <c r="E61">
        <f>MIN(1,dataScale*data1!E61)</f>
        <v>5.8823529411764705E-2</v>
      </c>
      <c r="F61">
        <f>MIN(1,dataScale*data1!F61)</f>
        <v>6.2745098039215685E-2</v>
      </c>
      <c r="G61">
        <f>MIN(1,dataScale*data1!G61)</f>
        <v>6.6666666666666666E-2</v>
      </c>
      <c r="H61">
        <f>MIN(1,dataScale*data1!H61)</f>
        <v>7.4509803921568626E-2</v>
      </c>
      <c r="I61">
        <f>MIN(1,dataScale*data1!I61)</f>
        <v>6.6666666666666666E-2</v>
      </c>
      <c r="J61">
        <f>MIN(1,dataScale*data1!J61)</f>
        <v>6.2745098039215685E-2</v>
      </c>
      <c r="K61">
        <f>MIN(1,dataScale*data1!K61)</f>
        <v>5.8823529411764705E-2</v>
      </c>
      <c r="L61">
        <f>MIN(1,dataScale*data1!L61)</f>
        <v>6.6666666666666666E-2</v>
      </c>
    </row>
    <row r="62" spans="1:12">
      <c r="A62">
        <f>data1!A62</f>
        <v>60</v>
      </c>
      <c r="B62">
        <f>MIN(1,dataScale*data1!B62)</f>
        <v>0</v>
      </c>
      <c r="C62">
        <f>MIN(1,dataScale*data1!C62)</f>
        <v>7.4509803921568626E-2</v>
      </c>
      <c r="D62">
        <f>MIN(1,dataScale*data1!D62)</f>
        <v>5.8823529411764705E-2</v>
      </c>
      <c r="E62">
        <f>MIN(1,dataScale*data1!E62)</f>
        <v>5.4901960784313725E-2</v>
      </c>
      <c r="F62">
        <f>MIN(1,dataScale*data1!F62)</f>
        <v>6.2745098039215685E-2</v>
      </c>
      <c r="G62">
        <f>MIN(1,dataScale*data1!G62)</f>
        <v>6.2745098039215685E-2</v>
      </c>
      <c r="H62">
        <f>MIN(1,dataScale*data1!H62)</f>
        <v>7.0588235294117646E-2</v>
      </c>
      <c r="I62">
        <f>MIN(1,dataScale*data1!I62)</f>
        <v>6.6666666666666666E-2</v>
      </c>
      <c r="J62">
        <f>MIN(1,dataScale*data1!J62)</f>
        <v>6.2745098039215685E-2</v>
      </c>
      <c r="K62">
        <f>MIN(1,dataScale*data1!K62)</f>
        <v>5.4901960784313725E-2</v>
      </c>
      <c r="L62">
        <f>MIN(1,dataScale*data1!L62)</f>
        <v>6.2745098039215685E-2</v>
      </c>
    </row>
    <row r="63" spans="1:12">
      <c r="A63">
        <f>data1!A63</f>
        <v>61</v>
      </c>
      <c r="B63">
        <f>MIN(1,dataScale*data1!B63)</f>
        <v>0</v>
      </c>
      <c r="C63">
        <f>MIN(1,dataScale*data1!C63)</f>
        <v>6.6666666666666666E-2</v>
      </c>
      <c r="D63">
        <f>MIN(1,dataScale*data1!D63)</f>
        <v>5.4901960784313725E-2</v>
      </c>
      <c r="E63">
        <f>MIN(1,dataScale*data1!E63)</f>
        <v>5.0980392156862744E-2</v>
      </c>
      <c r="F63">
        <f>MIN(1,dataScale*data1!F63)</f>
        <v>5.8823529411764705E-2</v>
      </c>
      <c r="G63">
        <f>MIN(1,dataScale*data1!G63)</f>
        <v>6.2745098039215685E-2</v>
      </c>
      <c r="H63">
        <f>MIN(1,dataScale*data1!H63)</f>
        <v>7.0588235294117646E-2</v>
      </c>
      <c r="I63">
        <f>MIN(1,dataScale*data1!I63)</f>
        <v>6.2745098039215685E-2</v>
      </c>
      <c r="J63">
        <f>MIN(1,dataScale*data1!J63)</f>
        <v>5.8823529411764705E-2</v>
      </c>
      <c r="K63">
        <f>MIN(1,dataScale*data1!K63)</f>
        <v>5.4901960784313725E-2</v>
      </c>
      <c r="L63">
        <f>MIN(1,dataScale*data1!L63)</f>
        <v>6.2745098039215685E-2</v>
      </c>
    </row>
    <row r="64" spans="1:12">
      <c r="A64">
        <f>data1!A64</f>
        <v>62</v>
      </c>
      <c r="B64">
        <f>MIN(1,dataScale*data1!B64)</f>
        <v>0</v>
      </c>
      <c r="C64">
        <f>MIN(1,dataScale*data1!C64)</f>
        <v>6.6666666666666666E-2</v>
      </c>
      <c r="D64">
        <f>MIN(1,dataScale*data1!D64)</f>
        <v>5.0980392156862744E-2</v>
      </c>
      <c r="E64">
        <f>MIN(1,dataScale*data1!E64)</f>
        <v>5.0980392156862744E-2</v>
      </c>
      <c r="F64">
        <f>MIN(1,dataScale*data1!F64)</f>
        <v>5.8823529411764705E-2</v>
      </c>
      <c r="G64">
        <f>MIN(1,dataScale*data1!G64)</f>
        <v>5.8823529411764705E-2</v>
      </c>
      <c r="H64">
        <f>MIN(1,dataScale*data1!H64)</f>
        <v>6.6666666666666666E-2</v>
      </c>
      <c r="I64">
        <f>MIN(1,dataScale*data1!I64)</f>
        <v>6.2745098039215685E-2</v>
      </c>
      <c r="J64">
        <f>MIN(1,dataScale*data1!J64)</f>
        <v>5.8823529411764705E-2</v>
      </c>
      <c r="K64">
        <f>MIN(1,dataScale*data1!K64)</f>
        <v>5.4901960784313725E-2</v>
      </c>
      <c r="L64">
        <f>MIN(1,dataScale*data1!L64)</f>
        <v>5.8823529411764705E-2</v>
      </c>
    </row>
    <row r="65" spans="1:12">
      <c r="A65">
        <f>data1!A65</f>
        <v>63</v>
      </c>
      <c r="B65">
        <f>MIN(1,dataScale*data1!B65)</f>
        <v>0</v>
      </c>
      <c r="C65">
        <f>MIN(1,dataScale*data1!C65)</f>
        <v>6.2745098039215685E-2</v>
      </c>
      <c r="D65">
        <f>MIN(1,dataScale*data1!D65)</f>
        <v>5.0980392156862744E-2</v>
      </c>
      <c r="E65">
        <f>MIN(1,dataScale*data1!E65)</f>
        <v>5.0980392156862744E-2</v>
      </c>
      <c r="F65">
        <f>MIN(1,dataScale*data1!F65)</f>
        <v>5.4901960784313725E-2</v>
      </c>
      <c r="G65">
        <f>MIN(1,dataScale*data1!G65)</f>
        <v>5.8823529411764705E-2</v>
      </c>
      <c r="H65">
        <f>MIN(1,dataScale*data1!H65)</f>
        <v>6.6666666666666666E-2</v>
      </c>
      <c r="I65">
        <f>MIN(1,dataScale*data1!I65)</f>
        <v>5.8823529411764705E-2</v>
      </c>
      <c r="J65">
        <f>MIN(1,dataScale*data1!J65)</f>
        <v>5.4901960784313725E-2</v>
      </c>
      <c r="K65">
        <f>MIN(1,dataScale*data1!K65)</f>
        <v>5.0980392156862744E-2</v>
      </c>
      <c r="L65">
        <f>MIN(1,dataScale*data1!L65)</f>
        <v>5.8823529411764705E-2</v>
      </c>
    </row>
    <row r="66" spans="1:12">
      <c r="A66">
        <f>data1!A66</f>
        <v>64</v>
      </c>
      <c r="B66">
        <f>MIN(1,dataScale*data1!B66)</f>
        <v>0</v>
      </c>
      <c r="C66">
        <f>MIN(1,dataScale*data1!C66)</f>
        <v>5.8823529411764705E-2</v>
      </c>
      <c r="D66">
        <f>MIN(1,dataScale*data1!D66)</f>
        <v>4.7058823529411764E-2</v>
      </c>
      <c r="E66">
        <f>MIN(1,dataScale*data1!E66)</f>
        <v>5.0980392156862744E-2</v>
      </c>
      <c r="F66">
        <f>MIN(1,dataScale*data1!F66)</f>
        <v>5.4901960784313725E-2</v>
      </c>
      <c r="G66">
        <f>MIN(1,dataScale*data1!G66)</f>
        <v>5.8823529411764705E-2</v>
      </c>
      <c r="H66">
        <f>MIN(1,dataScale*data1!H66)</f>
        <v>6.2745098039215685E-2</v>
      </c>
      <c r="I66">
        <f>MIN(1,dataScale*data1!I66)</f>
        <v>5.8823529411764705E-2</v>
      </c>
      <c r="J66">
        <f>MIN(1,dataScale*data1!J66)</f>
        <v>5.4901960784313725E-2</v>
      </c>
      <c r="K66">
        <f>MIN(1,dataScale*data1!K66)</f>
        <v>5.0980392156862744E-2</v>
      </c>
      <c r="L66">
        <f>MIN(1,dataScale*data1!L66)</f>
        <v>5.4901960784313725E-2</v>
      </c>
    </row>
    <row r="67" spans="1:12">
      <c r="A67">
        <f>data1!A67</f>
        <v>65</v>
      </c>
      <c r="B67">
        <f>MIN(1,dataScale*data1!B67)</f>
        <v>0</v>
      </c>
      <c r="C67">
        <f>MIN(1,dataScale*data1!C67)</f>
        <v>5.8823529411764705E-2</v>
      </c>
      <c r="D67">
        <f>MIN(1,dataScale*data1!D67)</f>
        <v>5.0980392156862744E-2</v>
      </c>
      <c r="E67">
        <f>MIN(1,dataScale*data1!E67)</f>
        <v>4.7058823529411764E-2</v>
      </c>
      <c r="F67">
        <f>MIN(1,dataScale*data1!F67)</f>
        <v>5.4901960784313725E-2</v>
      </c>
      <c r="G67">
        <f>MIN(1,dataScale*data1!G67)</f>
        <v>5.4901960784313725E-2</v>
      </c>
      <c r="H67">
        <f>MIN(1,dataScale*data1!H67)</f>
        <v>6.2745098039215685E-2</v>
      </c>
      <c r="I67">
        <f>MIN(1,dataScale*data1!I67)</f>
        <v>5.4901960784313725E-2</v>
      </c>
      <c r="J67">
        <f>MIN(1,dataScale*data1!J67)</f>
        <v>5.4901960784313725E-2</v>
      </c>
      <c r="K67">
        <f>MIN(1,dataScale*data1!K67)</f>
        <v>4.7058823529411764E-2</v>
      </c>
      <c r="L67">
        <f>MIN(1,dataScale*data1!L67)</f>
        <v>5.4901960784313725E-2</v>
      </c>
    </row>
    <row r="68" spans="1:12">
      <c r="A68">
        <f>data1!A68</f>
        <v>66</v>
      </c>
      <c r="B68">
        <f>MIN(1,dataScale*data1!B68)</f>
        <v>0</v>
      </c>
      <c r="C68">
        <f>MIN(1,dataScale*data1!C68)</f>
        <v>5.8823529411764705E-2</v>
      </c>
      <c r="D68">
        <f>MIN(1,dataScale*data1!D68)</f>
        <v>4.7058823529411764E-2</v>
      </c>
      <c r="E68">
        <f>MIN(1,dataScale*data1!E68)</f>
        <v>4.7058823529411764E-2</v>
      </c>
      <c r="F68">
        <f>MIN(1,dataScale*data1!F68)</f>
        <v>5.0980392156862744E-2</v>
      </c>
      <c r="G68">
        <f>MIN(1,dataScale*data1!G68)</f>
        <v>5.4901960784313725E-2</v>
      </c>
      <c r="H68">
        <f>MIN(1,dataScale*data1!H68)</f>
        <v>5.8823529411764705E-2</v>
      </c>
      <c r="I68">
        <f>MIN(1,dataScale*data1!I68)</f>
        <v>5.4901960784313725E-2</v>
      </c>
      <c r="J68">
        <f>MIN(1,dataScale*data1!J68)</f>
        <v>5.0980392156862744E-2</v>
      </c>
      <c r="K68">
        <f>MIN(1,dataScale*data1!K68)</f>
        <v>4.7058823529411764E-2</v>
      </c>
      <c r="L68">
        <f>MIN(1,dataScale*data1!L68)</f>
        <v>5.4901960784313725E-2</v>
      </c>
    </row>
    <row r="69" spans="1:12">
      <c r="A69">
        <f>data1!A69</f>
        <v>67</v>
      </c>
      <c r="B69">
        <f>MIN(1,dataScale*data1!B69)</f>
        <v>0</v>
      </c>
      <c r="C69">
        <f>MIN(1,dataScale*data1!C69)</f>
        <v>5.4901960784313725E-2</v>
      </c>
      <c r="D69">
        <f>MIN(1,dataScale*data1!D69)</f>
        <v>4.7058823529411764E-2</v>
      </c>
      <c r="E69">
        <f>MIN(1,dataScale*data1!E69)</f>
        <v>4.3137254901960784E-2</v>
      </c>
      <c r="F69">
        <f>MIN(1,dataScale*data1!F69)</f>
        <v>4.7058823529411764E-2</v>
      </c>
      <c r="G69">
        <f>MIN(1,dataScale*data1!G69)</f>
        <v>5.4901960784313725E-2</v>
      </c>
      <c r="H69">
        <f>MIN(1,dataScale*data1!H69)</f>
        <v>5.8823529411764705E-2</v>
      </c>
      <c r="I69">
        <f>MIN(1,dataScale*data1!I69)</f>
        <v>5.4901960784313725E-2</v>
      </c>
      <c r="J69">
        <f>MIN(1,dataScale*data1!J69)</f>
        <v>5.0980392156862744E-2</v>
      </c>
      <c r="K69">
        <f>MIN(1,dataScale*data1!K69)</f>
        <v>4.7058823529411764E-2</v>
      </c>
      <c r="L69">
        <f>MIN(1,dataScale*data1!L69)</f>
        <v>5.0980392156862744E-2</v>
      </c>
    </row>
    <row r="70" spans="1:12">
      <c r="A70">
        <f>data1!A70</f>
        <v>68</v>
      </c>
      <c r="B70">
        <f>MIN(1,dataScale*data1!B70)</f>
        <v>0</v>
      </c>
      <c r="C70">
        <f>MIN(1,dataScale*data1!C70)</f>
        <v>5.4901960784313725E-2</v>
      </c>
      <c r="D70">
        <f>MIN(1,dataScale*data1!D70)</f>
        <v>4.7058823529411764E-2</v>
      </c>
      <c r="E70">
        <f>MIN(1,dataScale*data1!E70)</f>
        <v>4.3137254901960784E-2</v>
      </c>
      <c r="F70">
        <f>MIN(1,dataScale*data1!F70)</f>
        <v>5.0980392156862744E-2</v>
      </c>
      <c r="G70">
        <f>MIN(1,dataScale*data1!G70)</f>
        <v>5.0980392156862744E-2</v>
      </c>
      <c r="H70">
        <f>MIN(1,dataScale*data1!H70)</f>
        <v>5.8823529411764705E-2</v>
      </c>
      <c r="I70">
        <f>MIN(1,dataScale*data1!I70)</f>
        <v>5.0980392156862744E-2</v>
      </c>
      <c r="J70">
        <f>MIN(1,dataScale*data1!J70)</f>
        <v>4.7058823529411764E-2</v>
      </c>
      <c r="K70">
        <f>MIN(1,dataScale*data1!K70)</f>
        <v>4.3137254901960784E-2</v>
      </c>
      <c r="L70">
        <f>MIN(1,dataScale*data1!L70)</f>
        <v>5.0980392156862744E-2</v>
      </c>
    </row>
    <row r="71" spans="1:12">
      <c r="A71">
        <f>data1!A71</f>
        <v>69</v>
      </c>
      <c r="B71">
        <f>MIN(1,dataScale*data1!B71)</f>
        <v>0</v>
      </c>
      <c r="C71">
        <f>MIN(1,dataScale*data1!C71)</f>
        <v>5.0980392156862744E-2</v>
      </c>
      <c r="D71">
        <f>MIN(1,dataScale*data1!D71)</f>
        <v>4.7058823529411764E-2</v>
      </c>
      <c r="E71">
        <f>MIN(1,dataScale*data1!E71)</f>
        <v>3.9215686274509803E-2</v>
      </c>
      <c r="F71">
        <f>MIN(1,dataScale*data1!F71)</f>
        <v>4.7058823529411764E-2</v>
      </c>
      <c r="G71">
        <f>MIN(1,dataScale*data1!G71)</f>
        <v>5.0980392156862744E-2</v>
      </c>
      <c r="H71">
        <f>MIN(1,dataScale*data1!H71)</f>
        <v>5.8823529411764705E-2</v>
      </c>
      <c r="I71">
        <f>MIN(1,dataScale*data1!I71)</f>
        <v>5.0980392156862744E-2</v>
      </c>
      <c r="J71">
        <f>MIN(1,dataScale*data1!J71)</f>
        <v>4.7058823529411764E-2</v>
      </c>
      <c r="K71">
        <f>MIN(1,dataScale*data1!K71)</f>
        <v>4.3137254901960784E-2</v>
      </c>
      <c r="L71">
        <f>MIN(1,dataScale*data1!L71)</f>
        <v>5.0980392156862744E-2</v>
      </c>
    </row>
    <row r="72" spans="1:12">
      <c r="A72">
        <f>data1!A72</f>
        <v>70</v>
      </c>
      <c r="B72">
        <f>MIN(1,dataScale*data1!B72)</f>
        <v>0</v>
      </c>
      <c r="C72">
        <f>MIN(1,dataScale*data1!C72)</f>
        <v>5.0980392156862744E-2</v>
      </c>
      <c r="D72">
        <f>MIN(1,dataScale*data1!D72)</f>
        <v>3.9215686274509803E-2</v>
      </c>
      <c r="E72">
        <f>MIN(1,dataScale*data1!E72)</f>
        <v>3.9215686274509803E-2</v>
      </c>
      <c r="F72">
        <f>MIN(1,dataScale*data1!F72)</f>
        <v>4.7058823529411764E-2</v>
      </c>
      <c r="G72">
        <f>MIN(1,dataScale*data1!G72)</f>
        <v>5.0980392156862744E-2</v>
      </c>
      <c r="H72">
        <f>MIN(1,dataScale*data1!H72)</f>
        <v>4.7058823529411764E-2</v>
      </c>
      <c r="I72">
        <f>MIN(1,dataScale*data1!I72)</f>
        <v>5.0980392156862744E-2</v>
      </c>
      <c r="J72">
        <f>MIN(1,dataScale*data1!J72)</f>
        <v>4.7058823529411764E-2</v>
      </c>
      <c r="K72">
        <f>MIN(1,dataScale*data1!K72)</f>
        <v>4.3137254901960784E-2</v>
      </c>
      <c r="L72">
        <f>MIN(1,dataScale*data1!L72)</f>
        <v>4.7058823529411764E-2</v>
      </c>
    </row>
    <row r="73" spans="1:12">
      <c r="A73">
        <f>data1!A73</f>
        <v>71</v>
      </c>
      <c r="B73">
        <f>MIN(1,dataScale*data1!B73)</f>
        <v>0</v>
      </c>
      <c r="C73">
        <f>MIN(1,dataScale*data1!C73)</f>
        <v>5.0980392156862744E-2</v>
      </c>
      <c r="D73">
        <f>MIN(1,dataScale*data1!D73)</f>
        <v>4.3137254901960784E-2</v>
      </c>
      <c r="E73">
        <f>MIN(1,dataScale*data1!E73)</f>
        <v>3.9215686274509803E-2</v>
      </c>
      <c r="F73">
        <f>MIN(1,dataScale*data1!F73)</f>
        <v>4.7058823529411764E-2</v>
      </c>
      <c r="G73">
        <f>MIN(1,dataScale*data1!G73)</f>
        <v>4.7058823529411764E-2</v>
      </c>
      <c r="H73">
        <f>MIN(1,dataScale*data1!H73)</f>
        <v>5.0980392156862744E-2</v>
      </c>
      <c r="I73">
        <f>MIN(1,dataScale*data1!I73)</f>
        <v>4.7058823529411764E-2</v>
      </c>
      <c r="J73">
        <f>MIN(1,dataScale*data1!J73)</f>
        <v>4.7058823529411764E-2</v>
      </c>
      <c r="K73">
        <f>MIN(1,dataScale*data1!K73)</f>
        <v>3.9215686274509803E-2</v>
      </c>
      <c r="L73">
        <f>MIN(1,dataScale*data1!L73)</f>
        <v>4.7058823529411764E-2</v>
      </c>
    </row>
    <row r="74" spans="1:12">
      <c r="A74">
        <f>data1!A74</f>
        <v>72</v>
      </c>
      <c r="B74">
        <f>MIN(1,dataScale*data1!B74)</f>
        <v>0</v>
      </c>
      <c r="C74">
        <f>MIN(1,dataScale*data1!C74)</f>
        <v>4.7058823529411764E-2</v>
      </c>
      <c r="D74">
        <f>MIN(1,dataScale*data1!D74)</f>
        <v>4.3137254901960784E-2</v>
      </c>
      <c r="E74">
        <f>MIN(1,dataScale*data1!E74)</f>
        <v>3.9215686274509803E-2</v>
      </c>
      <c r="F74">
        <f>MIN(1,dataScale*data1!F74)</f>
        <v>4.3137254901960784E-2</v>
      </c>
      <c r="G74">
        <f>MIN(1,dataScale*data1!G74)</f>
        <v>4.7058823529411764E-2</v>
      </c>
      <c r="H74">
        <f>MIN(1,dataScale*data1!H74)</f>
        <v>5.0980392156862744E-2</v>
      </c>
      <c r="I74">
        <f>MIN(1,dataScale*data1!I74)</f>
        <v>4.7058823529411764E-2</v>
      </c>
      <c r="J74">
        <f>MIN(1,dataScale*data1!J74)</f>
        <v>4.3137254901960784E-2</v>
      </c>
      <c r="K74">
        <f>MIN(1,dataScale*data1!K74)</f>
        <v>3.9215686274509803E-2</v>
      </c>
      <c r="L74">
        <f>MIN(1,dataScale*data1!L74)</f>
        <v>4.7058823529411764E-2</v>
      </c>
    </row>
    <row r="75" spans="1:12">
      <c r="A75">
        <f>data1!A75</f>
        <v>73</v>
      </c>
      <c r="B75">
        <f>MIN(1,dataScale*data1!B75)</f>
        <v>0</v>
      </c>
      <c r="C75">
        <f>MIN(1,dataScale*data1!C75)</f>
        <v>4.7058823529411764E-2</v>
      </c>
      <c r="D75">
        <f>MIN(1,dataScale*data1!D75)</f>
        <v>3.5294117647058823E-2</v>
      </c>
      <c r="E75">
        <f>MIN(1,dataScale*data1!E75)</f>
        <v>3.9215686274509803E-2</v>
      </c>
      <c r="F75">
        <f>MIN(1,dataScale*data1!F75)</f>
        <v>4.3137254901960784E-2</v>
      </c>
      <c r="G75">
        <f>MIN(1,dataScale*data1!G75)</f>
        <v>4.3137254901960784E-2</v>
      </c>
      <c r="H75">
        <f>MIN(1,dataScale*data1!H75)</f>
        <v>5.0980392156862744E-2</v>
      </c>
      <c r="I75">
        <f>MIN(1,dataScale*data1!I75)</f>
        <v>4.7058823529411764E-2</v>
      </c>
      <c r="J75">
        <f>MIN(1,dataScale*data1!J75)</f>
        <v>4.3137254901960784E-2</v>
      </c>
      <c r="K75">
        <f>MIN(1,dataScale*data1!K75)</f>
        <v>3.9215686274509803E-2</v>
      </c>
      <c r="L75">
        <f>MIN(1,dataScale*data1!L75)</f>
        <v>4.3137254901960784E-2</v>
      </c>
    </row>
    <row r="76" spans="1:12">
      <c r="A76">
        <f>data1!A76</f>
        <v>74</v>
      </c>
      <c r="B76">
        <f>MIN(1,dataScale*data1!B76)</f>
        <v>0</v>
      </c>
      <c r="C76">
        <f>MIN(1,dataScale*data1!C76)</f>
        <v>4.7058823529411764E-2</v>
      </c>
      <c r="D76">
        <f>MIN(1,dataScale*data1!D76)</f>
        <v>3.9215686274509803E-2</v>
      </c>
      <c r="E76">
        <f>MIN(1,dataScale*data1!E76)</f>
        <v>3.5294117647058823E-2</v>
      </c>
      <c r="F76">
        <f>MIN(1,dataScale*data1!F76)</f>
        <v>4.3137254901960784E-2</v>
      </c>
      <c r="G76">
        <f>MIN(1,dataScale*data1!G76)</f>
        <v>3.9215686274509803E-2</v>
      </c>
      <c r="H76">
        <f>MIN(1,dataScale*data1!H76)</f>
        <v>5.0980392156862744E-2</v>
      </c>
      <c r="I76">
        <f>MIN(1,dataScale*data1!I76)</f>
        <v>4.3137254901960784E-2</v>
      </c>
      <c r="J76">
        <f>MIN(1,dataScale*data1!J76)</f>
        <v>3.9215686274509803E-2</v>
      </c>
      <c r="K76">
        <f>MIN(1,dataScale*data1!K76)</f>
        <v>3.5294117647058823E-2</v>
      </c>
      <c r="L76">
        <f>MIN(1,dataScale*data1!L76)</f>
        <v>4.3137254901960784E-2</v>
      </c>
    </row>
    <row r="77" spans="1:12">
      <c r="A77">
        <f>data1!A77</f>
        <v>75</v>
      </c>
      <c r="B77">
        <f>MIN(1,dataScale*data1!B77)</f>
        <v>0</v>
      </c>
      <c r="C77">
        <f>MIN(1,dataScale*data1!C77)</f>
        <v>4.3137254901960784E-2</v>
      </c>
      <c r="D77">
        <f>MIN(1,dataScale*data1!D77)</f>
        <v>3.9215686274509803E-2</v>
      </c>
      <c r="E77">
        <f>MIN(1,dataScale*data1!E77)</f>
        <v>3.5294117647058823E-2</v>
      </c>
      <c r="F77">
        <f>MIN(1,dataScale*data1!F77)</f>
        <v>3.9215686274509803E-2</v>
      </c>
      <c r="G77">
        <f>MIN(1,dataScale*data1!G77)</f>
        <v>4.3137254901960784E-2</v>
      </c>
      <c r="H77">
        <f>MIN(1,dataScale*data1!H77)</f>
        <v>4.7058823529411764E-2</v>
      </c>
      <c r="I77">
        <f>MIN(1,dataScale*data1!I77)</f>
        <v>4.3137254901960784E-2</v>
      </c>
      <c r="J77">
        <f>MIN(1,dataScale*data1!J77)</f>
        <v>3.9215686274509803E-2</v>
      </c>
      <c r="K77">
        <f>MIN(1,dataScale*data1!K77)</f>
        <v>3.1372549019607843E-2</v>
      </c>
      <c r="L77">
        <f>MIN(1,dataScale*data1!L77)</f>
        <v>4.3137254901960784E-2</v>
      </c>
    </row>
    <row r="78" spans="1:12">
      <c r="A78">
        <f>data1!A78</f>
        <v>76</v>
      </c>
      <c r="B78">
        <f>MIN(1,dataScale*data1!B78)</f>
        <v>0</v>
      </c>
      <c r="C78">
        <f>MIN(1,dataScale*data1!C78)</f>
        <v>4.3137254901960784E-2</v>
      </c>
      <c r="D78">
        <f>MIN(1,dataScale*data1!D78)</f>
        <v>3.5294117647058823E-2</v>
      </c>
      <c r="E78">
        <f>MIN(1,dataScale*data1!E78)</f>
        <v>3.5294117647058823E-2</v>
      </c>
      <c r="F78">
        <f>MIN(1,dataScale*data1!F78)</f>
        <v>3.9215686274509803E-2</v>
      </c>
      <c r="G78">
        <f>MIN(1,dataScale*data1!G78)</f>
        <v>4.3137254901960784E-2</v>
      </c>
      <c r="H78">
        <f>MIN(1,dataScale*data1!H78)</f>
        <v>4.7058823529411764E-2</v>
      </c>
      <c r="I78">
        <f>MIN(1,dataScale*data1!I78)</f>
        <v>4.3137254901960784E-2</v>
      </c>
      <c r="J78">
        <f>MIN(1,dataScale*data1!J78)</f>
        <v>3.9215686274509803E-2</v>
      </c>
      <c r="K78">
        <f>MIN(1,dataScale*data1!K78)</f>
        <v>3.5294117647058823E-2</v>
      </c>
      <c r="L78">
        <f>MIN(1,dataScale*data1!L78)</f>
        <v>4.3137254901960784E-2</v>
      </c>
    </row>
    <row r="79" spans="1:12">
      <c r="A79">
        <f>data1!A79</f>
        <v>77</v>
      </c>
      <c r="B79">
        <f>MIN(1,dataScale*data1!B79)</f>
        <v>0</v>
      </c>
      <c r="C79">
        <f>MIN(1,dataScale*data1!C79)</f>
        <v>4.3137254901960784E-2</v>
      </c>
      <c r="D79">
        <f>MIN(1,dataScale*data1!D79)</f>
        <v>4.3137254901960784E-2</v>
      </c>
      <c r="E79">
        <f>MIN(1,dataScale*data1!E79)</f>
        <v>3.5294117647058823E-2</v>
      </c>
      <c r="F79">
        <f>MIN(1,dataScale*data1!F79)</f>
        <v>3.9215686274509803E-2</v>
      </c>
      <c r="G79">
        <f>MIN(1,dataScale*data1!G79)</f>
        <v>3.9215686274509803E-2</v>
      </c>
      <c r="H79">
        <f>MIN(1,dataScale*data1!H79)</f>
        <v>4.7058823529411764E-2</v>
      </c>
      <c r="I79">
        <f>MIN(1,dataScale*data1!I79)</f>
        <v>3.9215686274509803E-2</v>
      </c>
      <c r="J79">
        <f>MIN(1,dataScale*data1!J79)</f>
        <v>3.9215686274509803E-2</v>
      </c>
      <c r="K79">
        <f>MIN(1,dataScale*data1!K79)</f>
        <v>3.5294117647058823E-2</v>
      </c>
      <c r="L79">
        <f>MIN(1,dataScale*data1!L79)</f>
        <v>3.9215686274509803E-2</v>
      </c>
    </row>
    <row r="80" spans="1:12">
      <c r="A80">
        <f>data1!A80</f>
        <v>78</v>
      </c>
      <c r="B80">
        <f>MIN(1,dataScale*data1!B80)</f>
        <v>0</v>
      </c>
      <c r="C80">
        <f>MIN(1,dataScale*data1!C80)</f>
        <v>3.9215686274509803E-2</v>
      </c>
      <c r="D80">
        <f>MIN(1,dataScale*data1!D80)</f>
        <v>3.5294117647058823E-2</v>
      </c>
      <c r="E80">
        <f>MIN(1,dataScale*data1!E80)</f>
        <v>3.1372549019607843E-2</v>
      </c>
      <c r="F80">
        <f>MIN(1,dataScale*data1!F80)</f>
        <v>3.9215686274509803E-2</v>
      </c>
      <c r="G80">
        <f>MIN(1,dataScale*data1!G80)</f>
        <v>3.9215686274509803E-2</v>
      </c>
      <c r="H80">
        <f>MIN(1,dataScale*data1!H80)</f>
        <v>4.7058823529411764E-2</v>
      </c>
      <c r="I80">
        <f>MIN(1,dataScale*data1!I80)</f>
        <v>3.9215686274509803E-2</v>
      </c>
      <c r="J80">
        <f>MIN(1,dataScale*data1!J80)</f>
        <v>3.5294117647058823E-2</v>
      </c>
      <c r="K80">
        <f>MIN(1,dataScale*data1!K80)</f>
        <v>3.5294117647058823E-2</v>
      </c>
      <c r="L80">
        <f>MIN(1,dataScale*data1!L80)</f>
        <v>3.9215686274509803E-2</v>
      </c>
    </row>
    <row r="81" spans="1:12">
      <c r="A81">
        <f>data1!A81</f>
        <v>79</v>
      </c>
      <c r="B81">
        <f>MIN(1,dataScale*data1!B81)</f>
        <v>0</v>
      </c>
      <c r="C81">
        <f>MIN(1,dataScale*data1!C81)</f>
        <v>3.9215686274509803E-2</v>
      </c>
      <c r="D81">
        <f>MIN(1,dataScale*data1!D81)</f>
        <v>3.1372549019607843E-2</v>
      </c>
      <c r="E81">
        <f>MIN(1,dataScale*data1!E81)</f>
        <v>3.1372549019607843E-2</v>
      </c>
      <c r="F81">
        <f>MIN(1,dataScale*data1!F81)</f>
        <v>3.5294117647058823E-2</v>
      </c>
      <c r="G81">
        <f>MIN(1,dataScale*data1!G81)</f>
        <v>3.5294117647058823E-2</v>
      </c>
      <c r="H81">
        <f>MIN(1,dataScale*data1!H81)</f>
        <v>4.3137254901960784E-2</v>
      </c>
      <c r="I81">
        <f>MIN(1,dataScale*data1!I81)</f>
        <v>3.9215686274509803E-2</v>
      </c>
      <c r="J81">
        <f>MIN(1,dataScale*data1!J81)</f>
        <v>3.5294117647058823E-2</v>
      </c>
      <c r="K81">
        <f>MIN(1,dataScale*data1!K81)</f>
        <v>3.1372549019607843E-2</v>
      </c>
      <c r="L81">
        <f>MIN(1,dataScale*data1!L81)</f>
        <v>3.9215686274509803E-2</v>
      </c>
    </row>
    <row r="82" spans="1:12">
      <c r="A82">
        <f>data1!A82</f>
        <v>80</v>
      </c>
      <c r="B82">
        <f>MIN(1,dataScale*data1!B82)</f>
        <v>0</v>
      </c>
      <c r="C82">
        <f>MIN(1,dataScale*data1!C82)</f>
        <v>3.9215686274509803E-2</v>
      </c>
      <c r="D82">
        <f>MIN(1,dataScale*data1!D82)</f>
        <v>3.1372549019607843E-2</v>
      </c>
      <c r="E82">
        <f>MIN(1,dataScale*data1!E82)</f>
        <v>3.1372549019607843E-2</v>
      </c>
      <c r="F82">
        <f>MIN(1,dataScale*data1!F82)</f>
        <v>3.5294117647058823E-2</v>
      </c>
      <c r="G82">
        <f>MIN(1,dataScale*data1!G82)</f>
        <v>3.5294117647058823E-2</v>
      </c>
      <c r="H82">
        <f>MIN(1,dataScale*data1!H82)</f>
        <v>4.3137254901960784E-2</v>
      </c>
      <c r="I82">
        <f>MIN(1,dataScale*data1!I82)</f>
        <v>3.9215686274509803E-2</v>
      </c>
      <c r="J82">
        <f>MIN(1,dataScale*data1!J82)</f>
        <v>3.5294117647058823E-2</v>
      </c>
      <c r="K82">
        <f>MIN(1,dataScale*data1!K82)</f>
        <v>3.1372549019607843E-2</v>
      </c>
      <c r="L82">
        <f>MIN(1,dataScale*data1!L82)</f>
        <v>3.5294117647058823E-2</v>
      </c>
    </row>
    <row r="83" spans="1:12">
      <c r="A83">
        <f>data1!A83</f>
        <v>81</v>
      </c>
      <c r="B83">
        <f>MIN(1,dataScale*data1!B83)</f>
        <v>0</v>
      </c>
      <c r="C83">
        <f>MIN(1,dataScale*data1!C83)</f>
        <v>3.5294117647058823E-2</v>
      </c>
      <c r="D83">
        <f>MIN(1,dataScale*data1!D83)</f>
        <v>3.1372549019607843E-2</v>
      </c>
      <c r="E83">
        <f>MIN(1,dataScale*data1!E83)</f>
        <v>3.1372549019607843E-2</v>
      </c>
      <c r="F83">
        <f>MIN(1,dataScale*data1!F83)</f>
        <v>3.5294117647058823E-2</v>
      </c>
      <c r="G83">
        <f>MIN(1,dataScale*data1!G83)</f>
        <v>3.5294117647058823E-2</v>
      </c>
      <c r="H83">
        <f>MIN(1,dataScale*data1!H83)</f>
        <v>4.3137254901960784E-2</v>
      </c>
      <c r="I83">
        <f>MIN(1,dataScale*data1!I83)</f>
        <v>3.9215686274509803E-2</v>
      </c>
      <c r="J83">
        <f>MIN(1,dataScale*data1!J83)</f>
        <v>3.1372549019607843E-2</v>
      </c>
      <c r="K83">
        <f>MIN(1,dataScale*data1!K83)</f>
        <v>3.1372549019607843E-2</v>
      </c>
      <c r="L83">
        <f>MIN(1,dataScale*data1!L83)</f>
        <v>3.5294117647058823E-2</v>
      </c>
    </row>
    <row r="84" spans="1:12">
      <c r="A84">
        <f>data1!A84</f>
        <v>82</v>
      </c>
      <c r="B84">
        <f>MIN(1,dataScale*data1!B84)</f>
        <v>0</v>
      </c>
      <c r="C84">
        <f>MIN(1,dataScale*data1!C84)</f>
        <v>3.5294117647058823E-2</v>
      </c>
      <c r="D84">
        <f>MIN(1,dataScale*data1!D84)</f>
        <v>3.1372549019607843E-2</v>
      </c>
      <c r="E84">
        <f>MIN(1,dataScale*data1!E84)</f>
        <v>2.7450980392156862E-2</v>
      </c>
      <c r="F84">
        <f>MIN(1,dataScale*data1!F84)</f>
        <v>3.5294117647058823E-2</v>
      </c>
      <c r="G84">
        <f>MIN(1,dataScale*data1!G84)</f>
        <v>3.5294117647058823E-2</v>
      </c>
      <c r="H84">
        <f>MIN(1,dataScale*data1!H84)</f>
        <v>3.9215686274509803E-2</v>
      </c>
      <c r="I84">
        <f>MIN(1,dataScale*data1!I84)</f>
        <v>3.9215686274509803E-2</v>
      </c>
      <c r="J84">
        <f>MIN(1,dataScale*data1!J84)</f>
        <v>3.5294117647058823E-2</v>
      </c>
      <c r="K84">
        <f>MIN(1,dataScale*data1!K84)</f>
        <v>3.1372549019607843E-2</v>
      </c>
      <c r="L84">
        <f>MIN(1,dataScale*data1!L84)</f>
        <v>3.5294117647058823E-2</v>
      </c>
    </row>
    <row r="85" spans="1:12">
      <c r="A85">
        <f>data1!A85</f>
        <v>83</v>
      </c>
      <c r="B85">
        <f>MIN(1,dataScale*data1!B85)</f>
        <v>0</v>
      </c>
      <c r="C85">
        <f>MIN(1,dataScale*data1!C85)</f>
        <v>3.1372549019607843E-2</v>
      </c>
      <c r="D85">
        <f>MIN(1,dataScale*data1!D85)</f>
        <v>3.1372549019607843E-2</v>
      </c>
      <c r="E85">
        <f>MIN(1,dataScale*data1!E85)</f>
        <v>2.7450980392156862E-2</v>
      </c>
      <c r="F85">
        <f>MIN(1,dataScale*data1!F85)</f>
        <v>3.5294117647058823E-2</v>
      </c>
      <c r="G85">
        <f>MIN(1,dataScale*data1!G85)</f>
        <v>3.5294117647058823E-2</v>
      </c>
      <c r="H85">
        <f>MIN(1,dataScale*data1!H85)</f>
        <v>3.9215686274509803E-2</v>
      </c>
      <c r="I85">
        <f>MIN(1,dataScale*data1!I85)</f>
        <v>3.5294117647058823E-2</v>
      </c>
      <c r="J85">
        <f>MIN(1,dataScale*data1!J85)</f>
        <v>3.1372549019607843E-2</v>
      </c>
      <c r="K85">
        <f>MIN(1,dataScale*data1!K85)</f>
        <v>2.7450980392156862E-2</v>
      </c>
      <c r="L85">
        <f>MIN(1,dataScale*data1!L85)</f>
        <v>3.5294117647058823E-2</v>
      </c>
    </row>
    <row r="86" spans="1:12">
      <c r="A86">
        <f>data1!A86</f>
        <v>84</v>
      </c>
      <c r="B86">
        <f>MIN(1,dataScale*data1!B86)</f>
        <v>0</v>
      </c>
      <c r="C86">
        <f>MIN(1,dataScale*data1!C86)</f>
        <v>3.5294117647058823E-2</v>
      </c>
      <c r="D86">
        <f>MIN(1,dataScale*data1!D86)</f>
        <v>2.7450980392156862E-2</v>
      </c>
      <c r="E86">
        <f>MIN(1,dataScale*data1!E86)</f>
        <v>2.7450980392156862E-2</v>
      </c>
      <c r="F86">
        <f>MIN(1,dataScale*data1!F86)</f>
        <v>3.5294117647058823E-2</v>
      </c>
      <c r="G86">
        <f>MIN(1,dataScale*data1!G86)</f>
        <v>3.5294117647058823E-2</v>
      </c>
      <c r="H86">
        <f>MIN(1,dataScale*data1!H86)</f>
        <v>3.9215686274509803E-2</v>
      </c>
      <c r="I86">
        <f>MIN(1,dataScale*data1!I86)</f>
        <v>3.9215686274509803E-2</v>
      </c>
      <c r="J86">
        <f>MIN(1,dataScale*data1!J86)</f>
        <v>3.1372549019607843E-2</v>
      </c>
      <c r="K86">
        <f>MIN(1,dataScale*data1!K86)</f>
        <v>2.7450980392156862E-2</v>
      </c>
      <c r="L86">
        <f>MIN(1,dataScale*data1!L86)</f>
        <v>3.5294117647058823E-2</v>
      </c>
    </row>
    <row r="87" spans="1:12">
      <c r="A87">
        <f>data1!A87</f>
        <v>85</v>
      </c>
      <c r="B87">
        <f>MIN(1,dataScale*data1!B87)</f>
        <v>0</v>
      </c>
      <c r="C87">
        <f>MIN(1,dataScale*data1!C87)</f>
        <v>3.5294117647058823E-2</v>
      </c>
      <c r="D87">
        <f>MIN(1,dataScale*data1!D87)</f>
        <v>3.1372549019607843E-2</v>
      </c>
      <c r="E87">
        <f>MIN(1,dataScale*data1!E87)</f>
        <v>2.7450980392156862E-2</v>
      </c>
      <c r="F87">
        <f>MIN(1,dataScale*data1!F87)</f>
        <v>3.1372549019607843E-2</v>
      </c>
      <c r="G87">
        <f>MIN(1,dataScale*data1!G87)</f>
        <v>3.1372549019607843E-2</v>
      </c>
      <c r="H87">
        <f>MIN(1,dataScale*data1!H87)</f>
        <v>3.9215686274509803E-2</v>
      </c>
      <c r="I87">
        <f>MIN(1,dataScale*data1!I87)</f>
        <v>3.5294117647058823E-2</v>
      </c>
      <c r="J87">
        <f>MIN(1,dataScale*data1!J87)</f>
        <v>3.1372549019607843E-2</v>
      </c>
      <c r="K87">
        <f>MIN(1,dataScale*data1!K87)</f>
        <v>2.7450980392156862E-2</v>
      </c>
      <c r="L87">
        <f>MIN(1,dataScale*data1!L87)</f>
        <v>3.1372549019607843E-2</v>
      </c>
    </row>
    <row r="88" spans="1:12">
      <c r="A88">
        <f>data1!A88</f>
        <v>86</v>
      </c>
      <c r="B88">
        <f>MIN(1,dataScale*data1!B88)</f>
        <v>0</v>
      </c>
      <c r="C88">
        <f>MIN(1,dataScale*data1!C88)</f>
        <v>3.1372549019607843E-2</v>
      </c>
      <c r="D88">
        <f>MIN(1,dataScale*data1!D88)</f>
        <v>2.7450980392156862E-2</v>
      </c>
      <c r="E88">
        <f>MIN(1,dataScale*data1!E88)</f>
        <v>2.7450980392156862E-2</v>
      </c>
      <c r="F88">
        <f>MIN(1,dataScale*data1!F88)</f>
        <v>3.1372549019607843E-2</v>
      </c>
      <c r="G88">
        <f>MIN(1,dataScale*data1!G88)</f>
        <v>3.1372549019607843E-2</v>
      </c>
      <c r="H88">
        <f>MIN(1,dataScale*data1!H88)</f>
        <v>3.5294117647058823E-2</v>
      </c>
      <c r="I88">
        <f>MIN(1,dataScale*data1!I88)</f>
        <v>3.5294117647058823E-2</v>
      </c>
      <c r="J88">
        <f>MIN(1,dataScale*data1!J88)</f>
        <v>3.1372549019607843E-2</v>
      </c>
      <c r="K88">
        <f>MIN(1,dataScale*data1!K88)</f>
        <v>2.7450980392156862E-2</v>
      </c>
      <c r="L88">
        <f>MIN(1,dataScale*data1!L88)</f>
        <v>3.1372549019607843E-2</v>
      </c>
    </row>
    <row r="89" spans="1:12">
      <c r="A89">
        <f>data1!A89</f>
        <v>87</v>
      </c>
      <c r="B89">
        <f>MIN(1,dataScale*data1!B89)</f>
        <v>0</v>
      </c>
      <c r="C89">
        <f>MIN(1,dataScale*data1!C89)</f>
        <v>3.1372549019607843E-2</v>
      </c>
      <c r="D89">
        <f>MIN(1,dataScale*data1!D89)</f>
        <v>2.7450980392156862E-2</v>
      </c>
      <c r="E89">
        <f>MIN(1,dataScale*data1!E89)</f>
        <v>2.3529411764705882E-2</v>
      </c>
      <c r="F89">
        <f>MIN(1,dataScale*data1!F89)</f>
        <v>3.1372549019607843E-2</v>
      </c>
      <c r="G89">
        <f>MIN(1,dataScale*data1!G89)</f>
        <v>3.1372549019607843E-2</v>
      </c>
      <c r="H89">
        <f>MIN(1,dataScale*data1!H89)</f>
        <v>3.5294117647058823E-2</v>
      </c>
      <c r="I89">
        <f>MIN(1,dataScale*data1!I89)</f>
        <v>3.1372549019607843E-2</v>
      </c>
      <c r="J89">
        <f>MIN(1,dataScale*data1!J89)</f>
        <v>2.7450980392156862E-2</v>
      </c>
      <c r="K89">
        <f>MIN(1,dataScale*data1!K89)</f>
        <v>2.7450980392156862E-2</v>
      </c>
      <c r="L89">
        <f>MIN(1,dataScale*data1!L89)</f>
        <v>3.1372549019607843E-2</v>
      </c>
    </row>
    <row r="90" spans="1:12">
      <c r="A90">
        <f>data1!A90</f>
        <v>88</v>
      </c>
      <c r="B90">
        <f>MIN(1,dataScale*data1!B90)</f>
        <v>0</v>
      </c>
      <c r="C90">
        <f>MIN(1,dataScale*data1!C90)</f>
        <v>3.1372549019607843E-2</v>
      </c>
      <c r="D90">
        <f>MIN(1,dataScale*data1!D90)</f>
        <v>2.7450980392156862E-2</v>
      </c>
      <c r="E90">
        <f>MIN(1,dataScale*data1!E90)</f>
        <v>2.7450980392156862E-2</v>
      </c>
      <c r="F90">
        <f>MIN(1,dataScale*data1!F90)</f>
        <v>3.1372549019607843E-2</v>
      </c>
      <c r="G90">
        <f>MIN(1,dataScale*data1!G90)</f>
        <v>3.1372549019607843E-2</v>
      </c>
      <c r="H90">
        <f>MIN(1,dataScale*data1!H90)</f>
        <v>3.1372549019607843E-2</v>
      </c>
      <c r="I90">
        <f>MIN(1,dataScale*data1!I90)</f>
        <v>3.1372549019607843E-2</v>
      </c>
      <c r="J90">
        <f>MIN(1,dataScale*data1!J90)</f>
        <v>2.7450980392156862E-2</v>
      </c>
      <c r="K90">
        <f>MIN(1,dataScale*data1!K90)</f>
        <v>2.7450980392156862E-2</v>
      </c>
      <c r="L90">
        <f>MIN(1,dataScale*data1!L90)</f>
        <v>3.1372549019607843E-2</v>
      </c>
    </row>
    <row r="91" spans="1:12">
      <c r="A91">
        <f>data1!A91</f>
        <v>89</v>
      </c>
      <c r="B91">
        <f>MIN(1,dataScale*data1!B91)</f>
        <v>0</v>
      </c>
      <c r="C91">
        <f>MIN(1,dataScale*data1!C91)</f>
        <v>2.7450980392156862E-2</v>
      </c>
      <c r="D91">
        <f>MIN(1,dataScale*data1!D91)</f>
        <v>2.7450980392156862E-2</v>
      </c>
      <c r="E91">
        <f>MIN(1,dataScale*data1!E91)</f>
        <v>2.3529411764705882E-2</v>
      </c>
      <c r="F91">
        <f>MIN(1,dataScale*data1!F91)</f>
        <v>2.7450980392156862E-2</v>
      </c>
      <c r="G91">
        <f>MIN(1,dataScale*data1!G91)</f>
        <v>2.7450980392156862E-2</v>
      </c>
      <c r="H91">
        <f>MIN(1,dataScale*data1!H91)</f>
        <v>3.5294117647058823E-2</v>
      </c>
      <c r="I91">
        <f>MIN(1,dataScale*data1!I91)</f>
        <v>3.1372549019607843E-2</v>
      </c>
      <c r="J91">
        <f>MIN(1,dataScale*data1!J91)</f>
        <v>2.7450980392156862E-2</v>
      </c>
      <c r="K91">
        <f>MIN(1,dataScale*data1!K91)</f>
        <v>2.7450980392156862E-2</v>
      </c>
      <c r="L91">
        <f>MIN(1,dataScale*data1!L91)</f>
        <v>2.7450980392156862E-2</v>
      </c>
    </row>
    <row r="92" spans="1:12">
      <c r="A92">
        <f>data1!A92</f>
        <v>90</v>
      </c>
      <c r="B92">
        <f>MIN(1,dataScale*data1!B92)</f>
        <v>0</v>
      </c>
      <c r="C92">
        <f>MIN(1,dataScale*data1!C92)</f>
        <v>2.7450980392156862E-2</v>
      </c>
      <c r="D92">
        <f>MIN(1,dataScale*data1!D92)</f>
        <v>2.7450980392156862E-2</v>
      </c>
      <c r="E92">
        <f>MIN(1,dataScale*data1!E92)</f>
        <v>2.3529411764705882E-2</v>
      </c>
      <c r="F92">
        <f>MIN(1,dataScale*data1!F92)</f>
        <v>2.7450980392156862E-2</v>
      </c>
      <c r="G92">
        <f>MIN(1,dataScale*data1!G92)</f>
        <v>2.7450980392156862E-2</v>
      </c>
      <c r="H92">
        <f>MIN(1,dataScale*data1!H92)</f>
        <v>3.5294117647058823E-2</v>
      </c>
      <c r="I92">
        <f>MIN(1,dataScale*data1!I92)</f>
        <v>3.1372549019607843E-2</v>
      </c>
      <c r="J92">
        <f>MIN(1,dataScale*data1!J92)</f>
        <v>2.7450980392156862E-2</v>
      </c>
      <c r="K92">
        <f>MIN(1,dataScale*data1!K92)</f>
        <v>2.3529411764705882E-2</v>
      </c>
      <c r="L92">
        <f>MIN(1,dataScale*data1!L92)</f>
        <v>3.1372549019607843E-2</v>
      </c>
    </row>
    <row r="93" spans="1:12">
      <c r="A93">
        <f>data1!A93</f>
        <v>91</v>
      </c>
      <c r="B93">
        <f>MIN(1,dataScale*data1!B93)</f>
        <v>0</v>
      </c>
      <c r="C93">
        <f>MIN(1,dataScale*data1!C93)</f>
        <v>2.7450980392156862E-2</v>
      </c>
      <c r="D93">
        <f>MIN(1,dataScale*data1!D93)</f>
        <v>2.3529411764705882E-2</v>
      </c>
      <c r="E93">
        <f>MIN(1,dataScale*data1!E93)</f>
        <v>2.3529411764705882E-2</v>
      </c>
      <c r="F93">
        <f>MIN(1,dataScale*data1!F93)</f>
        <v>2.7450980392156862E-2</v>
      </c>
      <c r="G93">
        <f>MIN(1,dataScale*data1!G93)</f>
        <v>2.7450980392156862E-2</v>
      </c>
      <c r="H93">
        <f>MIN(1,dataScale*data1!H93)</f>
        <v>3.1372549019607843E-2</v>
      </c>
      <c r="I93">
        <f>MIN(1,dataScale*data1!I93)</f>
        <v>3.1372549019607843E-2</v>
      </c>
      <c r="J93">
        <f>MIN(1,dataScale*data1!J93)</f>
        <v>2.3529411764705882E-2</v>
      </c>
      <c r="K93">
        <f>MIN(1,dataScale*data1!K93)</f>
        <v>2.3529411764705882E-2</v>
      </c>
      <c r="L93">
        <f>MIN(1,dataScale*data1!L93)</f>
        <v>2.7450980392156862E-2</v>
      </c>
    </row>
    <row r="94" spans="1:12">
      <c r="A94">
        <f>data1!A94</f>
        <v>92</v>
      </c>
      <c r="B94">
        <f>MIN(1,dataScale*data1!B94)</f>
        <v>0</v>
      </c>
      <c r="C94">
        <f>MIN(1,dataScale*data1!C94)</f>
        <v>2.7450980392156862E-2</v>
      </c>
      <c r="D94">
        <f>MIN(1,dataScale*data1!D94)</f>
        <v>2.3529411764705882E-2</v>
      </c>
      <c r="E94">
        <f>MIN(1,dataScale*data1!E94)</f>
        <v>2.3529411764705882E-2</v>
      </c>
      <c r="F94">
        <f>MIN(1,dataScale*data1!F94)</f>
        <v>2.7450980392156862E-2</v>
      </c>
      <c r="G94">
        <f>MIN(1,dataScale*data1!G94)</f>
        <v>2.7450980392156862E-2</v>
      </c>
      <c r="H94">
        <f>MIN(1,dataScale*data1!H94)</f>
        <v>3.1372549019607843E-2</v>
      </c>
      <c r="I94">
        <f>MIN(1,dataScale*data1!I94)</f>
        <v>3.1372549019607843E-2</v>
      </c>
      <c r="J94">
        <f>MIN(1,dataScale*data1!J94)</f>
        <v>2.3529411764705882E-2</v>
      </c>
      <c r="K94">
        <f>MIN(1,dataScale*data1!K94)</f>
        <v>2.3529411764705882E-2</v>
      </c>
      <c r="L94">
        <f>MIN(1,dataScale*data1!L94)</f>
        <v>2.7450980392156862E-2</v>
      </c>
    </row>
    <row r="95" spans="1:12">
      <c r="A95">
        <f>data1!A95</f>
        <v>93</v>
      </c>
      <c r="B95">
        <f>MIN(1,dataScale*data1!B95)</f>
        <v>0</v>
      </c>
      <c r="C95">
        <f>MIN(1,dataScale*data1!C95)</f>
        <v>2.7450980392156862E-2</v>
      </c>
      <c r="D95">
        <f>MIN(1,dataScale*data1!D95)</f>
        <v>2.3529411764705882E-2</v>
      </c>
      <c r="E95">
        <f>MIN(1,dataScale*data1!E95)</f>
        <v>1.9607843137254902E-2</v>
      </c>
      <c r="F95">
        <f>MIN(1,dataScale*data1!F95)</f>
        <v>2.7450980392156862E-2</v>
      </c>
      <c r="G95">
        <f>MIN(1,dataScale*data1!G95)</f>
        <v>2.7450980392156862E-2</v>
      </c>
      <c r="H95">
        <f>MIN(1,dataScale*data1!H95)</f>
        <v>3.1372549019607843E-2</v>
      </c>
      <c r="I95">
        <f>MIN(1,dataScale*data1!I95)</f>
        <v>3.1372549019607843E-2</v>
      </c>
      <c r="J95">
        <f>MIN(1,dataScale*data1!J95)</f>
        <v>2.3529411764705882E-2</v>
      </c>
      <c r="K95">
        <f>MIN(1,dataScale*data1!K95)</f>
        <v>2.3529411764705882E-2</v>
      </c>
      <c r="L95">
        <f>MIN(1,dataScale*data1!L95)</f>
        <v>2.7450980392156862E-2</v>
      </c>
    </row>
    <row r="96" spans="1:12">
      <c r="A96">
        <f>data1!A96</f>
        <v>94</v>
      </c>
      <c r="B96">
        <f>MIN(1,dataScale*data1!B96)</f>
        <v>0</v>
      </c>
      <c r="C96">
        <f>MIN(1,dataScale*data1!C96)</f>
        <v>2.3529411764705882E-2</v>
      </c>
      <c r="D96">
        <f>MIN(1,dataScale*data1!D96)</f>
        <v>2.3529411764705882E-2</v>
      </c>
      <c r="E96">
        <f>MIN(1,dataScale*data1!E96)</f>
        <v>1.9607843137254902E-2</v>
      </c>
      <c r="F96">
        <f>MIN(1,dataScale*data1!F96)</f>
        <v>2.7450980392156862E-2</v>
      </c>
      <c r="G96">
        <f>MIN(1,dataScale*data1!G96)</f>
        <v>2.7450980392156862E-2</v>
      </c>
      <c r="H96">
        <f>MIN(1,dataScale*data1!H96)</f>
        <v>3.1372549019607843E-2</v>
      </c>
      <c r="I96">
        <f>MIN(1,dataScale*data1!I96)</f>
        <v>2.7450980392156862E-2</v>
      </c>
      <c r="J96">
        <f>MIN(1,dataScale*data1!J96)</f>
        <v>2.3529411764705882E-2</v>
      </c>
      <c r="K96">
        <f>MIN(1,dataScale*data1!K96)</f>
        <v>2.3529411764705882E-2</v>
      </c>
      <c r="L96">
        <f>MIN(1,dataScale*data1!L96)</f>
        <v>2.7450980392156862E-2</v>
      </c>
    </row>
    <row r="97" spans="1:12">
      <c r="A97">
        <f>data1!A97</f>
        <v>95</v>
      </c>
      <c r="B97">
        <f>MIN(1,dataScale*data1!B97)</f>
        <v>0</v>
      </c>
      <c r="C97">
        <f>MIN(1,dataScale*data1!C97)</f>
        <v>2.3529411764705882E-2</v>
      </c>
      <c r="D97">
        <f>MIN(1,dataScale*data1!D97)</f>
        <v>2.3529411764705882E-2</v>
      </c>
      <c r="E97">
        <f>MIN(1,dataScale*data1!E97)</f>
        <v>1.9607843137254902E-2</v>
      </c>
      <c r="F97">
        <f>MIN(1,dataScale*data1!F97)</f>
        <v>2.7450980392156862E-2</v>
      </c>
      <c r="G97">
        <f>MIN(1,dataScale*data1!G97)</f>
        <v>2.7450980392156862E-2</v>
      </c>
      <c r="H97">
        <f>MIN(1,dataScale*data1!H97)</f>
        <v>3.1372549019607843E-2</v>
      </c>
      <c r="I97">
        <f>MIN(1,dataScale*data1!I97)</f>
        <v>2.7450980392156862E-2</v>
      </c>
      <c r="J97">
        <f>MIN(1,dataScale*data1!J97)</f>
        <v>2.3529411764705882E-2</v>
      </c>
      <c r="K97">
        <f>MIN(1,dataScale*data1!K97)</f>
        <v>2.3529411764705882E-2</v>
      </c>
      <c r="L97">
        <f>MIN(1,dataScale*data1!L97)</f>
        <v>2.7450980392156862E-2</v>
      </c>
    </row>
    <row r="98" spans="1:12">
      <c r="A98">
        <f>data1!A98</f>
        <v>96</v>
      </c>
      <c r="B98">
        <f>MIN(1,dataScale*data1!B98)</f>
        <v>0</v>
      </c>
      <c r="C98">
        <f>MIN(1,dataScale*data1!C98)</f>
        <v>2.3529411764705882E-2</v>
      </c>
      <c r="D98">
        <f>MIN(1,dataScale*data1!D98)</f>
        <v>2.3529411764705882E-2</v>
      </c>
      <c r="E98">
        <f>MIN(1,dataScale*data1!E98)</f>
        <v>1.9607843137254902E-2</v>
      </c>
      <c r="F98">
        <f>MIN(1,dataScale*data1!F98)</f>
        <v>2.7450980392156862E-2</v>
      </c>
      <c r="G98">
        <f>MIN(1,dataScale*data1!G98)</f>
        <v>2.3529411764705882E-2</v>
      </c>
      <c r="H98">
        <f>MIN(1,dataScale*data1!H98)</f>
        <v>2.7450980392156862E-2</v>
      </c>
      <c r="I98">
        <f>MIN(1,dataScale*data1!I98)</f>
        <v>2.7450980392156862E-2</v>
      </c>
      <c r="J98">
        <f>MIN(1,dataScale*data1!J98)</f>
        <v>2.3529411764705882E-2</v>
      </c>
      <c r="K98">
        <f>MIN(1,dataScale*data1!K98)</f>
        <v>1.9607843137254902E-2</v>
      </c>
      <c r="L98">
        <f>MIN(1,dataScale*data1!L98)</f>
        <v>2.3529411764705882E-2</v>
      </c>
    </row>
    <row r="99" spans="1:12">
      <c r="A99">
        <f>data1!A99</f>
        <v>97</v>
      </c>
      <c r="B99">
        <f>MIN(1,dataScale*data1!B99)</f>
        <v>0</v>
      </c>
      <c r="C99">
        <f>MIN(1,dataScale*data1!C99)</f>
        <v>2.3529411764705882E-2</v>
      </c>
      <c r="D99">
        <f>MIN(1,dataScale*data1!D99)</f>
        <v>1.9607843137254902E-2</v>
      </c>
      <c r="E99">
        <f>MIN(1,dataScale*data1!E99)</f>
        <v>1.9607843137254902E-2</v>
      </c>
      <c r="F99">
        <f>MIN(1,dataScale*data1!F99)</f>
        <v>1.9607843137254902E-2</v>
      </c>
      <c r="G99">
        <f>MIN(1,dataScale*data1!G99)</f>
        <v>2.3529411764705882E-2</v>
      </c>
      <c r="H99">
        <f>MIN(1,dataScale*data1!H99)</f>
        <v>2.7450980392156862E-2</v>
      </c>
      <c r="I99">
        <f>MIN(1,dataScale*data1!I99)</f>
        <v>2.7450980392156862E-2</v>
      </c>
      <c r="J99">
        <f>MIN(1,dataScale*data1!J99)</f>
        <v>1.9607843137254902E-2</v>
      </c>
      <c r="K99">
        <f>MIN(1,dataScale*data1!K99)</f>
        <v>1.9607843137254902E-2</v>
      </c>
      <c r="L99">
        <f>MIN(1,dataScale*data1!L99)</f>
        <v>2.3529411764705882E-2</v>
      </c>
    </row>
    <row r="100" spans="1:12">
      <c r="A100">
        <f>data1!A100</f>
        <v>98</v>
      </c>
      <c r="B100">
        <f>MIN(1,dataScale*data1!B100)</f>
        <v>0</v>
      </c>
      <c r="C100">
        <f>MIN(1,dataScale*data1!C100)</f>
        <v>2.3529411764705882E-2</v>
      </c>
      <c r="D100">
        <f>MIN(1,dataScale*data1!D100)</f>
        <v>2.3529411764705882E-2</v>
      </c>
      <c r="E100">
        <f>MIN(1,dataScale*data1!E100)</f>
        <v>1.9607843137254902E-2</v>
      </c>
      <c r="F100">
        <f>MIN(1,dataScale*data1!F100)</f>
        <v>2.3529411764705882E-2</v>
      </c>
      <c r="G100">
        <f>MIN(1,dataScale*data1!G100)</f>
        <v>2.3529411764705882E-2</v>
      </c>
      <c r="H100">
        <f>MIN(1,dataScale*data1!H100)</f>
        <v>2.7450980392156862E-2</v>
      </c>
      <c r="I100">
        <f>MIN(1,dataScale*data1!I100)</f>
        <v>2.7450980392156862E-2</v>
      </c>
      <c r="J100">
        <f>MIN(1,dataScale*data1!J100)</f>
        <v>1.1764705882352941E-2</v>
      </c>
      <c r="K100">
        <f>MIN(1,dataScale*data1!K100)</f>
        <v>1.9607843137254902E-2</v>
      </c>
      <c r="L100">
        <f>MIN(1,dataScale*data1!L100)</f>
        <v>2.3529411764705882E-2</v>
      </c>
    </row>
    <row r="101" spans="1:12">
      <c r="A101">
        <f>data1!A101</f>
        <v>99</v>
      </c>
      <c r="B101">
        <f>MIN(1,dataScale*data1!B101)</f>
        <v>0</v>
      </c>
      <c r="C101">
        <f>MIN(1,dataScale*data1!C101)</f>
        <v>2.3529411764705882E-2</v>
      </c>
      <c r="D101">
        <f>MIN(1,dataScale*data1!D101)</f>
        <v>1.5686274509803921E-2</v>
      </c>
      <c r="E101">
        <f>MIN(1,dataScale*data1!E101)</f>
        <v>1.5686274509803921E-2</v>
      </c>
      <c r="F101">
        <f>MIN(1,dataScale*data1!F101)</f>
        <v>2.3529411764705882E-2</v>
      </c>
      <c r="G101">
        <f>MIN(1,dataScale*data1!G101)</f>
        <v>2.3529411764705882E-2</v>
      </c>
      <c r="H101">
        <f>MIN(1,dataScale*data1!H101)</f>
        <v>2.3529411764705882E-2</v>
      </c>
      <c r="I101">
        <f>MIN(1,dataScale*data1!I101)</f>
        <v>2.7450980392156862E-2</v>
      </c>
      <c r="J101">
        <f>MIN(1,dataScale*data1!J101)</f>
        <v>1.9607843137254902E-2</v>
      </c>
      <c r="K101">
        <f>MIN(1,dataScale*data1!K101)</f>
        <v>1.9607843137254902E-2</v>
      </c>
      <c r="L101">
        <f>MIN(1,dataScale*data1!L101)</f>
        <v>2.3529411764705882E-2</v>
      </c>
    </row>
    <row r="102" spans="1:12">
      <c r="A102">
        <f>data1!A102</f>
        <v>100</v>
      </c>
      <c r="B102">
        <f>MIN(1,dataScale*data1!B102)</f>
        <v>0</v>
      </c>
      <c r="C102">
        <f>MIN(1,dataScale*data1!C102)</f>
        <v>2.3529411764705882E-2</v>
      </c>
      <c r="D102">
        <f>MIN(1,dataScale*data1!D102)</f>
        <v>1.9607843137254902E-2</v>
      </c>
      <c r="E102">
        <f>MIN(1,dataScale*data1!E102)</f>
        <v>1.5686274509803921E-2</v>
      </c>
      <c r="F102">
        <f>MIN(1,dataScale*data1!F102)</f>
        <v>1.9607843137254902E-2</v>
      </c>
      <c r="G102">
        <f>MIN(1,dataScale*data1!G102)</f>
        <v>2.3529411764705882E-2</v>
      </c>
      <c r="H102">
        <f>MIN(1,dataScale*data1!H102)</f>
        <v>2.7450980392156862E-2</v>
      </c>
      <c r="I102">
        <f>MIN(1,dataScale*data1!I102)</f>
        <v>2.3529411764705882E-2</v>
      </c>
      <c r="J102">
        <f>MIN(1,dataScale*data1!J102)</f>
        <v>1.9607843137254902E-2</v>
      </c>
      <c r="K102">
        <f>MIN(1,dataScale*data1!K102)</f>
        <v>1.9607843137254902E-2</v>
      </c>
      <c r="L102">
        <f>MIN(1,dataScale*data1!L102)</f>
        <v>2.3529411764705882E-2</v>
      </c>
    </row>
    <row r="103" spans="1:12">
      <c r="A103">
        <f>data1!A103</f>
        <v>101</v>
      </c>
      <c r="B103">
        <f>MIN(1,dataScale*data1!B103)</f>
        <v>0</v>
      </c>
      <c r="C103">
        <f>MIN(1,dataScale*data1!C103)</f>
        <v>1.9607843137254902E-2</v>
      </c>
      <c r="D103">
        <f>MIN(1,dataScale*data1!D103)</f>
        <v>1.9607843137254902E-2</v>
      </c>
      <c r="E103">
        <f>MIN(1,dataScale*data1!E103)</f>
        <v>1.5686274509803921E-2</v>
      </c>
      <c r="F103">
        <f>MIN(1,dataScale*data1!F103)</f>
        <v>2.3529411764705882E-2</v>
      </c>
      <c r="G103">
        <f>MIN(1,dataScale*data1!G103)</f>
        <v>2.3529411764705882E-2</v>
      </c>
      <c r="H103">
        <f>MIN(1,dataScale*data1!H103)</f>
        <v>2.7450980392156862E-2</v>
      </c>
      <c r="I103">
        <f>MIN(1,dataScale*data1!I103)</f>
        <v>2.3529411764705882E-2</v>
      </c>
      <c r="J103">
        <f>MIN(1,dataScale*data1!J103)</f>
        <v>1.9607843137254902E-2</v>
      </c>
      <c r="K103">
        <f>MIN(1,dataScale*data1!K103)</f>
        <v>1.9607843137254902E-2</v>
      </c>
      <c r="L103">
        <f>MIN(1,dataScale*data1!L103)</f>
        <v>2.3529411764705882E-2</v>
      </c>
    </row>
    <row r="104" spans="1:12">
      <c r="A104">
        <f>data1!A104</f>
        <v>102</v>
      </c>
      <c r="B104">
        <f>MIN(1,dataScale*data1!B104)</f>
        <v>0</v>
      </c>
      <c r="C104">
        <f>MIN(1,dataScale*data1!C104)</f>
        <v>1.9607843137254902E-2</v>
      </c>
      <c r="D104">
        <f>MIN(1,dataScale*data1!D104)</f>
        <v>1.9607843137254902E-2</v>
      </c>
      <c r="E104">
        <f>MIN(1,dataScale*data1!E104)</f>
        <v>1.5686274509803921E-2</v>
      </c>
      <c r="F104">
        <f>MIN(1,dataScale*data1!F104)</f>
        <v>1.9607843137254902E-2</v>
      </c>
      <c r="G104">
        <f>MIN(1,dataScale*data1!G104)</f>
        <v>1.9607843137254902E-2</v>
      </c>
      <c r="H104">
        <f>MIN(1,dataScale*data1!H104)</f>
        <v>2.3529411764705882E-2</v>
      </c>
      <c r="I104">
        <f>MIN(1,dataScale*data1!I104)</f>
        <v>2.3529411764705882E-2</v>
      </c>
      <c r="J104">
        <f>MIN(1,dataScale*data1!J104)</f>
        <v>1.9607843137254902E-2</v>
      </c>
      <c r="K104">
        <f>MIN(1,dataScale*data1!K104)</f>
        <v>1.9607843137254902E-2</v>
      </c>
      <c r="L104">
        <f>MIN(1,dataScale*data1!L104)</f>
        <v>2.3529411764705882E-2</v>
      </c>
    </row>
    <row r="105" spans="1:12">
      <c r="A105">
        <f>data1!A105</f>
        <v>103</v>
      </c>
      <c r="B105">
        <f>MIN(1,dataScale*data1!B105)</f>
        <v>0</v>
      </c>
      <c r="C105">
        <f>MIN(1,dataScale*data1!C105)</f>
        <v>1.9607843137254902E-2</v>
      </c>
      <c r="D105">
        <f>MIN(1,dataScale*data1!D105)</f>
        <v>1.5686274509803921E-2</v>
      </c>
      <c r="E105">
        <f>MIN(1,dataScale*data1!E105)</f>
        <v>1.5686274509803921E-2</v>
      </c>
      <c r="F105">
        <f>MIN(1,dataScale*data1!F105)</f>
        <v>2.3529411764705882E-2</v>
      </c>
      <c r="G105">
        <f>MIN(1,dataScale*data1!G105)</f>
        <v>2.3529411764705882E-2</v>
      </c>
      <c r="H105">
        <f>MIN(1,dataScale*data1!H105)</f>
        <v>2.3529411764705882E-2</v>
      </c>
      <c r="I105">
        <f>MIN(1,dataScale*data1!I105)</f>
        <v>2.3529411764705882E-2</v>
      </c>
      <c r="J105">
        <f>MIN(1,dataScale*data1!J105)</f>
        <v>1.9607843137254902E-2</v>
      </c>
      <c r="K105">
        <f>MIN(1,dataScale*data1!K105)</f>
        <v>1.5686274509803921E-2</v>
      </c>
      <c r="L105">
        <f>MIN(1,dataScale*data1!L105)</f>
        <v>2.3529411764705882E-2</v>
      </c>
    </row>
    <row r="106" spans="1:12">
      <c r="A106">
        <f>data1!A106</f>
        <v>104</v>
      </c>
      <c r="B106">
        <f>MIN(1,dataScale*data1!B106)</f>
        <v>0</v>
      </c>
      <c r="C106">
        <f>MIN(1,dataScale*data1!C106)</f>
        <v>1.9607843137254902E-2</v>
      </c>
      <c r="D106">
        <f>MIN(1,dataScale*data1!D106)</f>
        <v>1.5686274509803921E-2</v>
      </c>
      <c r="E106">
        <f>MIN(1,dataScale*data1!E106)</f>
        <v>1.5686274509803921E-2</v>
      </c>
      <c r="F106">
        <f>MIN(1,dataScale*data1!F106)</f>
        <v>1.9607843137254902E-2</v>
      </c>
      <c r="G106">
        <f>MIN(1,dataScale*data1!G106)</f>
        <v>1.9607843137254902E-2</v>
      </c>
      <c r="H106">
        <f>MIN(1,dataScale*data1!H106)</f>
        <v>2.3529411764705882E-2</v>
      </c>
      <c r="I106">
        <f>MIN(1,dataScale*data1!I106)</f>
        <v>1.9607843137254902E-2</v>
      </c>
      <c r="J106">
        <f>MIN(1,dataScale*data1!J106)</f>
        <v>1.9607843137254902E-2</v>
      </c>
      <c r="K106">
        <f>MIN(1,dataScale*data1!K106)</f>
        <v>1.9607843137254902E-2</v>
      </c>
      <c r="L106">
        <f>MIN(1,dataScale*data1!L106)</f>
        <v>2.3529411764705882E-2</v>
      </c>
    </row>
    <row r="107" spans="1:12">
      <c r="A107">
        <f>data1!A107</f>
        <v>105</v>
      </c>
      <c r="B107">
        <f>MIN(1,dataScale*data1!B107)</f>
        <v>0</v>
      </c>
      <c r="C107">
        <f>MIN(1,dataScale*data1!C107)</f>
        <v>1.9607843137254902E-2</v>
      </c>
      <c r="D107">
        <f>MIN(1,dataScale*data1!D107)</f>
        <v>1.5686274509803921E-2</v>
      </c>
      <c r="E107">
        <f>MIN(1,dataScale*data1!E107)</f>
        <v>1.5686274509803921E-2</v>
      </c>
      <c r="F107">
        <f>MIN(1,dataScale*data1!F107)</f>
        <v>1.9607843137254902E-2</v>
      </c>
      <c r="G107">
        <f>MIN(1,dataScale*data1!G107)</f>
        <v>1.9607843137254902E-2</v>
      </c>
      <c r="H107">
        <f>MIN(1,dataScale*data1!H107)</f>
        <v>2.3529411764705882E-2</v>
      </c>
      <c r="I107">
        <f>MIN(1,dataScale*data1!I107)</f>
        <v>2.3529411764705882E-2</v>
      </c>
      <c r="J107">
        <f>MIN(1,dataScale*data1!J107)</f>
        <v>1.9607843137254902E-2</v>
      </c>
      <c r="K107">
        <f>MIN(1,dataScale*data1!K107)</f>
        <v>1.9607843137254902E-2</v>
      </c>
      <c r="L107">
        <f>MIN(1,dataScale*data1!L107)</f>
        <v>1.9607843137254902E-2</v>
      </c>
    </row>
    <row r="108" spans="1:12">
      <c r="A108">
        <f>data1!A108</f>
        <v>106</v>
      </c>
      <c r="B108">
        <f>MIN(1,dataScale*data1!B108)</f>
        <v>0</v>
      </c>
      <c r="C108">
        <f>MIN(1,dataScale*data1!C108)</f>
        <v>1.9607843137254902E-2</v>
      </c>
      <c r="D108">
        <f>MIN(1,dataScale*data1!D108)</f>
        <v>1.5686274509803921E-2</v>
      </c>
      <c r="E108">
        <f>MIN(1,dataScale*data1!E108)</f>
        <v>1.5686274509803921E-2</v>
      </c>
      <c r="F108">
        <f>MIN(1,dataScale*data1!F108)</f>
        <v>1.5686274509803921E-2</v>
      </c>
      <c r="G108">
        <f>MIN(1,dataScale*data1!G108)</f>
        <v>1.9607843137254902E-2</v>
      </c>
      <c r="H108">
        <f>MIN(1,dataScale*data1!H108)</f>
        <v>2.3529411764705882E-2</v>
      </c>
      <c r="I108">
        <f>MIN(1,dataScale*data1!I108)</f>
        <v>1.9607843137254902E-2</v>
      </c>
      <c r="J108">
        <f>MIN(1,dataScale*data1!J108)</f>
        <v>1.9607843137254902E-2</v>
      </c>
      <c r="K108">
        <f>MIN(1,dataScale*data1!K108)</f>
        <v>1.5686274509803921E-2</v>
      </c>
      <c r="L108">
        <f>MIN(1,dataScale*data1!L108)</f>
        <v>1.9607843137254902E-2</v>
      </c>
    </row>
    <row r="109" spans="1:12">
      <c r="A109">
        <f>data1!A109</f>
        <v>107</v>
      </c>
      <c r="B109">
        <f>MIN(1,dataScale*data1!B109)</f>
        <v>0</v>
      </c>
      <c r="C109">
        <f>MIN(1,dataScale*data1!C109)</f>
        <v>1.9607843137254902E-2</v>
      </c>
      <c r="D109">
        <f>MIN(1,dataScale*data1!D109)</f>
        <v>1.5686274509803921E-2</v>
      </c>
      <c r="E109">
        <f>MIN(1,dataScale*data1!E109)</f>
        <v>1.5686274509803921E-2</v>
      </c>
      <c r="F109">
        <f>MIN(1,dataScale*data1!F109)</f>
        <v>1.9607843137254902E-2</v>
      </c>
      <c r="G109">
        <f>MIN(1,dataScale*data1!G109)</f>
        <v>1.9607843137254902E-2</v>
      </c>
      <c r="H109">
        <f>MIN(1,dataScale*data1!H109)</f>
        <v>2.3529411764705882E-2</v>
      </c>
      <c r="I109">
        <f>MIN(1,dataScale*data1!I109)</f>
        <v>1.9607843137254902E-2</v>
      </c>
      <c r="J109">
        <f>MIN(1,dataScale*data1!J109)</f>
        <v>1.5686274509803921E-2</v>
      </c>
      <c r="K109">
        <f>MIN(1,dataScale*data1!K109)</f>
        <v>1.5686274509803921E-2</v>
      </c>
      <c r="L109">
        <f>MIN(1,dataScale*data1!L109)</f>
        <v>1.9607843137254902E-2</v>
      </c>
    </row>
    <row r="110" spans="1:12">
      <c r="A110">
        <f>data1!A110</f>
        <v>108</v>
      </c>
      <c r="B110">
        <f>MIN(1,dataScale*data1!B110)</f>
        <v>0</v>
      </c>
      <c r="C110">
        <f>MIN(1,dataScale*data1!C110)</f>
        <v>2.7450980392156862E-2</v>
      </c>
      <c r="D110">
        <f>MIN(1,dataScale*data1!D110)</f>
        <v>1.5686274509803921E-2</v>
      </c>
      <c r="E110">
        <f>MIN(1,dataScale*data1!E110)</f>
        <v>1.5686274509803921E-2</v>
      </c>
      <c r="F110">
        <f>MIN(1,dataScale*data1!F110)</f>
        <v>1.9607843137254902E-2</v>
      </c>
      <c r="G110">
        <f>MIN(1,dataScale*data1!G110)</f>
        <v>1.9607843137254902E-2</v>
      </c>
      <c r="H110">
        <f>MIN(1,dataScale*data1!H110)</f>
        <v>2.3529411764705882E-2</v>
      </c>
      <c r="I110">
        <f>MIN(1,dataScale*data1!I110)</f>
        <v>1.9607843137254902E-2</v>
      </c>
      <c r="J110">
        <f>MIN(1,dataScale*data1!J110)</f>
        <v>1.5686274509803921E-2</v>
      </c>
      <c r="K110">
        <f>MIN(1,dataScale*data1!K110)</f>
        <v>1.5686274509803921E-2</v>
      </c>
      <c r="L110">
        <f>MIN(1,dataScale*data1!L110)</f>
        <v>1.9607843137254902E-2</v>
      </c>
    </row>
    <row r="111" spans="1:12">
      <c r="A111">
        <f>data1!A111</f>
        <v>109</v>
      </c>
      <c r="B111">
        <f>MIN(1,dataScale*data1!B111)</f>
        <v>0</v>
      </c>
      <c r="C111">
        <f>MIN(1,dataScale*data1!C111)</f>
        <v>1.5686274509803921E-2</v>
      </c>
      <c r="D111">
        <f>MIN(1,dataScale*data1!D111)</f>
        <v>1.5686274509803921E-2</v>
      </c>
      <c r="E111">
        <f>MIN(1,dataScale*data1!E111)</f>
        <v>1.1764705882352941E-2</v>
      </c>
      <c r="F111">
        <f>MIN(1,dataScale*data1!F111)</f>
        <v>1.9607843137254902E-2</v>
      </c>
      <c r="G111">
        <f>MIN(1,dataScale*data1!G111)</f>
        <v>1.9607843137254902E-2</v>
      </c>
      <c r="H111">
        <f>MIN(1,dataScale*data1!H111)</f>
        <v>2.3529411764705882E-2</v>
      </c>
      <c r="I111">
        <f>MIN(1,dataScale*data1!I111)</f>
        <v>1.9607843137254902E-2</v>
      </c>
      <c r="J111">
        <f>MIN(1,dataScale*data1!J111)</f>
        <v>1.5686274509803921E-2</v>
      </c>
      <c r="K111">
        <f>MIN(1,dataScale*data1!K111)</f>
        <v>1.5686274509803921E-2</v>
      </c>
      <c r="L111">
        <f>MIN(1,dataScale*data1!L111)</f>
        <v>1.9607843137254902E-2</v>
      </c>
    </row>
    <row r="112" spans="1:12">
      <c r="A112">
        <f>data1!A112</f>
        <v>110</v>
      </c>
      <c r="B112">
        <f>MIN(1,dataScale*data1!B112)</f>
        <v>0</v>
      </c>
      <c r="C112">
        <f>MIN(1,dataScale*data1!C112)</f>
        <v>1.5686274509803921E-2</v>
      </c>
      <c r="D112">
        <f>MIN(1,dataScale*data1!D112)</f>
        <v>1.5686274509803921E-2</v>
      </c>
      <c r="E112">
        <f>MIN(1,dataScale*data1!E112)</f>
        <v>1.1764705882352941E-2</v>
      </c>
      <c r="F112">
        <f>MIN(1,dataScale*data1!F112)</f>
        <v>1.9607843137254902E-2</v>
      </c>
      <c r="G112">
        <f>MIN(1,dataScale*data1!G112)</f>
        <v>1.9607843137254902E-2</v>
      </c>
      <c r="H112">
        <f>MIN(1,dataScale*data1!H112)</f>
        <v>1.9607843137254902E-2</v>
      </c>
      <c r="I112">
        <f>MIN(1,dataScale*data1!I112)</f>
        <v>1.9607843137254902E-2</v>
      </c>
      <c r="J112">
        <f>MIN(1,dataScale*data1!J112)</f>
        <v>1.5686274509803921E-2</v>
      </c>
      <c r="K112">
        <f>MIN(1,dataScale*data1!K112)</f>
        <v>1.5686274509803921E-2</v>
      </c>
      <c r="L112">
        <f>MIN(1,dataScale*data1!L112)</f>
        <v>1.9607843137254902E-2</v>
      </c>
    </row>
    <row r="113" spans="1:12">
      <c r="A113">
        <f>data1!A113</f>
        <v>111</v>
      </c>
      <c r="B113">
        <f>MIN(1,dataScale*data1!B113)</f>
        <v>0</v>
      </c>
      <c r="C113">
        <f>MIN(1,dataScale*data1!C113)</f>
        <v>1.5686274509803921E-2</v>
      </c>
      <c r="D113">
        <f>MIN(1,dataScale*data1!D113)</f>
        <v>1.5686274509803921E-2</v>
      </c>
      <c r="E113">
        <f>MIN(1,dataScale*data1!E113)</f>
        <v>1.1764705882352941E-2</v>
      </c>
      <c r="F113">
        <f>MIN(1,dataScale*data1!F113)</f>
        <v>1.1764705882352941E-2</v>
      </c>
      <c r="G113">
        <f>MIN(1,dataScale*data1!G113)</f>
        <v>1.5686274509803921E-2</v>
      </c>
      <c r="H113">
        <f>MIN(1,dataScale*data1!H113)</f>
        <v>1.9607843137254902E-2</v>
      </c>
      <c r="I113">
        <f>MIN(1,dataScale*data1!I113)</f>
        <v>1.9607843137254902E-2</v>
      </c>
      <c r="J113">
        <f>MIN(1,dataScale*data1!J113)</f>
        <v>1.5686274509803921E-2</v>
      </c>
      <c r="K113">
        <f>MIN(1,dataScale*data1!K113)</f>
        <v>1.5686274509803921E-2</v>
      </c>
      <c r="L113">
        <f>MIN(1,dataScale*data1!L113)</f>
        <v>1.9607843137254902E-2</v>
      </c>
    </row>
    <row r="114" spans="1:12">
      <c r="A114">
        <f>data1!A114</f>
        <v>112</v>
      </c>
      <c r="B114">
        <f>MIN(1,dataScale*data1!B114)</f>
        <v>0</v>
      </c>
      <c r="C114">
        <f>MIN(1,dataScale*data1!C114)</f>
        <v>1.9607843137254902E-2</v>
      </c>
      <c r="D114">
        <f>MIN(1,dataScale*data1!D114)</f>
        <v>1.1764705882352941E-2</v>
      </c>
      <c r="E114">
        <f>MIN(1,dataScale*data1!E114)</f>
        <v>1.1764705882352941E-2</v>
      </c>
      <c r="F114">
        <f>MIN(1,dataScale*data1!F114)</f>
        <v>1.9607843137254902E-2</v>
      </c>
      <c r="G114">
        <f>MIN(1,dataScale*data1!G114)</f>
        <v>1.5686274509803921E-2</v>
      </c>
      <c r="H114">
        <f>MIN(1,dataScale*data1!H114)</f>
        <v>1.9607843137254902E-2</v>
      </c>
      <c r="I114">
        <f>MIN(1,dataScale*data1!I114)</f>
        <v>1.9607843137254902E-2</v>
      </c>
      <c r="J114">
        <f>MIN(1,dataScale*data1!J114)</f>
        <v>1.5686274509803921E-2</v>
      </c>
      <c r="K114">
        <f>MIN(1,dataScale*data1!K114)</f>
        <v>1.5686274509803921E-2</v>
      </c>
      <c r="L114">
        <f>MIN(1,dataScale*data1!L114)</f>
        <v>1.9607843137254902E-2</v>
      </c>
    </row>
    <row r="115" spans="1:12">
      <c r="A115">
        <f>data1!A115</f>
        <v>113</v>
      </c>
      <c r="B115">
        <f>MIN(1,dataScale*data1!B115)</f>
        <v>0</v>
      </c>
      <c r="C115">
        <f>MIN(1,dataScale*data1!C115)</f>
        <v>1.5686274509803921E-2</v>
      </c>
      <c r="D115">
        <f>MIN(1,dataScale*data1!D115)</f>
        <v>1.5686274509803921E-2</v>
      </c>
      <c r="E115">
        <f>MIN(1,dataScale*data1!E115)</f>
        <v>1.1764705882352941E-2</v>
      </c>
      <c r="F115">
        <f>MIN(1,dataScale*data1!F115)</f>
        <v>1.9607843137254902E-2</v>
      </c>
      <c r="G115">
        <f>MIN(1,dataScale*data1!G115)</f>
        <v>1.5686274509803921E-2</v>
      </c>
      <c r="H115">
        <f>MIN(1,dataScale*data1!H115)</f>
        <v>1.9607843137254902E-2</v>
      </c>
      <c r="I115">
        <f>MIN(1,dataScale*data1!I115)</f>
        <v>1.9607843137254902E-2</v>
      </c>
      <c r="J115">
        <f>MIN(1,dataScale*data1!J115)</f>
        <v>1.5686274509803921E-2</v>
      </c>
      <c r="K115">
        <f>MIN(1,dataScale*data1!K115)</f>
        <v>1.5686274509803921E-2</v>
      </c>
      <c r="L115">
        <f>MIN(1,dataScale*data1!L115)</f>
        <v>1.9607843137254902E-2</v>
      </c>
    </row>
    <row r="116" spans="1:12">
      <c r="A116">
        <f>data1!A116</f>
        <v>114</v>
      </c>
      <c r="B116">
        <f>MIN(1,dataScale*data1!B116)</f>
        <v>0</v>
      </c>
      <c r="C116">
        <f>MIN(1,dataScale*data1!C116)</f>
        <v>1.5686274509803921E-2</v>
      </c>
      <c r="D116">
        <f>MIN(1,dataScale*data1!D116)</f>
        <v>1.5686274509803921E-2</v>
      </c>
      <c r="E116">
        <f>MIN(1,dataScale*data1!E116)</f>
        <v>1.1764705882352941E-2</v>
      </c>
      <c r="F116">
        <f>MIN(1,dataScale*data1!F116)</f>
        <v>1.5686274509803921E-2</v>
      </c>
      <c r="G116">
        <f>MIN(1,dataScale*data1!G116)</f>
        <v>1.5686274509803921E-2</v>
      </c>
      <c r="H116">
        <f>MIN(1,dataScale*data1!H116)</f>
        <v>1.9607843137254902E-2</v>
      </c>
      <c r="I116">
        <f>MIN(1,dataScale*data1!I116)</f>
        <v>1.9607843137254902E-2</v>
      </c>
      <c r="J116">
        <f>MIN(1,dataScale*data1!J116)</f>
        <v>1.5686274509803921E-2</v>
      </c>
      <c r="K116">
        <f>MIN(1,dataScale*data1!K116)</f>
        <v>1.5686274509803921E-2</v>
      </c>
      <c r="L116">
        <f>MIN(1,dataScale*data1!L116)</f>
        <v>1.5686274509803921E-2</v>
      </c>
    </row>
    <row r="117" spans="1:12">
      <c r="A117">
        <f>data1!A117</f>
        <v>115</v>
      </c>
      <c r="B117">
        <f>MIN(1,dataScale*data1!B117)</f>
        <v>0</v>
      </c>
      <c r="C117">
        <f>MIN(1,dataScale*data1!C117)</f>
        <v>1.5686274509803921E-2</v>
      </c>
      <c r="D117">
        <f>MIN(1,dataScale*data1!D117)</f>
        <v>1.1764705882352941E-2</v>
      </c>
      <c r="E117">
        <f>MIN(1,dataScale*data1!E117)</f>
        <v>1.1764705882352941E-2</v>
      </c>
      <c r="F117">
        <f>MIN(1,dataScale*data1!F117)</f>
        <v>1.5686274509803921E-2</v>
      </c>
      <c r="G117">
        <f>MIN(1,dataScale*data1!G117)</f>
        <v>1.5686274509803921E-2</v>
      </c>
      <c r="H117">
        <f>MIN(1,dataScale*data1!H117)</f>
        <v>1.9607843137254902E-2</v>
      </c>
      <c r="I117">
        <f>MIN(1,dataScale*data1!I117)</f>
        <v>1.9607843137254902E-2</v>
      </c>
      <c r="J117">
        <f>MIN(1,dataScale*data1!J117)</f>
        <v>1.5686274509803921E-2</v>
      </c>
      <c r="K117">
        <f>MIN(1,dataScale*data1!K117)</f>
        <v>1.5686274509803921E-2</v>
      </c>
      <c r="L117">
        <f>MIN(1,dataScale*data1!L117)</f>
        <v>1.5686274509803921E-2</v>
      </c>
    </row>
    <row r="118" spans="1:12">
      <c r="A118">
        <f>data1!A118</f>
        <v>116</v>
      </c>
      <c r="B118">
        <f>MIN(1,dataScale*data1!B118)</f>
        <v>0</v>
      </c>
      <c r="C118">
        <f>MIN(1,dataScale*data1!C118)</f>
        <v>1.1764705882352941E-2</v>
      </c>
      <c r="D118">
        <f>MIN(1,dataScale*data1!D118)</f>
        <v>7.8431372549019607E-3</v>
      </c>
      <c r="E118">
        <f>MIN(1,dataScale*data1!E118)</f>
        <v>1.1764705882352941E-2</v>
      </c>
      <c r="F118">
        <f>MIN(1,dataScale*data1!F118)</f>
        <v>1.5686274509803921E-2</v>
      </c>
      <c r="G118">
        <f>MIN(1,dataScale*data1!G118)</f>
        <v>1.5686274509803921E-2</v>
      </c>
      <c r="H118">
        <f>MIN(1,dataScale*data1!H118)</f>
        <v>1.9607843137254902E-2</v>
      </c>
      <c r="I118">
        <f>MIN(1,dataScale*data1!I118)</f>
        <v>1.9607843137254902E-2</v>
      </c>
      <c r="J118">
        <f>MIN(1,dataScale*data1!J118)</f>
        <v>1.1764705882352941E-2</v>
      </c>
      <c r="K118">
        <f>MIN(1,dataScale*data1!K118)</f>
        <v>1.1764705882352941E-2</v>
      </c>
      <c r="L118">
        <f>MIN(1,dataScale*data1!L118)</f>
        <v>1.5686274509803921E-2</v>
      </c>
    </row>
    <row r="119" spans="1:12">
      <c r="A119">
        <f>data1!A119</f>
        <v>117</v>
      </c>
      <c r="B119">
        <f>MIN(1,dataScale*data1!B119)</f>
        <v>0</v>
      </c>
      <c r="C119">
        <f>MIN(1,dataScale*data1!C119)</f>
        <v>1.5686274509803921E-2</v>
      </c>
      <c r="D119">
        <f>MIN(1,dataScale*data1!D119)</f>
        <v>1.1764705882352941E-2</v>
      </c>
      <c r="E119">
        <f>MIN(1,dataScale*data1!E119)</f>
        <v>1.1764705882352941E-2</v>
      </c>
      <c r="F119">
        <f>MIN(1,dataScale*data1!F119)</f>
        <v>1.5686274509803921E-2</v>
      </c>
      <c r="G119">
        <f>MIN(1,dataScale*data1!G119)</f>
        <v>1.5686274509803921E-2</v>
      </c>
      <c r="H119">
        <f>MIN(1,dataScale*data1!H119)</f>
        <v>1.9607843137254902E-2</v>
      </c>
      <c r="I119">
        <f>MIN(1,dataScale*data1!I119)</f>
        <v>1.5686274509803921E-2</v>
      </c>
      <c r="J119">
        <f>MIN(1,dataScale*data1!J119)</f>
        <v>1.5686274509803921E-2</v>
      </c>
      <c r="K119">
        <f>MIN(1,dataScale*data1!K119)</f>
        <v>1.1764705882352941E-2</v>
      </c>
      <c r="L119">
        <f>MIN(1,dataScale*data1!L119)</f>
        <v>1.5686274509803921E-2</v>
      </c>
    </row>
    <row r="120" spans="1:12">
      <c r="A120">
        <f>data1!A120</f>
        <v>118</v>
      </c>
      <c r="B120">
        <f>MIN(1,dataScale*data1!B120)</f>
        <v>0</v>
      </c>
      <c r="C120">
        <f>MIN(1,dataScale*data1!C120)</f>
        <v>1.1764705882352941E-2</v>
      </c>
      <c r="D120">
        <f>MIN(1,dataScale*data1!D120)</f>
        <v>7.8431372549019607E-3</v>
      </c>
      <c r="E120">
        <f>MIN(1,dataScale*data1!E120)</f>
        <v>1.1764705882352941E-2</v>
      </c>
      <c r="F120">
        <f>MIN(1,dataScale*data1!F120)</f>
        <v>1.1764705882352941E-2</v>
      </c>
      <c r="G120">
        <f>MIN(1,dataScale*data1!G120)</f>
        <v>1.5686274509803921E-2</v>
      </c>
      <c r="H120">
        <f>MIN(1,dataScale*data1!H120)</f>
        <v>1.9607843137254902E-2</v>
      </c>
      <c r="I120">
        <f>MIN(1,dataScale*data1!I120)</f>
        <v>1.9607843137254902E-2</v>
      </c>
      <c r="J120">
        <f>MIN(1,dataScale*data1!J120)</f>
        <v>1.1764705882352941E-2</v>
      </c>
      <c r="K120">
        <f>MIN(1,dataScale*data1!K120)</f>
        <v>1.1764705882352941E-2</v>
      </c>
      <c r="L120">
        <f>MIN(1,dataScale*data1!L120)</f>
        <v>1.5686274509803921E-2</v>
      </c>
    </row>
    <row r="121" spans="1:12">
      <c r="A121">
        <f>data1!A121</f>
        <v>119</v>
      </c>
      <c r="B121">
        <f>MIN(1,dataScale*data1!B121)</f>
        <v>0</v>
      </c>
      <c r="C121">
        <f>MIN(1,dataScale*data1!C121)</f>
        <v>1.5686274509803921E-2</v>
      </c>
      <c r="D121">
        <f>MIN(1,dataScale*data1!D121)</f>
        <v>1.1764705882352941E-2</v>
      </c>
      <c r="E121">
        <f>MIN(1,dataScale*data1!E121)</f>
        <v>1.1764705882352941E-2</v>
      </c>
      <c r="F121">
        <f>MIN(1,dataScale*data1!F121)</f>
        <v>1.5686274509803921E-2</v>
      </c>
      <c r="G121">
        <f>MIN(1,dataScale*data1!G121)</f>
        <v>1.5686274509803921E-2</v>
      </c>
      <c r="H121">
        <f>MIN(1,dataScale*data1!H121)</f>
        <v>1.5686274509803921E-2</v>
      </c>
      <c r="I121">
        <f>MIN(1,dataScale*data1!I121)</f>
        <v>1.5686274509803921E-2</v>
      </c>
      <c r="J121">
        <f>MIN(1,dataScale*data1!J121)</f>
        <v>1.1764705882352941E-2</v>
      </c>
      <c r="K121">
        <f>MIN(1,dataScale*data1!K121)</f>
        <v>1.1764705882352941E-2</v>
      </c>
      <c r="L121">
        <f>MIN(1,dataScale*data1!L121)</f>
        <v>1.5686274509803921E-2</v>
      </c>
    </row>
    <row r="122" spans="1:12">
      <c r="A122">
        <f>data1!A122</f>
        <v>120</v>
      </c>
      <c r="B122">
        <f>MIN(1,dataScale*data1!B122)</f>
        <v>0</v>
      </c>
      <c r="C122">
        <f>MIN(1,dataScale*data1!C122)</f>
        <v>1.1764705882352941E-2</v>
      </c>
      <c r="D122">
        <f>MIN(1,dataScale*data1!D122)</f>
        <v>7.8431372549019607E-3</v>
      </c>
      <c r="E122">
        <f>MIN(1,dataScale*data1!E122)</f>
        <v>1.1764705882352941E-2</v>
      </c>
      <c r="F122">
        <f>MIN(1,dataScale*data1!F122)</f>
        <v>1.5686274509803921E-2</v>
      </c>
      <c r="G122">
        <f>MIN(1,dataScale*data1!G122)</f>
        <v>1.5686274509803921E-2</v>
      </c>
      <c r="H122">
        <f>MIN(1,dataScale*data1!H122)</f>
        <v>1.5686274509803921E-2</v>
      </c>
      <c r="I122">
        <f>MIN(1,dataScale*data1!I122)</f>
        <v>1.5686274509803921E-2</v>
      </c>
      <c r="J122">
        <f>MIN(1,dataScale*data1!J122)</f>
        <v>1.1764705882352941E-2</v>
      </c>
      <c r="K122">
        <f>MIN(1,dataScale*data1!K122)</f>
        <v>1.1764705882352941E-2</v>
      </c>
      <c r="L122">
        <f>MIN(1,dataScale*data1!L122)</f>
        <v>1.5686274509803921E-2</v>
      </c>
    </row>
    <row r="123" spans="1:12">
      <c r="A123">
        <f>data1!A123</f>
        <v>121</v>
      </c>
      <c r="B123">
        <f>MIN(1,dataScale*data1!B123)</f>
        <v>0</v>
      </c>
      <c r="C123">
        <f>MIN(1,dataScale*data1!C123)</f>
        <v>1.1764705882352941E-2</v>
      </c>
      <c r="D123">
        <f>MIN(1,dataScale*data1!D123)</f>
        <v>1.1764705882352941E-2</v>
      </c>
      <c r="E123">
        <f>MIN(1,dataScale*data1!E123)</f>
        <v>7.8431372549019607E-3</v>
      </c>
      <c r="F123">
        <f>MIN(1,dataScale*data1!F123)</f>
        <v>1.5686274509803921E-2</v>
      </c>
      <c r="G123">
        <f>MIN(1,dataScale*data1!G123)</f>
        <v>1.5686274509803921E-2</v>
      </c>
      <c r="H123">
        <f>MIN(1,dataScale*data1!H123)</f>
        <v>1.5686274509803921E-2</v>
      </c>
      <c r="I123">
        <f>MIN(1,dataScale*data1!I123)</f>
        <v>1.5686274509803921E-2</v>
      </c>
      <c r="J123">
        <f>MIN(1,dataScale*data1!J123)</f>
        <v>1.1764705882352941E-2</v>
      </c>
      <c r="K123">
        <f>MIN(1,dataScale*data1!K123)</f>
        <v>3.9215686274509803E-3</v>
      </c>
      <c r="L123">
        <f>MIN(1,dataScale*data1!L123)</f>
        <v>1.5686274509803921E-2</v>
      </c>
    </row>
    <row r="124" spans="1:12">
      <c r="A124">
        <f>data1!A124</f>
        <v>122</v>
      </c>
      <c r="B124">
        <f>MIN(1,dataScale*data1!B124)</f>
        <v>0</v>
      </c>
      <c r="C124">
        <f>MIN(1,dataScale*data1!C124)</f>
        <v>1.1764705882352941E-2</v>
      </c>
      <c r="D124">
        <f>MIN(1,dataScale*data1!D124)</f>
        <v>7.8431372549019607E-3</v>
      </c>
      <c r="E124">
        <f>MIN(1,dataScale*data1!E124)</f>
        <v>7.8431372549019607E-3</v>
      </c>
      <c r="F124">
        <f>MIN(1,dataScale*data1!F124)</f>
        <v>1.5686274509803921E-2</v>
      </c>
      <c r="G124">
        <f>MIN(1,dataScale*data1!G124)</f>
        <v>1.1764705882352941E-2</v>
      </c>
      <c r="H124">
        <f>MIN(1,dataScale*data1!H124)</f>
        <v>1.5686274509803921E-2</v>
      </c>
      <c r="I124">
        <f>MIN(1,dataScale*data1!I124)</f>
        <v>1.5686274509803921E-2</v>
      </c>
      <c r="J124">
        <f>MIN(1,dataScale*data1!J124)</f>
        <v>1.1764705882352941E-2</v>
      </c>
      <c r="K124">
        <f>MIN(1,dataScale*data1!K124)</f>
        <v>1.5686274509803921E-2</v>
      </c>
      <c r="L124">
        <f>MIN(1,dataScale*data1!L124)</f>
        <v>1.5686274509803921E-2</v>
      </c>
    </row>
    <row r="125" spans="1:12">
      <c r="A125">
        <f>data1!A125</f>
        <v>123</v>
      </c>
      <c r="B125">
        <f>MIN(1,dataScale*data1!B125)</f>
        <v>0</v>
      </c>
      <c r="C125">
        <f>MIN(1,dataScale*data1!C125)</f>
        <v>1.1764705882352941E-2</v>
      </c>
      <c r="D125">
        <f>MIN(1,dataScale*data1!D125)</f>
        <v>1.1764705882352941E-2</v>
      </c>
      <c r="E125">
        <f>MIN(1,dataScale*data1!E125)</f>
        <v>7.8431372549019607E-3</v>
      </c>
      <c r="F125">
        <f>MIN(1,dataScale*data1!F125)</f>
        <v>1.5686274509803921E-2</v>
      </c>
      <c r="G125">
        <f>MIN(1,dataScale*data1!G125)</f>
        <v>1.1764705882352941E-2</v>
      </c>
      <c r="H125">
        <f>MIN(1,dataScale*data1!H125)</f>
        <v>1.5686274509803921E-2</v>
      </c>
      <c r="I125">
        <f>MIN(1,dataScale*data1!I125)</f>
        <v>1.5686274509803921E-2</v>
      </c>
      <c r="J125">
        <f>MIN(1,dataScale*data1!J125)</f>
        <v>1.1764705882352941E-2</v>
      </c>
      <c r="K125">
        <f>MIN(1,dataScale*data1!K125)</f>
        <v>1.1764705882352941E-2</v>
      </c>
      <c r="L125">
        <f>MIN(1,dataScale*data1!L125)</f>
        <v>1.5686274509803921E-2</v>
      </c>
    </row>
    <row r="126" spans="1:12">
      <c r="A126">
        <f>data1!A126</f>
        <v>124</v>
      </c>
      <c r="B126">
        <f>MIN(1,dataScale*data1!B126)</f>
        <v>0</v>
      </c>
      <c r="C126">
        <f>MIN(1,dataScale*data1!C126)</f>
        <v>1.1764705882352941E-2</v>
      </c>
      <c r="D126">
        <f>MIN(1,dataScale*data1!D126)</f>
        <v>7.8431372549019607E-3</v>
      </c>
      <c r="E126">
        <f>MIN(1,dataScale*data1!E126)</f>
        <v>7.8431372549019607E-3</v>
      </c>
      <c r="F126">
        <f>MIN(1,dataScale*data1!F126)</f>
        <v>1.5686274509803921E-2</v>
      </c>
      <c r="G126">
        <f>MIN(1,dataScale*data1!G126)</f>
        <v>1.1764705882352941E-2</v>
      </c>
      <c r="H126">
        <f>MIN(1,dataScale*data1!H126)</f>
        <v>1.5686274509803921E-2</v>
      </c>
      <c r="I126">
        <f>MIN(1,dataScale*data1!I126)</f>
        <v>1.5686274509803921E-2</v>
      </c>
      <c r="J126">
        <f>MIN(1,dataScale*data1!J126)</f>
        <v>1.1764705882352941E-2</v>
      </c>
      <c r="K126">
        <f>MIN(1,dataScale*data1!K126)</f>
        <v>1.1764705882352941E-2</v>
      </c>
      <c r="L126">
        <f>MIN(1,dataScale*data1!L126)</f>
        <v>1.5686274509803921E-2</v>
      </c>
    </row>
    <row r="127" spans="1:12">
      <c r="A127">
        <f>data1!A127</f>
        <v>125</v>
      </c>
      <c r="B127">
        <f>MIN(1,dataScale*data1!B127)</f>
        <v>0</v>
      </c>
      <c r="C127">
        <f>MIN(1,dataScale*data1!C127)</f>
        <v>1.1764705882352941E-2</v>
      </c>
      <c r="D127">
        <f>MIN(1,dataScale*data1!D127)</f>
        <v>7.8431372549019607E-3</v>
      </c>
      <c r="E127">
        <f>MIN(1,dataScale*data1!E127)</f>
        <v>7.8431372549019607E-3</v>
      </c>
      <c r="F127">
        <f>MIN(1,dataScale*data1!F127)</f>
        <v>1.1764705882352941E-2</v>
      </c>
      <c r="G127">
        <f>MIN(1,dataScale*data1!G127)</f>
        <v>1.1764705882352941E-2</v>
      </c>
      <c r="H127">
        <f>MIN(1,dataScale*data1!H127)</f>
        <v>1.5686274509803921E-2</v>
      </c>
      <c r="I127">
        <f>MIN(1,dataScale*data1!I127)</f>
        <v>1.1764705882352941E-2</v>
      </c>
      <c r="J127">
        <f>MIN(1,dataScale*data1!J127)</f>
        <v>1.1764705882352941E-2</v>
      </c>
      <c r="K127">
        <f>MIN(1,dataScale*data1!K127)</f>
        <v>1.1764705882352941E-2</v>
      </c>
      <c r="L127">
        <f>MIN(1,dataScale*data1!L127)</f>
        <v>1.5686274509803921E-2</v>
      </c>
    </row>
    <row r="128" spans="1:12">
      <c r="A128">
        <f>data1!A128</f>
        <v>126</v>
      </c>
      <c r="B128">
        <f>MIN(1,dataScale*data1!B128)</f>
        <v>0</v>
      </c>
      <c r="C128">
        <f>MIN(1,dataScale*data1!C128)</f>
        <v>1.1764705882352941E-2</v>
      </c>
      <c r="D128">
        <f>MIN(1,dataScale*data1!D128)</f>
        <v>1.1764705882352941E-2</v>
      </c>
      <c r="E128">
        <f>MIN(1,dataScale*data1!E128)</f>
        <v>7.8431372549019607E-3</v>
      </c>
      <c r="F128">
        <f>MIN(1,dataScale*data1!F128)</f>
        <v>1.1764705882352941E-2</v>
      </c>
      <c r="G128">
        <f>MIN(1,dataScale*data1!G128)</f>
        <v>1.1764705882352941E-2</v>
      </c>
      <c r="H128">
        <f>MIN(1,dataScale*data1!H128)</f>
        <v>1.5686274509803921E-2</v>
      </c>
      <c r="I128">
        <f>MIN(1,dataScale*data1!I128)</f>
        <v>1.5686274509803921E-2</v>
      </c>
      <c r="J128">
        <f>MIN(1,dataScale*data1!J128)</f>
        <v>1.1764705882352941E-2</v>
      </c>
      <c r="K128">
        <f>MIN(1,dataScale*data1!K128)</f>
        <v>1.1764705882352941E-2</v>
      </c>
      <c r="L128">
        <f>MIN(1,dataScale*data1!L128)</f>
        <v>1.5686274509803921E-2</v>
      </c>
    </row>
    <row r="129" spans="1:12">
      <c r="A129">
        <f>data1!A129</f>
        <v>127</v>
      </c>
      <c r="B129">
        <f>MIN(1,dataScale*data1!B129)</f>
        <v>0</v>
      </c>
      <c r="C129">
        <f>MIN(1,dataScale*data1!C129)</f>
        <v>7.8431372549019607E-3</v>
      </c>
      <c r="D129">
        <f>MIN(1,dataScale*data1!D129)</f>
        <v>1.1764705882352941E-2</v>
      </c>
      <c r="E129">
        <f>MIN(1,dataScale*data1!E129)</f>
        <v>7.8431372549019607E-3</v>
      </c>
      <c r="F129">
        <f>MIN(1,dataScale*data1!F129)</f>
        <v>1.5686274509803921E-2</v>
      </c>
      <c r="G129">
        <f>MIN(1,dataScale*data1!G129)</f>
        <v>1.1764705882352941E-2</v>
      </c>
      <c r="H129">
        <f>MIN(1,dataScale*data1!H129)</f>
        <v>1.5686274509803921E-2</v>
      </c>
      <c r="I129">
        <f>MIN(1,dataScale*data1!I129)</f>
        <v>1.5686274509803921E-2</v>
      </c>
      <c r="J129">
        <f>MIN(1,dataScale*data1!J129)</f>
        <v>1.1764705882352941E-2</v>
      </c>
      <c r="K129">
        <f>MIN(1,dataScale*data1!K129)</f>
        <v>1.1764705882352941E-2</v>
      </c>
      <c r="L129">
        <f>MIN(1,dataScale*data1!L129)</f>
        <v>1.5686274509803921E-2</v>
      </c>
    </row>
    <row r="130" spans="1:12">
      <c r="A130">
        <f>data1!A130</f>
        <v>128</v>
      </c>
      <c r="B130">
        <f>MIN(1,dataScale*data1!B130)</f>
        <v>0</v>
      </c>
      <c r="C130">
        <f>MIN(1,dataScale*data1!C130)</f>
        <v>7.8431372549019607E-3</v>
      </c>
      <c r="D130">
        <f>MIN(1,dataScale*data1!D130)</f>
        <v>7.8431372549019607E-3</v>
      </c>
      <c r="E130">
        <f>MIN(1,dataScale*data1!E130)</f>
        <v>7.8431372549019607E-3</v>
      </c>
      <c r="F130">
        <f>MIN(1,dataScale*data1!F130)</f>
        <v>1.1764705882352941E-2</v>
      </c>
      <c r="G130">
        <f>MIN(1,dataScale*data1!G130)</f>
        <v>1.1764705882352941E-2</v>
      </c>
      <c r="H130">
        <f>MIN(1,dataScale*data1!H130)</f>
        <v>1.5686274509803921E-2</v>
      </c>
      <c r="I130">
        <f>MIN(1,dataScale*data1!I130)</f>
        <v>1.5686274509803921E-2</v>
      </c>
      <c r="J130">
        <f>MIN(1,dataScale*data1!J130)</f>
        <v>7.8431372549019607E-3</v>
      </c>
      <c r="K130">
        <f>MIN(1,dataScale*data1!K130)</f>
        <v>1.1764705882352941E-2</v>
      </c>
      <c r="L130">
        <f>MIN(1,dataScale*data1!L130)</f>
        <v>1.1764705882352941E-2</v>
      </c>
    </row>
    <row r="131" spans="1:12">
      <c r="A131">
        <f>data1!A131</f>
        <v>129</v>
      </c>
      <c r="B131">
        <f>MIN(1,dataScale*data1!B131)</f>
        <v>0</v>
      </c>
      <c r="C131">
        <f>MIN(1,dataScale*data1!C131)</f>
        <v>1.1764705882352941E-2</v>
      </c>
      <c r="D131">
        <f>MIN(1,dataScale*data1!D131)</f>
        <v>1.1764705882352941E-2</v>
      </c>
      <c r="E131">
        <f>MIN(1,dataScale*data1!E131)</f>
        <v>7.8431372549019607E-3</v>
      </c>
      <c r="F131">
        <f>MIN(1,dataScale*data1!F131)</f>
        <v>1.1764705882352941E-2</v>
      </c>
      <c r="G131">
        <f>MIN(1,dataScale*data1!G131)</f>
        <v>1.1764705882352941E-2</v>
      </c>
      <c r="H131">
        <f>MIN(1,dataScale*data1!H131)</f>
        <v>1.5686274509803921E-2</v>
      </c>
      <c r="I131">
        <f>MIN(1,dataScale*data1!I131)</f>
        <v>1.1764705882352941E-2</v>
      </c>
      <c r="J131">
        <f>MIN(1,dataScale*data1!J131)</f>
        <v>7.8431372549019607E-3</v>
      </c>
      <c r="K131">
        <f>MIN(1,dataScale*data1!K131)</f>
        <v>1.1764705882352941E-2</v>
      </c>
      <c r="L131">
        <f>MIN(1,dataScale*data1!L131)</f>
        <v>1.1764705882352941E-2</v>
      </c>
    </row>
    <row r="132" spans="1:12">
      <c r="A132">
        <f>data1!A132</f>
        <v>130</v>
      </c>
      <c r="B132">
        <f>MIN(1,dataScale*data1!B132)</f>
        <v>0</v>
      </c>
      <c r="C132">
        <f>MIN(1,dataScale*data1!C132)</f>
        <v>1.1764705882352941E-2</v>
      </c>
      <c r="D132">
        <f>MIN(1,dataScale*data1!D132)</f>
        <v>1.1764705882352941E-2</v>
      </c>
      <c r="E132">
        <f>MIN(1,dataScale*data1!E132)</f>
        <v>7.8431372549019607E-3</v>
      </c>
      <c r="F132">
        <f>MIN(1,dataScale*data1!F132)</f>
        <v>1.1764705882352941E-2</v>
      </c>
      <c r="G132">
        <f>MIN(1,dataScale*data1!G132)</f>
        <v>1.1764705882352941E-2</v>
      </c>
      <c r="H132">
        <f>MIN(1,dataScale*data1!H132)</f>
        <v>1.1764705882352941E-2</v>
      </c>
      <c r="I132">
        <f>MIN(1,dataScale*data1!I132)</f>
        <v>1.1764705882352941E-2</v>
      </c>
      <c r="J132">
        <f>MIN(1,dataScale*data1!J132)</f>
        <v>7.8431372549019607E-3</v>
      </c>
      <c r="K132">
        <f>MIN(1,dataScale*data1!K132)</f>
        <v>1.1764705882352941E-2</v>
      </c>
      <c r="L132">
        <f>MIN(1,dataScale*data1!L132)</f>
        <v>1.1764705882352941E-2</v>
      </c>
    </row>
    <row r="133" spans="1:12">
      <c r="A133">
        <f>data1!A133</f>
        <v>131</v>
      </c>
      <c r="B133">
        <f>MIN(1,dataScale*data1!B133)</f>
        <v>0</v>
      </c>
      <c r="C133">
        <f>MIN(1,dataScale*data1!C133)</f>
        <v>7.8431372549019607E-3</v>
      </c>
      <c r="D133">
        <f>MIN(1,dataScale*data1!D133)</f>
        <v>7.8431372549019607E-3</v>
      </c>
      <c r="E133">
        <f>MIN(1,dataScale*data1!E133)</f>
        <v>7.8431372549019607E-3</v>
      </c>
      <c r="F133">
        <f>MIN(1,dataScale*data1!F133)</f>
        <v>1.1764705882352941E-2</v>
      </c>
      <c r="G133">
        <f>MIN(1,dataScale*data1!G133)</f>
        <v>1.1764705882352941E-2</v>
      </c>
      <c r="H133">
        <f>MIN(1,dataScale*data1!H133)</f>
        <v>1.5686274509803921E-2</v>
      </c>
      <c r="I133">
        <f>MIN(1,dataScale*data1!I133)</f>
        <v>1.1764705882352941E-2</v>
      </c>
      <c r="J133">
        <f>MIN(1,dataScale*data1!J133)</f>
        <v>7.8431372549019607E-3</v>
      </c>
      <c r="K133">
        <f>MIN(1,dataScale*data1!K133)</f>
        <v>7.8431372549019607E-3</v>
      </c>
      <c r="L133">
        <f>MIN(1,dataScale*data1!L133)</f>
        <v>1.1764705882352941E-2</v>
      </c>
    </row>
    <row r="134" spans="1:12">
      <c r="A134">
        <f>data1!A134</f>
        <v>132</v>
      </c>
      <c r="B134">
        <f>MIN(1,dataScale*data1!B134)</f>
        <v>0</v>
      </c>
      <c r="C134">
        <f>MIN(1,dataScale*data1!C134)</f>
        <v>7.8431372549019607E-3</v>
      </c>
      <c r="D134">
        <f>MIN(1,dataScale*data1!D134)</f>
        <v>1.1764705882352941E-2</v>
      </c>
      <c r="E134">
        <f>MIN(1,dataScale*data1!E134)</f>
        <v>7.8431372549019607E-3</v>
      </c>
      <c r="F134">
        <f>MIN(1,dataScale*data1!F134)</f>
        <v>1.1764705882352941E-2</v>
      </c>
      <c r="G134">
        <f>MIN(1,dataScale*data1!G134)</f>
        <v>1.1764705882352941E-2</v>
      </c>
      <c r="H134">
        <f>MIN(1,dataScale*data1!H134)</f>
        <v>1.5686274509803921E-2</v>
      </c>
      <c r="I134">
        <f>MIN(1,dataScale*data1!I134)</f>
        <v>1.1764705882352941E-2</v>
      </c>
      <c r="J134">
        <f>MIN(1,dataScale*data1!J134)</f>
        <v>7.8431372549019607E-3</v>
      </c>
      <c r="K134">
        <f>MIN(1,dataScale*data1!K134)</f>
        <v>7.8431372549019607E-3</v>
      </c>
      <c r="L134">
        <f>MIN(1,dataScale*data1!L134)</f>
        <v>1.1764705882352941E-2</v>
      </c>
    </row>
    <row r="135" spans="1:12">
      <c r="A135">
        <f>data1!A135</f>
        <v>133</v>
      </c>
      <c r="B135">
        <f>MIN(1,dataScale*data1!B135)</f>
        <v>0</v>
      </c>
      <c r="C135">
        <f>MIN(1,dataScale*data1!C135)</f>
        <v>7.8431372549019607E-3</v>
      </c>
      <c r="D135">
        <f>MIN(1,dataScale*data1!D135)</f>
        <v>7.8431372549019607E-3</v>
      </c>
      <c r="E135">
        <f>MIN(1,dataScale*data1!E135)</f>
        <v>1.1764705882352941E-2</v>
      </c>
      <c r="F135">
        <f>MIN(1,dataScale*data1!F135)</f>
        <v>1.1764705882352941E-2</v>
      </c>
      <c r="G135">
        <f>MIN(1,dataScale*data1!G135)</f>
        <v>1.1764705882352941E-2</v>
      </c>
      <c r="H135">
        <f>MIN(1,dataScale*data1!H135)</f>
        <v>1.1764705882352941E-2</v>
      </c>
      <c r="I135">
        <f>MIN(1,dataScale*data1!I135)</f>
        <v>1.1764705882352941E-2</v>
      </c>
      <c r="J135">
        <f>MIN(1,dataScale*data1!J135)</f>
        <v>7.8431372549019607E-3</v>
      </c>
      <c r="K135">
        <f>MIN(1,dataScale*data1!K135)</f>
        <v>7.8431372549019607E-3</v>
      </c>
      <c r="L135">
        <f>MIN(1,dataScale*data1!L135)</f>
        <v>1.1764705882352941E-2</v>
      </c>
    </row>
    <row r="136" spans="1:12">
      <c r="A136">
        <f>data1!A136</f>
        <v>134</v>
      </c>
      <c r="B136">
        <f>MIN(1,dataScale*data1!B136)</f>
        <v>0</v>
      </c>
      <c r="C136">
        <f>MIN(1,dataScale*data1!C136)</f>
        <v>7.8431372549019607E-3</v>
      </c>
      <c r="D136">
        <f>MIN(1,dataScale*data1!D136)</f>
        <v>7.8431372549019607E-3</v>
      </c>
      <c r="E136">
        <f>MIN(1,dataScale*data1!E136)</f>
        <v>7.8431372549019607E-3</v>
      </c>
      <c r="F136">
        <f>MIN(1,dataScale*data1!F136)</f>
        <v>1.1764705882352941E-2</v>
      </c>
      <c r="G136">
        <f>MIN(1,dataScale*data1!G136)</f>
        <v>1.1764705882352941E-2</v>
      </c>
      <c r="H136">
        <f>MIN(1,dataScale*data1!H136)</f>
        <v>1.1764705882352941E-2</v>
      </c>
      <c r="I136">
        <f>MIN(1,dataScale*data1!I136)</f>
        <v>1.1764705882352941E-2</v>
      </c>
      <c r="J136">
        <f>MIN(1,dataScale*data1!J136)</f>
        <v>7.8431372549019607E-3</v>
      </c>
      <c r="K136">
        <f>MIN(1,dataScale*data1!K136)</f>
        <v>7.8431372549019607E-3</v>
      </c>
      <c r="L136">
        <f>MIN(1,dataScale*data1!L136)</f>
        <v>1.1764705882352941E-2</v>
      </c>
    </row>
    <row r="137" spans="1:12">
      <c r="A137">
        <f>data1!A137</f>
        <v>135</v>
      </c>
      <c r="B137">
        <f>MIN(1,dataScale*data1!B137)</f>
        <v>0</v>
      </c>
      <c r="C137">
        <f>MIN(1,dataScale*data1!C137)</f>
        <v>7.8431372549019607E-3</v>
      </c>
      <c r="D137">
        <f>MIN(1,dataScale*data1!D137)</f>
        <v>3.9215686274509803E-3</v>
      </c>
      <c r="E137">
        <f>MIN(1,dataScale*data1!E137)</f>
        <v>7.8431372549019607E-3</v>
      </c>
      <c r="F137">
        <f>MIN(1,dataScale*data1!F137)</f>
        <v>1.1764705882352941E-2</v>
      </c>
      <c r="G137">
        <f>MIN(1,dataScale*data1!G137)</f>
        <v>7.8431372549019607E-3</v>
      </c>
      <c r="H137">
        <f>MIN(1,dataScale*data1!H137)</f>
        <v>1.1764705882352941E-2</v>
      </c>
      <c r="I137">
        <f>MIN(1,dataScale*data1!I137)</f>
        <v>1.1764705882352941E-2</v>
      </c>
      <c r="J137">
        <f>MIN(1,dataScale*data1!J137)</f>
        <v>7.8431372549019607E-3</v>
      </c>
      <c r="K137">
        <f>MIN(1,dataScale*data1!K137)</f>
        <v>7.8431372549019607E-3</v>
      </c>
      <c r="L137">
        <f>MIN(1,dataScale*data1!L137)</f>
        <v>1.1764705882352941E-2</v>
      </c>
    </row>
    <row r="138" spans="1:12">
      <c r="A138">
        <f>data1!A138</f>
        <v>136</v>
      </c>
      <c r="B138">
        <f>MIN(1,dataScale*data1!B138)</f>
        <v>0</v>
      </c>
      <c r="C138">
        <f>MIN(1,dataScale*data1!C138)</f>
        <v>7.8431372549019607E-3</v>
      </c>
      <c r="D138">
        <f>MIN(1,dataScale*data1!D138)</f>
        <v>7.8431372549019607E-3</v>
      </c>
      <c r="E138">
        <f>MIN(1,dataScale*data1!E138)</f>
        <v>7.8431372549019607E-3</v>
      </c>
      <c r="F138">
        <f>MIN(1,dataScale*data1!F138)</f>
        <v>1.1764705882352941E-2</v>
      </c>
      <c r="G138">
        <f>MIN(1,dataScale*data1!G138)</f>
        <v>1.1764705882352941E-2</v>
      </c>
      <c r="H138">
        <f>MIN(1,dataScale*data1!H138)</f>
        <v>1.1764705882352941E-2</v>
      </c>
      <c r="I138">
        <f>MIN(1,dataScale*data1!I138)</f>
        <v>1.1764705882352941E-2</v>
      </c>
      <c r="J138">
        <f>MIN(1,dataScale*data1!J138)</f>
        <v>7.8431372549019607E-3</v>
      </c>
      <c r="K138">
        <f>MIN(1,dataScale*data1!K138)</f>
        <v>7.8431372549019607E-3</v>
      </c>
      <c r="L138">
        <f>MIN(1,dataScale*data1!L138)</f>
        <v>1.1764705882352941E-2</v>
      </c>
    </row>
    <row r="139" spans="1:12">
      <c r="A139">
        <f>data1!A139</f>
        <v>137</v>
      </c>
      <c r="B139">
        <f>MIN(1,dataScale*data1!B139)</f>
        <v>0</v>
      </c>
      <c r="C139">
        <f>MIN(1,dataScale*data1!C139)</f>
        <v>7.8431372549019607E-3</v>
      </c>
      <c r="D139">
        <f>MIN(1,dataScale*data1!D139)</f>
        <v>7.8431372549019607E-3</v>
      </c>
      <c r="E139">
        <f>MIN(1,dataScale*data1!E139)</f>
        <v>3.9215686274509803E-3</v>
      </c>
      <c r="F139">
        <f>MIN(1,dataScale*data1!F139)</f>
        <v>7.8431372549019607E-3</v>
      </c>
      <c r="G139">
        <f>MIN(1,dataScale*data1!G139)</f>
        <v>1.1764705882352941E-2</v>
      </c>
      <c r="H139">
        <f>MIN(1,dataScale*data1!H139)</f>
        <v>1.1764705882352941E-2</v>
      </c>
      <c r="I139">
        <f>MIN(1,dataScale*data1!I139)</f>
        <v>1.1764705882352941E-2</v>
      </c>
      <c r="J139">
        <f>MIN(1,dataScale*data1!J139)</f>
        <v>7.8431372549019607E-3</v>
      </c>
      <c r="K139">
        <f>MIN(1,dataScale*data1!K139)</f>
        <v>7.8431372549019607E-3</v>
      </c>
      <c r="L139">
        <f>MIN(1,dataScale*data1!L139)</f>
        <v>1.1764705882352941E-2</v>
      </c>
    </row>
    <row r="140" spans="1:12">
      <c r="A140">
        <f>data1!A140</f>
        <v>138</v>
      </c>
      <c r="B140">
        <f>MIN(1,dataScale*data1!B140)</f>
        <v>0</v>
      </c>
      <c r="C140">
        <f>MIN(1,dataScale*data1!C140)</f>
        <v>7.8431372549019607E-3</v>
      </c>
      <c r="D140">
        <f>MIN(1,dataScale*data1!D140)</f>
        <v>7.8431372549019607E-3</v>
      </c>
      <c r="E140">
        <f>MIN(1,dataScale*data1!E140)</f>
        <v>3.9215686274509803E-3</v>
      </c>
      <c r="F140">
        <f>MIN(1,dataScale*data1!F140)</f>
        <v>1.1764705882352941E-2</v>
      </c>
      <c r="G140">
        <f>MIN(1,dataScale*data1!G140)</f>
        <v>7.8431372549019607E-3</v>
      </c>
      <c r="H140">
        <f>MIN(1,dataScale*data1!H140)</f>
        <v>7.8431372549019607E-3</v>
      </c>
      <c r="I140">
        <f>MIN(1,dataScale*data1!I140)</f>
        <v>1.1764705882352941E-2</v>
      </c>
      <c r="J140">
        <f>MIN(1,dataScale*data1!J140)</f>
        <v>7.8431372549019607E-3</v>
      </c>
      <c r="K140">
        <f>MIN(1,dataScale*data1!K140)</f>
        <v>7.8431372549019607E-3</v>
      </c>
      <c r="L140">
        <f>MIN(1,dataScale*data1!L140)</f>
        <v>1.1764705882352941E-2</v>
      </c>
    </row>
    <row r="141" spans="1:12">
      <c r="A141">
        <f>data1!A141</f>
        <v>139</v>
      </c>
      <c r="B141">
        <f>MIN(1,dataScale*data1!B141)</f>
        <v>0</v>
      </c>
      <c r="C141">
        <f>MIN(1,dataScale*data1!C141)</f>
        <v>7.8431372549019607E-3</v>
      </c>
      <c r="D141">
        <f>MIN(1,dataScale*data1!D141)</f>
        <v>3.9215686274509803E-3</v>
      </c>
      <c r="E141">
        <f>MIN(1,dataScale*data1!E141)</f>
        <v>3.9215686274509803E-3</v>
      </c>
      <c r="F141">
        <f>MIN(1,dataScale*data1!F141)</f>
        <v>1.1764705882352941E-2</v>
      </c>
      <c r="G141">
        <f>MIN(1,dataScale*data1!G141)</f>
        <v>1.1764705882352941E-2</v>
      </c>
      <c r="H141">
        <f>MIN(1,dataScale*data1!H141)</f>
        <v>1.1764705882352941E-2</v>
      </c>
      <c r="I141">
        <f>MIN(1,dataScale*data1!I141)</f>
        <v>1.1764705882352941E-2</v>
      </c>
      <c r="J141">
        <f>MIN(1,dataScale*data1!J141)</f>
        <v>7.8431372549019607E-3</v>
      </c>
      <c r="K141">
        <f>MIN(1,dataScale*data1!K141)</f>
        <v>7.8431372549019607E-3</v>
      </c>
      <c r="L141">
        <f>MIN(1,dataScale*data1!L141)</f>
        <v>1.1764705882352941E-2</v>
      </c>
    </row>
    <row r="142" spans="1:12">
      <c r="A142">
        <f>data1!A142</f>
        <v>140</v>
      </c>
      <c r="B142">
        <f>MIN(1,dataScale*data1!B142)</f>
        <v>0</v>
      </c>
      <c r="C142">
        <f>MIN(1,dataScale*data1!C142)</f>
        <v>7.8431372549019607E-3</v>
      </c>
      <c r="D142">
        <f>MIN(1,dataScale*data1!D142)</f>
        <v>7.8431372549019607E-3</v>
      </c>
      <c r="E142">
        <f>MIN(1,dataScale*data1!E142)</f>
        <v>3.9215686274509803E-3</v>
      </c>
      <c r="F142">
        <f>MIN(1,dataScale*data1!F142)</f>
        <v>1.1764705882352941E-2</v>
      </c>
      <c r="G142">
        <f>MIN(1,dataScale*data1!G142)</f>
        <v>1.1764705882352941E-2</v>
      </c>
      <c r="H142">
        <f>MIN(1,dataScale*data1!H142)</f>
        <v>1.1764705882352941E-2</v>
      </c>
      <c r="I142">
        <f>MIN(1,dataScale*data1!I142)</f>
        <v>1.1764705882352941E-2</v>
      </c>
      <c r="J142">
        <f>MIN(1,dataScale*data1!J142)</f>
        <v>7.8431372549019607E-3</v>
      </c>
      <c r="K142">
        <f>MIN(1,dataScale*data1!K142)</f>
        <v>7.8431372549019607E-3</v>
      </c>
      <c r="L142">
        <f>MIN(1,dataScale*data1!L142)</f>
        <v>1.1764705882352941E-2</v>
      </c>
    </row>
    <row r="143" spans="1:12">
      <c r="A143">
        <f>data1!A143</f>
        <v>141</v>
      </c>
      <c r="B143">
        <f>MIN(1,dataScale*data1!B143)</f>
        <v>0</v>
      </c>
      <c r="C143">
        <f>MIN(1,dataScale*data1!C143)</f>
        <v>7.8431372549019607E-3</v>
      </c>
      <c r="D143">
        <f>MIN(1,dataScale*data1!D143)</f>
        <v>7.8431372549019607E-3</v>
      </c>
      <c r="E143">
        <f>MIN(1,dataScale*data1!E143)</f>
        <v>3.9215686274509803E-3</v>
      </c>
      <c r="F143">
        <f>MIN(1,dataScale*data1!F143)</f>
        <v>7.8431372549019607E-3</v>
      </c>
      <c r="G143">
        <f>MIN(1,dataScale*data1!G143)</f>
        <v>7.8431372549019607E-3</v>
      </c>
      <c r="H143">
        <f>MIN(1,dataScale*data1!H143)</f>
        <v>1.1764705882352941E-2</v>
      </c>
      <c r="I143">
        <f>MIN(1,dataScale*data1!I143)</f>
        <v>1.1764705882352941E-2</v>
      </c>
      <c r="J143">
        <f>MIN(1,dataScale*data1!J143)</f>
        <v>7.8431372549019607E-3</v>
      </c>
      <c r="K143">
        <f>MIN(1,dataScale*data1!K143)</f>
        <v>7.8431372549019607E-3</v>
      </c>
      <c r="L143">
        <f>MIN(1,dataScale*data1!L143)</f>
        <v>1.1764705882352941E-2</v>
      </c>
    </row>
    <row r="144" spans="1:12">
      <c r="A144">
        <f>data1!A144</f>
        <v>142</v>
      </c>
      <c r="B144">
        <f>MIN(1,dataScale*data1!B144)</f>
        <v>0</v>
      </c>
      <c r="C144">
        <f>MIN(1,dataScale*data1!C144)</f>
        <v>7.8431372549019607E-3</v>
      </c>
      <c r="D144">
        <f>MIN(1,dataScale*data1!D144)</f>
        <v>3.9215686274509803E-3</v>
      </c>
      <c r="E144">
        <f>MIN(1,dataScale*data1!E144)</f>
        <v>3.9215686274509803E-3</v>
      </c>
      <c r="F144">
        <f>MIN(1,dataScale*data1!F144)</f>
        <v>7.8431372549019607E-3</v>
      </c>
      <c r="G144">
        <f>MIN(1,dataScale*data1!G144)</f>
        <v>7.8431372549019607E-3</v>
      </c>
      <c r="H144">
        <f>MIN(1,dataScale*data1!H144)</f>
        <v>1.1764705882352941E-2</v>
      </c>
      <c r="I144">
        <f>MIN(1,dataScale*data1!I144)</f>
        <v>1.1764705882352941E-2</v>
      </c>
      <c r="J144">
        <f>MIN(1,dataScale*data1!J144)</f>
        <v>7.8431372549019607E-3</v>
      </c>
      <c r="K144">
        <f>MIN(1,dataScale*data1!K144)</f>
        <v>7.8431372549019607E-3</v>
      </c>
      <c r="L144">
        <f>MIN(1,dataScale*data1!L144)</f>
        <v>1.1764705882352941E-2</v>
      </c>
    </row>
    <row r="145" spans="1:12">
      <c r="A145">
        <f>data1!A145</f>
        <v>143</v>
      </c>
      <c r="B145">
        <f>MIN(1,dataScale*data1!B145)</f>
        <v>0</v>
      </c>
      <c r="C145">
        <f>MIN(1,dataScale*data1!C145)</f>
        <v>7.8431372549019607E-3</v>
      </c>
      <c r="D145">
        <f>MIN(1,dataScale*data1!D145)</f>
        <v>7.8431372549019607E-3</v>
      </c>
      <c r="E145">
        <f>MIN(1,dataScale*data1!E145)</f>
        <v>3.9215686274509803E-3</v>
      </c>
      <c r="F145">
        <f>MIN(1,dataScale*data1!F145)</f>
        <v>3.9215686274509803E-3</v>
      </c>
      <c r="G145">
        <f>MIN(1,dataScale*data1!G145)</f>
        <v>7.8431372549019607E-3</v>
      </c>
      <c r="H145">
        <f>MIN(1,dataScale*data1!H145)</f>
        <v>1.1764705882352941E-2</v>
      </c>
      <c r="I145">
        <f>MIN(1,dataScale*data1!I145)</f>
        <v>1.1764705882352941E-2</v>
      </c>
      <c r="J145">
        <f>MIN(1,dataScale*data1!J145)</f>
        <v>1.1764705882352941E-2</v>
      </c>
      <c r="K145">
        <f>MIN(1,dataScale*data1!K145)</f>
        <v>7.8431372549019607E-3</v>
      </c>
      <c r="L145">
        <f>MIN(1,dataScale*data1!L145)</f>
        <v>7.8431372549019607E-3</v>
      </c>
    </row>
    <row r="146" spans="1:12">
      <c r="A146">
        <f>data1!A146</f>
        <v>144</v>
      </c>
      <c r="B146">
        <f>MIN(1,dataScale*data1!B146)</f>
        <v>0</v>
      </c>
      <c r="C146">
        <f>MIN(1,dataScale*data1!C146)</f>
        <v>7.8431372549019607E-3</v>
      </c>
      <c r="D146">
        <f>MIN(1,dataScale*data1!D146)</f>
        <v>7.8431372549019607E-3</v>
      </c>
      <c r="E146">
        <f>MIN(1,dataScale*data1!E146)</f>
        <v>3.9215686274509803E-3</v>
      </c>
      <c r="F146">
        <f>MIN(1,dataScale*data1!F146)</f>
        <v>1.1764705882352941E-2</v>
      </c>
      <c r="G146">
        <f>MIN(1,dataScale*data1!G146)</f>
        <v>7.8431372549019607E-3</v>
      </c>
      <c r="H146">
        <f>MIN(1,dataScale*data1!H146)</f>
        <v>1.1764705882352941E-2</v>
      </c>
      <c r="I146">
        <f>MIN(1,dataScale*data1!I146)</f>
        <v>1.1764705882352941E-2</v>
      </c>
      <c r="J146">
        <f>MIN(1,dataScale*data1!J146)</f>
        <v>7.8431372549019607E-3</v>
      </c>
      <c r="K146">
        <f>MIN(1,dataScale*data1!K146)</f>
        <v>7.8431372549019607E-3</v>
      </c>
      <c r="L146">
        <f>MIN(1,dataScale*data1!L146)</f>
        <v>1.1764705882352941E-2</v>
      </c>
    </row>
    <row r="147" spans="1:12">
      <c r="A147">
        <f>data1!A147</f>
        <v>145</v>
      </c>
      <c r="B147">
        <f>MIN(1,dataScale*data1!B147)</f>
        <v>0</v>
      </c>
      <c r="C147">
        <f>MIN(1,dataScale*data1!C147)</f>
        <v>7.8431372549019607E-3</v>
      </c>
      <c r="D147">
        <f>MIN(1,dataScale*data1!D147)</f>
        <v>7.8431372549019607E-3</v>
      </c>
      <c r="E147">
        <f>MIN(1,dataScale*data1!E147)</f>
        <v>3.9215686274509803E-3</v>
      </c>
      <c r="F147">
        <f>MIN(1,dataScale*data1!F147)</f>
        <v>7.8431372549019607E-3</v>
      </c>
      <c r="G147">
        <f>MIN(1,dataScale*data1!G147)</f>
        <v>7.8431372549019607E-3</v>
      </c>
      <c r="H147">
        <f>MIN(1,dataScale*data1!H147)</f>
        <v>1.1764705882352941E-2</v>
      </c>
      <c r="I147">
        <f>MIN(1,dataScale*data1!I147)</f>
        <v>1.1764705882352941E-2</v>
      </c>
      <c r="J147">
        <f>MIN(1,dataScale*data1!J147)</f>
        <v>3.9215686274509803E-3</v>
      </c>
      <c r="K147">
        <f>MIN(1,dataScale*data1!K147)</f>
        <v>7.8431372549019607E-3</v>
      </c>
      <c r="L147">
        <f>MIN(1,dataScale*data1!L147)</f>
        <v>1.1764705882352941E-2</v>
      </c>
    </row>
    <row r="148" spans="1:12">
      <c r="A148">
        <f>data1!A148</f>
        <v>146</v>
      </c>
      <c r="B148">
        <f>MIN(1,dataScale*data1!B148)</f>
        <v>0</v>
      </c>
      <c r="C148">
        <f>MIN(1,dataScale*data1!C148)</f>
        <v>7.8431372549019607E-3</v>
      </c>
      <c r="D148">
        <f>MIN(1,dataScale*data1!D148)</f>
        <v>7.8431372549019607E-3</v>
      </c>
      <c r="E148">
        <f>MIN(1,dataScale*data1!E148)</f>
        <v>3.9215686274509803E-3</v>
      </c>
      <c r="F148">
        <f>MIN(1,dataScale*data1!F148)</f>
        <v>7.8431372549019607E-3</v>
      </c>
      <c r="G148">
        <f>MIN(1,dataScale*data1!G148)</f>
        <v>7.8431372549019607E-3</v>
      </c>
      <c r="H148">
        <f>MIN(1,dataScale*data1!H148)</f>
        <v>1.1764705882352941E-2</v>
      </c>
      <c r="I148">
        <f>MIN(1,dataScale*data1!I148)</f>
        <v>1.1764705882352941E-2</v>
      </c>
      <c r="J148">
        <f>MIN(1,dataScale*data1!J148)</f>
        <v>7.8431372549019607E-3</v>
      </c>
      <c r="K148">
        <f>MIN(1,dataScale*data1!K148)</f>
        <v>3.9215686274509803E-3</v>
      </c>
      <c r="L148">
        <f>MIN(1,dataScale*data1!L148)</f>
        <v>7.8431372549019607E-3</v>
      </c>
    </row>
    <row r="149" spans="1:12">
      <c r="A149">
        <f>data1!A149</f>
        <v>147</v>
      </c>
      <c r="B149">
        <f>MIN(1,dataScale*data1!B149)</f>
        <v>0</v>
      </c>
      <c r="C149">
        <f>MIN(1,dataScale*data1!C149)</f>
        <v>3.9215686274509803E-3</v>
      </c>
      <c r="D149">
        <f>MIN(1,dataScale*data1!D149)</f>
        <v>7.8431372549019607E-3</v>
      </c>
      <c r="E149">
        <f>MIN(1,dataScale*data1!E149)</f>
        <v>3.9215686274509803E-3</v>
      </c>
      <c r="F149">
        <f>MIN(1,dataScale*data1!F149)</f>
        <v>7.8431372549019607E-3</v>
      </c>
      <c r="G149">
        <f>MIN(1,dataScale*data1!G149)</f>
        <v>7.8431372549019607E-3</v>
      </c>
      <c r="H149">
        <f>MIN(1,dataScale*data1!H149)</f>
        <v>1.1764705882352941E-2</v>
      </c>
      <c r="I149">
        <f>MIN(1,dataScale*data1!I149)</f>
        <v>1.1764705882352941E-2</v>
      </c>
      <c r="J149">
        <f>MIN(1,dataScale*data1!J149)</f>
        <v>3.9215686274509803E-3</v>
      </c>
      <c r="K149">
        <f>MIN(1,dataScale*data1!K149)</f>
        <v>7.8431372549019607E-3</v>
      </c>
      <c r="L149">
        <f>MIN(1,dataScale*data1!L149)</f>
        <v>1.1764705882352941E-2</v>
      </c>
    </row>
    <row r="150" spans="1:12">
      <c r="A150">
        <f>data1!A150</f>
        <v>148</v>
      </c>
      <c r="B150">
        <f>MIN(1,dataScale*data1!B150)</f>
        <v>0</v>
      </c>
      <c r="C150">
        <f>MIN(1,dataScale*data1!C150)</f>
        <v>7.8431372549019607E-3</v>
      </c>
      <c r="D150">
        <f>MIN(1,dataScale*data1!D150)</f>
        <v>3.9215686274509803E-3</v>
      </c>
      <c r="E150">
        <f>MIN(1,dataScale*data1!E150)</f>
        <v>3.9215686274509803E-3</v>
      </c>
      <c r="F150">
        <f>MIN(1,dataScale*data1!F150)</f>
        <v>7.8431372549019607E-3</v>
      </c>
      <c r="G150">
        <f>MIN(1,dataScale*data1!G150)</f>
        <v>7.8431372549019607E-3</v>
      </c>
      <c r="H150">
        <f>MIN(1,dataScale*data1!H150)</f>
        <v>1.1764705882352941E-2</v>
      </c>
      <c r="I150">
        <f>MIN(1,dataScale*data1!I150)</f>
        <v>1.1764705882352941E-2</v>
      </c>
      <c r="J150">
        <f>MIN(1,dataScale*data1!J150)</f>
        <v>3.9215686274509803E-3</v>
      </c>
      <c r="K150">
        <f>MIN(1,dataScale*data1!K150)</f>
        <v>7.8431372549019607E-3</v>
      </c>
      <c r="L150">
        <f>MIN(1,dataScale*data1!L150)</f>
        <v>3.9215686274509803E-3</v>
      </c>
    </row>
    <row r="151" spans="1:12">
      <c r="A151">
        <f>data1!A151</f>
        <v>149</v>
      </c>
      <c r="B151">
        <f>MIN(1,dataScale*data1!B151)</f>
        <v>0</v>
      </c>
      <c r="C151">
        <f>MIN(1,dataScale*data1!C151)</f>
        <v>3.9215686274509803E-3</v>
      </c>
      <c r="D151">
        <f>MIN(1,dataScale*data1!D151)</f>
        <v>3.9215686274509803E-3</v>
      </c>
      <c r="E151">
        <f>MIN(1,dataScale*data1!E151)</f>
        <v>3.9215686274509803E-3</v>
      </c>
      <c r="F151">
        <f>MIN(1,dataScale*data1!F151)</f>
        <v>7.8431372549019607E-3</v>
      </c>
      <c r="G151">
        <f>MIN(1,dataScale*data1!G151)</f>
        <v>3.9215686274509803E-3</v>
      </c>
      <c r="H151">
        <f>MIN(1,dataScale*data1!H151)</f>
        <v>7.8431372549019607E-3</v>
      </c>
      <c r="I151">
        <f>MIN(1,dataScale*data1!I151)</f>
        <v>1.1764705882352941E-2</v>
      </c>
      <c r="J151">
        <f>MIN(1,dataScale*data1!J151)</f>
        <v>3.9215686274509803E-3</v>
      </c>
      <c r="K151">
        <f>MIN(1,dataScale*data1!K151)</f>
        <v>7.8431372549019607E-3</v>
      </c>
      <c r="L151">
        <f>MIN(1,dataScale*data1!L151)</f>
        <v>7.8431372549019607E-3</v>
      </c>
    </row>
    <row r="152" spans="1:12">
      <c r="A152">
        <f>data1!A152</f>
        <v>150</v>
      </c>
      <c r="B152">
        <f>MIN(1,dataScale*data1!B152)</f>
        <v>0</v>
      </c>
      <c r="C152">
        <f>MIN(1,dataScale*data1!C152)</f>
        <v>3.9215686274509803E-3</v>
      </c>
      <c r="D152">
        <f>MIN(1,dataScale*data1!D152)</f>
        <v>7.8431372549019607E-3</v>
      </c>
      <c r="E152">
        <f>MIN(1,dataScale*data1!E152)</f>
        <v>3.9215686274509803E-3</v>
      </c>
      <c r="F152">
        <f>MIN(1,dataScale*data1!F152)</f>
        <v>3.9215686274509803E-3</v>
      </c>
      <c r="G152">
        <f>MIN(1,dataScale*data1!G152)</f>
        <v>7.8431372549019607E-3</v>
      </c>
      <c r="H152">
        <f>MIN(1,dataScale*data1!H152)</f>
        <v>1.1764705882352941E-2</v>
      </c>
      <c r="I152">
        <f>MIN(1,dataScale*data1!I152)</f>
        <v>1.1764705882352941E-2</v>
      </c>
      <c r="J152">
        <f>MIN(1,dataScale*data1!J152)</f>
        <v>3.9215686274509803E-3</v>
      </c>
      <c r="K152">
        <f>MIN(1,dataScale*data1!K152)</f>
        <v>3.9215686274509803E-3</v>
      </c>
      <c r="L152">
        <f>MIN(1,dataScale*data1!L152)</f>
        <v>7.8431372549019607E-3</v>
      </c>
    </row>
    <row r="153" spans="1:12">
      <c r="A153" t="str">
        <f>data1!A153</f>
        <v>rev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AG162"/>
  <sheetViews>
    <sheetView zoomScale="80" zoomScaleNormal="80" workbookViewId="0">
      <pane ySplit="9600" topLeftCell="A135" activePane="bottomLeft"/>
      <selection activeCell="O40" sqref="O40"/>
      <selection pane="bottomLeft" activeCell="A153" sqref="A153"/>
    </sheetView>
  </sheetViews>
  <sheetFormatPr defaultRowHeight="15"/>
  <cols>
    <col min="1" max="1" width="10.85546875" bestFit="1" customWidth="1"/>
    <col min="2" max="32" width="6" customWidth="1"/>
    <col min="33" max="33" width="6" bestFit="1" customWidth="1"/>
  </cols>
  <sheetData>
    <row r="1" spans="1:33">
      <c r="A1" t="s">
        <v>24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3">
      <c r="A2" s="5">
        <f>Calculations!B3</f>
        <v>0</v>
      </c>
      <c r="B2" s="2"/>
      <c r="C2" s="2">
        <v>0</v>
      </c>
      <c r="D2" s="2">
        <v>0</v>
      </c>
      <c r="E2" s="2">
        <v>0.42745098039215684</v>
      </c>
      <c r="F2" s="2">
        <v>0.3529411764705882</v>
      </c>
      <c r="G2" s="2">
        <v>0.67450980392156867</v>
      </c>
      <c r="H2" s="2">
        <v>0.17254901960784313</v>
      </c>
      <c r="I2" s="2">
        <v>0.98039215686274506</v>
      </c>
      <c r="J2" s="2">
        <v>0.75294117647058822</v>
      </c>
      <c r="K2" s="2">
        <v>0.2196078431372549</v>
      </c>
      <c r="L2" s="2">
        <v>0.32549019607843138</v>
      </c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</row>
    <row r="3" spans="1:33">
      <c r="A3" s="5">
        <f>A2+Calculations!$B$4</f>
        <v>1</v>
      </c>
      <c r="B3" s="2"/>
      <c r="C3" s="2">
        <v>0.88235294117647056</v>
      </c>
      <c r="D3" s="2">
        <v>0.88627450980392153</v>
      </c>
      <c r="E3" s="2">
        <v>0.86274509803921573</v>
      </c>
      <c r="F3" s="2">
        <v>0.90980392156862744</v>
      </c>
      <c r="G3" s="2">
        <v>0.92941176470588238</v>
      </c>
      <c r="H3" s="2">
        <v>0.999</v>
      </c>
      <c r="I3" s="2">
        <v>0.999</v>
      </c>
      <c r="J3" s="2">
        <v>0.97254901960784312</v>
      </c>
      <c r="K3" s="2">
        <v>0.92549019607843142</v>
      </c>
      <c r="L3" s="2">
        <v>0.999</v>
      </c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</row>
    <row r="4" spans="1:33">
      <c r="A4" s="5">
        <f>A3+Calculations!$B$4</f>
        <v>2</v>
      </c>
      <c r="B4" s="2"/>
      <c r="C4" s="2">
        <v>0.8784313725490196</v>
      </c>
      <c r="D4" s="2">
        <v>0.8784313725490196</v>
      </c>
      <c r="E4" s="2">
        <v>0.85882352941176465</v>
      </c>
      <c r="F4" s="2">
        <v>0.90588235294117647</v>
      </c>
      <c r="G4" s="2">
        <v>0.92941176470588238</v>
      </c>
      <c r="H4" s="2">
        <v>0.999</v>
      </c>
      <c r="I4" s="2">
        <v>0.999</v>
      </c>
      <c r="J4" s="2">
        <v>0.97254901960784312</v>
      </c>
      <c r="K4" s="2">
        <v>0.92156862745098034</v>
      </c>
      <c r="L4" s="2">
        <v>0.999</v>
      </c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</row>
    <row r="5" spans="1:33">
      <c r="A5" s="5">
        <f>A4+Calculations!$B$4</f>
        <v>3</v>
      </c>
      <c r="B5" s="2"/>
      <c r="C5" s="2">
        <v>0.8784313725490196</v>
      </c>
      <c r="D5" s="2">
        <v>0.88627450980392153</v>
      </c>
      <c r="E5" s="2">
        <v>0.8666666666666667</v>
      </c>
      <c r="F5" s="2">
        <v>0.90980392156862744</v>
      </c>
      <c r="G5" s="2">
        <v>0.93333333333333335</v>
      </c>
      <c r="H5" s="2">
        <v>0.999</v>
      </c>
      <c r="I5" s="2">
        <v>0.999</v>
      </c>
      <c r="J5" s="2">
        <v>0.98039215686274506</v>
      </c>
      <c r="K5" s="2">
        <v>0.92156862745098034</v>
      </c>
      <c r="L5" s="2">
        <v>0.999</v>
      </c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</row>
    <row r="6" spans="1:33">
      <c r="A6" s="5">
        <f>A5+Calculations!$B$4</f>
        <v>4</v>
      </c>
      <c r="B6" s="2"/>
      <c r="C6" s="2">
        <v>0.88627450980392153</v>
      </c>
      <c r="D6" s="2">
        <v>0.8901960784313725</v>
      </c>
      <c r="E6" s="2">
        <v>0.87058823529411766</v>
      </c>
      <c r="F6" s="2">
        <v>0.91764705882352937</v>
      </c>
      <c r="G6" s="2">
        <v>0.94117647058823528</v>
      </c>
      <c r="H6" s="2">
        <v>0.999</v>
      </c>
      <c r="I6" s="2">
        <v>0.999</v>
      </c>
      <c r="J6" s="2">
        <v>0.9882352941176471</v>
      </c>
      <c r="K6" s="2">
        <v>0.93725490196078431</v>
      </c>
      <c r="L6" s="2">
        <v>0.999</v>
      </c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</row>
    <row r="7" spans="1:33">
      <c r="A7" s="5">
        <f>A6+Calculations!$B$4</f>
        <v>5</v>
      </c>
      <c r="B7" s="2"/>
      <c r="C7" s="2">
        <v>0.89411764705882346</v>
      </c>
      <c r="D7" s="2">
        <v>0.89803921568627454</v>
      </c>
      <c r="E7" s="2">
        <v>0.88235294117647056</v>
      </c>
      <c r="F7" s="2">
        <v>0.92549019607843142</v>
      </c>
      <c r="G7" s="2">
        <v>0.94901960784313721</v>
      </c>
      <c r="H7" s="2">
        <v>0.999</v>
      </c>
      <c r="I7" s="2">
        <v>0.999</v>
      </c>
      <c r="J7" s="2">
        <v>0.99607843137254903</v>
      </c>
      <c r="K7" s="2">
        <v>0.94509803921568625</v>
      </c>
      <c r="L7" s="2">
        <v>0.999</v>
      </c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</row>
    <row r="8" spans="1:33">
      <c r="A8" s="5">
        <f>A7+Calculations!$B$4</f>
        <v>6</v>
      </c>
      <c r="B8" s="2"/>
      <c r="C8" s="2">
        <v>0.90588235294117647</v>
      </c>
      <c r="D8" s="2">
        <v>0.92156862745098034</v>
      </c>
      <c r="E8" s="2">
        <v>0.92549019607843142</v>
      </c>
      <c r="F8" s="2">
        <v>0.94509803921568625</v>
      </c>
      <c r="G8" s="2">
        <v>0.96862745098039216</v>
      </c>
      <c r="H8" s="2">
        <v>0.999</v>
      </c>
      <c r="I8" s="2">
        <v>0.999</v>
      </c>
      <c r="J8" s="2">
        <v>0.999</v>
      </c>
      <c r="K8" s="2">
        <v>0.999</v>
      </c>
      <c r="L8" s="2">
        <v>0.999</v>
      </c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</row>
    <row r="9" spans="1:33">
      <c r="A9" s="5">
        <f>A8+Calculations!$B$4</f>
        <v>7</v>
      </c>
      <c r="B9" s="2"/>
      <c r="C9" s="2">
        <v>0.98039215686274506</v>
      </c>
      <c r="D9" s="2">
        <v>0.999</v>
      </c>
      <c r="E9" s="2">
        <v>0.999</v>
      </c>
      <c r="F9" s="2">
        <v>0.999</v>
      </c>
      <c r="G9" s="2">
        <v>0.999</v>
      </c>
      <c r="H9" s="2">
        <v>0.999</v>
      </c>
      <c r="I9" s="2">
        <v>0.999</v>
      </c>
      <c r="J9" s="2">
        <v>0.999</v>
      </c>
      <c r="K9" s="2">
        <v>0.999</v>
      </c>
      <c r="L9" s="2">
        <v>0.999</v>
      </c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</row>
    <row r="10" spans="1:33">
      <c r="A10" s="5">
        <f>A9+Calculations!$B$4</f>
        <v>8</v>
      </c>
      <c r="B10" s="2"/>
      <c r="C10" s="2">
        <v>0.999</v>
      </c>
      <c r="D10" s="2">
        <v>0.999</v>
      </c>
      <c r="E10" s="2">
        <v>0.999</v>
      </c>
      <c r="F10" s="2">
        <v>0.999</v>
      </c>
      <c r="G10" s="2">
        <v>0.999</v>
      </c>
      <c r="H10" s="2">
        <v>0.999</v>
      </c>
      <c r="I10" s="2">
        <v>0.999</v>
      </c>
      <c r="J10" s="2">
        <v>0.999</v>
      </c>
      <c r="K10" s="2">
        <v>0.999</v>
      </c>
      <c r="L10" s="2">
        <v>0.999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</row>
    <row r="11" spans="1:33">
      <c r="A11" s="5">
        <f>A10+Calculations!$B$4</f>
        <v>9</v>
      </c>
      <c r="B11" s="2"/>
      <c r="C11" s="2">
        <v>0.999</v>
      </c>
      <c r="D11" s="2">
        <v>0.999</v>
      </c>
      <c r="E11" s="2">
        <v>0.999</v>
      </c>
      <c r="F11" s="2">
        <v>0.999</v>
      </c>
      <c r="G11" s="2">
        <v>0.999</v>
      </c>
      <c r="H11" s="2">
        <v>0.999</v>
      </c>
      <c r="I11" s="2">
        <v>0.999</v>
      </c>
      <c r="J11" s="2">
        <v>0.999</v>
      </c>
      <c r="K11" s="2">
        <v>0.999</v>
      </c>
      <c r="L11" s="2">
        <v>0.999</v>
      </c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</row>
    <row r="12" spans="1:33">
      <c r="A12" s="5">
        <f>A11+Calculations!$B$4</f>
        <v>10</v>
      </c>
      <c r="B12" s="2"/>
      <c r="C12" s="2">
        <v>0.999</v>
      </c>
      <c r="D12" s="2">
        <v>0.999</v>
      </c>
      <c r="E12" s="2">
        <v>0.999</v>
      </c>
      <c r="F12" s="2">
        <v>0.999</v>
      </c>
      <c r="G12" s="2">
        <v>0.999</v>
      </c>
      <c r="H12" s="2">
        <v>0.999</v>
      </c>
      <c r="I12" s="2">
        <v>0.999</v>
      </c>
      <c r="J12" s="2">
        <v>0.999</v>
      </c>
      <c r="K12" s="2">
        <v>0.999</v>
      </c>
      <c r="L12" s="2">
        <v>0.999</v>
      </c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</row>
    <row r="13" spans="1:33">
      <c r="A13" s="5">
        <f>A12+Calculations!$B$4</f>
        <v>11</v>
      </c>
      <c r="B13" s="2"/>
      <c r="C13" s="2">
        <v>0.999</v>
      </c>
      <c r="D13" s="2">
        <v>0.999</v>
      </c>
      <c r="E13" s="2">
        <v>0.999</v>
      </c>
      <c r="F13" s="2">
        <v>0.999</v>
      </c>
      <c r="G13" s="2">
        <v>0.999</v>
      </c>
      <c r="H13" s="2">
        <v>0.999</v>
      </c>
      <c r="I13" s="2">
        <v>0.999</v>
      </c>
      <c r="J13" s="2">
        <v>0.999</v>
      </c>
      <c r="K13" s="2">
        <v>0.999</v>
      </c>
      <c r="L13" s="2">
        <v>0.999</v>
      </c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</row>
    <row r="14" spans="1:33">
      <c r="A14" s="5">
        <f>A13+Calculations!$B$4</f>
        <v>12</v>
      </c>
      <c r="B14" s="2"/>
      <c r="C14" s="2">
        <v>0.999</v>
      </c>
      <c r="D14" s="2">
        <v>0.999</v>
      </c>
      <c r="E14" s="2">
        <v>0.999</v>
      </c>
      <c r="F14" s="2">
        <v>0.999</v>
      </c>
      <c r="G14" s="2">
        <v>0.999</v>
      </c>
      <c r="H14" s="2">
        <v>0.999</v>
      </c>
      <c r="I14" s="2">
        <v>0.999</v>
      </c>
      <c r="J14" s="2">
        <v>0.999</v>
      </c>
      <c r="K14" s="2">
        <v>0.999</v>
      </c>
      <c r="L14" s="2">
        <v>0.999</v>
      </c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</row>
    <row r="15" spans="1:33">
      <c r="A15" s="5">
        <f>A14+Calculations!$B$4</f>
        <v>13</v>
      </c>
      <c r="B15" s="2"/>
      <c r="C15" s="2">
        <v>0.999</v>
      </c>
      <c r="D15" s="2">
        <v>0.999</v>
      </c>
      <c r="E15" s="2">
        <v>0.999</v>
      </c>
      <c r="F15" s="2">
        <v>0.999</v>
      </c>
      <c r="G15" s="2">
        <v>0.999</v>
      </c>
      <c r="H15" s="2">
        <v>0.999</v>
      </c>
      <c r="I15" s="2">
        <v>0.999</v>
      </c>
      <c r="J15" s="2">
        <v>0.999</v>
      </c>
      <c r="K15" s="2">
        <v>0.999</v>
      </c>
      <c r="L15" s="2">
        <v>0.999</v>
      </c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</row>
    <row r="16" spans="1:33">
      <c r="A16" s="5">
        <f>A15+Calculations!$B$4</f>
        <v>14</v>
      </c>
      <c r="B16" s="2"/>
      <c r="C16" s="2">
        <v>0.999</v>
      </c>
      <c r="D16" s="2">
        <v>0.99607843137254903</v>
      </c>
      <c r="E16" s="2">
        <v>0.999</v>
      </c>
      <c r="F16" s="2">
        <v>0.999</v>
      </c>
      <c r="G16" s="2">
        <v>0.999</v>
      </c>
      <c r="H16" s="2">
        <v>0.999</v>
      </c>
      <c r="I16" s="2">
        <v>0.999</v>
      </c>
      <c r="J16" s="2">
        <v>0.999</v>
      </c>
      <c r="K16" s="2">
        <v>0.999</v>
      </c>
      <c r="L16" s="2">
        <v>0.999</v>
      </c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</row>
    <row r="17" spans="1:33">
      <c r="A17" s="5">
        <f>A16+Calculations!$B$4</f>
        <v>15</v>
      </c>
      <c r="B17" s="2"/>
      <c r="C17" s="2">
        <v>0.999</v>
      </c>
      <c r="D17" s="2">
        <v>0.97254901960784312</v>
      </c>
      <c r="E17" s="2">
        <v>0.98431372549019602</v>
      </c>
      <c r="F17" s="2">
        <v>0.999</v>
      </c>
      <c r="G17" s="2">
        <v>0.999</v>
      </c>
      <c r="H17" s="2">
        <v>0.999</v>
      </c>
      <c r="I17" s="2">
        <v>0.999</v>
      </c>
      <c r="J17" s="2">
        <v>0.999</v>
      </c>
      <c r="K17" s="2">
        <v>0.9882352941176471</v>
      </c>
      <c r="L17" s="2">
        <v>0.999</v>
      </c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</row>
    <row r="18" spans="1:33">
      <c r="A18" s="5">
        <f>A17+Calculations!$B$4</f>
        <v>16</v>
      </c>
      <c r="B18" s="2"/>
      <c r="C18" s="2">
        <v>0.999</v>
      </c>
      <c r="D18" s="2">
        <v>0.95686274509803915</v>
      </c>
      <c r="E18" s="2">
        <v>0.96078431372549022</v>
      </c>
      <c r="F18" s="2">
        <v>0.98431372549019602</v>
      </c>
      <c r="G18" s="2">
        <v>0.999</v>
      </c>
      <c r="H18" s="2">
        <v>0.999</v>
      </c>
      <c r="I18" s="2">
        <v>0.999</v>
      </c>
      <c r="J18" s="2">
        <v>0.999</v>
      </c>
      <c r="K18" s="2">
        <v>0.97647058823529409</v>
      </c>
      <c r="L18" s="2">
        <v>0.999</v>
      </c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</row>
    <row r="19" spans="1:33">
      <c r="A19" s="5">
        <f>A18+Calculations!$B$4</f>
        <v>17</v>
      </c>
      <c r="B19" s="2"/>
      <c r="C19" s="2">
        <v>0.99607843137254903</v>
      </c>
      <c r="D19" s="2">
        <v>0.93333333333333335</v>
      </c>
      <c r="E19" s="2">
        <v>0.94901960784313721</v>
      </c>
      <c r="F19" s="2">
        <v>0.96862745098039216</v>
      </c>
      <c r="G19" s="2">
        <v>0.999</v>
      </c>
      <c r="H19" s="2">
        <v>0.999</v>
      </c>
      <c r="I19" s="2">
        <v>0.999</v>
      </c>
      <c r="J19" s="2">
        <v>0.97647058823529409</v>
      </c>
      <c r="K19" s="2">
        <v>0.95294117647058818</v>
      </c>
      <c r="L19" s="2">
        <v>0.999</v>
      </c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</row>
    <row r="20" spans="1:33">
      <c r="A20" s="5">
        <f>A19+Calculations!$B$4</f>
        <v>18</v>
      </c>
      <c r="B20" s="2"/>
      <c r="C20" s="2">
        <v>0.97647058823529409</v>
      </c>
      <c r="D20" s="2">
        <v>0.91764705882352937</v>
      </c>
      <c r="E20" s="2">
        <v>0.92549019607843142</v>
      </c>
      <c r="F20" s="2">
        <v>0.94901960784313721</v>
      </c>
      <c r="G20" s="2">
        <v>0.9882352941176471</v>
      </c>
      <c r="H20" s="2">
        <v>0.999</v>
      </c>
      <c r="I20" s="2">
        <v>0.999</v>
      </c>
      <c r="J20" s="2">
        <v>0.96078431372549022</v>
      </c>
      <c r="K20" s="2">
        <v>0.93333333333333335</v>
      </c>
      <c r="L20" s="2">
        <v>0.999</v>
      </c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</row>
    <row r="21" spans="1:33">
      <c r="A21" s="5">
        <f>A20+Calculations!$B$4</f>
        <v>19</v>
      </c>
      <c r="B21" s="2"/>
      <c r="C21" s="2">
        <v>0.96078431372549022</v>
      </c>
      <c r="D21" s="2">
        <v>0.89803921568627454</v>
      </c>
      <c r="E21" s="2">
        <v>0.90588235294117647</v>
      </c>
      <c r="F21" s="2">
        <v>0.92941176470588238</v>
      </c>
      <c r="G21" s="2">
        <v>0.95686274509803915</v>
      </c>
      <c r="H21" s="2">
        <v>0.999</v>
      </c>
      <c r="I21" s="2">
        <v>0.9882352941176471</v>
      </c>
      <c r="J21" s="2">
        <v>0.94509803921568625</v>
      </c>
      <c r="K21" s="2">
        <v>0.9137254901960784</v>
      </c>
      <c r="L21" s="2">
        <v>0.999</v>
      </c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</row>
    <row r="22" spans="1:33">
      <c r="A22" s="5">
        <f>A21+Calculations!$B$4</f>
        <v>20</v>
      </c>
      <c r="B22" s="2"/>
      <c r="C22" s="2">
        <v>0.94117647058823528</v>
      </c>
      <c r="D22" s="2">
        <v>0.87058823529411766</v>
      </c>
      <c r="E22" s="2">
        <v>0.86274509803921573</v>
      </c>
      <c r="F22" s="2">
        <v>0.90588235294117647</v>
      </c>
      <c r="G22" s="2">
        <v>0.93333333333333335</v>
      </c>
      <c r="H22" s="2">
        <v>0.98431372549019602</v>
      </c>
      <c r="I22" s="2">
        <v>0.94117647058823528</v>
      </c>
      <c r="J22" s="2">
        <v>0.9137254901960784</v>
      </c>
      <c r="K22" s="2">
        <v>0.85490196078431369</v>
      </c>
      <c r="L22" s="2">
        <v>0.92941176470588238</v>
      </c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</row>
    <row r="23" spans="1:33">
      <c r="A23" s="5">
        <f>A22+Calculations!$B$4</f>
        <v>21</v>
      </c>
      <c r="B23" s="2"/>
      <c r="C23" s="2">
        <v>0.91764705882352937</v>
      </c>
      <c r="D23" s="2">
        <v>0.81176470588235294</v>
      </c>
      <c r="E23" s="2">
        <v>0.79607843137254897</v>
      </c>
      <c r="F23" s="2">
        <v>0.84313725490196079</v>
      </c>
      <c r="G23" s="2">
        <v>0.8666666666666667</v>
      </c>
      <c r="H23" s="2">
        <v>0.94901960784313721</v>
      </c>
      <c r="I23" s="2">
        <v>0.86274509803921573</v>
      </c>
      <c r="J23" s="2">
        <v>0.86274509803921573</v>
      </c>
      <c r="K23" s="2">
        <v>0.78431372549019607</v>
      </c>
      <c r="L23" s="2">
        <v>0.85098039215686272</v>
      </c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</row>
    <row r="24" spans="1:33">
      <c r="A24" s="5">
        <f>A23+Calculations!$B$4</f>
        <v>22</v>
      </c>
      <c r="B24" s="2"/>
      <c r="C24" s="2">
        <v>0.88235294117647056</v>
      </c>
      <c r="D24" s="2">
        <v>0.74901960784313726</v>
      </c>
      <c r="E24" s="2">
        <v>0.72549019607843135</v>
      </c>
      <c r="F24" s="2">
        <v>0.77647058823529413</v>
      </c>
      <c r="G24" s="2">
        <v>0.79607843137254897</v>
      </c>
      <c r="H24" s="2">
        <v>0.88235294117647056</v>
      </c>
      <c r="I24" s="2">
        <v>0.79607843137254897</v>
      </c>
      <c r="J24" s="2">
        <v>0.79607843137254897</v>
      </c>
      <c r="K24" s="2">
        <v>0.71764705882352942</v>
      </c>
      <c r="L24" s="2">
        <v>0.7803921568627451</v>
      </c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</row>
    <row r="25" spans="1:33">
      <c r="A25" s="5">
        <f>A24+Calculations!$B$4</f>
        <v>23</v>
      </c>
      <c r="B25" s="2"/>
      <c r="C25" s="2">
        <v>0.82352941176470584</v>
      </c>
      <c r="D25" s="2">
        <v>0.68627450980392157</v>
      </c>
      <c r="E25" s="2">
        <v>0.6705882352941176</v>
      </c>
      <c r="F25" s="2">
        <v>0.71372549019607845</v>
      </c>
      <c r="G25" s="2">
        <v>0.72941176470588232</v>
      </c>
      <c r="H25" s="2">
        <v>0.80784313725490198</v>
      </c>
      <c r="I25" s="2">
        <v>0.73333333333333328</v>
      </c>
      <c r="J25" s="2">
        <v>0.73333333333333328</v>
      </c>
      <c r="K25" s="2">
        <v>0.66274509803921566</v>
      </c>
      <c r="L25" s="2">
        <v>0.71764705882352942</v>
      </c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</row>
    <row r="26" spans="1:33">
      <c r="A26" s="5">
        <f>A25+Calculations!$B$4</f>
        <v>24</v>
      </c>
      <c r="B26" s="2"/>
      <c r="C26" s="2">
        <v>0.75686274509803919</v>
      </c>
      <c r="D26" s="2">
        <v>0.63137254901960782</v>
      </c>
      <c r="E26" s="2">
        <v>0.62352941176470589</v>
      </c>
      <c r="F26" s="2">
        <v>0.6588235294117647</v>
      </c>
      <c r="G26" s="2">
        <v>0.67450980392156867</v>
      </c>
      <c r="H26" s="2">
        <v>0.74901960784313726</v>
      </c>
      <c r="I26" s="2">
        <v>0.6705882352941176</v>
      </c>
      <c r="J26" s="2">
        <v>0.67450980392156867</v>
      </c>
      <c r="K26" s="2">
        <v>0.61176470588235299</v>
      </c>
      <c r="L26" s="2">
        <v>0.66274509803921566</v>
      </c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</row>
    <row r="27" spans="1:33">
      <c r="A27" s="5">
        <f>A26+Calculations!$B$4</f>
        <v>25</v>
      </c>
      <c r="B27" s="2"/>
      <c r="C27" s="2">
        <v>0.70588235294117641</v>
      </c>
      <c r="D27" s="2">
        <v>0.58823529411764708</v>
      </c>
      <c r="E27" s="2">
        <v>0.5725490196078431</v>
      </c>
      <c r="F27" s="2">
        <v>0.60392156862745094</v>
      </c>
      <c r="G27" s="2">
        <v>0.62745098039215685</v>
      </c>
      <c r="H27" s="2">
        <v>0.69019607843137254</v>
      </c>
      <c r="I27" s="2">
        <v>0.62352941176470589</v>
      </c>
      <c r="J27" s="2">
        <v>0.62745098039215685</v>
      </c>
      <c r="K27" s="2">
        <v>0.56862745098039214</v>
      </c>
      <c r="L27" s="2">
        <v>0.61568627450980395</v>
      </c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</row>
    <row r="28" spans="1:33">
      <c r="A28" s="5">
        <f>A27+Calculations!$B$4</f>
        <v>26</v>
      </c>
      <c r="B28" s="2"/>
      <c r="C28" s="2">
        <v>0.65490196078431373</v>
      </c>
      <c r="D28" s="2">
        <v>0.54509803921568623</v>
      </c>
      <c r="E28" s="2">
        <v>0.53333333333333333</v>
      </c>
      <c r="F28" s="2">
        <v>0.5607843137254902</v>
      </c>
      <c r="G28" s="2">
        <v>0.58431372549019611</v>
      </c>
      <c r="H28" s="2">
        <v>0.6470588235294118</v>
      </c>
      <c r="I28" s="2">
        <v>0.58039215686274503</v>
      </c>
      <c r="J28" s="2">
        <v>0.58039215686274503</v>
      </c>
      <c r="K28" s="2">
        <v>0.52549019607843139</v>
      </c>
      <c r="L28" s="2">
        <v>0.56862745098039214</v>
      </c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</row>
    <row r="29" spans="1:33">
      <c r="A29" s="5">
        <f>A28+Calculations!$B$4</f>
        <v>27</v>
      </c>
      <c r="B29" s="2"/>
      <c r="C29" s="2">
        <v>0.61176470588235299</v>
      </c>
      <c r="D29" s="2">
        <v>0.50588235294117645</v>
      </c>
      <c r="E29" s="2">
        <v>0.49803921568627452</v>
      </c>
      <c r="F29" s="2">
        <v>0.52156862745098043</v>
      </c>
      <c r="G29" s="2">
        <v>0.53725490196078429</v>
      </c>
      <c r="H29" s="2">
        <v>0.59607843137254901</v>
      </c>
      <c r="I29" s="2">
        <v>0.53333333333333333</v>
      </c>
      <c r="J29" s="2">
        <v>0.54509803921568623</v>
      </c>
      <c r="K29" s="2">
        <v>0.48627450980392156</v>
      </c>
      <c r="L29" s="2">
        <v>0.52941176470588236</v>
      </c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</row>
    <row r="30" spans="1:33">
      <c r="A30" s="5">
        <f>A29+Calculations!$B$4</f>
        <v>28</v>
      </c>
      <c r="B30" s="2"/>
      <c r="C30" s="2">
        <v>0.5725490196078431</v>
      </c>
      <c r="D30" s="2">
        <v>0.47450980392156861</v>
      </c>
      <c r="E30" s="2">
        <v>0.46274509803921571</v>
      </c>
      <c r="F30" s="2">
        <v>0.48627450980392156</v>
      </c>
      <c r="G30" s="2">
        <v>0.50196078431372548</v>
      </c>
      <c r="H30" s="2">
        <v>0.55294117647058827</v>
      </c>
      <c r="I30" s="2">
        <v>0.50196078431372548</v>
      </c>
      <c r="J30" s="2">
        <v>0.50980392156862742</v>
      </c>
      <c r="K30" s="2">
        <v>0.45882352941176469</v>
      </c>
      <c r="L30" s="2">
        <v>0.49019607843137253</v>
      </c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</row>
    <row r="31" spans="1:33">
      <c r="A31" s="5">
        <f>A30+Calculations!$B$4</f>
        <v>29</v>
      </c>
      <c r="B31" s="2"/>
      <c r="C31" s="2">
        <v>0.53333333333333333</v>
      </c>
      <c r="D31" s="2">
        <v>0.44313725490196076</v>
      </c>
      <c r="E31" s="2">
        <v>0.43529411764705883</v>
      </c>
      <c r="F31" s="2">
        <v>0.45490196078431372</v>
      </c>
      <c r="G31" s="2">
        <v>0.46666666666666667</v>
      </c>
      <c r="H31" s="2">
        <v>0.51764705882352935</v>
      </c>
      <c r="I31" s="2">
        <v>0.46666666666666667</v>
      </c>
      <c r="J31" s="2">
        <v>0.47843137254901957</v>
      </c>
      <c r="K31" s="2">
        <v>0.42352941176470588</v>
      </c>
      <c r="L31" s="2">
        <v>0.45882352941176469</v>
      </c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</row>
    <row r="32" spans="1:33">
      <c r="A32" s="5">
        <f>A31+Calculations!$B$4</f>
        <v>30</v>
      </c>
      <c r="B32" s="2"/>
      <c r="C32" s="2">
        <v>0.49803921568627452</v>
      </c>
      <c r="D32" s="2">
        <v>0.41568627450980389</v>
      </c>
      <c r="E32" s="2">
        <v>0.40784313725490196</v>
      </c>
      <c r="F32" s="2">
        <v>0.42745098039215684</v>
      </c>
      <c r="G32" s="2">
        <v>0.4392156862745098</v>
      </c>
      <c r="H32" s="2">
        <v>0.4823529411764706</v>
      </c>
      <c r="I32" s="2">
        <v>0.43529411764705883</v>
      </c>
      <c r="J32" s="2">
        <v>0.44705882352941173</v>
      </c>
      <c r="K32" s="2">
        <v>0.396078431372549</v>
      </c>
      <c r="L32" s="2">
        <v>0.43137254901960786</v>
      </c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</row>
    <row r="33" spans="1:33">
      <c r="A33" s="5">
        <f>A32+Calculations!$B$4</f>
        <v>31</v>
      </c>
      <c r="B33" s="2"/>
      <c r="C33" s="2">
        <v>0.47058823529411764</v>
      </c>
      <c r="D33" s="2">
        <v>0.38823529411764707</v>
      </c>
      <c r="E33" s="2">
        <v>0.38039215686274508</v>
      </c>
      <c r="F33" s="2">
        <v>0.4</v>
      </c>
      <c r="G33" s="2">
        <v>0.41176470588235292</v>
      </c>
      <c r="H33" s="2">
        <v>0.45490196078431372</v>
      </c>
      <c r="I33" s="2">
        <v>0.41176470588235292</v>
      </c>
      <c r="J33" s="2">
        <v>0.41960784313725491</v>
      </c>
      <c r="K33" s="2">
        <v>0.37254901960784315</v>
      </c>
      <c r="L33" s="2">
        <v>0.40392156862745099</v>
      </c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</row>
    <row r="34" spans="1:33">
      <c r="A34" s="5">
        <f>A33+Calculations!$B$4</f>
        <v>32</v>
      </c>
      <c r="B34" s="2"/>
      <c r="C34" s="2">
        <v>0.44313725490196076</v>
      </c>
      <c r="D34" s="2">
        <v>0.36862745098039218</v>
      </c>
      <c r="E34" s="2">
        <v>0.36078431372549019</v>
      </c>
      <c r="F34" s="2">
        <v>0.37647058823529411</v>
      </c>
      <c r="G34" s="2">
        <v>0.38823529411764707</v>
      </c>
      <c r="H34" s="2">
        <v>0.42745098039215684</v>
      </c>
      <c r="I34" s="2">
        <v>0.38431372549019605</v>
      </c>
      <c r="J34" s="2">
        <v>0.39215686274509803</v>
      </c>
      <c r="K34" s="2">
        <v>0.34901960784313724</v>
      </c>
      <c r="L34" s="2">
        <v>0.38039215686274508</v>
      </c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</row>
    <row r="35" spans="1:33">
      <c r="A35" s="5">
        <f>A34+Calculations!$B$4</f>
        <v>33</v>
      </c>
      <c r="B35" s="2"/>
      <c r="C35" s="2">
        <v>0.41568627450980389</v>
      </c>
      <c r="D35" s="2">
        <v>0.34509803921568627</v>
      </c>
      <c r="E35" s="2">
        <v>0.3411764705882353</v>
      </c>
      <c r="F35" s="2">
        <v>0.3529411764705882</v>
      </c>
      <c r="G35" s="2">
        <v>0.36470588235294116</v>
      </c>
      <c r="H35" s="2">
        <v>0.40392156862745099</v>
      </c>
      <c r="I35" s="2">
        <v>0.36470588235294116</v>
      </c>
      <c r="J35" s="2">
        <v>0.37254901960784315</v>
      </c>
      <c r="K35" s="2">
        <v>0.32941176470588235</v>
      </c>
      <c r="L35" s="2">
        <v>0.36078431372549019</v>
      </c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</row>
    <row r="36" spans="1:33">
      <c r="A36" s="5">
        <f>A35+Calculations!$B$4</f>
        <v>34</v>
      </c>
      <c r="B36" s="2"/>
      <c r="C36" s="2">
        <v>0.39215686274509803</v>
      </c>
      <c r="D36" s="2">
        <v>0.32549019607843138</v>
      </c>
      <c r="E36" s="2">
        <v>0.32156862745098036</v>
      </c>
      <c r="F36" s="2">
        <v>0.33333333333333331</v>
      </c>
      <c r="G36" s="2">
        <v>0.34509803921568627</v>
      </c>
      <c r="H36" s="2">
        <v>0.38039215686274508</v>
      </c>
      <c r="I36" s="2">
        <v>0.34509803921568627</v>
      </c>
      <c r="J36" s="2">
        <v>0.3529411764705882</v>
      </c>
      <c r="K36" s="2">
        <v>0.30980392156862746</v>
      </c>
      <c r="L36" s="2">
        <v>0.33725490196078434</v>
      </c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</row>
    <row r="37" spans="1:33">
      <c r="A37" s="5">
        <f>A36+Calculations!$B$4</f>
        <v>35</v>
      </c>
      <c r="B37" s="2"/>
      <c r="C37" s="2">
        <v>0.37254901960784315</v>
      </c>
      <c r="D37" s="2">
        <v>0.30588235294117649</v>
      </c>
      <c r="E37" s="2">
        <v>0.30588235294117649</v>
      </c>
      <c r="F37" s="2">
        <v>0.31372549019607843</v>
      </c>
      <c r="G37" s="2">
        <v>0.32549019607843138</v>
      </c>
      <c r="H37" s="2">
        <v>0.36078431372549019</v>
      </c>
      <c r="I37" s="2">
        <v>0.32549019607843138</v>
      </c>
      <c r="J37" s="2">
        <v>0.33333333333333331</v>
      </c>
      <c r="K37" s="2">
        <v>0.29411764705882354</v>
      </c>
      <c r="L37" s="2">
        <v>0.31764705882352939</v>
      </c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</row>
    <row r="38" spans="1:33">
      <c r="A38" s="5">
        <f>A37+Calculations!$B$4</f>
        <v>36</v>
      </c>
      <c r="B38" s="2"/>
      <c r="C38" s="2">
        <v>0.3529411764705882</v>
      </c>
      <c r="D38" s="2">
        <v>0.29411764705882354</v>
      </c>
      <c r="E38" s="2">
        <v>0.29019607843137252</v>
      </c>
      <c r="F38" s="2">
        <v>0.29803921568627451</v>
      </c>
      <c r="G38" s="2">
        <v>0.30980392156862746</v>
      </c>
      <c r="H38" s="2">
        <v>0.33725490196078434</v>
      </c>
      <c r="I38" s="2">
        <v>0.30588235294117649</v>
      </c>
      <c r="J38" s="2">
        <v>0.31764705882352939</v>
      </c>
      <c r="K38" s="2">
        <v>0.27843137254901962</v>
      </c>
      <c r="L38" s="2">
        <v>0.30196078431372547</v>
      </c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</row>
    <row r="39" spans="1:33">
      <c r="A39" s="5">
        <f>A38+Calculations!$B$4</f>
        <v>37</v>
      </c>
      <c r="B39" s="2"/>
      <c r="C39" s="2">
        <v>0.33333333333333331</v>
      </c>
      <c r="D39" s="2">
        <v>0.27843137254901962</v>
      </c>
      <c r="E39" s="2">
        <v>0.27058823529411763</v>
      </c>
      <c r="F39" s="2">
        <v>0.28235294117647058</v>
      </c>
      <c r="G39" s="2">
        <v>0.29019607843137252</v>
      </c>
      <c r="H39" s="2">
        <v>0.32156862745098036</v>
      </c>
      <c r="I39" s="2">
        <v>0.29411764705882354</v>
      </c>
      <c r="J39" s="2">
        <v>0.30196078431372547</v>
      </c>
      <c r="K39" s="2">
        <v>0.2627450980392157</v>
      </c>
      <c r="L39" s="2">
        <v>0.28627450980392155</v>
      </c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</row>
    <row r="40" spans="1:33">
      <c r="A40" s="5">
        <f>A39+Calculations!$B$4</f>
        <v>38</v>
      </c>
      <c r="B40" s="2"/>
      <c r="C40" s="2">
        <v>0.31764705882352939</v>
      </c>
      <c r="D40" s="2">
        <v>0.2627450980392157</v>
      </c>
      <c r="E40" s="2">
        <v>0.25882352941176467</v>
      </c>
      <c r="F40" s="2">
        <v>0.27058823529411763</v>
      </c>
      <c r="G40" s="2">
        <v>0.27843137254901962</v>
      </c>
      <c r="H40" s="2">
        <v>0.30588235294117649</v>
      </c>
      <c r="I40" s="2">
        <v>0.27450980392156865</v>
      </c>
      <c r="J40" s="2">
        <v>0.28627450980392155</v>
      </c>
      <c r="K40" s="2">
        <v>0.25098039215686274</v>
      </c>
      <c r="L40" s="2">
        <v>0.27450980392156865</v>
      </c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</row>
    <row r="41" spans="1:33">
      <c r="A41" s="5">
        <f>A40+Calculations!$B$4</f>
        <v>39</v>
      </c>
      <c r="B41" s="2"/>
      <c r="C41" s="2">
        <v>0.30196078431372547</v>
      </c>
      <c r="D41" s="2">
        <v>0.25098039215686274</v>
      </c>
      <c r="E41" s="2">
        <v>0.24705882352941178</v>
      </c>
      <c r="F41" s="2">
        <v>0.25490196078431371</v>
      </c>
      <c r="G41" s="2">
        <v>0.2627450980392157</v>
      </c>
      <c r="H41" s="2">
        <v>0.29019607843137252</v>
      </c>
      <c r="I41" s="2">
        <v>0.2627450980392157</v>
      </c>
      <c r="J41" s="2">
        <v>0.27058823529411763</v>
      </c>
      <c r="K41" s="2">
        <v>0.23921568627450979</v>
      </c>
      <c r="L41" s="2">
        <v>0.25882352941176467</v>
      </c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</row>
    <row r="42" spans="1:33">
      <c r="A42" s="5">
        <f>A41+Calculations!$B$4</f>
        <v>40</v>
      </c>
      <c r="B42" s="2"/>
      <c r="C42" s="2">
        <v>0.28235294117647058</v>
      </c>
      <c r="D42" s="2">
        <v>0.23137254901960785</v>
      </c>
      <c r="E42" s="2">
        <v>0.23921568627450979</v>
      </c>
      <c r="F42" s="2">
        <v>0.24313725490196078</v>
      </c>
      <c r="G42" s="2">
        <v>0.25098039215686274</v>
      </c>
      <c r="H42" s="2">
        <v>0.27450980392156865</v>
      </c>
      <c r="I42" s="2">
        <v>0.25098039215686274</v>
      </c>
      <c r="J42" s="2">
        <v>0.25882352941176467</v>
      </c>
      <c r="K42" s="2">
        <v>0.22745098039215686</v>
      </c>
      <c r="L42" s="2">
        <v>0.24705882352941178</v>
      </c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</row>
    <row r="43" spans="1:33">
      <c r="A43" s="5">
        <f>A42+Calculations!$B$4</f>
        <v>41</v>
      </c>
      <c r="B43" s="2"/>
      <c r="C43" s="2">
        <v>0.27450980392156865</v>
      </c>
      <c r="D43" s="2">
        <v>0.22745098039215686</v>
      </c>
      <c r="E43" s="2">
        <v>0.22352941176470587</v>
      </c>
      <c r="F43" s="2">
        <v>0.23137254901960785</v>
      </c>
      <c r="G43" s="2">
        <v>0.23921568627450979</v>
      </c>
      <c r="H43" s="2">
        <v>0.2627450980392157</v>
      </c>
      <c r="I43" s="2">
        <v>0.23529411764705882</v>
      </c>
      <c r="J43" s="2">
        <v>0.24705882352941178</v>
      </c>
      <c r="K43" s="2">
        <v>0.21568627450980393</v>
      </c>
      <c r="L43" s="2">
        <v>0.23529411764705882</v>
      </c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</row>
    <row r="44" spans="1:33">
      <c r="A44" s="5">
        <f>A43+Calculations!$B$4</f>
        <v>42</v>
      </c>
      <c r="B44" s="2"/>
      <c r="C44" s="2">
        <v>0.2627450980392157</v>
      </c>
      <c r="D44" s="2">
        <v>0.21568627450980393</v>
      </c>
      <c r="E44" s="2">
        <v>0.21568627450980393</v>
      </c>
      <c r="F44" s="2">
        <v>0.2196078431372549</v>
      </c>
      <c r="G44" s="2">
        <v>0.22745098039215686</v>
      </c>
      <c r="H44" s="2">
        <v>0.25098039215686274</v>
      </c>
      <c r="I44" s="2">
        <v>0.22745098039215686</v>
      </c>
      <c r="J44" s="2">
        <v>0.23529411764705882</v>
      </c>
      <c r="K44" s="2">
        <v>0.20392156862745098</v>
      </c>
      <c r="L44" s="2">
        <v>0.22352941176470587</v>
      </c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>
      <c r="A45" s="5">
        <f>A44+Calculations!$B$4</f>
        <v>43</v>
      </c>
      <c r="B45" s="2"/>
      <c r="C45" s="2">
        <v>0.24705882352941178</v>
      </c>
      <c r="D45" s="2">
        <v>0.20784313725490194</v>
      </c>
      <c r="E45" s="2">
        <v>0.20392156862745098</v>
      </c>
      <c r="F45" s="2">
        <v>0.21176470588235294</v>
      </c>
      <c r="G45" s="2">
        <v>0.21568627450980393</v>
      </c>
      <c r="H45" s="2">
        <v>0.24313725490196078</v>
      </c>
      <c r="I45" s="2">
        <v>0.21568627450980393</v>
      </c>
      <c r="J45" s="2">
        <v>0.22352941176470587</v>
      </c>
      <c r="K45" s="2">
        <v>0.19607843137254902</v>
      </c>
      <c r="L45" s="2">
        <v>0.21176470588235294</v>
      </c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>
      <c r="A46" s="5">
        <f>A45+Calculations!$B$4</f>
        <v>44</v>
      </c>
      <c r="B46" s="2"/>
      <c r="C46" s="2">
        <v>0.23921568627450979</v>
      </c>
      <c r="D46" s="2">
        <v>0.19607843137254902</v>
      </c>
      <c r="E46" s="2">
        <v>0.19607843137254902</v>
      </c>
      <c r="F46" s="2">
        <v>0.20392156862745098</v>
      </c>
      <c r="G46" s="2">
        <v>0.20784313725490194</v>
      </c>
      <c r="H46" s="2">
        <v>0.22745098039215686</v>
      </c>
      <c r="I46" s="2">
        <v>0.20784313725490194</v>
      </c>
      <c r="J46" s="2">
        <v>0.20784313725490194</v>
      </c>
      <c r="K46" s="2">
        <v>0.18823529411764706</v>
      </c>
      <c r="L46" s="2">
        <v>0.20392156862745098</v>
      </c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>
      <c r="A47" s="5">
        <f>A46+Calculations!$B$4</f>
        <v>45</v>
      </c>
      <c r="B47" s="2"/>
      <c r="C47" s="2">
        <v>0.22745098039215686</v>
      </c>
      <c r="D47" s="2">
        <v>0.18823529411764706</v>
      </c>
      <c r="E47" s="2">
        <v>0.18823529411764706</v>
      </c>
      <c r="F47" s="2">
        <v>0.19215686274509802</v>
      </c>
      <c r="G47" s="2">
        <v>0.2</v>
      </c>
      <c r="H47" s="2">
        <v>0.2196078431372549</v>
      </c>
      <c r="I47" s="2">
        <v>0.2</v>
      </c>
      <c r="J47" s="2">
        <v>0.20392156862745098</v>
      </c>
      <c r="K47" s="2">
        <v>0.1803921568627451</v>
      </c>
      <c r="L47" s="2">
        <v>0.19607843137254902</v>
      </c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>
      <c r="A48" s="5">
        <f>A47+Calculations!$B$4</f>
        <v>46</v>
      </c>
      <c r="B48" s="2"/>
      <c r="C48" s="2">
        <v>0.2196078431372549</v>
      </c>
      <c r="D48" s="2">
        <v>0.1803921568627451</v>
      </c>
      <c r="E48" s="2">
        <v>0.1803921568627451</v>
      </c>
      <c r="F48" s="2">
        <v>0.18431372549019609</v>
      </c>
      <c r="G48" s="2">
        <v>0.19215686274509802</v>
      </c>
      <c r="H48" s="2">
        <v>0.20784313725490194</v>
      </c>
      <c r="I48" s="2">
        <v>0.19215686274509802</v>
      </c>
      <c r="J48" s="2">
        <v>0.19607843137254902</v>
      </c>
      <c r="K48" s="2">
        <v>0.17254901960784313</v>
      </c>
      <c r="L48" s="2">
        <v>0.18823529411764706</v>
      </c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</row>
    <row r="49" spans="1:33">
      <c r="A49" s="5">
        <f>A48+Calculations!$B$4</f>
        <v>47</v>
      </c>
      <c r="B49" s="2"/>
      <c r="C49" s="2">
        <v>0.20784313725490194</v>
      </c>
      <c r="D49" s="2">
        <v>0.17254901960784313</v>
      </c>
      <c r="E49" s="2">
        <v>0.17254901960784313</v>
      </c>
      <c r="F49" s="2">
        <v>0.1764705882352941</v>
      </c>
      <c r="G49" s="2">
        <v>0.1803921568627451</v>
      </c>
      <c r="H49" s="2">
        <v>0.2</v>
      </c>
      <c r="I49" s="2">
        <v>0.18431372549019609</v>
      </c>
      <c r="J49" s="2">
        <v>0.18431372549019609</v>
      </c>
      <c r="K49" s="2">
        <v>0.16470588235294117</v>
      </c>
      <c r="L49" s="2">
        <v>0.1803921568627451</v>
      </c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</row>
    <row r="50" spans="1:33">
      <c r="A50" s="5">
        <f>A49+Calculations!$B$4</f>
        <v>48</v>
      </c>
      <c r="B50" s="2"/>
      <c r="C50" s="2">
        <v>0.2</v>
      </c>
      <c r="D50" s="2">
        <v>0.16862745098039217</v>
      </c>
      <c r="E50" s="2">
        <v>0.16470588235294117</v>
      </c>
      <c r="F50" s="2">
        <v>0.17254901960784313</v>
      </c>
      <c r="G50" s="2">
        <v>0.1764705882352941</v>
      </c>
      <c r="H50" s="2">
        <v>0.19215686274509802</v>
      </c>
      <c r="I50" s="2">
        <v>0.1764705882352941</v>
      </c>
      <c r="J50" s="2">
        <v>0.1764705882352941</v>
      </c>
      <c r="K50" s="2">
        <v>0.15686274509803921</v>
      </c>
      <c r="L50" s="2">
        <v>0.17254901960784313</v>
      </c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</row>
    <row r="51" spans="1:33">
      <c r="A51" s="5">
        <f>A50+Calculations!$B$4</f>
        <v>49</v>
      </c>
      <c r="B51" s="2"/>
      <c r="C51" s="2">
        <v>0.19215686274509802</v>
      </c>
      <c r="D51" s="2">
        <v>0.16078431372549018</v>
      </c>
      <c r="E51" s="2">
        <v>0.15686274509803921</v>
      </c>
      <c r="F51" s="2">
        <v>0.16470588235294117</v>
      </c>
      <c r="G51" s="2">
        <v>0.16862745098039217</v>
      </c>
      <c r="H51" s="2">
        <v>0.18431372549019609</v>
      </c>
      <c r="I51" s="2">
        <v>0.16862745098039217</v>
      </c>
      <c r="J51" s="2">
        <v>0.1764705882352941</v>
      </c>
      <c r="K51" s="2">
        <v>0.14901960784313725</v>
      </c>
      <c r="L51" s="2">
        <v>0.16470588235294117</v>
      </c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</row>
    <row r="52" spans="1:33">
      <c r="A52" s="5">
        <f>A51+Calculations!$B$4</f>
        <v>50</v>
      </c>
      <c r="B52" s="2"/>
      <c r="C52" s="2">
        <v>0.18431372549019609</v>
      </c>
      <c r="D52" s="2">
        <v>0.15686274509803921</v>
      </c>
      <c r="E52" s="2">
        <v>0.14901960784313725</v>
      </c>
      <c r="F52" s="2">
        <v>0.15686274509803921</v>
      </c>
      <c r="G52" s="2">
        <v>0.16078431372549018</v>
      </c>
      <c r="H52" s="2">
        <v>0.1803921568627451</v>
      </c>
      <c r="I52" s="2">
        <v>0.16078431372549018</v>
      </c>
      <c r="J52" s="2">
        <v>0.16078431372549018</v>
      </c>
      <c r="K52" s="2">
        <v>0.14509803921568626</v>
      </c>
      <c r="L52" s="2">
        <v>0.16078431372549018</v>
      </c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</row>
    <row r="53" spans="1:33">
      <c r="A53" s="5">
        <f>A52+Calculations!$B$4</f>
        <v>51</v>
      </c>
      <c r="B53" s="2"/>
      <c r="C53" s="2">
        <v>0.1803921568627451</v>
      </c>
      <c r="D53" s="2">
        <v>0.14901960784313725</v>
      </c>
      <c r="E53" s="2">
        <v>0.14509803921568626</v>
      </c>
      <c r="F53" s="2">
        <v>0.15294117647058825</v>
      </c>
      <c r="G53" s="2">
        <v>0.15686274509803921</v>
      </c>
      <c r="H53" s="2">
        <v>0.17254901960784313</v>
      </c>
      <c r="I53" s="2">
        <v>0.15294117647058825</v>
      </c>
      <c r="J53" s="2">
        <v>0.15686274509803921</v>
      </c>
      <c r="K53" s="2">
        <v>0.14117647058823529</v>
      </c>
      <c r="L53" s="2">
        <v>0.15294117647058825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</row>
    <row r="54" spans="1:33">
      <c r="A54" s="5">
        <f>A53+Calculations!$B$4</f>
        <v>52</v>
      </c>
      <c r="B54" s="2"/>
      <c r="C54" s="2">
        <v>0.17254901960784313</v>
      </c>
      <c r="D54" s="2">
        <v>0.14117647058823529</v>
      </c>
      <c r="E54" s="2">
        <v>0.13725490196078433</v>
      </c>
      <c r="F54" s="2">
        <v>0.14509803921568626</v>
      </c>
      <c r="G54" s="2">
        <v>0.14901960784313725</v>
      </c>
      <c r="H54" s="2">
        <v>0.16470588235294117</v>
      </c>
      <c r="I54" s="2">
        <v>0.14901960784313725</v>
      </c>
      <c r="J54" s="2">
        <v>0.14901960784313725</v>
      </c>
      <c r="K54" s="2">
        <v>0.13333333333333333</v>
      </c>
      <c r="L54" s="2">
        <v>0.14901960784313725</v>
      </c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</row>
    <row r="55" spans="1:33">
      <c r="A55" s="5">
        <f>A54+Calculations!$B$4</f>
        <v>53</v>
      </c>
      <c r="B55" s="2"/>
      <c r="C55" s="2">
        <v>0.16470588235294117</v>
      </c>
      <c r="D55" s="2">
        <v>0.13725490196078433</v>
      </c>
      <c r="E55" s="2">
        <v>0.13333333333333333</v>
      </c>
      <c r="F55" s="2">
        <v>0.14117647058823529</v>
      </c>
      <c r="G55" s="2">
        <v>0.14509803921568626</v>
      </c>
      <c r="H55" s="2">
        <v>0.15686274509803921</v>
      </c>
      <c r="I55" s="2">
        <v>0.14509803921568626</v>
      </c>
      <c r="J55" s="2">
        <v>0.14901960784313725</v>
      </c>
      <c r="K55" s="2">
        <v>0.12941176470588234</v>
      </c>
      <c r="L55" s="2">
        <v>0.14117647058823529</v>
      </c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</row>
    <row r="56" spans="1:33">
      <c r="A56" s="5">
        <f>A55+Calculations!$B$4</f>
        <v>54</v>
      </c>
      <c r="B56" s="2"/>
      <c r="C56" s="2">
        <v>0.16078431372549018</v>
      </c>
      <c r="D56" s="2">
        <v>0.13333333333333333</v>
      </c>
      <c r="E56" s="2">
        <v>0.12549019607843137</v>
      </c>
      <c r="F56" s="2">
        <v>0.13725490196078433</v>
      </c>
      <c r="G56" s="2">
        <v>0.13725490196078433</v>
      </c>
      <c r="H56" s="2">
        <v>0.15294117647058825</v>
      </c>
      <c r="I56" s="2">
        <v>0.13725490196078433</v>
      </c>
      <c r="J56" s="2">
        <v>0.14117647058823529</v>
      </c>
      <c r="K56" s="2">
        <v>0.12549019607843137</v>
      </c>
      <c r="L56" s="2">
        <v>0.13725490196078433</v>
      </c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</row>
    <row r="57" spans="1:33">
      <c r="A57" s="5">
        <f>A56+Calculations!$B$4</f>
        <v>55</v>
      </c>
      <c r="B57" s="2"/>
      <c r="C57" s="2">
        <v>0.14901960784313725</v>
      </c>
      <c r="D57" s="2">
        <v>0.12549019607843137</v>
      </c>
      <c r="E57" s="2">
        <v>0.12156862745098039</v>
      </c>
      <c r="F57" s="2">
        <v>0.12941176470588234</v>
      </c>
      <c r="G57" s="2">
        <v>0.13333333333333333</v>
      </c>
      <c r="H57" s="2">
        <v>0.14509803921568626</v>
      </c>
      <c r="I57" s="2">
        <v>0.13333333333333333</v>
      </c>
      <c r="J57" s="2">
        <v>0.13333333333333333</v>
      </c>
      <c r="K57" s="2">
        <v>0.11764705882352941</v>
      </c>
      <c r="L57" s="2">
        <v>0.13333333333333333</v>
      </c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</row>
    <row r="58" spans="1:33">
      <c r="A58" s="5">
        <f>A57+Calculations!$B$4</f>
        <v>56</v>
      </c>
      <c r="B58" s="2"/>
      <c r="C58" s="2">
        <v>0.14901960784313725</v>
      </c>
      <c r="D58" s="2">
        <v>0.12156862745098039</v>
      </c>
      <c r="E58" s="2">
        <v>0.11764705882352941</v>
      </c>
      <c r="F58" s="2">
        <v>0.12549019607843137</v>
      </c>
      <c r="G58" s="2">
        <v>0.12941176470588234</v>
      </c>
      <c r="H58" s="2">
        <v>0.14117647058823529</v>
      </c>
      <c r="I58" s="2">
        <v>0.12941176470588234</v>
      </c>
      <c r="J58" s="2">
        <v>0.12549019607843137</v>
      </c>
      <c r="K58" s="2">
        <v>0.11372549019607843</v>
      </c>
      <c r="L58" s="2">
        <v>0.12549019607843137</v>
      </c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</row>
    <row r="59" spans="1:33">
      <c r="A59" s="5">
        <f>A58+Calculations!$B$4</f>
        <v>57</v>
      </c>
      <c r="B59" s="2"/>
      <c r="C59" s="2">
        <v>0.14509803921568626</v>
      </c>
      <c r="D59" s="2">
        <v>0.11372549019607843</v>
      </c>
      <c r="E59" s="2">
        <v>0.10980392156862745</v>
      </c>
      <c r="F59" s="2">
        <v>0.12156862745098039</v>
      </c>
      <c r="G59" s="2">
        <v>0.12549019607843137</v>
      </c>
      <c r="H59" s="2">
        <v>0.13725490196078433</v>
      </c>
      <c r="I59" s="2">
        <v>0.12549019607843137</v>
      </c>
      <c r="J59" s="2">
        <v>0.12549019607843137</v>
      </c>
      <c r="K59" s="2">
        <v>0.10980392156862745</v>
      </c>
      <c r="L59" s="2">
        <v>0.12156862745098039</v>
      </c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</row>
    <row r="60" spans="1:33">
      <c r="A60" s="5">
        <f>A59+Calculations!$B$4</f>
        <v>58</v>
      </c>
      <c r="B60" s="2"/>
      <c r="C60" s="2">
        <v>0.13725490196078433</v>
      </c>
      <c r="D60" s="2">
        <v>0.11372549019607843</v>
      </c>
      <c r="E60" s="2">
        <v>0.10980392156862745</v>
      </c>
      <c r="F60" s="2">
        <v>0.11764705882352941</v>
      </c>
      <c r="G60" s="2">
        <v>0.11764705882352941</v>
      </c>
      <c r="H60" s="2">
        <v>0.13333333333333333</v>
      </c>
      <c r="I60" s="2">
        <v>0.12156862745098039</v>
      </c>
      <c r="J60" s="2">
        <v>0.11764705882352941</v>
      </c>
      <c r="K60" s="2">
        <v>0.10588235294117647</v>
      </c>
      <c r="L60" s="2">
        <v>0.11764705882352941</v>
      </c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</row>
    <row r="61" spans="1:33">
      <c r="A61" s="5">
        <f>A60+Calculations!$B$4</f>
        <v>59</v>
      </c>
      <c r="B61" s="2"/>
      <c r="C61" s="2">
        <v>0.12941176470588234</v>
      </c>
      <c r="D61" s="2">
        <v>0.10980392156862745</v>
      </c>
      <c r="E61" s="2">
        <v>0.10196078431372549</v>
      </c>
      <c r="F61" s="2">
        <v>0.11372549019607843</v>
      </c>
      <c r="G61" s="2">
        <v>0.11764705882352941</v>
      </c>
      <c r="H61" s="2">
        <v>0.12941176470588234</v>
      </c>
      <c r="I61" s="2">
        <v>0.11764705882352941</v>
      </c>
      <c r="J61" s="2">
        <v>0.11764705882352941</v>
      </c>
      <c r="K61" s="2">
        <v>0.10588235294117647</v>
      </c>
      <c r="L61" s="2">
        <v>0.11372549019607843</v>
      </c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</row>
    <row r="62" spans="1:33">
      <c r="A62" s="5">
        <f>A61+Calculations!$B$4</f>
        <v>60</v>
      </c>
      <c r="B62" s="2"/>
      <c r="C62" s="2">
        <v>0.12549019607843137</v>
      </c>
      <c r="D62" s="2">
        <v>0.10980392156862745</v>
      </c>
      <c r="E62" s="2">
        <v>9.8039215686274508E-2</v>
      </c>
      <c r="F62" s="2">
        <v>0.10980392156862745</v>
      </c>
      <c r="G62" s="2">
        <v>0.11372549019607843</v>
      </c>
      <c r="H62" s="2">
        <v>0.12549019607843137</v>
      </c>
      <c r="I62" s="2">
        <v>0.11372549019607843</v>
      </c>
      <c r="J62" s="2">
        <v>0.10980392156862745</v>
      </c>
      <c r="K62" s="2">
        <v>0.10196078431372549</v>
      </c>
      <c r="L62" s="2">
        <v>0.10980392156862745</v>
      </c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</row>
    <row r="63" spans="1:33">
      <c r="A63" s="5">
        <f>A62+Calculations!$B$4</f>
        <v>61</v>
      </c>
      <c r="B63" s="2"/>
      <c r="C63" s="2">
        <v>0.11764705882352941</v>
      </c>
      <c r="D63" s="2">
        <v>0.10196078431372549</v>
      </c>
      <c r="E63" s="2">
        <v>9.8039215686274508E-2</v>
      </c>
      <c r="F63" s="2">
        <v>0.10588235294117647</v>
      </c>
      <c r="G63" s="2">
        <v>0.10980392156862745</v>
      </c>
      <c r="H63" s="2">
        <v>0.12156862745098039</v>
      </c>
      <c r="I63" s="2">
        <v>0.10980392156862745</v>
      </c>
      <c r="J63" s="2">
        <v>0.10980392156862745</v>
      </c>
      <c r="K63" s="2">
        <v>9.8039215686274508E-2</v>
      </c>
      <c r="L63" s="2">
        <v>0.10980392156862745</v>
      </c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</row>
    <row r="64" spans="1:33">
      <c r="A64" s="5">
        <f>A63+Calculations!$B$4</f>
        <v>62</v>
      </c>
      <c r="B64" s="2"/>
      <c r="C64" s="2">
        <v>0.11764705882352941</v>
      </c>
      <c r="D64" s="2">
        <v>9.8039215686274508E-2</v>
      </c>
      <c r="E64" s="2">
        <v>9.4117647058823528E-2</v>
      </c>
      <c r="F64" s="2">
        <v>0.10588235294117647</v>
      </c>
      <c r="G64" s="2">
        <v>0.10588235294117647</v>
      </c>
      <c r="H64" s="2">
        <v>0.11764705882352941</v>
      </c>
      <c r="I64" s="2">
        <v>0.10588235294117647</v>
      </c>
      <c r="J64" s="2">
        <v>0.10588235294117647</v>
      </c>
      <c r="K64" s="2">
        <v>9.4117647058823528E-2</v>
      </c>
      <c r="L64" s="2">
        <v>0.10588235294117647</v>
      </c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</row>
    <row r="65" spans="1:33">
      <c r="A65" s="5">
        <f>A64+Calculations!$B$4</f>
        <v>63</v>
      </c>
      <c r="B65" s="2"/>
      <c r="C65" s="2">
        <v>0.11372549019607843</v>
      </c>
      <c r="D65" s="2">
        <v>9.4117647058823528E-2</v>
      </c>
      <c r="E65" s="2">
        <v>9.0196078431372548E-2</v>
      </c>
      <c r="F65" s="2">
        <v>0.10196078431372549</v>
      </c>
      <c r="G65" s="2">
        <v>0.10196078431372549</v>
      </c>
      <c r="H65" s="2">
        <v>0.11372549019607843</v>
      </c>
      <c r="I65" s="2">
        <v>0.10196078431372549</v>
      </c>
      <c r="J65" s="2">
        <v>0.10196078431372549</v>
      </c>
      <c r="K65" s="2">
        <v>9.4117647058823528E-2</v>
      </c>
      <c r="L65" s="2">
        <v>0.10196078431372549</v>
      </c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</row>
    <row r="66" spans="1:33">
      <c r="A66" s="5">
        <f>A65+Calculations!$B$4</f>
        <v>64</v>
      </c>
      <c r="B66" s="2"/>
      <c r="C66" s="2">
        <v>0.10980392156862745</v>
      </c>
      <c r="D66" s="2">
        <v>9.0196078431372548E-2</v>
      </c>
      <c r="E66" s="2">
        <v>9.0196078431372548E-2</v>
      </c>
      <c r="F66" s="2">
        <v>9.8039215686274508E-2</v>
      </c>
      <c r="G66" s="2">
        <v>0.10196078431372549</v>
      </c>
      <c r="H66" s="2">
        <v>0.10980392156862745</v>
      </c>
      <c r="I66" s="2">
        <v>0.10196078431372549</v>
      </c>
      <c r="J66" s="2">
        <v>9.8039215686274508E-2</v>
      </c>
      <c r="K66" s="2">
        <v>9.0196078431372548E-2</v>
      </c>
      <c r="L66" s="2">
        <v>9.8039215686274508E-2</v>
      </c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</row>
    <row r="67" spans="1:33">
      <c r="A67" s="5">
        <f>A66+Calculations!$B$4</f>
        <v>65</v>
      </c>
      <c r="B67" s="2"/>
      <c r="C67" s="2">
        <v>0.10588235294117647</v>
      </c>
      <c r="D67" s="2">
        <v>8.6274509803921567E-2</v>
      </c>
      <c r="E67" s="2">
        <v>8.6274509803921567E-2</v>
      </c>
      <c r="F67" s="2">
        <v>9.4117647058823528E-2</v>
      </c>
      <c r="G67" s="2">
        <v>9.8039215686274508E-2</v>
      </c>
      <c r="H67" s="2">
        <v>0.10980392156862745</v>
      </c>
      <c r="I67" s="2">
        <v>9.8039215686274508E-2</v>
      </c>
      <c r="J67" s="2">
        <v>9.8039215686274508E-2</v>
      </c>
      <c r="K67" s="2">
        <v>8.6274509803921567E-2</v>
      </c>
      <c r="L67" s="2">
        <v>9.8039215686274508E-2</v>
      </c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</row>
    <row r="68" spans="1:33">
      <c r="A68" s="5">
        <f>A67+Calculations!$B$4</f>
        <v>66</v>
      </c>
      <c r="B68" s="2"/>
      <c r="C68" s="2">
        <v>0.10196078431372549</v>
      </c>
      <c r="D68" s="2">
        <v>8.6274509803921567E-2</v>
      </c>
      <c r="E68" s="2">
        <v>8.2352941176470587E-2</v>
      </c>
      <c r="F68" s="2">
        <v>9.4117647058823528E-2</v>
      </c>
      <c r="G68" s="2">
        <v>9.4117647058823528E-2</v>
      </c>
      <c r="H68" s="2">
        <v>0.10588235294117647</v>
      </c>
      <c r="I68" s="2">
        <v>9.4117647058823528E-2</v>
      </c>
      <c r="J68" s="2">
        <v>9.4117647058823528E-2</v>
      </c>
      <c r="K68" s="2">
        <v>8.6274509803921567E-2</v>
      </c>
      <c r="L68" s="2">
        <v>9.4117647058823528E-2</v>
      </c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</row>
    <row r="69" spans="1:33">
      <c r="A69" s="5">
        <f>A68+Calculations!$B$4</f>
        <v>67</v>
      </c>
      <c r="B69" s="2"/>
      <c r="C69" s="2">
        <v>0.10196078431372549</v>
      </c>
      <c r="D69" s="2">
        <v>8.2352941176470587E-2</v>
      </c>
      <c r="E69" s="2">
        <v>8.2352941176470587E-2</v>
      </c>
      <c r="F69" s="2">
        <v>9.0196078431372548E-2</v>
      </c>
      <c r="G69" s="2">
        <v>9.0196078431372548E-2</v>
      </c>
      <c r="H69" s="2">
        <v>0.10196078431372549</v>
      </c>
      <c r="I69" s="2">
        <v>9.0196078431372548E-2</v>
      </c>
      <c r="J69" s="2">
        <v>9.0196078431372548E-2</v>
      </c>
      <c r="K69" s="2">
        <v>8.2352941176470587E-2</v>
      </c>
      <c r="L69" s="2">
        <v>9.0196078431372548E-2</v>
      </c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</row>
    <row r="70" spans="1:33">
      <c r="A70" s="5">
        <f>A69+Calculations!$B$4</f>
        <v>68</v>
      </c>
      <c r="B70" s="2"/>
      <c r="C70" s="2">
        <v>9.8039215686274508E-2</v>
      </c>
      <c r="D70" s="2">
        <v>8.2352941176470587E-2</v>
      </c>
      <c r="E70" s="2">
        <v>7.8431372549019607E-2</v>
      </c>
      <c r="F70" s="2">
        <v>8.6274509803921567E-2</v>
      </c>
      <c r="G70" s="2">
        <v>9.0196078431372548E-2</v>
      </c>
      <c r="H70" s="2">
        <v>9.8039215686274508E-2</v>
      </c>
      <c r="I70" s="2">
        <v>9.0196078431372548E-2</v>
      </c>
      <c r="J70" s="2">
        <v>8.6274509803921567E-2</v>
      </c>
      <c r="K70" s="2">
        <v>7.8431372549019607E-2</v>
      </c>
      <c r="L70" s="2">
        <v>8.6274509803921567E-2</v>
      </c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</row>
    <row r="71" spans="1:33">
      <c r="A71" s="5">
        <f>A70+Calculations!$B$4</f>
        <v>69</v>
      </c>
      <c r="B71" s="2"/>
      <c r="C71" s="2">
        <v>9.4117647058823528E-2</v>
      </c>
      <c r="D71" s="2">
        <v>8.2352941176470587E-2</v>
      </c>
      <c r="E71" s="2">
        <v>7.8431372549019607E-2</v>
      </c>
      <c r="F71" s="2">
        <v>8.6274509803921567E-2</v>
      </c>
      <c r="G71" s="2">
        <v>8.6274509803921567E-2</v>
      </c>
      <c r="H71" s="2">
        <v>9.8039215686274508E-2</v>
      </c>
      <c r="I71" s="2">
        <v>8.6274509803921567E-2</v>
      </c>
      <c r="J71" s="2">
        <v>8.2352941176470587E-2</v>
      </c>
      <c r="K71" s="2">
        <v>7.8431372549019607E-2</v>
      </c>
      <c r="L71" s="2">
        <v>8.6274509803921567E-2</v>
      </c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</row>
    <row r="72" spans="1:33">
      <c r="A72" s="5">
        <f>A71+Calculations!$B$4</f>
        <v>70</v>
      </c>
      <c r="B72" s="2"/>
      <c r="C72" s="2">
        <v>9.0196078431372548E-2</v>
      </c>
      <c r="D72" s="2">
        <v>7.8431372549019607E-2</v>
      </c>
      <c r="E72" s="2">
        <v>7.4509803921568626E-2</v>
      </c>
      <c r="F72" s="2">
        <v>8.2352941176470587E-2</v>
      </c>
      <c r="G72" s="2">
        <v>8.6274509803921567E-2</v>
      </c>
      <c r="H72" s="2">
        <v>9.4117647058823528E-2</v>
      </c>
      <c r="I72" s="2">
        <v>9.0196078431372548E-2</v>
      </c>
      <c r="J72" s="2">
        <v>8.2352941176470587E-2</v>
      </c>
      <c r="K72" s="2">
        <v>7.4509803921568626E-2</v>
      </c>
      <c r="L72" s="2">
        <v>8.2352941176470587E-2</v>
      </c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</row>
    <row r="73" spans="1:33">
      <c r="A73" s="5">
        <f>A72+Calculations!$B$4</f>
        <v>71</v>
      </c>
      <c r="B73" s="2"/>
      <c r="C73" s="2">
        <v>8.6274509803921567E-2</v>
      </c>
      <c r="D73" s="2">
        <v>7.4509803921568626E-2</v>
      </c>
      <c r="E73" s="2">
        <v>7.0588235294117646E-2</v>
      </c>
      <c r="F73" s="2">
        <v>7.8431372549019607E-2</v>
      </c>
      <c r="G73" s="2">
        <v>8.2352941176470587E-2</v>
      </c>
      <c r="H73" s="2">
        <v>9.0196078431372548E-2</v>
      </c>
      <c r="I73" s="2">
        <v>8.2352941176470587E-2</v>
      </c>
      <c r="J73" s="2">
        <v>7.8431372549019607E-2</v>
      </c>
      <c r="K73" s="2">
        <v>7.4509803921568626E-2</v>
      </c>
      <c r="L73" s="2">
        <v>8.2352941176470587E-2</v>
      </c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</row>
    <row r="74" spans="1:33">
      <c r="A74" s="5">
        <f>A73+Calculations!$B$4</f>
        <v>72</v>
      </c>
      <c r="B74" s="2"/>
      <c r="C74" s="2">
        <v>8.6274509803921567E-2</v>
      </c>
      <c r="D74" s="2">
        <v>7.4509803921568626E-2</v>
      </c>
      <c r="E74" s="2">
        <v>7.0588235294117646E-2</v>
      </c>
      <c r="F74" s="2">
        <v>7.8431372549019607E-2</v>
      </c>
      <c r="G74" s="2">
        <v>7.8431372549019607E-2</v>
      </c>
      <c r="H74" s="2">
        <v>8.6274509803921567E-2</v>
      </c>
      <c r="I74" s="2">
        <v>7.8431372549019607E-2</v>
      </c>
      <c r="J74" s="2">
        <v>7.8431372549019607E-2</v>
      </c>
      <c r="K74" s="2">
        <v>7.0588235294117646E-2</v>
      </c>
      <c r="L74" s="2">
        <v>7.8431372549019607E-2</v>
      </c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</row>
    <row r="75" spans="1:33">
      <c r="A75" s="5">
        <f>A74+Calculations!$B$4</f>
        <v>73</v>
      </c>
      <c r="B75" s="2"/>
      <c r="C75" s="2">
        <v>8.2352941176470587E-2</v>
      </c>
      <c r="D75" s="2">
        <v>7.0588235294117646E-2</v>
      </c>
      <c r="E75" s="2">
        <v>6.6666666666666666E-2</v>
      </c>
      <c r="F75" s="2">
        <v>7.4509803921568626E-2</v>
      </c>
      <c r="G75" s="2">
        <v>7.8431372549019607E-2</v>
      </c>
      <c r="H75" s="2">
        <v>8.6274509803921567E-2</v>
      </c>
      <c r="I75" s="2">
        <v>7.8431372549019607E-2</v>
      </c>
      <c r="J75" s="2">
        <v>7.4509803921568626E-2</v>
      </c>
      <c r="K75" s="2">
        <v>6.6666666666666666E-2</v>
      </c>
      <c r="L75" s="2">
        <v>7.8431372549019607E-2</v>
      </c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</row>
    <row r="76" spans="1:33">
      <c r="A76" s="5">
        <f>A75+Calculations!$B$4</f>
        <v>74</v>
      </c>
      <c r="B76" s="2"/>
      <c r="C76" s="2">
        <v>8.2352941176470587E-2</v>
      </c>
      <c r="D76" s="2">
        <v>6.6666666666666666E-2</v>
      </c>
      <c r="E76" s="2">
        <v>6.6666666666666666E-2</v>
      </c>
      <c r="F76" s="2">
        <v>7.4509803921568626E-2</v>
      </c>
      <c r="G76" s="2">
        <v>7.4509803921568626E-2</v>
      </c>
      <c r="H76" s="2">
        <v>8.2352941176470587E-2</v>
      </c>
      <c r="I76" s="2">
        <v>7.4509803921568626E-2</v>
      </c>
      <c r="J76" s="2">
        <v>7.4509803921568626E-2</v>
      </c>
      <c r="K76" s="2">
        <v>6.6666666666666666E-2</v>
      </c>
      <c r="L76" s="2">
        <v>7.4509803921568626E-2</v>
      </c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</row>
    <row r="77" spans="1:33">
      <c r="A77" s="5">
        <f>A76+Calculations!$B$4</f>
        <v>75</v>
      </c>
      <c r="B77" s="2"/>
      <c r="C77" s="2">
        <v>7.8431372549019607E-2</v>
      </c>
      <c r="D77" s="2">
        <v>6.6666666666666666E-2</v>
      </c>
      <c r="E77" s="2">
        <v>6.2745098039215685E-2</v>
      </c>
      <c r="F77" s="2">
        <v>7.0588235294117646E-2</v>
      </c>
      <c r="G77" s="2">
        <v>7.4509803921568626E-2</v>
      </c>
      <c r="H77" s="2">
        <v>8.2352941176470587E-2</v>
      </c>
      <c r="I77" s="2">
        <v>7.4509803921568626E-2</v>
      </c>
      <c r="J77" s="2">
        <v>7.0588235294117646E-2</v>
      </c>
      <c r="K77" s="2">
        <v>6.6666666666666666E-2</v>
      </c>
      <c r="L77" s="2">
        <v>7.0588235294117646E-2</v>
      </c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</row>
    <row r="78" spans="1:33">
      <c r="A78" s="5">
        <f>A77+Calculations!$B$4</f>
        <v>76</v>
      </c>
      <c r="B78" s="2"/>
      <c r="C78" s="2">
        <v>7.8431372549019607E-2</v>
      </c>
      <c r="D78" s="2">
        <v>6.6666666666666666E-2</v>
      </c>
      <c r="E78" s="2">
        <v>6.2745098039215685E-2</v>
      </c>
      <c r="F78" s="2">
        <v>7.0588235294117646E-2</v>
      </c>
      <c r="G78" s="2">
        <v>7.0588235294117646E-2</v>
      </c>
      <c r="H78" s="2">
        <v>8.6274509803921567E-2</v>
      </c>
      <c r="I78" s="2">
        <v>7.0588235294117646E-2</v>
      </c>
      <c r="J78" s="2">
        <v>7.0588235294117646E-2</v>
      </c>
      <c r="K78" s="2">
        <v>6.2745098039215685E-2</v>
      </c>
      <c r="L78" s="2">
        <v>7.0588235294117646E-2</v>
      </c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</row>
    <row r="79" spans="1:33">
      <c r="A79" s="5">
        <f>A78+Calculations!$B$4</f>
        <v>77</v>
      </c>
      <c r="B79" s="2"/>
      <c r="C79" s="2">
        <v>7.4509803921568626E-2</v>
      </c>
      <c r="D79" s="2">
        <v>5.8823529411764705E-2</v>
      </c>
      <c r="E79" s="2">
        <v>5.8823529411764705E-2</v>
      </c>
      <c r="F79" s="2">
        <v>6.6666666666666666E-2</v>
      </c>
      <c r="G79" s="2">
        <v>7.0588235294117646E-2</v>
      </c>
      <c r="H79" s="2">
        <v>7.8431372549019607E-2</v>
      </c>
      <c r="I79" s="2">
        <v>7.0588235294117646E-2</v>
      </c>
      <c r="J79" s="2">
        <v>6.6666666666666666E-2</v>
      </c>
      <c r="K79" s="2">
        <v>6.2745098039215685E-2</v>
      </c>
      <c r="L79" s="2">
        <v>7.0588235294117646E-2</v>
      </c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</row>
    <row r="80" spans="1:33">
      <c r="A80" s="5">
        <f>A79+Calculations!$B$4</f>
        <v>78</v>
      </c>
      <c r="B80" s="2"/>
      <c r="C80" s="2">
        <v>7.0588235294117646E-2</v>
      </c>
      <c r="D80" s="2">
        <v>5.8823529411764705E-2</v>
      </c>
      <c r="E80" s="2">
        <v>5.8823529411764705E-2</v>
      </c>
      <c r="F80" s="2">
        <v>6.6666666666666666E-2</v>
      </c>
      <c r="G80" s="2">
        <v>6.6666666666666666E-2</v>
      </c>
      <c r="H80" s="2">
        <v>7.4509803921568626E-2</v>
      </c>
      <c r="I80" s="2">
        <v>6.6666666666666666E-2</v>
      </c>
      <c r="J80" s="2">
        <v>6.6666666666666666E-2</v>
      </c>
      <c r="K80" s="2">
        <v>5.8823529411764705E-2</v>
      </c>
      <c r="L80" s="2">
        <v>6.6666666666666666E-2</v>
      </c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</row>
    <row r="81" spans="1:33">
      <c r="A81" s="5">
        <f>A80+Calculations!$B$4</f>
        <v>79</v>
      </c>
      <c r="B81" s="2"/>
      <c r="C81" s="2">
        <v>7.0588235294117646E-2</v>
      </c>
      <c r="D81" s="2">
        <v>5.8823529411764705E-2</v>
      </c>
      <c r="E81" s="2">
        <v>5.4901960784313725E-2</v>
      </c>
      <c r="F81" s="2">
        <v>6.6666666666666666E-2</v>
      </c>
      <c r="G81" s="2">
        <v>6.6666666666666666E-2</v>
      </c>
      <c r="H81" s="2">
        <v>7.4509803921568626E-2</v>
      </c>
      <c r="I81" s="2">
        <v>6.6666666666666666E-2</v>
      </c>
      <c r="J81" s="2">
        <v>6.6666666666666666E-2</v>
      </c>
      <c r="K81" s="2">
        <v>5.8823529411764705E-2</v>
      </c>
      <c r="L81" s="2">
        <v>6.6666666666666666E-2</v>
      </c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</row>
    <row r="82" spans="1:33">
      <c r="A82" s="5">
        <f>A81+Calculations!$B$4</f>
        <v>80</v>
      </c>
      <c r="B82" s="2"/>
      <c r="C82" s="2">
        <v>6.6666666666666666E-2</v>
      </c>
      <c r="D82" s="2">
        <v>5.8823529411764705E-2</v>
      </c>
      <c r="E82" s="2">
        <v>5.4901960784313725E-2</v>
      </c>
      <c r="F82" s="2">
        <v>6.2745098039215685E-2</v>
      </c>
      <c r="G82" s="2">
        <v>6.2745098039215685E-2</v>
      </c>
      <c r="H82" s="2">
        <v>7.0588235294117646E-2</v>
      </c>
      <c r="I82" s="2">
        <v>6.6666666666666666E-2</v>
      </c>
      <c r="J82" s="2">
        <v>6.2745098039215685E-2</v>
      </c>
      <c r="K82" s="2">
        <v>5.4901960784313725E-2</v>
      </c>
      <c r="L82" s="2">
        <v>6.2745098039215685E-2</v>
      </c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</row>
    <row r="83" spans="1:33">
      <c r="A83" s="5">
        <f>A82+Calculations!$B$4</f>
        <v>81</v>
      </c>
      <c r="B83" s="24"/>
      <c r="C83" s="2">
        <v>6.6666666666666666E-2</v>
      </c>
      <c r="D83" s="2">
        <v>5.4901960784313725E-2</v>
      </c>
      <c r="E83" s="2">
        <v>5.4901960784313725E-2</v>
      </c>
      <c r="F83" s="2">
        <v>6.2745098039215685E-2</v>
      </c>
      <c r="G83" s="2">
        <v>6.2745098039215685E-2</v>
      </c>
      <c r="H83" s="2">
        <v>7.0588235294117646E-2</v>
      </c>
      <c r="I83" s="2">
        <v>6.2745098039215685E-2</v>
      </c>
      <c r="J83" s="2">
        <v>6.2745098039215685E-2</v>
      </c>
      <c r="K83" s="2">
        <v>5.4901960784313725E-2</v>
      </c>
      <c r="L83">
        <v>6.6666666666666666E-2</v>
      </c>
    </row>
    <row r="84" spans="1:33">
      <c r="A84" s="5">
        <f>A83+Calculations!$B$4</f>
        <v>82</v>
      </c>
      <c r="B84" s="34"/>
      <c r="C84" s="48">
        <v>6.2745098039215685E-2</v>
      </c>
      <c r="D84" s="48">
        <v>5.4901960784313725E-2</v>
      </c>
      <c r="E84" s="48">
        <v>5.0980392156862744E-2</v>
      </c>
      <c r="F84" s="48">
        <v>5.8823529411764705E-2</v>
      </c>
      <c r="G84" s="48">
        <v>5.8823529411764705E-2</v>
      </c>
      <c r="H84" s="48">
        <v>6.6666666666666666E-2</v>
      </c>
      <c r="I84" s="48">
        <v>6.2745098039215685E-2</v>
      </c>
      <c r="J84" s="48">
        <v>5.8823529411764705E-2</v>
      </c>
      <c r="K84" s="48">
        <v>5.4901960784313725E-2</v>
      </c>
      <c r="L84" s="48">
        <v>6.2745098039215685E-2</v>
      </c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</row>
    <row r="85" spans="1:33">
      <c r="A85" s="5">
        <f>A84+Calculations!$B$4</f>
        <v>83</v>
      </c>
      <c r="B85" s="2"/>
      <c r="C85" s="2">
        <v>6.2745098039215685E-2</v>
      </c>
      <c r="D85" s="2">
        <v>5.4901960784313725E-2</v>
      </c>
      <c r="E85" s="2">
        <v>5.0980392156862744E-2</v>
      </c>
      <c r="F85" s="2">
        <v>5.4901960784313725E-2</v>
      </c>
      <c r="G85" s="2">
        <v>5.8823529411764705E-2</v>
      </c>
      <c r="H85" s="2">
        <v>6.6666666666666666E-2</v>
      </c>
      <c r="I85" s="2">
        <v>5.8823529411764705E-2</v>
      </c>
      <c r="J85" s="2">
        <v>5.8823529411764705E-2</v>
      </c>
      <c r="K85" s="2">
        <v>5.0980392156862744E-2</v>
      </c>
      <c r="L85">
        <v>5.4901960784313725E-2</v>
      </c>
    </row>
    <row r="86" spans="1:33">
      <c r="A86" s="5">
        <f>A85+Calculations!$B$4</f>
        <v>84</v>
      </c>
      <c r="B86" s="2"/>
      <c r="C86" s="2">
        <v>5.8823529411764705E-2</v>
      </c>
      <c r="D86" s="2">
        <v>5.0980392156862744E-2</v>
      </c>
      <c r="E86" s="2">
        <v>5.0980392156862744E-2</v>
      </c>
      <c r="F86" s="2">
        <v>5.0980392156862744E-2</v>
      </c>
      <c r="G86" s="2">
        <v>5.8823529411764705E-2</v>
      </c>
      <c r="H86" s="2">
        <v>6.2745098039215685E-2</v>
      </c>
      <c r="I86" s="2">
        <v>5.8823529411764705E-2</v>
      </c>
      <c r="J86" s="2">
        <v>5.4901960784313725E-2</v>
      </c>
      <c r="K86" s="2">
        <v>5.0980392156862744E-2</v>
      </c>
      <c r="L86">
        <v>5.8823529411764705E-2</v>
      </c>
    </row>
    <row r="87" spans="1:33">
      <c r="A87" s="5">
        <f>A86+Calculations!$B$4</f>
        <v>85</v>
      </c>
      <c r="B87" s="2"/>
      <c r="C87" s="2">
        <v>5.8823529411764705E-2</v>
      </c>
      <c r="D87" s="2">
        <v>5.0980392156862744E-2</v>
      </c>
      <c r="E87" s="2">
        <v>4.7058823529411764E-2</v>
      </c>
      <c r="F87" s="2">
        <v>5.4901960784313725E-2</v>
      </c>
      <c r="G87" s="2">
        <v>5.4901960784313725E-2</v>
      </c>
      <c r="H87" s="2">
        <v>6.2745098039215685E-2</v>
      </c>
      <c r="I87" s="2">
        <v>5.8823529411764705E-2</v>
      </c>
      <c r="J87" s="2">
        <v>5.4901960784313725E-2</v>
      </c>
      <c r="K87" s="2">
        <v>5.0980392156862744E-2</v>
      </c>
      <c r="L87">
        <v>5.8823529411764705E-2</v>
      </c>
    </row>
    <row r="88" spans="1:33">
      <c r="A88" s="5">
        <f>A87+Calculations!$B$4</f>
        <v>86</v>
      </c>
      <c r="B88" s="2"/>
      <c r="C88" s="2">
        <v>5.4901960784313725E-2</v>
      </c>
      <c r="D88" s="2">
        <v>5.0980392156862744E-2</v>
      </c>
      <c r="E88" s="2">
        <v>4.7058823529411764E-2</v>
      </c>
      <c r="F88" s="2">
        <v>5.0980392156862744E-2</v>
      </c>
      <c r="G88" s="2">
        <v>5.4901960784313725E-2</v>
      </c>
      <c r="H88" s="2">
        <v>6.2745098039215685E-2</v>
      </c>
      <c r="I88" s="2">
        <v>5.4901960784313725E-2</v>
      </c>
      <c r="J88" s="2">
        <v>5.4901960784313725E-2</v>
      </c>
      <c r="K88" s="2">
        <v>4.3137254901960784E-2</v>
      </c>
      <c r="L88">
        <v>5.4901960784313725E-2</v>
      </c>
    </row>
    <row r="89" spans="1:33">
      <c r="A89" s="5">
        <f>A88+Calculations!$B$4</f>
        <v>87</v>
      </c>
      <c r="B89" s="2"/>
      <c r="C89" s="2">
        <v>6.2745098039215685E-2</v>
      </c>
      <c r="D89" s="2">
        <v>4.7058823529411764E-2</v>
      </c>
      <c r="E89" s="2">
        <v>4.7058823529411764E-2</v>
      </c>
      <c r="F89" s="2">
        <v>5.4901960784313725E-2</v>
      </c>
      <c r="G89" s="2">
        <v>5.4901960784313725E-2</v>
      </c>
      <c r="H89" s="2">
        <v>5.8823529411764705E-2</v>
      </c>
      <c r="I89" s="2">
        <v>5.4901960784313725E-2</v>
      </c>
      <c r="J89" s="2">
        <v>5.0980392156862744E-2</v>
      </c>
      <c r="K89" s="2">
        <v>4.7058823529411764E-2</v>
      </c>
      <c r="L89">
        <v>5.4901960784313725E-2</v>
      </c>
    </row>
    <row r="90" spans="1:33">
      <c r="A90" s="5">
        <f>A89+Calculations!$B$4</f>
        <v>88</v>
      </c>
      <c r="B90" s="2"/>
      <c r="C90" s="2">
        <v>5.0980392156862744E-2</v>
      </c>
      <c r="D90" s="2">
        <v>4.7058823529411764E-2</v>
      </c>
      <c r="E90" s="2">
        <v>4.3137254901960784E-2</v>
      </c>
      <c r="F90" s="2">
        <v>4.7058823529411764E-2</v>
      </c>
      <c r="G90" s="2">
        <v>5.0980392156862744E-2</v>
      </c>
      <c r="H90" s="2">
        <v>5.8823529411764705E-2</v>
      </c>
      <c r="I90" s="2">
        <v>5.4901960784313725E-2</v>
      </c>
      <c r="J90" s="2">
        <v>5.0980392156862744E-2</v>
      </c>
      <c r="K90" s="2">
        <v>4.7058823529411764E-2</v>
      </c>
      <c r="L90">
        <v>5.0980392156862744E-2</v>
      </c>
    </row>
    <row r="91" spans="1:33">
      <c r="A91" s="5">
        <f>A90+Calculations!$B$4</f>
        <v>89</v>
      </c>
      <c r="B91" s="2"/>
      <c r="C91" s="2">
        <v>5.0980392156862744E-2</v>
      </c>
      <c r="D91" s="2">
        <v>4.7058823529411764E-2</v>
      </c>
      <c r="E91" s="2">
        <v>4.3137254901960784E-2</v>
      </c>
      <c r="F91" s="2">
        <v>5.0980392156862744E-2</v>
      </c>
      <c r="G91" s="2">
        <v>5.0980392156862744E-2</v>
      </c>
      <c r="H91" s="2">
        <v>5.4901960784313725E-2</v>
      </c>
      <c r="I91" s="2">
        <v>5.0980392156862744E-2</v>
      </c>
      <c r="J91" s="2">
        <v>5.0980392156862744E-2</v>
      </c>
      <c r="K91" s="2">
        <v>4.3137254901960784E-2</v>
      </c>
      <c r="L91">
        <v>5.4901960784313725E-2</v>
      </c>
    </row>
    <row r="92" spans="1:33">
      <c r="A92" s="5">
        <f>A91+Calculations!$B$4</f>
        <v>90</v>
      </c>
      <c r="B92" s="2"/>
      <c r="C92" s="2">
        <v>5.0980392156862744E-2</v>
      </c>
      <c r="D92" s="2">
        <v>4.3137254901960784E-2</v>
      </c>
      <c r="E92" s="2">
        <v>4.3137254901960784E-2</v>
      </c>
      <c r="F92" s="2">
        <v>4.7058823529411764E-2</v>
      </c>
      <c r="G92" s="2">
        <v>5.0980392156862744E-2</v>
      </c>
      <c r="H92" s="2">
        <v>5.4901960784313725E-2</v>
      </c>
      <c r="I92" s="2">
        <v>5.0980392156862744E-2</v>
      </c>
      <c r="J92" s="2">
        <v>4.7058823529411764E-2</v>
      </c>
      <c r="K92" s="2">
        <v>4.3137254901960784E-2</v>
      </c>
      <c r="L92">
        <v>5.0980392156862744E-2</v>
      </c>
    </row>
    <row r="93" spans="1:33">
      <c r="A93" s="5">
        <f>A92+Calculations!$B$4</f>
        <v>91</v>
      </c>
      <c r="B93" s="2"/>
      <c r="C93" s="2">
        <v>5.0980392156862744E-2</v>
      </c>
      <c r="D93" s="2">
        <v>4.3137254901960784E-2</v>
      </c>
      <c r="E93" s="2">
        <v>3.9215686274509803E-2</v>
      </c>
      <c r="F93" s="2">
        <v>4.7058823529411764E-2</v>
      </c>
      <c r="G93" s="2">
        <v>4.7058823529411764E-2</v>
      </c>
      <c r="H93" s="2">
        <v>5.4901960784313725E-2</v>
      </c>
      <c r="I93" s="2">
        <v>5.0980392156862744E-2</v>
      </c>
      <c r="J93" s="2">
        <v>4.7058823529411764E-2</v>
      </c>
      <c r="K93" s="2">
        <v>4.3137254901960784E-2</v>
      </c>
      <c r="L93">
        <v>4.7058823529411764E-2</v>
      </c>
    </row>
    <row r="94" spans="1:33">
      <c r="A94" s="5">
        <f>A93+Calculations!$B$4</f>
        <v>92</v>
      </c>
      <c r="B94" s="2"/>
      <c r="C94" s="2">
        <v>5.0980392156862744E-2</v>
      </c>
      <c r="D94" s="2">
        <v>4.3137254901960784E-2</v>
      </c>
      <c r="E94" s="2">
        <v>3.9215686274509803E-2</v>
      </c>
      <c r="F94" s="2">
        <v>4.7058823529411764E-2</v>
      </c>
      <c r="G94" s="2">
        <v>4.3137254901960784E-2</v>
      </c>
      <c r="H94" s="2">
        <v>5.0980392156862744E-2</v>
      </c>
      <c r="I94" s="2">
        <v>4.7058823529411764E-2</v>
      </c>
      <c r="J94" s="2">
        <v>4.3137254901960784E-2</v>
      </c>
      <c r="K94" s="2">
        <v>4.3137254901960784E-2</v>
      </c>
      <c r="L94">
        <v>4.7058823529411764E-2</v>
      </c>
    </row>
    <row r="95" spans="1:33">
      <c r="A95" s="5">
        <f>A94+Calculations!$B$4</f>
        <v>93</v>
      </c>
      <c r="B95" s="2"/>
      <c r="C95" s="2">
        <v>4.7058823529411764E-2</v>
      </c>
      <c r="D95" s="2">
        <v>4.3137254901960784E-2</v>
      </c>
      <c r="E95" s="2">
        <v>3.9215686274509803E-2</v>
      </c>
      <c r="F95" s="2">
        <v>4.7058823529411764E-2</v>
      </c>
      <c r="G95" s="2">
        <v>4.7058823529411764E-2</v>
      </c>
      <c r="H95" s="2">
        <v>5.0980392156862744E-2</v>
      </c>
      <c r="I95" s="2">
        <v>4.7058823529411764E-2</v>
      </c>
      <c r="J95" s="2">
        <v>4.3137254901960784E-2</v>
      </c>
      <c r="K95" s="2">
        <v>4.3137254901960784E-2</v>
      </c>
      <c r="L95">
        <v>4.7058823529411764E-2</v>
      </c>
    </row>
    <row r="96" spans="1:33">
      <c r="A96" s="5">
        <f>A95+Calculations!$B$4</f>
        <v>94</v>
      </c>
      <c r="B96" s="2"/>
      <c r="C96" s="2">
        <v>4.7058823529411764E-2</v>
      </c>
      <c r="D96" s="2">
        <v>3.9215686274509803E-2</v>
      </c>
      <c r="E96" s="2">
        <v>3.9215686274509803E-2</v>
      </c>
      <c r="F96" s="2">
        <v>3.9215686274509803E-2</v>
      </c>
      <c r="G96" s="2">
        <v>4.7058823529411764E-2</v>
      </c>
      <c r="H96" s="2">
        <v>5.0980392156862744E-2</v>
      </c>
      <c r="I96" s="2">
        <v>4.7058823529411764E-2</v>
      </c>
      <c r="J96" s="2">
        <v>4.3137254901960784E-2</v>
      </c>
      <c r="K96" s="2">
        <v>3.9215686274509803E-2</v>
      </c>
      <c r="L96">
        <v>4.7058823529411764E-2</v>
      </c>
    </row>
    <row r="97" spans="1:12">
      <c r="A97" s="5">
        <f>A96+Calculations!$B$4</f>
        <v>95</v>
      </c>
      <c r="B97" s="2"/>
      <c r="C97" s="2">
        <v>4.3137254901960784E-2</v>
      </c>
      <c r="D97" s="2">
        <v>3.9215686274509803E-2</v>
      </c>
      <c r="E97" s="2">
        <v>3.5294117647058823E-2</v>
      </c>
      <c r="F97" s="2">
        <v>4.3137254901960784E-2</v>
      </c>
      <c r="G97" s="2">
        <v>4.3137254901960784E-2</v>
      </c>
      <c r="H97" s="2">
        <v>4.7058823529411764E-2</v>
      </c>
      <c r="I97" s="2">
        <v>4.3137254901960784E-2</v>
      </c>
      <c r="J97" s="2">
        <v>4.3137254901960784E-2</v>
      </c>
      <c r="K97" s="2">
        <v>3.9215686274509803E-2</v>
      </c>
      <c r="L97">
        <v>4.3137254901960784E-2</v>
      </c>
    </row>
    <row r="98" spans="1:12">
      <c r="A98" s="5">
        <f>A97+Calculations!$B$4</f>
        <v>96</v>
      </c>
      <c r="B98" s="2"/>
      <c r="C98" s="2">
        <v>4.3137254901960784E-2</v>
      </c>
      <c r="D98" s="2">
        <v>3.9215686274509803E-2</v>
      </c>
      <c r="E98" s="2">
        <v>3.5294117647058823E-2</v>
      </c>
      <c r="F98" s="2">
        <v>4.3137254901960784E-2</v>
      </c>
      <c r="G98" s="2">
        <v>4.3137254901960784E-2</v>
      </c>
      <c r="H98" s="2">
        <v>4.7058823529411764E-2</v>
      </c>
      <c r="I98" s="2">
        <v>4.3137254901960784E-2</v>
      </c>
      <c r="J98" s="2">
        <v>3.9215686274509803E-2</v>
      </c>
      <c r="K98" s="2">
        <v>3.9215686274509803E-2</v>
      </c>
      <c r="L98">
        <v>4.3137254901960784E-2</v>
      </c>
    </row>
    <row r="99" spans="1:12">
      <c r="A99" s="5">
        <f>A98+Calculations!$B$4</f>
        <v>97</v>
      </c>
      <c r="B99" s="2"/>
      <c r="C99" s="2">
        <v>4.3137254901960784E-2</v>
      </c>
      <c r="D99" s="2">
        <v>3.9215686274509803E-2</v>
      </c>
      <c r="E99" s="2">
        <v>3.5294117647058823E-2</v>
      </c>
      <c r="F99" s="2">
        <v>4.3137254901960784E-2</v>
      </c>
      <c r="G99" s="2">
        <v>4.3137254901960784E-2</v>
      </c>
      <c r="H99" s="2">
        <v>4.7058823529411764E-2</v>
      </c>
      <c r="I99" s="2">
        <v>4.3137254901960784E-2</v>
      </c>
      <c r="J99" s="2">
        <v>3.9215686274509803E-2</v>
      </c>
      <c r="K99" s="2">
        <v>3.5294117647058823E-2</v>
      </c>
      <c r="L99">
        <v>4.3137254901960784E-2</v>
      </c>
    </row>
    <row r="100" spans="1:12">
      <c r="A100" s="5">
        <f>A99+Calculations!$B$4</f>
        <v>98</v>
      </c>
      <c r="B100" s="2"/>
      <c r="C100" s="2">
        <v>3.9215686274509803E-2</v>
      </c>
      <c r="D100" s="2">
        <v>3.5294117647058823E-2</v>
      </c>
      <c r="E100" s="2">
        <v>3.5294117647058823E-2</v>
      </c>
      <c r="F100" s="2">
        <v>4.3137254901960784E-2</v>
      </c>
      <c r="G100" s="2">
        <v>4.3137254901960784E-2</v>
      </c>
      <c r="H100" s="2">
        <v>4.3137254901960784E-2</v>
      </c>
      <c r="I100" s="2">
        <v>4.3137254901960784E-2</v>
      </c>
      <c r="J100" s="2">
        <v>3.9215686274509803E-2</v>
      </c>
      <c r="K100" s="2">
        <v>3.5294117647058823E-2</v>
      </c>
      <c r="L100">
        <v>4.3137254901960784E-2</v>
      </c>
    </row>
    <row r="101" spans="1:12">
      <c r="A101" s="5">
        <f>A100+Calculations!$B$4</f>
        <v>99</v>
      </c>
      <c r="B101" s="2"/>
      <c r="C101" s="2">
        <v>3.9215686274509803E-2</v>
      </c>
      <c r="D101" s="2">
        <v>3.5294117647058823E-2</v>
      </c>
      <c r="E101" s="2">
        <v>3.5294117647058823E-2</v>
      </c>
      <c r="F101" s="2">
        <v>3.9215686274509803E-2</v>
      </c>
      <c r="G101" s="2">
        <v>3.9215686274509803E-2</v>
      </c>
      <c r="H101" s="2">
        <v>4.3137254901960784E-2</v>
      </c>
      <c r="I101" s="2">
        <v>4.3137254901960784E-2</v>
      </c>
      <c r="J101" s="2">
        <v>3.9215686274509803E-2</v>
      </c>
      <c r="K101" s="2">
        <v>3.5294117647058823E-2</v>
      </c>
      <c r="L101">
        <v>3.9215686274509803E-2</v>
      </c>
    </row>
    <row r="102" spans="1:12">
      <c r="A102" s="5">
        <f>A101+Calculations!$B$4</f>
        <v>100</v>
      </c>
      <c r="B102" s="2"/>
      <c r="C102" s="2">
        <v>3.9215686274509803E-2</v>
      </c>
      <c r="D102" s="2">
        <v>3.5294117647058823E-2</v>
      </c>
      <c r="E102" s="2">
        <v>3.1372549019607843E-2</v>
      </c>
      <c r="F102" s="2">
        <v>3.5294117647058823E-2</v>
      </c>
      <c r="G102" s="2">
        <v>3.9215686274509803E-2</v>
      </c>
      <c r="H102" s="2">
        <v>4.3137254901960784E-2</v>
      </c>
      <c r="I102" s="2">
        <v>3.9215686274509803E-2</v>
      </c>
      <c r="J102" s="2">
        <v>3.9215686274509803E-2</v>
      </c>
      <c r="K102" s="2">
        <v>3.5294117647058823E-2</v>
      </c>
      <c r="L102">
        <v>3.9215686274509803E-2</v>
      </c>
    </row>
    <row r="103" spans="1:12">
      <c r="A103" s="5">
        <f>A102+Calculations!$B$4</f>
        <v>101</v>
      </c>
      <c r="B103" s="2"/>
      <c r="C103" s="2">
        <v>3.9215686274509803E-2</v>
      </c>
      <c r="D103" s="2">
        <v>3.5294117647058823E-2</v>
      </c>
      <c r="E103" s="2">
        <v>3.1372549019607843E-2</v>
      </c>
      <c r="F103" s="2">
        <v>3.9215686274509803E-2</v>
      </c>
      <c r="G103" s="2">
        <v>3.1372549019607843E-2</v>
      </c>
      <c r="H103" s="2">
        <v>3.9215686274509803E-2</v>
      </c>
      <c r="I103" s="2">
        <v>3.9215686274509803E-2</v>
      </c>
      <c r="J103" s="2">
        <v>3.5294117647058823E-2</v>
      </c>
      <c r="K103" s="2">
        <v>3.5294117647058823E-2</v>
      </c>
      <c r="L103">
        <v>3.9215686274509803E-2</v>
      </c>
    </row>
    <row r="104" spans="1:12">
      <c r="A104" s="5">
        <f>A103+Calculations!$B$4</f>
        <v>102</v>
      </c>
      <c r="B104" s="2"/>
      <c r="C104" s="2">
        <v>3.5294117647058823E-2</v>
      </c>
      <c r="D104" s="2">
        <v>3.5294117647058823E-2</v>
      </c>
      <c r="E104" s="2">
        <v>3.1372549019607843E-2</v>
      </c>
      <c r="F104" s="2">
        <v>3.9215686274509803E-2</v>
      </c>
      <c r="G104" s="2">
        <v>3.5294117647058823E-2</v>
      </c>
      <c r="H104" s="2">
        <v>4.3137254901960784E-2</v>
      </c>
      <c r="I104" s="2">
        <v>3.9215686274509803E-2</v>
      </c>
      <c r="J104" s="2">
        <v>3.5294117647058823E-2</v>
      </c>
      <c r="K104" s="2">
        <v>3.1372549019607843E-2</v>
      </c>
      <c r="L104">
        <v>3.9215686274509803E-2</v>
      </c>
    </row>
    <row r="105" spans="1:12">
      <c r="A105" s="5">
        <f>A104+Calculations!$B$4</f>
        <v>103</v>
      </c>
      <c r="B105" s="2"/>
      <c r="C105" s="2">
        <v>3.5294117647058823E-2</v>
      </c>
      <c r="D105" s="2">
        <v>3.1372549019607843E-2</v>
      </c>
      <c r="E105" s="2">
        <v>3.1372549019607843E-2</v>
      </c>
      <c r="F105" s="2">
        <v>3.5294117647058823E-2</v>
      </c>
      <c r="G105" s="2">
        <v>3.5294117647058823E-2</v>
      </c>
      <c r="H105" s="2">
        <v>3.9215686274509803E-2</v>
      </c>
      <c r="I105" s="2">
        <v>3.9215686274509803E-2</v>
      </c>
      <c r="J105" s="2">
        <v>3.5294117647058823E-2</v>
      </c>
      <c r="K105" s="2">
        <v>3.1372549019607843E-2</v>
      </c>
      <c r="L105">
        <v>3.5294117647058823E-2</v>
      </c>
    </row>
    <row r="106" spans="1:12">
      <c r="A106" s="5">
        <f>A105+Calculations!$B$4</f>
        <v>104</v>
      </c>
      <c r="B106" s="2"/>
      <c r="C106" s="2">
        <v>3.5294117647058823E-2</v>
      </c>
      <c r="D106" s="2">
        <v>3.1372549019607843E-2</v>
      </c>
      <c r="E106" s="2">
        <v>2.7450980392156862E-2</v>
      </c>
      <c r="F106" s="2">
        <v>3.5294117647058823E-2</v>
      </c>
      <c r="G106" s="2">
        <v>3.5294117647058823E-2</v>
      </c>
      <c r="H106" s="2">
        <v>3.9215686274509803E-2</v>
      </c>
      <c r="I106" s="2">
        <v>3.5294117647058823E-2</v>
      </c>
      <c r="J106" s="2">
        <v>3.1372549019607843E-2</v>
      </c>
      <c r="K106" s="2">
        <v>3.1372549019607843E-2</v>
      </c>
      <c r="L106">
        <v>3.5294117647058823E-2</v>
      </c>
    </row>
    <row r="107" spans="1:12">
      <c r="A107" s="5">
        <f>A106+Calculations!$B$4</f>
        <v>105</v>
      </c>
      <c r="B107" s="2"/>
      <c r="C107" s="2">
        <v>3.1372549019607843E-2</v>
      </c>
      <c r="D107" s="2">
        <v>3.1372549019607843E-2</v>
      </c>
      <c r="E107" s="2">
        <v>2.7450980392156862E-2</v>
      </c>
      <c r="F107" s="2">
        <v>3.5294117647058823E-2</v>
      </c>
      <c r="G107" s="2">
        <v>3.5294117647058823E-2</v>
      </c>
      <c r="H107" s="2">
        <v>3.9215686274509803E-2</v>
      </c>
      <c r="I107" s="2">
        <v>3.5294117647058823E-2</v>
      </c>
      <c r="J107" s="2">
        <v>3.1372549019607843E-2</v>
      </c>
      <c r="K107" s="2">
        <v>3.1372549019607843E-2</v>
      </c>
      <c r="L107">
        <v>3.5294117647058823E-2</v>
      </c>
    </row>
    <row r="108" spans="1:12">
      <c r="A108" s="5">
        <f>A107+Calculations!$B$4</f>
        <v>106</v>
      </c>
      <c r="B108" s="2"/>
      <c r="C108" s="2">
        <v>3.1372549019607843E-2</v>
      </c>
      <c r="D108" s="2">
        <v>2.7450980392156862E-2</v>
      </c>
      <c r="E108" s="2">
        <v>2.7450980392156862E-2</v>
      </c>
      <c r="F108" s="2">
        <v>3.1372549019607843E-2</v>
      </c>
      <c r="G108" s="2">
        <v>3.1372549019607843E-2</v>
      </c>
      <c r="H108" s="2">
        <v>3.5294117647058823E-2</v>
      </c>
      <c r="I108" s="2">
        <v>3.5294117647058823E-2</v>
      </c>
      <c r="J108" s="2">
        <v>3.1372549019607843E-2</v>
      </c>
      <c r="K108" s="2">
        <v>3.1372549019607843E-2</v>
      </c>
      <c r="L108">
        <v>3.5294117647058823E-2</v>
      </c>
    </row>
    <row r="109" spans="1:12">
      <c r="A109" s="5">
        <f>A108+Calculations!$B$4</f>
        <v>107</v>
      </c>
      <c r="B109" s="2"/>
      <c r="C109" s="2">
        <v>3.1372549019607843E-2</v>
      </c>
      <c r="D109" s="2">
        <v>3.1372549019607843E-2</v>
      </c>
      <c r="E109" s="2">
        <v>2.7450980392156862E-2</v>
      </c>
      <c r="F109" s="2">
        <v>3.5294117647058823E-2</v>
      </c>
      <c r="G109" s="2">
        <v>3.1372549019607843E-2</v>
      </c>
      <c r="H109" s="2">
        <v>3.5294117647058823E-2</v>
      </c>
      <c r="I109" s="2">
        <v>4.3137254901960784E-2</v>
      </c>
      <c r="J109" s="2">
        <v>3.5294117647058823E-2</v>
      </c>
      <c r="K109" s="2">
        <v>2.7450980392156862E-2</v>
      </c>
      <c r="L109">
        <v>3.5294117647058823E-2</v>
      </c>
    </row>
    <row r="110" spans="1:12">
      <c r="A110" s="5">
        <f>A109+Calculations!$B$4</f>
        <v>108</v>
      </c>
      <c r="B110" s="2"/>
      <c r="C110" s="2">
        <v>3.1372549019607843E-2</v>
      </c>
      <c r="D110" s="2">
        <v>2.3529411764705882E-2</v>
      </c>
      <c r="E110" s="2">
        <v>2.3529411764705882E-2</v>
      </c>
      <c r="F110" s="2">
        <v>3.1372549019607843E-2</v>
      </c>
      <c r="G110" s="2">
        <v>3.1372549019607843E-2</v>
      </c>
      <c r="H110" s="2">
        <v>3.5294117647058823E-2</v>
      </c>
      <c r="I110" s="2">
        <v>3.5294117647058823E-2</v>
      </c>
      <c r="J110" s="2">
        <v>3.1372549019607843E-2</v>
      </c>
      <c r="K110" s="2">
        <v>2.7450980392156862E-2</v>
      </c>
      <c r="L110">
        <v>3.1372549019607843E-2</v>
      </c>
    </row>
    <row r="111" spans="1:12">
      <c r="A111" s="5">
        <f>A110+Calculations!$B$4</f>
        <v>109</v>
      </c>
      <c r="B111" s="2"/>
      <c r="C111" s="2">
        <v>3.1372549019607843E-2</v>
      </c>
      <c r="D111" s="2">
        <v>2.7450980392156862E-2</v>
      </c>
      <c r="E111" s="2">
        <v>2.3529411764705882E-2</v>
      </c>
      <c r="F111" s="2">
        <v>3.1372549019607843E-2</v>
      </c>
      <c r="G111" s="2">
        <v>3.1372549019607843E-2</v>
      </c>
      <c r="H111" s="2">
        <v>3.5294117647058823E-2</v>
      </c>
      <c r="I111" s="2">
        <v>3.1372549019607843E-2</v>
      </c>
      <c r="J111" s="2">
        <v>2.7450980392156862E-2</v>
      </c>
      <c r="K111" s="2">
        <v>2.7450980392156862E-2</v>
      </c>
      <c r="L111">
        <v>3.1372549019607843E-2</v>
      </c>
    </row>
    <row r="112" spans="1:12">
      <c r="A112" s="5">
        <f>A111+Calculations!$B$4</f>
        <v>110</v>
      </c>
      <c r="B112" s="2"/>
      <c r="C112" s="2">
        <v>3.1372549019607843E-2</v>
      </c>
      <c r="D112" s="2">
        <v>2.3529411764705882E-2</v>
      </c>
      <c r="E112" s="2">
        <v>2.3529411764705882E-2</v>
      </c>
      <c r="F112" s="2">
        <v>3.1372549019607843E-2</v>
      </c>
      <c r="G112" s="2">
        <v>3.1372549019607843E-2</v>
      </c>
      <c r="H112" s="2">
        <v>3.1372549019607843E-2</v>
      </c>
      <c r="I112" s="2">
        <v>3.1372549019607843E-2</v>
      </c>
      <c r="J112" s="2">
        <v>2.7450980392156862E-2</v>
      </c>
      <c r="K112" s="2">
        <v>2.7450980392156862E-2</v>
      </c>
      <c r="L112">
        <v>3.1372549019607843E-2</v>
      </c>
    </row>
    <row r="113" spans="1:12">
      <c r="A113" s="5">
        <f>A112+Calculations!$B$4</f>
        <v>111</v>
      </c>
      <c r="B113" s="2"/>
      <c r="C113" s="2">
        <v>2.7450980392156862E-2</v>
      </c>
      <c r="D113" s="2">
        <v>2.7450980392156862E-2</v>
      </c>
      <c r="E113" s="2">
        <v>2.3529411764705882E-2</v>
      </c>
      <c r="F113" s="2">
        <v>3.1372549019607843E-2</v>
      </c>
      <c r="G113" s="2">
        <v>3.1372549019607843E-2</v>
      </c>
      <c r="H113" s="2">
        <v>3.1372549019607843E-2</v>
      </c>
      <c r="I113" s="2">
        <v>3.1372549019607843E-2</v>
      </c>
      <c r="J113" s="2">
        <v>2.7450980392156862E-2</v>
      </c>
      <c r="K113" s="2">
        <v>2.7450980392156862E-2</v>
      </c>
      <c r="L113">
        <v>3.1372549019607843E-2</v>
      </c>
    </row>
    <row r="114" spans="1:12">
      <c r="A114" s="5">
        <f>A113+Calculations!$B$4</f>
        <v>112</v>
      </c>
      <c r="B114" s="2"/>
      <c r="C114" s="2">
        <v>2.7450980392156862E-2</v>
      </c>
      <c r="D114" s="2">
        <v>2.7450980392156862E-2</v>
      </c>
      <c r="E114" s="2">
        <v>2.3529411764705882E-2</v>
      </c>
      <c r="F114" s="2">
        <v>3.1372549019607843E-2</v>
      </c>
      <c r="G114" s="2">
        <v>2.7450980392156862E-2</v>
      </c>
      <c r="H114" s="2">
        <v>3.1372549019607843E-2</v>
      </c>
      <c r="I114" s="2">
        <v>3.1372549019607843E-2</v>
      </c>
      <c r="J114" s="2">
        <v>2.7450980392156862E-2</v>
      </c>
      <c r="K114" s="2">
        <v>2.3529411764705882E-2</v>
      </c>
      <c r="L114">
        <v>2.7450980392156862E-2</v>
      </c>
    </row>
    <row r="115" spans="1:12">
      <c r="A115" s="5">
        <f>A114+Calculations!$B$4</f>
        <v>113</v>
      </c>
      <c r="B115" s="2"/>
      <c r="C115" s="2">
        <v>3.1372549019607843E-2</v>
      </c>
      <c r="D115" s="2">
        <v>2.3529411764705882E-2</v>
      </c>
      <c r="E115" s="2">
        <v>2.3529411764705882E-2</v>
      </c>
      <c r="F115" s="2">
        <v>2.7450980392156862E-2</v>
      </c>
      <c r="G115" s="2">
        <v>2.7450980392156862E-2</v>
      </c>
      <c r="H115" s="2">
        <v>3.1372549019607843E-2</v>
      </c>
      <c r="I115" s="2">
        <v>3.1372549019607843E-2</v>
      </c>
      <c r="J115" s="2">
        <v>2.7450980392156862E-2</v>
      </c>
      <c r="K115" s="2">
        <v>2.3529411764705882E-2</v>
      </c>
      <c r="L115">
        <v>2.7450980392156862E-2</v>
      </c>
    </row>
    <row r="116" spans="1:12">
      <c r="A116" s="5">
        <f>A115+Calculations!$B$4</f>
        <v>114</v>
      </c>
      <c r="B116" s="2"/>
      <c r="C116" s="2">
        <v>2.7450980392156862E-2</v>
      </c>
      <c r="D116" s="2">
        <v>2.3529411764705882E-2</v>
      </c>
      <c r="E116" s="2">
        <v>2.3529411764705882E-2</v>
      </c>
      <c r="F116" s="2">
        <v>2.7450980392156862E-2</v>
      </c>
      <c r="G116" s="2">
        <v>2.7450980392156862E-2</v>
      </c>
      <c r="H116" s="2">
        <v>3.1372549019607843E-2</v>
      </c>
      <c r="I116" s="2">
        <v>2.3529411764705882E-2</v>
      </c>
      <c r="J116" s="2">
        <v>2.3529411764705882E-2</v>
      </c>
      <c r="K116" s="2">
        <v>2.3529411764705882E-2</v>
      </c>
      <c r="L116">
        <v>2.7450980392156862E-2</v>
      </c>
    </row>
    <row r="117" spans="1:12">
      <c r="A117" s="5">
        <f>A116+Calculations!$B$4</f>
        <v>115</v>
      </c>
      <c r="B117" s="2"/>
      <c r="C117" s="2">
        <v>2.7450980392156862E-2</v>
      </c>
      <c r="D117" s="2">
        <v>2.3529411764705882E-2</v>
      </c>
      <c r="E117" s="2">
        <v>1.9607843137254902E-2</v>
      </c>
      <c r="F117" s="2">
        <v>2.7450980392156862E-2</v>
      </c>
      <c r="G117" s="2">
        <v>2.7450980392156862E-2</v>
      </c>
      <c r="H117" s="2">
        <v>3.1372549019607843E-2</v>
      </c>
      <c r="I117" s="2">
        <v>2.7450980392156862E-2</v>
      </c>
      <c r="J117" s="2">
        <v>2.3529411764705882E-2</v>
      </c>
      <c r="K117" s="2">
        <v>2.3529411764705882E-2</v>
      </c>
      <c r="L117">
        <v>2.7450980392156862E-2</v>
      </c>
    </row>
    <row r="118" spans="1:12">
      <c r="A118" s="5">
        <f>A117+Calculations!$B$4</f>
        <v>116</v>
      </c>
      <c r="B118" s="2"/>
      <c r="C118" s="2">
        <v>2.7450980392156862E-2</v>
      </c>
      <c r="D118" s="2">
        <v>2.3529411764705882E-2</v>
      </c>
      <c r="E118" s="2">
        <v>1.9607843137254902E-2</v>
      </c>
      <c r="F118" s="2">
        <v>2.7450980392156862E-2</v>
      </c>
      <c r="G118" s="2">
        <v>2.7450980392156862E-2</v>
      </c>
      <c r="H118" s="2">
        <v>2.7450980392156862E-2</v>
      </c>
      <c r="I118" s="2">
        <v>2.7450980392156862E-2</v>
      </c>
      <c r="J118" s="2">
        <v>2.3529411764705882E-2</v>
      </c>
      <c r="K118" s="2">
        <v>2.3529411764705882E-2</v>
      </c>
      <c r="L118">
        <v>2.7450980392156862E-2</v>
      </c>
    </row>
    <row r="119" spans="1:12">
      <c r="A119" s="5">
        <f>A118+Calculations!$B$4</f>
        <v>117</v>
      </c>
      <c r="B119" s="2"/>
      <c r="C119" s="2">
        <v>2.3529411764705882E-2</v>
      </c>
      <c r="D119" s="2">
        <v>1.9607843137254902E-2</v>
      </c>
      <c r="E119" s="2">
        <v>1.9607843137254902E-2</v>
      </c>
      <c r="F119" s="2">
        <v>2.7450980392156862E-2</v>
      </c>
      <c r="G119" s="2">
        <v>2.3529411764705882E-2</v>
      </c>
      <c r="H119" s="2">
        <v>2.7450980392156862E-2</v>
      </c>
      <c r="I119" s="2">
        <v>2.7450980392156862E-2</v>
      </c>
      <c r="J119" s="2">
        <v>2.3529411764705882E-2</v>
      </c>
      <c r="K119" s="2">
        <v>1.9607843137254902E-2</v>
      </c>
      <c r="L119">
        <v>2.7450980392156862E-2</v>
      </c>
    </row>
    <row r="120" spans="1:12">
      <c r="A120" s="5">
        <f>A119+Calculations!$B$4</f>
        <v>118</v>
      </c>
      <c r="B120" s="2"/>
      <c r="C120" s="2">
        <v>2.3529411764705882E-2</v>
      </c>
      <c r="D120" s="2">
        <v>1.9607843137254902E-2</v>
      </c>
      <c r="E120" s="2">
        <v>1.9607843137254902E-2</v>
      </c>
      <c r="F120" s="2">
        <v>2.3529411764705882E-2</v>
      </c>
      <c r="G120" s="2">
        <v>2.3529411764705882E-2</v>
      </c>
      <c r="H120" s="2">
        <v>2.7450980392156862E-2</v>
      </c>
      <c r="I120" s="2">
        <v>2.7450980392156862E-2</v>
      </c>
      <c r="J120" s="2">
        <v>2.3529411764705882E-2</v>
      </c>
      <c r="K120" s="2">
        <v>2.3529411764705882E-2</v>
      </c>
      <c r="L120">
        <v>2.3529411764705882E-2</v>
      </c>
    </row>
    <row r="121" spans="1:12">
      <c r="A121" s="5">
        <f>A120+Calculations!$B$4</f>
        <v>119</v>
      </c>
      <c r="B121" s="2"/>
      <c r="C121" s="2">
        <v>2.3529411764705882E-2</v>
      </c>
      <c r="D121" s="2">
        <v>2.7450980392156862E-2</v>
      </c>
      <c r="E121" s="2">
        <v>1.9607843137254902E-2</v>
      </c>
      <c r="F121" s="2">
        <v>2.7450980392156862E-2</v>
      </c>
      <c r="G121" s="2">
        <v>2.3529411764705882E-2</v>
      </c>
      <c r="H121" s="2">
        <v>2.7450980392156862E-2</v>
      </c>
      <c r="I121" s="2">
        <v>2.7450980392156862E-2</v>
      </c>
      <c r="J121" s="2">
        <v>2.3529411764705882E-2</v>
      </c>
      <c r="K121" s="2">
        <v>1.9607843137254902E-2</v>
      </c>
      <c r="L121">
        <v>2.3529411764705882E-2</v>
      </c>
    </row>
    <row r="122" spans="1:12">
      <c r="A122" s="5">
        <f>A121+Calculations!$B$4</f>
        <v>120</v>
      </c>
      <c r="B122" s="2"/>
      <c r="C122" s="2">
        <v>2.3529411764705882E-2</v>
      </c>
      <c r="D122" s="2">
        <v>1.5686274509803921E-2</v>
      </c>
      <c r="E122" s="2">
        <v>1.9607843137254902E-2</v>
      </c>
      <c r="F122" s="2">
        <v>2.3529411764705882E-2</v>
      </c>
      <c r="G122" s="2">
        <v>2.3529411764705882E-2</v>
      </c>
      <c r="H122" s="2">
        <v>2.7450980392156862E-2</v>
      </c>
      <c r="I122" s="2">
        <v>2.7450980392156862E-2</v>
      </c>
      <c r="J122" s="2">
        <v>1.9607843137254902E-2</v>
      </c>
      <c r="K122" s="2">
        <v>1.9607843137254902E-2</v>
      </c>
      <c r="L122">
        <v>2.3529411764705882E-2</v>
      </c>
    </row>
    <row r="123" spans="1:12">
      <c r="A123" s="5">
        <f>A122+Calculations!$B$4</f>
        <v>121</v>
      </c>
      <c r="B123" s="2"/>
      <c r="C123" s="2">
        <v>2.3529411764705882E-2</v>
      </c>
      <c r="D123" s="2">
        <v>1.5686274509803921E-2</v>
      </c>
      <c r="E123" s="2">
        <v>1.9607843137254902E-2</v>
      </c>
      <c r="F123" s="2">
        <v>1.9607843137254902E-2</v>
      </c>
      <c r="G123" s="2">
        <v>2.3529411764705882E-2</v>
      </c>
      <c r="H123" s="2">
        <v>2.7450980392156862E-2</v>
      </c>
      <c r="I123" s="2">
        <v>2.3529411764705882E-2</v>
      </c>
      <c r="J123" s="2">
        <v>1.9607843137254902E-2</v>
      </c>
      <c r="K123" s="2">
        <v>1.9607843137254902E-2</v>
      </c>
      <c r="L123">
        <v>2.3529411764705882E-2</v>
      </c>
    </row>
    <row r="124" spans="1:12">
      <c r="A124" s="5">
        <f>A123+Calculations!$B$4</f>
        <v>122</v>
      </c>
      <c r="B124" s="2"/>
      <c r="C124" s="2">
        <v>1.9607843137254902E-2</v>
      </c>
      <c r="D124" s="2">
        <v>1.9607843137254902E-2</v>
      </c>
      <c r="E124" s="2">
        <v>1.5686274509803921E-2</v>
      </c>
      <c r="F124" s="2">
        <v>1.9607843137254902E-2</v>
      </c>
      <c r="G124" s="2">
        <v>1.9607843137254902E-2</v>
      </c>
      <c r="H124" s="2">
        <v>2.3529411764705882E-2</v>
      </c>
      <c r="I124" s="2">
        <v>2.3529411764705882E-2</v>
      </c>
      <c r="J124" s="2">
        <v>1.9607843137254902E-2</v>
      </c>
      <c r="K124" s="2">
        <v>1.9607843137254902E-2</v>
      </c>
      <c r="L124">
        <v>2.3529411764705882E-2</v>
      </c>
    </row>
    <row r="125" spans="1:12">
      <c r="A125" s="5">
        <f>A124+Calculations!$B$4</f>
        <v>123</v>
      </c>
      <c r="B125" s="2"/>
      <c r="C125" s="2">
        <v>1.9607843137254902E-2</v>
      </c>
      <c r="D125" s="2">
        <v>1.5686274509803921E-2</v>
      </c>
      <c r="E125" s="2">
        <v>1.9607843137254902E-2</v>
      </c>
      <c r="F125" s="2">
        <v>1.9607843137254902E-2</v>
      </c>
      <c r="G125" s="2">
        <v>2.3529411764705882E-2</v>
      </c>
      <c r="H125" s="2">
        <v>2.3529411764705882E-2</v>
      </c>
      <c r="I125" s="2">
        <v>2.3529411764705882E-2</v>
      </c>
      <c r="J125" s="2">
        <v>1.9607843137254902E-2</v>
      </c>
      <c r="K125" s="2">
        <v>1.5686274509803921E-2</v>
      </c>
      <c r="L125">
        <v>2.3529411764705882E-2</v>
      </c>
    </row>
    <row r="126" spans="1:12">
      <c r="A126" s="5">
        <f>A125+Calculations!$B$4</f>
        <v>124</v>
      </c>
      <c r="B126" s="2"/>
      <c r="C126" s="2">
        <v>1.9607843137254902E-2</v>
      </c>
      <c r="D126" s="2">
        <v>1.9607843137254902E-2</v>
      </c>
      <c r="E126" s="2">
        <v>1.5686274509803921E-2</v>
      </c>
      <c r="F126" s="2">
        <v>2.3529411764705882E-2</v>
      </c>
      <c r="G126" s="2">
        <v>1.9607843137254902E-2</v>
      </c>
      <c r="H126" s="2">
        <v>2.3529411764705882E-2</v>
      </c>
      <c r="I126" s="2">
        <v>2.3529411764705882E-2</v>
      </c>
      <c r="J126" s="2">
        <v>1.9607843137254902E-2</v>
      </c>
      <c r="K126" s="2">
        <v>1.9607843137254902E-2</v>
      </c>
      <c r="L126">
        <v>2.3529411764705882E-2</v>
      </c>
    </row>
    <row r="127" spans="1:12">
      <c r="A127" s="5">
        <f>A126+Calculations!$B$4</f>
        <v>125</v>
      </c>
      <c r="B127" s="2"/>
      <c r="C127" s="2">
        <v>1.9607843137254902E-2</v>
      </c>
      <c r="D127" s="2">
        <v>1.9607843137254902E-2</v>
      </c>
      <c r="E127" s="2">
        <v>1.5686274509803921E-2</v>
      </c>
      <c r="F127" s="2">
        <v>1.9607843137254902E-2</v>
      </c>
      <c r="G127" s="2">
        <v>1.9607843137254902E-2</v>
      </c>
      <c r="H127" s="2">
        <v>2.3529411764705882E-2</v>
      </c>
      <c r="I127" s="2">
        <v>2.3529411764705882E-2</v>
      </c>
      <c r="J127" s="2">
        <v>1.9607843137254902E-2</v>
      </c>
      <c r="K127" s="2">
        <v>1.9607843137254902E-2</v>
      </c>
      <c r="L127">
        <v>2.3529411764705882E-2</v>
      </c>
    </row>
    <row r="128" spans="1:12">
      <c r="A128" s="5">
        <f>A127+Calculations!$B$4</f>
        <v>126</v>
      </c>
      <c r="B128" s="2"/>
      <c r="C128" s="2">
        <v>1.9607843137254902E-2</v>
      </c>
      <c r="D128" s="2">
        <v>2.3529411764705882E-2</v>
      </c>
      <c r="E128" s="2">
        <v>1.5686274509803921E-2</v>
      </c>
      <c r="F128" s="2">
        <v>2.3529411764705882E-2</v>
      </c>
      <c r="G128" s="2">
        <v>1.9607843137254902E-2</v>
      </c>
      <c r="H128" s="2">
        <v>1.9607843137254902E-2</v>
      </c>
      <c r="I128" s="2">
        <v>2.3529411764705882E-2</v>
      </c>
      <c r="J128" s="2">
        <v>1.5686274509803921E-2</v>
      </c>
      <c r="K128" s="2">
        <v>1.9607843137254902E-2</v>
      </c>
      <c r="L128">
        <v>2.3529411764705882E-2</v>
      </c>
    </row>
    <row r="129" spans="1:12">
      <c r="A129" s="5">
        <f>A128+Calculations!$B$4</f>
        <v>127</v>
      </c>
      <c r="B129" s="2"/>
      <c r="C129" s="2">
        <v>1.9607843137254902E-2</v>
      </c>
      <c r="D129" s="2">
        <v>1.9607843137254902E-2</v>
      </c>
      <c r="E129" s="2">
        <v>1.5686274509803921E-2</v>
      </c>
      <c r="F129" s="2">
        <v>2.3529411764705882E-2</v>
      </c>
      <c r="G129" s="2">
        <v>1.9607843137254902E-2</v>
      </c>
      <c r="H129" s="2">
        <v>2.3529411764705882E-2</v>
      </c>
      <c r="I129" s="2">
        <v>2.3529411764705882E-2</v>
      </c>
      <c r="J129" s="2">
        <v>1.9607843137254902E-2</v>
      </c>
      <c r="K129" s="2">
        <v>1.9607843137254902E-2</v>
      </c>
      <c r="L129">
        <v>2.3529411764705882E-2</v>
      </c>
    </row>
    <row r="130" spans="1:12">
      <c r="A130" s="5">
        <f>A129+Calculations!$B$4</f>
        <v>128</v>
      </c>
      <c r="B130" s="2"/>
      <c r="C130" s="2">
        <v>1.9607843137254902E-2</v>
      </c>
      <c r="D130" s="2">
        <v>1.5686274509803921E-2</v>
      </c>
      <c r="E130" s="2">
        <v>1.5686274509803921E-2</v>
      </c>
      <c r="F130" s="2">
        <v>1.9607843137254902E-2</v>
      </c>
      <c r="G130" s="2">
        <v>1.9607843137254902E-2</v>
      </c>
      <c r="H130" s="2">
        <v>1.9607843137254902E-2</v>
      </c>
      <c r="I130" s="2">
        <v>2.3529411764705882E-2</v>
      </c>
      <c r="J130" s="2">
        <v>1.9607843137254902E-2</v>
      </c>
      <c r="K130" s="2">
        <v>1.5686274509803921E-2</v>
      </c>
      <c r="L130">
        <v>1.9607843137254902E-2</v>
      </c>
    </row>
    <row r="131" spans="1:12">
      <c r="A131" s="5">
        <f>A130+Calculations!$B$4</f>
        <v>129</v>
      </c>
      <c r="B131" s="2"/>
      <c r="C131" s="2">
        <v>1.5686274509803921E-2</v>
      </c>
      <c r="D131" s="2">
        <v>1.5686274509803921E-2</v>
      </c>
      <c r="E131" s="2">
        <v>1.5686274509803921E-2</v>
      </c>
      <c r="F131" s="2">
        <v>1.9607843137254902E-2</v>
      </c>
      <c r="G131" s="2">
        <v>1.9607843137254902E-2</v>
      </c>
      <c r="H131" s="2">
        <v>2.3529411764705882E-2</v>
      </c>
      <c r="I131" s="2">
        <v>1.9607843137254902E-2</v>
      </c>
      <c r="J131" s="2">
        <v>1.5686274509803921E-2</v>
      </c>
      <c r="K131" s="2">
        <v>1.5686274509803921E-2</v>
      </c>
      <c r="L131">
        <v>1.9607843137254902E-2</v>
      </c>
    </row>
    <row r="132" spans="1:12">
      <c r="A132" s="5">
        <f>A131+Calculations!$B$4</f>
        <v>130</v>
      </c>
      <c r="B132" s="2"/>
      <c r="C132" s="2">
        <v>1.5686274509803921E-2</v>
      </c>
      <c r="D132" s="2">
        <v>1.5686274509803921E-2</v>
      </c>
      <c r="E132" s="2">
        <v>1.5686274509803921E-2</v>
      </c>
      <c r="F132" s="2">
        <v>1.5686274509803921E-2</v>
      </c>
      <c r="G132" s="2">
        <v>1.9607843137254902E-2</v>
      </c>
      <c r="H132" s="2">
        <v>1.9607843137254902E-2</v>
      </c>
      <c r="I132" s="2">
        <v>1.9607843137254902E-2</v>
      </c>
      <c r="J132" s="2">
        <v>1.5686274509803921E-2</v>
      </c>
      <c r="K132" s="2">
        <v>1.9607843137254902E-2</v>
      </c>
      <c r="L132">
        <v>1.9607843137254902E-2</v>
      </c>
    </row>
    <row r="133" spans="1:12">
      <c r="A133" s="5">
        <f>A132+Calculations!$B$4</f>
        <v>131</v>
      </c>
      <c r="B133" s="2"/>
      <c r="C133" s="2">
        <v>1.5686274509803921E-2</v>
      </c>
      <c r="D133" s="2">
        <v>1.5686274509803921E-2</v>
      </c>
      <c r="E133" s="2">
        <v>1.1764705882352941E-2</v>
      </c>
      <c r="F133" s="2">
        <v>1.9607843137254902E-2</v>
      </c>
      <c r="G133" s="2">
        <v>1.5686274509803921E-2</v>
      </c>
      <c r="H133" s="2">
        <v>1.9607843137254902E-2</v>
      </c>
      <c r="I133" s="2">
        <v>1.9607843137254902E-2</v>
      </c>
      <c r="J133" s="2">
        <v>1.5686274509803921E-2</v>
      </c>
      <c r="K133" s="2">
        <v>1.5686274509803921E-2</v>
      </c>
      <c r="L133">
        <v>1.9607843137254902E-2</v>
      </c>
    </row>
    <row r="134" spans="1:12">
      <c r="A134" s="5">
        <f>A133+Calculations!$B$4</f>
        <v>132</v>
      </c>
      <c r="B134" s="2"/>
      <c r="C134" s="2">
        <v>1.5686274509803921E-2</v>
      </c>
      <c r="D134" s="2">
        <v>1.5686274509803921E-2</v>
      </c>
      <c r="E134" s="2">
        <v>1.1764705882352941E-2</v>
      </c>
      <c r="F134" s="2">
        <v>1.9607843137254902E-2</v>
      </c>
      <c r="G134" s="2">
        <v>1.5686274509803921E-2</v>
      </c>
      <c r="H134" s="2">
        <v>1.9607843137254902E-2</v>
      </c>
      <c r="I134" s="2">
        <v>1.9607843137254902E-2</v>
      </c>
      <c r="J134" s="2">
        <v>1.5686274509803921E-2</v>
      </c>
      <c r="K134" s="2">
        <v>1.5686274509803921E-2</v>
      </c>
      <c r="L134">
        <v>1.9607843137254902E-2</v>
      </c>
    </row>
    <row r="135" spans="1:12">
      <c r="A135" s="5">
        <f>A134+Calculations!$B$4</f>
        <v>133</v>
      </c>
      <c r="B135" s="2"/>
      <c r="C135" s="2">
        <v>1.5686274509803921E-2</v>
      </c>
      <c r="D135" s="2">
        <v>1.1764705882352941E-2</v>
      </c>
      <c r="E135" s="2">
        <v>1.1764705882352941E-2</v>
      </c>
      <c r="F135" s="2">
        <v>1.9607843137254902E-2</v>
      </c>
      <c r="G135" s="2">
        <v>1.5686274509803921E-2</v>
      </c>
      <c r="H135" s="2">
        <v>1.9607843137254902E-2</v>
      </c>
      <c r="I135" s="2">
        <v>1.9607843137254902E-2</v>
      </c>
      <c r="J135" s="2">
        <v>1.5686274509803921E-2</v>
      </c>
      <c r="K135" s="2">
        <v>1.5686274509803921E-2</v>
      </c>
      <c r="L135">
        <v>1.9607843137254902E-2</v>
      </c>
    </row>
    <row r="136" spans="1:12">
      <c r="A136" s="5">
        <f>A135+Calculations!$B$4</f>
        <v>134</v>
      </c>
      <c r="B136" s="2"/>
      <c r="C136" s="2">
        <v>1.1764705882352941E-2</v>
      </c>
      <c r="D136" s="2">
        <v>1.5686274509803921E-2</v>
      </c>
      <c r="E136" s="2">
        <v>1.1764705882352941E-2</v>
      </c>
      <c r="F136" s="2">
        <v>1.9607843137254902E-2</v>
      </c>
      <c r="G136" s="2">
        <v>1.5686274509803921E-2</v>
      </c>
      <c r="H136" s="2">
        <v>1.9607843137254902E-2</v>
      </c>
      <c r="I136" s="2">
        <v>1.9607843137254902E-2</v>
      </c>
      <c r="J136" s="2">
        <v>1.5686274509803921E-2</v>
      </c>
      <c r="K136" s="2">
        <v>1.5686274509803921E-2</v>
      </c>
      <c r="L136">
        <v>1.9607843137254902E-2</v>
      </c>
    </row>
    <row r="137" spans="1:12">
      <c r="A137" s="5">
        <f>A136+Calculations!$B$4</f>
        <v>135</v>
      </c>
      <c r="B137" s="2"/>
      <c r="C137" s="2">
        <v>1.5686274509803921E-2</v>
      </c>
      <c r="D137" s="2">
        <v>1.1764705882352941E-2</v>
      </c>
      <c r="E137" s="2">
        <v>1.1764705882352941E-2</v>
      </c>
      <c r="F137" s="2">
        <v>1.5686274509803921E-2</v>
      </c>
      <c r="G137" s="2">
        <v>1.5686274509803921E-2</v>
      </c>
      <c r="H137" s="2">
        <v>1.9607843137254902E-2</v>
      </c>
      <c r="I137" s="2">
        <v>1.9607843137254902E-2</v>
      </c>
      <c r="J137" s="2">
        <v>1.5686274509803921E-2</v>
      </c>
      <c r="K137" s="2">
        <v>1.5686274509803921E-2</v>
      </c>
      <c r="L137">
        <v>1.5686274509803921E-2</v>
      </c>
    </row>
    <row r="138" spans="1:12">
      <c r="A138" s="5">
        <f>A137+Calculations!$B$4</f>
        <v>136</v>
      </c>
      <c r="B138" s="2"/>
      <c r="C138" s="2">
        <v>1.5686274509803921E-2</v>
      </c>
      <c r="D138" s="2">
        <v>1.5686274509803921E-2</v>
      </c>
      <c r="E138" s="2">
        <v>1.1764705882352941E-2</v>
      </c>
      <c r="F138" s="2">
        <v>1.9607843137254902E-2</v>
      </c>
      <c r="G138" s="2">
        <v>1.5686274509803921E-2</v>
      </c>
      <c r="H138" s="2">
        <v>1.9607843137254902E-2</v>
      </c>
      <c r="I138" s="2">
        <v>1.9607843137254902E-2</v>
      </c>
      <c r="J138" s="2">
        <v>1.1764705882352941E-2</v>
      </c>
      <c r="K138" s="2">
        <v>1.1764705882352941E-2</v>
      </c>
      <c r="L138">
        <v>1.5686274509803921E-2</v>
      </c>
    </row>
    <row r="139" spans="1:12">
      <c r="A139" s="5">
        <f>A138+Calculations!$B$4</f>
        <v>137</v>
      </c>
      <c r="B139" s="2"/>
      <c r="C139" s="2">
        <v>1.1764705882352941E-2</v>
      </c>
      <c r="D139" s="2">
        <v>1.5686274509803921E-2</v>
      </c>
      <c r="E139" s="2">
        <v>1.1764705882352941E-2</v>
      </c>
      <c r="F139" s="2">
        <v>1.9607843137254902E-2</v>
      </c>
      <c r="G139" s="2">
        <v>1.5686274509803921E-2</v>
      </c>
      <c r="H139" s="2">
        <v>1.9607843137254902E-2</v>
      </c>
      <c r="I139" s="2">
        <v>1.9607843137254902E-2</v>
      </c>
      <c r="J139" s="2">
        <v>1.1764705882352941E-2</v>
      </c>
      <c r="K139" s="2">
        <v>1.1764705882352941E-2</v>
      </c>
      <c r="L139">
        <v>1.5686274509803921E-2</v>
      </c>
    </row>
    <row r="140" spans="1:12">
      <c r="A140" s="5">
        <f>A139+Calculations!$B$4</f>
        <v>138</v>
      </c>
      <c r="B140" s="2"/>
      <c r="C140" s="2">
        <v>1.1764705882352941E-2</v>
      </c>
      <c r="D140" s="2">
        <v>1.1764705882352941E-2</v>
      </c>
      <c r="E140" s="2">
        <v>1.1764705882352941E-2</v>
      </c>
      <c r="F140" s="2">
        <v>1.9607843137254902E-2</v>
      </c>
      <c r="G140" s="2">
        <v>1.5686274509803921E-2</v>
      </c>
      <c r="H140" s="2">
        <v>1.9607843137254902E-2</v>
      </c>
      <c r="I140" s="2">
        <v>1.5686274509803921E-2</v>
      </c>
      <c r="J140" s="2">
        <v>1.1764705882352941E-2</v>
      </c>
      <c r="K140" s="2">
        <v>1.1764705882352941E-2</v>
      </c>
      <c r="L140">
        <v>1.1764705882352941E-2</v>
      </c>
    </row>
    <row r="141" spans="1:12">
      <c r="A141" s="5">
        <f>A140+Calculations!$B$4</f>
        <v>139</v>
      </c>
      <c r="B141" s="2"/>
      <c r="C141" s="2">
        <v>1.1764705882352941E-2</v>
      </c>
      <c r="D141" s="2">
        <v>1.1764705882352941E-2</v>
      </c>
      <c r="E141" s="2">
        <v>1.1764705882352941E-2</v>
      </c>
      <c r="F141" s="2">
        <v>1.1764705882352941E-2</v>
      </c>
      <c r="G141" s="2">
        <v>1.1764705882352941E-2</v>
      </c>
      <c r="H141" s="2">
        <v>1.5686274509803921E-2</v>
      </c>
      <c r="I141" s="2">
        <v>1.5686274509803921E-2</v>
      </c>
      <c r="J141" s="2">
        <v>1.1764705882352941E-2</v>
      </c>
      <c r="K141" s="2">
        <v>1.1764705882352941E-2</v>
      </c>
      <c r="L141">
        <v>1.1764705882352941E-2</v>
      </c>
    </row>
    <row r="142" spans="1:12">
      <c r="A142" s="5">
        <f>A141+Calculations!$B$4</f>
        <v>140</v>
      </c>
      <c r="B142" s="2"/>
      <c r="C142" s="2">
        <v>1.1764705882352941E-2</v>
      </c>
      <c r="D142" s="2">
        <v>1.1764705882352941E-2</v>
      </c>
      <c r="E142" s="2">
        <v>1.1764705882352941E-2</v>
      </c>
      <c r="F142" s="2">
        <v>1.5686274509803921E-2</v>
      </c>
      <c r="G142" s="2">
        <v>1.5686274509803921E-2</v>
      </c>
      <c r="H142" s="2">
        <v>1.5686274509803921E-2</v>
      </c>
      <c r="I142" s="2">
        <v>1.5686274509803921E-2</v>
      </c>
      <c r="J142" s="2">
        <v>1.1764705882352941E-2</v>
      </c>
      <c r="K142" s="2">
        <v>1.1764705882352941E-2</v>
      </c>
      <c r="L142">
        <v>1.5686274509803921E-2</v>
      </c>
    </row>
    <row r="143" spans="1:12">
      <c r="A143" s="5">
        <f>A142+Calculations!$B$4</f>
        <v>141</v>
      </c>
      <c r="B143" s="2"/>
      <c r="C143" s="2">
        <v>1.1764705882352941E-2</v>
      </c>
      <c r="D143" s="2">
        <v>1.1764705882352941E-2</v>
      </c>
      <c r="E143" s="2">
        <v>7.8431372549019607E-3</v>
      </c>
      <c r="F143" s="2">
        <v>1.5686274509803921E-2</v>
      </c>
      <c r="G143" s="2">
        <v>1.5686274509803921E-2</v>
      </c>
      <c r="H143" s="2">
        <v>1.5686274509803921E-2</v>
      </c>
      <c r="I143" s="2">
        <v>1.5686274509803921E-2</v>
      </c>
      <c r="J143" s="2">
        <v>1.1764705882352941E-2</v>
      </c>
      <c r="K143" s="2">
        <v>1.1764705882352941E-2</v>
      </c>
      <c r="L143">
        <v>1.5686274509803921E-2</v>
      </c>
    </row>
    <row r="144" spans="1:12">
      <c r="A144" s="5">
        <f>A143+Calculations!$B$4</f>
        <v>142</v>
      </c>
      <c r="B144" s="2"/>
      <c r="C144" s="2">
        <v>1.1764705882352941E-2</v>
      </c>
      <c r="D144" s="2">
        <v>1.1764705882352941E-2</v>
      </c>
      <c r="E144" s="2">
        <v>7.8431372549019607E-3</v>
      </c>
      <c r="F144" s="2">
        <v>1.5686274509803921E-2</v>
      </c>
      <c r="G144" s="2">
        <v>1.5686274509803921E-2</v>
      </c>
      <c r="H144" s="2">
        <v>1.5686274509803921E-2</v>
      </c>
      <c r="I144" s="2">
        <v>1.5686274509803921E-2</v>
      </c>
      <c r="J144" s="2">
        <v>1.1764705882352941E-2</v>
      </c>
      <c r="K144" s="2">
        <v>1.1764705882352941E-2</v>
      </c>
      <c r="L144">
        <v>1.5686274509803921E-2</v>
      </c>
    </row>
    <row r="145" spans="1:12">
      <c r="A145" s="5">
        <f>A144+Calculations!$B$4</f>
        <v>143</v>
      </c>
      <c r="B145" s="2"/>
      <c r="C145" s="2">
        <v>1.1764705882352941E-2</v>
      </c>
      <c r="D145" s="2">
        <v>7.8431372549019607E-3</v>
      </c>
      <c r="E145" s="2">
        <v>7.8431372549019607E-3</v>
      </c>
      <c r="F145" s="2">
        <v>1.5686274509803921E-2</v>
      </c>
      <c r="G145" s="2">
        <v>1.5686274509803921E-2</v>
      </c>
      <c r="H145" s="2">
        <v>1.5686274509803921E-2</v>
      </c>
      <c r="I145" s="2">
        <v>1.5686274509803921E-2</v>
      </c>
      <c r="J145" s="2">
        <v>1.1764705882352941E-2</v>
      </c>
      <c r="K145" s="2">
        <v>1.1764705882352941E-2</v>
      </c>
      <c r="L145">
        <v>1.5686274509803921E-2</v>
      </c>
    </row>
    <row r="146" spans="1:12">
      <c r="A146" s="5">
        <f>A145+Calculations!$B$4</f>
        <v>144</v>
      </c>
      <c r="B146" s="2"/>
      <c r="C146" s="2">
        <v>1.1764705882352941E-2</v>
      </c>
      <c r="D146" s="2">
        <v>1.5686274509803921E-2</v>
      </c>
      <c r="E146" s="2">
        <v>7.8431372549019607E-3</v>
      </c>
      <c r="F146" s="2">
        <v>1.5686274509803921E-2</v>
      </c>
      <c r="G146" s="2">
        <v>1.1764705882352941E-2</v>
      </c>
      <c r="H146" s="2">
        <v>1.5686274509803921E-2</v>
      </c>
      <c r="I146" s="2">
        <v>1.5686274509803921E-2</v>
      </c>
      <c r="J146" s="2">
        <v>1.1764705882352941E-2</v>
      </c>
      <c r="K146" s="2">
        <v>1.1764705882352941E-2</v>
      </c>
      <c r="L146">
        <v>1.5686274509803921E-2</v>
      </c>
    </row>
    <row r="147" spans="1:12">
      <c r="A147" s="5">
        <f>A146+Calculations!$B$4</f>
        <v>145</v>
      </c>
      <c r="B147" s="2"/>
      <c r="C147" s="2">
        <v>1.1764705882352941E-2</v>
      </c>
      <c r="D147" s="2">
        <v>7.8431372549019607E-3</v>
      </c>
      <c r="E147" s="2">
        <v>7.8431372549019607E-3</v>
      </c>
      <c r="F147" s="2">
        <v>1.1764705882352941E-2</v>
      </c>
      <c r="G147" s="2">
        <v>1.5686274509803921E-2</v>
      </c>
      <c r="H147" s="2">
        <v>1.5686274509803921E-2</v>
      </c>
      <c r="I147" s="2">
        <v>1.5686274509803921E-2</v>
      </c>
      <c r="J147" s="2">
        <v>1.1764705882352941E-2</v>
      </c>
      <c r="K147" s="2">
        <v>1.1764705882352941E-2</v>
      </c>
      <c r="L147">
        <v>1.5686274509803921E-2</v>
      </c>
    </row>
    <row r="148" spans="1:12">
      <c r="A148" s="5">
        <f>A147+Calculations!$B$4</f>
        <v>146</v>
      </c>
      <c r="B148" s="2"/>
      <c r="C148" s="2">
        <v>1.9607843137254902E-2</v>
      </c>
      <c r="D148" s="2">
        <v>7.8431372549019607E-3</v>
      </c>
      <c r="E148" s="2">
        <v>7.8431372549019607E-3</v>
      </c>
      <c r="F148" s="2">
        <v>1.5686274509803921E-2</v>
      </c>
      <c r="G148" s="2">
        <v>1.1764705882352941E-2</v>
      </c>
      <c r="H148" s="2">
        <v>1.5686274509803921E-2</v>
      </c>
      <c r="I148" s="2">
        <v>1.5686274509803921E-2</v>
      </c>
      <c r="J148" s="2">
        <v>3.9215686274509803E-3</v>
      </c>
      <c r="K148" s="2">
        <v>1.1764705882352941E-2</v>
      </c>
      <c r="L148">
        <v>1.5686274509803921E-2</v>
      </c>
    </row>
    <row r="149" spans="1:12">
      <c r="A149" s="5">
        <f>A148+Calculations!$B$4</f>
        <v>147</v>
      </c>
      <c r="B149" s="2"/>
      <c r="C149" s="2">
        <v>1.1764705882352941E-2</v>
      </c>
      <c r="D149" s="2">
        <v>1.1764705882352941E-2</v>
      </c>
      <c r="E149" s="2">
        <v>7.8431372549019607E-3</v>
      </c>
      <c r="F149" s="2">
        <v>1.5686274509803921E-2</v>
      </c>
      <c r="G149" s="2">
        <v>1.1764705882352941E-2</v>
      </c>
      <c r="H149" s="2">
        <v>1.5686274509803921E-2</v>
      </c>
      <c r="I149" s="2">
        <v>1.1764705882352941E-2</v>
      </c>
      <c r="J149" s="2">
        <v>1.1764705882352941E-2</v>
      </c>
      <c r="K149" s="2">
        <v>1.1764705882352941E-2</v>
      </c>
      <c r="L149">
        <v>1.1764705882352941E-2</v>
      </c>
    </row>
    <row r="150" spans="1:12">
      <c r="A150" s="5">
        <f>A149+Calculations!$B$4</f>
        <v>148</v>
      </c>
      <c r="B150" s="2"/>
      <c r="C150" s="2">
        <v>7.8431372549019607E-3</v>
      </c>
      <c r="D150" s="2">
        <v>1.1764705882352941E-2</v>
      </c>
      <c r="E150" s="2">
        <v>7.8431372549019607E-3</v>
      </c>
      <c r="F150" s="2">
        <v>1.1764705882352941E-2</v>
      </c>
      <c r="G150" s="2">
        <v>1.1764705882352941E-2</v>
      </c>
      <c r="H150" s="2">
        <v>1.5686274509803921E-2</v>
      </c>
      <c r="I150" s="2">
        <v>1.1764705882352941E-2</v>
      </c>
      <c r="J150" s="2">
        <v>7.8431372549019607E-3</v>
      </c>
      <c r="K150" s="2">
        <v>1.1764705882352941E-2</v>
      </c>
      <c r="L150">
        <v>1.1764705882352941E-2</v>
      </c>
    </row>
    <row r="151" spans="1:12">
      <c r="A151" s="5">
        <f>A150+Calculations!$B$4</f>
        <v>149</v>
      </c>
      <c r="B151" s="2"/>
      <c r="C151" s="2">
        <v>7.8431372549019607E-3</v>
      </c>
      <c r="D151" s="2">
        <v>1.1764705882352941E-2</v>
      </c>
      <c r="E151" s="2">
        <v>7.8431372549019607E-3</v>
      </c>
      <c r="F151" s="2">
        <v>1.5686274509803921E-2</v>
      </c>
      <c r="G151" s="2">
        <v>1.1764705882352941E-2</v>
      </c>
      <c r="H151" s="2">
        <v>1.1764705882352941E-2</v>
      </c>
      <c r="I151" s="2">
        <v>1.5686274509803921E-2</v>
      </c>
      <c r="J151" s="2">
        <v>1.1764705882352941E-2</v>
      </c>
      <c r="K151" s="2">
        <v>1.1764705882352941E-2</v>
      </c>
      <c r="L151">
        <v>1.1764705882352941E-2</v>
      </c>
    </row>
    <row r="152" spans="1:12">
      <c r="A152" s="5">
        <f>A151+Calculations!$B$4</f>
        <v>150</v>
      </c>
      <c r="B152" s="2"/>
      <c r="C152" s="2">
        <v>7.8431372549019607E-3</v>
      </c>
      <c r="D152" s="2">
        <v>7.8431372549019607E-3</v>
      </c>
      <c r="E152" s="2">
        <v>7.8431372549019607E-3</v>
      </c>
      <c r="F152" s="2">
        <v>1.1764705882352941E-2</v>
      </c>
      <c r="G152" s="2">
        <v>1.1764705882352941E-2</v>
      </c>
      <c r="H152" s="2">
        <v>1.1764705882352941E-2</v>
      </c>
      <c r="I152" s="2">
        <v>1.1764705882352941E-2</v>
      </c>
      <c r="J152" s="2">
        <v>7.8431372549019607E-3</v>
      </c>
      <c r="K152" s="2">
        <v>1.1764705882352941E-2</v>
      </c>
      <c r="L152">
        <v>1.1764705882352941E-2</v>
      </c>
    </row>
    <row r="153" spans="1:12">
      <c r="A153" s="5"/>
      <c r="B153" s="2"/>
      <c r="C153" s="2">
        <v>0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>
        <v>0</v>
      </c>
    </row>
    <row r="154" spans="1:12">
      <c r="A154" s="5"/>
      <c r="B154" s="2"/>
      <c r="C154" s="2"/>
      <c r="D154" s="2"/>
      <c r="E154" s="2"/>
      <c r="F154" s="2"/>
      <c r="G154" s="2"/>
      <c r="H154" s="2"/>
      <c r="I154" s="2"/>
      <c r="J154" s="2"/>
      <c r="K154" s="2"/>
    </row>
    <row r="155" spans="1:12">
      <c r="A155" s="5"/>
      <c r="B155" s="2"/>
      <c r="C155" s="2"/>
      <c r="D155" s="2"/>
      <c r="E155" s="2"/>
      <c r="F155" s="2"/>
      <c r="G155" s="2"/>
      <c r="H155" s="2"/>
      <c r="I155" s="2"/>
      <c r="J155" s="2"/>
      <c r="K155" s="2"/>
    </row>
    <row r="156" spans="1:12">
      <c r="A156" s="5"/>
      <c r="B156" s="2"/>
      <c r="C156" s="2"/>
      <c r="D156" s="2"/>
      <c r="E156" s="2"/>
      <c r="F156" s="2"/>
      <c r="G156" s="2"/>
      <c r="H156" s="2"/>
      <c r="I156" s="2"/>
      <c r="J156" s="2"/>
      <c r="K156" s="2"/>
    </row>
    <row r="157" spans="1:12">
      <c r="A157" s="5"/>
      <c r="B157" s="2"/>
      <c r="C157" s="2"/>
      <c r="D157" s="2"/>
      <c r="E157" s="2"/>
      <c r="F157" s="2"/>
      <c r="G157" s="2"/>
      <c r="H157" s="2"/>
      <c r="I157" s="2"/>
      <c r="J157" s="2"/>
      <c r="K157" s="2"/>
    </row>
    <row r="158" spans="1:12">
      <c r="A158" s="5"/>
      <c r="B158" s="2"/>
      <c r="C158" s="2"/>
      <c r="D158" s="2"/>
      <c r="E158" s="2"/>
      <c r="F158" s="2"/>
      <c r="G158" s="2"/>
      <c r="H158" s="2"/>
      <c r="I158" s="2"/>
      <c r="J158" s="2"/>
      <c r="K158" s="2"/>
    </row>
    <row r="159" spans="1:12">
      <c r="A159" s="5"/>
      <c r="B159" s="2"/>
      <c r="C159" s="2"/>
      <c r="D159" s="2"/>
      <c r="E159" s="2"/>
      <c r="F159" s="2"/>
      <c r="G159" s="2"/>
      <c r="H159" s="2"/>
      <c r="I159" s="2"/>
      <c r="J159" s="2"/>
      <c r="K159" s="2"/>
    </row>
    <row r="160" spans="1:12">
      <c r="A160" s="5"/>
      <c r="B160" s="2"/>
      <c r="C160" s="2"/>
      <c r="D160" s="2"/>
      <c r="E160" s="2"/>
      <c r="F160" s="2"/>
      <c r="G160" s="2"/>
      <c r="H160" s="2"/>
      <c r="I160" s="2"/>
      <c r="J160" s="2"/>
      <c r="K160" s="2"/>
    </row>
    <row r="161" spans="1:11">
      <c r="A161" s="5"/>
      <c r="B161" s="2"/>
      <c r="C161" s="2"/>
      <c r="D161" s="2"/>
      <c r="E161" s="2"/>
      <c r="F161" s="2"/>
      <c r="G161" s="2"/>
      <c r="H161" s="2"/>
      <c r="I161" s="2"/>
      <c r="J161" s="2"/>
      <c r="K161" s="2"/>
    </row>
    <row r="162" spans="1:11">
      <c r="A162" s="5"/>
      <c r="B162" s="2"/>
      <c r="C162" s="2"/>
      <c r="D162" s="2"/>
      <c r="E162" s="2"/>
      <c r="F162" s="2"/>
      <c r="G162" s="2"/>
      <c r="H162" s="2"/>
      <c r="I162" s="2"/>
      <c r="J162" s="2"/>
      <c r="K162" s="2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AG153"/>
  <sheetViews>
    <sheetView zoomScale="80" zoomScaleNormal="80" workbookViewId="0">
      <pane ySplit="9165" topLeftCell="A141" activePane="bottomLeft"/>
      <selection sqref="A1:A1048576"/>
      <selection pane="bottomLeft" activeCell="A153" sqref="A153"/>
    </sheetView>
  </sheetViews>
  <sheetFormatPr defaultRowHeight="15"/>
  <cols>
    <col min="1" max="1" width="11" style="5" bestFit="1" customWidth="1"/>
    <col min="2" max="32" width="6" style="2" customWidth="1"/>
    <col min="33" max="33" width="7.140625" style="2" bestFit="1" customWidth="1"/>
    <col min="34" max="16384" width="9.140625" style="2"/>
  </cols>
  <sheetData>
    <row r="1" spans="1:33" s="24" customFormat="1">
      <c r="A1" s="5" t="s">
        <v>25</v>
      </c>
      <c r="B1" s="24">
        <v>0</v>
      </c>
      <c r="C1" s="24">
        <f>B1+1</f>
        <v>1</v>
      </c>
      <c r="D1" s="24">
        <f t="shared" ref="D1:AG1" si="0">C1+1</f>
        <v>2</v>
      </c>
      <c r="E1" s="24">
        <f t="shared" si="0"/>
        <v>3</v>
      </c>
      <c r="F1" s="24">
        <f t="shared" si="0"/>
        <v>4</v>
      </c>
      <c r="G1" s="24">
        <f t="shared" si="0"/>
        <v>5</v>
      </c>
      <c r="H1" s="24">
        <f t="shared" si="0"/>
        <v>6</v>
      </c>
      <c r="I1" s="24">
        <f t="shared" si="0"/>
        <v>7</v>
      </c>
      <c r="J1" s="24">
        <f t="shared" si="0"/>
        <v>8</v>
      </c>
      <c r="K1" s="24">
        <f t="shared" si="0"/>
        <v>9</v>
      </c>
      <c r="L1" s="24">
        <f t="shared" si="0"/>
        <v>10</v>
      </c>
      <c r="M1" s="24">
        <f t="shared" si="0"/>
        <v>11</v>
      </c>
      <c r="N1" s="24">
        <f t="shared" si="0"/>
        <v>12</v>
      </c>
      <c r="O1" s="24">
        <f t="shared" si="0"/>
        <v>13</v>
      </c>
      <c r="P1" s="24">
        <f t="shared" si="0"/>
        <v>14</v>
      </c>
      <c r="Q1" s="24">
        <f t="shared" si="0"/>
        <v>15</v>
      </c>
      <c r="R1" s="24">
        <f t="shared" si="0"/>
        <v>16</v>
      </c>
      <c r="S1" s="24">
        <f t="shared" si="0"/>
        <v>17</v>
      </c>
      <c r="T1" s="24">
        <f t="shared" si="0"/>
        <v>18</v>
      </c>
      <c r="U1" s="24">
        <f t="shared" si="0"/>
        <v>19</v>
      </c>
      <c r="V1" s="24">
        <f t="shared" si="0"/>
        <v>20</v>
      </c>
      <c r="W1" s="24">
        <f t="shared" si="0"/>
        <v>21</v>
      </c>
      <c r="X1" s="24">
        <f t="shared" si="0"/>
        <v>22</v>
      </c>
      <c r="Y1" s="24">
        <f t="shared" si="0"/>
        <v>23</v>
      </c>
      <c r="Z1" s="24">
        <f t="shared" si="0"/>
        <v>24</v>
      </c>
      <c r="AA1" s="24">
        <f t="shared" si="0"/>
        <v>25</v>
      </c>
      <c r="AB1" s="24">
        <f t="shared" si="0"/>
        <v>26</v>
      </c>
      <c r="AC1" s="24">
        <f t="shared" si="0"/>
        <v>27</v>
      </c>
      <c r="AD1" s="24">
        <f t="shared" si="0"/>
        <v>28</v>
      </c>
      <c r="AE1" s="24">
        <f t="shared" si="0"/>
        <v>29</v>
      </c>
      <c r="AF1" s="24">
        <f t="shared" si="0"/>
        <v>30</v>
      </c>
      <c r="AG1" s="24">
        <f t="shared" si="0"/>
        <v>31</v>
      </c>
    </row>
    <row r="2" spans="1:33">
      <c r="A2" s="5">
        <f>Calculations!B3</f>
        <v>0</v>
      </c>
      <c r="C2" s="2">
        <v>0</v>
      </c>
      <c r="D2" s="2">
        <v>0</v>
      </c>
      <c r="E2" s="2">
        <v>0.23529411764705882</v>
      </c>
      <c r="F2" s="2">
        <v>0.19607843137254902</v>
      </c>
      <c r="G2" s="2">
        <v>0.38431372549019605</v>
      </c>
      <c r="H2" s="2">
        <v>9.8039215686274508E-2</v>
      </c>
      <c r="I2" s="2">
        <v>0.57647058823529407</v>
      </c>
      <c r="J2" s="2">
        <v>0.41960784313725491</v>
      </c>
      <c r="K2" s="2">
        <v>0.12156862745098039</v>
      </c>
      <c r="L2" s="2">
        <v>0.1803921568627451</v>
      </c>
    </row>
    <row r="3" spans="1:33">
      <c r="A3" s="5">
        <f>A2+Calculations!$B$4</f>
        <v>1</v>
      </c>
      <c r="C3" s="2">
        <v>0.90588235294117647</v>
      </c>
      <c r="D3" s="2">
        <v>0.90980392156862744</v>
      </c>
      <c r="E3" s="2">
        <v>0.88235294117647056</v>
      </c>
      <c r="F3" s="2">
        <v>0.92549019607843142</v>
      </c>
      <c r="G3" s="2">
        <v>0.95294117647058818</v>
      </c>
      <c r="H3" s="2">
        <v>0.999</v>
      </c>
      <c r="I3" s="2">
        <v>0.999</v>
      </c>
      <c r="J3" s="2">
        <v>0.99607843137254903</v>
      </c>
      <c r="K3" s="2">
        <v>0.94901960784313721</v>
      </c>
      <c r="L3" s="2">
        <v>0.999</v>
      </c>
    </row>
    <row r="4" spans="1:33">
      <c r="A4" s="5">
        <f>A3+Calculations!$B$4</f>
        <v>2</v>
      </c>
      <c r="C4" s="2">
        <v>0.89803921568627454</v>
      </c>
      <c r="D4" s="2">
        <v>0.89803921568627454</v>
      </c>
      <c r="E4" s="2">
        <v>0.8784313725490196</v>
      </c>
      <c r="F4" s="2">
        <v>0.92549019607843142</v>
      </c>
      <c r="G4" s="2">
        <v>0.94901960784313721</v>
      </c>
      <c r="H4" s="2">
        <v>0.999</v>
      </c>
      <c r="I4" s="2">
        <v>0.999</v>
      </c>
      <c r="J4" s="2">
        <v>0.99607843137254903</v>
      </c>
      <c r="K4" s="2">
        <v>0.94509803921568625</v>
      </c>
      <c r="L4" s="2">
        <v>0.999</v>
      </c>
    </row>
    <row r="5" spans="1:33">
      <c r="A5" s="5">
        <f>A4+Calculations!$B$4</f>
        <v>3</v>
      </c>
      <c r="C5" s="2">
        <v>0.90196078431372551</v>
      </c>
      <c r="D5" s="2">
        <v>0.90588235294117647</v>
      </c>
      <c r="E5" s="2">
        <v>0.8901960784313725</v>
      </c>
      <c r="F5" s="2">
        <v>0.93333333333333335</v>
      </c>
      <c r="G5" s="2">
        <v>0.95686274509803915</v>
      </c>
      <c r="H5" s="2">
        <v>0.999</v>
      </c>
      <c r="I5" s="2">
        <v>0.999</v>
      </c>
      <c r="J5" s="2">
        <v>0.999</v>
      </c>
      <c r="K5" s="2">
        <v>0.95686274509803915</v>
      </c>
      <c r="L5" s="2">
        <v>0.999</v>
      </c>
    </row>
    <row r="6" spans="1:33">
      <c r="A6" s="5">
        <f>A5+Calculations!$B$4</f>
        <v>4</v>
      </c>
      <c r="C6" s="2">
        <v>0.9137254901960784</v>
      </c>
      <c r="D6" s="2">
        <v>0.95294117647058818</v>
      </c>
      <c r="E6" s="2">
        <v>0.999</v>
      </c>
      <c r="F6" s="2">
        <v>0.98431372549019602</v>
      </c>
      <c r="G6" s="2">
        <v>0.99215686274509807</v>
      </c>
      <c r="H6" s="2">
        <v>0.999</v>
      </c>
      <c r="I6" s="2">
        <v>0.999</v>
      </c>
      <c r="J6" s="2">
        <v>0.999</v>
      </c>
      <c r="K6" s="2">
        <v>0.999</v>
      </c>
      <c r="L6" s="2">
        <v>0.999</v>
      </c>
    </row>
    <row r="7" spans="1:33">
      <c r="A7" s="5">
        <f>A6+Calculations!$B$4</f>
        <v>5</v>
      </c>
      <c r="C7" s="2">
        <v>0.999</v>
      </c>
      <c r="D7" s="2">
        <v>0.999</v>
      </c>
      <c r="E7" s="2">
        <v>0.999</v>
      </c>
      <c r="F7" s="2">
        <v>0.999</v>
      </c>
      <c r="G7" s="2">
        <v>0.999</v>
      </c>
      <c r="H7" s="2">
        <v>0.999</v>
      </c>
      <c r="I7" s="2">
        <v>0.999</v>
      </c>
      <c r="J7" s="2">
        <v>0.999</v>
      </c>
      <c r="K7" s="2">
        <v>0.999</v>
      </c>
      <c r="L7" s="2">
        <v>0.999</v>
      </c>
    </row>
    <row r="8" spans="1:33">
      <c r="A8" s="5">
        <f>A7+Calculations!$B$4</f>
        <v>6</v>
      </c>
      <c r="C8" s="2">
        <v>0.999</v>
      </c>
      <c r="D8" s="2">
        <v>0.999</v>
      </c>
      <c r="E8" s="2">
        <v>0.999</v>
      </c>
      <c r="F8" s="2">
        <v>0.999</v>
      </c>
      <c r="G8" s="2">
        <v>0.999</v>
      </c>
      <c r="H8" s="2">
        <v>0.999</v>
      </c>
      <c r="I8" s="2">
        <v>0.999</v>
      </c>
      <c r="J8" s="2">
        <v>0.999</v>
      </c>
      <c r="K8" s="2">
        <v>0.999</v>
      </c>
      <c r="L8" s="2">
        <v>0.999</v>
      </c>
    </row>
    <row r="9" spans="1:33">
      <c r="A9" s="5">
        <f>A8+Calculations!$B$4</f>
        <v>7</v>
      </c>
      <c r="C9" s="2">
        <v>0.999</v>
      </c>
      <c r="D9" s="2">
        <v>0.999</v>
      </c>
      <c r="E9" s="2">
        <v>0.999</v>
      </c>
      <c r="F9" s="2">
        <v>0.999</v>
      </c>
      <c r="G9" s="2">
        <v>0.999</v>
      </c>
      <c r="H9" s="2">
        <v>0.999</v>
      </c>
      <c r="I9" s="2">
        <v>0.999</v>
      </c>
      <c r="J9" s="2">
        <v>0.999</v>
      </c>
      <c r="K9" s="2">
        <v>0.999</v>
      </c>
      <c r="L9" s="2">
        <v>0.999</v>
      </c>
    </row>
    <row r="10" spans="1:33">
      <c r="A10" s="5">
        <f>A9+Calculations!$B$4</f>
        <v>8</v>
      </c>
      <c r="C10" s="2">
        <v>0.999</v>
      </c>
      <c r="D10" s="2">
        <v>0.999</v>
      </c>
      <c r="E10" s="2">
        <v>0.999</v>
      </c>
      <c r="F10" s="2">
        <v>0.999</v>
      </c>
      <c r="G10" s="2">
        <v>0.999</v>
      </c>
      <c r="H10" s="2">
        <v>0.999</v>
      </c>
      <c r="I10" s="2">
        <v>0.999</v>
      </c>
      <c r="J10" s="2">
        <v>0.999</v>
      </c>
      <c r="K10" s="2">
        <v>0.999</v>
      </c>
      <c r="L10" s="2">
        <v>0.999</v>
      </c>
    </row>
    <row r="11" spans="1:33">
      <c r="A11" s="5">
        <f>A10+Calculations!$B$4</f>
        <v>9</v>
      </c>
      <c r="C11" s="2">
        <v>0.999</v>
      </c>
      <c r="D11" s="2">
        <v>0.999</v>
      </c>
      <c r="E11" s="2">
        <v>0.999</v>
      </c>
      <c r="F11" s="2">
        <v>0.999</v>
      </c>
      <c r="G11" s="2">
        <v>0.999</v>
      </c>
      <c r="H11" s="2">
        <v>0.999</v>
      </c>
      <c r="I11" s="2">
        <v>0.999</v>
      </c>
      <c r="J11" s="2">
        <v>0.999</v>
      </c>
      <c r="K11" s="2">
        <v>0.999</v>
      </c>
      <c r="L11" s="2">
        <v>0.999</v>
      </c>
    </row>
    <row r="12" spans="1:33">
      <c r="A12" s="5">
        <f>A11+Calculations!$B$4</f>
        <v>10</v>
      </c>
      <c r="C12" s="2">
        <v>0.999</v>
      </c>
      <c r="D12" s="2">
        <v>0.999</v>
      </c>
      <c r="E12" s="2">
        <v>0.999</v>
      </c>
      <c r="F12" s="2">
        <v>0.999</v>
      </c>
      <c r="G12" s="2">
        <v>0.999</v>
      </c>
      <c r="H12" s="2">
        <v>0.999</v>
      </c>
      <c r="I12" s="2">
        <v>0.999</v>
      </c>
      <c r="J12" s="2">
        <v>0.999</v>
      </c>
      <c r="K12" s="2">
        <v>0.999</v>
      </c>
      <c r="L12" s="2">
        <v>0.999</v>
      </c>
    </row>
    <row r="13" spans="1:33">
      <c r="A13" s="5">
        <f>A12+Calculations!$B$4</f>
        <v>11</v>
      </c>
      <c r="C13" s="2">
        <v>0.999</v>
      </c>
      <c r="D13" s="2">
        <v>0.99607843137254903</v>
      </c>
      <c r="E13" s="2">
        <v>0.999</v>
      </c>
      <c r="F13" s="2">
        <v>0.999</v>
      </c>
      <c r="G13" s="2">
        <v>0.999</v>
      </c>
      <c r="H13" s="2">
        <v>0.999</v>
      </c>
      <c r="I13" s="2">
        <v>0.999</v>
      </c>
      <c r="J13" s="2">
        <v>0.999</v>
      </c>
      <c r="K13" s="2">
        <v>0.999</v>
      </c>
      <c r="L13" s="2">
        <v>0.999</v>
      </c>
    </row>
    <row r="14" spans="1:33">
      <c r="A14" s="5">
        <f>A13+Calculations!$B$4</f>
        <v>12</v>
      </c>
      <c r="C14" s="2">
        <v>0.999</v>
      </c>
      <c r="D14" s="2">
        <v>0.98039215686274506</v>
      </c>
      <c r="E14" s="2">
        <v>0.98431372549019602</v>
      </c>
      <c r="F14" s="2">
        <v>0.999</v>
      </c>
      <c r="G14" s="2">
        <v>0.999</v>
      </c>
      <c r="H14" s="2">
        <v>0.999</v>
      </c>
      <c r="I14" s="2">
        <v>0.999</v>
      </c>
      <c r="J14" s="2">
        <v>0.999</v>
      </c>
      <c r="K14" s="2">
        <v>0.99215686274509807</v>
      </c>
      <c r="L14" s="2">
        <v>0.999</v>
      </c>
    </row>
    <row r="15" spans="1:33">
      <c r="A15" s="5">
        <f>A14+Calculations!$B$4</f>
        <v>13</v>
      </c>
      <c r="C15" s="2">
        <v>0.999</v>
      </c>
      <c r="D15" s="2">
        <v>0.95686274509803915</v>
      </c>
      <c r="E15" s="2">
        <v>0.96078431372549022</v>
      </c>
      <c r="F15" s="2">
        <v>0.98431372549019602</v>
      </c>
      <c r="G15" s="2">
        <v>0.999</v>
      </c>
      <c r="H15" s="2">
        <v>0.999</v>
      </c>
      <c r="I15" s="2">
        <v>0.999</v>
      </c>
      <c r="J15" s="2">
        <v>0.99607843137254903</v>
      </c>
      <c r="K15" s="2">
        <v>0.96862745098039216</v>
      </c>
      <c r="L15" s="2">
        <v>0.999</v>
      </c>
    </row>
    <row r="16" spans="1:33">
      <c r="A16" s="5">
        <f>A15+Calculations!$B$4</f>
        <v>14</v>
      </c>
      <c r="C16" s="2">
        <v>0.999</v>
      </c>
      <c r="D16" s="2">
        <v>0.92941176470588238</v>
      </c>
      <c r="E16" s="2">
        <v>0.90588235294117647</v>
      </c>
      <c r="F16" s="2">
        <v>0.94509803921568625</v>
      </c>
      <c r="G16" s="2">
        <v>0.99215686274509807</v>
      </c>
      <c r="H16" s="2">
        <v>0.999</v>
      </c>
      <c r="I16" s="2">
        <v>0.999</v>
      </c>
      <c r="J16" s="2">
        <v>0.96470588235294119</v>
      </c>
      <c r="K16" s="2">
        <v>0.90588235294117647</v>
      </c>
      <c r="L16" s="2">
        <v>0.97647058823529409</v>
      </c>
    </row>
    <row r="17" spans="1:12">
      <c r="A17" s="5">
        <f>A16+Calculations!$B$4</f>
        <v>15</v>
      </c>
      <c r="C17" s="2">
        <v>0.97647058823529409</v>
      </c>
      <c r="D17" s="2">
        <v>0.85882352941176465</v>
      </c>
      <c r="E17" s="2">
        <v>0.80392156862745101</v>
      </c>
      <c r="F17" s="2">
        <v>0.8666666666666667</v>
      </c>
      <c r="G17" s="2">
        <v>0.90588235294117647</v>
      </c>
      <c r="H17" s="2">
        <v>0.999</v>
      </c>
      <c r="I17" s="2">
        <v>0.90588235294117647</v>
      </c>
      <c r="J17" s="2">
        <v>0.8901960784313725</v>
      </c>
      <c r="K17" s="2">
        <v>0.80392156862745101</v>
      </c>
      <c r="L17" s="2">
        <v>0.8666666666666667</v>
      </c>
    </row>
    <row r="18" spans="1:12">
      <c r="A18" s="5">
        <f>A17+Calculations!$B$4</f>
        <v>16</v>
      </c>
      <c r="C18" s="2">
        <v>0.92156862745098034</v>
      </c>
      <c r="D18" s="2">
        <v>0.76078431372549016</v>
      </c>
      <c r="E18" s="2">
        <v>0.71764705882352942</v>
      </c>
      <c r="F18" s="2">
        <v>0.76862745098039209</v>
      </c>
      <c r="G18" s="2">
        <v>0.80784313725490198</v>
      </c>
      <c r="H18" s="2">
        <v>0.89803921568627454</v>
      </c>
      <c r="I18" s="2">
        <v>0.80392156862745101</v>
      </c>
      <c r="J18" s="2">
        <v>0.792156862745098</v>
      </c>
      <c r="K18" s="2">
        <v>0.71764705882352942</v>
      </c>
      <c r="L18" s="2">
        <v>0.77254901960784317</v>
      </c>
    </row>
    <row r="19" spans="1:12">
      <c r="A19" s="5">
        <f>A18+Calculations!$B$4</f>
        <v>17</v>
      </c>
      <c r="C19" s="2">
        <v>0.82352941176470584</v>
      </c>
      <c r="D19" s="2">
        <v>0.67843137254901964</v>
      </c>
      <c r="E19" s="2">
        <v>0.6470588235294118</v>
      </c>
      <c r="F19" s="2">
        <v>0.68627450980392157</v>
      </c>
      <c r="G19" s="2">
        <v>0.72549019607843135</v>
      </c>
      <c r="H19" s="2">
        <v>0.81176470588235294</v>
      </c>
      <c r="I19" s="2">
        <v>0.72549019607843135</v>
      </c>
      <c r="J19" s="2">
        <v>0.70980392156862748</v>
      </c>
      <c r="K19" s="2">
        <v>0.63921568627450975</v>
      </c>
      <c r="L19" s="2">
        <v>0.69411764705882351</v>
      </c>
    </row>
    <row r="20" spans="1:12">
      <c r="A20" s="5">
        <f>A19+Calculations!$B$4</f>
        <v>18</v>
      </c>
      <c r="C20" s="2">
        <v>0.74117647058823533</v>
      </c>
      <c r="D20" s="2">
        <v>0.61176470588235299</v>
      </c>
      <c r="E20" s="2">
        <v>0.58039215686274503</v>
      </c>
      <c r="F20" s="2">
        <v>0.62352941176470589</v>
      </c>
      <c r="G20" s="2">
        <v>0.65490196078431373</v>
      </c>
      <c r="H20" s="2">
        <v>0.72941176470588232</v>
      </c>
      <c r="I20" s="2">
        <v>0.65098039215686276</v>
      </c>
      <c r="J20" s="2">
        <v>0.64313725490196072</v>
      </c>
      <c r="K20" s="2">
        <v>0.58039215686274503</v>
      </c>
      <c r="L20" s="2">
        <v>0.62745098039215685</v>
      </c>
    </row>
    <row r="21" spans="1:12">
      <c r="A21" s="5">
        <f>A20+Calculations!$B$4</f>
        <v>19</v>
      </c>
      <c r="C21" s="2">
        <v>0.6705882352941176</v>
      </c>
      <c r="D21" s="2">
        <v>0.55294117647058827</v>
      </c>
      <c r="E21" s="2">
        <v>0.52549019607843139</v>
      </c>
      <c r="F21" s="2">
        <v>0.56470588235294117</v>
      </c>
      <c r="G21" s="2">
        <v>0.59215686274509804</v>
      </c>
      <c r="H21" s="2">
        <v>0.65490196078431373</v>
      </c>
      <c r="I21" s="2">
        <v>0.59215686274509804</v>
      </c>
      <c r="J21" s="2">
        <v>0.58039215686274503</v>
      </c>
      <c r="K21" s="2">
        <v>0.52549019607843139</v>
      </c>
      <c r="L21" s="2">
        <v>0.56862745098039214</v>
      </c>
    </row>
    <row r="22" spans="1:12">
      <c r="A22" s="5">
        <f>A21+Calculations!$B$4</f>
        <v>20</v>
      </c>
      <c r="C22" s="2">
        <v>0.61176470588235299</v>
      </c>
      <c r="D22" s="2">
        <v>0.50588235294117645</v>
      </c>
      <c r="E22" s="2">
        <v>0.47843137254901957</v>
      </c>
      <c r="F22" s="2">
        <v>0.50980392156862742</v>
      </c>
      <c r="G22" s="2">
        <v>0.54117647058823526</v>
      </c>
      <c r="H22" s="2">
        <v>0.59607843137254901</v>
      </c>
      <c r="I22" s="2">
        <v>0.53725490196078429</v>
      </c>
      <c r="J22" s="2">
        <v>0.52941176470588236</v>
      </c>
      <c r="K22" s="2">
        <v>0.47450980392156861</v>
      </c>
      <c r="L22" s="2">
        <v>0.51764705882352935</v>
      </c>
    </row>
    <row r="23" spans="1:12">
      <c r="A23" s="5">
        <f>A22+Calculations!$B$4</f>
        <v>21</v>
      </c>
      <c r="C23" s="2">
        <v>0.5607843137254902</v>
      </c>
      <c r="D23" s="2">
        <v>0.45490196078431372</v>
      </c>
      <c r="E23" s="2">
        <v>0.4392156862745098</v>
      </c>
      <c r="F23" s="2">
        <v>0.46666666666666667</v>
      </c>
      <c r="G23" s="2">
        <v>0.49411764705882355</v>
      </c>
      <c r="H23" s="2">
        <v>0.5490196078431373</v>
      </c>
      <c r="I23" s="2">
        <v>0.49019607843137253</v>
      </c>
      <c r="J23" s="2">
        <v>0.4823529411764706</v>
      </c>
      <c r="K23" s="2">
        <v>0.43529411764705883</v>
      </c>
      <c r="L23" s="2">
        <v>0.47450980392156861</v>
      </c>
    </row>
    <row r="24" spans="1:12">
      <c r="A24" s="5">
        <f>A23+Calculations!$B$4</f>
        <v>22</v>
      </c>
      <c r="C24" s="2">
        <v>0.50980392156862742</v>
      </c>
      <c r="D24" s="2">
        <v>0.41960784313725491</v>
      </c>
      <c r="E24" s="2">
        <v>0.4</v>
      </c>
      <c r="F24" s="2">
        <v>0.42745098039215684</v>
      </c>
      <c r="G24" s="2">
        <v>0.45490196078431372</v>
      </c>
      <c r="H24" s="2">
        <v>0.50196078431372548</v>
      </c>
      <c r="I24" s="2">
        <v>0.45098039215686275</v>
      </c>
      <c r="J24" s="2">
        <v>0.4392156862745098</v>
      </c>
      <c r="K24" s="2">
        <v>0.4</v>
      </c>
      <c r="L24" s="2">
        <v>0.43529411764705883</v>
      </c>
    </row>
    <row r="25" spans="1:12">
      <c r="A25" s="5">
        <f>A24+Calculations!$B$4</f>
        <v>23</v>
      </c>
      <c r="C25" s="2">
        <v>0.47450980392156861</v>
      </c>
      <c r="D25" s="2">
        <v>0.38823529411764707</v>
      </c>
      <c r="E25" s="2">
        <v>0.36862745098039218</v>
      </c>
      <c r="F25" s="2">
        <v>0.396078431372549</v>
      </c>
      <c r="G25" s="2">
        <v>0.41568627450980389</v>
      </c>
      <c r="H25" s="2">
        <v>0.45882352941176469</v>
      </c>
      <c r="I25" s="2">
        <v>0.41568627450980389</v>
      </c>
      <c r="J25" s="2">
        <v>0.40784313725490196</v>
      </c>
      <c r="K25" s="2">
        <v>0.36862745098039218</v>
      </c>
      <c r="L25" s="2">
        <v>0.4</v>
      </c>
    </row>
    <row r="26" spans="1:12">
      <c r="A26" s="5">
        <f>A25+Calculations!$B$4</f>
        <v>24</v>
      </c>
      <c r="C26" s="2">
        <v>0.42745098039215684</v>
      </c>
      <c r="D26" s="2">
        <v>0.35686274509803922</v>
      </c>
      <c r="E26" s="2">
        <v>0.3411764705882353</v>
      </c>
      <c r="F26" s="2">
        <v>0.36470588235294116</v>
      </c>
      <c r="G26" s="2">
        <v>0.38431372549019605</v>
      </c>
      <c r="H26" s="2">
        <v>0.42352941176470588</v>
      </c>
      <c r="I26" s="2">
        <v>0.38039215686274508</v>
      </c>
      <c r="J26" s="2">
        <v>0.37647058823529411</v>
      </c>
      <c r="K26" s="2">
        <v>0.3411764705882353</v>
      </c>
      <c r="L26" s="2">
        <v>0.36862745098039218</v>
      </c>
    </row>
    <row r="27" spans="1:12">
      <c r="A27" s="5">
        <f>A26+Calculations!$B$4</f>
        <v>25</v>
      </c>
      <c r="C27" s="2">
        <v>0.40784313725490196</v>
      </c>
      <c r="D27" s="2">
        <v>0.32941176470588235</v>
      </c>
      <c r="E27" s="2">
        <v>0.31372549019607843</v>
      </c>
      <c r="F27" s="2">
        <v>0.33333333333333331</v>
      </c>
      <c r="G27" s="2">
        <v>0.35686274509803922</v>
      </c>
      <c r="H27" s="2">
        <v>0.396078431372549</v>
      </c>
      <c r="I27" s="2">
        <v>0.35686274509803922</v>
      </c>
      <c r="J27" s="2">
        <v>0.34901960784313724</v>
      </c>
      <c r="K27" s="2">
        <v>0.31372549019607843</v>
      </c>
      <c r="L27" s="2">
        <v>0.34509803921568627</v>
      </c>
    </row>
    <row r="28" spans="1:12">
      <c r="A28" s="5">
        <f>A27+Calculations!$B$4</f>
        <v>26</v>
      </c>
      <c r="C28" s="2">
        <v>0.37254901960784315</v>
      </c>
      <c r="D28" s="2">
        <v>0.30588235294117649</v>
      </c>
      <c r="E28" s="2">
        <v>0.29411764705882354</v>
      </c>
      <c r="F28" s="2">
        <v>0.30588235294117649</v>
      </c>
      <c r="G28" s="2">
        <v>0.32941176470588235</v>
      </c>
      <c r="H28" s="2">
        <v>0.36862745098039218</v>
      </c>
      <c r="I28" s="2">
        <v>0.32941176470588235</v>
      </c>
      <c r="J28" s="2">
        <v>0.32549019607843138</v>
      </c>
      <c r="K28" s="2">
        <v>0.29411764705882354</v>
      </c>
      <c r="L28" s="2">
        <v>0.31764705882352939</v>
      </c>
    </row>
    <row r="29" spans="1:12">
      <c r="A29" s="5">
        <f>A28+Calculations!$B$4</f>
        <v>27</v>
      </c>
      <c r="C29" s="2">
        <v>0.34509803921568627</v>
      </c>
      <c r="D29" s="2">
        <v>0.28235294117647058</v>
      </c>
      <c r="E29" s="2">
        <v>0.27450980392156865</v>
      </c>
      <c r="F29" s="2">
        <v>0.28627450980392155</v>
      </c>
      <c r="G29" s="2">
        <v>0.30196078431372547</v>
      </c>
      <c r="H29" s="2">
        <v>0.3411764705882353</v>
      </c>
      <c r="I29" s="2">
        <v>0.30196078431372547</v>
      </c>
      <c r="J29" s="2">
        <v>0.30196078431372547</v>
      </c>
      <c r="K29" s="2">
        <v>0.27058823529411763</v>
      </c>
      <c r="L29" s="2">
        <v>0.29019607843137252</v>
      </c>
    </row>
    <row r="30" spans="1:12">
      <c r="A30" s="5">
        <f>A29+Calculations!$B$4</f>
        <v>28</v>
      </c>
      <c r="C30" s="2">
        <v>0.32549019607843138</v>
      </c>
      <c r="D30" s="2">
        <v>0.26666666666666666</v>
      </c>
      <c r="E30" s="2">
        <v>0.25490196078431371</v>
      </c>
      <c r="F30" s="2">
        <v>0.26666666666666666</v>
      </c>
      <c r="G30" s="2">
        <v>0.28235294117647058</v>
      </c>
      <c r="H30" s="2">
        <v>0.31764705882352939</v>
      </c>
      <c r="I30" s="2">
        <v>0.28235294117647058</v>
      </c>
      <c r="J30" s="2">
        <v>0.28627450980392155</v>
      </c>
      <c r="K30" s="2">
        <v>0.24705882352941178</v>
      </c>
      <c r="L30" s="2">
        <v>0.27450980392156865</v>
      </c>
    </row>
    <row r="31" spans="1:12">
      <c r="A31" s="5">
        <f>A30+Calculations!$B$4</f>
        <v>29</v>
      </c>
      <c r="C31" s="2">
        <v>0.30588235294117649</v>
      </c>
      <c r="D31" s="2">
        <v>0.25098039215686274</v>
      </c>
      <c r="E31" s="2">
        <v>0.23921568627450979</v>
      </c>
      <c r="F31" s="2">
        <v>0.25098039215686274</v>
      </c>
      <c r="G31" s="2">
        <v>0.2627450980392157</v>
      </c>
      <c r="H31" s="2">
        <v>0.29411764705882354</v>
      </c>
      <c r="I31" s="2">
        <v>0.2627450980392157</v>
      </c>
      <c r="J31" s="2">
        <v>0.26666666666666666</v>
      </c>
      <c r="K31" s="2">
        <v>0.23529411764705882</v>
      </c>
      <c r="L31" s="2">
        <v>0.25490196078431371</v>
      </c>
    </row>
    <row r="32" spans="1:12">
      <c r="A32" s="5">
        <f>A31+Calculations!$B$4</f>
        <v>30</v>
      </c>
      <c r="C32" s="2">
        <v>0.28235294117647058</v>
      </c>
      <c r="D32" s="2">
        <v>0.23529411764705882</v>
      </c>
      <c r="E32" s="2">
        <v>0.22745098039215686</v>
      </c>
      <c r="F32" s="2">
        <v>0.23529411764705882</v>
      </c>
      <c r="G32" s="2">
        <v>0.24705882352941178</v>
      </c>
      <c r="H32" s="2">
        <v>0.27450980392156865</v>
      </c>
      <c r="I32" s="2">
        <v>0.24705882352941178</v>
      </c>
      <c r="J32" s="2">
        <v>0.25098039215686274</v>
      </c>
      <c r="K32" s="2">
        <v>0.2196078431372549</v>
      </c>
      <c r="L32" s="2">
        <v>0.23921568627450979</v>
      </c>
    </row>
    <row r="33" spans="1:12">
      <c r="A33" s="5">
        <f>A32+Calculations!$B$4</f>
        <v>31</v>
      </c>
      <c r="C33" s="2">
        <v>0.26666666666666666</v>
      </c>
      <c r="D33" s="2">
        <v>0.2196078431372549</v>
      </c>
      <c r="E33" s="2">
        <v>0.21176470588235294</v>
      </c>
      <c r="F33" s="2">
        <v>0.2196078431372549</v>
      </c>
      <c r="G33" s="2">
        <v>0.23529411764705882</v>
      </c>
      <c r="H33" s="2">
        <v>0.25882352941176467</v>
      </c>
      <c r="I33" s="2">
        <v>0.23137254901960785</v>
      </c>
      <c r="J33" s="2">
        <v>0.23529411764705882</v>
      </c>
      <c r="K33" s="2">
        <v>0.20392156862745098</v>
      </c>
      <c r="L33" s="2">
        <v>0.22352941176470587</v>
      </c>
    </row>
    <row r="34" spans="1:12">
      <c r="A34" s="5">
        <f>A33+Calculations!$B$4</f>
        <v>32</v>
      </c>
      <c r="C34" s="2">
        <v>0.25098039215686274</v>
      </c>
      <c r="D34" s="2">
        <v>0.20784313725490194</v>
      </c>
      <c r="E34" s="2">
        <v>0.2</v>
      </c>
      <c r="F34" s="2">
        <v>0.20784313725490194</v>
      </c>
      <c r="G34" s="2">
        <v>0.2196078431372549</v>
      </c>
      <c r="H34" s="2">
        <v>0.24313725490196078</v>
      </c>
      <c r="I34" s="2">
        <v>0.2196078431372549</v>
      </c>
      <c r="J34" s="2">
        <v>0.22352941176470587</v>
      </c>
      <c r="K34" s="2">
        <v>0.19215686274509802</v>
      </c>
      <c r="L34" s="2">
        <v>0.21176470588235294</v>
      </c>
    </row>
    <row r="35" spans="1:12">
      <c r="A35" s="5">
        <f>A34+Calculations!$B$4</f>
        <v>33</v>
      </c>
      <c r="C35" s="2">
        <v>0.23529411764705882</v>
      </c>
      <c r="D35" s="2">
        <v>0.19607843137254902</v>
      </c>
      <c r="E35" s="2">
        <v>0.18823529411764706</v>
      </c>
      <c r="F35" s="2">
        <v>0.19607843137254902</v>
      </c>
      <c r="G35" s="2">
        <v>0.20784313725490194</v>
      </c>
      <c r="H35" s="2">
        <v>0.23137254901960785</v>
      </c>
      <c r="I35" s="2">
        <v>0.20784313725490194</v>
      </c>
      <c r="J35" s="2">
        <v>0.21176470588235294</v>
      </c>
      <c r="K35" s="2">
        <v>0.1803921568627451</v>
      </c>
      <c r="L35" s="2">
        <v>0.2</v>
      </c>
    </row>
    <row r="36" spans="1:12">
      <c r="A36" s="5">
        <f>A35+Calculations!$B$4</f>
        <v>34</v>
      </c>
      <c r="C36" s="2">
        <v>0.22352941176470587</v>
      </c>
      <c r="D36" s="2">
        <v>0.1803921568627451</v>
      </c>
      <c r="E36" s="2">
        <v>0.1803921568627451</v>
      </c>
      <c r="F36" s="2">
        <v>0.18431372549019609</v>
      </c>
      <c r="G36" s="2">
        <v>0.19607843137254902</v>
      </c>
      <c r="H36" s="2">
        <v>0.22352941176470587</v>
      </c>
      <c r="I36" s="2">
        <v>0.19607843137254902</v>
      </c>
      <c r="J36" s="2">
        <v>0.19607843137254902</v>
      </c>
      <c r="K36" s="2">
        <v>0.17254901960784313</v>
      </c>
      <c r="L36" s="2">
        <v>0.18823529411764706</v>
      </c>
    </row>
    <row r="37" spans="1:12">
      <c r="A37" s="5">
        <f>A36+Calculations!$B$4</f>
        <v>35</v>
      </c>
      <c r="C37" s="2">
        <v>0.21176470588235294</v>
      </c>
      <c r="D37" s="2">
        <v>0.17254901960784313</v>
      </c>
      <c r="E37" s="2">
        <v>0.16470588235294117</v>
      </c>
      <c r="F37" s="2">
        <v>0.16862745098039217</v>
      </c>
      <c r="G37" s="2">
        <v>0.18431372549019609</v>
      </c>
      <c r="H37" s="2">
        <v>0.20392156862745098</v>
      </c>
      <c r="I37" s="2">
        <v>0.18431372549019609</v>
      </c>
      <c r="J37" s="2">
        <v>0.18823529411764706</v>
      </c>
      <c r="K37" s="2">
        <v>0.16078431372549018</v>
      </c>
      <c r="L37" s="2">
        <v>0.1764705882352941</v>
      </c>
    </row>
    <row r="38" spans="1:12">
      <c r="A38" s="5">
        <f>A37+Calculations!$B$4</f>
        <v>36</v>
      </c>
      <c r="C38" s="2">
        <v>0.2</v>
      </c>
      <c r="D38" s="2">
        <v>0.16078431372549018</v>
      </c>
      <c r="E38" s="2">
        <v>0.16078431372549018</v>
      </c>
      <c r="F38" s="2">
        <v>0.16470588235294117</v>
      </c>
      <c r="G38" s="2">
        <v>0.1764705882352941</v>
      </c>
      <c r="H38" s="2">
        <v>0.19215686274509802</v>
      </c>
      <c r="I38" s="2">
        <v>0.17254901960784313</v>
      </c>
      <c r="J38" s="2">
        <v>0.1764705882352941</v>
      </c>
      <c r="K38" s="2">
        <v>0.15294117647058825</v>
      </c>
      <c r="L38" s="2">
        <v>0.16862745098039217</v>
      </c>
    </row>
    <row r="39" spans="1:12">
      <c r="A39" s="5">
        <f>A38+Calculations!$B$4</f>
        <v>37</v>
      </c>
      <c r="C39" s="2">
        <v>0.19215686274509802</v>
      </c>
      <c r="D39" s="2">
        <v>0.15686274509803921</v>
      </c>
      <c r="E39" s="2">
        <v>0.14901960784313725</v>
      </c>
      <c r="F39" s="2">
        <v>0.15686274509803921</v>
      </c>
      <c r="G39" s="2">
        <v>0.16470588235294117</v>
      </c>
      <c r="H39" s="2">
        <v>0.18431372549019609</v>
      </c>
      <c r="I39" s="2">
        <v>0.16470588235294117</v>
      </c>
      <c r="J39" s="2">
        <v>0.16862745098039217</v>
      </c>
      <c r="K39" s="2">
        <v>0.14509803921568626</v>
      </c>
      <c r="L39" s="2">
        <v>0.16078431372549018</v>
      </c>
    </row>
    <row r="40" spans="1:12">
      <c r="A40" s="5">
        <f>A39+Calculations!$B$4</f>
        <v>38</v>
      </c>
      <c r="C40" s="2">
        <v>0.1803921568627451</v>
      </c>
      <c r="D40" s="2">
        <v>0.14901960784313725</v>
      </c>
      <c r="E40" s="2">
        <v>0.14509803921568626</v>
      </c>
      <c r="F40" s="2">
        <v>0.14901960784313725</v>
      </c>
      <c r="G40" s="2">
        <v>0.15686274509803921</v>
      </c>
      <c r="H40" s="2">
        <v>0.1764705882352941</v>
      </c>
      <c r="I40" s="2">
        <v>0.15686274509803921</v>
      </c>
      <c r="J40" s="2">
        <v>0.16078431372549018</v>
      </c>
      <c r="K40" s="2">
        <v>0.13725490196078433</v>
      </c>
      <c r="L40" s="2">
        <v>0.15294117647058825</v>
      </c>
    </row>
    <row r="41" spans="1:12">
      <c r="A41" s="5">
        <f>A40+Calculations!$B$4</f>
        <v>39</v>
      </c>
      <c r="C41" s="2">
        <v>0.17254901960784313</v>
      </c>
      <c r="D41" s="2">
        <v>0.14117647058823529</v>
      </c>
      <c r="E41" s="2">
        <v>0.13725490196078433</v>
      </c>
      <c r="F41" s="2">
        <v>0.14117647058823529</v>
      </c>
      <c r="G41" s="2">
        <v>0.14901960784313725</v>
      </c>
      <c r="H41" s="2">
        <v>0.16470588235294117</v>
      </c>
      <c r="I41" s="2">
        <v>0.14901960784313725</v>
      </c>
      <c r="J41" s="2">
        <v>0.15294117647058825</v>
      </c>
      <c r="K41" s="2">
        <v>0.12941176470588234</v>
      </c>
      <c r="L41" s="2">
        <v>0.14509803921568626</v>
      </c>
    </row>
    <row r="42" spans="1:12">
      <c r="A42" s="5">
        <f>A41+Calculations!$B$4</f>
        <v>40</v>
      </c>
      <c r="C42" s="2">
        <v>0.16470588235294117</v>
      </c>
      <c r="D42" s="2">
        <v>0.13333333333333333</v>
      </c>
      <c r="E42" s="2">
        <v>0.12941176470588234</v>
      </c>
      <c r="F42" s="2">
        <v>0.13333333333333333</v>
      </c>
      <c r="G42" s="2">
        <v>0.14117647058823529</v>
      </c>
      <c r="H42" s="2">
        <v>0.15686274509803921</v>
      </c>
      <c r="I42" s="2">
        <v>0.13725490196078433</v>
      </c>
      <c r="J42" s="2">
        <v>0.14509803921568626</v>
      </c>
      <c r="K42" s="2">
        <v>0.12549019607843137</v>
      </c>
      <c r="L42" s="2">
        <v>0.13725490196078433</v>
      </c>
    </row>
    <row r="43" spans="1:12">
      <c r="A43" s="5">
        <f>A42+Calculations!$B$4</f>
        <v>41</v>
      </c>
      <c r="C43" s="2">
        <v>0.15686274509803921</v>
      </c>
      <c r="D43" s="2">
        <v>0.12549019607843137</v>
      </c>
      <c r="E43" s="2">
        <v>0.12549019607843137</v>
      </c>
      <c r="F43" s="2">
        <v>0.12941176470588234</v>
      </c>
      <c r="G43" s="2">
        <v>0.13725490196078433</v>
      </c>
      <c r="H43" s="2">
        <v>0.15294117647058825</v>
      </c>
      <c r="I43" s="2">
        <v>0.13725490196078433</v>
      </c>
      <c r="J43" s="2">
        <v>0.13725490196078433</v>
      </c>
      <c r="K43" s="2">
        <v>0.11764705882352941</v>
      </c>
      <c r="L43" s="2">
        <v>0.12941176470588234</v>
      </c>
    </row>
    <row r="44" spans="1:12">
      <c r="A44" s="5">
        <f>A43+Calculations!$B$4</f>
        <v>42</v>
      </c>
      <c r="C44" s="2">
        <v>0.14901960784313725</v>
      </c>
      <c r="D44" s="2">
        <v>0.12156862745098039</v>
      </c>
      <c r="E44" s="2">
        <v>0.11764705882352941</v>
      </c>
      <c r="F44" s="2">
        <v>0.12156862745098039</v>
      </c>
      <c r="G44" s="2">
        <v>0.12941176470588234</v>
      </c>
      <c r="H44" s="2">
        <v>0.14509803921568626</v>
      </c>
      <c r="I44" s="2">
        <v>0.12941176470588234</v>
      </c>
      <c r="J44" s="2">
        <v>0.13333333333333333</v>
      </c>
      <c r="K44" s="2">
        <v>0.11372549019607843</v>
      </c>
      <c r="L44" s="2">
        <v>0.12549019607843137</v>
      </c>
    </row>
    <row r="45" spans="1:12">
      <c r="A45" s="5">
        <f>A44+Calculations!$B$4</f>
        <v>43</v>
      </c>
      <c r="C45" s="2">
        <v>0.14117647058823529</v>
      </c>
      <c r="D45" s="2">
        <v>0.11764705882352941</v>
      </c>
      <c r="E45" s="2">
        <v>0.10980392156862745</v>
      </c>
      <c r="F45" s="2">
        <v>0.11764705882352941</v>
      </c>
      <c r="G45" s="2">
        <v>0.12549019607843137</v>
      </c>
      <c r="H45" s="2">
        <v>0.13725490196078433</v>
      </c>
      <c r="I45" s="2">
        <v>0.12156862745098039</v>
      </c>
      <c r="J45" s="2">
        <v>0.12941176470588234</v>
      </c>
      <c r="K45" s="2">
        <v>0.10980392156862745</v>
      </c>
      <c r="L45" s="2">
        <v>0.11764705882352941</v>
      </c>
    </row>
    <row r="46" spans="1:12">
      <c r="A46" s="5">
        <f>A45+Calculations!$B$4</f>
        <v>44</v>
      </c>
      <c r="C46" s="2">
        <v>0.13725490196078433</v>
      </c>
      <c r="D46" s="2">
        <v>0.11372549019607843</v>
      </c>
      <c r="E46" s="2">
        <v>0.10980392156862745</v>
      </c>
      <c r="F46" s="2">
        <v>0.11372549019607843</v>
      </c>
      <c r="G46" s="2">
        <v>0.11764705882352941</v>
      </c>
      <c r="H46" s="2">
        <v>0.13333333333333333</v>
      </c>
      <c r="I46" s="2">
        <v>0.11764705882352941</v>
      </c>
      <c r="J46" s="2">
        <v>0.11764705882352941</v>
      </c>
      <c r="K46" s="2">
        <v>0.10196078431372549</v>
      </c>
      <c r="L46" s="2">
        <v>0.11372549019607843</v>
      </c>
    </row>
    <row r="47" spans="1:12">
      <c r="A47" s="5">
        <f>A46+Calculations!$B$4</f>
        <v>45</v>
      </c>
      <c r="C47" s="2">
        <v>0.12941176470588234</v>
      </c>
      <c r="D47" s="2">
        <v>0.10196078431372549</v>
      </c>
      <c r="E47" s="2">
        <v>0.10588235294117647</v>
      </c>
      <c r="F47" s="2">
        <v>0.10588235294117647</v>
      </c>
      <c r="G47" s="2">
        <v>0.11372549019607843</v>
      </c>
      <c r="H47" s="2">
        <v>0.12549019607843137</v>
      </c>
      <c r="I47" s="2">
        <v>0.11372549019607843</v>
      </c>
      <c r="J47" s="2">
        <v>0.11764705882352941</v>
      </c>
      <c r="K47" s="2">
        <v>9.8039215686274508E-2</v>
      </c>
      <c r="L47" s="2">
        <v>0.10980392156862745</v>
      </c>
    </row>
    <row r="48" spans="1:12">
      <c r="A48" s="5">
        <f>A47+Calculations!$B$4</f>
        <v>46</v>
      </c>
      <c r="C48" s="2">
        <v>0.12549019607843137</v>
      </c>
      <c r="D48" s="2">
        <v>0.10196078431372549</v>
      </c>
      <c r="E48" s="2">
        <v>0.10196078431372549</v>
      </c>
      <c r="F48" s="2">
        <v>0.10196078431372549</v>
      </c>
      <c r="G48" s="2">
        <v>0.10980392156862745</v>
      </c>
      <c r="H48" s="2">
        <v>0.12156862745098039</v>
      </c>
      <c r="I48" s="2">
        <v>0.10980392156862745</v>
      </c>
      <c r="J48" s="2">
        <v>0.11372549019607843</v>
      </c>
      <c r="K48" s="2">
        <v>9.4117647058823528E-2</v>
      </c>
      <c r="L48" s="2">
        <v>0.10588235294117647</v>
      </c>
    </row>
    <row r="49" spans="1:12">
      <c r="A49" s="5">
        <f>A48+Calculations!$B$4</f>
        <v>47</v>
      </c>
      <c r="C49" s="2">
        <v>0.12156862745098039</v>
      </c>
      <c r="D49" s="2">
        <v>9.8039215686274508E-2</v>
      </c>
      <c r="E49" s="2">
        <v>9.8039215686274508E-2</v>
      </c>
      <c r="F49" s="2">
        <v>9.8039215686274508E-2</v>
      </c>
      <c r="G49" s="2">
        <v>0.10196078431372549</v>
      </c>
      <c r="H49" s="2">
        <v>0.11372549019607843</v>
      </c>
      <c r="I49" s="2">
        <v>0.10196078431372549</v>
      </c>
      <c r="J49" s="2">
        <v>0.10980392156862745</v>
      </c>
      <c r="K49" s="2">
        <v>9.0196078431372548E-2</v>
      </c>
      <c r="L49" s="2">
        <v>0.10196078431372549</v>
      </c>
    </row>
    <row r="50" spans="1:12">
      <c r="A50" s="5">
        <f>A49+Calculations!$B$4</f>
        <v>48</v>
      </c>
      <c r="C50" s="2">
        <v>0.11372549019607843</v>
      </c>
      <c r="D50" s="2">
        <v>9.8039215686274508E-2</v>
      </c>
      <c r="E50" s="2">
        <v>9.4117647058823528E-2</v>
      </c>
      <c r="F50" s="2">
        <v>9.4117647058823528E-2</v>
      </c>
      <c r="G50" s="2">
        <v>9.8039215686274508E-2</v>
      </c>
      <c r="H50" s="2">
        <v>0.10980392156862745</v>
      </c>
      <c r="I50" s="2">
        <v>9.8039215686274508E-2</v>
      </c>
      <c r="J50" s="2">
        <v>0.10196078431372549</v>
      </c>
      <c r="K50" s="2">
        <v>8.6274509803921567E-2</v>
      </c>
      <c r="L50" s="2">
        <v>9.4117647058823528E-2</v>
      </c>
    </row>
    <row r="51" spans="1:12">
      <c r="A51" s="5">
        <f>A50+Calculations!$B$4</f>
        <v>49</v>
      </c>
      <c r="C51" s="2">
        <v>0.10980392156862745</v>
      </c>
      <c r="D51" s="2">
        <v>9.0196078431372548E-2</v>
      </c>
      <c r="E51" s="2">
        <v>8.6274509803921567E-2</v>
      </c>
      <c r="F51" s="2">
        <v>9.0196078431372548E-2</v>
      </c>
      <c r="G51" s="2">
        <v>9.8039215686274508E-2</v>
      </c>
      <c r="H51" s="2">
        <v>0.10588235294117647</v>
      </c>
      <c r="I51" s="2">
        <v>9.8039215686274508E-2</v>
      </c>
      <c r="J51" s="2">
        <v>9.8039215686274508E-2</v>
      </c>
      <c r="K51" s="2">
        <v>8.2352941176470587E-2</v>
      </c>
      <c r="L51" s="2">
        <v>9.4117647058823528E-2</v>
      </c>
    </row>
    <row r="52" spans="1:12">
      <c r="A52" s="5">
        <f>A51+Calculations!$B$4</f>
        <v>50</v>
      </c>
      <c r="C52" s="2">
        <v>0.10980392156862745</v>
      </c>
      <c r="D52" s="2">
        <v>8.6274509803921567E-2</v>
      </c>
      <c r="E52" s="2">
        <v>8.6274509803921567E-2</v>
      </c>
      <c r="F52" s="2">
        <v>8.6274509803921567E-2</v>
      </c>
      <c r="G52" s="2">
        <v>9.0196078431372548E-2</v>
      </c>
      <c r="H52" s="2">
        <v>0.10588235294117647</v>
      </c>
      <c r="I52" s="2">
        <v>9.0196078431372548E-2</v>
      </c>
      <c r="J52" s="2">
        <v>9.4117647058823528E-2</v>
      </c>
      <c r="K52" s="2">
        <v>7.8431372549019607E-2</v>
      </c>
      <c r="L52" s="2">
        <v>9.0196078431372548E-2</v>
      </c>
    </row>
    <row r="53" spans="1:12">
      <c r="A53" s="5">
        <f>A52+Calculations!$B$4</f>
        <v>51</v>
      </c>
      <c r="C53" s="2">
        <v>0.10196078431372549</v>
      </c>
      <c r="D53" s="2">
        <v>8.6274509803921567E-2</v>
      </c>
      <c r="E53" s="2">
        <v>8.2352941176470587E-2</v>
      </c>
      <c r="F53" s="2">
        <v>8.2352941176470587E-2</v>
      </c>
      <c r="G53" s="2">
        <v>9.0196078431372548E-2</v>
      </c>
      <c r="H53" s="2">
        <v>9.8039215686274508E-2</v>
      </c>
      <c r="I53" s="2">
        <v>9.0196078431372548E-2</v>
      </c>
      <c r="J53" s="2">
        <v>8.6274509803921567E-2</v>
      </c>
      <c r="K53" s="2">
        <v>7.8431372549019607E-2</v>
      </c>
      <c r="L53" s="2">
        <v>8.6274509803921567E-2</v>
      </c>
    </row>
    <row r="54" spans="1:12">
      <c r="A54" s="5">
        <f>A53+Calculations!$B$4</f>
        <v>52</v>
      </c>
      <c r="C54" s="2">
        <v>9.4117647058823528E-2</v>
      </c>
      <c r="D54" s="2">
        <v>7.8431372549019607E-2</v>
      </c>
      <c r="E54" s="2">
        <v>7.0588235294117646E-2</v>
      </c>
      <c r="F54" s="2">
        <v>8.2352941176470587E-2</v>
      </c>
      <c r="G54" s="2">
        <v>8.6274509803921567E-2</v>
      </c>
      <c r="H54" s="2">
        <v>9.4117647058823528E-2</v>
      </c>
      <c r="I54" s="2">
        <v>8.6274509803921567E-2</v>
      </c>
      <c r="J54" s="2">
        <v>8.2352941176470587E-2</v>
      </c>
      <c r="K54" s="2">
        <v>7.4509803921568626E-2</v>
      </c>
      <c r="L54" s="2">
        <v>8.2352941176470587E-2</v>
      </c>
    </row>
    <row r="55" spans="1:12">
      <c r="A55" s="5">
        <f>A54+Calculations!$B$4</f>
        <v>53</v>
      </c>
      <c r="C55" s="2">
        <v>9.8039215686274508E-2</v>
      </c>
      <c r="D55" s="2">
        <v>7.8431372549019607E-2</v>
      </c>
      <c r="E55" s="2">
        <v>7.4509803921568626E-2</v>
      </c>
      <c r="F55" s="2">
        <v>7.8431372549019607E-2</v>
      </c>
      <c r="G55" s="2">
        <v>8.2352941176470587E-2</v>
      </c>
      <c r="H55" s="2">
        <v>9.0196078431372548E-2</v>
      </c>
      <c r="I55" s="2">
        <v>8.2352941176470587E-2</v>
      </c>
      <c r="J55" s="2">
        <v>7.8431372549019607E-2</v>
      </c>
      <c r="K55" s="2">
        <v>7.0588235294117646E-2</v>
      </c>
      <c r="L55" s="2">
        <v>7.8431372549019607E-2</v>
      </c>
    </row>
    <row r="56" spans="1:12">
      <c r="A56" s="5">
        <f>A55+Calculations!$B$4</f>
        <v>54</v>
      </c>
      <c r="C56" s="2">
        <v>9.4117647058823528E-2</v>
      </c>
      <c r="D56" s="2">
        <v>7.8431372549019607E-2</v>
      </c>
      <c r="E56" s="2">
        <v>7.0588235294117646E-2</v>
      </c>
      <c r="F56" s="2">
        <v>7.4509803921568626E-2</v>
      </c>
      <c r="G56" s="2">
        <v>7.8431372549019607E-2</v>
      </c>
      <c r="H56" s="2">
        <v>8.6274509803921567E-2</v>
      </c>
      <c r="I56" s="2">
        <v>7.8431372549019607E-2</v>
      </c>
      <c r="J56" s="2">
        <v>7.8431372549019607E-2</v>
      </c>
      <c r="K56" s="2">
        <v>6.6666666666666666E-2</v>
      </c>
      <c r="L56" s="2">
        <v>7.4509803921568626E-2</v>
      </c>
    </row>
    <row r="57" spans="1:12">
      <c r="A57" s="5">
        <f>A56+Calculations!$B$4</f>
        <v>55</v>
      </c>
      <c r="C57" s="2">
        <v>9.0196078431372548E-2</v>
      </c>
      <c r="D57" s="2">
        <v>7.4509803921568626E-2</v>
      </c>
      <c r="E57" s="2">
        <v>7.0588235294117646E-2</v>
      </c>
      <c r="F57" s="2">
        <v>7.0588235294117646E-2</v>
      </c>
      <c r="G57" s="2">
        <v>7.4509803921568626E-2</v>
      </c>
      <c r="H57" s="2">
        <v>8.6274509803921567E-2</v>
      </c>
      <c r="I57" s="2">
        <v>7.4509803921568626E-2</v>
      </c>
      <c r="J57" s="2">
        <v>7.8431372549019607E-2</v>
      </c>
      <c r="K57" s="2">
        <v>6.6666666666666666E-2</v>
      </c>
      <c r="L57" s="2">
        <v>7.4509803921568626E-2</v>
      </c>
    </row>
    <row r="58" spans="1:12">
      <c r="A58" s="5">
        <f>A57+Calculations!$B$4</f>
        <v>56</v>
      </c>
      <c r="C58" s="2">
        <v>8.2352941176470587E-2</v>
      </c>
      <c r="D58" s="2">
        <v>7.0588235294117646E-2</v>
      </c>
      <c r="E58" s="2">
        <v>7.0588235294117646E-2</v>
      </c>
      <c r="F58" s="2">
        <v>7.0588235294117646E-2</v>
      </c>
      <c r="G58" s="2">
        <v>7.4509803921568626E-2</v>
      </c>
      <c r="H58" s="2">
        <v>8.2352941176470587E-2</v>
      </c>
      <c r="I58" s="2">
        <v>7.4509803921568626E-2</v>
      </c>
      <c r="J58" s="2">
        <v>7.4509803921568626E-2</v>
      </c>
      <c r="K58" s="2">
        <v>6.2745098039215685E-2</v>
      </c>
      <c r="L58" s="2">
        <v>7.0588235294117646E-2</v>
      </c>
    </row>
    <row r="59" spans="1:12">
      <c r="A59" s="5">
        <f>A58+Calculations!$B$4</f>
        <v>57</v>
      </c>
      <c r="C59" s="2">
        <v>8.2352941176470587E-2</v>
      </c>
      <c r="D59" s="2">
        <v>7.0588235294117646E-2</v>
      </c>
      <c r="E59" s="2">
        <v>6.6666666666666666E-2</v>
      </c>
      <c r="F59" s="2">
        <v>6.6666666666666666E-2</v>
      </c>
      <c r="G59" s="2">
        <v>7.0588235294117646E-2</v>
      </c>
      <c r="H59" s="2">
        <v>7.8431372549019607E-2</v>
      </c>
      <c r="I59" s="2">
        <v>7.0588235294117646E-2</v>
      </c>
      <c r="J59" s="2">
        <v>6.6666666666666666E-2</v>
      </c>
      <c r="K59" s="2">
        <v>6.2745098039215685E-2</v>
      </c>
      <c r="L59" s="2">
        <v>7.0588235294117646E-2</v>
      </c>
    </row>
    <row r="60" spans="1:12">
      <c r="A60" s="5">
        <f>A59+Calculations!$B$4</f>
        <v>58</v>
      </c>
      <c r="C60" s="2">
        <v>7.8431372549019607E-2</v>
      </c>
      <c r="D60" s="2">
        <v>6.6666666666666666E-2</v>
      </c>
      <c r="E60" s="2">
        <v>6.2745098039215685E-2</v>
      </c>
      <c r="F60" s="2">
        <v>6.6666666666666666E-2</v>
      </c>
      <c r="G60" s="2">
        <v>6.6666666666666666E-2</v>
      </c>
      <c r="H60" s="2">
        <v>7.4509803921568626E-2</v>
      </c>
      <c r="I60" s="2">
        <v>7.0588235294117646E-2</v>
      </c>
      <c r="J60" s="2">
        <v>6.6666666666666666E-2</v>
      </c>
      <c r="K60" s="2">
        <v>5.8823529411764705E-2</v>
      </c>
      <c r="L60" s="2">
        <v>6.6666666666666666E-2</v>
      </c>
    </row>
    <row r="61" spans="1:12">
      <c r="A61" s="5">
        <f>A60+Calculations!$B$4</f>
        <v>59</v>
      </c>
      <c r="C61" s="2">
        <v>7.8431372549019607E-2</v>
      </c>
      <c r="D61" s="2">
        <v>6.2745098039215685E-2</v>
      </c>
      <c r="E61" s="2">
        <v>5.8823529411764705E-2</v>
      </c>
      <c r="F61" s="2">
        <v>6.2745098039215685E-2</v>
      </c>
      <c r="G61" s="2">
        <v>6.6666666666666666E-2</v>
      </c>
      <c r="H61" s="2">
        <v>7.4509803921568626E-2</v>
      </c>
      <c r="I61" s="2">
        <v>6.6666666666666666E-2</v>
      </c>
      <c r="J61" s="2">
        <v>6.2745098039215685E-2</v>
      </c>
      <c r="K61" s="2">
        <v>5.8823529411764705E-2</v>
      </c>
      <c r="L61" s="2">
        <v>6.6666666666666666E-2</v>
      </c>
    </row>
    <row r="62" spans="1:12">
      <c r="A62" s="5">
        <f>A61+Calculations!$B$4</f>
        <v>60</v>
      </c>
      <c r="C62" s="2">
        <v>7.4509803921568626E-2</v>
      </c>
      <c r="D62" s="2">
        <v>5.8823529411764705E-2</v>
      </c>
      <c r="E62" s="2">
        <v>5.4901960784313725E-2</v>
      </c>
      <c r="F62" s="2">
        <v>6.2745098039215685E-2</v>
      </c>
      <c r="G62" s="2">
        <v>6.2745098039215685E-2</v>
      </c>
      <c r="H62" s="2">
        <v>7.0588235294117646E-2</v>
      </c>
      <c r="I62" s="2">
        <v>6.6666666666666666E-2</v>
      </c>
      <c r="J62" s="2">
        <v>6.2745098039215685E-2</v>
      </c>
      <c r="K62" s="2">
        <v>5.4901960784313725E-2</v>
      </c>
      <c r="L62" s="2">
        <v>6.2745098039215685E-2</v>
      </c>
    </row>
    <row r="63" spans="1:12">
      <c r="A63" s="5">
        <f>A62+Calculations!$B$4</f>
        <v>61</v>
      </c>
      <c r="C63" s="2">
        <v>6.6666666666666666E-2</v>
      </c>
      <c r="D63" s="2">
        <v>5.4901960784313725E-2</v>
      </c>
      <c r="E63" s="2">
        <v>5.0980392156862744E-2</v>
      </c>
      <c r="F63" s="2">
        <v>5.8823529411764705E-2</v>
      </c>
      <c r="G63" s="2">
        <v>6.2745098039215685E-2</v>
      </c>
      <c r="H63" s="2">
        <v>7.0588235294117646E-2</v>
      </c>
      <c r="I63" s="2">
        <v>6.2745098039215685E-2</v>
      </c>
      <c r="J63" s="2">
        <v>5.8823529411764705E-2</v>
      </c>
      <c r="K63" s="2">
        <v>5.4901960784313725E-2</v>
      </c>
      <c r="L63" s="2">
        <v>6.2745098039215685E-2</v>
      </c>
    </row>
    <row r="64" spans="1:12">
      <c r="A64" s="5">
        <f>A63+Calculations!$B$4</f>
        <v>62</v>
      </c>
      <c r="C64" s="2">
        <v>6.6666666666666666E-2</v>
      </c>
      <c r="D64" s="2">
        <v>5.0980392156862744E-2</v>
      </c>
      <c r="E64" s="2">
        <v>5.0980392156862744E-2</v>
      </c>
      <c r="F64" s="2">
        <v>5.8823529411764705E-2</v>
      </c>
      <c r="G64" s="2">
        <v>5.8823529411764705E-2</v>
      </c>
      <c r="H64" s="2">
        <v>6.6666666666666666E-2</v>
      </c>
      <c r="I64" s="2">
        <v>6.2745098039215685E-2</v>
      </c>
      <c r="J64" s="2">
        <v>5.8823529411764705E-2</v>
      </c>
      <c r="K64" s="2">
        <v>5.4901960784313725E-2</v>
      </c>
      <c r="L64" s="2">
        <v>5.8823529411764705E-2</v>
      </c>
    </row>
    <row r="65" spans="1:12">
      <c r="A65" s="5">
        <f>A64+Calculations!$B$4</f>
        <v>63</v>
      </c>
      <c r="C65" s="2">
        <v>6.2745098039215685E-2</v>
      </c>
      <c r="D65" s="2">
        <v>5.0980392156862744E-2</v>
      </c>
      <c r="E65" s="2">
        <v>5.0980392156862744E-2</v>
      </c>
      <c r="F65" s="2">
        <v>5.4901960784313725E-2</v>
      </c>
      <c r="G65" s="2">
        <v>5.8823529411764705E-2</v>
      </c>
      <c r="H65" s="2">
        <v>6.6666666666666666E-2</v>
      </c>
      <c r="I65" s="2">
        <v>5.8823529411764705E-2</v>
      </c>
      <c r="J65" s="2">
        <v>5.4901960784313725E-2</v>
      </c>
      <c r="K65" s="2">
        <v>5.0980392156862744E-2</v>
      </c>
      <c r="L65" s="2">
        <v>5.8823529411764705E-2</v>
      </c>
    </row>
    <row r="66" spans="1:12">
      <c r="A66" s="5">
        <f>A65+Calculations!$B$4</f>
        <v>64</v>
      </c>
      <c r="C66" s="2">
        <v>5.8823529411764705E-2</v>
      </c>
      <c r="D66" s="2">
        <v>4.7058823529411764E-2</v>
      </c>
      <c r="E66" s="2">
        <v>5.0980392156862744E-2</v>
      </c>
      <c r="F66" s="2">
        <v>5.4901960784313725E-2</v>
      </c>
      <c r="G66" s="2">
        <v>5.8823529411764705E-2</v>
      </c>
      <c r="H66" s="2">
        <v>6.2745098039215685E-2</v>
      </c>
      <c r="I66" s="2">
        <v>5.8823529411764705E-2</v>
      </c>
      <c r="J66" s="2">
        <v>5.4901960784313725E-2</v>
      </c>
      <c r="K66" s="2">
        <v>5.0980392156862744E-2</v>
      </c>
      <c r="L66" s="2">
        <v>5.4901960784313725E-2</v>
      </c>
    </row>
    <row r="67" spans="1:12">
      <c r="A67" s="5">
        <f>A66+Calculations!$B$4</f>
        <v>65</v>
      </c>
      <c r="C67" s="2">
        <v>5.8823529411764705E-2</v>
      </c>
      <c r="D67" s="2">
        <v>5.0980392156862744E-2</v>
      </c>
      <c r="E67" s="2">
        <v>4.7058823529411764E-2</v>
      </c>
      <c r="F67" s="2">
        <v>5.4901960784313725E-2</v>
      </c>
      <c r="G67" s="2">
        <v>5.4901960784313725E-2</v>
      </c>
      <c r="H67" s="2">
        <v>6.2745098039215685E-2</v>
      </c>
      <c r="I67" s="2">
        <v>5.4901960784313725E-2</v>
      </c>
      <c r="J67" s="2">
        <v>5.4901960784313725E-2</v>
      </c>
      <c r="K67" s="2">
        <v>4.7058823529411764E-2</v>
      </c>
      <c r="L67" s="2">
        <v>5.4901960784313725E-2</v>
      </c>
    </row>
    <row r="68" spans="1:12">
      <c r="A68" s="5">
        <f>A67+Calculations!$B$4</f>
        <v>66</v>
      </c>
      <c r="C68" s="2">
        <v>5.8823529411764705E-2</v>
      </c>
      <c r="D68" s="2">
        <v>4.7058823529411764E-2</v>
      </c>
      <c r="E68" s="2">
        <v>4.7058823529411764E-2</v>
      </c>
      <c r="F68" s="2">
        <v>5.0980392156862744E-2</v>
      </c>
      <c r="G68" s="2">
        <v>5.4901960784313725E-2</v>
      </c>
      <c r="H68" s="2">
        <v>5.8823529411764705E-2</v>
      </c>
      <c r="I68" s="2">
        <v>5.4901960784313725E-2</v>
      </c>
      <c r="J68" s="2">
        <v>5.0980392156862744E-2</v>
      </c>
      <c r="K68" s="2">
        <v>4.7058823529411764E-2</v>
      </c>
      <c r="L68" s="2">
        <v>5.4901960784313725E-2</v>
      </c>
    </row>
    <row r="69" spans="1:12">
      <c r="A69" s="5">
        <f>A68+Calculations!$B$4</f>
        <v>67</v>
      </c>
      <c r="C69" s="2">
        <v>5.4901960784313725E-2</v>
      </c>
      <c r="D69" s="2">
        <v>4.7058823529411764E-2</v>
      </c>
      <c r="E69" s="2">
        <v>4.3137254901960784E-2</v>
      </c>
      <c r="F69" s="2">
        <v>4.7058823529411764E-2</v>
      </c>
      <c r="G69" s="2">
        <v>5.4901960784313725E-2</v>
      </c>
      <c r="H69" s="2">
        <v>5.8823529411764705E-2</v>
      </c>
      <c r="I69" s="2">
        <v>5.4901960784313725E-2</v>
      </c>
      <c r="J69" s="2">
        <v>5.0980392156862744E-2</v>
      </c>
      <c r="K69" s="2">
        <v>4.7058823529411764E-2</v>
      </c>
      <c r="L69" s="2">
        <v>5.0980392156862744E-2</v>
      </c>
    </row>
    <row r="70" spans="1:12">
      <c r="A70" s="5">
        <f>A69+Calculations!$B$4</f>
        <v>68</v>
      </c>
      <c r="C70" s="2">
        <v>5.4901960784313725E-2</v>
      </c>
      <c r="D70" s="2">
        <v>4.7058823529411764E-2</v>
      </c>
      <c r="E70" s="2">
        <v>4.3137254901960784E-2</v>
      </c>
      <c r="F70" s="2">
        <v>5.0980392156862744E-2</v>
      </c>
      <c r="G70" s="2">
        <v>5.0980392156862744E-2</v>
      </c>
      <c r="H70" s="2">
        <v>5.8823529411764705E-2</v>
      </c>
      <c r="I70" s="2">
        <v>5.0980392156862744E-2</v>
      </c>
      <c r="J70" s="2">
        <v>4.7058823529411764E-2</v>
      </c>
      <c r="K70" s="2">
        <v>4.3137254901960784E-2</v>
      </c>
      <c r="L70" s="2">
        <v>5.0980392156862744E-2</v>
      </c>
    </row>
    <row r="71" spans="1:12">
      <c r="A71" s="5">
        <f>A70+Calculations!$B$4</f>
        <v>69</v>
      </c>
      <c r="C71" s="2">
        <v>5.0980392156862744E-2</v>
      </c>
      <c r="D71" s="2">
        <v>4.7058823529411764E-2</v>
      </c>
      <c r="E71" s="2">
        <v>3.9215686274509803E-2</v>
      </c>
      <c r="F71" s="2">
        <v>4.7058823529411764E-2</v>
      </c>
      <c r="G71" s="2">
        <v>5.0980392156862744E-2</v>
      </c>
      <c r="H71" s="2">
        <v>5.8823529411764705E-2</v>
      </c>
      <c r="I71" s="2">
        <v>5.0980392156862744E-2</v>
      </c>
      <c r="J71" s="2">
        <v>4.7058823529411764E-2</v>
      </c>
      <c r="K71" s="2">
        <v>4.3137254901960784E-2</v>
      </c>
      <c r="L71" s="2">
        <v>5.0980392156862744E-2</v>
      </c>
    </row>
    <row r="72" spans="1:12">
      <c r="A72" s="5">
        <f>A71+Calculations!$B$4</f>
        <v>70</v>
      </c>
      <c r="C72" s="2">
        <v>5.0980392156862744E-2</v>
      </c>
      <c r="D72" s="2">
        <v>3.9215686274509803E-2</v>
      </c>
      <c r="E72" s="2">
        <v>3.9215686274509803E-2</v>
      </c>
      <c r="F72" s="2">
        <v>4.7058823529411764E-2</v>
      </c>
      <c r="G72" s="2">
        <v>5.0980392156862744E-2</v>
      </c>
      <c r="H72" s="2">
        <v>4.7058823529411764E-2</v>
      </c>
      <c r="I72" s="2">
        <v>5.0980392156862744E-2</v>
      </c>
      <c r="J72" s="2">
        <v>4.7058823529411764E-2</v>
      </c>
      <c r="K72" s="2">
        <v>4.3137254901960784E-2</v>
      </c>
      <c r="L72" s="2">
        <v>4.7058823529411764E-2</v>
      </c>
    </row>
    <row r="73" spans="1:12">
      <c r="A73" s="5">
        <f>A72+Calculations!$B$4</f>
        <v>71</v>
      </c>
      <c r="C73" s="2">
        <v>5.0980392156862744E-2</v>
      </c>
      <c r="D73" s="2">
        <v>4.3137254901960784E-2</v>
      </c>
      <c r="E73" s="2">
        <v>3.9215686274509803E-2</v>
      </c>
      <c r="F73" s="2">
        <v>4.7058823529411764E-2</v>
      </c>
      <c r="G73" s="2">
        <v>4.7058823529411764E-2</v>
      </c>
      <c r="H73" s="2">
        <v>5.0980392156862744E-2</v>
      </c>
      <c r="I73" s="2">
        <v>4.7058823529411764E-2</v>
      </c>
      <c r="J73" s="2">
        <v>4.7058823529411764E-2</v>
      </c>
      <c r="K73" s="2">
        <v>3.9215686274509803E-2</v>
      </c>
      <c r="L73" s="2">
        <v>4.7058823529411764E-2</v>
      </c>
    </row>
    <row r="74" spans="1:12">
      <c r="A74" s="5">
        <f>A73+Calculations!$B$4</f>
        <v>72</v>
      </c>
      <c r="C74" s="2">
        <v>4.7058823529411764E-2</v>
      </c>
      <c r="D74" s="2">
        <v>4.3137254901960784E-2</v>
      </c>
      <c r="E74" s="2">
        <v>3.9215686274509803E-2</v>
      </c>
      <c r="F74" s="2">
        <v>4.3137254901960784E-2</v>
      </c>
      <c r="G74" s="2">
        <v>4.7058823529411764E-2</v>
      </c>
      <c r="H74" s="2">
        <v>5.0980392156862744E-2</v>
      </c>
      <c r="I74" s="2">
        <v>4.7058823529411764E-2</v>
      </c>
      <c r="J74" s="2">
        <v>4.3137254901960784E-2</v>
      </c>
      <c r="K74" s="2">
        <v>3.9215686274509803E-2</v>
      </c>
      <c r="L74" s="2">
        <v>4.7058823529411764E-2</v>
      </c>
    </row>
    <row r="75" spans="1:12">
      <c r="A75" s="5">
        <f>A74+Calculations!$B$4</f>
        <v>73</v>
      </c>
      <c r="C75" s="2">
        <v>4.7058823529411764E-2</v>
      </c>
      <c r="D75" s="2">
        <v>3.5294117647058823E-2</v>
      </c>
      <c r="E75" s="2">
        <v>3.9215686274509803E-2</v>
      </c>
      <c r="F75" s="2">
        <v>4.3137254901960784E-2</v>
      </c>
      <c r="G75" s="2">
        <v>4.3137254901960784E-2</v>
      </c>
      <c r="H75" s="2">
        <v>5.0980392156862744E-2</v>
      </c>
      <c r="I75" s="2">
        <v>4.7058823529411764E-2</v>
      </c>
      <c r="J75" s="2">
        <v>4.3137254901960784E-2</v>
      </c>
      <c r="K75" s="2">
        <v>3.9215686274509803E-2</v>
      </c>
      <c r="L75" s="2">
        <v>4.3137254901960784E-2</v>
      </c>
    </row>
    <row r="76" spans="1:12">
      <c r="A76" s="5">
        <f>A75+Calculations!$B$4</f>
        <v>74</v>
      </c>
      <c r="C76" s="2">
        <v>4.7058823529411764E-2</v>
      </c>
      <c r="D76" s="2">
        <v>3.9215686274509803E-2</v>
      </c>
      <c r="E76" s="2">
        <v>3.5294117647058823E-2</v>
      </c>
      <c r="F76" s="2">
        <v>4.3137254901960784E-2</v>
      </c>
      <c r="G76" s="2">
        <v>3.9215686274509803E-2</v>
      </c>
      <c r="H76" s="2">
        <v>5.0980392156862744E-2</v>
      </c>
      <c r="I76" s="2">
        <v>4.3137254901960784E-2</v>
      </c>
      <c r="J76" s="2">
        <v>3.9215686274509803E-2</v>
      </c>
      <c r="K76" s="2">
        <v>3.5294117647058823E-2</v>
      </c>
      <c r="L76" s="2">
        <v>4.3137254901960784E-2</v>
      </c>
    </row>
    <row r="77" spans="1:12">
      <c r="A77" s="5">
        <f>A76+Calculations!$B$4</f>
        <v>75</v>
      </c>
      <c r="C77" s="2">
        <v>4.3137254901960784E-2</v>
      </c>
      <c r="D77" s="2">
        <v>3.9215686274509803E-2</v>
      </c>
      <c r="E77" s="2">
        <v>3.5294117647058823E-2</v>
      </c>
      <c r="F77" s="2">
        <v>3.9215686274509803E-2</v>
      </c>
      <c r="G77" s="2">
        <v>4.3137254901960784E-2</v>
      </c>
      <c r="H77" s="2">
        <v>4.7058823529411764E-2</v>
      </c>
      <c r="I77" s="2">
        <v>4.3137254901960784E-2</v>
      </c>
      <c r="J77" s="2">
        <v>3.9215686274509803E-2</v>
      </c>
      <c r="K77" s="2">
        <v>3.1372549019607843E-2</v>
      </c>
      <c r="L77" s="2">
        <v>4.3137254901960784E-2</v>
      </c>
    </row>
    <row r="78" spans="1:12">
      <c r="A78" s="5">
        <f>A77+Calculations!$B$4</f>
        <v>76</v>
      </c>
      <c r="C78" s="2">
        <v>4.3137254901960784E-2</v>
      </c>
      <c r="D78" s="2">
        <v>3.5294117647058823E-2</v>
      </c>
      <c r="E78" s="2">
        <v>3.5294117647058823E-2</v>
      </c>
      <c r="F78" s="2">
        <v>3.9215686274509803E-2</v>
      </c>
      <c r="G78" s="2">
        <v>4.3137254901960784E-2</v>
      </c>
      <c r="H78" s="2">
        <v>4.7058823529411764E-2</v>
      </c>
      <c r="I78" s="2">
        <v>4.3137254901960784E-2</v>
      </c>
      <c r="J78" s="2">
        <v>3.9215686274509803E-2</v>
      </c>
      <c r="K78" s="2">
        <v>3.5294117647058823E-2</v>
      </c>
      <c r="L78" s="2">
        <v>4.3137254901960784E-2</v>
      </c>
    </row>
    <row r="79" spans="1:12">
      <c r="A79" s="5">
        <f>A78+Calculations!$B$4</f>
        <v>77</v>
      </c>
      <c r="C79" s="2">
        <v>4.3137254901960784E-2</v>
      </c>
      <c r="D79" s="2">
        <v>4.3137254901960784E-2</v>
      </c>
      <c r="E79" s="2">
        <v>3.5294117647058823E-2</v>
      </c>
      <c r="F79" s="2">
        <v>3.9215686274509803E-2</v>
      </c>
      <c r="G79" s="2">
        <v>3.9215686274509803E-2</v>
      </c>
      <c r="H79" s="2">
        <v>4.7058823529411764E-2</v>
      </c>
      <c r="I79" s="2">
        <v>3.9215686274509803E-2</v>
      </c>
      <c r="J79" s="2">
        <v>3.9215686274509803E-2</v>
      </c>
      <c r="K79" s="2">
        <v>3.5294117647058823E-2</v>
      </c>
      <c r="L79" s="2">
        <v>3.9215686274509803E-2</v>
      </c>
    </row>
    <row r="80" spans="1:12">
      <c r="A80" s="5">
        <f>A79+Calculations!$B$4</f>
        <v>78</v>
      </c>
      <c r="C80" s="2">
        <v>3.9215686274509803E-2</v>
      </c>
      <c r="D80" s="2">
        <v>3.5294117647058823E-2</v>
      </c>
      <c r="E80" s="2">
        <v>3.1372549019607843E-2</v>
      </c>
      <c r="F80" s="2">
        <v>3.9215686274509803E-2</v>
      </c>
      <c r="G80" s="2">
        <v>3.9215686274509803E-2</v>
      </c>
      <c r="H80" s="2">
        <v>4.7058823529411764E-2</v>
      </c>
      <c r="I80" s="2">
        <v>3.9215686274509803E-2</v>
      </c>
      <c r="J80" s="2">
        <v>3.5294117647058823E-2</v>
      </c>
      <c r="K80" s="2">
        <v>3.5294117647058823E-2</v>
      </c>
      <c r="L80" s="2">
        <v>3.9215686274509803E-2</v>
      </c>
    </row>
    <row r="81" spans="1:33">
      <c r="A81" s="5">
        <f>A80+Calculations!$B$4</f>
        <v>79</v>
      </c>
      <c r="C81" s="2">
        <v>3.9215686274509803E-2</v>
      </c>
      <c r="D81" s="2">
        <v>3.1372549019607843E-2</v>
      </c>
      <c r="E81" s="2">
        <v>3.1372549019607843E-2</v>
      </c>
      <c r="F81" s="2">
        <v>3.5294117647058823E-2</v>
      </c>
      <c r="G81" s="2">
        <v>3.5294117647058823E-2</v>
      </c>
      <c r="H81" s="2">
        <v>4.3137254901960784E-2</v>
      </c>
      <c r="I81" s="2">
        <v>3.9215686274509803E-2</v>
      </c>
      <c r="J81" s="2">
        <v>3.5294117647058823E-2</v>
      </c>
      <c r="K81" s="2">
        <v>3.1372549019607843E-2</v>
      </c>
      <c r="L81" s="2">
        <v>3.9215686274509803E-2</v>
      </c>
    </row>
    <row r="82" spans="1:33">
      <c r="A82" s="5">
        <f>A81+Calculations!$B$4</f>
        <v>80</v>
      </c>
      <c r="C82" s="2">
        <v>3.9215686274509803E-2</v>
      </c>
      <c r="D82" s="2">
        <v>3.1372549019607843E-2</v>
      </c>
      <c r="E82" s="2">
        <v>3.1372549019607843E-2</v>
      </c>
      <c r="F82" s="2">
        <v>3.5294117647058823E-2</v>
      </c>
      <c r="G82" s="2">
        <v>3.5294117647058823E-2</v>
      </c>
      <c r="H82" s="2">
        <v>4.3137254901960784E-2</v>
      </c>
      <c r="I82" s="2">
        <v>3.9215686274509803E-2</v>
      </c>
      <c r="J82" s="2">
        <v>3.5294117647058823E-2</v>
      </c>
      <c r="K82" s="2">
        <v>3.1372549019607843E-2</v>
      </c>
      <c r="L82" s="2">
        <v>3.5294117647058823E-2</v>
      </c>
    </row>
    <row r="83" spans="1:33">
      <c r="A83" s="5">
        <f>A82+Calculations!$B$4</f>
        <v>81</v>
      </c>
      <c r="C83" s="2">
        <v>3.5294117647058823E-2</v>
      </c>
      <c r="D83" s="2">
        <v>3.1372549019607843E-2</v>
      </c>
      <c r="E83" s="2">
        <v>3.1372549019607843E-2</v>
      </c>
      <c r="F83" s="2">
        <v>3.5294117647058823E-2</v>
      </c>
      <c r="G83" s="2">
        <v>3.5294117647058823E-2</v>
      </c>
      <c r="H83" s="2">
        <v>4.3137254901960784E-2</v>
      </c>
      <c r="I83" s="2">
        <v>3.9215686274509803E-2</v>
      </c>
      <c r="J83" s="2">
        <v>3.1372549019607843E-2</v>
      </c>
      <c r="K83" s="2">
        <v>3.1372549019607843E-2</v>
      </c>
      <c r="L83" s="2">
        <v>3.5294117647058823E-2</v>
      </c>
    </row>
    <row r="84" spans="1:33">
      <c r="A84" s="5">
        <f>A83+Calculations!$B$4</f>
        <v>82</v>
      </c>
      <c r="B84" s="48"/>
      <c r="C84" s="48">
        <v>3.5294117647058823E-2</v>
      </c>
      <c r="D84" s="48">
        <v>3.1372549019607843E-2</v>
      </c>
      <c r="E84" s="48">
        <v>2.7450980392156862E-2</v>
      </c>
      <c r="F84" s="48">
        <v>3.5294117647058823E-2</v>
      </c>
      <c r="G84" s="48">
        <v>3.5294117647058823E-2</v>
      </c>
      <c r="H84" s="48">
        <v>3.9215686274509803E-2</v>
      </c>
      <c r="I84" s="48">
        <v>3.9215686274509803E-2</v>
      </c>
      <c r="J84" s="48">
        <v>3.5294117647058823E-2</v>
      </c>
      <c r="K84" s="48">
        <v>3.1372549019607843E-2</v>
      </c>
      <c r="L84" s="48">
        <v>3.5294117647058823E-2</v>
      </c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  <c r="AA84" s="48"/>
      <c r="AB84" s="48"/>
      <c r="AC84" s="48"/>
      <c r="AD84" s="48"/>
      <c r="AE84" s="48"/>
      <c r="AF84" s="48"/>
      <c r="AG84" s="48"/>
    </row>
    <row r="85" spans="1:33">
      <c r="A85" s="5">
        <f>A84+Calculations!$B$4</f>
        <v>83</v>
      </c>
      <c r="C85" s="2">
        <v>3.1372549019607843E-2</v>
      </c>
      <c r="D85" s="2">
        <v>3.1372549019607843E-2</v>
      </c>
      <c r="E85" s="2">
        <v>2.7450980392156862E-2</v>
      </c>
      <c r="F85" s="2">
        <v>3.5294117647058823E-2</v>
      </c>
      <c r="G85" s="2">
        <v>3.5294117647058823E-2</v>
      </c>
      <c r="H85" s="2">
        <v>3.9215686274509803E-2</v>
      </c>
      <c r="I85" s="2">
        <v>3.5294117647058823E-2</v>
      </c>
      <c r="J85" s="2">
        <v>3.1372549019607843E-2</v>
      </c>
      <c r="K85" s="2">
        <v>2.7450980392156862E-2</v>
      </c>
      <c r="L85" s="2">
        <v>3.5294117647058823E-2</v>
      </c>
    </row>
    <row r="86" spans="1:33">
      <c r="A86" s="5">
        <f>A85+Calculations!$B$4</f>
        <v>84</v>
      </c>
      <c r="C86" s="2">
        <v>3.5294117647058823E-2</v>
      </c>
      <c r="D86" s="2">
        <v>2.7450980392156862E-2</v>
      </c>
      <c r="E86" s="2">
        <v>2.7450980392156862E-2</v>
      </c>
      <c r="F86" s="2">
        <v>3.5294117647058823E-2</v>
      </c>
      <c r="G86" s="2">
        <v>3.5294117647058823E-2</v>
      </c>
      <c r="H86" s="2">
        <v>3.9215686274509803E-2</v>
      </c>
      <c r="I86" s="2">
        <v>3.9215686274509803E-2</v>
      </c>
      <c r="J86" s="2">
        <v>3.1372549019607843E-2</v>
      </c>
      <c r="K86" s="2">
        <v>2.7450980392156862E-2</v>
      </c>
      <c r="L86" s="2">
        <v>3.5294117647058823E-2</v>
      </c>
    </row>
    <row r="87" spans="1:33">
      <c r="A87" s="5">
        <f>A86+Calculations!$B$4</f>
        <v>85</v>
      </c>
      <c r="C87" s="2">
        <v>3.5294117647058823E-2</v>
      </c>
      <c r="D87" s="2">
        <v>3.1372549019607843E-2</v>
      </c>
      <c r="E87" s="2">
        <v>2.7450980392156862E-2</v>
      </c>
      <c r="F87" s="2">
        <v>3.1372549019607843E-2</v>
      </c>
      <c r="G87" s="2">
        <v>3.1372549019607843E-2</v>
      </c>
      <c r="H87" s="2">
        <v>3.9215686274509803E-2</v>
      </c>
      <c r="I87" s="2">
        <v>3.5294117647058823E-2</v>
      </c>
      <c r="J87" s="2">
        <v>3.1372549019607843E-2</v>
      </c>
      <c r="K87" s="2">
        <v>2.7450980392156862E-2</v>
      </c>
      <c r="L87" s="2">
        <v>3.1372549019607843E-2</v>
      </c>
    </row>
    <row r="88" spans="1:33">
      <c r="A88" s="5">
        <f>A87+Calculations!$B$4</f>
        <v>86</v>
      </c>
      <c r="C88" s="2">
        <v>3.1372549019607843E-2</v>
      </c>
      <c r="D88" s="2">
        <v>2.7450980392156862E-2</v>
      </c>
      <c r="E88" s="2">
        <v>2.7450980392156862E-2</v>
      </c>
      <c r="F88" s="2">
        <v>3.1372549019607843E-2</v>
      </c>
      <c r="G88" s="2">
        <v>3.1372549019607843E-2</v>
      </c>
      <c r="H88" s="2">
        <v>3.5294117647058823E-2</v>
      </c>
      <c r="I88" s="2">
        <v>3.5294117647058823E-2</v>
      </c>
      <c r="J88" s="2">
        <v>3.1372549019607843E-2</v>
      </c>
      <c r="K88" s="2">
        <v>2.7450980392156862E-2</v>
      </c>
      <c r="L88" s="2">
        <v>3.1372549019607843E-2</v>
      </c>
    </row>
    <row r="89" spans="1:33">
      <c r="A89" s="5">
        <f>A88+Calculations!$B$4</f>
        <v>87</v>
      </c>
      <c r="C89" s="2">
        <v>3.1372549019607843E-2</v>
      </c>
      <c r="D89" s="2">
        <v>2.7450980392156862E-2</v>
      </c>
      <c r="E89" s="2">
        <v>2.3529411764705882E-2</v>
      </c>
      <c r="F89" s="2">
        <v>3.1372549019607843E-2</v>
      </c>
      <c r="G89" s="2">
        <v>3.1372549019607843E-2</v>
      </c>
      <c r="H89" s="2">
        <v>3.5294117647058823E-2</v>
      </c>
      <c r="I89" s="2">
        <v>3.1372549019607843E-2</v>
      </c>
      <c r="J89" s="2">
        <v>2.7450980392156862E-2</v>
      </c>
      <c r="K89" s="2">
        <v>2.7450980392156862E-2</v>
      </c>
      <c r="L89" s="2">
        <v>3.1372549019607843E-2</v>
      </c>
    </row>
    <row r="90" spans="1:33">
      <c r="A90" s="5">
        <f>A89+Calculations!$B$4</f>
        <v>88</v>
      </c>
      <c r="C90" s="2">
        <v>3.1372549019607843E-2</v>
      </c>
      <c r="D90" s="2">
        <v>2.7450980392156862E-2</v>
      </c>
      <c r="E90" s="2">
        <v>2.7450980392156862E-2</v>
      </c>
      <c r="F90" s="2">
        <v>3.1372549019607843E-2</v>
      </c>
      <c r="G90" s="2">
        <v>3.1372549019607843E-2</v>
      </c>
      <c r="H90" s="2">
        <v>3.1372549019607843E-2</v>
      </c>
      <c r="I90" s="2">
        <v>3.1372549019607843E-2</v>
      </c>
      <c r="J90" s="2">
        <v>2.7450980392156862E-2</v>
      </c>
      <c r="K90" s="2">
        <v>2.7450980392156862E-2</v>
      </c>
      <c r="L90" s="2">
        <v>3.1372549019607843E-2</v>
      </c>
    </row>
    <row r="91" spans="1:33">
      <c r="A91" s="5">
        <f>A90+Calculations!$B$4</f>
        <v>89</v>
      </c>
      <c r="C91" s="2">
        <v>2.7450980392156862E-2</v>
      </c>
      <c r="D91" s="2">
        <v>2.7450980392156862E-2</v>
      </c>
      <c r="E91" s="2">
        <v>2.3529411764705882E-2</v>
      </c>
      <c r="F91" s="2">
        <v>2.7450980392156862E-2</v>
      </c>
      <c r="G91" s="2">
        <v>2.7450980392156862E-2</v>
      </c>
      <c r="H91" s="2">
        <v>3.5294117647058823E-2</v>
      </c>
      <c r="I91" s="2">
        <v>3.1372549019607843E-2</v>
      </c>
      <c r="J91" s="2">
        <v>2.7450980392156862E-2</v>
      </c>
      <c r="K91" s="2">
        <v>2.7450980392156862E-2</v>
      </c>
      <c r="L91" s="2">
        <v>2.7450980392156862E-2</v>
      </c>
    </row>
    <row r="92" spans="1:33">
      <c r="A92" s="5">
        <f>A91+Calculations!$B$4</f>
        <v>90</v>
      </c>
      <c r="C92" s="2">
        <v>2.7450980392156862E-2</v>
      </c>
      <c r="D92" s="2">
        <v>2.7450980392156862E-2</v>
      </c>
      <c r="E92" s="2">
        <v>2.3529411764705882E-2</v>
      </c>
      <c r="F92" s="2">
        <v>2.7450980392156862E-2</v>
      </c>
      <c r="G92" s="2">
        <v>2.7450980392156862E-2</v>
      </c>
      <c r="H92" s="2">
        <v>3.5294117647058823E-2</v>
      </c>
      <c r="I92" s="2">
        <v>3.1372549019607843E-2</v>
      </c>
      <c r="J92" s="2">
        <v>2.7450980392156862E-2</v>
      </c>
      <c r="K92" s="2">
        <v>2.3529411764705882E-2</v>
      </c>
      <c r="L92" s="2">
        <v>3.1372549019607843E-2</v>
      </c>
    </row>
    <row r="93" spans="1:33">
      <c r="A93" s="5">
        <f>A92+Calculations!$B$4</f>
        <v>91</v>
      </c>
      <c r="C93" s="2">
        <v>2.7450980392156862E-2</v>
      </c>
      <c r="D93" s="2">
        <v>2.3529411764705882E-2</v>
      </c>
      <c r="E93" s="2">
        <v>2.3529411764705882E-2</v>
      </c>
      <c r="F93" s="2">
        <v>2.7450980392156862E-2</v>
      </c>
      <c r="G93" s="2">
        <v>2.7450980392156862E-2</v>
      </c>
      <c r="H93" s="2">
        <v>3.1372549019607843E-2</v>
      </c>
      <c r="I93" s="2">
        <v>3.1372549019607843E-2</v>
      </c>
      <c r="J93" s="2">
        <v>2.3529411764705882E-2</v>
      </c>
      <c r="K93" s="2">
        <v>2.3529411764705882E-2</v>
      </c>
      <c r="L93" s="2">
        <v>2.7450980392156862E-2</v>
      </c>
    </row>
    <row r="94" spans="1:33">
      <c r="A94" s="5">
        <f>A93+Calculations!$B$4</f>
        <v>92</v>
      </c>
      <c r="C94" s="2">
        <v>2.7450980392156862E-2</v>
      </c>
      <c r="D94" s="2">
        <v>2.3529411764705882E-2</v>
      </c>
      <c r="E94" s="2">
        <v>2.3529411764705882E-2</v>
      </c>
      <c r="F94" s="2">
        <v>2.7450980392156862E-2</v>
      </c>
      <c r="G94" s="2">
        <v>2.7450980392156862E-2</v>
      </c>
      <c r="H94" s="2">
        <v>3.1372549019607843E-2</v>
      </c>
      <c r="I94" s="2">
        <v>3.1372549019607843E-2</v>
      </c>
      <c r="J94" s="2">
        <v>2.3529411764705882E-2</v>
      </c>
      <c r="K94" s="2">
        <v>2.3529411764705882E-2</v>
      </c>
      <c r="L94" s="2">
        <v>2.7450980392156862E-2</v>
      </c>
    </row>
    <row r="95" spans="1:33">
      <c r="A95" s="5">
        <f>A94+Calculations!$B$4</f>
        <v>93</v>
      </c>
      <c r="C95" s="2">
        <v>2.7450980392156862E-2</v>
      </c>
      <c r="D95" s="2">
        <v>2.3529411764705882E-2</v>
      </c>
      <c r="E95" s="2">
        <v>1.9607843137254902E-2</v>
      </c>
      <c r="F95" s="2">
        <v>2.7450980392156862E-2</v>
      </c>
      <c r="G95" s="2">
        <v>2.7450980392156862E-2</v>
      </c>
      <c r="H95" s="2">
        <v>3.1372549019607843E-2</v>
      </c>
      <c r="I95" s="2">
        <v>3.1372549019607843E-2</v>
      </c>
      <c r="J95" s="2">
        <v>2.3529411764705882E-2</v>
      </c>
      <c r="K95" s="2">
        <v>2.3529411764705882E-2</v>
      </c>
      <c r="L95" s="2">
        <v>2.7450980392156862E-2</v>
      </c>
    </row>
    <row r="96" spans="1:33">
      <c r="A96" s="5">
        <f>A95+Calculations!$B$4</f>
        <v>94</v>
      </c>
      <c r="C96" s="2">
        <v>2.3529411764705882E-2</v>
      </c>
      <c r="D96" s="2">
        <v>2.3529411764705882E-2</v>
      </c>
      <c r="E96" s="2">
        <v>1.9607843137254902E-2</v>
      </c>
      <c r="F96" s="2">
        <v>2.7450980392156862E-2</v>
      </c>
      <c r="G96" s="2">
        <v>2.7450980392156862E-2</v>
      </c>
      <c r="H96" s="2">
        <v>3.1372549019607843E-2</v>
      </c>
      <c r="I96" s="2">
        <v>2.7450980392156862E-2</v>
      </c>
      <c r="J96" s="2">
        <v>2.3529411764705882E-2</v>
      </c>
      <c r="K96" s="2">
        <v>2.3529411764705882E-2</v>
      </c>
      <c r="L96" s="2">
        <v>2.7450980392156862E-2</v>
      </c>
    </row>
    <row r="97" spans="1:12">
      <c r="A97" s="5">
        <f>A96+Calculations!$B$4</f>
        <v>95</v>
      </c>
      <c r="C97" s="2">
        <v>2.3529411764705882E-2</v>
      </c>
      <c r="D97" s="2">
        <v>2.3529411764705882E-2</v>
      </c>
      <c r="E97" s="2">
        <v>1.9607843137254902E-2</v>
      </c>
      <c r="F97" s="2">
        <v>2.7450980392156862E-2</v>
      </c>
      <c r="G97" s="2">
        <v>2.7450980392156862E-2</v>
      </c>
      <c r="H97" s="2">
        <v>3.1372549019607843E-2</v>
      </c>
      <c r="I97" s="2">
        <v>2.7450980392156862E-2</v>
      </c>
      <c r="J97" s="2">
        <v>2.3529411764705882E-2</v>
      </c>
      <c r="K97" s="2">
        <v>2.3529411764705882E-2</v>
      </c>
      <c r="L97" s="2">
        <v>2.7450980392156862E-2</v>
      </c>
    </row>
    <row r="98" spans="1:12">
      <c r="A98" s="5">
        <f>A97+Calculations!$B$4</f>
        <v>96</v>
      </c>
      <c r="C98" s="2">
        <v>2.3529411764705882E-2</v>
      </c>
      <c r="D98" s="2">
        <v>2.3529411764705882E-2</v>
      </c>
      <c r="E98" s="2">
        <v>1.9607843137254902E-2</v>
      </c>
      <c r="F98" s="2">
        <v>2.7450980392156862E-2</v>
      </c>
      <c r="G98" s="2">
        <v>2.3529411764705882E-2</v>
      </c>
      <c r="H98" s="2">
        <v>2.7450980392156862E-2</v>
      </c>
      <c r="I98" s="2">
        <v>2.7450980392156862E-2</v>
      </c>
      <c r="J98" s="2">
        <v>2.3529411764705882E-2</v>
      </c>
      <c r="K98" s="2">
        <v>1.9607843137254902E-2</v>
      </c>
      <c r="L98" s="2">
        <v>2.3529411764705882E-2</v>
      </c>
    </row>
    <row r="99" spans="1:12">
      <c r="A99" s="5">
        <f>A98+Calculations!$B$4</f>
        <v>97</v>
      </c>
      <c r="C99" s="2">
        <v>2.3529411764705882E-2</v>
      </c>
      <c r="D99" s="2">
        <v>1.9607843137254902E-2</v>
      </c>
      <c r="E99" s="2">
        <v>1.9607843137254902E-2</v>
      </c>
      <c r="F99" s="2">
        <v>1.9607843137254902E-2</v>
      </c>
      <c r="G99" s="2">
        <v>2.3529411764705882E-2</v>
      </c>
      <c r="H99" s="2">
        <v>2.7450980392156862E-2</v>
      </c>
      <c r="I99" s="2">
        <v>2.7450980392156862E-2</v>
      </c>
      <c r="J99" s="2">
        <v>1.9607843137254902E-2</v>
      </c>
      <c r="K99" s="2">
        <v>1.9607843137254902E-2</v>
      </c>
      <c r="L99" s="2">
        <v>2.3529411764705882E-2</v>
      </c>
    </row>
    <row r="100" spans="1:12">
      <c r="A100" s="5">
        <f>A99+Calculations!$B$4</f>
        <v>98</v>
      </c>
      <c r="C100" s="2">
        <v>2.3529411764705882E-2</v>
      </c>
      <c r="D100" s="2">
        <v>2.3529411764705882E-2</v>
      </c>
      <c r="E100" s="2">
        <v>1.9607843137254902E-2</v>
      </c>
      <c r="F100" s="2">
        <v>2.3529411764705882E-2</v>
      </c>
      <c r="G100" s="2">
        <v>2.3529411764705882E-2</v>
      </c>
      <c r="H100" s="2">
        <v>2.7450980392156862E-2</v>
      </c>
      <c r="I100" s="2">
        <v>2.7450980392156862E-2</v>
      </c>
      <c r="J100" s="2">
        <v>1.1764705882352941E-2</v>
      </c>
      <c r="K100" s="2">
        <v>1.9607843137254902E-2</v>
      </c>
      <c r="L100" s="2">
        <v>2.3529411764705882E-2</v>
      </c>
    </row>
    <row r="101" spans="1:12">
      <c r="A101" s="5">
        <f>A100+Calculations!$B$4</f>
        <v>99</v>
      </c>
      <c r="C101" s="2">
        <v>2.3529411764705882E-2</v>
      </c>
      <c r="D101" s="2">
        <v>1.5686274509803921E-2</v>
      </c>
      <c r="E101" s="2">
        <v>1.5686274509803921E-2</v>
      </c>
      <c r="F101" s="2">
        <v>2.3529411764705882E-2</v>
      </c>
      <c r="G101" s="2">
        <v>2.3529411764705882E-2</v>
      </c>
      <c r="H101" s="2">
        <v>2.3529411764705882E-2</v>
      </c>
      <c r="I101" s="2">
        <v>2.7450980392156862E-2</v>
      </c>
      <c r="J101" s="2">
        <v>1.9607843137254902E-2</v>
      </c>
      <c r="K101" s="2">
        <v>1.9607843137254902E-2</v>
      </c>
      <c r="L101" s="2">
        <v>2.3529411764705882E-2</v>
      </c>
    </row>
    <row r="102" spans="1:12">
      <c r="A102" s="5">
        <f>A101+Calculations!$B$4</f>
        <v>100</v>
      </c>
      <c r="C102" s="2">
        <v>2.3529411764705882E-2</v>
      </c>
      <c r="D102" s="2">
        <v>1.9607843137254902E-2</v>
      </c>
      <c r="E102" s="2">
        <v>1.5686274509803921E-2</v>
      </c>
      <c r="F102" s="2">
        <v>1.9607843137254902E-2</v>
      </c>
      <c r="G102" s="2">
        <v>2.3529411764705882E-2</v>
      </c>
      <c r="H102" s="2">
        <v>2.7450980392156862E-2</v>
      </c>
      <c r="I102" s="2">
        <v>2.3529411764705882E-2</v>
      </c>
      <c r="J102" s="2">
        <v>1.9607843137254902E-2</v>
      </c>
      <c r="K102" s="2">
        <v>1.9607843137254902E-2</v>
      </c>
      <c r="L102" s="2">
        <v>2.3529411764705882E-2</v>
      </c>
    </row>
    <row r="103" spans="1:12">
      <c r="A103" s="5">
        <f>A102+Calculations!$B$4</f>
        <v>101</v>
      </c>
      <c r="C103" s="2">
        <v>1.9607843137254902E-2</v>
      </c>
      <c r="D103" s="2">
        <v>1.9607843137254902E-2</v>
      </c>
      <c r="E103" s="2">
        <v>1.5686274509803921E-2</v>
      </c>
      <c r="F103" s="2">
        <v>2.3529411764705882E-2</v>
      </c>
      <c r="G103" s="2">
        <v>2.3529411764705882E-2</v>
      </c>
      <c r="H103" s="2">
        <v>2.7450980392156862E-2</v>
      </c>
      <c r="I103" s="2">
        <v>2.3529411764705882E-2</v>
      </c>
      <c r="J103" s="2">
        <v>1.9607843137254902E-2</v>
      </c>
      <c r="K103" s="2">
        <v>1.9607843137254902E-2</v>
      </c>
      <c r="L103" s="2">
        <v>2.3529411764705882E-2</v>
      </c>
    </row>
    <row r="104" spans="1:12">
      <c r="A104" s="5">
        <f>A103+Calculations!$B$4</f>
        <v>102</v>
      </c>
      <c r="C104" s="2">
        <v>1.9607843137254902E-2</v>
      </c>
      <c r="D104" s="2">
        <v>1.9607843137254902E-2</v>
      </c>
      <c r="E104" s="2">
        <v>1.5686274509803921E-2</v>
      </c>
      <c r="F104" s="2">
        <v>1.9607843137254902E-2</v>
      </c>
      <c r="G104" s="2">
        <v>1.9607843137254902E-2</v>
      </c>
      <c r="H104" s="2">
        <v>2.3529411764705882E-2</v>
      </c>
      <c r="I104" s="2">
        <v>2.3529411764705882E-2</v>
      </c>
      <c r="J104" s="2">
        <v>1.9607843137254902E-2</v>
      </c>
      <c r="K104" s="2">
        <v>1.9607843137254902E-2</v>
      </c>
      <c r="L104" s="2">
        <v>2.3529411764705882E-2</v>
      </c>
    </row>
    <row r="105" spans="1:12">
      <c r="A105" s="5">
        <f>A104+Calculations!$B$4</f>
        <v>103</v>
      </c>
      <c r="C105" s="2">
        <v>1.9607843137254902E-2</v>
      </c>
      <c r="D105" s="2">
        <v>1.5686274509803921E-2</v>
      </c>
      <c r="E105" s="2">
        <v>1.5686274509803921E-2</v>
      </c>
      <c r="F105" s="2">
        <v>2.3529411764705882E-2</v>
      </c>
      <c r="G105" s="2">
        <v>2.3529411764705882E-2</v>
      </c>
      <c r="H105" s="2">
        <v>2.3529411764705882E-2</v>
      </c>
      <c r="I105" s="2">
        <v>2.3529411764705882E-2</v>
      </c>
      <c r="J105" s="2">
        <v>1.9607843137254902E-2</v>
      </c>
      <c r="K105" s="2">
        <v>1.5686274509803921E-2</v>
      </c>
      <c r="L105" s="2">
        <v>2.3529411764705882E-2</v>
      </c>
    </row>
    <row r="106" spans="1:12">
      <c r="A106" s="5">
        <f>A105+Calculations!$B$4</f>
        <v>104</v>
      </c>
      <c r="C106" s="2">
        <v>1.9607843137254902E-2</v>
      </c>
      <c r="D106" s="2">
        <v>1.5686274509803921E-2</v>
      </c>
      <c r="E106" s="2">
        <v>1.5686274509803921E-2</v>
      </c>
      <c r="F106" s="2">
        <v>1.9607843137254902E-2</v>
      </c>
      <c r="G106" s="2">
        <v>1.9607843137254902E-2</v>
      </c>
      <c r="H106" s="2">
        <v>2.3529411764705882E-2</v>
      </c>
      <c r="I106" s="2">
        <v>1.9607843137254902E-2</v>
      </c>
      <c r="J106" s="2">
        <v>1.9607843137254902E-2</v>
      </c>
      <c r="K106" s="2">
        <v>1.9607843137254902E-2</v>
      </c>
      <c r="L106" s="2">
        <v>2.3529411764705882E-2</v>
      </c>
    </row>
    <row r="107" spans="1:12">
      <c r="A107" s="5">
        <f>A106+Calculations!$B$4</f>
        <v>105</v>
      </c>
      <c r="C107" s="2">
        <v>1.9607843137254902E-2</v>
      </c>
      <c r="D107" s="2">
        <v>1.5686274509803921E-2</v>
      </c>
      <c r="E107" s="2">
        <v>1.5686274509803921E-2</v>
      </c>
      <c r="F107" s="2">
        <v>1.9607843137254902E-2</v>
      </c>
      <c r="G107" s="2">
        <v>1.9607843137254902E-2</v>
      </c>
      <c r="H107" s="2">
        <v>2.3529411764705882E-2</v>
      </c>
      <c r="I107" s="2">
        <v>2.3529411764705882E-2</v>
      </c>
      <c r="J107" s="2">
        <v>1.9607843137254902E-2</v>
      </c>
      <c r="K107" s="2">
        <v>1.9607843137254902E-2</v>
      </c>
      <c r="L107" s="2">
        <v>1.9607843137254902E-2</v>
      </c>
    </row>
    <row r="108" spans="1:12">
      <c r="A108" s="5">
        <f>A107+Calculations!$B$4</f>
        <v>106</v>
      </c>
      <c r="C108" s="2">
        <v>1.9607843137254902E-2</v>
      </c>
      <c r="D108" s="2">
        <v>1.5686274509803921E-2</v>
      </c>
      <c r="E108" s="2">
        <v>1.5686274509803921E-2</v>
      </c>
      <c r="F108" s="2">
        <v>1.5686274509803921E-2</v>
      </c>
      <c r="G108" s="2">
        <v>1.9607843137254902E-2</v>
      </c>
      <c r="H108" s="2">
        <v>2.3529411764705882E-2</v>
      </c>
      <c r="I108" s="2">
        <v>1.9607843137254902E-2</v>
      </c>
      <c r="J108" s="2">
        <v>1.9607843137254902E-2</v>
      </c>
      <c r="K108" s="2">
        <v>1.5686274509803921E-2</v>
      </c>
      <c r="L108" s="2">
        <v>1.9607843137254902E-2</v>
      </c>
    </row>
    <row r="109" spans="1:12">
      <c r="A109" s="5">
        <f>A108+Calculations!$B$4</f>
        <v>107</v>
      </c>
      <c r="C109" s="2">
        <v>1.9607843137254902E-2</v>
      </c>
      <c r="D109" s="2">
        <v>1.5686274509803921E-2</v>
      </c>
      <c r="E109" s="2">
        <v>1.5686274509803921E-2</v>
      </c>
      <c r="F109" s="2">
        <v>1.9607843137254902E-2</v>
      </c>
      <c r="G109" s="2">
        <v>1.9607843137254902E-2</v>
      </c>
      <c r="H109" s="2">
        <v>2.3529411764705882E-2</v>
      </c>
      <c r="I109" s="2">
        <v>1.9607843137254902E-2</v>
      </c>
      <c r="J109" s="2">
        <v>1.5686274509803921E-2</v>
      </c>
      <c r="K109" s="2">
        <v>1.5686274509803921E-2</v>
      </c>
      <c r="L109" s="2">
        <v>1.9607843137254902E-2</v>
      </c>
    </row>
    <row r="110" spans="1:12">
      <c r="A110" s="5">
        <f>A109+Calculations!$B$4</f>
        <v>108</v>
      </c>
      <c r="C110" s="2">
        <v>2.7450980392156862E-2</v>
      </c>
      <c r="D110" s="2">
        <v>1.5686274509803921E-2</v>
      </c>
      <c r="E110" s="2">
        <v>1.5686274509803921E-2</v>
      </c>
      <c r="F110" s="2">
        <v>1.9607843137254902E-2</v>
      </c>
      <c r="G110" s="2">
        <v>1.9607843137254902E-2</v>
      </c>
      <c r="H110" s="2">
        <v>2.3529411764705882E-2</v>
      </c>
      <c r="I110" s="2">
        <v>1.9607843137254902E-2</v>
      </c>
      <c r="J110" s="2">
        <v>1.5686274509803921E-2</v>
      </c>
      <c r="K110" s="2">
        <v>1.5686274509803921E-2</v>
      </c>
      <c r="L110" s="2">
        <v>1.9607843137254902E-2</v>
      </c>
    </row>
    <row r="111" spans="1:12">
      <c r="A111" s="5">
        <f>A110+Calculations!$B$4</f>
        <v>109</v>
      </c>
      <c r="C111" s="2">
        <v>1.5686274509803921E-2</v>
      </c>
      <c r="D111" s="2">
        <v>1.5686274509803921E-2</v>
      </c>
      <c r="E111" s="2">
        <v>1.1764705882352941E-2</v>
      </c>
      <c r="F111" s="2">
        <v>1.9607843137254902E-2</v>
      </c>
      <c r="G111" s="2">
        <v>1.9607843137254902E-2</v>
      </c>
      <c r="H111" s="2">
        <v>2.3529411764705882E-2</v>
      </c>
      <c r="I111" s="2">
        <v>1.9607843137254902E-2</v>
      </c>
      <c r="J111" s="2">
        <v>1.5686274509803921E-2</v>
      </c>
      <c r="K111" s="2">
        <v>1.5686274509803921E-2</v>
      </c>
      <c r="L111" s="2">
        <v>1.9607843137254902E-2</v>
      </c>
    </row>
    <row r="112" spans="1:12">
      <c r="A112" s="5">
        <f>A111+Calculations!$B$4</f>
        <v>110</v>
      </c>
      <c r="C112" s="2">
        <v>1.5686274509803921E-2</v>
      </c>
      <c r="D112" s="2">
        <v>1.5686274509803921E-2</v>
      </c>
      <c r="E112" s="2">
        <v>1.1764705882352941E-2</v>
      </c>
      <c r="F112" s="2">
        <v>1.9607843137254902E-2</v>
      </c>
      <c r="G112" s="2">
        <v>1.9607843137254902E-2</v>
      </c>
      <c r="H112" s="2">
        <v>1.9607843137254902E-2</v>
      </c>
      <c r="I112" s="2">
        <v>1.9607843137254902E-2</v>
      </c>
      <c r="J112" s="2">
        <v>1.5686274509803921E-2</v>
      </c>
      <c r="K112" s="2">
        <v>1.5686274509803921E-2</v>
      </c>
      <c r="L112" s="2">
        <v>1.9607843137254902E-2</v>
      </c>
    </row>
    <row r="113" spans="1:12">
      <c r="A113" s="5">
        <f>A112+Calculations!$B$4</f>
        <v>111</v>
      </c>
      <c r="C113" s="2">
        <v>1.5686274509803921E-2</v>
      </c>
      <c r="D113" s="2">
        <v>1.5686274509803921E-2</v>
      </c>
      <c r="E113" s="2">
        <v>1.1764705882352941E-2</v>
      </c>
      <c r="F113" s="2">
        <v>1.1764705882352941E-2</v>
      </c>
      <c r="G113" s="2">
        <v>1.5686274509803921E-2</v>
      </c>
      <c r="H113" s="2">
        <v>1.9607843137254902E-2</v>
      </c>
      <c r="I113" s="2">
        <v>1.9607843137254902E-2</v>
      </c>
      <c r="J113" s="2">
        <v>1.5686274509803921E-2</v>
      </c>
      <c r="K113" s="2">
        <v>1.5686274509803921E-2</v>
      </c>
      <c r="L113" s="2">
        <v>1.9607843137254902E-2</v>
      </c>
    </row>
    <row r="114" spans="1:12">
      <c r="A114" s="5">
        <f>A113+Calculations!$B$4</f>
        <v>112</v>
      </c>
      <c r="C114" s="2">
        <v>1.9607843137254902E-2</v>
      </c>
      <c r="D114" s="2">
        <v>1.1764705882352941E-2</v>
      </c>
      <c r="E114" s="2">
        <v>1.1764705882352941E-2</v>
      </c>
      <c r="F114" s="2">
        <v>1.9607843137254902E-2</v>
      </c>
      <c r="G114" s="2">
        <v>1.5686274509803921E-2</v>
      </c>
      <c r="H114" s="2">
        <v>1.9607843137254902E-2</v>
      </c>
      <c r="I114" s="2">
        <v>1.9607843137254902E-2</v>
      </c>
      <c r="J114" s="2">
        <v>1.5686274509803921E-2</v>
      </c>
      <c r="K114" s="2">
        <v>1.5686274509803921E-2</v>
      </c>
      <c r="L114" s="2">
        <v>1.9607843137254902E-2</v>
      </c>
    </row>
    <row r="115" spans="1:12">
      <c r="A115" s="5">
        <f>A114+Calculations!$B$4</f>
        <v>113</v>
      </c>
      <c r="C115" s="2">
        <v>1.5686274509803921E-2</v>
      </c>
      <c r="D115" s="2">
        <v>1.5686274509803921E-2</v>
      </c>
      <c r="E115" s="2">
        <v>1.1764705882352941E-2</v>
      </c>
      <c r="F115" s="2">
        <v>1.9607843137254902E-2</v>
      </c>
      <c r="G115" s="2">
        <v>1.5686274509803921E-2</v>
      </c>
      <c r="H115" s="2">
        <v>1.9607843137254902E-2</v>
      </c>
      <c r="I115" s="2">
        <v>1.9607843137254902E-2</v>
      </c>
      <c r="J115" s="2">
        <v>1.5686274509803921E-2</v>
      </c>
      <c r="K115" s="2">
        <v>1.5686274509803921E-2</v>
      </c>
      <c r="L115" s="2">
        <v>1.9607843137254902E-2</v>
      </c>
    </row>
    <row r="116" spans="1:12">
      <c r="A116" s="5">
        <f>A115+Calculations!$B$4</f>
        <v>114</v>
      </c>
      <c r="C116" s="2">
        <v>1.5686274509803921E-2</v>
      </c>
      <c r="D116" s="2">
        <v>1.5686274509803921E-2</v>
      </c>
      <c r="E116" s="2">
        <v>1.1764705882352941E-2</v>
      </c>
      <c r="F116" s="2">
        <v>1.5686274509803921E-2</v>
      </c>
      <c r="G116" s="2">
        <v>1.5686274509803921E-2</v>
      </c>
      <c r="H116" s="2">
        <v>1.9607843137254902E-2</v>
      </c>
      <c r="I116" s="2">
        <v>1.9607843137254902E-2</v>
      </c>
      <c r="J116" s="2">
        <v>1.5686274509803921E-2</v>
      </c>
      <c r="K116" s="2">
        <v>1.5686274509803921E-2</v>
      </c>
      <c r="L116" s="2">
        <v>1.5686274509803921E-2</v>
      </c>
    </row>
    <row r="117" spans="1:12">
      <c r="A117" s="5">
        <f>A116+Calculations!$B$4</f>
        <v>115</v>
      </c>
      <c r="C117" s="2">
        <v>1.5686274509803921E-2</v>
      </c>
      <c r="D117" s="2">
        <v>1.1764705882352941E-2</v>
      </c>
      <c r="E117" s="2">
        <v>1.1764705882352941E-2</v>
      </c>
      <c r="F117" s="2">
        <v>1.5686274509803921E-2</v>
      </c>
      <c r="G117" s="2">
        <v>1.5686274509803921E-2</v>
      </c>
      <c r="H117" s="2">
        <v>1.9607843137254902E-2</v>
      </c>
      <c r="I117" s="2">
        <v>1.9607843137254902E-2</v>
      </c>
      <c r="J117" s="2">
        <v>1.5686274509803921E-2</v>
      </c>
      <c r="K117" s="2">
        <v>1.5686274509803921E-2</v>
      </c>
      <c r="L117" s="2">
        <v>1.5686274509803921E-2</v>
      </c>
    </row>
    <row r="118" spans="1:12">
      <c r="A118" s="5">
        <f>A117+Calculations!$B$4</f>
        <v>116</v>
      </c>
      <c r="C118" s="2">
        <v>1.1764705882352941E-2</v>
      </c>
      <c r="D118" s="2">
        <v>7.8431372549019607E-3</v>
      </c>
      <c r="E118" s="2">
        <v>1.1764705882352941E-2</v>
      </c>
      <c r="F118" s="2">
        <v>1.5686274509803921E-2</v>
      </c>
      <c r="G118" s="2">
        <v>1.5686274509803921E-2</v>
      </c>
      <c r="H118" s="2">
        <v>1.9607843137254902E-2</v>
      </c>
      <c r="I118" s="2">
        <v>1.9607843137254902E-2</v>
      </c>
      <c r="J118" s="2">
        <v>1.1764705882352941E-2</v>
      </c>
      <c r="K118" s="2">
        <v>1.1764705882352941E-2</v>
      </c>
      <c r="L118" s="2">
        <v>1.5686274509803921E-2</v>
      </c>
    </row>
    <row r="119" spans="1:12">
      <c r="A119" s="5">
        <f>A118+Calculations!$B$4</f>
        <v>117</v>
      </c>
      <c r="C119" s="2">
        <v>1.5686274509803921E-2</v>
      </c>
      <c r="D119" s="2">
        <v>1.1764705882352941E-2</v>
      </c>
      <c r="E119" s="2">
        <v>1.1764705882352941E-2</v>
      </c>
      <c r="F119" s="2">
        <v>1.5686274509803921E-2</v>
      </c>
      <c r="G119" s="2">
        <v>1.5686274509803921E-2</v>
      </c>
      <c r="H119" s="2">
        <v>1.9607843137254902E-2</v>
      </c>
      <c r="I119" s="2">
        <v>1.5686274509803921E-2</v>
      </c>
      <c r="J119" s="2">
        <v>1.5686274509803921E-2</v>
      </c>
      <c r="K119" s="2">
        <v>1.1764705882352941E-2</v>
      </c>
      <c r="L119" s="2">
        <v>1.5686274509803921E-2</v>
      </c>
    </row>
    <row r="120" spans="1:12">
      <c r="A120" s="5">
        <f>A119+Calculations!$B$4</f>
        <v>118</v>
      </c>
      <c r="C120" s="2">
        <v>1.1764705882352941E-2</v>
      </c>
      <c r="D120" s="2">
        <v>7.8431372549019607E-3</v>
      </c>
      <c r="E120" s="2">
        <v>1.1764705882352941E-2</v>
      </c>
      <c r="F120" s="2">
        <v>1.1764705882352941E-2</v>
      </c>
      <c r="G120" s="2">
        <v>1.5686274509803921E-2</v>
      </c>
      <c r="H120" s="2">
        <v>1.9607843137254902E-2</v>
      </c>
      <c r="I120" s="2">
        <v>1.9607843137254902E-2</v>
      </c>
      <c r="J120" s="2">
        <v>1.1764705882352941E-2</v>
      </c>
      <c r="K120" s="2">
        <v>1.1764705882352941E-2</v>
      </c>
      <c r="L120" s="2">
        <v>1.5686274509803921E-2</v>
      </c>
    </row>
    <row r="121" spans="1:12">
      <c r="A121" s="5">
        <f>A120+Calculations!$B$4</f>
        <v>119</v>
      </c>
      <c r="C121" s="2">
        <v>1.5686274509803921E-2</v>
      </c>
      <c r="D121" s="2">
        <v>1.1764705882352941E-2</v>
      </c>
      <c r="E121" s="2">
        <v>1.1764705882352941E-2</v>
      </c>
      <c r="F121" s="2">
        <v>1.5686274509803921E-2</v>
      </c>
      <c r="G121" s="2">
        <v>1.5686274509803921E-2</v>
      </c>
      <c r="H121" s="2">
        <v>1.5686274509803921E-2</v>
      </c>
      <c r="I121" s="2">
        <v>1.5686274509803921E-2</v>
      </c>
      <c r="J121" s="2">
        <v>1.1764705882352941E-2</v>
      </c>
      <c r="K121" s="2">
        <v>1.1764705882352941E-2</v>
      </c>
      <c r="L121" s="2">
        <v>1.5686274509803921E-2</v>
      </c>
    </row>
    <row r="122" spans="1:12">
      <c r="A122" s="5">
        <f>A121+Calculations!$B$4</f>
        <v>120</v>
      </c>
      <c r="C122" s="2">
        <v>1.1764705882352941E-2</v>
      </c>
      <c r="D122" s="2">
        <v>7.8431372549019607E-3</v>
      </c>
      <c r="E122" s="2">
        <v>1.1764705882352941E-2</v>
      </c>
      <c r="F122" s="2">
        <v>1.5686274509803921E-2</v>
      </c>
      <c r="G122" s="2">
        <v>1.5686274509803921E-2</v>
      </c>
      <c r="H122" s="2">
        <v>1.5686274509803921E-2</v>
      </c>
      <c r="I122" s="2">
        <v>1.5686274509803921E-2</v>
      </c>
      <c r="J122" s="2">
        <v>1.1764705882352941E-2</v>
      </c>
      <c r="K122" s="2">
        <v>1.1764705882352941E-2</v>
      </c>
      <c r="L122" s="2">
        <v>1.5686274509803921E-2</v>
      </c>
    </row>
    <row r="123" spans="1:12">
      <c r="A123" s="5">
        <f>A122+Calculations!$B$4</f>
        <v>121</v>
      </c>
      <c r="C123" s="2">
        <v>1.1764705882352941E-2</v>
      </c>
      <c r="D123" s="2">
        <v>1.1764705882352941E-2</v>
      </c>
      <c r="E123" s="2">
        <v>7.8431372549019607E-3</v>
      </c>
      <c r="F123" s="2">
        <v>1.5686274509803921E-2</v>
      </c>
      <c r="G123" s="2">
        <v>1.5686274509803921E-2</v>
      </c>
      <c r="H123" s="2">
        <v>1.5686274509803921E-2</v>
      </c>
      <c r="I123" s="2">
        <v>1.5686274509803921E-2</v>
      </c>
      <c r="J123" s="2">
        <v>1.1764705882352941E-2</v>
      </c>
      <c r="K123" s="2">
        <v>3.9215686274509803E-3</v>
      </c>
      <c r="L123" s="2">
        <v>1.5686274509803921E-2</v>
      </c>
    </row>
    <row r="124" spans="1:12">
      <c r="A124" s="5">
        <f>A123+Calculations!$B$4</f>
        <v>122</v>
      </c>
      <c r="C124" s="2">
        <v>1.1764705882352941E-2</v>
      </c>
      <c r="D124" s="2">
        <v>7.8431372549019607E-3</v>
      </c>
      <c r="E124" s="2">
        <v>7.8431372549019607E-3</v>
      </c>
      <c r="F124" s="2">
        <v>1.5686274509803921E-2</v>
      </c>
      <c r="G124" s="2">
        <v>1.1764705882352941E-2</v>
      </c>
      <c r="H124" s="2">
        <v>1.5686274509803921E-2</v>
      </c>
      <c r="I124" s="2">
        <v>1.5686274509803921E-2</v>
      </c>
      <c r="J124" s="2">
        <v>1.1764705882352941E-2</v>
      </c>
      <c r="K124" s="2">
        <v>1.5686274509803921E-2</v>
      </c>
      <c r="L124" s="2">
        <v>1.5686274509803921E-2</v>
      </c>
    </row>
    <row r="125" spans="1:12">
      <c r="A125" s="5">
        <f>A124+Calculations!$B$4</f>
        <v>123</v>
      </c>
      <c r="C125" s="2">
        <v>1.1764705882352941E-2</v>
      </c>
      <c r="D125" s="2">
        <v>1.1764705882352941E-2</v>
      </c>
      <c r="E125" s="2">
        <v>7.8431372549019607E-3</v>
      </c>
      <c r="F125" s="2">
        <v>1.5686274509803921E-2</v>
      </c>
      <c r="G125" s="2">
        <v>1.1764705882352941E-2</v>
      </c>
      <c r="H125" s="2">
        <v>1.5686274509803921E-2</v>
      </c>
      <c r="I125" s="2">
        <v>1.5686274509803921E-2</v>
      </c>
      <c r="J125" s="2">
        <v>1.1764705882352941E-2</v>
      </c>
      <c r="K125" s="2">
        <v>1.1764705882352941E-2</v>
      </c>
      <c r="L125" s="2">
        <v>1.5686274509803921E-2</v>
      </c>
    </row>
    <row r="126" spans="1:12">
      <c r="A126" s="5">
        <f>A125+Calculations!$B$4</f>
        <v>124</v>
      </c>
      <c r="C126" s="2">
        <v>1.1764705882352941E-2</v>
      </c>
      <c r="D126" s="2">
        <v>7.8431372549019607E-3</v>
      </c>
      <c r="E126" s="2">
        <v>7.8431372549019607E-3</v>
      </c>
      <c r="F126" s="2">
        <v>1.5686274509803921E-2</v>
      </c>
      <c r="G126" s="2">
        <v>1.1764705882352941E-2</v>
      </c>
      <c r="H126" s="2">
        <v>1.5686274509803921E-2</v>
      </c>
      <c r="I126" s="2">
        <v>1.5686274509803921E-2</v>
      </c>
      <c r="J126" s="2">
        <v>1.1764705882352941E-2</v>
      </c>
      <c r="K126" s="2">
        <v>1.1764705882352941E-2</v>
      </c>
      <c r="L126" s="2">
        <v>1.5686274509803921E-2</v>
      </c>
    </row>
    <row r="127" spans="1:12">
      <c r="A127" s="5">
        <f>A126+Calculations!$B$4</f>
        <v>125</v>
      </c>
      <c r="C127" s="2">
        <v>1.1764705882352941E-2</v>
      </c>
      <c r="D127" s="2">
        <v>7.8431372549019607E-3</v>
      </c>
      <c r="E127" s="2">
        <v>7.8431372549019607E-3</v>
      </c>
      <c r="F127" s="2">
        <v>1.1764705882352941E-2</v>
      </c>
      <c r="G127" s="2">
        <v>1.1764705882352941E-2</v>
      </c>
      <c r="H127" s="2">
        <v>1.5686274509803921E-2</v>
      </c>
      <c r="I127" s="2">
        <v>1.1764705882352941E-2</v>
      </c>
      <c r="J127" s="2">
        <v>1.1764705882352941E-2</v>
      </c>
      <c r="K127" s="2">
        <v>1.1764705882352941E-2</v>
      </c>
      <c r="L127" s="2">
        <v>1.5686274509803921E-2</v>
      </c>
    </row>
    <row r="128" spans="1:12">
      <c r="A128" s="5">
        <f>A127+Calculations!$B$4</f>
        <v>126</v>
      </c>
      <c r="C128" s="2">
        <v>1.1764705882352941E-2</v>
      </c>
      <c r="D128" s="2">
        <v>1.1764705882352941E-2</v>
      </c>
      <c r="E128" s="2">
        <v>7.8431372549019607E-3</v>
      </c>
      <c r="F128" s="2">
        <v>1.1764705882352941E-2</v>
      </c>
      <c r="G128" s="2">
        <v>1.1764705882352941E-2</v>
      </c>
      <c r="H128" s="2">
        <v>1.5686274509803921E-2</v>
      </c>
      <c r="I128" s="2">
        <v>1.5686274509803921E-2</v>
      </c>
      <c r="J128" s="2">
        <v>1.1764705882352941E-2</v>
      </c>
      <c r="K128" s="2">
        <v>1.1764705882352941E-2</v>
      </c>
      <c r="L128" s="2">
        <v>1.5686274509803921E-2</v>
      </c>
    </row>
    <row r="129" spans="1:12">
      <c r="A129" s="5">
        <f>A128+Calculations!$B$4</f>
        <v>127</v>
      </c>
      <c r="C129" s="2">
        <v>7.8431372549019607E-3</v>
      </c>
      <c r="D129" s="2">
        <v>1.1764705882352941E-2</v>
      </c>
      <c r="E129" s="2">
        <v>7.8431372549019607E-3</v>
      </c>
      <c r="F129" s="2">
        <v>1.5686274509803921E-2</v>
      </c>
      <c r="G129" s="2">
        <v>1.1764705882352941E-2</v>
      </c>
      <c r="H129" s="2">
        <v>1.5686274509803921E-2</v>
      </c>
      <c r="I129" s="2">
        <v>1.5686274509803921E-2</v>
      </c>
      <c r="J129" s="2">
        <v>1.1764705882352941E-2</v>
      </c>
      <c r="K129" s="2">
        <v>1.1764705882352941E-2</v>
      </c>
      <c r="L129" s="2">
        <v>1.5686274509803921E-2</v>
      </c>
    </row>
    <row r="130" spans="1:12">
      <c r="A130" s="5">
        <f>A129+Calculations!$B$4</f>
        <v>128</v>
      </c>
      <c r="C130" s="2">
        <v>7.8431372549019607E-3</v>
      </c>
      <c r="D130" s="2">
        <v>7.8431372549019607E-3</v>
      </c>
      <c r="E130" s="2">
        <v>7.8431372549019607E-3</v>
      </c>
      <c r="F130" s="2">
        <v>1.1764705882352941E-2</v>
      </c>
      <c r="G130" s="2">
        <v>1.1764705882352941E-2</v>
      </c>
      <c r="H130" s="2">
        <v>1.5686274509803921E-2</v>
      </c>
      <c r="I130" s="2">
        <v>1.5686274509803921E-2</v>
      </c>
      <c r="J130" s="2">
        <v>7.8431372549019607E-3</v>
      </c>
      <c r="K130" s="2">
        <v>1.1764705882352941E-2</v>
      </c>
      <c r="L130" s="2">
        <v>1.1764705882352941E-2</v>
      </c>
    </row>
    <row r="131" spans="1:12">
      <c r="A131" s="5">
        <f>A130+Calculations!$B$4</f>
        <v>129</v>
      </c>
      <c r="C131" s="2">
        <v>1.1764705882352941E-2</v>
      </c>
      <c r="D131" s="2">
        <v>1.1764705882352941E-2</v>
      </c>
      <c r="E131" s="2">
        <v>7.8431372549019607E-3</v>
      </c>
      <c r="F131" s="2">
        <v>1.1764705882352941E-2</v>
      </c>
      <c r="G131" s="2">
        <v>1.1764705882352941E-2</v>
      </c>
      <c r="H131" s="2">
        <v>1.5686274509803921E-2</v>
      </c>
      <c r="I131" s="2">
        <v>1.1764705882352941E-2</v>
      </c>
      <c r="J131" s="2">
        <v>7.8431372549019607E-3</v>
      </c>
      <c r="K131" s="2">
        <v>1.1764705882352941E-2</v>
      </c>
      <c r="L131" s="2">
        <v>1.1764705882352941E-2</v>
      </c>
    </row>
    <row r="132" spans="1:12">
      <c r="A132" s="5">
        <f>A131+Calculations!$B$4</f>
        <v>130</v>
      </c>
      <c r="C132" s="2">
        <v>1.1764705882352941E-2</v>
      </c>
      <c r="D132" s="2">
        <v>1.1764705882352941E-2</v>
      </c>
      <c r="E132" s="2">
        <v>7.8431372549019607E-3</v>
      </c>
      <c r="F132" s="2">
        <v>1.1764705882352941E-2</v>
      </c>
      <c r="G132" s="2">
        <v>1.1764705882352941E-2</v>
      </c>
      <c r="H132" s="2">
        <v>1.1764705882352941E-2</v>
      </c>
      <c r="I132" s="2">
        <v>1.1764705882352941E-2</v>
      </c>
      <c r="J132" s="2">
        <v>7.8431372549019607E-3</v>
      </c>
      <c r="K132" s="2">
        <v>1.1764705882352941E-2</v>
      </c>
      <c r="L132" s="2">
        <v>1.1764705882352941E-2</v>
      </c>
    </row>
    <row r="133" spans="1:12">
      <c r="A133" s="5">
        <f>A132+Calculations!$B$4</f>
        <v>131</v>
      </c>
      <c r="C133" s="2">
        <v>7.8431372549019607E-3</v>
      </c>
      <c r="D133" s="2">
        <v>7.8431372549019607E-3</v>
      </c>
      <c r="E133" s="2">
        <v>7.8431372549019607E-3</v>
      </c>
      <c r="F133" s="2">
        <v>1.1764705882352941E-2</v>
      </c>
      <c r="G133" s="2">
        <v>1.1764705882352941E-2</v>
      </c>
      <c r="H133" s="2">
        <v>1.5686274509803921E-2</v>
      </c>
      <c r="I133" s="2">
        <v>1.1764705882352941E-2</v>
      </c>
      <c r="J133" s="2">
        <v>7.8431372549019607E-3</v>
      </c>
      <c r="K133" s="2">
        <v>7.8431372549019607E-3</v>
      </c>
      <c r="L133" s="2">
        <v>1.1764705882352941E-2</v>
      </c>
    </row>
    <row r="134" spans="1:12">
      <c r="A134" s="5">
        <f>A133+Calculations!$B$4</f>
        <v>132</v>
      </c>
      <c r="C134" s="2">
        <v>7.8431372549019607E-3</v>
      </c>
      <c r="D134" s="2">
        <v>1.1764705882352941E-2</v>
      </c>
      <c r="E134" s="2">
        <v>7.8431372549019607E-3</v>
      </c>
      <c r="F134" s="2">
        <v>1.1764705882352941E-2</v>
      </c>
      <c r="G134" s="2">
        <v>1.1764705882352941E-2</v>
      </c>
      <c r="H134" s="2">
        <v>1.5686274509803921E-2</v>
      </c>
      <c r="I134" s="2">
        <v>1.1764705882352941E-2</v>
      </c>
      <c r="J134" s="2">
        <v>7.8431372549019607E-3</v>
      </c>
      <c r="K134" s="2">
        <v>7.8431372549019607E-3</v>
      </c>
      <c r="L134" s="2">
        <v>1.1764705882352941E-2</v>
      </c>
    </row>
    <row r="135" spans="1:12">
      <c r="A135" s="5">
        <f>A134+Calculations!$B$4</f>
        <v>133</v>
      </c>
      <c r="C135" s="2">
        <v>7.8431372549019607E-3</v>
      </c>
      <c r="D135" s="2">
        <v>7.8431372549019607E-3</v>
      </c>
      <c r="E135" s="2">
        <v>1.1764705882352941E-2</v>
      </c>
      <c r="F135" s="2">
        <v>1.1764705882352941E-2</v>
      </c>
      <c r="G135" s="2">
        <v>1.1764705882352941E-2</v>
      </c>
      <c r="H135" s="2">
        <v>1.1764705882352941E-2</v>
      </c>
      <c r="I135" s="2">
        <v>1.1764705882352941E-2</v>
      </c>
      <c r="J135" s="2">
        <v>7.8431372549019607E-3</v>
      </c>
      <c r="K135" s="2">
        <v>7.8431372549019607E-3</v>
      </c>
      <c r="L135" s="2">
        <v>1.1764705882352941E-2</v>
      </c>
    </row>
    <row r="136" spans="1:12">
      <c r="A136" s="5">
        <f>A135+Calculations!$B$4</f>
        <v>134</v>
      </c>
      <c r="C136" s="2">
        <v>7.8431372549019607E-3</v>
      </c>
      <c r="D136" s="2">
        <v>7.8431372549019607E-3</v>
      </c>
      <c r="E136" s="2">
        <v>7.8431372549019607E-3</v>
      </c>
      <c r="F136" s="2">
        <v>1.1764705882352941E-2</v>
      </c>
      <c r="G136" s="2">
        <v>1.1764705882352941E-2</v>
      </c>
      <c r="H136" s="2">
        <v>1.1764705882352941E-2</v>
      </c>
      <c r="I136" s="2">
        <v>1.1764705882352941E-2</v>
      </c>
      <c r="J136" s="2">
        <v>7.8431372549019607E-3</v>
      </c>
      <c r="K136" s="2">
        <v>7.8431372549019607E-3</v>
      </c>
      <c r="L136" s="2">
        <v>1.1764705882352941E-2</v>
      </c>
    </row>
    <row r="137" spans="1:12">
      <c r="A137" s="5">
        <f>A136+Calculations!$B$4</f>
        <v>135</v>
      </c>
      <c r="C137" s="2">
        <v>7.8431372549019607E-3</v>
      </c>
      <c r="D137" s="2">
        <v>3.9215686274509803E-3</v>
      </c>
      <c r="E137" s="2">
        <v>7.8431372549019607E-3</v>
      </c>
      <c r="F137" s="2">
        <v>1.1764705882352941E-2</v>
      </c>
      <c r="G137" s="2">
        <v>7.8431372549019607E-3</v>
      </c>
      <c r="H137" s="2">
        <v>1.1764705882352941E-2</v>
      </c>
      <c r="I137" s="2">
        <v>1.1764705882352941E-2</v>
      </c>
      <c r="J137" s="2">
        <v>7.8431372549019607E-3</v>
      </c>
      <c r="K137" s="2">
        <v>7.8431372549019607E-3</v>
      </c>
      <c r="L137" s="2">
        <v>1.1764705882352941E-2</v>
      </c>
    </row>
    <row r="138" spans="1:12">
      <c r="A138" s="5">
        <f>A137+Calculations!$B$4</f>
        <v>136</v>
      </c>
      <c r="C138" s="2">
        <v>7.8431372549019607E-3</v>
      </c>
      <c r="D138" s="2">
        <v>7.8431372549019607E-3</v>
      </c>
      <c r="E138" s="2">
        <v>7.8431372549019607E-3</v>
      </c>
      <c r="F138" s="2">
        <v>1.1764705882352941E-2</v>
      </c>
      <c r="G138" s="2">
        <v>1.1764705882352941E-2</v>
      </c>
      <c r="H138" s="2">
        <v>1.1764705882352941E-2</v>
      </c>
      <c r="I138" s="2">
        <v>1.1764705882352941E-2</v>
      </c>
      <c r="J138" s="2">
        <v>7.8431372549019607E-3</v>
      </c>
      <c r="K138" s="2">
        <v>7.8431372549019607E-3</v>
      </c>
      <c r="L138" s="2">
        <v>1.1764705882352941E-2</v>
      </c>
    </row>
    <row r="139" spans="1:12">
      <c r="A139" s="5">
        <f>A138+Calculations!$B$4</f>
        <v>137</v>
      </c>
      <c r="C139" s="2">
        <v>7.8431372549019607E-3</v>
      </c>
      <c r="D139" s="2">
        <v>7.8431372549019607E-3</v>
      </c>
      <c r="E139" s="2">
        <v>3.9215686274509803E-3</v>
      </c>
      <c r="F139" s="2">
        <v>7.8431372549019607E-3</v>
      </c>
      <c r="G139" s="2">
        <v>1.1764705882352941E-2</v>
      </c>
      <c r="H139" s="2">
        <v>1.1764705882352941E-2</v>
      </c>
      <c r="I139" s="2">
        <v>1.1764705882352941E-2</v>
      </c>
      <c r="J139" s="2">
        <v>7.8431372549019607E-3</v>
      </c>
      <c r="K139" s="2">
        <v>7.8431372549019607E-3</v>
      </c>
      <c r="L139" s="2">
        <v>1.1764705882352941E-2</v>
      </c>
    </row>
    <row r="140" spans="1:12">
      <c r="A140" s="5">
        <f>A139+Calculations!$B$4</f>
        <v>138</v>
      </c>
      <c r="C140" s="2">
        <v>7.8431372549019607E-3</v>
      </c>
      <c r="D140" s="2">
        <v>7.8431372549019607E-3</v>
      </c>
      <c r="E140" s="2">
        <v>3.9215686274509803E-3</v>
      </c>
      <c r="F140" s="2">
        <v>1.1764705882352941E-2</v>
      </c>
      <c r="G140" s="2">
        <v>7.8431372549019607E-3</v>
      </c>
      <c r="H140" s="2">
        <v>7.8431372549019607E-3</v>
      </c>
      <c r="I140" s="2">
        <v>1.1764705882352941E-2</v>
      </c>
      <c r="J140" s="2">
        <v>7.8431372549019607E-3</v>
      </c>
      <c r="K140" s="2">
        <v>7.8431372549019607E-3</v>
      </c>
      <c r="L140" s="2">
        <v>1.1764705882352941E-2</v>
      </c>
    </row>
    <row r="141" spans="1:12">
      <c r="A141" s="5">
        <f>A140+Calculations!$B$4</f>
        <v>139</v>
      </c>
      <c r="C141" s="2">
        <v>7.8431372549019607E-3</v>
      </c>
      <c r="D141" s="2">
        <v>3.9215686274509803E-3</v>
      </c>
      <c r="E141" s="2">
        <v>3.9215686274509803E-3</v>
      </c>
      <c r="F141" s="2">
        <v>1.1764705882352941E-2</v>
      </c>
      <c r="G141" s="2">
        <v>1.1764705882352941E-2</v>
      </c>
      <c r="H141" s="2">
        <v>1.1764705882352941E-2</v>
      </c>
      <c r="I141" s="2">
        <v>1.1764705882352941E-2</v>
      </c>
      <c r="J141" s="2">
        <v>7.8431372549019607E-3</v>
      </c>
      <c r="K141" s="2">
        <v>7.8431372549019607E-3</v>
      </c>
      <c r="L141" s="2">
        <v>1.1764705882352941E-2</v>
      </c>
    </row>
    <row r="142" spans="1:12">
      <c r="A142" s="5">
        <f>A141+Calculations!$B$4</f>
        <v>140</v>
      </c>
      <c r="C142" s="2">
        <v>7.8431372549019607E-3</v>
      </c>
      <c r="D142" s="2">
        <v>7.8431372549019607E-3</v>
      </c>
      <c r="E142" s="2">
        <v>3.9215686274509803E-3</v>
      </c>
      <c r="F142" s="2">
        <v>1.1764705882352941E-2</v>
      </c>
      <c r="G142" s="2">
        <v>1.1764705882352941E-2</v>
      </c>
      <c r="H142" s="2">
        <v>1.1764705882352941E-2</v>
      </c>
      <c r="I142" s="2">
        <v>1.1764705882352941E-2</v>
      </c>
      <c r="J142" s="2">
        <v>7.8431372549019607E-3</v>
      </c>
      <c r="K142" s="2">
        <v>7.8431372549019607E-3</v>
      </c>
      <c r="L142" s="2">
        <v>1.1764705882352941E-2</v>
      </c>
    </row>
    <row r="143" spans="1:12">
      <c r="A143" s="5">
        <f>A142+Calculations!$B$4</f>
        <v>141</v>
      </c>
      <c r="C143" s="2">
        <v>7.8431372549019607E-3</v>
      </c>
      <c r="D143" s="2">
        <v>7.8431372549019607E-3</v>
      </c>
      <c r="E143" s="2">
        <v>3.9215686274509803E-3</v>
      </c>
      <c r="F143" s="2">
        <v>7.8431372549019607E-3</v>
      </c>
      <c r="G143" s="2">
        <v>7.8431372549019607E-3</v>
      </c>
      <c r="H143" s="2">
        <v>1.1764705882352941E-2</v>
      </c>
      <c r="I143" s="2">
        <v>1.1764705882352941E-2</v>
      </c>
      <c r="J143" s="2">
        <v>7.8431372549019607E-3</v>
      </c>
      <c r="K143" s="2">
        <v>7.8431372549019607E-3</v>
      </c>
      <c r="L143" s="2">
        <v>1.1764705882352941E-2</v>
      </c>
    </row>
    <row r="144" spans="1:12">
      <c r="A144" s="5">
        <f>A143+Calculations!$B$4</f>
        <v>142</v>
      </c>
      <c r="C144" s="2">
        <v>7.8431372549019607E-3</v>
      </c>
      <c r="D144" s="2">
        <v>3.9215686274509803E-3</v>
      </c>
      <c r="E144" s="2">
        <v>3.9215686274509803E-3</v>
      </c>
      <c r="F144" s="2">
        <v>7.8431372549019607E-3</v>
      </c>
      <c r="G144" s="2">
        <v>7.8431372549019607E-3</v>
      </c>
      <c r="H144" s="2">
        <v>1.1764705882352941E-2</v>
      </c>
      <c r="I144" s="2">
        <v>1.1764705882352941E-2</v>
      </c>
      <c r="J144" s="2">
        <v>7.8431372549019607E-3</v>
      </c>
      <c r="K144" s="2">
        <v>7.8431372549019607E-3</v>
      </c>
      <c r="L144" s="2">
        <v>1.1764705882352941E-2</v>
      </c>
    </row>
    <row r="145" spans="1:12">
      <c r="A145" s="5">
        <f>A144+Calculations!$B$4</f>
        <v>143</v>
      </c>
      <c r="C145" s="2">
        <v>7.8431372549019607E-3</v>
      </c>
      <c r="D145" s="2">
        <v>7.8431372549019607E-3</v>
      </c>
      <c r="E145" s="2">
        <v>3.9215686274509803E-3</v>
      </c>
      <c r="F145" s="2">
        <v>3.9215686274509803E-3</v>
      </c>
      <c r="G145" s="2">
        <v>7.8431372549019607E-3</v>
      </c>
      <c r="H145" s="2">
        <v>1.1764705882352941E-2</v>
      </c>
      <c r="I145" s="2">
        <v>1.1764705882352941E-2</v>
      </c>
      <c r="J145" s="2">
        <v>1.1764705882352941E-2</v>
      </c>
      <c r="K145" s="2">
        <v>7.8431372549019607E-3</v>
      </c>
      <c r="L145" s="2">
        <v>7.8431372549019607E-3</v>
      </c>
    </row>
    <row r="146" spans="1:12">
      <c r="A146" s="5">
        <f>A145+Calculations!$B$4</f>
        <v>144</v>
      </c>
      <c r="C146" s="2">
        <v>7.8431372549019607E-3</v>
      </c>
      <c r="D146" s="2">
        <v>7.8431372549019607E-3</v>
      </c>
      <c r="E146" s="2">
        <v>3.9215686274509803E-3</v>
      </c>
      <c r="F146" s="2">
        <v>1.1764705882352941E-2</v>
      </c>
      <c r="G146" s="2">
        <v>7.8431372549019607E-3</v>
      </c>
      <c r="H146" s="2">
        <v>1.1764705882352941E-2</v>
      </c>
      <c r="I146" s="2">
        <v>1.1764705882352941E-2</v>
      </c>
      <c r="J146" s="2">
        <v>7.8431372549019607E-3</v>
      </c>
      <c r="K146" s="2">
        <v>7.8431372549019607E-3</v>
      </c>
      <c r="L146" s="2">
        <v>1.1764705882352941E-2</v>
      </c>
    </row>
    <row r="147" spans="1:12">
      <c r="A147" s="5">
        <f>A146+Calculations!$B$4</f>
        <v>145</v>
      </c>
      <c r="C147" s="2">
        <v>7.8431372549019607E-3</v>
      </c>
      <c r="D147" s="2">
        <v>7.8431372549019607E-3</v>
      </c>
      <c r="E147" s="2">
        <v>3.9215686274509803E-3</v>
      </c>
      <c r="F147" s="2">
        <v>7.8431372549019607E-3</v>
      </c>
      <c r="G147" s="2">
        <v>7.8431372549019607E-3</v>
      </c>
      <c r="H147" s="2">
        <v>1.1764705882352941E-2</v>
      </c>
      <c r="I147" s="2">
        <v>1.1764705882352941E-2</v>
      </c>
      <c r="J147" s="2">
        <v>3.9215686274509803E-3</v>
      </c>
      <c r="K147" s="2">
        <v>7.8431372549019607E-3</v>
      </c>
      <c r="L147" s="2">
        <v>1.1764705882352941E-2</v>
      </c>
    </row>
    <row r="148" spans="1:12">
      <c r="A148" s="5">
        <f>A147+Calculations!$B$4</f>
        <v>146</v>
      </c>
      <c r="C148" s="2">
        <v>7.8431372549019607E-3</v>
      </c>
      <c r="D148" s="2">
        <v>7.8431372549019607E-3</v>
      </c>
      <c r="E148" s="2">
        <v>3.9215686274509803E-3</v>
      </c>
      <c r="F148" s="2">
        <v>7.8431372549019607E-3</v>
      </c>
      <c r="G148" s="2">
        <v>7.8431372549019607E-3</v>
      </c>
      <c r="H148" s="2">
        <v>1.1764705882352941E-2</v>
      </c>
      <c r="I148" s="2">
        <v>1.1764705882352941E-2</v>
      </c>
      <c r="J148" s="2">
        <v>7.8431372549019607E-3</v>
      </c>
      <c r="K148" s="2">
        <v>3.9215686274509803E-3</v>
      </c>
      <c r="L148" s="2">
        <v>7.8431372549019607E-3</v>
      </c>
    </row>
    <row r="149" spans="1:12">
      <c r="A149" s="5">
        <f>A148+Calculations!$B$4</f>
        <v>147</v>
      </c>
      <c r="C149" s="2">
        <v>3.9215686274509803E-3</v>
      </c>
      <c r="D149" s="2">
        <v>7.8431372549019607E-3</v>
      </c>
      <c r="E149" s="2">
        <v>3.9215686274509803E-3</v>
      </c>
      <c r="F149" s="2">
        <v>7.8431372549019607E-3</v>
      </c>
      <c r="G149" s="2">
        <v>7.8431372549019607E-3</v>
      </c>
      <c r="H149" s="2">
        <v>1.1764705882352941E-2</v>
      </c>
      <c r="I149" s="2">
        <v>1.1764705882352941E-2</v>
      </c>
      <c r="J149" s="2">
        <v>3.9215686274509803E-3</v>
      </c>
      <c r="K149" s="2">
        <v>7.8431372549019607E-3</v>
      </c>
      <c r="L149" s="2">
        <v>1.1764705882352941E-2</v>
      </c>
    </row>
    <row r="150" spans="1:12">
      <c r="A150" s="5">
        <f>A149+Calculations!$B$4</f>
        <v>148</v>
      </c>
      <c r="C150" s="2">
        <v>7.8431372549019607E-3</v>
      </c>
      <c r="D150" s="2">
        <v>3.9215686274509803E-3</v>
      </c>
      <c r="E150" s="2">
        <v>3.9215686274509803E-3</v>
      </c>
      <c r="F150" s="2">
        <v>7.8431372549019607E-3</v>
      </c>
      <c r="G150" s="2">
        <v>7.8431372549019607E-3</v>
      </c>
      <c r="H150" s="2">
        <v>1.1764705882352941E-2</v>
      </c>
      <c r="I150" s="2">
        <v>1.1764705882352941E-2</v>
      </c>
      <c r="J150" s="2">
        <v>3.9215686274509803E-3</v>
      </c>
      <c r="K150" s="2">
        <v>7.8431372549019607E-3</v>
      </c>
      <c r="L150" s="2">
        <v>3.9215686274509803E-3</v>
      </c>
    </row>
    <row r="151" spans="1:12">
      <c r="A151" s="5">
        <f>A150+Calculations!$B$4</f>
        <v>149</v>
      </c>
      <c r="C151" s="2">
        <v>3.9215686274509803E-3</v>
      </c>
      <c r="D151" s="2">
        <v>3.9215686274509803E-3</v>
      </c>
      <c r="E151" s="2">
        <v>3.9215686274509803E-3</v>
      </c>
      <c r="F151" s="2">
        <v>7.8431372549019607E-3</v>
      </c>
      <c r="G151" s="2">
        <v>3.9215686274509803E-3</v>
      </c>
      <c r="H151" s="2">
        <v>7.8431372549019607E-3</v>
      </c>
      <c r="I151" s="2">
        <v>1.1764705882352941E-2</v>
      </c>
      <c r="J151" s="2">
        <v>3.9215686274509803E-3</v>
      </c>
      <c r="K151" s="2">
        <v>7.8431372549019607E-3</v>
      </c>
      <c r="L151" s="2">
        <v>7.8431372549019607E-3</v>
      </c>
    </row>
    <row r="152" spans="1:12">
      <c r="A152" s="5">
        <f>A151+Calculations!$B$4</f>
        <v>150</v>
      </c>
      <c r="C152" s="2">
        <v>3.9215686274509803E-3</v>
      </c>
      <c r="D152" s="2">
        <v>7.8431372549019607E-3</v>
      </c>
      <c r="E152" s="2">
        <v>3.9215686274509803E-3</v>
      </c>
      <c r="F152" s="2">
        <v>3.9215686274509803E-3</v>
      </c>
      <c r="G152" s="2">
        <v>7.8431372549019607E-3</v>
      </c>
      <c r="H152" s="2">
        <v>1.1764705882352941E-2</v>
      </c>
      <c r="I152" s="2">
        <v>1.1764705882352941E-2</v>
      </c>
      <c r="J152" s="2">
        <v>3.9215686274509803E-3</v>
      </c>
      <c r="K152" s="2">
        <v>3.9215686274509803E-3</v>
      </c>
      <c r="L152" s="2">
        <v>7.8431372549019607E-3</v>
      </c>
    </row>
    <row r="153" spans="1:12">
      <c r="A153" s="5" t="s">
        <v>21</v>
      </c>
      <c r="C153" s="2">
        <v>0</v>
      </c>
      <c r="D153" s="2">
        <v>0</v>
      </c>
      <c r="E153" s="2">
        <v>0</v>
      </c>
      <c r="F153" s="2">
        <v>0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Summary</vt:lpstr>
      <vt:lpstr>Calculations</vt:lpstr>
      <vt:lpstr>sdata0</vt:lpstr>
      <vt:lpstr>sdata1</vt:lpstr>
      <vt:lpstr>data0</vt:lpstr>
      <vt:lpstr>data1</vt:lpstr>
      <vt:lpstr>dataScale</vt:lpstr>
      <vt:lpstr>Summary!Print_Area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2012-05-25T22:45:48Z</dcterms:modified>
</cp:coreProperties>
</file>