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-15" windowWidth="15345" windowHeight="10380"/>
  </bookViews>
  <sheets>
    <sheet name="Summary" sheetId="2" r:id="rId1"/>
    <sheet name="Calc-green" sheetId="4" r:id="rId2"/>
    <sheet name="Calc-data1" sheetId="25" r:id="rId3"/>
    <sheet name="CCT" sheetId="17" r:id="rId4"/>
    <sheet name="red" sheetId="12" r:id="rId5"/>
    <sheet name="green" sheetId="14" r:id="rId6"/>
    <sheet name="blue" sheetId="15" r:id="rId7"/>
    <sheet name="data0" sheetId="3" r:id="rId8"/>
    <sheet name="data1" sheetId="7" r:id="rId9"/>
    <sheet name="data2" sheetId="8" r:id="rId10"/>
    <sheet name="count0" sheetId="19" r:id="rId11"/>
    <sheet name="count1" sheetId="22" r:id="rId12"/>
    <sheet name="count2" sheetId="23" r:id="rId13"/>
  </sheets>
  <functionGroups/>
  <definedNames>
    <definedName name="Alpha">Summary!$K$12</definedName>
    <definedName name="Beta">Summary!$K$13</definedName>
    <definedName name="Gamma">Summary!$K$14</definedName>
    <definedName name="Kbg">Summary!$K$20</definedName>
    <definedName name="Kbr">Summary!$K$19</definedName>
    <definedName name="Kgb">Summary!$K$18</definedName>
    <definedName name="Kgr">Summary!$K$17</definedName>
    <definedName name="Krb">Summary!$K$16</definedName>
    <definedName name="Krg">Summary!$K$15</definedName>
    <definedName name="LoFilterIndex">Summary!$K$11</definedName>
    <definedName name="Lux">Summary!$N$14</definedName>
    <definedName name="Ncodes">Summary!$K$10</definedName>
    <definedName name="_xlnm.Print_Area" localSheetId="6">blue!$B$1:$AL$6</definedName>
    <definedName name="_xlnm.Print_Area" localSheetId="3">CCT!$D$1:$AN$11</definedName>
    <definedName name="_xlnm.Print_Area" localSheetId="10">count0!$B$1:$AL$6</definedName>
    <definedName name="_xlnm.Print_Area" localSheetId="11">count1!$B$1:$AL$6</definedName>
    <definedName name="_xlnm.Print_Area" localSheetId="12">count2!$B$1:$AL$6</definedName>
    <definedName name="_xlnm.Print_Area" localSheetId="7">data0!$B$1:$AL$6</definedName>
    <definedName name="_xlnm.Print_Area" localSheetId="8">data1!$B$1:$AL$6</definedName>
    <definedName name="_xlnm.Print_Area" localSheetId="9">data2!$B$1:$AL$6</definedName>
    <definedName name="_xlnm.Print_Area" localSheetId="5">green!$B$1:$AL$6</definedName>
    <definedName name="_xlnm.Print_Area" localSheetId="4">red!$B$1:$AL$6</definedName>
    <definedName name="_xlnm.Print_Area" localSheetId="0">Summary!$A$1:$H$12</definedName>
    <definedName name="RangeHi">Summary!$K$9</definedName>
    <definedName name="RangeLo">Summary!$K$8</definedName>
    <definedName name="set">Summary!$H$7</definedName>
  </definedNames>
  <calcPr calcId="125725"/>
</workbook>
</file>

<file path=xl/calcChain.xml><?xml version="1.0" encoding="utf-8"?>
<calcChain xmlns="http://schemas.openxmlformats.org/spreadsheetml/2006/main">
  <c r="K20" i="2"/>
  <c r="K19"/>
  <c r="K18"/>
  <c r="K17"/>
  <c r="K16"/>
  <c r="K15"/>
  <c r="K14"/>
  <c r="K13"/>
  <c r="K12"/>
  <c r="H22"/>
  <c r="H11"/>
  <c r="K37" i="25"/>
  <c r="K36"/>
  <c r="K35"/>
  <c r="K39" s="1"/>
  <c r="K34"/>
  <c r="K33"/>
  <c r="K32"/>
  <c r="Z37"/>
  <c r="Y37"/>
  <c r="X37"/>
  <c r="W37"/>
  <c r="V37"/>
  <c r="U37"/>
  <c r="T37"/>
  <c r="S37"/>
  <c r="N37"/>
  <c r="M37"/>
  <c r="J37"/>
  <c r="I37"/>
  <c r="H37"/>
  <c r="G37"/>
  <c r="Z36"/>
  <c r="Y36"/>
  <c r="X36"/>
  <c r="W36"/>
  <c r="V36"/>
  <c r="U36"/>
  <c r="T36"/>
  <c r="S36"/>
  <c r="N36"/>
  <c r="M36"/>
  <c r="J36"/>
  <c r="I36"/>
  <c r="H36"/>
  <c r="G36"/>
  <c r="Z35"/>
  <c r="Y35"/>
  <c r="X35"/>
  <c r="W35"/>
  <c r="V35"/>
  <c r="U35"/>
  <c r="T35"/>
  <c r="S35"/>
  <c r="N35"/>
  <c r="M35"/>
  <c r="J35"/>
  <c r="I35"/>
  <c r="H35"/>
  <c r="G35"/>
  <c r="Z34"/>
  <c r="Y34"/>
  <c r="X34"/>
  <c r="W34"/>
  <c r="V34"/>
  <c r="U34"/>
  <c r="T34"/>
  <c r="S34"/>
  <c r="N34"/>
  <c r="M34"/>
  <c r="J34"/>
  <c r="I34"/>
  <c r="H34"/>
  <c r="G34"/>
  <c r="Z33"/>
  <c r="Y33"/>
  <c r="X33"/>
  <c r="W33"/>
  <c r="V33"/>
  <c r="U33"/>
  <c r="T33"/>
  <c r="S33"/>
  <c r="N33"/>
  <c r="M33"/>
  <c r="J33"/>
  <c r="I33"/>
  <c r="H33"/>
  <c r="G33"/>
  <c r="Z32"/>
  <c r="Y32"/>
  <c r="X32"/>
  <c r="W32"/>
  <c r="V32"/>
  <c r="U32"/>
  <c r="T32"/>
  <c r="S32"/>
  <c r="N32"/>
  <c r="M32"/>
  <c r="J32"/>
  <c r="I32"/>
  <c r="H32"/>
  <c r="G32"/>
  <c r="Z31"/>
  <c r="Y31"/>
  <c r="X31"/>
  <c r="W31"/>
  <c r="V31"/>
  <c r="U31"/>
  <c r="T31"/>
  <c r="S31"/>
  <c r="N31"/>
  <c r="M31"/>
  <c r="L31"/>
  <c r="K31"/>
  <c r="J31"/>
  <c r="I31"/>
  <c r="H31"/>
  <c r="G31"/>
  <c r="Z25"/>
  <c r="Y25"/>
  <c r="X25"/>
  <c r="W25"/>
  <c r="V25"/>
  <c r="U25"/>
  <c r="T25"/>
  <c r="S25"/>
  <c r="N25"/>
  <c r="M25"/>
  <c r="L25"/>
  <c r="K25"/>
  <c r="J25"/>
  <c r="I25"/>
  <c r="H25"/>
  <c r="G25"/>
  <c r="Z24"/>
  <c r="Y24"/>
  <c r="X24"/>
  <c r="W24"/>
  <c r="V24"/>
  <c r="U24"/>
  <c r="T24"/>
  <c r="S24"/>
  <c r="N24"/>
  <c r="M24"/>
  <c r="L24"/>
  <c r="K24"/>
  <c r="J24"/>
  <c r="I24"/>
  <c r="H24"/>
  <c r="G24"/>
  <c r="Z23"/>
  <c r="Y23"/>
  <c r="X23"/>
  <c r="W23"/>
  <c r="V23"/>
  <c r="U23"/>
  <c r="T23"/>
  <c r="S23"/>
  <c r="N23"/>
  <c r="M23"/>
  <c r="L23"/>
  <c r="K23"/>
  <c r="J23"/>
  <c r="I23"/>
  <c r="H23"/>
  <c r="G23"/>
  <c r="Z22"/>
  <c r="Y22"/>
  <c r="X22"/>
  <c r="W22"/>
  <c r="V22"/>
  <c r="U22"/>
  <c r="T22"/>
  <c r="S22"/>
  <c r="N22"/>
  <c r="M22"/>
  <c r="L22"/>
  <c r="K22"/>
  <c r="J22"/>
  <c r="I22"/>
  <c r="H22"/>
  <c r="G22"/>
  <c r="Z21"/>
  <c r="Y21"/>
  <c r="X21"/>
  <c r="W21"/>
  <c r="V21"/>
  <c r="U21"/>
  <c r="T21"/>
  <c r="S21"/>
  <c r="N21"/>
  <c r="M21"/>
  <c r="L21"/>
  <c r="K21"/>
  <c r="J21"/>
  <c r="I21"/>
  <c r="H21"/>
  <c r="G21"/>
  <c r="Z20"/>
  <c r="Y20"/>
  <c r="X20"/>
  <c r="W20"/>
  <c r="V20"/>
  <c r="U20"/>
  <c r="T20"/>
  <c r="S20"/>
  <c r="N20"/>
  <c r="M20"/>
  <c r="L20"/>
  <c r="K20"/>
  <c r="J20"/>
  <c r="I20"/>
  <c r="H20"/>
  <c r="G20"/>
  <c r="Z19"/>
  <c r="Y19"/>
  <c r="X19"/>
  <c r="W19"/>
  <c r="V19"/>
  <c r="U19"/>
  <c r="T19"/>
  <c r="S19"/>
  <c r="N19"/>
  <c r="M19"/>
  <c r="L19"/>
  <c r="K19"/>
  <c r="J19"/>
  <c r="I19"/>
  <c r="H19"/>
  <c r="G19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E43" i="17"/>
  <c r="A14" i="25"/>
  <c r="K38" l="1"/>
  <c r="U43" i="17"/>
  <c r="W7" i="15"/>
  <c r="W3"/>
  <c r="AB7"/>
  <c r="S7"/>
  <c r="K7"/>
  <c r="C7"/>
  <c r="AA7"/>
  <c r="R7"/>
  <c r="J7"/>
  <c r="B7"/>
  <c r="W4" i="14"/>
  <c r="AD7"/>
  <c r="U7"/>
  <c r="M7"/>
  <c r="E7"/>
  <c r="AC7"/>
  <c r="T7"/>
  <c r="L7"/>
  <c r="D7"/>
  <c r="W2" i="12"/>
  <c r="AF7"/>
  <c r="X7"/>
  <c r="O7"/>
  <c r="G7"/>
  <c r="AE7"/>
  <c r="V7"/>
  <c r="N7"/>
  <c r="F7"/>
  <c r="W5" i="15"/>
  <c r="W4"/>
  <c r="Z7"/>
  <c r="Q7"/>
  <c r="I7"/>
  <c r="AG7"/>
  <c r="Y7"/>
  <c r="P7"/>
  <c r="H7"/>
  <c r="W7" i="14"/>
  <c r="W5"/>
  <c r="AB7"/>
  <c r="S7"/>
  <c r="K7"/>
  <c r="C7"/>
  <c r="AA7"/>
  <c r="R7"/>
  <c r="J7"/>
  <c r="B7"/>
  <c r="W6" i="12"/>
  <c r="AD7"/>
  <c r="U7"/>
  <c r="M7"/>
  <c r="E7"/>
  <c r="AC7"/>
  <c r="T7"/>
  <c r="L7"/>
  <c r="D7"/>
  <c r="W2" i="15"/>
  <c r="AF7"/>
  <c r="X7"/>
  <c r="O7"/>
  <c r="G7"/>
  <c r="AE7"/>
  <c r="V7"/>
  <c r="N7"/>
  <c r="F7"/>
  <c r="W6" i="14"/>
  <c r="W2"/>
  <c r="Z7"/>
  <c r="Q7"/>
  <c r="I7"/>
  <c r="AG7"/>
  <c r="Y7"/>
  <c r="P7"/>
  <c r="H7"/>
  <c r="W7" i="12"/>
  <c r="W3"/>
  <c r="AB7"/>
  <c r="S7"/>
  <c r="K7"/>
  <c r="C7"/>
  <c r="AA7"/>
  <c r="R7"/>
  <c r="J7"/>
  <c r="B7"/>
  <c r="W6" i="15"/>
  <c r="AD7"/>
  <c r="U7"/>
  <c r="M7"/>
  <c r="E7"/>
  <c r="AC7"/>
  <c r="T7"/>
  <c r="L7"/>
  <c r="D7"/>
  <c r="W3" i="14"/>
  <c r="AF7"/>
  <c r="X7"/>
  <c r="O7"/>
  <c r="G7"/>
  <c r="AE7"/>
  <c r="V7"/>
  <c r="X7" i="17" s="1"/>
  <c r="N7" i="14"/>
  <c r="F7"/>
  <c r="W5" i="12"/>
  <c r="W4"/>
  <c r="Z7"/>
  <c r="Q7"/>
  <c r="I7"/>
  <c r="AG7"/>
  <c r="Y7"/>
  <c r="P7"/>
  <c r="H7"/>
  <c r="K37" i="4" l="1"/>
  <c r="V44"/>
  <c r="G25"/>
  <c r="I25"/>
  <c r="K25"/>
  <c r="M25"/>
  <c r="S25"/>
  <c r="U25"/>
  <c r="W25"/>
  <c r="Y25"/>
  <c r="G37"/>
  <c r="I37"/>
  <c r="N37"/>
  <c r="T37"/>
  <c r="V37"/>
  <c r="X37"/>
  <c r="Z37"/>
  <c r="H25"/>
  <c r="J25"/>
  <c r="L25"/>
  <c r="N25"/>
  <c r="T25"/>
  <c r="V25"/>
  <c r="X25"/>
  <c r="Z25"/>
  <c r="H37"/>
  <c r="J37"/>
  <c r="M37"/>
  <c r="S37"/>
  <c r="U37"/>
  <c r="W37"/>
  <c r="Y37"/>
  <c r="M8" i="2"/>
  <c r="E15" i="17"/>
  <c r="U15" s="1"/>
  <c r="E29"/>
  <c r="U29" s="1"/>
  <c r="V15"/>
  <c r="R7"/>
  <c r="AI7"/>
  <c r="S7"/>
  <c r="D7"/>
  <c r="T7"/>
  <c r="I7"/>
  <c r="Z7"/>
  <c r="F7"/>
  <c r="V7"/>
  <c r="G7"/>
  <c r="W7"/>
  <c r="H7"/>
  <c r="AC7"/>
  <c r="M7"/>
  <c r="AD7"/>
  <c r="J7"/>
  <c r="AA7"/>
  <c r="K7"/>
  <c r="AB7"/>
  <c r="L7"/>
  <c r="AG7"/>
  <c r="Q7"/>
  <c r="AH7"/>
  <c r="N7"/>
  <c r="AE7"/>
  <c r="O7"/>
  <c r="AF7"/>
  <c r="P7"/>
  <c r="E7"/>
  <c r="U7"/>
  <c r="C7" l="1"/>
  <c r="U44" s="1"/>
  <c r="B7"/>
  <c r="V43" i="4"/>
  <c r="R37" i="25"/>
  <c r="P37"/>
  <c r="F37"/>
  <c r="D37"/>
  <c r="R25"/>
  <c r="P25"/>
  <c r="F25"/>
  <c r="D25"/>
  <c r="D8"/>
  <c r="F8"/>
  <c r="P37" i="4"/>
  <c r="R37"/>
  <c r="D37"/>
  <c r="F37"/>
  <c r="P25"/>
  <c r="R25"/>
  <c r="F8"/>
  <c r="D8"/>
  <c r="D25"/>
  <c r="F25"/>
  <c r="F15" i="17"/>
  <c r="K8" i="2"/>
  <c r="A8" i="19" s="1"/>
  <c r="D1" i="23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/>
  <c r="A1"/>
  <c r="D1" i="22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/>
  <c r="A1"/>
  <c r="B4" i="12"/>
  <c r="E25" i="4" l="1"/>
  <c r="U45" i="17"/>
  <c r="U46" s="1"/>
  <c r="U47" s="1"/>
  <c r="U48" s="1"/>
  <c r="U49" s="1"/>
  <c r="U50" s="1"/>
  <c r="C26"/>
  <c r="Q37" i="4"/>
  <c r="E37"/>
  <c r="AF3" i="22"/>
  <c r="AF6"/>
  <c r="AD6"/>
  <c r="AB6"/>
  <c r="Z6"/>
  <c r="X6"/>
  <c r="V6"/>
  <c r="T6"/>
  <c r="R6"/>
  <c r="P6"/>
  <c r="N6"/>
  <c r="L6"/>
  <c r="J6"/>
  <c r="H6"/>
  <c r="F6"/>
  <c r="D6"/>
  <c r="AG6"/>
  <c r="AE6"/>
  <c r="AC6"/>
  <c r="AA6"/>
  <c r="Y6"/>
  <c r="W6"/>
  <c r="U6"/>
  <c r="S6"/>
  <c r="Q6"/>
  <c r="O6"/>
  <c r="M6"/>
  <c r="K6"/>
  <c r="I6"/>
  <c r="G6"/>
  <c r="E6"/>
  <c r="C6"/>
  <c r="B6"/>
  <c r="AF3" i="23"/>
  <c r="AF6"/>
  <c r="AD6"/>
  <c r="AB6"/>
  <c r="Z6"/>
  <c r="X6"/>
  <c r="V6"/>
  <c r="T6"/>
  <c r="R6"/>
  <c r="P6"/>
  <c r="N6"/>
  <c r="L6"/>
  <c r="J6"/>
  <c r="H6"/>
  <c r="F6"/>
  <c r="D6"/>
  <c r="B6"/>
  <c r="AG6"/>
  <c r="AE6"/>
  <c r="AC6"/>
  <c r="AA6"/>
  <c r="Y6"/>
  <c r="W6"/>
  <c r="U6"/>
  <c r="S6"/>
  <c r="Q6"/>
  <c r="O6"/>
  <c r="M6"/>
  <c r="K6"/>
  <c r="I6"/>
  <c r="G6"/>
  <c r="E6"/>
  <c r="C6"/>
  <c r="W7" i="19"/>
  <c r="AG7"/>
  <c r="AE7"/>
  <c r="AC7"/>
  <c r="AA7"/>
  <c r="Y7"/>
  <c r="V7"/>
  <c r="T7"/>
  <c r="R7"/>
  <c r="P7"/>
  <c r="N7"/>
  <c r="L7"/>
  <c r="J7"/>
  <c r="H7"/>
  <c r="F7"/>
  <c r="D7"/>
  <c r="B7"/>
  <c r="AF7"/>
  <c r="AD7"/>
  <c r="AB7"/>
  <c r="Z7"/>
  <c r="X7"/>
  <c r="U7"/>
  <c r="S7"/>
  <c r="Q7"/>
  <c r="O7"/>
  <c r="M7"/>
  <c r="K7"/>
  <c r="I7"/>
  <c r="G7"/>
  <c r="E7"/>
  <c r="C7"/>
  <c r="E25" i="25"/>
  <c r="C25"/>
  <c r="Q25"/>
  <c r="O25"/>
  <c r="E37"/>
  <c r="C37"/>
  <c r="Q37"/>
  <c r="O37"/>
  <c r="E8"/>
  <c r="C8"/>
  <c r="A8" i="22"/>
  <c r="C4" s="1"/>
  <c r="A8" i="23"/>
  <c r="Q25" i="4"/>
  <c r="O25"/>
  <c r="C25"/>
  <c r="C37"/>
  <c r="O37"/>
  <c r="C2" i="22"/>
  <c r="E2"/>
  <c r="G2"/>
  <c r="I2"/>
  <c r="K2"/>
  <c r="M2"/>
  <c r="O2"/>
  <c r="Q2"/>
  <c r="S2"/>
  <c r="U2"/>
  <c r="W2"/>
  <c r="Y2"/>
  <c r="AA2"/>
  <c r="AC2"/>
  <c r="AE2"/>
  <c r="AG2"/>
  <c r="C3"/>
  <c r="E3"/>
  <c r="G3"/>
  <c r="I3"/>
  <c r="K3"/>
  <c r="M3"/>
  <c r="O3"/>
  <c r="Q3"/>
  <c r="S3"/>
  <c r="U3"/>
  <c r="W3"/>
  <c r="Y3"/>
  <c r="AA3"/>
  <c r="AC3"/>
  <c r="AE3"/>
  <c r="AG3"/>
  <c r="I4"/>
  <c r="Q4"/>
  <c r="Y4"/>
  <c r="AG4"/>
  <c r="I5"/>
  <c r="Q5"/>
  <c r="Y5"/>
  <c r="AG5"/>
  <c r="C2" i="23"/>
  <c r="E2"/>
  <c r="G2"/>
  <c r="I2"/>
  <c r="K2"/>
  <c r="M2"/>
  <c r="O2"/>
  <c r="Q2"/>
  <c r="S2"/>
  <c r="U2"/>
  <c r="W2"/>
  <c r="Y2"/>
  <c r="AA2"/>
  <c r="AC2"/>
  <c r="AE2"/>
  <c r="AG2"/>
  <c r="C3"/>
  <c r="E3"/>
  <c r="G3"/>
  <c r="I3"/>
  <c r="K3"/>
  <c r="M3"/>
  <c r="O3"/>
  <c r="Q3"/>
  <c r="S3"/>
  <c r="U3"/>
  <c r="W3"/>
  <c r="Y3"/>
  <c r="AA3"/>
  <c r="AC3"/>
  <c r="AE3"/>
  <c r="AG3"/>
  <c r="C4"/>
  <c r="E4"/>
  <c r="G4"/>
  <c r="I4"/>
  <c r="K4"/>
  <c r="M4"/>
  <c r="O4"/>
  <c r="Q4"/>
  <c r="S4"/>
  <c r="U4"/>
  <c r="W4"/>
  <c r="Y4"/>
  <c r="AA4"/>
  <c r="AC4"/>
  <c r="AE4"/>
  <c r="AG4"/>
  <c r="C5"/>
  <c r="E5"/>
  <c r="G5"/>
  <c r="I5"/>
  <c r="K5"/>
  <c r="M5"/>
  <c r="O5"/>
  <c r="Q5"/>
  <c r="S5"/>
  <c r="U5"/>
  <c r="W5"/>
  <c r="Y5"/>
  <c r="AA5"/>
  <c r="AC5"/>
  <c r="AE5"/>
  <c r="AG5"/>
  <c r="B2" i="22"/>
  <c r="D2"/>
  <c r="F2"/>
  <c r="H2"/>
  <c r="J2"/>
  <c r="L2"/>
  <c r="N2"/>
  <c r="P2"/>
  <c r="R2"/>
  <c r="T2"/>
  <c r="V2"/>
  <c r="X2"/>
  <c r="Z2"/>
  <c r="AB2"/>
  <c r="AD2"/>
  <c r="AF2"/>
  <c r="B3"/>
  <c r="D3"/>
  <c r="F3"/>
  <c r="H3"/>
  <c r="J3"/>
  <c r="L3"/>
  <c r="N3"/>
  <c r="P3"/>
  <c r="R3"/>
  <c r="T3"/>
  <c r="V3"/>
  <c r="X3"/>
  <c r="Z3"/>
  <c r="AB3"/>
  <c r="AD3"/>
  <c r="B4"/>
  <c r="F4"/>
  <c r="J4"/>
  <c r="N4"/>
  <c r="R4"/>
  <c r="V4"/>
  <c r="Z4"/>
  <c r="AD4"/>
  <c r="B5"/>
  <c r="F5"/>
  <c r="J5"/>
  <c r="N5"/>
  <c r="R5"/>
  <c r="V5"/>
  <c r="Z5"/>
  <c r="AD5"/>
  <c r="B2" i="23"/>
  <c r="D2"/>
  <c r="F2"/>
  <c r="H2"/>
  <c r="J2"/>
  <c r="L2"/>
  <c r="N2"/>
  <c r="P2"/>
  <c r="R2"/>
  <c r="T2"/>
  <c r="V2"/>
  <c r="X2"/>
  <c r="Z2"/>
  <c r="AB2"/>
  <c r="AD2"/>
  <c r="AF2"/>
  <c r="B3"/>
  <c r="D3"/>
  <c r="F3"/>
  <c r="H3"/>
  <c r="J3"/>
  <c r="L3"/>
  <c r="N3"/>
  <c r="P3"/>
  <c r="R3"/>
  <c r="T3"/>
  <c r="V3"/>
  <c r="X3"/>
  <c r="Z3"/>
  <c r="AB3"/>
  <c r="AD3"/>
  <c r="B4"/>
  <c r="D4"/>
  <c r="F4"/>
  <c r="H4"/>
  <c r="J4"/>
  <c r="L4"/>
  <c r="N4"/>
  <c r="P4"/>
  <c r="R4"/>
  <c r="T4"/>
  <c r="V4"/>
  <c r="X4"/>
  <c r="Z4"/>
  <c r="AB4"/>
  <c r="AD4"/>
  <c r="AF4"/>
  <c r="B5"/>
  <c r="D5"/>
  <c r="F5"/>
  <c r="H5"/>
  <c r="J5"/>
  <c r="L5"/>
  <c r="N5"/>
  <c r="P5"/>
  <c r="R5"/>
  <c r="T5"/>
  <c r="V5"/>
  <c r="X5"/>
  <c r="Z5"/>
  <c r="AB5"/>
  <c r="AD5"/>
  <c r="AF5"/>
  <c r="A1" i="19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G19" i="4"/>
  <c r="E1" i="17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V45"/>
  <c r="V49"/>
  <c r="V46"/>
  <c r="V50"/>
  <c r="V47"/>
  <c r="V48"/>
  <c r="AA5" i="15"/>
  <c r="T2"/>
  <c r="M6"/>
  <c r="G3"/>
  <c r="AF2"/>
  <c r="Y6"/>
  <c r="R3"/>
  <c r="L4"/>
  <c r="E5"/>
  <c r="AC5"/>
  <c r="U3"/>
  <c r="H5"/>
  <c r="Z2"/>
  <c r="L3"/>
  <c r="X4"/>
  <c r="I3"/>
  <c r="AB5"/>
  <c r="N6"/>
  <c r="F6"/>
  <c r="AB3"/>
  <c r="U4"/>
  <c r="N5"/>
  <c r="H2"/>
  <c r="AG4"/>
  <c r="Z5"/>
  <c r="S2"/>
  <c r="L6"/>
  <c r="F3"/>
  <c r="AE2"/>
  <c r="V2"/>
  <c r="J2"/>
  <c r="AA6"/>
  <c r="N4"/>
  <c r="AD3"/>
  <c r="K4"/>
  <c r="AD2"/>
  <c r="P3"/>
  <c r="B5"/>
  <c r="B4"/>
  <c r="AC2"/>
  <c r="U6"/>
  <c r="O3"/>
  <c r="I4"/>
  <c r="AG6"/>
  <c r="AA3"/>
  <c r="T4"/>
  <c r="M5"/>
  <c r="G2"/>
  <c r="AF4"/>
  <c r="X6"/>
  <c r="K6"/>
  <c r="AC3"/>
  <c r="O5"/>
  <c r="C5"/>
  <c r="L5"/>
  <c r="AE6"/>
  <c r="R4"/>
  <c r="E2"/>
  <c r="AD4"/>
  <c r="V5"/>
  <c r="P2"/>
  <c r="I6"/>
  <c r="C3"/>
  <c r="AB2"/>
  <c r="T6"/>
  <c r="N3"/>
  <c r="H4"/>
  <c r="Y5"/>
  <c r="AE4"/>
  <c r="D3"/>
  <c r="N2"/>
  <c r="S5"/>
  <c r="AD6"/>
  <c r="X3"/>
  <c r="Q4"/>
  <c r="J5"/>
  <c r="D2"/>
  <c r="AC4"/>
  <c r="U5"/>
  <c r="O2"/>
  <c r="H6"/>
  <c r="AG5"/>
  <c r="Z3"/>
  <c r="O4"/>
  <c r="AF5"/>
  <c r="R6"/>
  <c r="F4"/>
  <c r="O6"/>
  <c r="C4"/>
  <c r="U2"/>
  <c r="H3"/>
  <c r="AE5"/>
  <c r="Y2"/>
  <c r="Q6"/>
  <c r="K3"/>
  <c r="E4"/>
  <c r="AC6"/>
  <c r="V3"/>
  <c r="P4"/>
  <c r="I5"/>
  <c r="C2"/>
  <c r="AA2"/>
  <c r="P5"/>
  <c r="C6"/>
  <c r="T3"/>
  <c r="G5"/>
  <c r="Q3"/>
  <c r="D5"/>
  <c r="V6"/>
  <c r="J4"/>
  <c r="B2"/>
  <c r="AF3"/>
  <c r="Z4"/>
  <c r="R5"/>
  <c r="L2"/>
  <c r="E6"/>
  <c r="AD5"/>
  <c r="X2"/>
  <c r="P6"/>
  <c r="J3"/>
  <c r="D4"/>
  <c r="AB4"/>
  <c r="R2"/>
  <c r="E3"/>
  <c r="V4"/>
  <c r="I2"/>
  <c r="S4"/>
  <c r="F2"/>
  <c r="Y3"/>
  <c r="K5"/>
  <c r="AG2"/>
  <c r="Z6"/>
  <c r="S3"/>
  <c r="M4"/>
  <c r="F5"/>
  <c r="AE3"/>
  <c r="Y4"/>
  <c r="Q5"/>
  <c r="K2"/>
  <c r="D6"/>
  <c r="AB6"/>
  <c r="S6"/>
  <c r="G4"/>
  <c r="X5"/>
  <c r="J6"/>
  <c r="T5"/>
  <c r="G6"/>
  <c r="AA4"/>
  <c r="M2"/>
  <c r="B3"/>
  <c r="AF6"/>
  <c r="M3"/>
  <c r="Q2"/>
  <c r="AG3"/>
  <c r="B6"/>
  <c r="AC5" i="22" l="1"/>
  <c r="U5"/>
  <c r="M5"/>
  <c r="E5"/>
  <c r="AC4"/>
  <c r="U4"/>
  <c r="M4"/>
  <c r="E4"/>
  <c r="AF5"/>
  <c r="AB5"/>
  <c r="X5"/>
  <c r="T5"/>
  <c r="P5"/>
  <c r="L5"/>
  <c r="H5"/>
  <c r="D5"/>
  <c r="AF4"/>
  <c r="AB4"/>
  <c r="X4"/>
  <c r="T4"/>
  <c r="P4"/>
  <c r="L4"/>
  <c r="H4"/>
  <c r="D4"/>
  <c r="AE5"/>
  <c r="AA5"/>
  <c r="W5"/>
  <c r="S5"/>
  <c r="O5"/>
  <c r="K5"/>
  <c r="G5"/>
  <c r="C5"/>
  <c r="AE4"/>
  <c r="AA4"/>
  <c r="W4"/>
  <c r="S4"/>
  <c r="O4"/>
  <c r="K4"/>
  <c r="G4"/>
  <c r="AG7"/>
  <c r="AE7"/>
  <c r="AC7"/>
  <c r="AA7"/>
  <c r="Y7"/>
  <c r="W7"/>
  <c r="U7"/>
  <c r="S7"/>
  <c r="Q7"/>
  <c r="O7"/>
  <c r="M7"/>
  <c r="K7"/>
  <c r="I7"/>
  <c r="G7"/>
  <c r="E7"/>
  <c r="C7"/>
  <c r="B7"/>
  <c r="AF7"/>
  <c r="AD7"/>
  <c r="AB7"/>
  <c r="Z7"/>
  <c r="X7"/>
  <c r="V7"/>
  <c r="T7"/>
  <c r="R7"/>
  <c r="P7"/>
  <c r="N7"/>
  <c r="L7"/>
  <c r="J7"/>
  <c r="H7"/>
  <c r="F7"/>
  <c r="D7"/>
  <c r="AF6" i="19"/>
  <c r="AD6"/>
  <c r="AB6"/>
  <c r="Z6"/>
  <c r="X6"/>
  <c r="V6"/>
  <c r="T6"/>
  <c r="R6"/>
  <c r="P6"/>
  <c r="N6"/>
  <c r="L6"/>
  <c r="J6"/>
  <c r="H6"/>
  <c r="F6"/>
  <c r="D6"/>
  <c r="B6"/>
  <c r="AG6"/>
  <c r="AE6"/>
  <c r="AC6"/>
  <c r="AA6"/>
  <c r="Y6"/>
  <c r="W6"/>
  <c r="U6"/>
  <c r="S6"/>
  <c r="Q6"/>
  <c r="O6"/>
  <c r="M6"/>
  <c r="K6"/>
  <c r="I6"/>
  <c r="G6"/>
  <c r="E6"/>
  <c r="C6"/>
  <c r="AG7" i="23"/>
  <c r="AE7"/>
  <c r="AC7"/>
  <c r="AA7"/>
  <c r="Y7"/>
  <c r="W7"/>
  <c r="U7"/>
  <c r="S7"/>
  <c r="Q7"/>
  <c r="O7"/>
  <c r="M7"/>
  <c r="K7"/>
  <c r="I7"/>
  <c r="G7"/>
  <c r="E7"/>
  <c r="C7"/>
  <c r="AF7"/>
  <c r="AD7"/>
  <c r="AB7"/>
  <c r="Z7"/>
  <c r="X7"/>
  <c r="V7"/>
  <c r="T7"/>
  <c r="R7"/>
  <c r="P7"/>
  <c r="N7"/>
  <c r="L7"/>
  <c r="J7"/>
  <c r="H7"/>
  <c r="F7"/>
  <c r="D7"/>
  <c r="B7"/>
  <c r="AG3" i="19"/>
  <c r="AE3"/>
  <c r="AC3"/>
  <c r="AA3"/>
  <c r="Y3"/>
  <c r="W3"/>
  <c r="U3"/>
  <c r="S3"/>
  <c r="Q3"/>
  <c r="O3"/>
  <c r="M3"/>
  <c r="K3"/>
  <c r="I3"/>
  <c r="G3"/>
  <c r="E3"/>
  <c r="C3"/>
  <c r="AG2"/>
  <c r="AE2"/>
  <c r="AC2"/>
  <c r="AA2"/>
  <c r="Y2"/>
  <c r="W2"/>
  <c r="U2"/>
  <c r="S2"/>
  <c r="Q2"/>
  <c r="O2"/>
  <c r="M2"/>
  <c r="K2"/>
  <c r="I2"/>
  <c r="G2"/>
  <c r="E2"/>
  <c r="C2"/>
  <c r="AF3"/>
  <c r="AD3"/>
  <c r="AB3"/>
  <c r="Z3"/>
  <c r="X3"/>
  <c r="V3"/>
  <c r="T3"/>
  <c r="R3"/>
  <c r="P3"/>
  <c r="N3"/>
  <c r="L3"/>
  <c r="J3"/>
  <c r="H3"/>
  <c r="F3"/>
  <c r="D3"/>
  <c r="B3"/>
  <c r="AF2"/>
  <c r="AD2"/>
  <c r="AB2"/>
  <c r="Z2"/>
  <c r="X2"/>
  <c r="V2"/>
  <c r="T2"/>
  <c r="R2"/>
  <c r="P2"/>
  <c r="N2"/>
  <c r="L2"/>
  <c r="J2"/>
  <c r="H2"/>
  <c r="F2"/>
  <c r="D2"/>
  <c r="B2"/>
  <c r="AG5"/>
  <c r="AE5"/>
  <c r="AC5"/>
  <c r="AA5"/>
  <c r="Y5"/>
  <c r="W5"/>
  <c r="U5"/>
  <c r="S5"/>
  <c r="Q5"/>
  <c r="O5"/>
  <c r="M5"/>
  <c r="K5"/>
  <c r="I5"/>
  <c r="G5"/>
  <c r="E5"/>
  <c r="C5"/>
  <c r="AG4"/>
  <c r="AE4"/>
  <c r="AC4"/>
  <c r="AA4"/>
  <c r="Y4"/>
  <c r="W4"/>
  <c r="U4"/>
  <c r="S4"/>
  <c r="Q4"/>
  <c r="O4"/>
  <c r="M4"/>
  <c r="K4"/>
  <c r="I4"/>
  <c r="G4"/>
  <c r="E4"/>
  <c r="C4"/>
  <c r="AF5"/>
  <c r="AD5"/>
  <c r="AB5"/>
  <c r="Z5"/>
  <c r="X5"/>
  <c r="V5"/>
  <c r="T5"/>
  <c r="R5"/>
  <c r="P5"/>
  <c r="N5"/>
  <c r="L5"/>
  <c r="J5"/>
  <c r="H5"/>
  <c r="F5"/>
  <c r="D5"/>
  <c r="B5"/>
  <c r="AF4"/>
  <c r="AD4"/>
  <c r="AB4"/>
  <c r="Z4"/>
  <c r="X4"/>
  <c r="V4"/>
  <c r="T4"/>
  <c r="R4"/>
  <c r="P4"/>
  <c r="N4"/>
  <c r="L4"/>
  <c r="J4"/>
  <c r="H4"/>
  <c r="F4"/>
  <c r="D4"/>
  <c r="B4"/>
  <c r="C1" i="1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C4" i="14"/>
  <c r="U5"/>
  <c r="O2"/>
  <c r="H6"/>
  <c r="AG5"/>
  <c r="AA2"/>
  <c r="S6"/>
  <c r="M3"/>
  <c r="G4"/>
  <c r="AE6"/>
  <c r="Y3"/>
  <c r="R4"/>
  <c r="K5"/>
  <c r="E2"/>
  <c r="AC2"/>
  <c r="U6"/>
  <c r="M6"/>
  <c r="AG4"/>
  <c r="Z5"/>
  <c r="S2"/>
  <c r="L6"/>
  <c r="F3"/>
  <c r="AE2"/>
  <c r="X6"/>
  <c r="Q3"/>
  <c r="K4"/>
  <c r="D5"/>
  <c r="AC3"/>
  <c r="V4"/>
  <c r="O5"/>
  <c r="I2"/>
  <c r="AG2"/>
  <c r="Z6"/>
  <c r="S3"/>
  <c r="M4"/>
  <c r="F5"/>
  <c r="L2"/>
  <c r="B5"/>
  <c r="B3"/>
  <c r="AD5"/>
  <c r="X2"/>
  <c r="P6"/>
  <c r="J3"/>
  <c r="D4"/>
  <c r="AB6"/>
  <c r="U3"/>
  <c r="O4"/>
  <c r="H5"/>
  <c r="AG3"/>
  <c r="AA4"/>
  <c r="S5"/>
  <c r="M2"/>
  <c r="F6"/>
  <c r="AD6"/>
  <c r="X3"/>
  <c r="Q4"/>
  <c r="D2"/>
  <c r="AB2"/>
  <c r="T6"/>
  <c r="N3"/>
  <c r="H4"/>
  <c r="AF6"/>
  <c r="Z3"/>
  <c r="S4"/>
  <c r="L5"/>
  <c r="F2"/>
  <c r="AE4"/>
  <c r="X5"/>
  <c r="Q2"/>
  <c r="J6"/>
  <c r="D3"/>
  <c r="AB3"/>
  <c r="U4"/>
  <c r="N5"/>
  <c r="H2"/>
  <c r="O3"/>
  <c r="B6"/>
  <c r="AF2"/>
  <c r="Y6"/>
  <c r="R3"/>
  <c r="L4"/>
  <c r="E5"/>
  <c r="AD3"/>
  <c r="X4"/>
  <c r="P5"/>
  <c r="J2"/>
  <c r="C6"/>
  <c r="AB5"/>
  <c r="U2"/>
  <c r="N6"/>
  <c r="H3"/>
  <c r="AF3"/>
  <c r="Z4"/>
  <c r="R5"/>
  <c r="G3"/>
  <c r="AC6"/>
  <c r="V3"/>
  <c r="P4"/>
  <c r="I5"/>
  <c r="C2"/>
  <c r="AB4"/>
  <c r="T5"/>
  <c r="N2"/>
  <c r="G6"/>
  <c r="AF5"/>
  <c r="Z2"/>
  <c r="R6"/>
  <c r="L3"/>
  <c r="F4"/>
  <c r="AD4"/>
  <c r="V5"/>
  <c r="P2"/>
  <c r="I6"/>
  <c r="C3"/>
  <c r="E6"/>
  <c r="B2"/>
  <c r="AG6"/>
  <c r="AA3"/>
  <c r="T4"/>
  <c r="M5"/>
  <c r="G2"/>
  <c r="AF4"/>
  <c r="Y5"/>
  <c r="R2"/>
  <c r="K6"/>
  <c r="E3"/>
  <c r="AD2"/>
  <c r="V6"/>
  <c r="P3"/>
  <c r="J4"/>
  <c r="C5"/>
  <c r="AA5"/>
  <c r="T2"/>
  <c r="J5"/>
  <c r="AE3"/>
  <c r="Y4"/>
  <c r="Q5"/>
  <c r="K2"/>
  <c r="D6"/>
  <c r="AC5"/>
  <c r="V2"/>
  <c r="O6"/>
  <c r="I3"/>
  <c r="C4"/>
  <c r="AA6"/>
  <c r="T3"/>
  <c r="N4"/>
  <c r="G5"/>
  <c r="AE5"/>
  <c r="Y2"/>
  <c r="Q6"/>
  <c r="K3"/>
  <c r="E4"/>
  <c r="I4"/>
  <c r="B4"/>
  <c r="K32" i="4" l="1"/>
  <c r="K34"/>
  <c r="K36"/>
  <c r="K33"/>
  <c r="K35"/>
  <c r="K39" s="1"/>
  <c r="U44" s="1"/>
  <c r="N26" i="25"/>
  <c r="H43" s="1"/>
  <c r="K27"/>
  <c r="E44" s="1"/>
  <c r="W27"/>
  <c r="M44" s="1"/>
  <c r="X39"/>
  <c r="AD44" s="1"/>
  <c r="L27"/>
  <c r="F44" s="1"/>
  <c r="M39"/>
  <c r="W44" s="1"/>
  <c r="Y39"/>
  <c r="AE44" s="1"/>
  <c r="J26"/>
  <c r="D43" s="1"/>
  <c r="V26"/>
  <c r="L43" s="1"/>
  <c r="J38"/>
  <c r="T43" s="1"/>
  <c r="W38"/>
  <c r="AC43" s="1"/>
  <c r="T38"/>
  <c r="Z43" s="1"/>
  <c r="L26"/>
  <c r="F43" s="1"/>
  <c r="X26"/>
  <c r="N43" s="1"/>
  <c r="M38"/>
  <c r="W43" s="1"/>
  <c r="T39"/>
  <c r="Z44" s="1"/>
  <c r="Y38"/>
  <c r="AE43" s="1"/>
  <c r="S34" i="4"/>
  <c r="G34"/>
  <c r="T34"/>
  <c r="M34"/>
  <c r="Y34"/>
  <c r="I34"/>
  <c r="V34"/>
  <c r="J34"/>
  <c r="W34"/>
  <c r="X34"/>
  <c r="H34"/>
  <c r="U34"/>
  <c r="N34"/>
  <c r="Z34"/>
  <c r="G22"/>
  <c r="J22"/>
  <c r="N22"/>
  <c r="Z22"/>
  <c r="L24"/>
  <c r="S22"/>
  <c r="L22"/>
  <c r="X22"/>
  <c r="I22"/>
  <c r="U22"/>
  <c r="L23"/>
  <c r="L27" s="1"/>
  <c r="V22"/>
  <c r="K22"/>
  <c r="W22"/>
  <c r="H22"/>
  <c r="L21"/>
  <c r="T22"/>
  <c r="L20"/>
  <c r="M22"/>
  <c r="Y22"/>
  <c r="G21"/>
  <c r="H21"/>
  <c r="I21"/>
  <c r="J21"/>
  <c r="K21"/>
  <c r="M21"/>
  <c r="N21"/>
  <c r="S21"/>
  <c r="T21"/>
  <c r="U21"/>
  <c r="V21"/>
  <c r="W21"/>
  <c r="X21"/>
  <c r="Y21"/>
  <c r="Z21"/>
  <c r="G33"/>
  <c r="H33"/>
  <c r="I33"/>
  <c r="J33"/>
  <c r="M33"/>
  <c r="N33"/>
  <c r="S33"/>
  <c r="T33"/>
  <c r="U33"/>
  <c r="V33"/>
  <c r="W33"/>
  <c r="X33"/>
  <c r="Y33"/>
  <c r="Z33"/>
  <c r="G20"/>
  <c r="H20"/>
  <c r="I20"/>
  <c r="J20"/>
  <c r="K20"/>
  <c r="M20"/>
  <c r="N20"/>
  <c r="S20"/>
  <c r="T20"/>
  <c r="U20"/>
  <c r="V20"/>
  <c r="W20"/>
  <c r="X20"/>
  <c r="Y20"/>
  <c r="Z20"/>
  <c r="G32"/>
  <c r="H32"/>
  <c r="I32"/>
  <c r="J32"/>
  <c r="M32"/>
  <c r="N32"/>
  <c r="S32"/>
  <c r="T32"/>
  <c r="U32"/>
  <c r="V32"/>
  <c r="W32"/>
  <c r="X32"/>
  <c r="Y32"/>
  <c r="Z32"/>
  <c r="G23"/>
  <c r="H23"/>
  <c r="I23"/>
  <c r="J23"/>
  <c r="K23"/>
  <c r="M23"/>
  <c r="N23"/>
  <c r="S23"/>
  <c r="T23"/>
  <c r="U23"/>
  <c r="V23"/>
  <c r="W23"/>
  <c r="X23"/>
  <c r="Y23"/>
  <c r="Z23"/>
  <c r="G35"/>
  <c r="H35"/>
  <c r="I35"/>
  <c r="J35"/>
  <c r="M35"/>
  <c r="N35"/>
  <c r="S35"/>
  <c r="T35"/>
  <c r="U35"/>
  <c r="V35"/>
  <c r="W35"/>
  <c r="X35"/>
  <c r="Y35"/>
  <c r="Z35"/>
  <c r="G24"/>
  <c r="H24"/>
  <c r="I24"/>
  <c r="J24"/>
  <c r="K24"/>
  <c r="M24"/>
  <c r="N24"/>
  <c r="S24"/>
  <c r="T24"/>
  <c r="U24"/>
  <c r="V24"/>
  <c r="W24"/>
  <c r="X24"/>
  <c r="Y24"/>
  <c r="Z24"/>
  <c r="G36"/>
  <c r="H36"/>
  <c r="I36"/>
  <c r="J36"/>
  <c r="M36"/>
  <c r="N36"/>
  <c r="S36"/>
  <c r="T36"/>
  <c r="U36"/>
  <c r="V36"/>
  <c r="W36"/>
  <c r="X36"/>
  <c r="Y36"/>
  <c r="Z36"/>
  <c r="C1" i="14"/>
  <c r="C1" i="12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8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7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C2" i="12"/>
  <c r="U6"/>
  <c r="O3"/>
  <c r="I4"/>
  <c r="AG6"/>
  <c r="AA3"/>
  <c r="T4"/>
  <c r="M5"/>
  <c r="G2"/>
  <c r="AF4"/>
  <c r="Y5"/>
  <c r="R2"/>
  <c r="K6"/>
  <c r="E3"/>
  <c r="AD2"/>
  <c r="V6"/>
  <c r="X6" i="17" s="1"/>
  <c r="P3" i="12"/>
  <c r="F6"/>
  <c r="AD4"/>
  <c r="V5"/>
  <c r="X5" i="17" s="1"/>
  <c r="P2" i="12"/>
  <c r="I6"/>
  <c r="C3"/>
  <c r="AB2"/>
  <c r="T6"/>
  <c r="N3"/>
  <c r="H4"/>
  <c r="AF6"/>
  <c r="Z3"/>
  <c r="S4"/>
  <c r="L5"/>
  <c r="F2"/>
  <c r="AE4"/>
  <c r="X5"/>
  <c r="Q2"/>
  <c r="J6"/>
  <c r="D3"/>
  <c r="B6"/>
  <c r="D4" i="17"/>
  <c r="AA5" i="12"/>
  <c r="T2"/>
  <c r="M6"/>
  <c r="G3"/>
  <c r="AF2"/>
  <c r="Y6"/>
  <c r="R3"/>
  <c r="L4"/>
  <c r="E5"/>
  <c r="AD3"/>
  <c r="X4"/>
  <c r="P5"/>
  <c r="J2"/>
  <c r="C6"/>
  <c r="AB5"/>
  <c r="U2"/>
  <c r="N6"/>
  <c r="C5"/>
  <c r="AB3"/>
  <c r="U4"/>
  <c r="N5"/>
  <c r="H2"/>
  <c r="AG4"/>
  <c r="Z5"/>
  <c r="S2"/>
  <c r="L6"/>
  <c r="F3"/>
  <c r="AE2"/>
  <c r="X6"/>
  <c r="Q3"/>
  <c r="K4"/>
  <c r="D5"/>
  <c r="AC3"/>
  <c r="V4"/>
  <c r="X4" i="17" s="1"/>
  <c r="O5" i="12"/>
  <c r="I2"/>
  <c r="K5"/>
  <c r="AF3"/>
  <c r="Z4"/>
  <c r="R5"/>
  <c r="L2"/>
  <c r="E6"/>
  <c r="AD5"/>
  <c r="X2"/>
  <c r="P6"/>
  <c r="J3"/>
  <c r="D4"/>
  <c r="AB6"/>
  <c r="U3"/>
  <c r="O4"/>
  <c r="H5"/>
  <c r="AG3"/>
  <c r="AA4"/>
  <c r="S5"/>
  <c r="M2"/>
  <c r="AG2"/>
  <c r="Z6"/>
  <c r="S3"/>
  <c r="M4"/>
  <c r="F5"/>
  <c r="AE3"/>
  <c r="Y4"/>
  <c r="Q5"/>
  <c r="K2"/>
  <c r="D6"/>
  <c r="AC5"/>
  <c r="V2"/>
  <c r="X2" i="17" s="1"/>
  <c r="O6" i="12"/>
  <c r="I3"/>
  <c r="C4"/>
  <c r="AA6"/>
  <c r="T3"/>
  <c r="N4"/>
  <c r="G5"/>
  <c r="H3"/>
  <c r="B3"/>
  <c r="AD6"/>
  <c r="X3"/>
  <c r="Q4"/>
  <c r="J5"/>
  <c r="D2"/>
  <c r="AC4"/>
  <c r="U5"/>
  <c r="O2"/>
  <c r="H6"/>
  <c r="AG5"/>
  <c r="AA2"/>
  <c r="S6"/>
  <c r="M3"/>
  <c r="G4"/>
  <c r="AE6"/>
  <c r="Y3"/>
  <c r="R4"/>
  <c r="J4"/>
  <c r="AE5"/>
  <c r="Y2"/>
  <c r="Q6"/>
  <c r="K3"/>
  <c r="E4"/>
  <c r="AC6"/>
  <c r="V3"/>
  <c r="X3" i="17" s="1"/>
  <c r="P4" i="12"/>
  <c r="I5"/>
  <c r="C2"/>
  <c r="AB4"/>
  <c r="T5"/>
  <c r="N2"/>
  <c r="G6"/>
  <c r="AF5"/>
  <c r="Z2"/>
  <c r="R6"/>
  <c r="L3"/>
  <c r="F4"/>
  <c r="E2"/>
  <c r="B2"/>
  <c r="B5"/>
  <c r="K38" i="4" l="1"/>
  <c r="U43" s="1"/>
  <c r="Z39"/>
  <c r="X39"/>
  <c r="V39"/>
  <c r="T39"/>
  <c r="N39"/>
  <c r="J39"/>
  <c r="H39"/>
  <c r="Y38"/>
  <c r="AE43" s="1"/>
  <c r="W38"/>
  <c r="U38"/>
  <c r="S38"/>
  <c r="M38"/>
  <c r="I38"/>
  <c r="G38"/>
  <c r="Y26"/>
  <c r="W26"/>
  <c r="U26"/>
  <c r="S26"/>
  <c r="M26"/>
  <c r="J26"/>
  <c r="H26"/>
  <c r="G39" i="25"/>
  <c r="F35"/>
  <c r="D35"/>
  <c r="S26"/>
  <c r="R20"/>
  <c r="P20"/>
  <c r="R21"/>
  <c r="P21"/>
  <c r="R24"/>
  <c r="P24"/>
  <c r="F34"/>
  <c r="D34"/>
  <c r="R34"/>
  <c r="P34"/>
  <c r="F22"/>
  <c r="D22"/>
  <c r="F5"/>
  <c r="D5"/>
  <c r="G27"/>
  <c r="F23"/>
  <c r="D23"/>
  <c r="F6"/>
  <c r="D6"/>
  <c r="F21"/>
  <c r="D21"/>
  <c r="F4"/>
  <c r="D4"/>
  <c r="W39"/>
  <c r="AC44" s="1"/>
  <c r="V27"/>
  <c r="L44" s="1"/>
  <c r="N39"/>
  <c r="X44" s="1"/>
  <c r="Y27"/>
  <c r="O44" s="1"/>
  <c r="I38"/>
  <c r="S43" s="1"/>
  <c r="I26"/>
  <c r="C43" s="1"/>
  <c r="U38"/>
  <c r="AA43" s="1"/>
  <c r="H38"/>
  <c r="R43" s="1"/>
  <c r="H26"/>
  <c r="B43" s="1"/>
  <c r="X38"/>
  <c r="AD43" s="1"/>
  <c r="N27"/>
  <c r="H44" s="1"/>
  <c r="K26"/>
  <c r="E43" s="1"/>
  <c r="U27"/>
  <c r="K44" s="1"/>
  <c r="Z38"/>
  <c r="AF43" s="1"/>
  <c r="T27"/>
  <c r="J44" s="1"/>
  <c r="M26"/>
  <c r="G43" s="1"/>
  <c r="X27"/>
  <c r="N44" s="1"/>
  <c r="S27"/>
  <c r="R23"/>
  <c r="P23"/>
  <c r="G38"/>
  <c r="F32"/>
  <c r="D32"/>
  <c r="F33"/>
  <c r="D33"/>
  <c r="R33"/>
  <c r="P33"/>
  <c r="F36"/>
  <c r="D36"/>
  <c r="R36"/>
  <c r="P36"/>
  <c r="S39"/>
  <c r="R35"/>
  <c r="P35"/>
  <c r="S38"/>
  <c r="R32"/>
  <c r="P32"/>
  <c r="R22"/>
  <c r="P22"/>
  <c r="F24"/>
  <c r="D24"/>
  <c r="F7"/>
  <c r="D7"/>
  <c r="G26"/>
  <c r="F20"/>
  <c r="D20"/>
  <c r="F3"/>
  <c r="D3"/>
  <c r="J39"/>
  <c r="T44" s="1"/>
  <c r="J27"/>
  <c r="D44" s="1"/>
  <c r="Z39"/>
  <c r="AF44" s="1"/>
  <c r="M27"/>
  <c r="G44" s="1"/>
  <c r="V38"/>
  <c r="AB43" s="1"/>
  <c r="T26"/>
  <c r="J43" s="1"/>
  <c r="Z27"/>
  <c r="P44" s="1"/>
  <c r="W26"/>
  <c r="M43" s="1"/>
  <c r="V39"/>
  <c r="AB44" s="1"/>
  <c r="I39"/>
  <c r="S44" s="1"/>
  <c r="Z26"/>
  <c r="P43" s="1"/>
  <c r="I27"/>
  <c r="C44" s="1"/>
  <c r="U39"/>
  <c r="AA44" s="1"/>
  <c r="N38"/>
  <c r="X43" s="1"/>
  <c r="H39"/>
  <c r="R44" s="1"/>
  <c r="Y26"/>
  <c r="O43" s="1"/>
  <c r="H27"/>
  <c r="B44" s="1"/>
  <c r="U26"/>
  <c r="K43" s="1"/>
  <c r="F6" i="4"/>
  <c r="D6"/>
  <c r="F4"/>
  <c r="D4"/>
  <c r="F5"/>
  <c r="D5"/>
  <c r="P34"/>
  <c r="R34"/>
  <c r="F7"/>
  <c r="D7"/>
  <c r="G26"/>
  <c r="F3"/>
  <c r="D3"/>
  <c r="D34"/>
  <c r="F34"/>
  <c r="Y39"/>
  <c r="AE44" s="1"/>
  <c r="W39"/>
  <c r="AC44" s="1"/>
  <c r="U39"/>
  <c r="AA44" s="1"/>
  <c r="S39"/>
  <c r="Y44" s="1"/>
  <c r="M39"/>
  <c r="I39"/>
  <c r="G39"/>
  <c r="Z38"/>
  <c r="AF43" s="1"/>
  <c r="X38"/>
  <c r="AD43" s="1"/>
  <c r="V38"/>
  <c r="AB43" s="1"/>
  <c r="T38"/>
  <c r="Z43" s="1"/>
  <c r="N38"/>
  <c r="J38"/>
  <c r="H38"/>
  <c r="Z26"/>
  <c r="P43" s="1"/>
  <c r="X26"/>
  <c r="V26"/>
  <c r="T26"/>
  <c r="N26"/>
  <c r="K26"/>
  <c r="I26"/>
  <c r="L26"/>
  <c r="F43" s="1"/>
  <c r="Z27"/>
  <c r="P44" s="1"/>
  <c r="X27"/>
  <c r="V27"/>
  <c r="T27"/>
  <c r="Y27"/>
  <c r="W27"/>
  <c r="U27"/>
  <c r="S27"/>
  <c r="N27"/>
  <c r="K27"/>
  <c r="I27"/>
  <c r="G27"/>
  <c r="M27"/>
  <c r="J27"/>
  <c r="H27"/>
  <c r="D1" i="14"/>
  <c r="H19" i="4"/>
  <c r="D22"/>
  <c r="F22"/>
  <c r="F44"/>
  <c r="P22"/>
  <c r="R22"/>
  <c r="AF44"/>
  <c r="AD44"/>
  <c r="Y43"/>
  <c r="AA43"/>
  <c r="AC43"/>
  <c r="P33"/>
  <c r="Z44"/>
  <c r="AB44"/>
  <c r="R36"/>
  <c r="P36"/>
  <c r="R35"/>
  <c r="P35"/>
  <c r="R32"/>
  <c r="P32"/>
  <c r="R33"/>
  <c r="K2" i="17"/>
  <c r="AB2"/>
  <c r="I6"/>
  <c r="V5"/>
  <c r="E2"/>
  <c r="R4"/>
  <c r="AI4"/>
  <c r="P5"/>
  <c r="AD3"/>
  <c r="P6"/>
  <c r="AD5"/>
  <c r="L2"/>
  <c r="Z4"/>
  <c r="G5"/>
  <c r="T3"/>
  <c r="AH2"/>
  <c r="O6"/>
  <c r="AC5"/>
  <c r="F3"/>
  <c r="S2"/>
  <c r="AG4"/>
  <c r="N5"/>
  <c r="AE5"/>
  <c r="M2"/>
  <c r="AA4"/>
  <c r="H5"/>
  <c r="U3"/>
  <c r="H6"/>
  <c r="AC4"/>
  <c r="J5"/>
  <c r="W3"/>
  <c r="F4"/>
  <c r="R6"/>
  <c r="AF5"/>
  <c r="N2"/>
  <c r="AB4"/>
  <c r="D5"/>
  <c r="G2"/>
  <c r="N3"/>
  <c r="AE3"/>
  <c r="M4"/>
  <c r="Z6"/>
  <c r="H3"/>
  <c r="U2"/>
  <c r="G4"/>
  <c r="S6"/>
  <c r="AG5"/>
  <c r="T4"/>
  <c r="AG6"/>
  <c r="O3"/>
  <c r="AC2"/>
  <c r="J6"/>
  <c r="W5"/>
  <c r="F2"/>
  <c r="S4"/>
  <c r="AF6"/>
  <c r="I5"/>
  <c r="V3"/>
  <c r="E4"/>
  <c r="Q6"/>
  <c r="AH6"/>
  <c r="P3"/>
  <c r="AD2"/>
  <c r="K6"/>
  <c r="AB6"/>
  <c r="O2"/>
  <c r="AF2"/>
  <c r="M6"/>
  <c r="AA5"/>
  <c r="I2"/>
  <c r="V4"/>
  <c r="AI6"/>
  <c r="Q3"/>
  <c r="AE2"/>
  <c r="D3"/>
  <c r="M5"/>
  <c r="Q5"/>
  <c r="AH5"/>
  <c r="P2"/>
  <c r="AD4"/>
  <c r="K5"/>
  <c r="AB5"/>
  <c r="J2"/>
  <c r="W4"/>
  <c r="E5"/>
  <c r="W2"/>
  <c r="E6"/>
  <c r="R5"/>
  <c r="AF3"/>
  <c r="N4"/>
  <c r="AA6"/>
  <c r="I3"/>
  <c r="V2"/>
  <c r="D6"/>
  <c r="L6"/>
  <c r="Z5"/>
  <c r="H2"/>
  <c r="U4"/>
  <c r="F6"/>
  <c r="S5"/>
  <c r="AG3"/>
  <c r="O4"/>
  <c r="AF4"/>
  <c r="R3"/>
  <c r="AI3"/>
  <c r="Q4"/>
  <c r="AD6"/>
  <c r="L3"/>
  <c r="Z2"/>
  <c r="G6"/>
  <c r="T5"/>
  <c r="AH3"/>
  <c r="D2"/>
  <c r="H4"/>
  <c r="T6"/>
  <c r="F5"/>
  <c r="S3"/>
  <c r="AG2"/>
  <c r="N6"/>
  <c r="AE6"/>
  <c r="M3"/>
  <c r="AA2"/>
  <c r="L4"/>
  <c r="AA3"/>
  <c r="I4"/>
  <c r="U6"/>
  <c r="AI5"/>
  <c r="Q2"/>
  <c r="AE4"/>
  <c r="L5"/>
  <c r="Z3"/>
  <c r="J3"/>
  <c r="P4"/>
  <c r="AC6"/>
  <c r="K3"/>
  <c r="AB3"/>
  <c r="J4"/>
  <c r="V6"/>
  <c r="E3"/>
  <c r="R2"/>
  <c r="AI2"/>
  <c r="U5"/>
  <c r="G3"/>
  <c r="T2"/>
  <c r="AH4"/>
  <c r="O5"/>
  <c r="AC3"/>
  <c r="K4"/>
  <c r="W6"/>
  <c r="C11" l="1"/>
  <c r="C6"/>
  <c r="E44" s="1"/>
  <c r="B11"/>
  <c r="O11" i="2" s="1"/>
  <c r="R11" s="1"/>
  <c r="B6" i="17"/>
  <c r="B16" s="1"/>
  <c r="E3" i="25"/>
  <c r="C3"/>
  <c r="E20"/>
  <c r="C20"/>
  <c r="A43"/>
  <c r="F26"/>
  <c r="D26"/>
  <c r="F9"/>
  <c r="D9"/>
  <c r="Q35"/>
  <c r="O35"/>
  <c r="Y44"/>
  <c r="R39"/>
  <c r="P39"/>
  <c r="Q23"/>
  <c r="O23"/>
  <c r="I44"/>
  <c r="R27"/>
  <c r="P27"/>
  <c r="E4"/>
  <c r="C4"/>
  <c r="E21"/>
  <c r="C21"/>
  <c r="E6"/>
  <c r="C6"/>
  <c r="E23"/>
  <c r="C23"/>
  <c r="A44"/>
  <c r="F27"/>
  <c r="D27"/>
  <c r="F10"/>
  <c r="D10"/>
  <c r="E35"/>
  <c r="C35"/>
  <c r="Q44"/>
  <c r="F39"/>
  <c r="D39"/>
  <c r="E7"/>
  <c r="C7"/>
  <c r="E24"/>
  <c r="C24"/>
  <c r="Q22"/>
  <c r="O22"/>
  <c r="Q32"/>
  <c r="O32"/>
  <c r="Y43"/>
  <c r="R38"/>
  <c r="P38"/>
  <c r="Q36"/>
  <c r="O36"/>
  <c r="E36"/>
  <c r="C36"/>
  <c r="Q33"/>
  <c r="O33"/>
  <c r="E33"/>
  <c r="C33"/>
  <c r="E32"/>
  <c r="C32"/>
  <c r="Q43"/>
  <c r="F38"/>
  <c r="D38"/>
  <c r="E5"/>
  <c r="C5"/>
  <c r="E22"/>
  <c r="C22"/>
  <c r="Q34"/>
  <c r="O34"/>
  <c r="E34"/>
  <c r="C34"/>
  <c r="Q24"/>
  <c r="O24"/>
  <c r="Q21"/>
  <c r="O21"/>
  <c r="Q20"/>
  <c r="O20"/>
  <c r="I43"/>
  <c r="R26"/>
  <c r="P26"/>
  <c r="E34" i="4"/>
  <c r="O34"/>
  <c r="F10"/>
  <c r="D10"/>
  <c r="E4" i="2" s="1"/>
  <c r="F9" i="4"/>
  <c r="D9"/>
  <c r="E3" i="2" s="1"/>
  <c r="C34" i="4"/>
  <c r="Q34"/>
  <c r="E1" i="14"/>
  <c r="I19" i="4"/>
  <c r="E22"/>
  <c r="Q22"/>
  <c r="C22"/>
  <c r="O22"/>
  <c r="B9" i="17"/>
  <c r="O9" i="2" s="1"/>
  <c r="R9" s="1"/>
  <c r="C9" i="17"/>
  <c r="Q33" i="4"/>
  <c r="C10" i="17"/>
  <c r="B10"/>
  <c r="O10" i="2" s="1"/>
  <c r="R10" s="1"/>
  <c r="B2" i="17"/>
  <c r="C2"/>
  <c r="B3"/>
  <c r="C3"/>
  <c r="B5"/>
  <c r="C5"/>
  <c r="C4"/>
  <c r="E30" s="1"/>
  <c r="B4"/>
  <c r="P38" i="4"/>
  <c r="P39"/>
  <c r="R38"/>
  <c r="Q38" s="1"/>
  <c r="Q36"/>
  <c r="R39"/>
  <c r="Q35"/>
  <c r="Q32"/>
  <c r="X43"/>
  <c r="W43"/>
  <c r="T43"/>
  <c r="S43"/>
  <c r="R43"/>
  <c r="Q43"/>
  <c r="O32"/>
  <c r="O35"/>
  <c r="O36"/>
  <c r="O33"/>
  <c r="I43"/>
  <c r="K43"/>
  <c r="M43"/>
  <c r="R23"/>
  <c r="D32"/>
  <c r="F35"/>
  <c r="F36"/>
  <c r="J43"/>
  <c r="L43"/>
  <c r="O43"/>
  <c r="R20"/>
  <c r="P24"/>
  <c r="P21"/>
  <c r="P20"/>
  <c r="P23"/>
  <c r="R24"/>
  <c r="Q24" s="1"/>
  <c r="F33"/>
  <c r="F32"/>
  <c r="D36"/>
  <c r="R21"/>
  <c r="D33"/>
  <c r="D35"/>
  <c r="R44"/>
  <c r="T44"/>
  <c r="X44"/>
  <c r="N44"/>
  <c r="Q44"/>
  <c r="S44"/>
  <c r="W44"/>
  <c r="J44"/>
  <c r="L44"/>
  <c r="O44"/>
  <c r="N43"/>
  <c r="I44"/>
  <c r="K44"/>
  <c r="M44"/>
  <c r="B44"/>
  <c r="C44"/>
  <c r="D44"/>
  <c r="B43"/>
  <c r="C43"/>
  <c r="D43"/>
  <c r="A14"/>
  <c r="C25" i="17" l="1"/>
  <c r="C27"/>
  <c r="Q11" i="2" s="1"/>
  <c r="E45" i="17"/>
  <c r="E46" s="1"/>
  <c r="E47" s="1"/>
  <c r="E48" s="1"/>
  <c r="E49" s="1"/>
  <c r="E50" s="1"/>
  <c r="E38" i="25"/>
  <c r="C38"/>
  <c r="E39"/>
  <c r="C39"/>
  <c r="Q27"/>
  <c r="O27"/>
  <c r="E9"/>
  <c r="H9" s="1"/>
  <c r="C9"/>
  <c r="E26"/>
  <c r="C26"/>
  <c r="Q26"/>
  <c r="O26"/>
  <c r="Q38"/>
  <c r="O38"/>
  <c r="E10"/>
  <c r="P9" s="1"/>
  <c r="C10"/>
  <c r="P4" s="1"/>
  <c r="E27"/>
  <c r="C27"/>
  <c r="Q39"/>
  <c r="O39"/>
  <c r="C13"/>
  <c r="E10" i="4"/>
  <c r="C10"/>
  <c r="F1" i="14"/>
  <c r="J19" i="4"/>
  <c r="C22" i="17"/>
  <c r="C24"/>
  <c r="Q10" i="2" s="1"/>
  <c r="C23" i="17"/>
  <c r="E36" i="4"/>
  <c r="C21" i="17"/>
  <c r="Q9" i="2" s="1"/>
  <c r="U30" i="17"/>
  <c r="U16"/>
  <c r="C20"/>
  <c r="E16"/>
  <c r="C19"/>
  <c r="E31"/>
  <c r="B15"/>
  <c r="B14"/>
  <c r="E17"/>
  <c r="U31"/>
  <c r="U17"/>
  <c r="O21" i="4"/>
  <c r="D38"/>
  <c r="O39"/>
  <c r="O38"/>
  <c r="Q23"/>
  <c r="E33"/>
  <c r="E32"/>
  <c r="F38"/>
  <c r="E38" s="1"/>
  <c r="O20"/>
  <c r="Q39"/>
  <c r="C33"/>
  <c r="P26"/>
  <c r="C35"/>
  <c r="C36"/>
  <c r="E35"/>
  <c r="C32"/>
  <c r="O23"/>
  <c r="O24"/>
  <c r="Q20"/>
  <c r="R26"/>
  <c r="R27"/>
  <c r="P27"/>
  <c r="D39"/>
  <c r="F39"/>
  <c r="Q21"/>
  <c r="D21"/>
  <c r="F21"/>
  <c r="D23"/>
  <c r="F23"/>
  <c r="H43"/>
  <c r="D20"/>
  <c r="F20"/>
  <c r="D24"/>
  <c r="F24"/>
  <c r="E43"/>
  <c r="G43"/>
  <c r="E44"/>
  <c r="G44"/>
  <c r="H44"/>
  <c r="A44"/>
  <c r="A43"/>
  <c r="A42"/>
  <c r="C1" i="3"/>
  <c r="A4" i="2"/>
  <c r="F46" i="17"/>
  <c r="F45"/>
  <c r="F49"/>
  <c r="F47"/>
  <c r="F50"/>
  <c r="F48"/>
  <c r="O28" i="25" l="1"/>
  <c r="P9" i="4"/>
  <c r="F4" i="2"/>
  <c r="P4" i="4"/>
  <c r="D4" i="2"/>
  <c r="C13" i="4"/>
  <c r="P3" i="25"/>
  <c r="P5" s="1"/>
  <c r="P6" s="1"/>
  <c r="P7" s="1"/>
  <c r="P8" s="1"/>
  <c r="C11"/>
  <c r="H4"/>
  <c r="O40"/>
  <c r="C28"/>
  <c r="C40"/>
  <c r="G1" i="14"/>
  <c r="K19" i="4"/>
  <c r="E32" i="17"/>
  <c r="E33" s="1"/>
  <c r="E34" s="1"/>
  <c r="E35" s="1"/>
  <c r="E36" s="1"/>
  <c r="U32"/>
  <c r="U33" s="1"/>
  <c r="U34" s="1"/>
  <c r="U35" s="1"/>
  <c r="U36" s="1"/>
  <c r="E18"/>
  <c r="E19" s="1"/>
  <c r="E20" s="1"/>
  <c r="E21" s="1"/>
  <c r="E22" s="1"/>
  <c r="C18"/>
  <c r="U18"/>
  <c r="U19" s="1"/>
  <c r="U20" s="1"/>
  <c r="U21" s="1"/>
  <c r="U22" s="1"/>
  <c r="O40" i="4"/>
  <c r="C38"/>
  <c r="Q26"/>
  <c r="O26"/>
  <c r="E39"/>
  <c r="C39"/>
  <c r="Q27"/>
  <c r="O27"/>
  <c r="D27"/>
  <c r="F27"/>
  <c r="E20"/>
  <c r="C20"/>
  <c r="E23"/>
  <c r="C23"/>
  <c r="D26"/>
  <c r="F26"/>
  <c r="E24"/>
  <c r="C24"/>
  <c r="E21"/>
  <c r="C21"/>
  <c r="D1" i="3"/>
  <c r="B42" i="4"/>
  <c r="Q8" i="25"/>
  <c r="Q4"/>
  <c r="Q7"/>
  <c r="V33" i="17"/>
  <c r="V35"/>
  <c r="V21"/>
  <c r="F21"/>
  <c r="F20"/>
  <c r="F36"/>
  <c r="V36"/>
  <c r="V34"/>
  <c r="V19"/>
  <c r="F31"/>
  <c r="F19"/>
  <c r="F17"/>
  <c r="Q6" i="25"/>
  <c r="Q9"/>
  <c r="Q5"/>
  <c r="V31" i="17"/>
  <c r="V18"/>
  <c r="V22"/>
  <c r="F22"/>
  <c r="F35"/>
  <c r="F34"/>
  <c r="V32"/>
  <c r="V17"/>
  <c r="V20"/>
  <c r="F32"/>
  <c r="F33"/>
  <c r="F18"/>
  <c r="H3" i="25" l="1"/>
  <c r="H5" s="1"/>
  <c r="H6" s="1"/>
  <c r="H7" s="1"/>
  <c r="H8" s="1"/>
  <c r="H1" i="14"/>
  <c r="L19" i="4"/>
  <c r="C40"/>
  <c r="O28"/>
  <c r="E26"/>
  <c r="C26"/>
  <c r="E27"/>
  <c r="C27"/>
  <c r="E1" i="3"/>
  <c r="C42" i="4"/>
  <c r="I9" i="25"/>
  <c r="I5"/>
  <c r="I4"/>
  <c r="I7"/>
  <c r="I6"/>
  <c r="I8"/>
  <c r="I1" i="14" l="1"/>
  <c r="M19" i="4"/>
  <c r="C28"/>
  <c r="F1" i="3"/>
  <c r="D42" i="4"/>
  <c r="J1" i="14" l="1"/>
  <c r="N19" i="4"/>
  <c r="G1" i="3"/>
  <c r="E42" i="4"/>
  <c r="K1" i="14" l="1"/>
  <c r="S19" i="4"/>
  <c r="H1" i="3"/>
  <c r="F42" i="4"/>
  <c r="L1" i="14" l="1"/>
  <c r="T19" i="4"/>
  <c r="I1" i="3"/>
  <c r="G42" i="4"/>
  <c r="M1" i="14" l="1"/>
  <c r="U19" i="4"/>
  <c r="J1" i="3"/>
  <c r="H42" i="4"/>
  <c r="N1" i="14" l="1"/>
  <c r="V19" i="4"/>
  <c r="K1" i="3"/>
  <c r="I42" i="4"/>
  <c r="O1" i="14" l="1"/>
  <c r="W19" i="4"/>
  <c r="L1" i="3"/>
  <c r="J42" i="4"/>
  <c r="P1" i="14" l="1"/>
  <c r="X19" i="4"/>
  <c r="M1" i="3"/>
  <c r="K42" i="4"/>
  <c r="Q1" i="14" l="1"/>
  <c r="Y19" i="4"/>
  <c r="N1" i="3"/>
  <c r="L42" i="4"/>
  <c r="R1" i="14" l="1"/>
  <c r="Z19" i="4"/>
  <c r="O1" i="3"/>
  <c r="M42" i="4"/>
  <c r="S1" i="14" l="1"/>
  <c r="G31" i="4"/>
  <c r="P1" i="3"/>
  <c r="N42" i="4"/>
  <c r="T1" i="14" l="1"/>
  <c r="H31" i="4"/>
  <c r="Q1" i="3"/>
  <c r="O42" i="4"/>
  <c r="U1" i="14" l="1"/>
  <c r="I31" i="4"/>
  <c r="R1" i="3"/>
  <c r="P42" i="4"/>
  <c r="V1" i="14" l="1"/>
  <c r="J31" i="4"/>
  <c r="S1" i="3"/>
  <c r="Q42" i="4"/>
  <c r="W1" i="14" l="1"/>
  <c r="K31" i="4"/>
  <c r="T1" i="3"/>
  <c r="R42" i="4"/>
  <c r="X1" i="14" l="1"/>
  <c r="L31" i="4"/>
  <c r="U1" i="3"/>
  <c r="S42" i="4"/>
  <c r="Y1" i="14" l="1"/>
  <c r="M31" i="4"/>
  <c r="V1" i="3"/>
  <c r="T42" i="4"/>
  <c r="Z1" i="14" l="1"/>
  <c r="N31" i="4"/>
  <c r="W1" i="3"/>
  <c r="U42" i="4"/>
  <c r="AA1" i="14" l="1"/>
  <c r="S31" i="4"/>
  <c r="X1" i="3"/>
  <c r="V42" i="4"/>
  <c r="AB1" i="14" l="1"/>
  <c r="T31" i="4"/>
  <c r="Y1" i="3"/>
  <c r="W42" i="4"/>
  <c r="AC1" i="14" l="1"/>
  <c r="U31" i="4"/>
  <c r="Z1" i="3"/>
  <c r="X42" i="4"/>
  <c r="AD1" i="14" l="1"/>
  <c r="V31" i="4"/>
  <c r="AA1" i="3"/>
  <c r="Y42" i="4"/>
  <c r="AE1" i="14" l="1"/>
  <c r="W31" i="4"/>
  <c r="AB1" i="3"/>
  <c r="Z42" i="4"/>
  <c r="AF1" i="14" l="1"/>
  <c r="X31" i="4"/>
  <c r="AC1" i="3"/>
  <c r="AA42" i="4"/>
  <c r="AG1" i="14" l="1"/>
  <c r="Z31" i="4" s="1"/>
  <c r="Y31"/>
  <c r="AD1" i="3"/>
  <c r="AB42" i="4"/>
  <c r="AE1" i="3" l="1"/>
  <c r="AC42" i="4"/>
  <c r="AF1" i="3" l="1"/>
  <c r="AD42" i="4"/>
  <c r="AG1" i="3" l="1"/>
  <c r="AE42" i="4"/>
  <c r="AF42" l="1"/>
  <c r="C6" l="1"/>
  <c r="E6"/>
  <c r="C5" l="1"/>
  <c r="E5"/>
  <c r="C4" l="1"/>
  <c r="E4"/>
  <c r="E9"/>
  <c r="C8"/>
  <c r="H9" l="1"/>
  <c r="F3" i="2"/>
  <c r="E8" i="4"/>
  <c r="C9"/>
  <c r="D3" i="2" s="1"/>
  <c r="C11" i="4" l="1"/>
  <c r="H4"/>
  <c r="C7"/>
  <c r="E7"/>
  <c r="P3"/>
  <c r="C3"/>
  <c r="E3"/>
  <c r="H3" l="1"/>
  <c r="H5" s="1"/>
  <c r="H6" s="1"/>
  <c r="H7" s="1"/>
  <c r="H8" s="1"/>
  <c r="P5"/>
  <c r="P6" s="1"/>
  <c r="P7" s="1"/>
  <c r="P8" s="1"/>
  <c r="I6"/>
  <c r="Q7"/>
  <c r="Q4"/>
  <c r="Q9"/>
  <c r="I8"/>
  <c r="Q8"/>
  <c r="I9"/>
  <c r="I4"/>
  <c r="Q5"/>
  <c r="Q6"/>
  <c r="I7"/>
  <c r="I5"/>
</calcChain>
</file>

<file path=xl/comments1.xml><?xml version="1.0" encoding="utf-8"?>
<comments xmlns="http://schemas.openxmlformats.org/spreadsheetml/2006/main">
  <authors>
    <author>Author</author>
  </authors>
  <commentList>
    <comment ref="K11" authorId="0">
      <text>
        <r>
          <rPr>
            <b/>
            <sz val="8"/>
            <color indexed="81"/>
            <rFont val="Tahoma"/>
            <family val="2"/>
          </rPr>
          <t>0: same power for both ranges</t>
        </r>
      </text>
    </comment>
  </commentList>
</comments>
</file>

<file path=xl/sharedStrings.xml><?xml version="1.0" encoding="utf-8"?>
<sst xmlns="http://schemas.openxmlformats.org/spreadsheetml/2006/main" count="274" uniqueCount="77">
  <si>
    <t>#</t>
  </si>
  <si>
    <t>Label</t>
  </si>
  <si>
    <t>Unit</t>
  </si>
  <si>
    <t>Conditions</t>
  </si>
  <si>
    <t>Sub Label</t>
  </si>
  <si>
    <t>average</t>
  </si>
  <si>
    <t>stdev</t>
  </si>
  <si>
    <t>Mean</t>
  </si>
  <si>
    <t>LED</t>
  </si>
  <si>
    <t>QTH</t>
  </si>
  <si>
    <t>%</t>
  </si>
  <si>
    <t>Open (No Glass)</t>
  </si>
  <si>
    <t>Test</t>
  </si>
  <si>
    <t>Hi</t>
  </si>
  <si>
    <t>HI</t>
  </si>
  <si>
    <t>LO</t>
  </si>
  <si>
    <t>Match</t>
  </si>
  <si>
    <t>Lo</t>
  </si>
  <si>
    <t>Hi Range LS 2 LS</t>
  </si>
  <si>
    <t>Lo Range LS 2 LS</t>
  </si>
  <si>
    <r>
      <t>LED</t>
    </r>
    <r>
      <rPr>
        <vertAlign val="subscript"/>
        <sz val="14"/>
        <color theme="1"/>
        <rFont val="Calibri"/>
        <family val="2"/>
        <scheme val="minor"/>
      </rPr>
      <t>HI</t>
    </r>
  </si>
  <si>
    <r>
      <t>QTH</t>
    </r>
    <r>
      <rPr>
        <vertAlign val="subscript"/>
        <sz val="14"/>
        <color theme="1"/>
        <rFont val="Calibri"/>
        <family val="2"/>
        <scheme val="minor"/>
      </rPr>
      <t>HI</t>
    </r>
  </si>
  <si>
    <r>
      <t>QTH</t>
    </r>
    <r>
      <rPr>
        <vertAlign val="subscript"/>
        <sz val="14"/>
        <color theme="1"/>
        <rFont val="Calibri"/>
        <family val="2"/>
        <scheme val="minor"/>
      </rPr>
      <t>LO</t>
    </r>
  </si>
  <si>
    <r>
      <t>LED</t>
    </r>
    <r>
      <rPr>
        <vertAlign val="subscript"/>
        <sz val="14"/>
        <color theme="1"/>
        <rFont val="Calibri"/>
        <family val="2"/>
        <scheme val="minor"/>
      </rPr>
      <t>LO</t>
    </r>
  </si>
  <si>
    <t>LS 2 LS</t>
  </si>
  <si>
    <t>Hi Range</t>
  </si>
  <si>
    <t>Lo Range</t>
  </si>
  <si>
    <t>No Glass</t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</si>
  <si>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</si>
  <si>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</si>
  <si>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Cell0</t>
  </si>
  <si>
    <t>Cell1</t>
  </si>
  <si>
    <t>Cell2</t>
  </si>
  <si>
    <t>Cell3</t>
  </si>
  <si>
    <t>All Cells Distribution</t>
  </si>
  <si>
    <t>Names</t>
  </si>
  <si>
    <t>29121:</t>
  </si>
  <si>
    <t>#/devices=</t>
  </si>
  <si>
    <t>RangeLo=</t>
  </si>
  <si>
    <t>RangeHi=</t>
  </si>
  <si>
    <t>Ncodes=</t>
  </si>
  <si>
    <t>Alpha=</t>
  </si>
  <si>
    <t>Beta=</t>
  </si>
  <si>
    <t>Gamma=</t>
  </si>
  <si>
    <t>Krg=</t>
  </si>
  <si>
    <t>Krb=</t>
  </si>
  <si>
    <t>Kgr=</t>
  </si>
  <si>
    <t>Kgb=</t>
  </si>
  <si>
    <t>Kbr=</t>
  </si>
  <si>
    <t>Kbg=</t>
  </si>
  <si>
    <t>mean</t>
  </si>
  <si>
    <r>
      <t>LED</t>
    </r>
    <r>
      <rPr>
        <vertAlign val="subscript"/>
        <sz val="11"/>
        <color theme="1"/>
        <rFont val="Calibri"/>
        <family val="2"/>
        <scheme val="minor"/>
      </rPr>
      <t>HI</t>
    </r>
  </si>
  <si>
    <r>
      <t>QTH</t>
    </r>
    <r>
      <rPr>
        <vertAlign val="subscript"/>
        <sz val="11"/>
        <color theme="1"/>
        <rFont val="Calibri"/>
        <family val="2"/>
        <scheme val="minor"/>
      </rPr>
      <t>HI</t>
    </r>
  </si>
  <si>
    <r>
      <t>QTH</t>
    </r>
    <r>
      <rPr>
        <vertAlign val="subscript"/>
        <sz val="11"/>
        <color theme="1"/>
        <rFont val="Calibri"/>
        <family val="2"/>
        <scheme val="minor"/>
      </rPr>
      <t>LO</t>
    </r>
  </si>
  <si>
    <r>
      <t>LED</t>
    </r>
    <r>
      <rPr>
        <vertAlign val="subscript"/>
        <sz val="11"/>
        <color theme="1"/>
        <rFont val="Calibri"/>
        <family val="2"/>
        <scheme val="minor"/>
      </rPr>
      <t>LO</t>
    </r>
  </si>
  <si>
    <t>PLED</t>
  </si>
  <si>
    <t>Color Temperature</t>
  </si>
  <si>
    <t>Range Shift</t>
  </si>
  <si>
    <t>Variation %/value</t>
  </si>
  <si>
    <t>Source</t>
  </si>
  <si>
    <t>Meas.</t>
  </si>
  <si>
    <t>%/val</t>
  </si>
  <si>
    <t>Error</t>
  </si>
  <si>
    <t>Absolute</t>
  </si>
  <si>
    <t>Dist.</t>
  </si>
  <si>
    <t>Solar</t>
  </si>
  <si>
    <t>Power</t>
  </si>
  <si>
    <t>Set</t>
  </si>
  <si>
    <t>Position</t>
  </si>
  <si>
    <t>LoFilterIndex=</t>
  </si>
  <si>
    <r>
      <t>Solar</t>
    </r>
    <r>
      <rPr>
        <vertAlign val="subscript"/>
        <sz val="14"/>
        <color theme="1"/>
        <rFont val="Calibri"/>
        <family val="2"/>
        <scheme val="minor"/>
      </rPr>
      <t>HI</t>
    </r>
  </si>
  <si>
    <r>
      <t>Solar</t>
    </r>
    <r>
      <rPr>
        <vertAlign val="subscript"/>
        <sz val="14"/>
        <color theme="1"/>
        <rFont val="Calibri"/>
        <family val="2"/>
        <scheme val="minor"/>
      </rPr>
      <t>LO</t>
    </r>
  </si>
  <si>
    <r>
      <t>Solar</t>
    </r>
    <r>
      <rPr>
        <vertAlign val="subscript"/>
        <sz val="11"/>
        <color theme="1"/>
        <rFont val="Calibri"/>
        <family val="2"/>
        <scheme val="minor"/>
      </rPr>
      <t>HI</t>
    </r>
  </si>
  <si>
    <r>
      <t>Solar</t>
    </r>
    <r>
      <rPr>
        <vertAlign val="subscript"/>
        <sz val="11"/>
        <color theme="1"/>
        <rFont val="Calibri"/>
        <family val="2"/>
        <scheme val="minor"/>
      </rPr>
      <t>LO</t>
    </r>
  </si>
  <si>
    <t>Lux=</t>
  </si>
  <si>
    <t>Set1</t>
  </si>
  <si>
    <t>Set0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</si>
</sst>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0"/>
  </numFmts>
  <fonts count="10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Font="1" applyAlignment="1">
      <alignment horizontal="left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164" fontId="0" fillId="0" borderId="3" xfId="0" applyNumberFormat="1" applyBorder="1"/>
    <xf numFmtId="165" fontId="0" fillId="0" borderId="1" xfId="0" applyNumberFormat="1" applyBorder="1"/>
    <xf numFmtId="165" fontId="0" fillId="0" borderId="3" xfId="0" applyNumberFormat="1" applyBorder="1"/>
    <xf numFmtId="164" fontId="0" fillId="0" borderId="0" xfId="0" applyNumberFormat="1" applyFill="1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vertical="center"/>
    </xf>
    <xf numFmtId="2" fontId="0" fillId="0" borderId="0" xfId="0" applyNumberFormat="1" applyFill="1" applyBorder="1" applyAlignment="1"/>
    <xf numFmtId="0" fontId="0" fillId="2" borderId="17" xfId="0" applyFill="1" applyBorder="1" applyAlignment="1"/>
    <xf numFmtId="0" fontId="0" fillId="2" borderId="2" xfId="0" applyFill="1" applyBorder="1" applyAlignment="1">
      <alignment horizontal="right"/>
    </xf>
    <xf numFmtId="0" fontId="0" fillId="0" borderId="3" xfId="0" applyBorder="1" applyAlignment="1">
      <alignment horizontal="center"/>
    </xf>
    <xf numFmtId="2" fontId="0" fillId="2" borderId="2" xfId="0" applyNumberFormat="1" applyFill="1" applyBorder="1"/>
    <xf numFmtId="2" fontId="0" fillId="2" borderId="4" xfId="0" applyNumberFormat="1" applyFill="1" applyBorder="1"/>
    <xf numFmtId="0" fontId="0" fillId="0" borderId="5" xfId="0" applyBorder="1"/>
    <xf numFmtId="164" fontId="0" fillId="0" borderId="5" xfId="0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1" fontId="0" fillId="2" borderId="16" xfId="0" applyNumberFormat="1" applyFill="1" applyBorder="1" applyAlignment="1">
      <alignment horizontal="left"/>
    </xf>
    <xf numFmtId="0" fontId="0" fillId="0" borderId="10" xfId="0" applyBorder="1"/>
    <xf numFmtId="0" fontId="0" fillId="0" borderId="15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0" applyNumberFormat="1" applyBorder="1"/>
    <xf numFmtId="164" fontId="0" fillId="0" borderId="24" xfId="0" applyNumberFormat="1" applyBorder="1"/>
    <xf numFmtId="164" fontId="0" fillId="0" borderId="25" xfId="0" applyNumberFormat="1" applyBorder="1"/>
    <xf numFmtId="165" fontId="0" fillId="0" borderId="2" xfId="0" applyNumberFormat="1" applyBorder="1"/>
    <xf numFmtId="164" fontId="0" fillId="0" borderId="2" xfId="0" applyNumberFormat="1" applyBorder="1"/>
    <xf numFmtId="0" fontId="0" fillId="0" borderId="29" xfId="0" applyBorder="1"/>
    <xf numFmtId="0" fontId="0" fillId="0" borderId="29" xfId="0" applyBorder="1" applyAlignment="1">
      <alignment vertical="top"/>
    </xf>
    <xf numFmtId="165" fontId="0" fillId="0" borderId="21" xfId="0" applyNumberFormat="1" applyBorder="1"/>
    <xf numFmtId="165" fontId="0" fillId="0" borderId="0" xfId="0" applyNumberFormat="1" applyBorder="1"/>
    <xf numFmtId="165" fontId="0" fillId="0" borderId="22" xfId="0" applyNumberFormat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top"/>
    </xf>
    <xf numFmtId="165" fontId="3" fillId="0" borderId="0" xfId="0" applyNumberFormat="1" applyFont="1" applyBorder="1" applyAlignment="1">
      <alignment horizontal="center" vertical="top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9" xfId="0" applyNumberFormat="1" applyBorder="1"/>
    <xf numFmtId="165" fontId="0" fillId="0" borderId="20" xfId="0" applyNumberFormat="1" applyBorder="1"/>
    <xf numFmtId="165" fontId="0" fillId="0" borderId="24" xfId="0" applyNumberFormat="1" applyBorder="1"/>
    <xf numFmtId="165" fontId="0" fillId="0" borderId="25" xfId="0" applyNumberFormat="1" applyBorder="1"/>
    <xf numFmtId="0" fontId="0" fillId="0" borderId="0" xfId="0" applyBorder="1" applyAlignment="1">
      <alignment vertical="top"/>
    </xf>
    <xf numFmtId="164" fontId="0" fillId="0" borderId="0" xfId="0" applyNumberFormat="1" applyBorder="1" applyAlignment="1">
      <alignment horizontal="center" vertical="top"/>
    </xf>
    <xf numFmtId="0" fontId="0" fillId="0" borderId="0" xfId="0" applyFont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2" xfId="0" applyBorder="1"/>
    <xf numFmtId="164" fontId="0" fillId="0" borderId="11" xfId="0" applyNumberFormat="1" applyFill="1" applyBorder="1"/>
    <xf numFmtId="10" fontId="0" fillId="0" borderId="11" xfId="0" applyNumberFormat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right"/>
    </xf>
    <xf numFmtId="0" fontId="0" fillId="0" borderId="10" xfId="0" applyBorder="1" applyAlignment="1">
      <alignment horizontal="left"/>
    </xf>
    <xf numFmtId="1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29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top"/>
    </xf>
    <xf numFmtId="165" fontId="0" fillId="0" borderId="0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165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10" fontId="0" fillId="0" borderId="0" xfId="0" applyNumberFormat="1" applyFont="1" applyAlignment="1">
      <alignment horizontal="center"/>
    </xf>
    <xf numFmtId="164" fontId="0" fillId="0" borderId="12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top"/>
    </xf>
    <xf numFmtId="164" fontId="0" fillId="0" borderId="10" xfId="0" applyNumberFormat="1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2" fontId="0" fillId="0" borderId="1" xfId="0" applyNumberFormat="1" applyFill="1" applyBorder="1" applyAlignment="1"/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2" xfId="0" applyNumberFormat="1" applyBorder="1"/>
    <xf numFmtId="0" fontId="0" fillId="0" borderId="33" xfId="0" applyBorder="1"/>
    <xf numFmtId="0" fontId="0" fillId="0" borderId="32" xfId="0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0" borderId="32" xfId="0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" fontId="0" fillId="3" borderId="32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165" fontId="0" fillId="0" borderId="0" xfId="0" applyNumberFormat="1" applyFont="1" applyBorder="1" applyAlignment="1">
      <alignment horizontal="center" vertical="top"/>
    </xf>
    <xf numFmtId="165" fontId="0" fillId="0" borderId="13" xfId="0" applyNumberFormat="1" applyBorder="1" applyAlignment="1">
      <alignment horizontal="center"/>
    </xf>
    <xf numFmtId="165" fontId="0" fillId="0" borderId="15" xfId="0" applyNumberFormat="1" applyFont="1" applyBorder="1" applyAlignment="1">
      <alignment horizontal="center"/>
    </xf>
    <xf numFmtId="0" fontId="0" fillId="0" borderId="8" xfId="0" applyBorder="1" applyAlignment="1">
      <alignment horizontal="center" vertical="top"/>
    </xf>
    <xf numFmtId="165" fontId="0" fillId="0" borderId="9" xfId="0" applyNumberFormat="1" applyFont="1" applyBorder="1" applyAlignment="1">
      <alignment horizontal="center"/>
    </xf>
    <xf numFmtId="165" fontId="0" fillId="0" borderId="10" xfId="0" applyNumberFormat="1" applyFont="1" applyBorder="1" applyAlignment="1">
      <alignment horizontal="center"/>
    </xf>
    <xf numFmtId="0" fontId="0" fillId="0" borderId="11" xfId="0" applyBorder="1" applyAlignment="1">
      <alignment horizontal="center" vertical="top"/>
    </xf>
    <xf numFmtId="165" fontId="0" fillId="0" borderId="12" xfId="0" applyNumberFormat="1" applyFont="1" applyBorder="1" applyAlignment="1">
      <alignment horizontal="center"/>
    </xf>
    <xf numFmtId="0" fontId="0" fillId="0" borderId="13" xfId="0" applyBorder="1" applyAlignment="1">
      <alignment horizontal="center" vertical="top"/>
    </xf>
    <xf numFmtId="165" fontId="0" fillId="0" borderId="14" xfId="0" applyNumberFormat="1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9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165" fontId="0" fillId="0" borderId="21" xfId="0" applyNumberFormat="1" applyFont="1" applyBorder="1" applyAlignment="1">
      <alignment horizontal="center"/>
    </xf>
    <xf numFmtId="165" fontId="0" fillId="0" borderId="22" xfId="0" applyNumberFormat="1" applyFont="1" applyBorder="1" applyAlignment="1">
      <alignment horizontal="center"/>
    </xf>
    <xf numFmtId="165" fontId="0" fillId="0" borderId="23" xfId="0" applyNumberFormat="1" applyFont="1" applyBorder="1" applyAlignment="1">
      <alignment horizontal="center"/>
    </xf>
    <xf numFmtId="165" fontId="0" fillId="0" borderId="24" xfId="0" applyNumberFormat="1" applyFont="1" applyBorder="1" applyAlignment="1">
      <alignment horizontal="center"/>
    </xf>
    <xf numFmtId="165" fontId="0" fillId="0" borderId="25" xfId="0" applyNumberFormat="1" applyFont="1" applyBorder="1" applyAlignment="1">
      <alignment horizontal="center"/>
    </xf>
    <xf numFmtId="0" fontId="0" fillId="0" borderId="18" xfId="0" applyFont="1" applyBorder="1"/>
    <xf numFmtId="0" fontId="0" fillId="0" borderId="19" xfId="0" applyFont="1" applyBorder="1"/>
    <xf numFmtId="0" fontId="0" fillId="0" borderId="20" xfId="0" applyFont="1" applyBorder="1"/>
    <xf numFmtId="164" fontId="0" fillId="0" borderId="21" xfId="0" applyNumberFormat="1" applyFont="1" applyBorder="1"/>
    <xf numFmtId="164" fontId="0" fillId="0" borderId="0" xfId="0" applyNumberFormat="1" applyFont="1" applyBorder="1"/>
    <xf numFmtId="164" fontId="0" fillId="0" borderId="22" xfId="0" applyNumberFormat="1" applyFont="1" applyBorder="1"/>
    <xf numFmtId="164" fontId="0" fillId="0" borderId="23" xfId="0" applyNumberFormat="1" applyFont="1" applyBorder="1"/>
    <xf numFmtId="164" fontId="0" fillId="0" borderId="24" xfId="0" applyNumberFormat="1" applyFont="1" applyBorder="1"/>
    <xf numFmtId="164" fontId="0" fillId="0" borderId="25" xfId="0" applyNumberFormat="1" applyFont="1" applyBorder="1"/>
    <xf numFmtId="165" fontId="0" fillId="0" borderId="23" xfId="0" applyNumberFormat="1" applyBorder="1"/>
    <xf numFmtId="165" fontId="0" fillId="0" borderId="18" xfId="0" applyNumberFormat="1" applyBorder="1"/>
    <xf numFmtId="0" fontId="0" fillId="0" borderId="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0" fillId="0" borderId="18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164" fontId="0" fillId="0" borderId="11" xfId="0" applyNumberFormat="1" applyBorder="1"/>
    <xf numFmtId="0" fontId="0" fillId="0" borderId="29" xfId="0" applyFill="1" applyBorder="1" applyAlignment="1">
      <alignment horizontal="right"/>
    </xf>
    <xf numFmtId="1" fontId="0" fillId="3" borderId="31" xfId="0" applyNumberForma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2" borderId="9" xfId="0" applyFill="1" applyBorder="1"/>
    <xf numFmtId="2" fontId="0" fillId="0" borderId="1" xfId="0" applyNumberFormat="1" applyFill="1" applyBorder="1" applyAlignment="1">
      <alignment horizontal="center"/>
    </xf>
    <xf numFmtId="2" fontId="0" fillId="0" borderId="29" xfId="0" applyNumberFormat="1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7" xfId="0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64" fontId="0" fillId="0" borderId="38" xfId="0" applyNumberFormat="1" applyBorder="1" applyAlignment="1">
      <alignment horizontal="center" vertical="top"/>
    </xf>
    <xf numFmtId="164" fontId="0" fillId="0" borderId="39" xfId="0" applyNumberFormat="1" applyBorder="1" applyAlignment="1">
      <alignment horizontal="center" vertical="top"/>
    </xf>
    <xf numFmtId="164" fontId="0" fillId="0" borderId="40" xfId="0" applyNumberFormat="1" applyBorder="1" applyAlignment="1">
      <alignment horizontal="center" vertical="top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4" borderId="0" xfId="0" applyNumberFormat="1" applyFill="1" applyBorder="1" applyAlignment="1"/>
    <xf numFmtId="0" fontId="0" fillId="4" borderId="0" xfId="0" applyFill="1" applyBorder="1" applyAlignment="1">
      <alignment horizontal="left"/>
    </xf>
    <xf numFmtId="0" fontId="0" fillId="5" borderId="0" xfId="0" applyFill="1"/>
    <xf numFmtId="0" fontId="9" fillId="5" borderId="0" xfId="0" applyFont="1" applyFill="1" applyBorder="1" applyAlignment="1">
      <alignment horizontal="left"/>
    </xf>
    <xf numFmtId="0" fontId="9" fillId="0" borderId="0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'Calc-green'!$H$2</c:f>
              <c:strCache>
                <c:ptCount val="1"/>
                <c:pt idx="0">
                  <c:v>Hi Range LS 2 LS</c:v>
                </c:pt>
              </c:strCache>
            </c:strRef>
          </c:tx>
          <c:cat>
            <c:numRef>
              <c:f>'Calc-green'!$H$4:$H$11</c:f>
              <c:numCache>
                <c:formatCode>0.0%</c:formatCode>
                <c:ptCount val="8"/>
                <c:pt idx="0">
                  <c:v>6.1014823390715012E-2</c:v>
                </c:pt>
                <c:pt idx="1">
                  <c:v>9.6764889870275525E-2</c:v>
                </c:pt>
                <c:pt idx="2">
                  <c:v>0.13251495634983604</c:v>
                </c:pt>
                <c:pt idx="3">
                  <c:v>0.16826502282939654</c:v>
                </c:pt>
                <c:pt idx="4">
                  <c:v>0.20401508930895706</c:v>
                </c:pt>
                <c:pt idx="5">
                  <c:v>0.23976515578851759</c:v>
                </c:pt>
              </c:numCache>
            </c:numRef>
          </c:cat>
          <c:val>
            <c:numRef>
              <c:f>'Calc-green'!$I$4:$I$11</c:f>
              <c:numCache>
                <c:formatCode>General</c:formatCode>
                <c:ptCount val="8"/>
                <c:pt idx="0">
                  <c:v>1</c:v>
                </c:pt>
                <c:pt idx="1">
                  <c:v>7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8</c:v>
                </c:pt>
              </c:numCache>
            </c:numRef>
          </c:val>
        </c:ser>
        <c:axId val="137528832"/>
        <c:axId val="137530752"/>
      </c:barChart>
      <c:catAx>
        <c:axId val="137528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7530752"/>
        <c:crosses val="autoZero"/>
        <c:auto val="1"/>
        <c:lblAlgn val="ctr"/>
        <c:lblOffset val="100"/>
      </c:catAx>
      <c:valAx>
        <c:axId val="1375307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7528832"/>
        <c:crosses val="autoZero"/>
        <c:crossBetween val="between"/>
      </c:valAx>
    </c:plotArea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'Calc-green'!$P$2</c:f>
              <c:strCache>
                <c:ptCount val="1"/>
                <c:pt idx="0">
                  <c:v>Lo Range LS 2 LS</c:v>
                </c:pt>
              </c:strCache>
            </c:strRef>
          </c:tx>
          <c:cat>
            <c:numRef>
              <c:f>'Calc-green'!$P$4:$P$11</c:f>
              <c:numCache>
                <c:formatCode>0.0%</c:formatCode>
                <c:ptCount val="8"/>
                <c:pt idx="0">
                  <c:v>0.12229917784561641</c:v>
                </c:pt>
                <c:pt idx="1">
                  <c:v>0.14993008885074904</c:v>
                </c:pt>
                <c:pt idx="2">
                  <c:v>0.1775609998558817</c:v>
                </c:pt>
                <c:pt idx="3">
                  <c:v>0.20519191086101435</c:v>
                </c:pt>
                <c:pt idx="4">
                  <c:v>0.232822821866147</c:v>
                </c:pt>
                <c:pt idx="5">
                  <c:v>0.2604537328712796</c:v>
                </c:pt>
              </c:numCache>
            </c:numRef>
          </c:cat>
          <c:val>
            <c:numRef>
              <c:f>'Calc-green'!$Q$4:$Q$11</c:f>
              <c:numCache>
                <c:formatCode>General</c:formatCode>
                <c:ptCount val="8"/>
                <c:pt idx="0">
                  <c:v>1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</c:numCache>
            </c:numRef>
          </c:val>
        </c:ser>
        <c:axId val="137526272"/>
        <c:axId val="137553024"/>
      </c:barChart>
      <c:catAx>
        <c:axId val="137526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7553024"/>
        <c:crosses val="autoZero"/>
        <c:auto val="1"/>
        <c:lblAlgn val="ctr"/>
        <c:lblOffset val="100"/>
      </c:catAx>
      <c:valAx>
        <c:axId val="1375530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7526272"/>
        <c:crosses val="autoZero"/>
        <c:crossBetween val="between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Summary!$M$7</c:f>
              <c:strCache>
                <c:ptCount val="1"/>
                <c:pt idx="0">
                  <c:v>Color Temperature</c:v>
                </c:pt>
              </c:strCache>
            </c:strRef>
          </c:tx>
          <c:xVal>
            <c:numRef>
              <c:f>Summary!$N$9:$N$11</c:f>
              <c:numCache>
                <c:formatCode>0</c:formatCode>
                <c:ptCount val="3"/>
                <c:pt idx="0">
                  <c:v>3260</c:v>
                </c:pt>
                <c:pt idx="1">
                  <c:v>4650</c:v>
                </c:pt>
                <c:pt idx="2" formatCode="General">
                  <c:v>5460</c:v>
                </c:pt>
              </c:numCache>
            </c:numRef>
          </c:xVal>
          <c:yVal>
            <c:numRef>
              <c:f>Summary!$O$9:$O$11</c:f>
              <c:numCache>
                <c:formatCode>0</c:formatCode>
                <c:ptCount val="3"/>
                <c:pt idx="0">
                  <c:v>3268.5577900441922</c:v>
                </c:pt>
                <c:pt idx="1">
                  <c:v>4765.2433808183132</c:v>
                </c:pt>
                <c:pt idx="2">
                  <c:v>6021.2177702782737</c:v>
                </c:pt>
              </c:numCache>
            </c:numRef>
          </c:yVal>
        </c:ser>
        <c:axId val="136134016"/>
        <c:axId val="136136192"/>
      </c:scatterChart>
      <c:valAx>
        <c:axId val="136134016"/>
        <c:scaling>
          <c:orientation val="minMax"/>
          <c:max val="6500"/>
          <c:min val="25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Source</a:t>
                </a:r>
              </a:p>
            </c:rich>
          </c:tx>
          <c:layout/>
        </c:title>
        <c:numFmt formatCode="0" sourceLinked="1"/>
        <c:tickLblPos val="nextTo"/>
        <c:crossAx val="136136192"/>
        <c:crosses val="autoZero"/>
        <c:crossBetween val="midCat"/>
      </c:valAx>
      <c:valAx>
        <c:axId val="136136192"/>
        <c:scaling>
          <c:orientation val="minMax"/>
          <c:max val="6500"/>
          <c:min val="25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</a:t>
                </a:r>
              </a:p>
            </c:rich>
          </c:tx>
          <c:layout/>
        </c:title>
        <c:numFmt formatCode="0" sourceLinked="1"/>
        <c:tickLblPos val="nextTo"/>
        <c:crossAx val="136134016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'Calc-green'!$P$2</c:f>
              <c:strCache>
                <c:ptCount val="1"/>
                <c:pt idx="0">
                  <c:v>Lo Range LS 2 LS</c:v>
                </c:pt>
              </c:strCache>
            </c:strRef>
          </c:tx>
          <c:cat>
            <c:numRef>
              <c:f>'Calc-green'!$P$4:$P$9</c:f>
              <c:numCache>
                <c:formatCode>0.0%</c:formatCode>
                <c:ptCount val="6"/>
                <c:pt idx="0">
                  <c:v>0.12229917784561641</c:v>
                </c:pt>
                <c:pt idx="1">
                  <c:v>0.14993008885074904</c:v>
                </c:pt>
                <c:pt idx="2">
                  <c:v>0.1775609998558817</c:v>
                </c:pt>
                <c:pt idx="3">
                  <c:v>0.20519191086101435</c:v>
                </c:pt>
                <c:pt idx="4">
                  <c:v>0.232822821866147</c:v>
                </c:pt>
                <c:pt idx="5">
                  <c:v>0.2604537328712796</c:v>
                </c:pt>
              </c:numCache>
            </c:numRef>
          </c:cat>
          <c:val>
            <c:numRef>
              <c:f>'Calc-green'!$Q$4:$Q$9</c:f>
              <c:numCache>
                <c:formatCode>General</c:formatCode>
                <c:ptCount val="6"/>
                <c:pt idx="0">
                  <c:v>1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</c:numCache>
            </c:numRef>
          </c:val>
        </c:ser>
        <c:axId val="137480832"/>
        <c:axId val="137298688"/>
      </c:barChart>
      <c:catAx>
        <c:axId val="137480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7298688"/>
        <c:crosses val="autoZero"/>
        <c:auto val="1"/>
        <c:lblAlgn val="ctr"/>
        <c:lblOffset val="100"/>
      </c:catAx>
      <c:valAx>
        <c:axId val="1372986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7480832"/>
        <c:crosses val="autoZero"/>
        <c:crossBetween val="between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'Calc-green'!$H$2</c:f>
              <c:strCache>
                <c:ptCount val="1"/>
                <c:pt idx="0">
                  <c:v>Hi Range LS 2 LS</c:v>
                </c:pt>
              </c:strCache>
            </c:strRef>
          </c:tx>
          <c:cat>
            <c:numRef>
              <c:f>'Calc-green'!$H$4:$H$9</c:f>
              <c:numCache>
                <c:formatCode>0.0%</c:formatCode>
                <c:ptCount val="6"/>
                <c:pt idx="0">
                  <c:v>6.1014823390715012E-2</c:v>
                </c:pt>
                <c:pt idx="1">
                  <c:v>9.6764889870275525E-2</c:v>
                </c:pt>
                <c:pt idx="2">
                  <c:v>0.13251495634983604</c:v>
                </c:pt>
                <c:pt idx="3">
                  <c:v>0.16826502282939654</c:v>
                </c:pt>
                <c:pt idx="4">
                  <c:v>0.20401508930895706</c:v>
                </c:pt>
                <c:pt idx="5">
                  <c:v>0.23976515578851759</c:v>
                </c:pt>
              </c:numCache>
            </c:numRef>
          </c:cat>
          <c:val>
            <c:numRef>
              <c:f>'Calc-green'!$I$4:$I$9</c:f>
              <c:numCache>
                <c:formatCode>General</c:formatCode>
                <c:ptCount val="6"/>
                <c:pt idx="0">
                  <c:v>1</c:v>
                </c:pt>
                <c:pt idx="1">
                  <c:v>7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8</c:v>
                </c:pt>
              </c:numCache>
            </c:numRef>
          </c:val>
        </c:ser>
        <c:axId val="137326976"/>
        <c:axId val="137328896"/>
      </c:barChart>
      <c:catAx>
        <c:axId val="1373269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7328896"/>
        <c:crosses val="autoZero"/>
        <c:auto val="1"/>
        <c:lblAlgn val="ctr"/>
        <c:lblOffset val="100"/>
      </c:catAx>
      <c:valAx>
        <c:axId val="1373288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7326976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'Calc-data1'!$P$2</c:f>
              <c:strCache>
                <c:ptCount val="1"/>
                <c:pt idx="0">
                  <c:v>Lo Range LS 2 LS</c:v>
                </c:pt>
              </c:strCache>
            </c:strRef>
          </c:tx>
          <c:cat>
            <c:numRef>
              <c:f>'Calc-data1'!$P$4:$P$9</c:f>
              <c:numCache>
                <c:formatCode>0.0%</c:formatCode>
                <c:ptCount val="6"/>
                <c:pt idx="0">
                  <c:v>0.31882002460026182</c:v>
                </c:pt>
                <c:pt idx="1">
                  <c:v>0.34576408618283627</c:v>
                </c:pt>
                <c:pt idx="2">
                  <c:v>0.37270814776541072</c:v>
                </c:pt>
                <c:pt idx="3">
                  <c:v>0.39965220934798518</c:v>
                </c:pt>
                <c:pt idx="4">
                  <c:v>0.42659627093055963</c:v>
                </c:pt>
                <c:pt idx="5">
                  <c:v>0.45354033251313397</c:v>
                </c:pt>
              </c:numCache>
            </c:numRef>
          </c:cat>
          <c:val>
            <c:numRef>
              <c:f>'Calc-data1'!$Q$4:$Q$9</c:f>
              <c:numCache>
                <c:formatCode>General</c:formatCode>
                <c:ptCount val="6"/>
                <c:pt idx="0">
                  <c:v>1</c:v>
                </c:pt>
                <c:pt idx="1">
                  <c:v>6</c:v>
                </c:pt>
                <c:pt idx="2">
                  <c:v>6</c:v>
                </c:pt>
                <c:pt idx="3">
                  <c:v>2</c:v>
                </c:pt>
                <c:pt idx="4">
                  <c:v>8</c:v>
                </c:pt>
                <c:pt idx="5">
                  <c:v>7</c:v>
                </c:pt>
              </c:numCache>
            </c:numRef>
          </c:val>
        </c:ser>
        <c:axId val="137664768"/>
        <c:axId val="137671040"/>
      </c:barChart>
      <c:catAx>
        <c:axId val="1376647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7671040"/>
        <c:crosses val="autoZero"/>
        <c:auto val="1"/>
        <c:lblAlgn val="ctr"/>
        <c:lblOffset val="100"/>
      </c:catAx>
      <c:valAx>
        <c:axId val="1376710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7664768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'Calc-data1'!$H$2</c:f>
              <c:strCache>
                <c:ptCount val="1"/>
                <c:pt idx="0">
                  <c:v>Hi Range LS 2 LS</c:v>
                </c:pt>
              </c:strCache>
            </c:strRef>
          </c:tx>
          <c:cat>
            <c:numRef>
              <c:f>'Calc-data1'!$H$4:$H$9</c:f>
              <c:numCache>
                <c:formatCode>0.0%</c:formatCode>
                <c:ptCount val="6"/>
                <c:pt idx="0">
                  <c:v>0.19791463404267168</c:v>
                </c:pt>
                <c:pt idx="1">
                  <c:v>0.21485167207314212</c:v>
                </c:pt>
                <c:pt idx="2">
                  <c:v>0.23178871010361257</c:v>
                </c:pt>
                <c:pt idx="3">
                  <c:v>0.24872574813408302</c:v>
                </c:pt>
                <c:pt idx="4">
                  <c:v>0.26566278616455347</c:v>
                </c:pt>
                <c:pt idx="5">
                  <c:v>0.28259982419502389</c:v>
                </c:pt>
              </c:numCache>
            </c:numRef>
          </c:cat>
          <c:val>
            <c:numRef>
              <c:f>'Calc-data1'!$I$4:$I$9</c:f>
              <c:numCache>
                <c:formatCode>General</c:formatCode>
                <c:ptCount val="6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</c:ser>
        <c:axId val="137568256"/>
        <c:axId val="137570176"/>
      </c:barChart>
      <c:catAx>
        <c:axId val="137568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7570176"/>
        <c:crosses val="autoZero"/>
        <c:auto val="1"/>
        <c:lblAlgn val="ctr"/>
        <c:lblOffset val="100"/>
      </c:catAx>
      <c:valAx>
        <c:axId val="137570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7568256"/>
        <c:crosses val="autoZero"/>
        <c:crossBetween val="between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CCT!$E$29:$F$29</c:f>
              <c:strCache>
                <c:ptCount val="1"/>
                <c:pt idx="0">
                  <c:v>PLED HI</c:v>
                </c:pt>
              </c:strCache>
            </c:strRef>
          </c:tx>
          <c:cat>
            <c:numRef>
              <c:f>CCT!$E$31:$E$36</c:f>
              <c:numCache>
                <c:formatCode>0.0</c:formatCode>
                <c:ptCount val="6"/>
                <c:pt idx="0">
                  <c:v>4661.5768218099729</c:v>
                </c:pt>
                <c:pt idx="1">
                  <c:v>4713.161795015636</c:v>
                </c:pt>
                <c:pt idx="2">
                  <c:v>4764.7467682212991</c:v>
                </c:pt>
                <c:pt idx="3">
                  <c:v>4816.3317414269623</c:v>
                </c:pt>
                <c:pt idx="4">
                  <c:v>4867.9167146326254</c:v>
                </c:pt>
                <c:pt idx="5">
                  <c:v>4919.5016878382885</c:v>
                </c:pt>
              </c:numCache>
            </c:numRef>
          </c:cat>
          <c:val>
            <c:numRef>
              <c:f>CCT!$F$31:$F$36</c:f>
              <c:numCache>
                <c:formatCode>General</c:formatCode>
                <c:ptCount val="6"/>
                <c:pt idx="0">
                  <c:v>2</c:v>
                </c:pt>
                <c:pt idx="1">
                  <c:v>6</c:v>
                </c:pt>
                <c:pt idx="2">
                  <c:v>5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axId val="137790592"/>
        <c:axId val="137792128"/>
      </c:barChart>
      <c:catAx>
        <c:axId val="137790592"/>
        <c:scaling>
          <c:orientation val="minMax"/>
        </c:scaling>
        <c:axPos val="b"/>
        <c:numFmt formatCode="0.0" sourceLinked="1"/>
        <c:tickLblPos val="nextTo"/>
        <c:crossAx val="137792128"/>
        <c:crosses val="autoZero"/>
        <c:auto val="1"/>
        <c:lblAlgn val="ctr"/>
        <c:lblOffset val="100"/>
      </c:catAx>
      <c:valAx>
        <c:axId val="137792128"/>
        <c:scaling>
          <c:orientation val="minMax"/>
        </c:scaling>
        <c:axPos val="l"/>
        <c:majorGridlines/>
        <c:numFmt formatCode="General" sourceLinked="1"/>
        <c:tickLblPos val="nextTo"/>
        <c:crossAx val="137790592"/>
        <c:crosses val="autoZero"/>
        <c:crossBetween val="between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CCT!$E$15:$F$15</c:f>
              <c:strCache>
                <c:ptCount val="1"/>
                <c:pt idx="0">
                  <c:v>QTH HI</c:v>
                </c:pt>
              </c:strCache>
            </c:strRef>
          </c:tx>
          <c:cat>
            <c:numRef>
              <c:f>CCT!$E$17:$E$22</c:f>
              <c:numCache>
                <c:formatCode>0.0</c:formatCode>
                <c:ptCount val="6"/>
                <c:pt idx="0">
                  <c:v>3067.3554900754766</c:v>
                </c:pt>
                <c:pt idx="1">
                  <c:v>3118.9404632811397</c:v>
                </c:pt>
                <c:pt idx="2">
                  <c:v>3170.5254364868028</c:v>
                </c:pt>
                <c:pt idx="3">
                  <c:v>3222.110409692466</c:v>
                </c:pt>
                <c:pt idx="4">
                  <c:v>3273.6953828981291</c:v>
                </c:pt>
                <c:pt idx="5">
                  <c:v>3325.2803561037922</c:v>
                </c:pt>
              </c:numCache>
            </c:numRef>
          </c:cat>
          <c:val>
            <c:numRef>
              <c:f>CCT!$F$17:$F$22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18</c:v>
                </c:pt>
              </c:numCache>
            </c:numRef>
          </c:val>
        </c:ser>
        <c:axId val="137815936"/>
        <c:axId val="137817472"/>
      </c:barChart>
      <c:catAx>
        <c:axId val="137815936"/>
        <c:scaling>
          <c:orientation val="minMax"/>
        </c:scaling>
        <c:axPos val="b"/>
        <c:numFmt formatCode="0.0" sourceLinked="1"/>
        <c:tickLblPos val="nextTo"/>
        <c:crossAx val="137817472"/>
        <c:crosses val="autoZero"/>
        <c:auto val="1"/>
        <c:lblAlgn val="ctr"/>
        <c:lblOffset val="100"/>
      </c:catAx>
      <c:valAx>
        <c:axId val="137817472"/>
        <c:scaling>
          <c:orientation val="minMax"/>
        </c:scaling>
        <c:axPos val="l"/>
        <c:majorGridlines/>
        <c:numFmt formatCode="General" sourceLinked="1"/>
        <c:tickLblPos val="nextTo"/>
        <c:crossAx val="137815936"/>
        <c:crosses val="autoZero"/>
        <c:crossBetween val="between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CCT!$U$29:$V$29</c:f>
              <c:strCache>
                <c:ptCount val="1"/>
                <c:pt idx="0">
                  <c:v>PLED LO</c:v>
                </c:pt>
              </c:strCache>
            </c:strRef>
          </c:tx>
          <c:cat>
            <c:numRef>
              <c:f>CCT!$U$31:$U$36</c:f>
              <c:numCache>
                <c:formatCode>0.0</c:formatCode>
                <c:ptCount val="6"/>
                <c:pt idx="0">
                  <c:v>4615.783243715422</c:v>
                </c:pt>
                <c:pt idx="1">
                  <c:v>4665.4489489542511</c:v>
                </c:pt>
                <c:pt idx="2">
                  <c:v>4715.1146541930802</c:v>
                </c:pt>
                <c:pt idx="3">
                  <c:v>4764.7803594319093</c:v>
                </c:pt>
                <c:pt idx="4">
                  <c:v>4814.4460646707385</c:v>
                </c:pt>
                <c:pt idx="5">
                  <c:v>4864.1117699095676</c:v>
                </c:pt>
              </c:numCache>
            </c:numRef>
          </c:cat>
          <c:val>
            <c:numRef>
              <c:f>CCT!$V$31:$V$36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</c:ser>
        <c:axId val="137710208"/>
        <c:axId val="137720192"/>
      </c:barChart>
      <c:catAx>
        <c:axId val="137710208"/>
        <c:scaling>
          <c:orientation val="minMax"/>
        </c:scaling>
        <c:axPos val="b"/>
        <c:numFmt formatCode="0.0" sourceLinked="1"/>
        <c:tickLblPos val="nextTo"/>
        <c:crossAx val="137720192"/>
        <c:crosses val="autoZero"/>
        <c:auto val="1"/>
        <c:lblAlgn val="ctr"/>
        <c:lblOffset val="100"/>
      </c:catAx>
      <c:valAx>
        <c:axId val="137720192"/>
        <c:scaling>
          <c:orientation val="minMax"/>
        </c:scaling>
        <c:axPos val="l"/>
        <c:majorGridlines/>
        <c:numFmt formatCode="General" sourceLinked="1"/>
        <c:tickLblPos val="nextTo"/>
        <c:crossAx val="137710208"/>
        <c:crosses val="autoZero"/>
        <c:crossBetween val="between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CCT!$U$15:$V$15</c:f>
              <c:strCache>
                <c:ptCount val="1"/>
                <c:pt idx="0">
                  <c:v>QTH LO</c:v>
                </c:pt>
              </c:strCache>
            </c:strRef>
          </c:tx>
          <c:cat>
            <c:numRef>
              <c:f>CCT!$U$17:$U$22</c:f>
              <c:numCache>
                <c:formatCode>0.0</c:formatCode>
                <c:ptCount val="6"/>
                <c:pt idx="0">
                  <c:v>2877.9991471388457</c:v>
                </c:pt>
                <c:pt idx="1">
                  <c:v>2927.6648523776748</c:v>
                </c:pt>
                <c:pt idx="2">
                  <c:v>2977.3305576165039</c:v>
                </c:pt>
                <c:pt idx="3">
                  <c:v>3026.996262855333</c:v>
                </c:pt>
                <c:pt idx="4">
                  <c:v>3076.6619680941621</c:v>
                </c:pt>
                <c:pt idx="5">
                  <c:v>3126.3276733329913</c:v>
                </c:pt>
              </c:numCache>
            </c:numRef>
          </c:cat>
          <c:val>
            <c:numRef>
              <c:f>CCT!$V$17:$V$22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24</c:v>
                </c:pt>
              </c:numCache>
            </c:numRef>
          </c:val>
        </c:ser>
        <c:axId val="137727360"/>
        <c:axId val="137741440"/>
      </c:barChart>
      <c:catAx>
        <c:axId val="137727360"/>
        <c:scaling>
          <c:orientation val="minMax"/>
        </c:scaling>
        <c:axPos val="b"/>
        <c:numFmt formatCode="0.0" sourceLinked="1"/>
        <c:tickLblPos val="nextTo"/>
        <c:crossAx val="137741440"/>
        <c:crosses val="autoZero"/>
        <c:auto val="1"/>
        <c:lblAlgn val="ctr"/>
        <c:lblOffset val="100"/>
      </c:catAx>
      <c:valAx>
        <c:axId val="137741440"/>
        <c:scaling>
          <c:orientation val="minMax"/>
        </c:scaling>
        <c:axPos val="l"/>
        <c:majorGridlines/>
        <c:numFmt formatCode="General" sourceLinked="1"/>
        <c:tickLblPos val="nextTo"/>
        <c:crossAx val="137727360"/>
        <c:crosses val="autoZero"/>
        <c:crossBetween val="between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CCT!$E$43:$F$43</c:f>
              <c:strCache>
                <c:ptCount val="1"/>
                <c:pt idx="0">
                  <c:v>Solar HI</c:v>
                </c:pt>
              </c:strCache>
            </c:strRef>
          </c:tx>
          <c:cat>
            <c:numRef>
              <c:f>CCT!$E$45:$E$50</c:f>
              <c:numCache>
                <c:formatCode>0.0</c:formatCode>
                <c:ptCount val="6"/>
                <c:pt idx="0">
                  <c:v>5568.3362829034086</c:v>
                </c:pt>
                <c:pt idx="1">
                  <c:v>5698.4271193731702</c:v>
                </c:pt>
                <c:pt idx="2">
                  <c:v>5828.5179558429318</c:v>
                </c:pt>
                <c:pt idx="3">
                  <c:v>5958.6087923126934</c:v>
                </c:pt>
                <c:pt idx="4">
                  <c:v>6088.699628782455</c:v>
                </c:pt>
                <c:pt idx="5">
                  <c:v>6218.7904652522166</c:v>
                </c:pt>
              </c:numCache>
            </c:numRef>
          </c:cat>
          <c:val>
            <c:numRef>
              <c:f>CCT!$F$45:$F$50</c:f>
              <c:numCache>
                <c:formatCode>General</c:formatCode>
                <c:ptCount val="6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6</c:v>
                </c:pt>
              </c:numCache>
            </c:numRef>
          </c:val>
        </c:ser>
        <c:axId val="137363840"/>
        <c:axId val="137365376"/>
      </c:barChart>
      <c:catAx>
        <c:axId val="137363840"/>
        <c:scaling>
          <c:orientation val="minMax"/>
        </c:scaling>
        <c:axPos val="b"/>
        <c:numFmt formatCode="0.0" sourceLinked="1"/>
        <c:tickLblPos val="nextTo"/>
        <c:crossAx val="137365376"/>
        <c:crosses val="autoZero"/>
        <c:auto val="1"/>
        <c:lblAlgn val="ctr"/>
        <c:lblOffset val="100"/>
      </c:catAx>
      <c:valAx>
        <c:axId val="137365376"/>
        <c:scaling>
          <c:orientation val="minMax"/>
        </c:scaling>
        <c:axPos val="l"/>
        <c:majorGridlines/>
        <c:numFmt formatCode="General" sourceLinked="1"/>
        <c:tickLblPos val="nextTo"/>
        <c:crossAx val="137363840"/>
        <c:crosses val="autoZero"/>
        <c:crossBetween val="between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CCT!$U$43:$V$43</c:f>
              <c:strCache>
                <c:ptCount val="1"/>
                <c:pt idx="0">
                  <c:v>Solar LO</c:v>
                </c:pt>
              </c:strCache>
            </c:strRef>
          </c:tx>
          <c:cat>
            <c:numRef>
              <c:f>CCT!$U$45:$U$50</c:f>
              <c:numCache>
                <c:formatCode>0.0</c:formatCode>
                <c:ptCount val="6"/>
                <c:pt idx="0">
                  <c:v>5697.1185150109577</c:v>
                </c:pt>
                <c:pt idx="1">
                  <c:v>5877.8199755980695</c:v>
                </c:pt>
                <c:pt idx="2">
                  <c:v>6058.5214361851813</c:v>
                </c:pt>
                <c:pt idx="3">
                  <c:v>6239.2228967722931</c:v>
                </c:pt>
                <c:pt idx="4">
                  <c:v>6419.9243573594049</c:v>
                </c:pt>
                <c:pt idx="5">
                  <c:v>6600.6258179465167</c:v>
                </c:pt>
              </c:numCache>
            </c:numRef>
          </c:cat>
          <c:val>
            <c:numRef>
              <c:f>CCT!$V$45:$V$50</c:f>
              <c:numCache>
                <c:formatCode>General</c:formatCode>
                <c:ptCount val="6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4</c:v>
                </c:pt>
              </c:numCache>
            </c:numRef>
          </c:val>
        </c:ser>
        <c:axId val="137405568"/>
        <c:axId val="137407104"/>
      </c:barChart>
      <c:catAx>
        <c:axId val="137405568"/>
        <c:scaling>
          <c:orientation val="minMax"/>
        </c:scaling>
        <c:axPos val="b"/>
        <c:numFmt formatCode="0.0" sourceLinked="1"/>
        <c:tickLblPos val="nextTo"/>
        <c:crossAx val="137407104"/>
        <c:crosses val="autoZero"/>
        <c:auto val="1"/>
        <c:lblAlgn val="ctr"/>
        <c:lblOffset val="100"/>
      </c:catAx>
      <c:valAx>
        <c:axId val="137407104"/>
        <c:scaling>
          <c:orientation val="minMax"/>
        </c:scaling>
        <c:axPos val="l"/>
        <c:majorGridlines/>
        <c:numFmt formatCode="General" sourceLinked="1"/>
        <c:tickLblPos val="nextTo"/>
        <c:crossAx val="137405568"/>
        <c:crosses val="autoZero"/>
        <c:crossBetween val="between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4</xdr:col>
      <xdr:colOff>241186</xdr:colOff>
      <xdr:row>16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41275</xdr:colOff>
      <xdr:row>17</xdr:row>
      <xdr:rowOff>189441</xdr:rowOff>
    </xdr:from>
    <xdr:to>
      <xdr:col>4</xdr:col>
      <xdr:colOff>290021</xdr:colOff>
      <xdr:row>28</xdr:row>
      <xdr:rowOff>94191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119062</xdr:colOff>
      <xdr:row>21</xdr:row>
      <xdr:rowOff>59531</xdr:rowOff>
    </xdr:from>
    <xdr:to>
      <xdr:col>17</xdr:col>
      <xdr:colOff>440531</xdr:colOff>
      <xdr:row>35</xdr:row>
      <xdr:rowOff>130969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0.15885</cdr:x>
      <cdr:y>0.1913</cdr:y>
    </cdr:from>
    <cdr:to>
      <cdr:x>0.9375</cdr:x>
      <cdr:y>0.78261</cdr:y>
    </cdr:to>
    <cdr:sp macro="" textlink="">
      <cdr:nvSpPr>
        <cdr:cNvPr id="3" name="Straight Connector 2"/>
        <cdr:cNvSpPr/>
      </cdr:nvSpPr>
      <cdr:spPr>
        <a:xfrm xmlns:a="http://schemas.openxmlformats.org/drawingml/2006/main" flipV="1">
          <a:off x="726282" y="523875"/>
          <a:ext cx="3559969" cy="161925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154216</xdr:colOff>
      <xdr:row>1</xdr:row>
      <xdr:rowOff>3022</xdr:rowOff>
    </xdr:from>
    <xdr:to>
      <xdr:col>23</xdr:col>
      <xdr:colOff>278795</xdr:colOff>
      <xdr:row>11</xdr:row>
      <xdr:rowOff>57450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122465</xdr:colOff>
      <xdr:row>0</xdr:row>
      <xdr:rowOff>176893</xdr:rowOff>
    </xdr:from>
    <xdr:to>
      <xdr:col>14</xdr:col>
      <xdr:colOff>491973</xdr:colOff>
      <xdr:row>11</xdr:row>
      <xdr:rowOff>27214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154216</xdr:colOff>
      <xdr:row>1</xdr:row>
      <xdr:rowOff>3022</xdr:rowOff>
    </xdr:from>
    <xdr:to>
      <xdr:col>23</xdr:col>
      <xdr:colOff>278795</xdr:colOff>
      <xdr:row>11</xdr:row>
      <xdr:rowOff>57450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122465</xdr:colOff>
      <xdr:row>0</xdr:row>
      <xdr:rowOff>176893</xdr:rowOff>
    </xdr:from>
    <xdr:to>
      <xdr:col>14</xdr:col>
      <xdr:colOff>491973</xdr:colOff>
      <xdr:row>11</xdr:row>
      <xdr:rowOff>27214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13608</xdr:colOff>
      <xdr:row>27</xdr:row>
      <xdr:rowOff>13607</xdr:rowOff>
    </xdr:from>
    <xdr:to>
      <xdr:col>19</xdr:col>
      <xdr:colOff>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13607</xdr:rowOff>
    </xdr:from>
    <xdr:to>
      <xdr:col>18</xdr:col>
      <xdr:colOff>421820</xdr:colOff>
      <xdr:row>25</xdr:row>
      <xdr:rowOff>176893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27</xdr:row>
      <xdr:rowOff>0</xdr:rowOff>
    </xdr:from>
    <xdr:to>
      <xdr:col>34</xdr:col>
      <xdr:colOff>421820</xdr:colOff>
      <xdr:row>39</xdr:row>
      <xdr:rowOff>176893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13607</xdr:colOff>
      <xdr:row>13</xdr:row>
      <xdr:rowOff>-1</xdr:rowOff>
    </xdr:from>
    <xdr:to>
      <xdr:col>34</xdr:col>
      <xdr:colOff>435427</xdr:colOff>
      <xdr:row>25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13608</xdr:colOff>
      <xdr:row>41</xdr:row>
      <xdr:rowOff>13607</xdr:rowOff>
    </xdr:from>
    <xdr:to>
      <xdr:col>19</xdr:col>
      <xdr:colOff>0</xdr:colOff>
      <xdr:row>54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41</xdr:row>
      <xdr:rowOff>0</xdr:rowOff>
    </xdr:from>
    <xdr:to>
      <xdr:col>34</xdr:col>
      <xdr:colOff>421820</xdr:colOff>
      <xdr:row>53</xdr:row>
      <xdr:rowOff>176893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38"/>
  <sheetViews>
    <sheetView tabSelected="1" topLeftCell="C1" zoomScale="80" zoomScaleNormal="80" workbookViewId="0">
      <selection activeCell="H7" sqref="H7"/>
    </sheetView>
  </sheetViews>
  <sheetFormatPr defaultRowHeight="15"/>
  <cols>
    <col min="1" max="1" width="4.5703125" bestFit="1" customWidth="1"/>
    <col min="2" max="2" width="18" customWidth="1"/>
    <col min="3" max="3" width="22.140625" bestFit="1" customWidth="1"/>
    <col min="4" max="4" width="7.140625" bestFit="1" customWidth="1"/>
    <col min="5" max="5" width="8.28515625" bestFit="1" customWidth="1"/>
    <col min="6" max="6" width="10.85546875" bestFit="1" customWidth="1"/>
    <col min="7" max="7" width="5.7109375" bestFit="1" customWidth="1"/>
    <col min="8" max="8" width="17" bestFit="1" customWidth="1"/>
    <col min="9" max="9" width="10.28515625" customWidth="1"/>
    <col min="10" max="10" width="15.140625" style="3" bestFit="1" customWidth="1"/>
    <col min="11" max="11" width="9.140625" style="3"/>
    <col min="18" max="18" width="10" bestFit="1" customWidth="1"/>
  </cols>
  <sheetData>
    <row r="1" spans="1:18">
      <c r="A1" s="153" t="s">
        <v>36</v>
      </c>
      <c r="B1" s="154"/>
      <c r="C1" s="154" t="s">
        <v>11</v>
      </c>
      <c r="D1" s="154"/>
      <c r="E1" s="154"/>
      <c r="F1" s="148"/>
      <c r="G1" s="27"/>
      <c r="H1" s="19"/>
    </row>
    <row r="2" spans="1:18">
      <c r="A2" s="20" t="s">
        <v>0</v>
      </c>
      <c r="B2" s="2" t="s">
        <v>1</v>
      </c>
      <c r="C2" s="2" t="s">
        <v>4</v>
      </c>
      <c r="D2" s="106" t="s">
        <v>28</v>
      </c>
      <c r="E2" s="4" t="s">
        <v>7</v>
      </c>
      <c r="F2" s="4" t="s">
        <v>29</v>
      </c>
      <c r="G2" s="4" t="s">
        <v>2</v>
      </c>
      <c r="H2" s="21" t="s">
        <v>3</v>
      </c>
      <c r="J2" s="146"/>
      <c r="K2" s="106"/>
      <c r="L2" s="106"/>
      <c r="M2" s="147"/>
    </row>
    <row r="3" spans="1:18">
      <c r="A3" s="22">
        <v>1</v>
      </c>
      <c r="B3" s="155" t="s">
        <v>24</v>
      </c>
      <c r="C3" s="2" t="s">
        <v>25</v>
      </c>
      <c r="D3" s="5">
        <f>'Calc-green'!C9</f>
        <v>6.1014823390715012E-2</v>
      </c>
      <c r="E3" s="5">
        <f>'Calc-green'!D9</f>
        <v>0.1503899895896163</v>
      </c>
      <c r="F3" s="5">
        <f>'Calc-green'!E9</f>
        <v>0.23976515578851759</v>
      </c>
      <c r="G3" s="4" t="s">
        <v>10</v>
      </c>
      <c r="H3" s="157" t="s">
        <v>27</v>
      </c>
      <c r="I3" s="1"/>
      <c r="J3" s="16"/>
      <c r="K3" s="14"/>
      <c r="L3" s="15"/>
      <c r="M3" s="17"/>
    </row>
    <row r="4" spans="1:18" ht="15.75" thickBot="1">
      <c r="A4" s="23">
        <f>A3+0.01</f>
        <v>1.01</v>
      </c>
      <c r="B4" s="156"/>
      <c r="C4" s="24" t="s">
        <v>26</v>
      </c>
      <c r="D4" s="25">
        <f>'Calc-green'!C10</f>
        <v>0.12229917784561641</v>
      </c>
      <c r="E4" s="25">
        <f>'Calc-green'!D10</f>
        <v>0.19137645535844799</v>
      </c>
      <c r="F4" s="25">
        <f>'Calc-green'!E10</f>
        <v>0.2604537328712796</v>
      </c>
      <c r="G4" s="26" t="s">
        <v>10</v>
      </c>
      <c r="H4" s="158"/>
      <c r="I4" s="1"/>
      <c r="J4" s="16"/>
      <c r="K4" s="14"/>
      <c r="L4" s="15"/>
      <c r="M4" s="17"/>
    </row>
    <row r="5" spans="1:18">
      <c r="A5" s="18"/>
      <c r="B5" s="18"/>
      <c r="C5" s="18"/>
      <c r="D5" s="18"/>
      <c r="E5" s="18"/>
      <c r="F5" s="18"/>
      <c r="G5" s="18"/>
      <c r="H5" s="18"/>
      <c r="J5" s="16"/>
      <c r="K5" s="14"/>
      <c r="L5" s="15"/>
      <c r="M5" s="17"/>
    </row>
    <row r="6" spans="1:18" ht="15.75" thickBot="1">
      <c r="A6" s="18"/>
      <c r="B6" s="18"/>
      <c r="C6" s="18"/>
      <c r="D6" s="18"/>
      <c r="E6" s="18"/>
      <c r="F6" s="18"/>
      <c r="G6" s="18"/>
      <c r="H6" s="18"/>
      <c r="J6" s="16"/>
      <c r="K6" s="14"/>
      <c r="L6" s="15"/>
      <c r="M6" s="17"/>
    </row>
    <row r="7" spans="1:18" ht="15.75" thickBot="1">
      <c r="A7" s="18"/>
      <c r="B7" s="18"/>
      <c r="C7" s="18"/>
      <c r="D7" s="18"/>
      <c r="E7" s="18"/>
      <c r="H7" t="s">
        <v>75</v>
      </c>
      <c r="J7" s="151" t="s">
        <v>35</v>
      </c>
      <c r="K7" s="152"/>
      <c r="M7" s="149" t="s">
        <v>56</v>
      </c>
      <c r="N7" s="149"/>
      <c r="O7" s="150"/>
      <c r="P7" s="98" t="s">
        <v>66</v>
      </c>
      <c r="Q7" s="76" t="s">
        <v>64</v>
      </c>
      <c r="R7" s="96" t="s">
        <v>63</v>
      </c>
    </row>
    <row r="8" spans="1:18">
      <c r="A8" s="18"/>
      <c r="B8" s="18"/>
      <c r="C8" s="18"/>
      <c r="D8" s="18"/>
      <c r="E8" s="18"/>
      <c r="J8" s="77" t="s">
        <v>38</v>
      </c>
      <c r="K8" s="73">
        <f>RangeHi/5</f>
        <v>1600</v>
      </c>
      <c r="M8" s="2" t="str">
        <f>Lux &amp; "Lux"</f>
        <v>700Lux</v>
      </c>
      <c r="N8" s="4" t="s">
        <v>59</v>
      </c>
      <c r="O8" s="78" t="s">
        <v>60</v>
      </c>
      <c r="P8" s="99" t="s">
        <v>67</v>
      </c>
      <c r="Q8" s="76" t="s">
        <v>61</v>
      </c>
      <c r="R8" s="97" t="s">
        <v>62</v>
      </c>
    </row>
    <row r="9" spans="1:18">
      <c r="A9" s="18"/>
      <c r="B9" s="18"/>
      <c r="C9" s="18"/>
      <c r="D9" s="18"/>
      <c r="E9" s="18"/>
      <c r="J9" s="69" t="s">
        <v>39</v>
      </c>
      <c r="K9" s="70">
        <v>8000</v>
      </c>
      <c r="M9" s="92" t="s">
        <v>9</v>
      </c>
      <c r="N9" s="100">
        <v>3260</v>
      </c>
      <c r="O9" s="93">
        <f>CCT!B9</f>
        <v>3268.5577900441922</v>
      </c>
      <c r="P9" s="102">
        <v>217</v>
      </c>
      <c r="Q9" s="94">
        <f>CCT!C21</f>
        <v>9.8338172212443967E-2</v>
      </c>
      <c r="R9" s="95">
        <f>1-N9/O9</f>
        <v>2.6182159208745226E-3</v>
      </c>
    </row>
    <row r="10" spans="1:18">
      <c r="A10" s="18"/>
      <c r="B10" s="18"/>
      <c r="C10" s="18"/>
      <c r="D10" s="18"/>
      <c r="E10" s="18"/>
      <c r="F10" s="18"/>
      <c r="G10" s="18"/>
      <c r="H10" s="18"/>
      <c r="J10" s="69" t="s">
        <v>40</v>
      </c>
      <c r="K10" s="70">
        <v>65535</v>
      </c>
      <c r="M10" s="92" t="s">
        <v>55</v>
      </c>
      <c r="N10" s="100">
        <v>4650</v>
      </c>
      <c r="O10" s="93">
        <f>CCT!B10</f>
        <v>4765.2433808183132</v>
      </c>
      <c r="P10" s="103">
        <v>3.476</v>
      </c>
      <c r="Q10" s="94">
        <f>CCT!C24</f>
        <v>2.754168622777628E-2</v>
      </c>
      <c r="R10" s="8">
        <f>1-N10/O10</f>
        <v>2.4184154220161402E-2</v>
      </c>
    </row>
    <row r="11" spans="1:18" ht="15.75" thickBot="1">
      <c r="A11" s="18"/>
      <c r="B11" s="18"/>
      <c r="C11" s="18"/>
      <c r="D11" s="18"/>
      <c r="E11" s="18"/>
      <c r="F11" s="18"/>
      <c r="G11" s="18"/>
      <c r="H11" s="181" t="str">
        <f>H37</f>
        <v>Set0</v>
      </c>
      <c r="J11" s="87" t="s">
        <v>69</v>
      </c>
      <c r="K11" s="29">
        <v>0</v>
      </c>
      <c r="M11" s="2" t="s">
        <v>65</v>
      </c>
      <c r="N11" s="101">
        <v>5460</v>
      </c>
      <c r="O11" s="93">
        <f>CCT!B11</f>
        <v>6021.2177702782737</v>
      </c>
      <c r="P11" s="101">
        <v>137</v>
      </c>
      <c r="Q11" s="94">
        <f>CCT!C27</f>
        <v>7.2326273508137029E-2</v>
      </c>
      <c r="R11" s="8">
        <f>1-N11/O11</f>
        <v>9.3206688694857931E-2</v>
      </c>
    </row>
    <row r="12" spans="1:18">
      <c r="A12" s="18"/>
      <c r="B12" s="18"/>
      <c r="C12" s="18"/>
      <c r="D12" s="18"/>
      <c r="E12" s="18"/>
      <c r="F12" s="18"/>
      <c r="G12" s="18"/>
      <c r="H12" s="182">
        <v>0.84243599999999996</v>
      </c>
      <c r="J12" s="69" t="s">
        <v>41</v>
      </c>
      <c r="K12" s="73">
        <f t="shared" ref="K12:K20" si="0">H12*(set="Set0")+H23*(set="Set1")</f>
        <v>0.66072299999999995</v>
      </c>
    </row>
    <row r="13" spans="1:18">
      <c r="A13" s="18"/>
      <c r="B13" s="18"/>
      <c r="C13" s="18"/>
      <c r="D13" s="18"/>
      <c r="E13" s="18"/>
      <c r="F13" s="18"/>
      <c r="G13" s="18"/>
      <c r="H13" s="182">
        <v>1.3406979999999999</v>
      </c>
      <c r="J13" s="69" t="s">
        <v>42</v>
      </c>
      <c r="K13" s="70">
        <f t="shared" si="0"/>
        <v>1.1565190000000001</v>
      </c>
      <c r="M13" s="41" t="s">
        <v>68</v>
      </c>
      <c r="N13" s="104">
        <v>13.3</v>
      </c>
      <c r="O13" s="105">
        <v>12.6</v>
      </c>
    </row>
    <row r="14" spans="1:18">
      <c r="H14" s="182">
        <v>3.1051639999999998</v>
      </c>
      <c r="J14" s="69" t="s">
        <v>43</v>
      </c>
      <c r="K14" s="70">
        <f t="shared" si="0"/>
        <v>2.0498470000000002</v>
      </c>
      <c r="M14" s="144" t="s">
        <v>74</v>
      </c>
      <c r="N14" s="145">
        <v>700</v>
      </c>
      <c r="O14" s="61"/>
    </row>
    <row r="15" spans="1:18">
      <c r="H15" s="182">
        <v>0.1646</v>
      </c>
      <c r="J15" s="69" t="s">
        <v>44</v>
      </c>
      <c r="K15" s="70">
        <f t="shared" si="0"/>
        <v>0.52539999999999998</v>
      </c>
      <c r="N15" s="61"/>
    </row>
    <row r="16" spans="1:18">
      <c r="H16" s="182">
        <v>0.36507899999999999</v>
      </c>
      <c r="J16" s="69" t="s">
        <v>45</v>
      </c>
      <c r="K16" s="70">
        <f t="shared" si="0"/>
        <v>-8.2549999999999998E-2</v>
      </c>
    </row>
    <row r="17" spans="8:11">
      <c r="H17" s="182">
        <v>0.24215400000000001</v>
      </c>
      <c r="J17" s="69" t="s">
        <v>46</v>
      </c>
      <c r="K17" s="70">
        <f t="shared" si="0"/>
        <v>0.12720300000000001</v>
      </c>
    </row>
    <row r="18" spans="8:11">
      <c r="H18" s="182">
        <v>-0.70301800000000003</v>
      </c>
      <c r="J18" s="69" t="s">
        <v>47</v>
      </c>
      <c r="K18" s="70">
        <f t="shared" si="0"/>
        <v>-0.51736499999999996</v>
      </c>
    </row>
    <row r="19" spans="8:11">
      <c r="H19" s="182">
        <v>-0.24137800000000001</v>
      </c>
      <c r="J19" s="69" t="s">
        <v>48</v>
      </c>
      <c r="K19" s="70">
        <f t="shared" si="0"/>
        <v>-0.102204</v>
      </c>
    </row>
    <row r="20" spans="8:11" ht="15.75" thickBot="1">
      <c r="H20" s="182">
        <v>-0.20971999999999999</v>
      </c>
      <c r="J20" s="72" t="s">
        <v>49</v>
      </c>
      <c r="K20" s="29">
        <f t="shared" si="0"/>
        <v>-0.28453299999999998</v>
      </c>
    </row>
    <row r="22" spans="8:11">
      <c r="H22" s="183" t="str">
        <f>H38</f>
        <v>Set1</v>
      </c>
    </row>
    <row r="23" spans="8:11">
      <c r="H23" s="184">
        <v>0.66072299999999995</v>
      </c>
    </row>
    <row r="24" spans="8:11">
      <c r="H24" s="184">
        <v>1.1565190000000001</v>
      </c>
    </row>
    <row r="25" spans="8:11">
      <c r="H25" s="184">
        <v>2.0498470000000002</v>
      </c>
    </row>
    <row r="26" spans="8:11">
      <c r="H26" s="184">
        <v>0.52539999999999998</v>
      </c>
    </row>
    <row r="27" spans="8:11">
      <c r="H27" s="184">
        <v>-8.2549999999999998E-2</v>
      </c>
    </row>
    <row r="28" spans="8:11">
      <c r="H28" s="184">
        <v>0.12720300000000001</v>
      </c>
    </row>
    <row r="29" spans="8:11">
      <c r="H29" s="184">
        <v>-0.51736499999999996</v>
      </c>
    </row>
    <row r="30" spans="8:11">
      <c r="H30" s="184">
        <v>-0.102204</v>
      </c>
    </row>
    <row r="31" spans="8:11">
      <c r="H31" s="184">
        <v>-0.28453299999999998</v>
      </c>
    </row>
    <row r="32" spans="8:11">
      <c r="H32" s="185"/>
    </row>
    <row r="33" spans="8:8">
      <c r="H33" s="185"/>
    </row>
    <row r="37" spans="8:8">
      <c r="H37" t="s">
        <v>76</v>
      </c>
    </row>
    <row r="38" spans="8:8">
      <c r="H38" t="s">
        <v>75</v>
      </c>
    </row>
  </sheetData>
  <dataConsolidate/>
  <mergeCells count="6">
    <mergeCell ref="M7:O7"/>
    <mergeCell ref="J7:K7"/>
    <mergeCell ref="A1:B1"/>
    <mergeCell ref="C1:E1"/>
    <mergeCell ref="B3:B4"/>
    <mergeCell ref="H3:H4"/>
  </mergeCells>
  <dataValidations count="1">
    <dataValidation type="list" allowBlank="1" showInputMessage="1" showErrorMessage="1" sqref="H7">
      <formula1>$H$37:$H$38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C44"/>
  <sheetViews>
    <sheetView showGridLines="0" topLeftCell="A15" zoomScale="70" zoomScaleNormal="70" workbookViewId="0">
      <selection activeCell="L32" sqref="L32:L39"/>
    </sheetView>
  </sheetViews>
  <sheetFormatPr defaultRowHeight="15"/>
  <cols>
    <col min="1" max="1" width="7" bestFit="1" customWidth="1"/>
    <col min="2" max="2" width="6.85546875" bestFit="1" customWidth="1"/>
    <col min="3" max="14" width="9.140625" customWidth="1"/>
    <col min="15" max="18" width="9.28515625" bestFit="1" customWidth="1"/>
    <col min="19" max="19" width="9.42578125" bestFit="1" customWidth="1"/>
    <col min="20" max="20" width="8" bestFit="1" customWidth="1"/>
    <col min="21" max="21" width="7.85546875" bestFit="1" customWidth="1"/>
    <col min="22" max="22" width="8" bestFit="1" customWidth="1"/>
    <col min="23" max="32" width="7" bestFit="1" customWidth="1"/>
    <col min="33" max="35" width="6.85546875" bestFit="1" customWidth="1"/>
    <col min="36" max="36" width="6.7109375" customWidth="1"/>
    <col min="37" max="38" width="7.140625" customWidth="1"/>
    <col min="39" max="39" width="6.140625" bestFit="1" customWidth="1"/>
    <col min="40" max="40" width="8" customWidth="1"/>
    <col min="41" max="41" width="9" customWidth="1"/>
    <col min="42" max="42" width="7.7109375" customWidth="1"/>
    <col min="43" max="43" width="7.140625" customWidth="1"/>
    <col min="44" max="44" width="7.42578125" customWidth="1"/>
    <col min="45" max="45" width="6.140625" bestFit="1" customWidth="1"/>
    <col min="46" max="46" width="7" customWidth="1"/>
    <col min="47" max="49" width="6.140625" bestFit="1" customWidth="1"/>
    <col min="50" max="50" width="7.42578125" customWidth="1"/>
    <col min="51" max="51" width="7.5703125" customWidth="1"/>
  </cols>
  <sheetData>
    <row r="1" spans="1:55" ht="15.75" thickBot="1">
      <c r="C1" s="167" t="s">
        <v>30</v>
      </c>
      <c r="D1" s="168"/>
      <c r="E1" s="168"/>
      <c r="F1" s="169"/>
      <c r="H1" s="59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28"/>
    </row>
    <row r="2" spans="1:55">
      <c r="A2" s="163" t="s">
        <v>12</v>
      </c>
      <c r="B2" s="164"/>
      <c r="C2" s="137" t="s">
        <v>28</v>
      </c>
      <c r="D2" s="138" t="s">
        <v>5</v>
      </c>
      <c r="E2" s="138" t="s">
        <v>29</v>
      </c>
      <c r="F2" s="139" t="s">
        <v>6</v>
      </c>
      <c r="H2" s="165" t="s">
        <v>18</v>
      </c>
      <c r="I2" s="166"/>
      <c r="J2" s="61"/>
      <c r="K2" s="61"/>
      <c r="L2" s="61"/>
      <c r="M2" s="61"/>
      <c r="N2" s="61"/>
      <c r="O2" s="61"/>
      <c r="P2" s="166" t="s">
        <v>19</v>
      </c>
      <c r="Q2" s="166"/>
      <c r="R2" s="61"/>
      <c r="S2" s="61"/>
      <c r="T2" s="61"/>
      <c r="U2" s="61"/>
      <c r="V2" s="61"/>
      <c r="W2" s="61"/>
      <c r="X2" s="61"/>
      <c r="Y2" s="62"/>
    </row>
    <row r="3" spans="1:55">
      <c r="A3" s="155" t="s">
        <v>14</v>
      </c>
      <c r="B3" s="41" t="s">
        <v>9</v>
      </c>
      <c r="C3" s="39">
        <f t="shared" ref="C3:C8" si="0">D3-1.5*F3</f>
        <v>739.65612994724779</v>
      </c>
      <c r="D3" s="10">
        <f>AVERAGE(G20:N20,S20:Z20,G32:N32,S32:Z32)</f>
        <v>844.52218616121263</v>
      </c>
      <c r="E3" s="10">
        <f t="shared" ref="E3:E8" si="1">D3+1.5*F3</f>
        <v>949.38824237517747</v>
      </c>
      <c r="F3" s="11">
        <f>STDEV(G20:N20,S20:Z20,G32:N32,S32:Z32)</f>
        <v>69.910704142643183</v>
      </c>
      <c r="H3" s="63">
        <f>(H9-H4)/5</f>
        <v>3.5750066479560513E-2</v>
      </c>
      <c r="I3" s="61"/>
      <c r="J3" s="61"/>
      <c r="K3" s="61"/>
      <c r="L3" s="61"/>
      <c r="M3" s="61"/>
      <c r="N3" s="61"/>
      <c r="O3" s="61"/>
      <c r="P3" s="12">
        <f>(P9-P4)/5</f>
        <v>2.7630911005132642E-2</v>
      </c>
      <c r="Q3" s="61"/>
      <c r="R3" s="61"/>
      <c r="S3" s="61"/>
      <c r="T3" s="61"/>
      <c r="U3" s="61"/>
      <c r="V3" s="61"/>
      <c r="W3" s="61"/>
      <c r="X3" s="61"/>
      <c r="Y3" s="62"/>
    </row>
    <row r="4" spans="1:55">
      <c r="A4" s="155"/>
      <c r="B4" s="41" t="s">
        <v>8</v>
      </c>
      <c r="C4" s="39">
        <f t="shared" si="0"/>
        <v>685.0436236638393</v>
      </c>
      <c r="D4" s="10">
        <f t="shared" ref="D4:D10" si="2">AVERAGE(G21:N21,S21:Z21,G33:N33,S33:Z33)</f>
        <v>741.20878904869539</v>
      </c>
      <c r="E4" s="10">
        <f t="shared" si="1"/>
        <v>797.37395443355149</v>
      </c>
      <c r="F4" s="11">
        <f t="shared" ref="F4:F10" si="3">STDEV(G21:N21,S21:Z21,G33:N33,S33:Z33)</f>
        <v>37.443443589904028</v>
      </c>
      <c r="H4" s="143">
        <f>C9</f>
        <v>6.1014823390715012E-2</v>
      </c>
      <c r="I4" s="61">
        <f>histogram($A$43:$AF$43,$H$4:H$9,H4)</f>
        <v>1</v>
      </c>
      <c r="J4" s="61"/>
      <c r="K4" s="61"/>
      <c r="L4" s="61"/>
      <c r="M4" s="61"/>
      <c r="N4" s="61"/>
      <c r="O4" s="61"/>
      <c r="P4" s="15">
        <f>C10</f>
        <v>0.12229917784561641</v>
      </c>
      <c r="Q4" s="61">
        <f>histogram($A$44:$AF$44,$P$4:P$9,P4)</f>
        <v>1</v>
      </c>
      <c r="R4" s="61"/>
      <c r="S4" s="61"/>
      <c r="T4" s="61"/>
      <c r="U4" s="61"/>
      <c r="V4" s="61"/>
      <c r="W4" s="61"/>
      <c r="X4" s="61"/>
      <c r="Y4" s="62"/>
    </row>
    <row r="5" spans="1:55">
      <c r="A5" s="155"/>
      <c r="B5" s="41" t="s">
        <v>65</v>
      </c>
      <c r="C5" s="39">
        <f t="shared" si="0"/>
        <v>663.91893294516956</v>
      </c>
      <c r="D5" s="10">
        <f t="shared" si="2"/>
        <v>733.90842984473568</v>
      </c>
      <c r="E5" s="10">
        <f t="shared" si="1"/>
        <v>803.8979267443018</v>
      </c>
      <c r="F5" s="11">
        <f t="shared" si="3"/>
        <v>46.659664599710737</v>
      </c>
      <c r="H5" s="143">
        <f>H4+H$3</f>
        <v>9.6764889870275525E-2</v>
      </c>
      <c r="I5" s="61">
        <f>histogram($A$43:$AF$43,$H$4:H$9,H5)</f>
        <v>7</v>
      </c>
      <c r="J5" s="61"/>
      <c r="K5" s="61"/>
      <c r="L5" s="61"/>
      <c r="M5" s="61"/>
      <c r="N5" s="61"/>
      <c r="O5" s="61"/>
      <c r="P5" s="15">
        <f>P4+P$3</f>
        <v>0.14993008885074904</v>
      </c>
      <c r="Q5" s="61">
        <f>histogram($A$44:$AF$44,$P$4:P$9,P5)</f>
        <v>6</v>
      </c>
      <c r="R5" s="61"/>
      <c r="S5" s="61"/>
      <c r="T5" s="61"/>
      <c r="U5" s="61"/>
      <c r="V5" s="61"/>
      <c r="W5" s="61"/>
      <c r="X5" s="61"/>
      <c r="Y5" s="62"/>
    </row>
    <row r="6" spans="1:55">
      <c r="A6" s="155" t="s">
        <v>15</v>
      </c>
      <c r="B6" s="41" t="s">
        <v>9</v>
      </c>
      <c r="C6" s="39">
        <f t="shared" si="0"/>
        <v>719.23544328146909</v>
      </c>
      <c r="D6" s="10">
        <f t="shared" si="2"/>
        <v>794.1575959459758</v>
      </c>
      <c r="E6" s="10">
        <f t="shared" si="1"/>
        <v>869.07974861048251</v>
      </c>
      <c r="F6" s="11">
        <f t="shared" si="3"/>
        <v>49.948101776337836</v>
      </c>
      <c r="H6" s="143">
        <f t="shared" ref="H6:H8" si="4">H5+H$3</f>
        <v>0.13251495634983604</v>
      </c>
      <c r="I6" s="61">
        <f>histogram($A$43:$AF$43,$H$4:H$9,H6)</f>
        <v>8</v>
      </c>
      <c r="J6" s="61"/>
      <c r="K6" s="61"/>
      <c r="L6" s="61"/>
      <c r="M6" s="61"/>
      <c r="N6" s="61"/>
      <c r="O6" s="61"/>
      <c r="P6" s="15">
        <f>P5+P$3</f>
        <v>0.1775609998558817</v>
      </c>
      <c r="Q6" s="61">
        <f>histogram($A$44:$AF$44,$P$4:P$9,P6)</f>
        <v>9</v>
      </c>
      <c r="R6" s="61"/>
      <c r="S6" s="61"/>
      <c r="T6" s="61"/>
      <c r="U6" s="61"/>
      <c r="V6" s="61"/>
      <c r="W6" s="61"/>
      <c r="X6" s="61"/>
      <c r="Y6" s="62"/>
    </row>
    <row r="7" spans="1:55">
      <c r="A7" s="155"/>
      <c r="B7" s="41" t="s">
        <v>8</v>
      </c>
      <c r="C7" s="39">
        <f t="shared" si="0"/>
        <v>621.59122916238937</v>
      </c>
      <c r="D7" s="10">
        <f t="shared" si="2"/>
        <v>668.42127481464877</v>
      </c>
      <c r="E7" s="10">
        <f t="shared" si="1"/>
        <v>715.25132046690817</v>
      </c>
      <c r="F7" s="11">
        <f t="shared" si="3"/>
        <v>31.220030434839629</v>
      </c>
      <c r="H7" s="143">
        <f t="shared" si="4"/>
        <v>0.16826502282939654</v>
      </c>
      <c r="I7" s="61">
        <f>histogram($A$43:$AF$43,$H$4:H$9,H7)</f>
        <v>4</v>
      </c>
      <c r="J7" s="61"/>
      <c r="K7" s="61"/>
      <c r="L7" s="61"/>
      <c r="M7" s="61"/>
      <c r="N7" s="61"/>
      <c r="O7" s="61"/>
      <c r="P7" s="15">
        <f>P6+P$3</f>
        <v>0.20519191086101435</v>
      </c>
      <c r="Q7" s="61">
        <f>histogram($A$44:$AF$44,$P$4:P$9,P7)</f>
        <v>6</v>
      </c>
      <c r="R7" s="61"/>
      <c r="S7" s="61"/>
      <c r="T7" s="61"/>
      <c r="U7" s="61"/>
      <c r="V7" s="61"/>
      <c r="W7" s="61"/>
      <c r="X7" s="61"/>
      <c r="Y7" s="62"/>
      <c r="AZ7" s="7"/>
      <c r="BA7" s="7"/>
      <c r="BB7" s="7"/>
      <c r="BC7" s="7"/>
    </row>
    <row r="8" spans="1:55">
      <c r="A8" s="155"/>
      <c r="B8" s="41" t="s">
        <v>65</v>
      </c>
      <c r="C8" s="39">
        <f t="shared" si="0"/>
        <v>693.58366882457767</v>
      </c>
      <c r="D8" s="10">
        <f t="shared" si="2"/>
        <v>797.57368073575583</v>
      </c>
      <c r="E8" s="10">
        <f t="shared" si="1"/>
        <v>901.56369264693399</v>
      </c>
      <c r="F8" s="11">
        <f t="shared" si="3"/>
        <v>69.326674607452119</v>
      </c>
      <c r="H8" s="143">
        <f t="shared" si="4"/>
        <v>0.20401508930895706</v>
      </c>
      <c r="I8" s="61">
        <f>histogram($A$43:$AF$43,$H$4:H$9,H8)</f>
        <v>4</v>
      </c>
      <c r="J8" s="61"/>
      <c r="K8" s="61"/>
      <c r="L8" s="61"/>
      <c r="M8" s="61"/>
      <c r="N8" s="61"/>
      <c r="O8" s="61"/>
      <c r="P8" s="15">
        <f>P7+P$3</f>
        <v>0.232822821866147</v>
      </c>
      <c r="Q8" s="61">
        <f>histogram($A$44:$AF$44,$P$4:P$9,P8)</f>
        <v>3</v>
      </c>
      <c r="R8" s="61"/>
      <c r="S8" s="61"/>
      <c r="T8" s="61"/>
      <c r="U8" s="61"/>
      <c r="V8" s="61"/>
      <c r="W8" s="61"/>
      <c r="X8" s="61"/>
      <c r="Y8" s="62"/>
      <c r="AZ8" s="7"/>
      <c r="BA8" s="7"/>
      <c r="BB8" s="7"/>
      <c r="BC8" s="7"/>
    </row>
    <row r="9" spans="1:55">
      <c r="A9" s="155" t="s">
        <v>16</v>
      </c>
      <c r="B9" s="42" t="s">
        <v>13</v>
      </c>
      <c r="C9" s="40">
        <f t="shared" ref="C9:C10" si="5">D9-1.5*F9</f>
        <v>6.1014823390715012E-2</v>
      </c>
      <c r="D9" s="8">
        <f t="shared" si="2"/>
        <v>0.1503899895896163</v>
      </c>
      <c r="E9" s="8">
        <f t="shared" ref="E9:E10" si="6">D9+1.5*F9</f>
        <v>0.23976515578851759</v>
      </c>
      <c r="F9" s="11">
        <f t="shared" si="3"/>
        <v>5.958344413260086E-2</v>
      </c>
      <c r="H9" s="143">
        <f>E9</f>
        <v>0.23976515578851759</v>
      </c>
      <c r="I9" s="61">
        <f>histogram($A$43:$AF$43,$H$4:H$9,H9)</f>
        <v>8</v>
      </c>
      <c r="J9" s="61"/>
      <c r="K9" s="61"/>
      <c r="L9" s="61"/>
      <c r="M9" s="61"/>
      <c r="N9" s="61"/>
      <c r="O9" s="61"/>
      <c r="P9" s="15">
        <f>E10</f>
        <v>0.2604537328712796</v>
      </c>
      <c r="Q9" s="61">
        <f>histogram($A$44:$AF$44,$P$4:P$9,P9)</f>
        <v>7</v>
      </c>
      <c r="R9" s="61"/>
      <c r="S9" s="61"/>
      <c r="T9" s="61"/>
      <c r="U9" s="61"/>
      <c r="V9" s="61"/>
      <c r="W9" s="61"/>
      <c r="X9" s="61"/>
      <c r="Y9" s="62"/>
    </row>
    <row r="10" spans="1:55">
      <c r="A10" s="155"/>
      <c r="B10" s="42" t="s">
        <v>17</v>
      </c>
      <c r="C10" s="40">
        <f t="shared" si="5"/>
        <v>0.12229917784561641</v>
      </c>
      <c r="D10" s="8">
        <f t="shared" si="2"/>
        <v>0.19137645535844799</v>
      </c>
      <c r="E10" s="8">
        <f t="shared" si="6"/>
        <v>0.2604537328712796</v>
      </c>
      <c r="F10" s="11">
        <f t="shared" si="3"/>
        <v>4.6051518341887726E-2</v>
      </c>
      <c r="H10" s="64"/>
      <c r="I10" s="61"/>
      <c r="J10" s="61"/>
      <c r="K10" s="61"/>
      <c r="L10" s="61"/>
      <c r="M10" s="61"/>
      <c r="N10" s="61"/>
      <c r="O10" s="61"/>
      <c r="P10" s="15"/>
      <c r="Q10" s="61"/>
      <c r="R10" s="61"/>
      <c r="S10" s="61"/>
      <c r="T10" s="61"/>
      <c r="U10" s="61"/>
      <c r="V10" s="61"/>
      <c r="W10" s="61"/>
      <c r="X10" s="61"/>
      <c r="Y10" s="62"/>
    </row>
    <row r="11" spans="1:55" ht="15.75" thickBot="1">
      <c r="A11" s="56"/>
      <c r="B11" s="56"/>
      <c r="C11" s="173">
        <f>MAX(ABS(C9),ABS(C10),ABS(E9),ABS(E10))</f>
        <v>0.2604537328712796</v>
      </c>
      <c r="D11" s="174"/>
      <c r="E11" s="174"/>
      <c r="F11" s="175"/>
      <c r="H11" s="64"/>
      <c r="I11" s="61"/>
      <c r="J11" s="61"/>
      <c r="K11" s="61"/>
      <c r="L11" s="61"/>
      <c r="M11" s="61"/>
      <c r="N11" s="61"/>
      <c r="O11" s="61"/>
      <c r="P11" s="15"/>
      <c r="Q11" s="61"/>
      <c r="R11" s="61"/>
      <c r="S11" s="61"/>
      <c r="T11" s="61"/>
      <c r="U11" s="61"/>
      <c r="V11" s="61"/>
      <c r="W11" s="61"/>
      <c r="X11" s="61"/>
      <c r="Y11" s="62"/>
    </row>
    <row r="12" spans="1:55" ht="15.75" thickBot="1">
      <c r="A12" s="56"/>
      <c r="E12" s="57"/>
      <c r="F12" s="56"/>
      <c r="H12" s="65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2"/>
    </row>
    <row r="13" spans="1:55">
      <c r="A13" s="159" t="s">
        <v>37</v>
      </c>
      <c r="B13" s="160"/>
      <c r="C13" s="73">
        <f>COUNT(A43:AF43)</f>
        <v>32</v>
      </c>
      <c r="D13" s="57"/>
      <c r="E13" s="57"/>
      <c r="F13" s="56"/>
      <c r="H13" s="176" t="s">
        <v>34</v>
      </c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62"/>
    </row>
    <row r="14" spans="1:55" ht="15.75" thickBot="1">
      <c r="A14" s="161" t="str">
        <f>setCalcEnable(C14)</f>
        <v>Calc Enable=</v>
      </c>
      <c r="B14" s="162"/>
      <c r="C14" s="29">
        <v>1</v>
      </c>
      <c r="D14" s="57"/>
      <c r="E14" s="57"/>
      <c r="F14" s="56"/>
      <c r="H14" s="66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8"/>
    </row>
    <row r="15" spans="1:55">
      <c r="A15" s="56"/>
      <c r="B15" s="56"/>
      <c r="C15" s="57"/>
    </row>
    <row r="16" spans="1:55">
      <c r="A16" s="56"/>
      <c r="B16" s="56"/>
      <c r="C16" s="57"/>
    </row>
    <row r="17" spans="1:30" ht="15.75" thickBot="1"/>
    <row r="18" spans="1:30" ht="15.75" thickBot="1">
      <c r="C18" s="167" t="s">
        <v>30</v>
      </c>
      <c r="D18" s="168"/>
      <c r="E18" s="168"/>
      <c r="F18" s="169"/>
      <c r="G18" s="170" t="s">
        <v>30</v>
      </c>
      <c r="H18" s="171"/>
      <c r="I18" s="171"/>
      <c r="J18" s="171"/>
      <c r="K18" s="171"/>
      <c r="L18" s="171"/>
      <c r="M18" s="171"/>
      <c r="N18" s="172"/>
      <c r="O18" s="167" t="s">
        <v>31</v>
      </c>
      <c r="P18" s="168"/>
      <c r="Q18" s="168"/>
      <c r="R18" s="169"/>
      <c r="S18" s="171" t="s">
        <v>31</v>
      </c>
      <c r="T18" s="171"/>
      <c r="U18" s="171"/>
      <c r="V18" s="171"/>
      <c r="W18" s="171"/>
      <c r="X18" s="171"/>
      <c r="Y18" s="171"/>
      <c r="Z18" s="172"/>
    </row>
    <row r="19" spans="1:30">
      <c r="A19" s="163" t="s">
        <v>12</v>
      </c>
      <c r="B19" s="164"/>
      <c r="C19" s="137" t="s">
        <v>28</v>
      </c>
      <c r="D19" s="138" t="s">
        <v>5</v>
      </c>
      <c r="E19" s="138" t="s">
        <v>29</v>
      </c>
      <c r="F19" s="139" t="s">
        <v>6</v>
      </c>
      <c r="G19" s="31">
        <f>green!B1</f>
        <v>0</v>
      </c>
      <c r="H19" s="32">
        <f>green!C1</f>
        <v>1</v>
      </c>
      <c r="I19" s="32">
        <f>green!D1</f>
        <v>2</v>
      </c>
      <c r="J19" s="32">
        <f>green!E1</f>
        <v>3</v>
      </c>
      <c r="K19" s="32">
        <f>green!F1</f>
        <v>4</v>
      </c>
      <c r="L19" s="32">
        <f>green!G1</f>
        <v>5</v>
      </c>
      <c r="M19" s="32">
        <f>green!H1</f>
        <v>6</v>
      </c>
      <c r="N19" s="33">
        <f>green!I1</f>
        <v>7</v>
      </c>
      <c r="O19" s="137" t="s">
        <v>28</v>
      </c>
      <c r="P19" s="138" t="s">
        <v>5</v>
      </c>
      <c r="Q19" s="138" t="s">
        <v>29</v>
      </c>
      <c r="R19" s="139" t="s">
        <v>6</v>
      </c>
      <c r="S19" s="32">
        <f>green!J1</f>
        <v>8</v>
      </c>
      <c r="T19" s="32">
        <f>green!K1</f>
        <v>9</v>
      </c>
      <c r="U19" s="32">
        <f>green!L1</f>
        <v>10</v>
      </c>
      <c r="V19" s="32">
        <f>green!M1</f>
        <v>11</v>
      </c>
      <c r="W19" s="32">
        <f>green!N1</f>
        <v>12</v>
      </c>
      <c r="X19" s="32">
        <f>green!O1</f>
        <v>13</v>
      </c>
      <c r="Y19" s="32">
        <f>green!P1</f>
        <v>14</v>
      </c>
      <c r="Z19" s="33">
        <f>green!Q1</f>
        <v>15</v>
      </c>
    </row>
    <row r="20" spans="1:30">
      <c r="A20" s="155" t="s">
        <v>14</v>
      </c>
      <c r="B20" s="41" t="s">
        <v>9</v>
      </c>
      <c r="C20" s="39">
        <f t="shared" ref="C20:C25" si="7">D20-1.5*F20</f>
        <v>795.50451735656918</v>
      </c>
      <c r="D20" s="10">
        <f t="shared" ref="D20:D25" si="8">AVERAGE(G20:N20)</f>
        <v>837.38752212414897</v>
      </c>
      <c r="E20" s="10">
        <f t="shared" ref="E20:E25" si="9">D20+1.5*F20</f>
        <v>879.27052689172876</v>
      </c>
      <c r="F20" s="11">
        <f t="shared" ref="F20:F25" si="10">STDEV(G20:N20)</f>
        <v>27.922003178386532</v>
      </c>
      <c r="G20" s="136">
        <f>green!B2</f>
        <v>821.83262178261259</v>
      </c>
      <c r="H20" s="52">
        <f>green!C2</f>
        <v>811.2262966427827</v>
      </c>
      <c r="I20" s="52">
        <f>green!D2</f>
        <v>852.37311798375958</v>
      </c>
      <c r="J20" s="52">
        <f>green!E2</f>
        <v>844.78177920831877</v>
      </c>
      <c r="K20" s="52">
        <f>green!F2</f>
        <v>787.25499566291376</v>
      </c>
      <c r="L20" s="52">
        <f>green!G2</f>
        <v>851.9024604706284</v>
      </c>
      <c r="M20" s="52">
        <f>green!H2</f>
        <v>861.86920618835131</v>
      </c>
      <c r="N20" s="53">
        <f>green!I2</f>
        <v>867.85969905382422</v>
      </c>
      <c r="O20" s="39">
        <f t="shared" ref="O20:O25" si="11">P20-1.5*R20</f>
        <v>776.75762129054976</v>
      </c>
      <c r="P20" s="10">
        <f t="shared" ref="P20:P25" si="12">AVERAGE(S20:Z20)</f>
        <v>847.15963069940108</v>
      </c>
      <c r="Q20" s="10">
        <f t="shared" ref="Q20:Q25" si="13">P20+1.5*R20</f>
        <v>917.56164010825239</v>
      </c>
      <c r="R20" s="11">
        <f t="shared" ref="R20:R25" si="14">STDEV(S20:Z20)</f>
        <v>46.93467293923419</v>
      </c>
      <c r="S20" s="52">
        <f>green!J2</f>
        <v>835.83474939164046</v>
      </c>
      <c r="T20" s="52">
        <f>green!K2</f>
        <v>868.45574862991407</v>
      </c>
      <c r="U20" s="52">
        <f>green!L2</f>
        <v>876.07527278016607</v>
      </c>
      <c r="V20" s="52">
        <f>green!M2</f>
        <v>924.93911917614037</v>
      </c>
      <c r="W20" s="52">
        <f>green!N2</f>
        <v>765.80469343925677</v>
      </c>
      <c r="X20" s="52">
        <f>green!O2</f>
        <v>834.24762448944273</v>
      </c>
      <c r="Y20" s="52">
        <f>green!P2</f>
        <v>857.36425362677039</v>
      </c>
      <c r="Z20" s="53">
        <f>green!Q2</f>
        <v>814.55558406187788</v>
      </c>
    </row>
    <row r="21" spans="1:30">
      <c r="A21" s="155"/>
      <c r="B21" s="41" t="s">
        <v>8</v>
      </c>
      <c r="C21" s="39">
        <f t="shared" si="7"/>
        <v>716.93332476866522</v>
      </c>
      <c r="D21" s="10">
        <f t="shared" si="8"/>
        <v>747.50311703765726</v>
      </c>
      <c r="E21" s="10">
        <f t="shared" si="9"/>
        <v>778.07290930664931</v>
      </c>
      <c r="F21" s="11">
        <f t="shared" si="10"/>
        <v>20.379861512661364</v>
      </c>
      <c r="G21" s="43">
        <f>green!B4</f>
        <v>756.22390494639251</v>
      </c>
      <c r="H21" s="44">
        <f>green!C4</f>
        <v>724.88964071356338</v>
      </c>
      <c r="I21" s="44">
        <f>green!D4</f>
        <v>773.39536639875928</v>
      </c>
      <c r="J21" s="44">
        <f>green!E4</f>
        <v>751.91707128168866</v>
      </c>
      <c r="K21" s="44">
        <f>green!F4</f>
        <v>718.65309717787864</v>
      </c>
      <c r="L21" s="44">
        <f>green!G4</f>
        <v>771.2235069125378</v>
      </c>
      <c r="M21" s="44">
        <f>green!H4</f>
        <v>732.60334827876511</v>
      </c>
      <c r="N21" s="45">
        <f>green!I4</f>
        <v>751.11900059167272</v>
      </c>
      <c r="O21" s="39">
        <f t="shared" si="11"/>
        <v>708.75017982585041</v>
      </c>
      <c r="P21" s="10">
        <f t="shared" si="12"/>
        <v>731.16985135237326</v>
      </c>
      <c r="Q21" s="10">
        <f t="shared" si="13"/>
        <v>753.5895228788961</v>
      </c>
      <c r="R21" s="11">
        <f t="shared" si="14"/>
        <v>14.946447684348538</v>
      </c>
      <c r="S21" s="44">
        <f>green!J4</f>
        <v>724.61116711127613</v>
      </c>
      <c r="T21" s="44">
        <f>green!K4</f>
        <v>753.07798372327841</v>
      </c>
      <c r="U21" s="44">
        <f>green!L4</f>
        <v>733.72572793907966</v>
      </c>
      <c r="V21" s="44">
        <f>green!M4</f>
        <v>753.69129962773582</v>
      </c>
      <c r="W21" s="44">
        <f>green!N4</f>
        <v>713.55335989892899</v>
      </c>
      <c r="X21" s="44">
        <f>green!O4</f>
        <v>719.72297197678768</v>
      </c>
      <c r="Y21" s="44">
        <f>green!P4</f>
        <v>728.73684810548161</v>
      </c>
      <c r="Z21" s="45">
        <f>green!Q4</f>
        <v>722.23945243641754</v>
      </c>
    </row>
    <row r="22" spans="1:30">
      <c r="A22" s="155"/>
      <c r="B22" s="41" t="s">
        <v>65</v>
      </c>
      <c r="C22" s="39">
        <f t="shared" si="7"/>
        <v>686.88688772148009</v>
      </c>
      <c r="D22" s="10">
        <f t="shared" si="8"/>
        <v>736.01403230649044</v>
      </c>
      <c r="E22" s="10">
        <f t="shared" si="9"/>
        <v>785.14117689150078</v>
      </c>
      <c r="F22" s="11">
        <f t="shared" si="10"/>
        <v>32.751429723340259</v>
      </c>
      <c r="G22" s="135">
        <f>green!B6</f>
        <v>726.15468879772186</v>
      </c>
      <c r="H22" s="54">
        <f>green!C6</f>
        <v>730.70538338960421</v>
      </c>
      <c r="I22" s="54">
        <f>green!D6</f>
        <v>762.70696706115257</v>
      </c>
      <c r="J22" s="54">
        <f>green!E6</f>
        <v>758.9442675175809</v>
      </c>
      <c r="K22" s="54">
        <f>green!F6</f>
        <v>722.04136977572409</v>
      </c>
      <c r="L22" s="54">
        <f>green!G6</f>
        <v>765.89317153959371</v>
      </c>
      <c r="M22" s="54">
        <f>green!H6</f>
        <v>667.30878782252125</v>
      </c>
      <c r="N22" s="55">
        <f>green!I6</f>
        <v>754.35762254802501</v>
      </c>
      <c r="O22" s="39">
        <f t="shared" si="11"/>
        <v>652.5558182543308</v>
      </c>
      <c r="P22" s="10">
        <f t="shared" si="12"/>
        <v>710.64914853379423</v>
      </c>
      <c r="Q22" s="10">
        <f t="shared" si="13"/>
        <v>768.74247881325766</v>
      </c>
      <c r="R22" s="11">
        <f t="shared" si="14"/>
        <v>38.728886852975641</v>
      </c>
      <c r="S22" s="54">
        <f>green!J6</f>
        <v>689.16739405845738</v>
      </c>
      <c r="T22" s="54">
        <f>green!K6</f>
        <v>691.26390439150282</v>
      </c>
      <c r="U22" s="54">
        <f>green!L6</f>
        <v>685.12902659222129</v>
      </c>
      <c r="V22" s="54">
        <f>green!M6</f>
        <v>790.40271189404666</v>
      </c>
      <c r="W22" s="54">
        <f>green!N6</f>
        <v>712.0423063014772</v>
      </c>
      <c r="X22" s="54">
        <f>green!O6</f>
        <v>729.52580111629493</v>
      </c>
      <c r="Y22" s="54">
        <f>green!P6</f>
        <v>723.21093104087265</v>
      </c>
      <c r="Z22" s="55">
        <f>green!Q6</f>
        <v>664.45111287548116</v>
      </c>
    </row>
    <row r="23" spans="1:30">
      <c r="A23" s="155" t="s">
        <v>15</v>
      </c>
      <c r="B23" s="41" t="s">
        <v>9</v>
      </c>
      <c r="C23" s="39">
        <f t="shared" si="7"/>
        <v>752.1752435782613</v>
      </c>
      <c r="D23" s="10">
        <f t="shared" si="8"/>
        <v>798.18115981354094</v>
      </c>
      <c r="E23" s="10">
        <f t="shared" si="9"/>
        <v>844.18707604882059</v>
      </c>
      <c r="F23" s="11">
        <f t="shared" si="10"/>
        <v>30.670610823519755</v>
      </c>
      <c r="G23" s="136">
        <f>green!B3</f>
        <v>780.86017117071628</v>
      </c>
      <c r="H23" s="52">
        <f>green!C3</f>
        <v>792.11886215006916</v>
      </c>
      <c r="I23" s="52">
        <f>green!D3</f>
        <v>825.87198995587721</v>
      </c>
      <c r="J23" s="52">
        <f>green!E3</f>
        <v>807.66489501507965</v>
      </c>
      <c r="K23" s="52">
        <f>green!F3</f>
        <v>777.12905156301804</v>
      </c>
      <c r="L23" s="52">
        <f>green!G3</f>
        <v>831.24055243242753</v>
      </c>
      <c r="M23" s="52">
        <f>green!H3</f>
        <v>743.31513216142969</v>
      </c>
      <c r="N23" s="53">
        <f>green!I3</f>
        <v>827.24862405970964</v>
      </c>
      <c r="O23" s="39">
        <f t="shared" si="11"/>
        <v>711.28987181283026</v>
      </c>
      <c r="P23" s="10">
        <f t="shared" si="12"/>
        <v>770.70315343694153</v>
      </c>
      <c r="Q23" s="10">
        <f t="shared" si="13"/>
        <v>830.11643506105281</v>
      </c>
      <c r="R23" s="11">
        <f t="shared" si="14"/>
        <v>39.608854416074159</v>
      </c>
      <c r="S23" s="52">
        <f>green!J3</f>
        <v>754.92914603383224</v>
      </c>
      <c r="T23" s="52">
        <f>green!K3</f>
        <v>748.41500825618914</v>
      </c>
      <c r="U23" s="52">
        <f>green!L3</f>
        <v>742.2458886337738</v>
      </c>
      <c r="V23" s="52">
        <f>green!M3</f>
        <v>854.93795962260231</v>
      </c>
      <c r="W23" s="52">
        <f>green!N3</f>
        <v>757.594086651868</v>
      </c>
      <c r="X23" s="52">
        <f>green!O3</f>
        <v>788.16755343614625</v>
      </c>
      <c r="Y23" s="52">
        <f>green!P3</f>
        <v>788.04664841808017</v>
      </c>
      <c r="Z23" s="53">
        <f>green!Q3</f>
        <v>731.2889364430406</v>
      </c>
    </row>
    <row r="24" spans="1:30">
      <c r="A24" s="155"/>
      <c r="B24" s="41" t="s">
        <v>8</v>
      </c>
      <c r="C24" s="39">
        <f t="shared" si="7"/>
        <v>636.30288459878682</v>
      </c>
      <c r="D24" s="10">
        <f t="shared" si="8"/>
        <v>676.39003544259378</v>
      </c>
      <c r="E24" s="10">
        <f t="shared" si="9"/>
        <v>716.47718628640075</v>
      </c>
      <c r="F24" s="11">
        <f t="shared" si="10"/>
        <v>26.72476722920462</v>
      </c>
      <c r="G24" s="43">
        <f>green!B5</f>
        <v>687.76077761735098</v>
      </c>
      <c r="H24" s="44">
        <f>green!C5</f>
        <v>671.88891027374473</v>
      </c>
      <c r="I24" s="44">
        <f>green!D5</f>
        <v>707.25803459665917</v>
      </c>
      <c r="J24" s="44">
        <f>green!E5</f>
        <v>680.40485754657118</v>
      </c>
      <c r="K24" s="44">
        <f>green!F5</f>
        <v>652.60950453990029</v>
      </c>
      <c r="L24" s="44">
        <f>green!G5</f>
        <v>705.91961078292172</v>
      </c>
      <c r="M24" s="44">
        <f>green!H5</f>
        <v>626.99478872247994</v>
      </c>
      <c r="N24" s="45">
        <f>green!I5</f>
        <v>678.28379946112273</v>
      </c>
      <c r="O24" s="39">
        <f t="shared" si="11"/>
        <v>626.8039367397065</v>
      </c>
      <c r="P24" s="10">
        <f t="shared" si="12"/>
        <v>649.65782711573627</v>
      </c>
      <c r="Q24" s="10">
        <f t="shared" si="13"/>
        <v>672.51171749176603</v>
      </c>
      <c r="R24" s="11">
        <f t="shared" si="14"/>
        <v>15.235926917353151</v>
      </c>
      <c r="S24" s="44">
        <f>green!J5</f>
        <v>640.76524081569517</v>
      </c>
      <c r="T24" s="44">
        <f>green!K5</f>
        <v>657.65069711086528</v>
      </c>
      <c r="U24" s="44">
        <f>green!L5</f>
        <v>632.98592715091161</v>
      </c>
      <c r="V24" s="44">
        <f>green!M5</f>
        <v>674.36546652571053</v>
      </c>
      <c r="W24" s="44">
        <f>green!N5</f>
        <v>660.28643257380668</v>
      </c>
      <c r="X24" s="44">
        <f>green!O5</f>
        <v>652.64259939654403</v>
      </c>
      <c r="Y24" s="44">
        <f>green!P5</f>
        <v>650.60579397966148</v>
      </c>
      <c r="Z24" s="45">
        <f>green!Q5</f>
        <v>627.96045937269503</v>
      </c>
    </row>
    <row r="25" spans="1:30">
      <c r="A25" s="155"/>
      <c r="B25" s="41" t="s">
        <v>65</v>
      </c>
      <c r="C25" s="39">
        <f t="shared" si="7"/>
        <v>746.52458618204901</v>
      </c>
      <c r="D25" s="10">
        <f t="shared" si="8"/>
        <v>789.56419760246604</v>
      </c>
      <c r="E25" s="10">
        <f t="shared" si="9"/>
        <v>832.60380902288307</v>
      </c>
      <c r="F25" s="11">
        <f t="shared" si="10"/>
        <v>28.693074280278058</v>
      </c>
      <c r="G25" s="135">
        <f>green!B7</f>
        <v>780.68901426208151</v>
      </c>
      <c r="H25" s="54">
        <f>green!C7</f>
        <v>755.46894599170116</v>
      </c>
      <c r="I25" s="54">
        <f>green!D7</f>
        <v>811.90410976948692</v>
      </c>
      <c r="J25" s="54">
        <f>green!E7</f>
        <v>802.60713484487326</v>
      </c>
      <c r="K25" s="54">
        <f>green!F7</f>
        <v>740.17504636065428</v>
      </c>
      <c r="L25" s="54">
        <f>green!G7</f>
        <v>798.39881418154243</v>
      </c>
      <c r="M25" s="54">
        <f>green!H7</f>
        <v>804.24291899353364</v>
      </c>
      <c r="N25" s="55">
        <f>green!I7</f>
        <v>823.0275964158559</v>
      </c>
      <c r="O25" s="39">
        <f t="shared" si="11"/>
        <v>724.8274422342181</v>
      </c>
      <c r="P25" s="10">
        <f t="shared" si="12"/>
        <v>800.39540272591626</v>
      </c>
      <c r="Q25" s="10">
        <f t="shared" si="13"/>
        <v>875.96336321761441</v>
      </c>
      <c r="R25" s="11">
        <f t="shared" si="14"/>
        <v>50.378640327798749</v>
      </c>
      <c r="S25" s="54">
        <f>green!J7</f>
        <v>783.77713551473994</v>
      </c>
      <c r="T25" s="54">
        <f>green!K7</f>
        <v>810.57396386997948</v>
      </c>
      <c r="U25" s="54">
        <f>green!L7</f>
        <v>823.3115060139196</v>
      </c>
      <c r="V25" s="54">
        <f>green!M7</f>
        <v>896.70415485167837</v>
      </c>
      <c r="W25" s="54">
        <f>green!N7</f>
        <v>718.45161773961604</v>
      </c>
      <c r="X25" s="54">
        <f>green!O7</f>
        <v>773.94681532653408</v>
      </c>
      <c r="Y25" s="54">
        <f>green!P7</f>
        <v>807.19341397341896</v>
      </c>
      <c r="Z25" s="55">
        <f>green!Q7</f>
        <v>789.20461451744222</v>
      </c>
    </row>
    <row r="26" spans="1:30">
      <c r="A26" s="155" t="s">
        <v>16</v>
      </c>
      <c r="B26" s="42" t="s">
        <v>13</v>
      </c>
      <c r="C26" s="40">
        <f t="shared" ref="C26:C27" si="15">D26-1.5*F26</f>
        <v>5.5978804362541212E-2</v>
      </c>
      <c r="D26" s="8">
        <f t="shared" ref="D26:D27" si="16">AVERAGE(G26:N26)</f>
        <v>0.13446611557684113</v>
      </c>
      <c r="E26" s="8">
        <f t="shared" ref="E26:E27" si="17">D26+1.5*F26</f>
        <v>0.21295342679114104</v>
      </c>
      <c r="F26" s="9">
        <f t="shared" ref="F26:F27" si="18">STDEV(G26:N26)</f>
        <v>5.2324874142866615E-2</v>
      </c>
      <c r="G26" s="140">
        <f>(MAX(G20:G22)-MIN(G20:G22))/AVERAGE(G20:G22)</f>
        <v>0.12456922222256359</v>
      </c>
      <c r="H26" s="141">
        <f>(MAX(H20:H22)-MIN(H20:H22))/AVERAGE(H20:H22)</f>
        <v>0.11426130741633606</v>
      </c>
      <c r="I26" s="141">
        <f t="shared" ref="I26:M26" si="19">(MAX(I20:I22)-MIN(I20:I22))/AVERAGE(I20:I22)</f>
        <v>0.11262349487629431</v>
      </c>
      <c r="J26" s="141">
        <f t="shared" si="19"/>
        <v>0.11826669398695938</v>
      </c>
      <c r="K26" s="141">
        <f t="shared" si="19"/>
        <v>9.2374490044942928E-2</v>
      </c>
      <c r="L26" s="141">
        <f t="shared" si="19"/>
        <v>0.10800577634110216</v>
      </c>
      <c r="M26" s="141">
        <f t="shared" si="19"/>
        <v>0.25806263593394935</v>
      </c>
      <c r="N26" s="142">
        <f>(MAX(N20:N22)-MIN(N20:N22))/AVERAGE(N20:N22)</f>
        <v>0.14756530379258123</v>
      </c>
      <c r="O26" s="40">
        <f t="shared" ref="O26:O27" si="20">P26-1.5*R26</f>
        <v>0.10373898730562027</v>
      </c>
      <c r="P26" s="8">
        <f t="shared" ref="P26:P27" si="21">AVERAGE(S26:Z26)</f>
        <v>0.18575312345411166</v>
      </c>
      <c r="Q26" s="8">
        <f t="shared" ref="Q26:Q27" si="22">P26+1.5*R26</f>
        <v>0.26776725960260306</v>
      </c>
      <c r="R26" s="9">
        <f t="shared" ref="R26:R27" si="23">STDEV(S26:Z26)</f>
        <v>5.4676090765660927E-2</v>
      </c>
      <c r="S26" s="140">
        <f>(MAX(S20:S22)-MIN(S20:S22))/AVERAGE(S20:S22)</f>
        <v>0.19559008827599356</v>
      </c>
      <c r="T26" s="141">
        <f>(MAX(T20:T22)-MIN(T20:T22))/AVERAGE(T20:T22)</f>
        <v>0.22984091831892217</v>
      </c>
      <c r="U26" s="141">
        <f t="shared" ref="U26:Y26" si="24">(MAX(U20:U22)-MIN(U20:U22))/AVERAGE(U20:U22)</f>
        <v>0.24961054661649995</v>
      </c>
      <c r="V26" s="141">
        <f t="shared" si="24"/>
        <v>0.20807475292969985</v>
      </c>
      <c r="W26" s="141">
        <f t="shared" si="24"/>
        <v>7.3600043325656631E-2</v>
      </c>
      <c r="X26" s="141">
        <f t="shared" si="24"/>
        <v>0.15045960129461883</v>
      </c>
      <c r="Y26" s="141">
        <f t="shared" si="24"/>
        <v>0.17427699767120747</v>
      </c>
      <c r="Z26" s="142">
        <f>(MAX(Z20:Z22)-MIN(Z20:Z22))/AVERAGE(Z20:Z22)</f>
        <v>0.20457203920029479</v>
      </c>
    </row>
    <row r="27" spans="1:30">
      <c r="A27" s="155"/>
      <c r="B27" s="42" t="s">
        <v>17</v>
      </c>
      <c r="C27" s="40">
        <f t="shared" si="15"/>
        <v>0.11927137023234284</v>
      </c>
      <c r="D27" s="8">
        <f t="shared" si="16"/>
        <v>0.17183347812293498</v>
      </c>
      <c r="E27" s="8">
        <f t="shared" si="17"/>
        <v>0.2243955860135271</v>
      </c>
      <c r="F27" s="9">
        <f t="shared" si="18"/>
        <v>3.5041405260394759E-2</v>
      </c>
      <c r="G27" s="36">
        <f>(MAX(G23:G25)-MIN(G23:G25))/AVERAGE(G23:G25)</f>
        <v>0.12417060576273671</v>
      </c>
      <c r="H27" s="37">
        <f>(MAX(H23:H25)-MIN(H23:H25))/AVERAGE(H23:H25)</f>
        <v>0.16251121385335812</v>
      </c>
      <c r="I27" s="37">
        <f t="shared" ref="I27:M27" si="25">(MAX(I23:I25)-MIN(I23:I25))/AVERAGE(I23:I25)</f>
        <v>0.1517427234297091</v>
      </c>
      <c r="J27" s="37">
        <f t="shared" si="25"/>
        <v>0.16666694220579145</v>
      </c>
      <c r="K27" s="37">
        <f t="shared" si="25"/>
        <v>0.17215369342136022</v>
      </c>
      <c r="L27" s="37">
        <f t="shared" si="25"/>
        <v>0.16097338092808453</v>
      </c>
      <c r="M27" s="37">
        <f t="shared" si="25"/>
        <v>0.24453045291055334</v>
      </c>
      <c r="N27" s="38">
        <f>(MAX(N23:N25)-MIN(N23:N25))/AVERAGE(N23:N25)</f>
        <v>0.19191881247188616</v>
      </c>
      <c r="O27" s="40">
        <f t="shared" si="20"/>
        <v>0.14659191319940151</v>
      </c>
      <c r="P27" s="8">
        <f t="shared" si="21"/>
        <v>0.21162697602039054</v>
      </c>
      <c r="Q27" s="8">
        <f t="shared" si="22"/>
        <v>0.27666203884137958</v>
      </c>
      <c r="R27" s="9">
        <f t="shared" si="23"/>
        <v>4.3356708547326012E-2</v>
      </c>
      <c r="S27" s="36">
        <f>(MAX(S23:S25)-MIN(S23:S25))/AVERAGE(S23:S25)</f>
        <v>0.19685308098530285</v>
      </c>
      <c r="T27" s="37">
        <f>(MAX(T23:T25)-MIN(T23:T25))/AVERAGE(T23:T25)</f>
        <v>0.2069663403773925</v>
      </c>
      <c r="U27" s="37">
        <f t="shared" ref="U27:Y27" si="26">(MAX(U23:U25)-MIN(U23:U25))/AVERAGE(U23:U25)</f>
        <v>0.25970683903645531</v>
      </c>
      <c r="V27" s="37">
        <f t="shared" si="26"/>
        <v>0.27494393265785344</v>
      </c>
      <c r="W27" s="37">
        <f t="shared" si="26"/>
        <v>0.1366468056080771</v>
      </c>
      <c r="X27" s="37">
        <f t="shared" si="26"/>
        <v>0.1835753845518896</v>
      </c>
      <c r="Y27" s="37">
        <f t="shared" si="26"/>
        <v>0.20916968038951506</v>
      </c>
      <c r="Z27" s="38">
        <f>(MAX(Z23:Z25)-MIN(Z23:Z25))/AVERAGE(Z23:Z25)</f>
        <v>0.22515374455663834</v>
      </c>
    </row>
    <row r="28" spans="1:30" ht="15.75" thickBot="1">
      <c r="A28" s="56"/>
      <c r="B28" s="56"/>
      <c r="C28" s="173">
        <f>MAX(ABS(C26),ABS(C27),ABS(E26),ABS(E27))</f>
        <v>0.2243955860135271</v>
      </c>
      <c r="D28" s="174"/>
      <c r="E28" s="174"/>
      <c r="F28" s="175"/>
      <c r="L28" s="15"/>
      <c r="M28" s="15"/>
      <c r="N28" s="15"/>
      <c r="O28" s="173">
        <f>MAX(ABS(O26),ABS(O27),ABS(Q26),ABS(Q27))</f>
        <v>0.27666203884137958</v>
      </c>
      <c r="P28" s="174"/>
      <c r="Q28" s="174"/>
      <c r="R28" s="175"/>
      <c r="S28" s="15"/>
      <c r="W28" s="15"/>
      <c r="X28" s="15"/>
      <c r="Y28" s="15"/>
      <c r="Z28" s="15"/>
      <c r="AA28" s="15"/>
      <c r="AB28" s="15"/>
      <c r="AC28" s="15"/>
      <c r="AD28" s="15"/>
    </row>
    <row r="29" spans="1:30" ht="15.75" thickBot="1"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</row>
    <row r="30" spans="1:30" ht="15.75" thickBot="1">
      <c r="C30" s="167" t="s">
        <v>32</v>
      </c>
      <c r="D30" s="168"/>
      <c r="E30" s="168"/>
      <c r="F30" s="169"/>
      <c r="G30" s="170" t="s">
        <v>32</v>
      </c>
      <c r="H30" s="171"/>
      <c r="I30" s="171"/>
      <c r="J30" s="171"/>
      <c r="K30" s="171"/>
      <c r="L30" s="171"/>
      <c r="M30" s="171"/>
      <c r="N30" s="172"/>
      <c r="O30" s="167" t="s">
        <v>33</v>
      </c>
      <c r="P30" s="168"/>
      <c r="Q30" s="168"/>
      <c r="R30" s="169"/>
      <c r="S30" s="171" t="s">
        <v>33</v>
      </c>
      <c r="T30" s="171"/>
      <c r="U30" s="171"/>
      <c r="V30" s="171"/>
      <c r="W30" s="171"/>
      <c r="X30" s="171"/>
      <c r="Y30" s="171"/>
      <c r="Z30" s="172"/>
    </row>
    <row r="31" spans="1:30">
      <c r="A31" s="163" t="s">
        <v>12</v>
      </c>
      <c r="B31" s="164"/>
      <c r="C31" s="137" t="s">
        <v>28</v>
      </c>
      <c r="D31" s="138" t="s">
        <v>5</v>
      </c>
      <c r="E31" s="138" t="s">
        <v>29</v>
      </c>
      <c r="F31" s="139" t="s">
        <v>6</v>
      </c>
      <c r="G31" s="31">
        <f>green!R1</f>
        <v>16</v>
      </c>
      <c r="H31" s="32">
        <f>green!S1</f>
        <v>17</v>
      </c>
      <c r="I31" s="32">
        <f>green!T1</f>
        <v>18</v>
      </c>
      <c r="J31" s="32">
        <f>green!U1</f>
        <v>19</v>
      </c>
      <c r="K31" s="32">
        <f>green!V1</f>
        <v>20</v>
      </c>
      <c r="L31" s="32">
        <f>green!W1</f>
        <v>21</v>
      </c>
      <c r="M31" s="32">
        <f>green!X1</f>
        <v>22</v>
      </c>
      <c r="N31" s="33">
        <f>green!Y1</f>
        <v>23</v>
      </c>
      <c r="O31" s="137" t="s">
        <v>28</v>
      </c>
      <c r="P31" s="138" t="s">
        <v>5</v>
      </c>
      <c r="Q31" s="138" t="s">
        <v>29</v>
      </c>
      <c r="R31" s="139" t="s">
        <v>6</v>
      </c>
      <c r="S31" s="32">
        <f>green!Z1</f>
        <v>24</v>
      </c>
      <c r="T31" s="32">
        <f>green!AA1</f>
        <v>25</v>
      </c>
      <c r="U31" s="32">
        <f>green!AB1</f>
        <v>26</v>
      </c>
      <c r="V31" s="32">
        <f>green!AC1</f>
        <v>27</v>
      </c>
      <c r="W31" s="32">
        <f>green!AD1</f>
        <v>28</v>
      </c>
      <c r="X31" s="32">
        <f>green!AE1</f>
        <v>29</v>
      </c>
      <c r="Y31" s="32">
        <f>green!AF1</f>
        <v>30</v>
      </c>
      <c r="Z31" s="33">
        <f>green!AG1</f>
        <v>31</v>
      </c>
    </row>
    <row r="32" spans="1:30">
      <c r="A32" s="155" t="s">
        <v>14</v>
      </c>
      <c r="B32" s="41" t="s">
        <v>9</v>
      </c>
      <c r="C32" s="39">
        <f>D32-1.5*F32</f>
        <v>676.80051976748109</v>
      </c>
      <c r="D32" s="10">
        <f>AVERAGE(G32:N32)</f>
        <v>839.05616097230904</v>
      </c>
      <c r="E32" s="10">
        <f>D32+1.5*F32</f>
        <v>1001.311802177137</v>
      </c>
      <c r="F32" s="11">
        <f>STDEV(G32:N32)</f>
        <v>108.17042746988534</v>
      </c>
      <c r="G32" s="136">
        <f>green!R2</f>
        <v>750.48405222476515</v>
      </c>
      <c r="H32" s="52">
        <f>green!S2</f>
        <v>973.97122297899739</v>
      </c>
      <c r="I32" s="52">
        <f>green!T2</f>
        <v>699.47946862710057</v>
      </c>
      <c r="J32" s="52">
        <f>green!U2</f>
        <v>961.80032649572854</v>
      </c>
      <c r="K32" s="52">
        <f>green!V2</f>
        <v>785.22175170071739</v>
      </c>
      <c r="L32" s="52"/>
      <c r="M32" s="52">
        <f>green!X2</f>
        <v>907.85824844205331</v>
      </c>
      <c r="N32" s="53">
        <f>green!Y2</f>
        <v>794.57805633680061</v>
      </c>
      <c r="O32" s="39">
        <f>P32-1.5*R32</f>
        <v>721.8342373735486</v>
      </c>
      <c r="P32" s="10">
        <f>AVERAGE(S32:Z32)</f>
        <v>853.80217770037916</v>
      </c>
      <c r="Q32" s="10">
        <f>P32+1.5*R32</f>
        <v>985.77011802720972</v>
      </c>
      <c r="R32" s="11">
        <f>STDEV(S32:Z32)</f>
        <v>87.978626884553691</v>
      </c>
      <c r="S32" s="52">
        <f>green!Z2</f>
        <v>738.60248007998734</v>
      </c>
      <c r="T32" s="52">
        <f>green!AA2</f>
        <v>806.11030484708817</v>
      </c>
      <c r="U32" s="52">
        <f>green!AB2</f>
        <v>863.17714816719683</v>
      </c>
      <c r="V32" s="52">
        <f>green!AC2</f>
        <v>869.11245740696188</v>
      </c>
      <c r="W32" s="52">
        <f>green!AD2</f>
        <v>837.68429336090117</v>
      </c>
      <c r="X32" s="52">
        <f>green!AE2</f>
        <v>1013.5839530758104</v>
      </c>
      <c r="Y32" s="52">
        <f>green!AF2</f>
        <v>771.98800417981249</v>
      </c>
      <c r="Z32" s="53">
        <f>green!AG2</f>
        <v>930.1587804852752</v>
      </c>
    </row>
    <row r="33" spans="1:33">
      <c r="A33" s="155"/>
      <c r="B33" s="41" t="s">
        <v>8</v>
      </c>
      <c r="C33" s="39">
        <f>D33-1.5*F33</f>
        <v>653.48606338231457</v>
      </c>
      <c r="D33" s="10">
        <f>AVERAGE(G33:N33)</f>
        <v>740.59192636336309</v>
      </c>
      <c r="E33" s="10">
        <f>D33+1.5*F33</f>
        <v>827.6977893444116</v>
      </c>
      <c r="F33" s="11">
        <f>STDEV(G33:N33)</f>
        <v>58.070575320699007</v>
      </c>
      <c r="G33" s="43">
        <f>green!R4</f>
        <v>703.89758462972429</v>
      </c>
      <c r="H33" s="44">
        <f>green!S4</f>
        <v>835.87198081418319</v>
      </c>
      <c r="I33" s="44">
        <f>green!T4</f>
        <v>656.31164501886485</v>
      </c>
      <c r="J33" s="44">
        <f>green!U4</f>
        <v>785.57161586202881</v>
      </c>
      <c r="K33" s="44">
        <f>green!V4</f>
        <v>717.8044692213947</v>
      </c>
      <c r="L33" s="44"/>
      <c r="M33" s="44">
        <f>green!X4</f>
        <v>751.19315504845679</v>
      </c>
      <c r="N33" s="45">
        <f>green!Y4</f>
        <v>733.49303394888784</v>
      </c>
      <c r="O33" s="39">
        <f>P33-1.5*R33</f>
        <v>673.59289278088443</v>
      </c>
      <c r="P33" s="10">
        <f>AVERAGE(S33:Z33)</f>
        <v>745.49315360572177</v>
      </c>
      <c r="Q33" s="10">
        <f>P33+1.5*R33</f>
        <v>817.39341443055912</v>
      </c>
      <c r="R33" s="11">
        <f>STDEV(S33:Z33)</f>
        <v>47.933507216558233</v>
      </c>
      <c r="S33" s="44">
        <f>green!Z4</f>
        <v>685.3637611374071</v>
      </c>
      <c r="T33" s="44">
        <f>green!AA4</f>
        <v>725.47567977637073</v>
      </c>
      <c r="U33" s="44">
        <f>green!AB4</f>
        <v>770.53010963804297</v>
      </c>
      <c r="V33" s="44">
        <f>green!AC4</f>
        <v>773.34996270519264</v>
      </c>
      <c r="W33" s="44">
        <f>green!AD4</f>
        <v>722.62153610175653</v>
      </c>
      <c r="X33" s="44">
        <f>green!AE4</f>
        <v>829.57910795690952</v>
      </c>
      <c r="Y33" s="44">
        <f>green!AF4</f>
        <v>693.19956116665367</v>
      </c>
      <c r="Z33" s="45">
        <f>green!AG4</f>
        <v>763.82551036344103</v>
      </c>
    </row>
    <row r="34" spans="1:33">
      <c r="A34" s="155"/>
      <c r="B34" s="41" t="s">
        <v>65</v>
      </c>
      <c r="C34" s="39">
        <f>D34-1.5*F34</f>
        <v>651.65391551679886</v>
      </c>
      <c r="D34" s="10">
        <f>AVERAGE(G34:N34)</f>
        <v>747.51039940106727</v>
      </c>
      <c r="E34" s="10">
        <f>D34+1.5*F34</f>
        <v>843.36688328533569</v>
      </c>
      <c r="F34" s="11">
        <f>STDEV(G34:N34)</f>
        <v>63.904322589512297</v>
      </c>
      <c r="G34" s="135">
        <f>green!R6</f>
        <v>705.99815532565242</v>
      </c>
      <c r="H34" s="54">
        <f>green!S6</f>
        <v>826.33079298954988</v>
      </c>
      <c r="I34" s="54">
        <f>green!T6</f>
        <v>668.07458418172644</v>
      </c>
      <c r="J34" s="54">
        <f>green!U6</f>
        <v>841.89517707839832</v>
      </c>
      <c r="K34" s="54">
        <f>green!V6</f>
        <v>719.07915172824517</v>
      </c>
      <c r="L34" s="54"/>
      <c r="M34" s="54">
        <f>green!X6</f>
        <v>746.91000618786143</v>
      </c>
      <c r="N34" s="55">
        <f>green!Y6</f>
        <v>724.28492831603796</v>
      </c>
      <c r="O34" s="39">
        <f>P34-1.5*R34</f>
        <v>670.42360098377344</v>
      </c>
      <c r="P34" s="10">
        <f>AVERAGE(S34:Z34)</f>
        <v>743.16038533213225</v>
      </c>
      <c r="Q34" s="10">
        <f>P34+1.5*R34</f>
        <v>815.89716968049106</v>
      </c>
      <c r="R34" s="11">
        <f>STDEV(S34:Z34)</f>
        <v>48.491189565572512</v>
      </c>
      <c r="S34" s="54">
        <f>green!Z6</f>
        <v>685.56602755653989</v>
      </c>
      <c r="T34" s="54">
        <f>green!AA6</f>
        <v>734.68993025223074</v>
      </c>
      <c r="U34" s="54">
        <f>green!AB6</f>
        <v>777.55548729347026</v>
      </c>
      <c r="V34" s="54">
        <f>green!AC6</f>
        <v>715.64575801323997</v>
      </c>
      <c r="W34" s="54">
        <f>green!AD6</f>
        <v>747.22937521965071</v>
      </c>
      <c r="X34" s="54">
        <f>green!AE6</f>
        <v>843.56567242113897</v>
      </c>
      <c r="Y34" s="54">
        <f>green!AF6</f>
        <v>718.58354957471988</v>
      </c>
      <c r="Z34" s="55">
        <f>green!AG6</f>
        <v>722.44728232606792</v>
      </c>
    </row>
    <row r="35" spans="1:33">
      <c r="A35" s="155" t="s">
        <v>15</v>
      </c>
      <c r="B35" s="41" t="s">
        <v>9</v>
      </c>
      <c r="C35" s="39">
        <f t="shared" ref="C35:C39" si="27">D35-1.5*F35</f>
        <v>698.18438292432268</v>
      </c>
      <c r="D35" s="10">
        <f t="shared" ref="D35:D39" si="28">AVERAGE(G35:N35)</f>
        <v>809.38943980241606</v>
      </c>
      <c r="E35" s="10">
        <f t="shared" ref="E35:E39" si="29">D35+1.5*F35</f>
        <v>920.59449668050945</v>
      </c>
      <c r="F35" s="11">
        <f t="shared" ref="F35:F39" si="30">STDEV(G35:N35)</f>
        <v>74.136704585395591</v>
      </c>
      <c r="G35" s="136">
        <f>green!R3</f>
        <v>757.58472610632248</v>
      </c>
      <c r="H35" s="52">
        <f>green!S3</f>
        <v>905.09420041935016</v>
      </c>
      <c r="I35" s="52">
        <f>green!T3</f>
        <v>713.85350930026073</v>
      </c>
      <c r="J35" s="52">
        <f>green!U3</f>
        <v>910.26429707861826</v>
      </c>
      <c r="K35" s="52">
        <f>green!V3</f>
        <v>778.38169085125833</v>
      </c>
      <c r="L35" s="52"/>
      <c r="M35" s="52">
        <f>green!X3</f>
        <v>819.03357309195587</v>
      </c>
      <c r="N35" s="53">
        <f>green!Y3</f>
        <v>781.51408176914697</v>
      </c>
      <c r="O35" s="39">
        <f t="shared" ref="O35:O39" si="31">P35-1.5*R35</f>
        <v>724.51939751016334</v>
      </c>
      <c r="P35" s="10">
        <f t="shared" ref="P35:P39" si="32">AVERAGE(S35:Z35)</f>
        <v>800.26061121305975</v>
      </c>
      <c r="Q35" s="10">
        <f t="shared" ref="Q35:Q39" si="33">P35+1.5*R35</f>
        <v>876.00182491595615</v>
      </c>
      <c r="R35" s="11">
        <f t="shared" ref="R35:R39" si="34">STDEV(S35:Z35)</f>
        <v>50.494142468597637</v>
      </c>
      <c r="S35" s="52">
        <f>green!Z3</f>
        <v>737.02342463183015</v>
      </c>
      <c r="T35" s="52">
        <f>green!AA3</f>
        <v>781.42373078657067</v>
      </c>
      <c r="U35" s="52">
        <f>green!AB3</f>
        <v>839.28440587705563</v>
      </c>
      <c r="V35" s="52">
        <f>green!AC3</f>
        <v>781.5439232885193</v>
      </c>
      <c r="W35" s="52">
        <f>green!AD3</f>
        <v>794.30934816494573</v>
      </c>
      <c r="X35" s="52">
        <f>green!AE3</f>
        <v>903.35264672451376</v>
      </c>
      <c r="Y35" s="52">
        <f>green!AF3</f>
        <v>769.69679622109697</v>
      </c>
      <c r="Z35" s="53">
        <f>green!AG3</f>
        <v>795.45061400994587</v>
      </c>
    </row>
    <row r="36" spans="1:33">
      <c r="A36" s="155"/>
      <c r="B36" s="41" t="s">
        <v>8</v>
      </c>
      <c r="C36" s="39">
        <f>D36-1.5*F36</f>
        <v>611.23725495666213</v>
      </c>
      <c r="D36" s="10">
        <f>AVERAGE(G36:N36)</f>
        <v>679.02994327822023</v>
      </c>
      <c r="E36" s="10">
        <f>D36+1.5*F36</f>
        <v>746.82263159977833</v>
      </c>
      <c r="F36" s="11">
        <f>STDEV(G36:N36)</f>
        <v>45.195125547705395</v>
      </c>
      <c r="G36" s="43">
        <f>green!R5</f>
        <v>652.79040304534078</v>
      </c>
      <c r="H36" s="44">
        <f>green!S5</f>
        <v>757.59197092534475</v>
      </c>
      <c r="I36" s="44">
        <f>green!T5</f>
        <v>619.6544554854172</v>
      </c>
      <c r="J36" s="44">
        <f>green!U5</f>
        <v>717.08379710116492</v>
      </c>
      <c r="K36" s="44">
        <f>green!V5</f>
        <v>661.43994272555187</v>
      </c>
      <c r="L36" s="44"/>
      <c r="M36" s="44">
        <f>green!X5</f>
        <v>668.99190288229215</v>
      </c>
      <c r="N36" s="45">
        <f>green!Y5</f>
        <v>675.65713078243004</v>
      </c>
      <c r="O36" s="39">
        <f>P36-1.5*R36</f>
        <v>625.18392184796073</v>
      </c>
      <c r="P36" s="10">
        <f>AVERAGE(S36:Z36)</f>
        <v>669.93337697999141</v>
      </c>
      <c r="Q36" s="10">
        <f>P36+1.5*R36</f>
        <v>714.68283211202208</v>
      </c>
      <c r="R36" s="11">
        <f>STDEV(S36:Z36)</f>
        <v>29.832970088020463</v>
      </c>
      <c r="S36" s="44">
        <f>green!Z5</f>
        <v>639.32862513027226</v>
      </c>
      <c r="T36" s="44">
        <f>green!AA5</f>
        <v>657.00531405988329</v>
      </c>
      <c r="U36" s="44">
        <f>green!AB5</f>
        <v>707.80003463361368</v>
      </c>
      <c r="V36" s="44">
        <f>green!AC5</f>
        <v>678.42562493200035</v>
      </c>
      <c r="W36" s="44">
        <f>green!AD5</f>
        <v>653.10259029090821</v>
      </c>
      <c r="X36" s="44">
        <f>green!AE5</f>
        <v>721.28814799516056</v>
      </c>
      <c r="Y36" s="44">
        <f>green!AF5</f>
        <v>650.22076958659875</v>
      </c>
      <c r="Z36" s="45">
        <f>green!AG5</f>
        <v>652.29590921149429</v>
      </c>
    </row>
    <row r="37" spans="1:33">
      <c r="A37" s="155"/>
      <c r="B37" s="41" t="s">
        <v>65</v>
      </c>
      <c r="C37" s="39">
        <f>D37-1.5*F37</f>
        <v>633.03900752622997</v>
      </c>
      <c r="D37" s="10">
        <f>AVERAGE(G37:N37)</f>
        <v>791.86952972707718</v>
      </c>
      <c r="E37" s="10">
        <f>D37+1.5*F37</f>
        <v>950.70005192792439</v>
      </c>
      <c r="F37" s="11">
        <f>STDEV(G37:N37)</f>
        <v>105.8870148005648</v>
      </c>
      <c r="G37" s="135">
        <f>green!R7</f>
        <v>703.99439721286763</v>
      </c>
      <c r="H37" s="54">
        <f>green!S7</f>
        <v>914.76264760997219</v>
      </c>
      <c r="I37" s="54">
        <f>green!T7</f>
        <v>658.95640357474906</v>
      </c>
      <c r="J37" s="54">
        <f>green!U7</f>
        <v>921.92630023265326</v>
      </c>
      <c r="K37" s="54">
        <f>green!V7</f>
        <v>734.12272990450549</v>
      </c>
      <c r="L37" s="54"/>
      <c r="M37" s="54">
        <f>green!X7</f>
        <v>860.36196249113789</v>
      </c>
      <c r="N37" s="55">
        <f>green!Y7</f>
        <v>748.96226706365564</v>
      </c>
      <c r="O37" s="39">
        <f>P37-1.5*R37</f>
        <v>678.77920829553318</v>
      </c>
      <c r="P37" s="10">
        <f>AVERAGE(S37:Z37)</f>
        <v>807.75257401147951</v>
      </c>
      <c r="Q37" s="10">
        <f>P37+1.5*R37</f>
        <v>936.72593972742584</v>
      </c>
      <c r="R37" s="11">
        <f>STDEV(S37:Z37)</f>
        <v>85.982243810630862</v>
      </c>
      <c r="S37" s="54">
        <f>green!Z7</f>
        <v>696.90440114290845</v>
      </c>
      <c r="T37" s="54">
        <f>green!AA7</f>
        <v>758.71045190690359</v>
      </c>
      <c r="U37" s="54">
        <f>green!AB7</f>
        <v>819.85655669949176</v>
      </c>
      <c r="V37" s="54">
        <f>green!AC7</f>
        <v>816.92262307256874</v>
      </c>
      <c r="W37" s="54">
        <f>green!AD7</f>
        <v>801.92630111854487</v>
      </c>
      <c r="X37" s="54">
        <f>green!AE7</f>
        <v>964.67683759545559</v>
      </c>
      <c r="Y37" s="54">
        <f>green!AF7</f>
        <v>723.76046053887865</v>
      </c>
      <c r="Z37" s="55">
        <f>green!AG7</f>
        <v>879.26296001708454</v>
      </c>
    </row>
    <row r="38" spans="1:33">
      <c r="A38" s="155" t="s">
        <v>16</v>
      </c>
      <c r="B38" s="42" t="s">
        <v>13</v>
      </c>
      <c r="C38" s="40">
        <f t="shared" si="27"/>
        <v>3.3067698451446595E-2</v>
      </c>
      <c r="D38" s="8">
        <f t="shared" si="28"/>
        <v>0.1266016713145631</v>
      </c>
      <c r="E38" s="8">
        <f t="shared" si="29"/>
        <v>0.22013564417767961</v>
      </c>
      <c r="F38" s="9">
        <f t="shared" si="30"/>
        <v>6.2355981908744335E-2</v>
      </c>
      <c r="G38" s="140">
        <f>(MAX(G32:G34)-MIN(G32:G34))/AVERAGE(G32:G34)</f>
        <v>6.4692052430320474E-2</v>
      </c>
      <c r="H38" s="141">
        <f>(MAX(H32:H34)-MIN(H32:H34))/AVERAGE(H32:H34)</f>
        <v>0.16801671305038951</v>
      </c>
      <c r="I38" s="141">
        <f t="shared" ref="I38:M38" si="35">(MAX(I32:I34)-MIN(I32:I34))/AVERAGE(I32:I34)</f>
        <v>6.3988174197383355E-2</v>
      </c>
      <c r="J38" s="141">
        <f t="shared" si="35"/>
        <v>0.2041836965883331</v>
      </c>
      <c r="K38" s="141">
        <f t="shared" ref="K38" si="36">(MAX(K32:K34)-MIN(K32:K34))/AVERAGE(K32:K34)</f>
        <v>9.1018117289702397E-2</v>
      </c>
      <c r="L38" s="141"/>
      <c r="M38" s="141">
        <f t="shared" si="35"/>
        <v>0.20068681268961924</v>
      </c>
      <c r="N38" s="142">
        <f>(MAX(N32:N34)-MIN(N32:N34))/AVERAGE(N32:N34)</f>
        <v>9.3626132956193528E-2</v>
      </c>
      <c r="O38" s="40">
        <f t="shared" si="31"/>
        <v>5.8477137820756656E-2</v>
      </c>
      <c r="P38" s="8">
        <f t="shared" si="32"/>
        <v>0.15176550822856763</v>
      </c>
      <c r="Q38" s="8">
        <f t="shared" si="33"/>
        <v>0.24505387863637862</v>
      </c>
      <c r="R38" s="9">
        <f t="shared" si="34"/>
        <v>6.2192246938540648E-2</v>
      </c>
      <c r="S38" s="140">
        <f>(MAX(S32:S34)-MIN(S32:S34))/AVERAGE(S32:S34)</f>
        <v>7.5711644326051569E-2</v>
      </c>
      <c r="T38" s="141">
        <f>(MAX(T32:T34)-MIN(T32:T34))/AVERAGE(T32:T34)</f>
        <v>0.10674069896975512</v>
      </c>
      <c r="U38" s="141">
        <f t="shared" ref="U38:Y38" si="37">(MAX(U32:U34)-MIN(U32:U34))/AVERAGE(U32:U34)</f>
        <v>0.11526786790548761</v>
      </c>
      <c r="V38" s="141">
        <f t="shared" si="37"/>
        <v>0.19524129658341888</v>
      </c>
      <c r="W38" s="141">
        <f t="shared" si="37"/>
        <v>0.14959176834095494</v>
      </c>
      <c r="X38" s="141">
        <f t="shared" si="37"/>
        <v>0.20545972076871113</v>
      </c>
      <c r="Y38" s="141">
        <f t="shared" si="37"/>
        <v>0.10823722661429516</v>
      </c>
      <c r="Z38" s="142">
        <f>(MAX(Z32:Z34)-MIN(Z32:Z34))/AVERAGE(Z32:Z34)</f>
        <v>0.25787384231986676</v>
      </c>
    </row>
    <row r="39" spans="1:33">
      <c r="A39" s="155"/>
      <c r="B39" s="42" t="s">
        <v>17</v>
      </c>
      <c r="C39" s="40">
        <f t="shared" si="27"/>
        <v>0.11360649979658605</v>
      </c>
      <c r="D39" s="8">
        <f t="shared" si="28"/>
        <v>0.18061647353436869</v>
      </c>
      <c r="E39" s="8">
        <f t="shared" si="29"/>
        <v>0.24762644727215133</v>
      </c>
      <c r="F39" s="9">
        <f t="shared" si="30"/>
        <v>4.467331582518843E-2</v>
      </c>
      <c r="G39" s="36">
        <f>(MAX(G35:G37)-MIN(G35:G37))/AVERAGE(G35:G37)</f>
        <v>0.14868875343824051</v>
      </c>
      <c r="H39" s="37">
        <f>(MAX(H35:H37)-MIN(H35:H37))/AVERAGE(H35:H37)</f>
        <v>0.18293749485396682</v>
      </c>
      <c r="I39" s="37">
        <f t="shared" ref="I39:M39" si="38">(MAX(I35:I37)-MIN(I35:I37))/AVERAGE(I35:I37)</f>
        <v>0.14183298127287272</v>
      </c>
      <c r="J39" s="37">
        <f t="shared" si="38"/>
        <v>0.24105977400526277</v>
      </c>
      <c r="K39" s="37">
        <f t="shared" ref="K39" si="39">(MAX(K35:K37)-MIN(K35:K37))/AVERAGE(K35:K37)</f>
        <v>0.16137728741839283</v>
      </c>
      <c r="L39" s="37"/>
      <c r="M39" s="37">
        <f t="shared" si="38"/>
        <v>0.24446995816061096</v>
      </c>
      <c r="N39" s="38">
        <f>(MAX(N35:N37)-MIN(N35:N37))/AVERAGE(N35:N37)</f>
        <v>0.14394906559123419</v>
      </c>
      <c r="O39" s="40">
        <f t="shared" si="31"/>
        <v>0.11572302475471589</v>
      </c>
      <c r="P39" s="8">
        <f t="shared" si="32"/>
        <v>0.20008389602808785</v>
      </c>
      <c r="Q39" s="8">
        <f t="shared" si="33"/>
        <v>0.28444476730145979</v>
      </c>
      <c r="R39" s="9">
        <f t="shared" si="34"/>
        <v>5.6240580848914638E-2</v>
      </c>
      <c r="S39" s="36">
        <f>(MAX(S35:S37)-MIN(S35:S37))/AVERAGE(S35:S37)</f>
        <v>0.14136427665604875</v>
      </c>
      <c r="T39" s="37">
        <f>(MAX(T35:T37)-MIN(T35:T37))/AVERAGE(T35:T37)</f>
        <v>0.16988236328717837</v>
      </c>
      <c r="U39" s="37">
        <f t="shared" ref="U39:Y39" si="40">(MAX(U35:U37)-MIN(U35:U37))/AVERAGE(U35:U37)</f>
        <v>0.16665101250739048</v>
      </c>
      <c r="V39" s="37">
        <f t="shared" si="40"/>
        <v>0.18248162985502306</v>
      </c>
      <c r="W39" s="37">
        <f t="shared" si="40"/>
        <v>0.19848999346909585</v>
      </c>
      <c r="X39" s="37">
        <f t="shared" si="40"/>
        <v>0.28199169529774437</v>
      </c>
      <c r="Y39" s="37">
        <f t="shared" si="40"/>
        <v>0.16720238557203301</v>
      </c>
      <c r="Z39" s="38">
        <f>(MAX(Z35:Z37)-MIN(Z35:Z37))/AVERAGE(Z35:Z37)</f>
        <v>0.29260781158018878</v>
      </c>
    </row>
    <row r="40" spans="1:33" ht="15.75" thickBot="1">
      <c r="A40" s="56"/>
      <c r="B40" s="56"/>
      <c r="C40" s="173">
        <f>MAX(ABS(C38),ABS(C39),ABS(E38),ABS(E39))</f>
        <v>0.24762644727215133</v>
      </c>
      <c r="D40" s="174"/>
      <c r="E40" s="174"/>
      <c r="F40" s="175"/>
      <c r="O40" s="173">
        <f>MAX(ABS(O38),ABS(O39),ABS(Q38),ABS(Q39))</f>
        <v>0.28444476730145979</v>
      </c>
      <c r="P40" s="174"/>
      <c r="Q40" s="174"/>
      <c r="R40" s="175"/>
    </row>
    <row r="42" spans="1:33">
      <c r="A42" s="31">
        <f>G19</f>
        <v>0</v>
      </c>
      <c r="B42" s="32">
        <f t="shared" ref="B42:H42" si="41">H19</f>
        <v>1</v>
      </c>
      <c r="C42" s="32">
        <f t="shared" si="41"/>
        <v>2</v>
      </c>
      <c r="D42" s="32">
        <f t="shared" si="41"/>
        <v>3</v>
      </c>
      <c r="E42" s="32">
        <f t="shared" si="41"/>
        <v>4</v>
      </c>
      <c r="F42" s="32">
        <f t="shared" si="41"/>
        <v>5</v>
      </c>
      <c r="G42" s="32">
        <f t="shared" si="41"/>
        <v>6</v>
      </c>
      <c r="H42" s="33">
        <f t="shared" si="41"/>
        <v>7</v>
      </c>
      <c r="I42" s="126">
        <f>S19</f>
        <v>8</v>
      </c>
      <c r="J42" s="127">
        <f t="shared" ref="J42:P42" si="42">T19</f>
        <v>9</v>
      </c>
      <c r="K42" s="127">
        <f t="shared" si="42"/>
        <v>10</v>
      </c>
      <c r="L42" s="127">
        <f t="shared" si="42"/>
        <v>11</v>
      </c>
      <c r="M42" s="127">
        <f t="shared" si="42"/>
        <v>12</v>
      </c>
      <c r="N42" s="127">
        <f t="shared" si="42"/>
        <v>13</v>
      </c>
      <c r="O42" s="127">
        <f t="shared" si="42"/>
        <v>14</v>
      </c>
      <c r="P42" s="128">
        <f t="shared" si="42"/>
        <v>15</v>
      </c>
      <c r="Q42" s="126">
        <f>G31</f>
        <v>16</v>
      </c>
      <c r="R42" s="127">
        <f t="shared" ref="R42:X42" si="43">H31</f>
        <v>17</v>
      </c>
      <c r="S42" s="127">
        <f t="shared" si="43"/>
        <v>18</v>
      </c>
      <c r="T42" s="127">
        <f t="shared" si="43"/>
        <v>19</v>
      </c>
      <c r="U42" s="127">
        <f t="shared" si="43"/>
        <v>20</v>
      </c>
      <c r="V42" s="127">
        <f t="shared" si="43"/>
        <v>21</v>
      </c>
      <c r="W42" s="127">
        <f t="shared" si="43"/>
        <v>22</v>
      </c>
      <c r="X42" s="128">
        <f t="shared" si="43"/>
        <v>23</v>
      </c>
      <c r="Y42" s="126">
        <f>S31</f>
        <v>24</v>
      </c>
      <c r="Z42" s="127">
        <f t="shared" ref="Z42:AF42" si="44">T31</f>
        <v>25</v>
      </c>
      <c r="AA42" s="127">
        <f t="shared" si="44"/>
        <v>26</v>
      </c>
      <c r="AB42" s="127">
        <f t="shared" si="44"/>
        <v>27</v>
      </c>
      <c r="AC42" s="127">
        <f t="shared" si="44"/>
        <v>28</v>
      </c>
      <c r="AD42" s="127">
        <f t="shared" si="44"/>
        <v>29</v>
      </c>
      <c r="AE42" s="127">
        <f t="shared" si="44"/>
        <v>30</v>
      </c>
      <c r="AF42" s="128">
        <f t="shared" si="44"/>
        <v>31</v>
      </c>
      <c r="AG42" s="58"/>
    </row>
    <row r="43" spans="1:33">
      <c r="A43" s="34">
        <f>G26</f>
        <v>0.12456922222256359</v>
      </c>
      <c r="B43" s="15">
        <f t="shared" ref="B43:B44" si="45">H26</f>
        <v>0.11426130741633606</v>
      </c>
      <c r="C43" s="15">
        <f t="shared" ref="C43:C44" si="46">I26</f>
        <v>0.11262349487629431</v>
      </c>
      <c r="D43" s="15">
        <f t="shared" ref="D43:D44" si="47">J26</f>
        <v>0.11826669398695938</v>
      </c>
      <c r="E43" s="15">
        <f t="shared" ref="E43:F44" si="48">K26</f>
        <v>9.2374490044942928E-2</v>
      </c>
      <c r="F43" s="15">
        <f t="shared" si="48"/>
        <v>0.10800577634110216</v>
      </c>
      <c r="G43" s="15">
        <f t="shared" ref="G43:G44" si="49">M26</f>
        <v>0.25806263593394935</v>
      </c>
      <c r="H43" s="35">
        <f t="shared" ref="H43:H44" si="50">N26</f>
        <v>0.14756530379258123</v>
      </c>
      <c r="I43" s="129">
        <f>S26</f>
        <v>0.19559008827599356</v>
      </c>
      <c r="J43" s="130">
        <f t="shared" ref="J43:J44" si="51">T26</f>
        <v>0.22984091831892217</v>
      </c>
      <c r="K43" s="130">
        <f t="shared" ref="K43:K44" si="52">U26</f>
        <v>0.24961054661649995</v>
      </c>
      <c r="L43" s="130">
        <f t="shared" ref="L43:L44" si="53">V26</f>
        <v>0.20807475292969985</v>
      </c>
      <c r="M43" s="130">
        <f t="shared" ref="M43:M44" si="54">W26</f>
        <v>7.3600043325656631E-2</v>
      </c>
      <c r="N43" s="130">
        <f t="shared" ref="N43:N44" si="55">X26</f>
        <v>0.15045960129461883</v>
      </c>
      <c r="O43" s="130">
        <f t="shared" ref="O43:O44" si="56">Y26</f>
        <v>0.17427699767120747</v>
      </c>
      <c r="P43" s="131">
        <f t="shared" ref="P43:P44" si="57">Z26</f>
        <v>0.20457203920029479</v>
      </c>
      <c r="Q43" s="129">
        <f>G38</f>
        <v>6.4692052430320474E-2</v>
      </c>
      <c r="R43" s="130">
        <f t="shared" ref="R43:R44" si="58">H38</f>
        <v>0.16801671305038951</v>
      </c>
      <c r="S43" s="130">
        <f t="shared" ref="S43:S44" si="59">I38</f>
        <v>6.3988174197383355E-2</v>
      </c>
      <c r="T43" s="130">
        <f t="shared" ref="T43:T44" si="60">J38</f>
        <v>0.2041836965883331</v>
      </c>
      <c r="U43" s="130">
        <f t="shared" ref="U43:U44" si="61">K38</f>
        <v>9.1018117289702397E-2</v>
      </c>
      <c r="V43" s="130">
        <f t="shared" ref="V43:V44" si="62">L38</f>
        <v>0</v>
      </c>
      <c r="W43" s="130">
        <f t="shared" ref="W43:W44" si="63">M38</f>
        <v>0.20068681268961924</v>
      </c>
      <c r="X43" s="131">
        <f t="shared" ref="X43:X44" si="64">N38</f>
        <v>9.3626132956193528E-2</v>
      </c>
      <c r="Y43" s="129">
        <f>S38</f>
        <v>7.5711644326051569E-2</v>
      </c>
      <c r="Z43" s="130">
        <f t="shared" ref="Z43:Z44" si="65">T38</f>
        <v>0.10674069896975512</v>
      </c>
      <c r="AA43" s="130">
        <f t="shared" ref="AA43:AA44" si="66">U38</f>
        <v>0.11526786790548761</v>
      </c>
      <c r="AB43" s="130">
        <f t="shared" ref="AB43:AB44" si="67">V38</f>
        <v>0.19524129658341888</v>
      </c>
      <c r="AC43" s="130">
        <f t="shared" ref="AC43:AC44" si="68">W38</f>
        <v>0.14959176834095494</v>
      </c>
      <c r="AD43" s="130">
        <f t="shared" ref="AD43:AD44" si="69">X38</f>
        <v>0.20545972076871113</v>
      </c>
      <c r="AE43" s="130">
        <f t="shared" ref="AE43:AF44" si="70">Y38</f>
        <v>0.10823722661429516</v>
      </c>
      <c r="AF43" s="131">
        <f t="shared" si="70"/>
        <v>0.25787384231986676</v>
      </c>
    </row>
    <row r="44" spans="1:33">
      <c r="A44" s="36">
        <f>G27</f>
        <v>0.12417060576273671</v>
      </c>
      <c r="B44" s="37">
        <f t="shared" si="45"/>
        <v>0.16251121385335812</v>
      </c>
      <c r="C44" s="37">
        <f t="shared" si="46"/>
        <v>0.1517427234297091</v>
      </c>
      <c r="D44" s="37">
        <f t="shared" si="47"/>
        <v>0.16666694220579145</v>
      </c>
      <c r="E44" s="37">
        <f t="shared" si="48"/>
        <v>0.17215369342136022</v>
      </c>
      <c r="F44" s="37">
        <f t="shared" si="48"/>
        <v>0.16097338092808453</v>
      </c>
      <c r="G44" s="37">
        <f t="shared" si="49"/>
        <v>0.24453045291055334</v>
      </c>
      <c r="H44" s="38">
        <f t="shared" si="50"/>
        <v>0.19191881247188616</v>
      </c>
      <c r="I44" s="132">
        <f>S27</f>
        <v>0.19685308098530285</v>
      </c>
      <c r="J44" s="133">
        <f t="shared" si="51"/>
        <v>0.2069663403773925</v>
      </c>
      <c r="K44" s="133">
        <f t="shared" si="52"/>
        <v>0.25970683903645531</v>
      </c>
      <c r="L44" s="133">
        <f t="shared" si="53"/>
        <v>0.27494393265785344</v>
      </c>
      <c r="M44" s="133">
        <f t="shared" si="54"/>
        <v>0.1366468056080771</v>
      </c>
      <c r="N44" s="133">
        <f t="shared" si="55"/>
        <v>0.1835753845518896</v>
      </c>
      <c r="O44" s="133">
        <f t="shared" si="56"/>
        <v>0.20916968038951506</v>
      </c>
      <c r="P44" s="134">
        <f t="shared" si="57"/>
        <v>0.22515374455663834</v>
      </c>
      <c r="Q44" s="132">
        <f>G39</f>
        <v>0.14868875343824051</v>
      </c>
      <c r="R44" s="133">
        <f t="shared" si="58"/>
        <v>0.18293749485396682</v>
      </c>
      <c r="S44" s="133">
        <f t="shared" si="59"/>
        <v>0.14183298127287272</v>
      </c>
      <c r="T44" s="133">
        <f t="shared" si="60"/>
        <v>0.24105977400526277</v>
      </c>
      <c r="U44" s="133">
        <f t="shared" si="61"/>
        <v>0.16137728741839283</v>
      </c>
      <c r="V44" s="133">
        <f t="shared" si="62"/>
        <v>0</v>
      </c>
      <c r="W44" s="133">
        <f t="shared" si="63"/>
        <v>0.24446995816061096</v>
      </c>
      <c r="X44" s="134">
        <f t="shared" si="64"/>
        <v>0.14394906559123419</v>
      </c>
      <c r="Y44" s="132">
        <f>S39</f>
        <v>0.14136427665604875</v>
      </c>
      <c r="Z44" s="133">
        <f t="shared" si="65"/>
        <v>0.16988236328717837</v>
      </c>
      <c r="AA44" s="133">
        <f t="shared" si="66"/>
        <v>0.16665101250739048</v>
      </c>
      <c r="AB44" s="133">
        <f t="shared" si="67"/>
        <v>0.18248162985502306</v>
      </c>
      <c r="AC44" s="133">
        <f t="shared" si="68"/>
        <v>0.19848999346909585</v>
      </c>
      <c r="AD44" s="133">
        <f t="shared" si="69"/>
        <v>0.28199169529774437</v>
      </c>
      <c r="AE44" s="133">
        <f t="shared" si="70"/>
        <v>0.16720238557203301</v>
      </c>
      <c r="AF44" s="134">
        <f t="shared" si="70"/>
        <v>0.29260781158018878</v>
      </c>
    </row>
  </sheetData>
  <mergeCells count="31">
    <mergeCell ref="O40:R40"/>
    <mergeCell ref="S30:Z30"/>
    <mergeCell ref="C30:F30"/>
    <mergeCell ref="A19:B19"/>
    <mergeCell ref="A20:A22"/>
    <mergeCell ref="A23:A25"/>
    <mergeCell ref="A26:A27"/>
    <mergeCell ref="C28:F28"/>
    <mergeCell ref="O28:R28"/>
    <mergeCell ref="A32:A34"/>
    <mergeCell ref="A35:A37"/>
    <mergeCell ref="A38:A39"/>
    <mergeCell ref="A31:B31"/>
    <mergeCell ref="C40:F40"/>
    <mergeCell ref="S18:Z18"/>
    <mergeCell ref="C1:F1"/>
    <mergeCell ref="C18:F18"/>
    <mergeCell ref="O18:R18"/>
    <mergeCell ref="H13:X13"/>
    <mergeCell ref="P2:Q2"/>
    <mergeCell ref="A13:B13"/>
    <mergeCell ref="A14:B14"/>
    <mergeCell ref="A2:B2"/>
    <mergeCell ref="H2:I2"/>
    <mergeCell ref="O30:R30"/>
    <mergeCell ref="G18:N18"/>
    <mergeCell ref="G30:N30"/>
    <mergeCell ref="A3:A5"/>
    <mergeCell ref="A6:A8"/>
    <mergeCell ref="A9:A10"/>
    <mergeCell ref="C11:F1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A1:BC44"/>
  <sheetViews>
    <sheetView showGridLines="0" topLeftCell="A15" zoomScale="70" zoomScaleNormal="70" workbookViewId="0">
      <selection activeCell="L32" sqref="L32:L39"/>
    </sheetView>
  </sheetViews>
  <sheetFormatPr defaultRowHeight="15"/>
  <cols>
    <col min="1" max="1" width="7" bestFit="1" customWidth="1"/>
    <col min="2" max="2" width="6.85546875" bestFit="1" customWidth="1"/>
    <col min="3" max="14" width="9.140625" customWidth="1"/>
    <col min="15" max="18" width="9.28515625" bestFit="1" customWidth="1"/>
    <col min="19" max="19" width="9.42578125" bestFit="1" customWidth="1"/>
    <col min="20" max="20" width="8" bestFit="1" customWidth="1"/>
    <col min="21" max="21" width="7.85546875" bestFit="1" customWidth="1"/>
    <col min="22" max="22" width="8" bestFit="1" customWidth="1"/>
    <col min="23" max="32" width="7" bestFit="1" customWidth="1"/>
    <col min="33" max="35" width="6.85546875" bestFit="1" customWidth="1"/>
    <col min="36" max="36" width="6.7109375" customWidth="1"/>
    <col min="37" max="38" width="7.140625" customWidth="1"/>
    <col min="39" max="39" width="6.140625" bestFit="1" customWidth="1"/>
    <col min="40" max="40" width="8" customWidth="1"/>
    <col min="41" max="41" width="9" customWidth="1"/>
    <col min="42" max="42" width="7.7109375" customWidth="1"/>
    <col min="43" max="43" width="7.140625" customWidth="1"/>
    <col min="44" max="44" width="7.42578125" customWidth="1"/>
    <col min="45" max="45" width="6.140625" bestFit="1" customWidth="1"/>
    <col min="46" max="46" width="7" customWidth="1"/>
    <col min="47" max="49" width="6.140625" bestFit="1" customWidth="1"/>
    <col min="50" max="50" width="7.42578125" customWidth="1"/>
    <col min="51" max="51" width="7.5703125" customWidth="1"/>
  </cols>
  <sheetData>
    <row r="1" spans="1:55" ht="15.75" thickBot="1">
      <c r="C1" s="167" t="s">
        <v>30</v>
      </c>
      <c r="D1" s="168"/>
      <c r="E1" s="168"/>
      <c r="F1" s="169"/>
      <c r="H1" s="59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28"/>
    </row>
    <row r="2" spans="1:55">
      <c r="A2" s="163" t="s">
        <v>12</v>
      </c>
      <c r="B2" s="164"/>
      <c r="C2" s="137" t="s">
        <v>28</v>
      </c>
      <c r="D2" s="138" t="s">
        <v>5</v>
      </c>
      <c r="E2" s="138" t="s">
        <v>29</v>
      </c>
      <c r="F2" s="139" t="s">
        <v>6</v>
      </c>
      <c r="H2" s="165" t="s">
        <v>18</v>
      </c>
      <c r="I2" s="166"/>
      <c r="J2" s="61"/>
      <c r="K2" s="61"/>
      <c r="L2" s="61"/>
      <c r="M2" s="61"/>
      <c r="N2" s="61"/>
      <c r="O2" s="61"/>
      <c r="P2" s="166" t="s">
        <v>19</v>
      </c>
      <c r="Q2" s="166"/>
      <c r="R2" s="61"/>
      <c r="S2" s="61"/>
      <c r="T2" s="61"/>
      <c r="U2" s="61"/>
      <c r="V2" s="61"/>
      <c r="W2" s="61"/>
      <c r="X2" s="61"/>
      <c r="Y2" s="62"/>
    </row>
    <row r="3" spans="1:55">
      <c r="A3" s="155" t="s">
        <v>14</v>
      </c>
      <c r="B3" s="41" t="s">
        <v>9</v>
      </c>
      <c r="C3" s="39">
        <f t="shared" ref="C3:C8" si="0">D3-1.5*F3</f>
        <v>664.56444489204216</v>
      </c>
      <c r="D3" s="10">
        <f>AVERAGE(G20:N20,S20:Z20,G32:N32,S32:Z32)</f>
        <v>715.18998712827658</v>
      </c>
      <c r="E3" s="10">
        <f t="shared" ref="E3:E8" si="1">D3+1.5*F3</f>
        <v>765.81552936451101</v>
      </c>
      <c r="F3" s="11">
        <f>STDEV(G20:N20,S20:Z20,G32:N32,S32:Z32)</f>
        <v>33.750361490822982</v>
      </c>
      <c r="H3" s="63">
        <f>(H9-H4)/5</f>
        <v>1.693703803047044E-2</v>
      </c>
      <c r="I3" s="61"/>
      <c r="J3" s="61"/>
      <c r="K3" s="61"/>
      <c r="L3" s="61"/>
      <c r="M3" s="61"/>
      <c r="N3" s="61"/>
      <c r="O3" s="61"/>
      <c r="P3" s="12">
        <f>(P9-P4)/5</f>
        <v>2.6944061582574431E-2</v>
      </c>
      <c r="Q3" s="61"/>
      <c r="R3" s="61"/>
      <c r="S3" s="61"/>
      <c r="T3" s="61"/>
      <c r="U3" s="61"/>
      <c r="V3" s="61"/>
      <c r="W3" s="61"/>
      <c r="X3" s="61"/>
      <c r="Y3" s="62"/>
    </row>
    <row r="4" spans="1:55">
      <c r="A4" s="155"/>
      <c r="B4" s="41" t="s">
        <v>8</v>
      </c>
      <c r="C4" s="39">
        <f t="shared" si="0"/>
        <v>783.40079155674687</v>
      </c>
      <c r="D4" s="10">
        <f t="shared" ref="D4:D10" si="2">AVERAGE(G21:N21,S21:Z21,G33:N33,S33:Z33)</f>
        <v>855.25897267404491</v>
      </c>
      <c r="E4" s="10">
        <f t="shared" si="1"/>
        <v>927.11715379134296</v>
      </c>
      <c r="F4" s="11">
        <f t="shared" ref="F4:F10" si="3">STDEV(G21:N21,S21:Z21,G33:N33,S33:Z33)</f>
        <v>47.905454078198687</v>
      </c>
      <c r="H4" s="143">
        <f>C9</f>
        <v>0.19791463404267168</v>
      </c>
      <c r="I4" s="61">
        <f>histogram($A$43:$AF$43,$H$4:H$9,H4)</f>
        <v>2</v>
      </c>
      <c r="J4" s="61"/>
      <c r="K4" s="61"/>
      <c r="L4" s="61"/>
      <c r="M4" s="61"/>
      <c r="N4" s="61"/>
      <c r="O4" s="61"/>
      <c r="P4" s="15">
        <f>C10</f>
        <v>0.31882002460026182</v>
      </c>
      <c r="Q4" s="61">
        <f>histogram($A$44:$AF$44,$P$4:P$9,P4)</f>
        <v>1</v>
      </c>
      <c r="R4" s="61"/>
      <c r="S4" s="61"/>
      <c r="T4" s="61"/>
      <c r="U4" s="61"/>
      <c r="V4" s="61"/>
      <c r="W4" s="61"/>
      <c r="X4" s="61"/>
      <c r="Y4" s="62"/>
    </row>
    <row r="5" spans="1:55">
      <c r="A5" s="155"/>
      <c r="B5" s="41" t="s">
        <v>65</v>
      </c>
      <c r="C5" s="39">
        <f t="shared" si="0"/>
        <v>843.74861292915728</v>
      </c>
      <c r="D5" s="10">
        <f t="shared" si="2"/>
        <v>914.45797246977122</v>
      </c>
      <c r="E5" s="10">
        <f t="shared" si="1"/>
        <v>985.16733201038517</v>
      </c>
      <c r="F5" s="11">
        <f t="shared" si="3"/>
        <v>47.139573027075961</v>
      </c>
      <c r="H5" s="143">
        <f>H4+H$3</f>
        <v>0.21485167207314212</v>
      </c>
      <c r="I5" s="61">
        <f>histogram($A$43:$AF$43,$H$4:H$9,H5)</f>
        <v>5</v>
      </c>
      <c r="J5" s="61"/>
      <c r="K5" s="61"/>
      <c r="L5" s="61"/>
      <c r="M5" s="61"/>
      <c r="N5" s="61"/>
      <c r="O5" s="61"/>
      <c r="P5" s="15">
        <f>P4+P$3</f>
        <v>0.34576408618283627</v>
      </c>
      <c r="Q5" s="61">
        <f>histogram($A$44:$AF$44,$P$4:P$9,P5)</f>
        <v>6</v>
      </c>
      <c r="R5" s="61"/>
      <c r="S5" s="61"/>
      <c r="T5" s="61"/>
      <c r="U5" s="61"/>
      <c r="V5" s="61"/>
      <c r="W5" s="61"/>
      <c r="X5" s="61"/>
      <c r="Y5" s="62"/>
    </row>
    <row r="6" spans="1:55">
      <c r="A6" s="155" t="s">
        <v>15</v>
      </c>
      <c r="B6" s="41" t="s">
        <v>9</v>
      </c>
      <c r="C6" s="39">
        <f t="shared" si="0"/>
        <v>789.65140413021788</v>
      </c>
      <c r="D6" s="10">
        <f t="shared" si="2"/>
        <v>887.84138985078152</v>
      </c>
      <c r="E6" s="10">
        <f t="shared" si="1"/>
        <v>986.03137557134517</v>
      </c>
      <c r="F6" s="11">
        <f t="shared" si="3"/>
        <v>65.459990480375737</v>
      </c>
      <c r="H6" s="143">
        <f t="shared" ref="H6:H8" si="4">H5+H$3</f>
        <v>0.23178871010361257</v>
      </c>
      <c r="I6" s="61">
        <f>histogram($A$43:$AF$43,$H$4:H$9,H6)</f>
        <v>3</v>
      </c>
      <c r="J6" s="61"/>
      <c r="K6" s="61"/>
      <c r="L6" s="61"/>
      <c r="M6" s="61"/>
      <c r="N6" s="61"/>
      <c r="O6" s="61"/>
      <c r="P6" s="15">
        <f>P5+P$3</f>
        <v>0.37270814776541072</v>
      </c>
      <c r="Q6" s="61">
        <f>histogram($A$44:$AF$44,$P$4:P$9,P6)</f>
        <v>6</v>
      </c>
      <c r="R6" s="61"/>
      <c r="S6" s="61"/>
      <c r="T6" s="61"/>
      <c r="U6" s="61"/>
      <c r="V6" s="61"/>
      <c r="W6" s="61"/>
      <c r="X6" s="61"/>
      <c r="Y6" s="62"/>
    </row>
    <row r="7" spans="1:55">
      <c r="A7" s="155"/>
      <c r="B7" s="41" t="s">
        <v>8</v>
      </c>
      <c r="C7" s="39">
        <f t="shared" si="0"/>
        <v>610.22355888902803</v>
      </c>
      <c r="D7" s="10">
        <f t="shared" si="2"/>
        <v>652.83552004961643</v>
      </c>
      <c r="E7" s="10">
        <f t="shared" si="1"/>
        <v>695.44748121020484</v>
      </c>
      <c r="F7" s="11">
        <f t="shared" si="3"/>
        <v>28.40797410705893</v>
      </c>
      <c r="H7" s="143">
        <f t="shared" si="4"/>
        <v>0.24872574813408302</v>
      </c>
      <c r="I7" s="61">
        <f>histogram($A$43:$AF$43,$H$4:H$9,H7)</f>
        <v>4</v>
      </c>
      <c r="J7" s="61"/>
      <c r="K7" s="61"/>
      <c r="L7" s="61"/>
      <c r="M7" s="61"/>
      <c r="N7" s="61"/>
      <c r="O7" s="61"/>
      <c r="P7" s="15">
        <f>P6+P$3</f>
        <v>0.39965220934798518</v>
      </c>
      <c r="Q7" s="61">
        <f>histogram($A$44:$AF$44,$P$4:P$9,P7)</f>
        <v>2</v>
      </c>
      <c r="R7" s="61"/>
      <c r="S7" s="61"/>
      <c r="T7" s="61"/>
      <c r="U7" s="61"/>
      <c r="V7" s="61"/>
      <c r="W7" s="61"/>
      <c r="X7" s="61"/>
      <c r="Y7" s="62"/>
      <c r="AZ7" s="7"/>
      <c r="BA7" s="7"/>
      <c r="BB7" s="7"/>
      <c r="BC7" s="7"/>
    </row>
    <row r="8" spans="1:55">
      <c r="A8" s="155"/>
      <c r="B8" s="41" t="s">
        <v>65</v>
      </c>
      <c r="C8" s="39">
        <f t="shared" si="0"/>
        <v>878.19029684790871</v>
      </c>
      <c r="D8" s="10">
        <f t="shared" si="2"/>
        <v>978.64992112070115</v>
      </c>
      <c r="E8" s="10">
        <f t="shared" si="1"/>
        <v>1079.1095453934936</v>
      </c>
      <c r="F8" s="11">
        <f t="shared" si="3"/>
        <v>66.973082848528264</v>
      </c>
      <c r="H8" s="143">
        <f t="shared" si="4"/>
        <v>0.26566278616455347</v>
      </c>
      <c r="I8" s="61">
        <f>histogram($A$43:$AF$43,$H$4:H$9,H8)</f>
        <v>11</v>
      </c>
      <c r="J8" s="61"/>
      <c r="K8" s="61"/>
      <c r="L8" s="61"/>
      <c r="M8" s="61"/>
      <c r="N8" s="61"/>
      <c r="O8" s="61"/>
      <c r="P8" s="15">
        <f>P7+P$3</f>
        <v>0.42659627093055963</v>
      </c>
      <c r="Q8" s="61">
        <f>histogram($A$44:$AF$44,$P$4:P$9,P8)</f>
        <v>8</v>
      </c>
      <c r="R8" s="61"/>
      <c r="S8" s="61"/>
      <c r="T8" s="61"/>
      <c r="U8" s="61"/>
      <c r="V8" s="61"/>
      <c r="W8" s="61"/>
      <c r="X8" s="61"/>
      <c r="Y8" s="62"/>
      <c r="AZ8" s="7"/>
      <c r="BA8" s="7"/>
      <c r="BB8" s="7"/>
      <c r="BC8" s="7"/>
    </row>
    <row r="9" spans="1:55">
      <c r="A9" s="155" t="s">
        <v>16</v>
      </c>
      <c r="B9" s="42" t="s">
        <v>13</v>
      </c>
      <c r="C9" s="40">
        <f t="shared" ref="C9:C10" si="5">D9-1.5*F9</f>
        <v>0.19791463404267168</v>
      </c>
      <c r="D9" s="8">
        <f t="shared" si="2"/>
        <v>0.24025722911884778</v>
      </c>
      <c r="E9" s="8">
        <f t="shared" ref="E9:E10" si="6">D9+1.5*F9</f>
        <v>0.28259982419502389</v>
      </c>
      <c r="F9" s="11">
        <f t="shared" si="3"/>
        <v>2.8228396717450734E-2</v>
      </c>
      <c r="H9" s="143">
        <f>E9</f>
        <v>0.28259982419502389</v>
      </c>
      <c r="I9" s="61">
        <f>histogram($A$43:$AF$43,$H$4:H$9,H9)</f>
        <v>5</v>
      </c>
      <c r="J9" s="61"/>
      <c r="K9" s="61"/>
      <c r="L9" s="61"/>
      <c r="M9" s="61"/>
      <c r="N9" s="61"/>
      <c r="O9" s="61"/>
      <c r="P9" s="15">
        <f>E10</f>
        <v>0.45354033251313397</v>
      </c>
      <c r="Q9" s="61">
        <f>histogram($A$44:$AF$44,$P$4:P$9,P9)</f>
        <v>7</v>
      </c>
      <c r="R9" s="61"/>
      <c r="S9" s="61"/>
      <c r="T9" s="61"/>
      <c r="U9" s="61"/>
      <c r="V9" s="61"/>
      <c r="W9" s="61"/>
      <c r="X9" s="61"/>
      <c r="Y9" s="62"/>
    </row>
    <row r="10" spans="1:55">
      <c r="A10" s="155"/>
      <c r="B10" s="42" t="s">
        <v>17</v>
      </c>
      <c r="C10" s="40">
        <f t="shared" si="5"/>
        <v>0.31882002460026182</v>
      </c>
      <c r="D10" s="8">
        <f t="shared" si="2"/>
        <v>0.3861801785566979</v>
      </c>
      <c r="E10" s="8">
        <f t="shared" si="6"/>
        <v>0.45354033251313397</v>
      </c>
      <c r="F10" s="11">
        <f t="shared" si="3"/>
        <v>4.4906769304290738E-2</v>
      </c>
      <c r="H10" s="64"/>
      <c r="I10" s="61"/>
      <c r="J10" s="61"/>
      <c r="K10" s="61"/>
      <c r="L10" s="61"/>
      <c r="M10" s="61"/>
      <c r="N10" s="61"/>
      <c r="O10" s="61"/>
      <c r="P10" s="15"/>
      <c r="Q10" s="61"/>
      <c r="R10" s="61"/>
      <c r="S10" s="61"/>
      <c r="T10" s="61"/>
      <c r="U10" s="61"/>
      <c r="V10" s="61"/>
      <c r="W10" s="61"/>
      <c r="X10" s="61"/>
      <c r="Y10" s="62"/>
    </row>
    <row r="11" spans="1:55" ht="15.75" thickBot="1">
      <c r="A11" s="56"/>
      <c r="B11" s="56"/>
      <c r="C11" s="173">
        <f>MAX(ABS(C9),ABS(C10),ABS(E9),ABS(E10))</f>
        <v>0.45354033251313397</v>
      </c>
      <c r="D11" s="174"/>
      <c r="E11" s="174"/>
      <c r="F11" s="175"/>
      <c r="H11" s="64"/>
      <c r="I11" s="61"/>
      <c r="J11" s="61"/>
      <c r="K11" s="61"/>
      <c r="L11" s="61"/>
      <c r="M11" s="61"/>
      <c r="N11" s="61"/>
      <c r="O11" s="61"/>
      <c r="P11" s="15"/>
      <c r="Q11" s="61"/>
      <c r="R11" s="61"/>
      <c r="S11" s="61"/>
      <c r="T11" s="61"/>
      <c r="U11" s="61"/>
      <c r="V11" s="61"/>
      <c r="W11" s="61"/>
      <c r="X11" s="61"/>
      <c r="Y11" s="62"/>
    </row>
    <row r="12" spans="1:55" ht="15.75" thickBot="1">
      <c r="A12" s="56"/>
      <c r="E12" s="57"/>
      <c r="F12" s="56"/>
      <c r="H12" s="65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2"/>
    </row>
    <row r="13" spans="1:55">
      <c r="A13" s="159" t="s">
        <v>37</v>
      </c>
      <c r="B13" s="160"/>
      <c r="C13" s="73">
        <f>COUNT(A43:AF43)</f>
        <v>30</v>
      </c>
      <c r="D13" s="57"/>
      <c r="E13" s="57"/>
      <c r="F13" s="56"/>
      <c r="H13" s="176" t="s">
        <v>34</v>
      </c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62"/>
    </row>
    <row r="14" spans="1:55" ht="15.75" thickBot="1">
      <c r="A14" s="161" t="str">
        <f>setCalcEnable(C14)</f>
        <v>Calc Enable=</v>
      </c>
      <c r="B14" s="162"/>
      <c r="C14" s="29">
        <v>1</v>
      </c>
      <c r="D14" s="57"/>
      <c r="E14" s="57"/>
      <c r="F14" s="56"/>
      <c r="H14" s="66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8"/>
    </row>
    <row r="15" spans="1:55">
      <c r="A15" s="56"/>
      <c r="B15" s="56"/>
      <c r="C15" s="57"/>
    </row>
    <row r="16" spans="1:55">
      <c r="A16" s="56"/>
      <c r="B16" s="56"/>
      <c r="C16" s="57"/>
    </row>
    <row r="17" spans="1:30" ht="15.75" thickBot="1"/>
    <row r="18" spans="1:30" ht="15.75" thickBot="1">
      <c r="C18" s="167" t="s">
        <v>30</v>
      </c>
      <c r="D18" s="168"/>
      <c r="E18" s="168"/>
      <c r="F18" s="169"/>
      <c r="G18" s="170" t="s">
        <v>30</v>
      </c>
      <c r="H18" s="171"/>
      <c r="I18" s="171"/>
      <c r="J18" s="171"/>
      <c r="K18" s="171"/>
      <c r="L18" s="171"/>
      <c r="M18" s="171"/>
      <c r="N18" s="172"/>
      <c r="O18" s="167" t="s">
        <v>31</v>
      </c>
      <c r="P18" s="168"/>
      <c r="Q18" s="168"/>
      <c r="R18" s="169"/>
      <c r="S18" s="171" t="s">
        <v>31</v>
      </c>
      <c r="T18" s="171"/>
      <c r="U18" s="171"/>
      <c r="V18" s="171"/>
      <c r="W18" s="171"/>
      <c r="X18" s="171"/>
      <c r="Y18" s="171"/>
      <c r="Z18" s="172"/>
    </row>
    <row r="19" spans="1:30">
      <c r="A19" s="163" t="s">
        <v>12</v>
      </c>
      <c r="B19" s="164"/>
      <c r="C19" s="137" t="s">
        <v>28</v>
      </c>
      <c r="D19" s="138" t="s">
        <v>5</v>
      </c>
      <c r="E19" s="138" t="s">
        <v>29</v>
      </c>
      <c r="F19" s="139" t="s">
        <v>6</v>
      </c>
      <c r="G19" s="31">
        <f>data1!B1</f>
        <v>0</v>
      </c>
      <c r="H19" s="32">
        <f>data1!C1</f>
        <v>1</v>
      </c>
      <c r="I19" s="32">
        <f>data1!D1</f>
        <v>2</v>
      </c>
      <c r="J19" s="32">
        <f>data1!E1</f>
        <v>3</v>
      </c>
      <c r="K19" s="32">
        <f>data1!F1</f>
        <v>4</v>
      </c>
      <c r="L19" s="32">
        <f>data1!G1</f>
        <v>5</v>
      </c>
      <c r="M19" s="32">
        <f>data1!H1</f>
        <v>6</v>
      </c>
      <c r="N19" s="33">
        <f>data1!I1</f>
        <v>7</v>
      </c>
      <c r="O19" s="137" t="s">
        <v>28</v>
      </c>
      <c r="P19" s="138" t="s">
        <v>5</v>
      </c>
      <c r="Q19" s="138" t="s">
        <v>29</v>
      </c>
      <c r="R19" s="139" t="s">
        <v>6</v>
      </c>
      <c r="S19" s="32">
        <f>data1!J1</f>
        <v>8</v>
      </c>
      <c r="T19" s="32">
        <f>data1!K1</f>
        <v>9</v>
      </c>
      <c r="U19" s="32">
        <f>data1!L1</f>
        <v>10</v>
      </c>
      <c r="V19" s="32">
        <f>data1!M1</f>
        <v>11</v>
      </c>
      <c r="W19" s="32">
        <f>data1!N1</f>
        <v>12</v>
      </c>
      <c r="X19" s="32">
        <f>data1!O1</f>
        <v>13</v>
      </c>
      <c r="Y19" s="32">
        <f>data1!P1</f>
        <v>14</v>
      </c>
      <c r="Z19" s="33">
        <f>data1!Q1</f>
        <v>15</v>
      </c>
    </row>
    <row r="20" spans="1:30">
      <c r="A20" s="155" t="s">
        <v>14</v>
      </c>
      <c r="B20" s="41" t="s">
        <v>9</v>
      </c>
      <c r="C20" s="39">
        <f t="shared" ref="C20:C25" si="7">D20-1.5*F20</f>
        <v>694.27144819147145</v>
      </c>
      <c r="D20" s="10">
        <f t="shared" ref="D20:D25" si="8">AVERAGE(G20:N20)</f>
        <v>720.92774853131914</v>
      </c>
      <c r="E20" s="10">
        <f t="shared" ref="E20:E25" si="9">D20+1.5*F20</f>
        <v>747.58404887116683</v>
      </c>
      <c r="F20" s="11">
        <f t="shared" ref="F20:F25" si="10">STDEV(G20:N20)</f>
        <v>17.770866893231791</v>
      </c>
      <c r="G20" s="136">
        <f>data1!B2</f>
        <v>732.81834134431983</v>
      </c>
      <c r="H20" s="52">
        <f>data1!C2</f>
        <v>703.97116044861525</v>
      </c>
      <c r="I20" s="52">
        <f>data1!D2</f>
        <v>739.02876325627528</v>
      </c>
      <c r="J20" s="52">
        <f>data1!E2</f>
        <v>730.60196841382469</v>
      </c>
      <c r="K20" s="52">
        <f>data1!F2</f>
        <v>697.35255970092317</v>
      </c>
      <c r="L20" s="52">
        <f>data1!G2</f>
        <v>739.21187151903564</v>
      </c>
      <c r="M20" s="52">
        <f>data1!H2</f>
        <v>699.59563591973756</v>
      </c>
      <c r="N20" s="53">
        <f>data1!I2</f>
        <v>724.8416876478218</v>
      </c>
      <c r="O20" s="39">
        <f t="shared" ref="O20:O25" si="11">P20-1.5*R20</f>
        <v>689.89017999152168</v>
      </c>
      <c r="P20" s="10">
        <f t="shared" ref="P20:P25" si="12">AVERAGE(S20:Z20)</f>
        <v>709.24887464713515</v>
      </c>
      <c r="Q20" s="10">
        <f t="shared" ref="Q20:Q25" si="13">P20+1.5*R20</f>
        <v>728.60756930274863</v>
      </c>
      <c r="R20" s="11">
        <f t="shared" ref="R20:R25" si="14">STDEV(S20:Z20)</f>
        <v>12.905796437075633</v>
      </c>
      <c r="S20" s="52">
        <f>data1!J2</f>
        <v>711.74563210498206</v>
      </c>
      <c r="T20" s="52">
        <f>data1!K2</f>
        <v>714.11841000991831</v>
      </c>
      <c r="U20" s="52">
        <f>data1!L2</f>
        <v>705.21477073319602</v>
      </c>
      <c r="V20" s="52">
        <f>data1!M2</f>
        <v>726.35233081559466</v>
      </c>
      <c r="W20" s="52">
        <f>data1!N2</f>
        <v>681.12077515831231</v>
      </c>
      <c r="X20" s="52">
        <f>data1!O2</f>
        <v>714.83939879453726</v>
      </c>
      <c r="Y20" s="52">
        <f>data1!P2</f>
        <v>711.42137788967727</v>
      </c>
      <c r="Z20" s="53">
        <f>data1!Q2</f>
        <v>709.17830167086288</v>
      </c>
    </row>
    <row r="21" spans="1:30">
      <c r="A21" s="155"/>
      <c r="B21" s="41" t="s">
        <v>8</v>
      </c>
      <c r="C21" s="39">
        <f t="shared" si="7"/>
        <v>813.04267630364393</v>
      </c>
      <c r="D21" s="10">
        <f t="shared" si="8"/>
        <v>860.59586480506596</v>
      </c>
      <c r="E21" s="10">
        <f t="shared" si="9"/>
        <v>908.14905330648799</v>
      </c>
      <c r="F21" s="11">
        <f t="shared" si="10"/>
        <v>31.702125667614691</v>
      </c>
      <c r="G21" s="43">
        <f>data1!B4</f>
        <v>852.21484702830548</v>
      </c>
      <c r="H21" s="44">
        <f>data1!C4</f>
        <v>861.8722819867246</v>
      </c>
      <c r="I21" s="44">
        <f>data1!D4</f>
        <v>888.38712138551921</v>
      </c>
      <c r="J21" s="44">
        <f>data1!E4</f>
        <v>873.71862363622495</v>
      </c>
      <c r="K21" s="44">
        <f>data1!F4</f>
        <v>842.623788815137</v>
      </c>
      <c r="L21" s="44">
        <f>data1!G4</f>
        <v>888.08957045853356</v>
      </c>
      <c r="M21" s="44">
        <f>data1!H4</f>
        <v>794.20309758144504</v>
      </c>
      <c r="N21" s="45">
        <f>data1!I4</f>
        <v>883.65758754863816</v>
      </c>
      <c r="O21" s="39">
        <f t="shared" si="11"/>
        <v>774.22639487051742</v>
      </c>
      <c r="P21" s="10">
        <f t="shared" si="12"/>
        <v>833.13401235980768</v>
      </c>
      <c r="Q21" s="10">
        <f t="shared" si="13"/>
        <v>892.04162984909794</v>
      </c>
      <c r="R21" s="11">
        <f t="shared" si="14"/>
        <v>39.271744992860214</v>
      </c>
      <c r="S21" s="44">
        <f>data1!J4</f>
        <v>823.75448233768213</v>
      </c>
      <c r="T21" s="44">
        <f>data1!K4</f>
        <v>800.10910200656133</v>
      </c>
      <c r="U21" s="44">
        <f>data1!L4</f>
        <v>803.50118257419695</v>
      </c>
      <c r="V21" s="44">
        <f>data1!M4</f>
        <v>913.79720759899294</v>
      </c>
      <c r="W21" s="44">
        <f>data1!N4</f>
        <v>816.40268558785385</v>
      </c>
      <c r="X21" s="44">
        <f>data1!O4</f>
        <v>853.45616845960171</v>
      </c>
      <c r="Y21" s="44">
        <f>data1!P4</f>
        <v>854.09094377050428</v>
      </c>
      <c r="Z21" s="45">
        <f>data1!Q4</f>
        <v>799.96032654306862</v>
      </c>
    </row>
    <row r="22" spans="1:30">
      <c r="A22" s="155"/>
      <c r="B22" s="41" t="s">
        <v>65</v>
      </c>
      <c r="C22" s="39">
        <f t="shared" si="7"/>
        <v>865.83229127177867</v>
      </c>
      <c r="D22" s="10">
        <f t="shared" si="8"/>
        <v>920.66567483024335</v>
      </c>
      <c r="E22" s="10">
        <f t="shared" si="9"/>
        <v>975.49905838870802</v>
      </c>
      <c r="F22" s="11">
        <f t="shared" si="10"/>
        <v>36.555589038976464</v>
      </c>
      <c r="G22" s="135">
        <f>data1!B6</f>
        <v>920.66758220798044</v>
      </c>
      <c r="H22" s="54">
        <f>data1!C6</f>
        <v>923.67284657053483</v>
      </c>
      <c r="I22" s="54">
        <f>data1!D6</f>
        <v>947.89196612497142</v>
      </c>
      <c r="J22" s="54">
        <f>data1!E6</f>
        <v>942.80766002899213</v>
      </c>
      <c r="K22" s="54">
        <f>data1!F6</f>
        <v>901.94094758525978</v>
      </c>
      <c r="L22" s="54">
        <f>data1!G6</f>
        <v>948.79758907454027</v>
      </c>
      <c r="M22" s="54">
        <f>data1!H6</f>
        <v>839.45983062485698</v>
      </c>
      <c r="N22" s="55">
        <f>data1!I6</f>
        <v>940.08697642481116</v>
      </c>
      <c r="O22" s="39">
        <f t="shared" si="11"/>
        <v>835.22110833303509</v>
      </c>
      <c r="P22" s="10">
        <f t="shared" si="12"/>
        <v>890.57488364995811</v>
      </c>
      <c r="Q22" s="10">
        <f t="shared" si="13"/>
        <v>945.92865896688113</v>
      </c>
      <c r="R22" s="11">
        <f t="shared" si="14"/>
        <v>36.902516877948685</v>
      </c>
      <c r="S22" s="54">
        <f>data1!J6</f>
        <v>873.83993286030363</v>
      </c>
      <c r="T22" s="54">
        <f>data1!K6</f>
        <v>873.69344625009535</v>
      </c>
      <c r="U22" s="54">
        <f>data1!L6</f>
        <v>863.43785763332573</v>
      </c>
      <c r="V22" s="54">
        <f>data1!M6</f>
        <v>964.845502403296</v>
      </c>
      <c r="W22" s="54">
        <f>data1!N6</f>
        <v>884.68680857557035</v>
      </c>
      <c r="X22" s="54">
        <f>data1!O6</f>
        <v>910.54627298390176</v>
      </c>
      <c r="Y22" s="54">
        <f>data1!P6</f>
        <v>907.60128175783927</v>
      </c>
      <c r="Z22" s="55">
        <f>data1!Q6</f>
        <v>845.94796673533222</v>
      </c>
    </row>
    <row r="23" spans="1:30">
      <c r="A23" s="155" t="s">
        <v>15</v>
      </c>
      <c r="B23" s="41" t="s">
        <v>9</v>
      </c>
      <c r="C23" s="39">
        <f t="shared" si="7"/>
        <v>847.4562936823304</v>
      </c>
      <c r="D23" s="10">
        <f t="shared" si="8"/>
        <v>882.20464255741217</v>
      </c>
      <c r="E23" s="10">
        <f t="shared" si="9"/>
        <v>916.95299143249395</v>
      </c>
      <c r="F23" s="11">
        <f t="shared" si="10"/>
        <v>23.165565916721221</v>
      </c>
      <c r="G23" s="136">
        <f>data1!B3</f>
        <v>878.32455939574265</v>
      </c>
      <c r="H23" s="52">
        <f>data1!C3</f>
        <v>860.05951018539713</v>
      </c>
      <c r="I23" s="52">
        <f>data1!D3</f>
        <v>895.35744258793011</v>
      </c>
      <c r="J23" s="52">
        <f>data1!E3</f>
        <v>898.71442740520331</v>
      </c>
      <c r="K23" s="52">
        <f>data1!F3</f>
        <v>838.33829251544978</v>
      </c>
      <c r="L23" s="52">
        <f>data1!G3</f>
        <v>889.35301747158007</v>
      </c>
      <c r="M23" s="52">
        <f>data1!H3</f>
        <v>886.85053788052187</v>
      </c>
      <c r="N23" s="53">
        <f>data1!I3</f>
        <v>910.63935301747154</v>
      </c>
      <c r="O23" s="39">
        <f t="shared" si="11"/>
        <v>827.17903426002704</v>
      </c>
      <c r="P23" s="10">
        <f t="shared" si="12"/>
        <v>894.11383230334945</v>
      </c>
      <c r="Q23" s="10">
        <f t="shared" si="13"/>
        <v>961.04863034667187</v>
      </c>
      <c r="R23" s="11">
        <f t="shared" si="14"/>
        <v>44.62319869554824</v>
      </c>
      <c r="S23" s="52">
        <f>data1!J3</f>
        <v>900.38910505836577</v>
      </c>
      <c r="T23" s="52">
        <f>data1!K3</f>
        <v>887.13282978561074</v>
      </c>
      <c r="U23" s="52">
        <f>data1!L3</f>
        <v>905.61913481345846</v>
      </c>
      <c r="V23" s="52">
        <f>data1!M3</f>
        <v>964.82795452811467</v>
      </c>
      <c r="W23" s="52">
        <f>data1!N3</f>
        <v>805.77172503242537</v>
      </c>
      <c r="X23" s="52">
        <f>data1!O3</f>
        <v>904.24963759822992</v>
      </c>
      <c r="Y23" s="52">
        <f>data1!P3</f>
        <v>912.52384222171361</v>
      </c>
      <c r="Z23" s="53">
        <f>data1!Q3</f>
        <v>872.39642938887619</v>
      </c>
    </row>
    <row r="24" spans="1:30">
      <c r="A24" s="155"/>
      <c r="B24" s="41" t="s">
        <v>8</v>
      </c>
      <c r="C24" s="39">
        <f t="shared" si="7"/>
        <v>621.99341748573306</v>
      </c>
      <c r="D24" s="10">
        <f t="shared" si="8"/>
        <v>660.18101014724948</v>
      </c>
      <c r="E24" s="10">
        <f t="shared" si="9"/>
        <v>698.3686028087659</v>
      </c>
      <c r="F24" s="11">
        <f t="shared" si="10"/>
        <v>25.458395107677607</v>
      </c>
      <c r="G24" s="43">
        <f>data1!B5</f>
        <v>671.42442969405658</v>
      </c>
      <c r="H24" s="44">
        <f>data1!C5</f>
        <v>661.15053025101088</v>
      </c>
      <c r="I24" s="44">
        <f>data1!D5</f>
        <v>685.72823682001979</v>
      </c>
      <c r="J24" s="44">
        <f>data1!E5</f>
        <v>666.87113756008239</v>
      </c>
      <c r="K24" s="44">
        <f>data1!F5</f>
        <v>641.06126497291518</v>
      </c>
      <c r="L24" s="44">
        <f>data1!G5</f>
        <v>685.7526512550545</v>
      </c>
      <c r="M24" s="44">
        <f>data1!H5</f>
        <v>608.29938200961317</v>
      </c>
      <c r="N24" s="45">
        <f>data1!I5</f>
        <v>661.16044861524381</v>
      </c>
      <c r="O24" s="39">
        <f t="shared" si="11"/>
        <v>618.04792908618197</v>
      </c>
      <c r="P24" s="10">
        <f t="shared" si="12"/>
        <v>636.67162584878315</v>
      </c>
      <c r="Q24" s="10">
        <f t="shared" si="13"/>
        <v>655.29532261138434</v>
      </c>
      <c r="R24" s="11">
        <f t="shared" si="14"/>
        <v>12.415797841734088</v>
      </c>
      <c r="S24" s="44">
        <f>data1!J5</f>
        <v>629.92751964599074</v>
      </c>
      <c r="T24" s="44">
        <f>data1!K5</f>
        <v>636.6536964980545</v>
      </c>
      <c r="U24" s="44">
        <f>data1!L5</f>
        <v>621.85320820935374</v>
      </c>
      <c r="V24" s="44">
        <f>data1!M5</f>
        <v>658.9532310978866</v>
      </c>
      <c r="W24" s="44">
        <f>data1!N5</f>
        <v>640.02441443503471</v>
      </c>
      <c r="X24" s="44">
        <f>data1!O5</f>
        <v>644.53574425879299</v>
      </c>
      <c r="Y24" s="44">
        <f>data1!P5</f>
        <v>640.02441443503471</v>
      </c>
      <c r="Z24" s="45">
        <f>data1!Q5</f>
        <v>621.40077821011675</v>
      </c>
    </row>
    <row r="25" spans="1:30">
      <c r="A25" s="155"/>
      <c r="B25" s="41" t="s">
        <v>65</v>
      </c>
      <c r="C25" s="39">
        <f t="shared" si="7"/>
        <v>933.18987580864507</v>
      </c>
      <c r="D25" s="10">
        <f t="shared" si="8"/>
        <v>975.07963302052337</v>
      </c>
      <c r="E25" s="10">
        <f t="shared" si="9"/>
        <v>1016.9693902324017</v>
      </c>
      <c r="F25" s="11">
        <f t="shared" si="10"/>
        <v>27.926504807918839</v>
      </c>
      <c r="G25" s="135">
        <f>data1!B7</f>
        <v>978.01174944686045</v>
      </c>
      <c r="H25" s="54">
        <f>data1!C7</f>
        <v>943.12581063553819</v>
      </c>
      <c r="I25" s="54">
        <f>data1!D7</f>
        <v>991.74868390936138</v>
      </c>
      <c r="J25" s="54">
        <f>data1!E7</f>
        <v>994.58304722667276</v>
      </c>
      <c r="K25" s="54">
        <f>data1!F7</f>
        <v>927.46623941405358</v>
      </c>
      <c r="L25" s="54">
        <f>data1!G7</f>
        <v>984.36331731136033</v>
      </c>
      <c r="M25" s="54">
        <f>data1!H7</f>
        <v>969.08140688181879</v>
      </c>
      <c r="N25" s="55">
        <f>data1!I7</f>
        <v>1012.2568093385214</v>
      </c>
      <c r="O25" s="39">
        <f t="shared" si="11"/>
        <v>912.72671805799268</v>
      </c>
      <c r="P25" s="10">
        <f t="shared" si="12"/>
        <v>982.26329442282758</v>
      </c>
      <c r="Q25" s="10">
        <f t="shared" si="13"/>
        <v>1051.7998707876625</v>
      </c>
      <c r="R25" s="11">
        <f t="shared" si="14"/>
        <v>46.35771757655656</v>
      </c>
      <c r="S25" s="54">
        <f>data1!J7</f>
        <v>981.94476234073397</v>
      </c>
      <c r="T25" s="54">
        <f>data1!K7</f>
        <v>975.57412069886323</v>
      </c>
      <c r="U25" s="54">
        <f>data1!L7</f>
        <v>987.422751201648</v>
      </c>
      <c r="V25" s="54">
        <f>data1!M7</f>
        <v>1063.1418326085297</v>
      </c>
      <c r="W25" s="54">
        <f>data1!N7</f>
        <v>893.20973525597003</v>
      </c>
      <c r="X25" s="54">
        <f>data1!O7</f>
        <v>985.40093080033569</v>
      </c>
      <c r="Y25" s="54">
        <f>data1!P7</f>
        <v>1000.9765774013886</v>
      </c>
      <c r="Z25" s="55">
        <f>data1!Q7</f>
        <v>970.43564507515066</v>
      </c>
    </row>
    <row r="26" spans="1:30">
      <c r="A26" s="155" t="s">
        <v>16</v>
      </c>
      <c r="B26" s="42" t="s">
        <v>13</v>
      </c>
      <c r="C26" s="40">
        <f t="shared" ref="C26:C27" si="15">D26-1.5*F26</f>
        <v>0.19931250758937641</v>
      </c>
      <c r="D26" s="8">
        <f t="shared" ref="D26:D27" si="16">AVERAGE(G26:N26)</f>
        <v>0.23894009230711422</v>
      </c>
      <c r="E26" s="8">
        <f t="shared" ref="E26:E27" si="17">D26+1.5*F26</f>
        <v>0.27856767702485202</v>
      </c>
      <c r="F26" s="9">
        <f t="shared" ref="F26:F27" si="18">STDEV(G26:N26)</f>
        <v>2.6418389811825208E-2</v>
      </c>
      <c r="G26" s="140">
        <f>(MAX(G20:G22)-MIN(G20:G22))/AVERAGE(G20:G22)</f>
        <v>0.22490623350065855</v>
      </c>
      <c r="H26" s="141">
        <f>(MAX(H20:H22)-MIN(H20:H22))/AVERAGE(H20:H22)</f>
        <v>0.26475225780866679</v>
      </c>
      <c r="I26" s="141">
        <f t="shared" ref="I26:M26" si="19">(MAX(I20:I22)-MIN(I20:I22))/AVERAGE(I20:I22)</f>
        <v>0.24330668211939366</v>
      </c>
      <c r="J26" s="141">
        <f t="shared" si="19"/>
        <v>0.24993522580807484</v>
      </c>
      <c r="K26" s="141">
        <f t="shared" si="19"/>
        <v>0.2513455982448406</v>
      </c>
      <c r="L26" s="141">
        <f t="shared" si="19"/>
        <v>0.24407336250956241</v>
      </c>
      <c r="M26" s="141">
        <f t="shared" si="19"/>
        <v>0.17983115569213548</v>
      </c>
      <c r="N26" s="142">
        <f>(MAX(N20:N22)-MIN(N20:N22))/AVERAGE(N20:N22)</f>
        <v>0.25337022277358134</v>
      </c>
      <c r="O26" s="40">
        <f t="shared" ref="O26:O27" si="20">P26-1.5*R26</f>
        <v>0.17192310685090062</v>
      </c>
      <c r="P26" s="8">
        <f t="shared" ref="P26:P27" si="21">AVERAGE(S26:Z26)</f>
        <v>0.22280946659586903</v>
      </c>
      <c r="Q26" s="8">
        <f t="shared" ref="Q26:Q27" si="22">P26+1.5*R26</f>
        <v>0.27369582634083744</v>
      </c>
      <c r="R26" s="9">
        <f t="shared" ref="R26:R27" si="23">STDEV(S26:Z26)</f>
        <v>3.3924239829978949E-2</v>
      </c>
      <c r="S26" s="140">
        <f>(MAX(S20:S22)-MIN(S20:S22))/AVERAGE(S20:S22)</f>
        <v>0.20183240751354847</v>
      </c>
      <c r="T26" s="141">
        <f>(MAX(T20:T22)-MIN(T20:T22))/AVERAGE(T20:T22)</f>
        <v>0.20047778678069994</v>
      </c>
      <c r="U26" s="141">
        <f t="shared" ref="U26:Y26" si="24">(MAX(U20:U22)-MIN(U20:U22))/AVERAGE(U20:U22)</f>
        <v>0.20010054091397672</v>
      </c>
      <c r="V26" s="141">
        <f t="shared" si="24"/>
        <v>0.2746567665397423</v>
      </c>
      <c r="W26" s="141">
        <f t="shared" si="24"/>
        <v>0.25635776493636403</v>
      </c>
      <c r="X26" s="141">
        <f t="shared" si="24"/>
        <v>0.23685279675274193</v>
      </c>
      <c r="Y26" s="141">
        <f t="shared" si="24"/>
        <v>0.23797520291469093</v>
      </c>
      <c r="Z26" s="142">
        <f>(MAX(Z20:Z22)-MIN(Z20:Z22))/AVERAGE(Z20:Z22)</f>
        <v>0.17422246641518821</v>
      </c>
    </row>
    <row r="27" spans="1:30">
      <c r="A27" s="155"/>
      <c r="B27" s="42" t="s">
        <v>17</v>
      </c>
      <c r="C27" s="40">
        <f t="shared" si="15"/>
        <v>0.32554268603128345</v>
      </c>
      <c r="D27" s="8">
        <f t="shared" si="16"/>
        <v>0.37522471286966885</v>
      </c>
      <c r="E27" s="8">
        <f t="shared" si="17"/>
        <v>0.42490673970805426</v>
      </c>
      <c r="F27" s="9">
        <f t="shared" si="18"/>
        <v>3.3121351225590283E-2</v>
      </c>
      <c r="G27" s="36">
        <f>(MAX(G23:G25)-MIN(G23:G25))/AVERAGE(G23:G25)</f>
        <v>0.36386432672851343</v>
      </c>
      <c r="H27" s="37">
        <f>(MAX(H23:H25)-MIN(H23:H25))/AVERAGE(H23:H25)</f>
        <v>0.34326727048410133</v>
      </c>
      <c r="I27" s="37">
        <f t="shared" ref="I27:M27" si="25">(MAX(I23:I25)-MIN(I23:I25))/AVERAGE(I23:I25)</f>
        <v>0.35682877777033134</v>
      </c>
      <c r="J27" s="37">
        <f t="shared" si="25"/>
        <v>0.38401210151468601</v>
      </c>
      <c r="K27" s="37">
        <f t="shared" si="25"/>
        <v>0.35698497374851779</v>
      </c>
      <c r="L27" s="37">
        <f t="shared" si="25"/>
        <v>0.35000697529671843</v>
      </c>
      <c r="M27" s="37">
        <f t="shared" si="25"/>
        <v>0.43922259361682892</v>
      </c>
      <c r="N27" s="38">
        <f>(MAX(N23:N25)-MIN(N23:N25))/AVERAGE(N23:N25)</f>
        <v>0.40761068379765347</v>
      </c>
      <c r="O27" s="40">
        <f t="shared" si="20"/>
        <v>0.3541638809560157</v>
      </c>
      <c r="P27" s="8">
        <f t="shared" si="21"/>
        <v>0.41147203997650872</v>
      </c>
      <c r="Q27" s="8">
        <f t="shared" si="22"/>
        <v>0.46878019899700174</v>
      </c>
      <c r="R27" s="9">
        <f t="shared" si="23"/>
        <v>3.820543934699535E-2</v>
      </c>
      <c r="S27" s="36">
        <f>(MAX(S23:S25)-MIN(S23:S25))/AVERAGE(S23:S25)</f>
        <v>0.42035901738964854</v>
      </c>
      <c r="T27" s="37">
        <f>(MAX(T23:T25)-MIN(T23:T25))/AVERAGE(T23:T25)</f>
        <v>0.40680854674972949</v>
      </c>
      <c r="U27" s="37">
        <f t="shared" ref="U27:Y27" si="26">(MAX(U23:U25)-MIN(U23:U25))/AVERAGE(U23:U25)</f>
        <v>0.43608523929905085</v>
      </c>
      <c r="V27" s="37">
        <f t="shared" si="26"/>
        <v>0.45128416270320154</v>
      </c>
      <c r="W27" s="37">
        <f t="shared" si="26"/>
        <v>0.32473452532590052</v>
      </c>
      <c r="X27" s="37">
        <f t="shared" si="26"/>
        <v>0.40352027572602983</v>
      </c>
      <c r="Y27" s="37">
        <f t="shared" si="26"/>
        <v>0.42406342576200995</v>
      </c>
      <c r="Z27" s="38">
        <f>(MAX(Z23:Z25)-MIN(Z23:Z25))/AVERAGE(Z23:Z25)</f>
        <v>0.42492112685649885</v>
      </c>
    </row>
    <row r="28" spans="1:30" ht="15.75" thickBot="1">
      <c r="A28" s="56"/>
      <c r="B28" s="56"/>
      <c r="C28" s="173">
        <f>MAX(ABS(C26),ABS(C27),ABS(E26),ABS(E27))</f>
        <v>0.42490673970805426</v>
      </c>
      <c r="D28" s="174"/>
      <c r="E28" s="174"/>
      <c r="F28" s="175"/>
      <c r="L28" s="15"/>
      <c r="M28" s="15"/>
      <c r="N28" s="15"/>
      <c r="O28" s="173">
        <f>MAX(ABS(O26),ABS(O27),ABS(Q26),ABS(Q27))</f>
        <v>0.46878019899700174</v>
      </c>
      <c r="P28" s="174"/>
      <c r="Q28" s="174"/>
      <c r="R28" s="175"/>
      <c r="S28" s="15"/>
      <c r="W28" s="15"/>
      <c r="X28" s="15"/>
      <c r="Y28" s="15"/>
      <c r="Z28" s="15"/>
      <c r="AA28" s="15"/>
      <c r="AB28" s="15"/>
      <c r="AC28" s="15"/>
      <c r="AD28" s="15"/>
    </row>
    <row r="29" spans="1:30" ht="15.75" thickBot="1"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</row>
    <row r="30" spans="1:30" ht="15.75" thickBot="1">
      <c r="C30" s="167" t="s">
        <v>32</v>
      </c>
      <c r="D30" s="168"/>
      <c r="E30" s="168"/>
      <c r="F30" s="169"/>
      <c r="G30" s="170" t="s">
        <v>32</v>
      </c>
      <c r="H30" s="171"/>
      <c r="I30" s="171"/>
      <c r="J30" s="171"/>
      <c r="K30" s="171"/>
      <c r="L30" s="171"/>
      <c r="M30" s="171"/>
      <c r="N30" s="172"/>
      <c r="O30" s="167" t="s">
        <v>33</v>
      </c>
      <c r="P30" s="168"/>
      <c r="Q30" s="168"/>
      <c r="R30" s="169"/>
      <c r="S30" s="171" t="s">
        <v>33</v>
      </c>
      <c r="T30" s="171"/>
      <c r="U30" s="171"/>
      <c r="V30" s="171"/>
      <c r="W30" s="171"/>
      <c r="X30" s="171"/>
      <c r="Y30" s="171"/>
      <c r="Z30" s="172"/>
    </row>
    <row r="31" spans="1:30">
      <c r="A31" s="163" t="s">
        <v>12</v>
      </c>
      <c r="B31" s="164"/>
      <c r="C31" s="137" t="s">
        <v>28</v>
      </c>
      <c r="D31" s="138" t="s">
        <v>5</v>
      </c>
      <c r="E31" s="138" t="s">
        <v>29</v>
      </c>
      <c r="F31" s="139" t="s">
        <v>6</v>
      </c>
      <c r="G31" s="31">
        <f>data1!R1</f>
        <v>16</v>
      </c>
      <c r="H31" s="32">
        <f>data1!S1</f>
        <v>17</v>
      </c>
      <c r="I31" s="32">
        <f>data1!T1</f>
        <v>18</v>
      </c>
      <c r="J31" s="32">
        <f>data1!U1</f>
        <v>19</v>
      </c>
      <c r="K31" s="32">
        <f>data1!V1</f>
        <v>20</v>
      </c>
      <c r="L31" s="32">
        <f>data1!W1</f>
        <v>21</v>
      </c>
      <c r="M31" s="32">
        <f>data1!X1</f>
        <v>22</v>
      </c>
      <c r="N31" s="33">
        <f>data1!Y1</f>
        <v>23</v>
      </c>
      <c r="O31" s="137" t="s">
        <v>28</v>
      </c>
      <c r="P31" s="138" t="s">
        <v>5</v>
      </c>
      <c r="Q31" s="138" t="s">
        <v>29</v>
      </c>
      <c r="R31" s="139" t="s">
        <v>6</v>
      </c>
      <c r="S31" s="32">
        <f>data1!Z1</f>
        <v>24</v>
      </c>
      <c r="T31" s="32">
        <f>data1!AA1</f>
        <v>25</v>
      </c>
      <c r="U31" s="32">
        <f>data1!AB1</f>
        <v>26</v>
      </c>
      <c r="V31" s="32">
        <f>data1!AC1</f>
        <v>27</v>
      </c>
      <c r="W31" s="32">
        <f>data1!AD1</f>
        <v>28</v>
      </c>
      <c r="X31" s="32">
        <f>data1!AE1</f>
        <v>29</v>
      </c>
      <c r="Y31" s="32">
        <f>data1!AF1</f>
        <v>30</v>
      </c>
      <c r="Z31" s="33">
        <f>data1!AG1</f>
        <v>31</v>
      </c>
    </row>
    <row r="32" spans="1:30">
      <c r="A32" s="155" t="s">
        <v>14</v>
      </c>
      <c r="B32" s="41" t="s">
        <v>9</v>
      </c>
      <c r="C32" s="39">
        <f>D32-1.5*F32</f>
        <v>630.77467007626512</v>
      </c>
      <c r="D32" s="10">
        <f>AVERAGE(G32:N32)</f>
        <v>717.33806363012116</v>
      </c>
      <c r="E32" s="10">
        <f>D32+1.5*F32</f>
        <v>803.90145718397719</v>
      </c>
      <c r="F32" s="11">
        <f>STDEV(G32:N32)</f>
        <v>57.708929035904049</v>
      </c>
      <c r="G32" s="136">
        <f>data1!R2</f>
        <v>687.36552986953529</v>
      </c>
      <c r="H32" s="52">
        <f>data1!S2</f>
        <v>809.63607232776371</v>
      </c>
      <c r="I32" s="52">
        <f>data1!T2</f>
        <v>630.84229800869764</v>
      </c>
      <c r="J32" s="52">
        <f>data1!U2</f>
        <v>760.67368581673918</v>
      </c>
      <c r="K32" s="52">
        <f>data1!V2</f>
        <v>692.1644922560464</v>
      </c>
      <c r="L32" s="52"/>
      <c r="M32" s="52">
        <f>data1!X2</f>
        <v>736.97642481116964</v>
      </c>
      <c r="N32" s="53">
        <f>data1!Y2</f>
        <v>703.70794232089725</v>
      </c>
      <c r="O32" s="39">
        <f>P32-1.5*R32</f>
        <v>656.21676117970424</v>
      </c>
      <c r="P32" s="10">
        <f>AVERAGE(S32:Z32)</f>
        <v>713.51377126726175</v>
      </c>
      <c r="Q32" s="10">
        <f>P32+1.5*R32</f>
        <v>770.81078135481926</v>
      </c>
      <c r="R32" s="11">
        <f>STDEV(S32:Z32)</f>
        <v>38.198006725038354</v>
      </c>
      <c r="S32" s="52">
        <f>data1!Z2</f>
        <v>664.15655756466003</v>
      </c>
      <c r="T32" s="52">
        <f>data1!AA2</f>
        <v>696.7994201571679</v>
      </c>
      <c r="U32" s="52">
        <f>data1!AB2</f>
        <v>737.19768062867172</v>
      </c>
      <c r="V32" s="52">
        <f>data1!AC2</f>
        <v>737.01075761043717</v>
      </c>
      <c r="W32" s="52">
        <f>data1!AD2</f>
        <v>697.98962386511027</v>
      </c>
      <c r="X32" s="52">
        <f>data1!AE2</f>
        <v>774.81116960402835</v>
      </c>
      <c r="Y32" s="52">
        <f>data1!AF2</f>
        <v>668.24979018844886</v>
      </c>
      <c r="Z32" s="53">
        <f>data1!AG2</f>
        <v>731.89517051956966</v>
      </c>
    </row>
    <row r="33" spans="1:33">
      <c r="A33" s="155"/>
      <c r="B33" s="41" t="s">
        <v>8</v>
      </c>
      <c r="C33" s="39">
        <f>D33-1.5*F33</f>
        <v>766.34698925696478</v>
      </c>
      <c r="D33" s="10">
        <f>AVERAGE(G33:N33)</f>
        <v>870.52534632530057</v>
      </c>
      <c r="E33" s="10">
        <f>D33+1.5*F33</f>
        <v>974.70370339363637</v>
      </c>
      <c r="F33" s="11">
        <f>STDEV(G33:N33)</f>
        <v>69.452238045557195</v>
      </c>
      <c r="G33" s="43">
        <f>data1!R4</f>
        <v>829.81994354161895</v>
      </c>
      <c r="H33" s="44">
        <f>data1!S4</f>
        <v>964.13138017853055</v>
      </c>
      <c r="I33" s="44">
        <f>data1!T4</f>
        <v>775.07591363393601</v>
      </c>
      <c r="J33" s="44">
        <f>data1!U4</f>
        <v>956.38437476157776</v>
      </c>
      <c r="K33" s="44">
        <f>data1!V4</f>
        <v>838.50690470740824</v>
      </c>
      <c r="L33" s="44"/>
      <c r="M33" s="44">
        <f>data1!X4</f>
        <v>886.68955519951169</v>
      </c>
      <c r="N33" s="45">
        <f>data1!Y4</f>
        <v>843.06935225452048</v>
      </c>
      <c r="O33" s="39">
        <f>P33-1.5*R33</f>
        <v>786.51571599403906</v>
      </c>
      <c r="P33" s="10">
        <f>AVERAGE(S33:Z33)</f>
        <v>858.6889639124131</v>
      </c>
      <c r="Q33" s="10">
        <f>P33+1.5*R33</f>
        <v>930.86221183078715</v>
      </c>
      <c r="R33" s="11">
        <f>STDEV(S33:Z33)</f>
        <v>48.115498612249397</v>
      </c>
      <c r="S33" s="44">
        <f>data1!Z4</f>
        <v>800.03662165255207</v>
      </c>
      <c r="T33" s="44">
        <f>data1!AA4</f>
        <v>839.64599069199664</v>
      </c>
      <c r="U33" s="44">
        <f>data1!AB4</f>
        <v>888.41000991836427</v>
      </c>
      <c r="V33" s="44">
        <f>data1!AC4</f>
        <v>845.74654764629588</v>
      </c>
      <c r="W33" s="44">
        <f>data1!AD4</f>
        <v>849.06843671320667</v>
      </c>
      <c r="X33" s="44">
        <f>data1!AE4</f>
        <v>959.27672236209662</v>
      </c>
      <c r="Y33" s="44">
        <f>data1!AF4</f>
        <v>825.0873579003586</v>
      </c>
      <c r="Z33" s="45">
        <f>data1!AG4</f>
        <v>862.24002441443508</v>
      </c>
    </row>
    <row r="34" spans="1:33">
      <c r="A34" s="155"/>
      <c r="B34" s="41" t="s">
        <v>65</v>
      </c>
      <c r="C34" s="39">
        <f>D34-1.5*F34</f>
        <v>830.22262483942359</v>
      </c>
      <c r="D34" s="10">
        <f>AVERAGE(G34:N34)</f>
        <v>928.38788433661398</v>
      </c>
      <c r="E34" s="10">
        <f>D34+1.5*F34</f>
        <v>1026.5531438338044</v>
      </c>
      <c r="F34" s="11">
        <f>STDEV(G34:N34)</f>
        <v>65.443506331460284</v>
      </c>
      <c r="G34" s="135">
        <f>data1!R6</f>
        <v>897.90264744029912</v>
      </c>
      <c r="H34" s="54">
        <f>data1!S6</f>
        <v>1014.6128023193713</v>
      </c>
      <c r="I34" s="54">
        <f>data1!T6</f>
        <v>834.45868619821465</v>
      </c>
      <c r="J34" s="54">
        <f>data1!U6</f>
        <v>1012.5352864881361</v>
      </c>
      <c r="K34" s="54">
        <f>data1!V6</f>
        <v>896.06393530174716</v>
      </c>
      <c r="L34" s="54"/>
      <c r="M34" s="54">
        <f>data1!X6</f>
        <v>933.649195086595</v>
      </c>
      <c r="N34" s="55">
        <f>data1!Y6</f>
        <v>909.49263752193485</v>
      </c>
      <c r="O34" s="39">
        <f>P34-1.5*R34</f>
        <v>849.11108018460777</v>
      </c>
      <c r="P34" s="10">
        <f>AVERAGE(S34:Z34)</f>
        <v>919.94468604562451</v>
      </c>
      <c r="Q34" s="10">
        <f>P34+1.5*R34</f>
        <v>990.77829190664124</v>
      </c>
      <c r="R34" s="11">
        <f>STDEV(S34:Z34)</f>
        <v>47.222403907344521</v>
      </c>
      <c r="S34" s="54">
        <f>data1!Z6</f>
        <v>861.77615014877551</v>
      </c>
      <c r="T34" s="54">
        <f>data1!AA6</f>
        <v>903.66521705958644</v>
      </c>
      <c r="U34" s="54">
        <f>data1!AB6</f>
        <v>955.01335164415957</v>
      </c>
      <c r="V34" s="54">
        <f>data1!AC6</f>
        <v>908.69840543221176</v>
      </c>
      <c r="W34" s="54">
        <f>data1!AD6</f>
        <v>920.69886320286867</v>
      </c>
      <c r="X34" s="54">
        <f>data1!AE6</f>
        <v>1015.9449149309529</v>
      </c>
      <c r="Y34" s="54">
        <f>data1!AF6</f>
        <v>884.1474021515221</v>
      </c>
      <c r="Z34" s="55">
        <f>data1!AG6</f>
        <v>909.61318379491877</v>
      </c>
    </row>
    <row r="35" spans="1:33">
      <c r="A35" s="155" t="s">
        <v>15</v>
      </c>
      <c r="B35" s="41" t="s">
        <v>9</v>
      </c>
      <c r="C35" s="39">
        <f t="shared" ref="C35:C39" si="27">D35-1.5*F35</f>
        <v>723.87892755639461</v>
      </c>
      <c r="D35" s="10">
        <f t="shared" ref="D35:D39" si="28">AVERAGE(G35:N35)</f>
        <v>887.65163653009847</v>
      </c>
      <c r="E35" s="10">
        <f t="shared" ref="E35:E39" si="29">D35+1.5*F35</f>
        <v>1051.4243455038022</v>
      </c>
      <c r="F35" s="11">
        <f t="shared" ref="F35:F39" si="30">STDEV(G35:N35)</f>
        <v>109.18180598246921</v>
      </c>
      <c r="G35" s="136">
        <f>data1!R3</f>
        <v>807.82787823300521</v>
      </c>
      <c r="H35" s="52">
        <f>data1!S3</f>
        <v>1023.6133363851377</v>
      </c>
      <c r="I35" s="52">
        <f>data1!T3</f>
        <v>743.51110093842988</v>
      </c>
      <c r="J35" s="52">
        <f>data1!U3</f>
        <v>1006.1379415579461</v>
      </c>
      <c r="K35" s="52">
        <f>data1!V3</f>
        <v>830.47226672770273</v>
      </c>
      <c r="L35" s="52"/>
      <c r="M35" s="52">
        <f>data1!X3</f>
        <v>965.12932021057452</v>
      </c>
      <c r="N35" s="53">
        <f>data1!Y3</f>
        <v>836.86961165789273</v>
      </c>
      <c r="O35" s="39">
        <f t="shared" ref="O35:O39" si="31">P35-1.5*R35</f>
        <v>775.7534000069395</v>
      </c>
      <c r="P35" s="10">
        <f t="shared" ref="P35:P39" si="32">AVERAGE(S35:Z35)</f>
        <v>887.37172884718075</v>
      </c>
      <c r="Q35" s="10">
        <f t="shared" ref="Q35:Q39" si="33">P35+1.5*R35</f>
        <v>998.990057687422</v>
      </c>
      <c r="R35" s="11">
        <f t="shared" ref="R35:R39" si="34">STDEV(S35:Z35)</f>
        <v>74.412219226827474</v>
      </c>
      <c r="S35" s="52">
        <f>data1!Z3</f>
        <v>785.53444724193173</v>
      </c>
      <c r="T35" s="52">
        <f>data1!AA3</f>
        <v>846.61249713893335</v>
      </c>
      <c r="U35" s="52">
        <f>data1!AB3</f>
        <v>891.32906080720227</v>
      </c>
      <c r="V35" s="52">
        <f>data1!AC3</f>
        <v>902.88395513847559</v>
      </c>
      <c r="W35" s="52">
        <f>data1!AD3</f>
        <v>880.70878156710148</v>
      </c>
      <c r="X35" s="52">
        <f>data1!AE3</f>
        <v>1012.9739833676661</v>
      </c>
      <c r="Y35" s="52">
        <f>data1!AF3</f>
        <v>816.5178912031738</v>
      </c>
      <c r="Z35" s="53">
        <f>data1!AG3</f>
        <v>962.41321431296251</v>
      </c>
    </row>
    <row r="36" spans="1:33">
      <c r="A36" s="155"/>
      <c r="B36" s="41" t="s">
        <v>8</v>
      </c>
      <c r="C36" s="39">
        <f>D36-1.5*F36</f>
        <v>601.02765707252888</v>
      </c>
      <c r="D36" s="10">
        <f>AVERAGE(G36:N36)</f>
        <v>663.00134061406663</v>
      </c>
      <c r="E36" s="10">
        <f>D36+1.5*F36</f>
        <v>724.97502415560439</v>
      </c>
      <c r="F36" s="11">
        <f>STDEV(G36:N36)</f>
        <v>41.315789027691814</v>
      </c>
      <c r="G36" s="43">
        <f>data1!R5</f>
        <v>645.88540474555577</v>
      </c>
      <c r="H36" s="44">
        <f>data1!S5</f>
        <v>736.13183794918746</v>
      </c>
      <c r="I36" s="44">
        <f>data1!T5</f>
        <v>604.52582589456017</v>
      </c>
      <c r="J36" s="44">
        <f>data1!U5</f>
        <v>692.06073090714881</v>
      </c>
      <c r="K36" s="44">
        <f>data1!V5</f>
        <v>645.96551461051342</v>
      </c>
      <c r="L36" s="44"/>
      <c r="M36" s="44">
        <f>data1!X5</f>
        <v>658.98374914168005</v>
      </c>
      <c r="N36" s="45">
        <f>data1!Y5</f>
        <v>657.45632104982076</v>
      </c>
      <c r="O36" s="39">
        <f>P36-1.5*R36</f>
        <v>612.24227177527894</v>
      </c>
      <c r="P36" s="10">
        <f>AVERAGE(S36:Z36)</f>
        <v>652.7588311589227</v>
      </c>
      <c r="Q36" s="10">
        <f>P36+1.5*R36</f>
        <v>693.27539054256647</v>
      </c>
      <c r="R36" s="11">
        <f>STDEV(S36:Z36)</f>
        <v>27.011039589095848</v>
      </c>
      <c r="S36" s="44">
        <f>data1!Z5</f>
        <v>627.33196002136265</v>
      </c>
      <c r="T36" s="44">
        <f>data1!AA5</f>
        <v>640.02441443503471</v>
      </c>
      <c r="U36" s="44">
        <f>data1!AB5</f>
        <v>685.74349584191657</v>
      </c>
      <c r="V36" s="44">
        <f>data1!AC5</f>
        <v>661.06202792401007</v>
      </c>
      <c r="W36" s="44">
        <f>data1!AD5</f>
        <v>636.13794155794619</v>
      </c>
      <c r="X36" s="44">
        <f>data1!AE5</f>
        <v>700.21820401312277</v>
      </c>
      <c r="Y36" s="44">
        <f>data1!AF5</f>
        <v>631.52819104295418</v>
      </c>
      <c r="Z36" s="45">
        <f>data1!AG5</f>
        <v>640.02441443503471</v>
      </c>
    </row>
    <row r="37" spans="1:33">
      <c r="A37" s="155"/>
      <c r="B37" s="41" t="s">
        <v>65</v>
      </c>
      <c r="C37" s="39">
        <f>D37-1.5*F37</f>
        <v>811.45904369863661</v>
      </c>
      <c r="D37" s="10">
        <f>AVERAGE(G37:N37)</f>
        <v>977.70275425345244</v>
      </c>
      <c r="E37" s="10">
        <f>D37+1.5*F37</f>
        <v>1143.9464648082683</v>
      </c>
      <c r="F37" s="11">
        <f>STDEV(G37:N37)</f>
        <v>110.82914036987721</v>
      </c>
      <c r="G37" s="135">
        <f>data1!R7</f>
        <v>900.53025101091021</v>
      </c>
      <c r="H37" s="54">
        <f>data1!S7</f>
        <v>1108.4992751964598</v>
      </c>
      <c r="I37" s="54">
        <f>data1!T7</f>
        <v>827.20683604180965</v>
      </c>
      <c r="J37" s="54">
        <f>data1!U7</f>
        <v>1105.0507362478065</v>
      </c>
      <c r="K37" s="54">
        <f>data1!V7</f>
        <v>916.03723201342791</v>
      </c>
      <c r="L37" s="54"/>
      <c r="M37" s="54">
        <f>data1!X7</f>
        <v>1054.4518196383613</v>
      </c>
      <c r="N37" s="55">
        <f>data1!Y7</f>
        <v>932.143129625391</v>
      </c>
      <c r="O37" s="39">
        <f>P37-1.5*R37</f>
        <v>865.84364153806314</v>
      </c>
      <c r="P37" s="10">
        <f>AVERAGE(S37:Z37)</f>
        <v>979.43560692759593</v>
      </c>
      <c r="Q37" s="10">
        <f>P37+1.5*R37</f>
        <v>1093.0275723171287</v>
      </c>
      <c r="R37" s="11">
        <f>STDEV(S37:Z37)</f>
        <v>75.727976926355169</v>
      </c>
      <c r="S37" s="54">
        <f>data1!Z7</f>
        <v>876.55069810025179</v>
      </c>
      <c r="T37" s="54">
        <f>data1!AA7</f>
        <v>930.93385214007776</v>
      </c>
      <c r="U37" s="54">
        <f>data1!AB7</f>
        <v>993.1754024567025</v>
      </c>
      <c r="V37" s="54">
        <f>data1!AC7</f>
        <v>1003.9978637369344</v>
      </c>
      <c r="W37" s="54">
        <f>data1!AD7</f>
        <v>982.36820019836728</v>
      </c>
      <c r="X37" s="54">
        <f>data1!AE7</f>
        <v>1101.4419775692377</v>
      </c>
      <c r="Y37" s="54">
        <f>data1!AF7</f>
        <v>897.84847791256573</v>
      </c>
      <c r="Z37" s="55">
        <f>data1!AG7</f>
        <v>1049.1683833066299</v>
      </c>
    </row>
    <row r="38" spans="1:33">
      <c r="A38" s="155" t="s">
        <v>16</v>
      </c>
      <c r="B38" s="42" t="s">
        <v>13</v>
      </c>
      <c r="C38" s="40">
        <f t="shared" si="27"/>
        <v>0.22115403621606544</v>
      </c>
      <c r="D38" s="8">
        <f t="shared" si="28"/>
        <v>0.25223564345542321</v>
      </c>
      <c r="E38" s="8">
        <f t="shared" si="29"/>
        <v>0.28331725069478098</v>
      </c>
      <c r="F38" s="9">
        <f t="shared" si="30"/>
        <v>2.0721071492905172E-2</v>
      </c>
      <c r="G38" s="140">
        <f>(MAX(G32:G34)-MIN(G32:G34))/AVERAGE(G32:G34)</f>
        <v>0.26152724915462433</v>
      </c>
      <c r="H38" s="141">
        <f>(MAX(H32:H34)-MIN(H32:H34))/AVERAGE(H32:H34)</f>
        <v>0.22053311735750666</v>
      </c>
      <c r="I38" s="141">
        <f t="shared" ref="I38:M38" si="35">(MAX(I32:I34)-MIN(I32:I34))/AVERAGE(I32:I34)</f>
        <v>0.27265464358128927</v>
      </c>
      <c r="J38" s="141">
        <f t="shared" si="35"/>
        <v>0.27681222289988078</v>
      </c>
      <c r="K38" s="141">
        <f t="shared" ref="K38" si="36">(MAX(K32:K34)-MIN(K32:K34))/AVERAGE(K32:K34)</f>
        <v>0.25206635474587213</v>
      </c>
      <c r="L38" s="141"/>
      <c r="M38" s="141">
        <f t="shared" si="35"/>
        <v>0.23071787027730464</v>
      </c>
      <c r="N38" s="142">
        <f>(MAX(N32:N34)-MIN(N32:N34))/AVERAGE(N32:N34)</f>
        <v>0.25133804617148425</v>
      </c>
      <c r="O38" s="40">
        <f t="shared" si="31"/>
        <v>0.21099828149073946</v>
      </c>
      <c r="P38" s="8">
        <f t="shared" si="32"/>
        <v>0.24854101590905661</v>
      </c>
      <c r="Q38" s="8">
        <f t="shared" si="33"/>
        <v>0.28608375032737376</v>
      </c>
      <c r="R38" s="9">
        <f t="shared" si="34"/>
        <v>2.5028489612211446E-2</v>
      </c>
      <c r="S38" s="140">
        <f>(MAX(S32:S34)-MIN(S32:S34))/AVERAGE(S32:S34)</f>
        <v>0.25488675635888453</v>
      </c>
      <c r="T38" s="141">
        <f>(MAX(T32:T34)-MIN(T32:T34))/AVERAGE(T32:T34)</f>
        <v>0.25433166169155474</v>
      </c>
      <c r="U38" s="141">
        <f t="shared" ref="U38:Y38" si="37">(MAX(U32:U34)-MIN(U32:U34))/AVERAGE(U32:U34)</f>
        <v>0.25321308412320165</v>
      </c>
      <c r="V38" s="141">
        <f t="shared" si="37"/>
        <v>0.20673172766249853</v>
      </c>
      <c r="W38" s="141">
        <f t="shared" si="37"/>
        <v>0.27074292106110104</v>
      </c>
      <c r="X38" s="141">
        <f t="shared" si="37"/>
        <v>0.26305185675112108</v>
      </c>
      <c r="Y38" s="141">
        <f t="shared" si="37"/>
        <v>0.27242777910954136</v>
      </c>
      <c r="Z38" s="142">
        <f>(MAX(Z32:Z34)-MIN(Z32:Z34))/AVERAGE(Z32:Z34)</f>
        <v>0.21294234051455016</v>
      </c>
    </row>
    <row r="39" spans="1:33">
      <c r="A39" s="155"/>
      <c r="B39" s="42" t="s">
        <v>17</v>
      </c>
      <c r="C39" s="40">
        <f t="shared" si="27"/>
        <v>0.28520191403713518</v>
      </c>
      <c r="D39" s="8">
        <f t="shared" si="28"/>
        <v>0.36917757352719877</v>
      </c>
      <c r="E39" s="8">
        <f t="shared" si="29"/>
        <v>0.45315323301726235</v>
      </c>
      <c r="F39" s="9">
        <f t="shared" si="30"/>
        <v>5.598377299337573E-2</v>
      </c>
      <c r="G39" s="36">
        <f>(MAX(G35:G37)-MIN(G35:G37))/AVERAGE(G35:G37)</f>
        <v>0.32449257171857221</v>
      </c>
      <c r="H39" s="37">
        <f>(MAX(H35:H37)-MIN(H35:H37))/AVERAGE(H35:H37)</f>
        <v>0.38947249141354162</v>
      </c>
      <c r="I39" s="37">
        <f t="shared" ref="I39:M39" si="38">(MAX(I35:I37)-MIN(I35:I37))/AVERAGE(I35:I37)</f>
        <v>0.30711180137294747</v>
      </c>
      <c r="J39" s="37">
        <f t="shared" si="38"/>
        <v>0.44197637647619809</v>
      </c>
      <c r="K39" s="37">
        <f t="shared" ref="K39" si="39">(MAX(K35:K37)-MIN(K35:K37))/AVERAGE(K35:K37)</f>
        <v>0.33865145829619525</v>
      </c>
      <c r="L39" s="37"/>
      <c r="M39" s="37">
        <f t="shared" si="38"/>
        <v>0.44292532033342874</v>
      </c>
      <c r="N39" s="38">
        <f>(MAX(N35:N37)-MIN(N35:N37))/AVERAGE(N35:N37)</f>
        <v>0.33961299507950787</v>
      </c>
      <c r="O39" s="40">
        <f t="shared" si="31"/>
        <v>0.31569840993792497</v>
      </c>
      <c r="P39" s="8">
        <f t="shared" si="32"/>
        <v>0.38672106222472791</v>
      </c>
      <c r="Q39" s="8">
        <f t="shared" si="33"/>
        <v>0.45774371451153084</v>
      </c>
      <c r="R39" s="9">
        <f t="shared" si="34"/>
        <v>4.7348434857868611E-2</v>
      </c>
      <c r="S39" s="36">
        <f>(MAX(S35:S37)-MIN(S35:S37))/AVERAGE(S35:S37)</f>
        <v>0.32657055478667085</v>
      </c>
      <c r="T39" s="37">
        <f>(MAX(T35:T37)-MIN(T35:T37))/AVERAGE(T35:T37)</f>
        <v>0.36099390603747261</v>
      </c>
      <c r="U39" s="37">
        <f t="shared" ref="U39:Y39" si="40">(MAX(U35:U37)-MIN(U35:U37))/AVERAGE(U35:U37)</f>
        <v>0.35883530870119656</v>
      </c>
      <c r="V39" s="37">
        <f t="shared" si="40"/>
        <v>0.40063473690090085</v>
      </c>
      <c r="W39" s="37">
        <f t="shared" si="40"/>
        <v>0.41560682365805868</v>
      </c>
      <c r="X39" s="37">
        <f t="shared" si="40"/>
        <v>0.42764752011376078</v>
      </c>
      <c r="Y39" s="37">
        <f t="shared" si="40"/>
        <v>0.34057833381683911</v>
      </c>
      <c r="Z39" s="38">
        <f>(MAX(Z35:Z37)-MIN(Z35:Z37))/AVERAGE(Z35:Z37)</f>
        <v>0.4629013137829236</v>
      </c>
    </row>
    <row r="40" spans="1:33" ht="15.75" thickBot="1">
      <c r="A40" s="56"/>
      <c r="B40" s="56"/>
      <c r="C40" s="173">
        <f>MAX(ABS(C38),ABS(C39),ABS(E38),ABS(E39))</f>
        <v>0.45315323301726235</v>
      </c>
      <c r="D40" s="174"/>
      <c r="E40" s="174"/>
      <c r="F40" s="175"/>
      <c r="O40" s="173">
        <f>MAX(ABS(O38),ABS(O39),ABS(Q38),ABS(Q39))</f>
        <v>0.45774371451153084</v>
      </c>
      <c r="P40" s="174"/>
      <c r="Q40" s="174"/>
      <c r="R40" s="175"/>
    </row>
    <row r="42" spans="1:33">
      <c r="A42" s="31">
        <f>G19</f>
        <v>0</v>
      </c>
      <c r="B42" s="32">
        <f t="shared" ref="B42:H42" si="41">H19</f>
        <v>1</v>
      </c>
      <c r="C42" s="32">
        <f t="shared" si="41"/>
        <v>2</v>
      </c>
      <c r="D42" s="32">
        <f t="shared" si="41"/>
        <v>3</v>
      </c>
      <c r="E42" s="32">
        <f t="shared" si="41"/>
        <v>4</v>
      </c>
      <c r="F42" s="32">
        <f t="shared" si="41"/>
        <v>5</v>
      </c>
      <c r="G42" s="32">
        <f t="shared" si="41"/>
        <v>6</v>
      </c>
      <c r="H42" s="33">
        <f t="shared" si="41"/>
        <v>7</v>
      </c>
      <c r="I42" s="126">
        <f>S19</f>
        <v>8</v>
      </c>
      <c r="J42" s="127">
        <f t="shared" ref="J42:P42" si="42">T19</f>
        <v>9</v>
      </c>
      <c r="K42" s="127">
        <f t="shared" si="42"/>
        <v>10</v>
      </c>
      <c r="L42" s="127">
        <f t="shared" si="42"/>
        <v>11</v>
      </c>
      <c r="M42" s="127">
        <f t="shared" si="42"/>
        <v>12</v>
      </c>
      <c r="N42" s="127">
        <f t="shared" si="42"/>
        <v>13</v>
      </c>
      <c r="O42" s="127">
        <f t="shared" si="42"/>
        <v>14</v>
      </c>
      <c r="P42" s="128">
        <f t="shared" si="42"/>
        <v>15</v>
      </c>
      <c r="Q42" s="126">
        <f>G31</f>
        <v>16</v>
      </c>
      <c r="R42" s="127">
        <f t="shared" ref="R42:X42" si="43">H31</f>
        <v>17</v>
      </c>
      <c r="S42" s="127">
        <f t="shared" si="43"/>
        <v>18</v>
      </c>
      <c r="T42" s="127">
        <f t="shared" si="43"/>
        <v>19</v>
      </c>
      <c r="U42" s="127">
        <f t="shared" si="43"/>
        <v>20</v>
      </c>
      <c r="V42" s="127">
        <f t="shared" si="43"/>
        <v>21</v>
      </c>
      <c r="W42" s="127">
        <f t="shared" si="43"/>
        <v>22</v>
      </c>
      <c r="X42" s="128">
        <f t="shared" si="43"/>
        <v>23</v>
      </c>
      <c r="Y42" s="126">
        <f>S31</f>
        <v>24</v>
      </c>
      <c r="Z42" s="127">
        <f t="shared" ref="Z42:AF42" si="44">T31</f>
        <v>25</v>
      </c>
      <c r="AA42" s="127">
        <f t="shared" si="44"/>
        <v>26</v>
      </c>
      <c r="AB42" s="127">
        <f t="shared" si="44"/>
        <v>27</v>
      </c>
      <c r="AC42" s="127">
        <f t="shared" si="44"/>
        <v>28</v>
      </c>
      <c r="AD42" s="127">
        <f t="shared" si="44"/>
        <v>29</v>
      </c>
      <c r="AE42" s="127">
        <f t="shared" si="44"/>
        <v>30</v>
      </c>
      <c r="AF42" s="128">
        <f t="shared" si="44"/>
        <v>31</v>
      </c>
      <c r="AG42" s="58"/>
    </row>
    <row r="43" spans="1:33">
      <c r="A43" s="34">
        <f>G26</f>
        <v>0.22490623350065855</v>
      </c>
      <c r="B43" s="15">
        <f t="shared" ref="B43:H44" si="45">H26</f>
        <v>0.26475225780866679</v>
      </c>
      <c r="C43" s="15">
        <f t="shared" si="45"/>
        <v>0.24330668211939366</v>
      </c>
      <c r="D43" s="15">
        <f t="shared" si="45"/>
        <v>0.24993522580807484</v>
      </c>
      <c r="E43" s="15">
        <f t="shared" si="45"/>
        <v>0.2513455982448406</v>
      </c>
      <c r="F43" s="15">
        <f t="shared" si="45"/>
        <v>0.24407336250956241</v>
      </c>
      <c r="G43" s="15">
        <f t="shared" si="45"/>
        <v>0.17983115569213548</v>
      </c>
      <c r="H43" s="35">
        <f t="shared" si="45"/>
        <v>0.25337022277358134</v>
      </c>
      <c r="I43" s="129">
        <f>S26</f>
        <v>0.20183240751354847</v>
      </c>
      <c r="J43" s="130">
        <f t="shared" ref="J43:P44" si="46">T26</f>
        <v>0.20047778678069994</v>
      </c>
      <c r="K43" s="130">
        <f t="shared" si="46"/>
        <v>0.20010054091397672</v>
      </c>
      <c r="L43" s="130">
        <f t="shared" si="46"/>
        <v>0.2746567665397423</v>
      </c>
      <c r="M43" s="130">
        <f t="shared" si="46"/>
        <v>0.25635776493636403</v>
      </c>
      <c r="N43" s="130">
        <f t="shared" si="46"/>
        <v>0.23685279675274193</v>
      </c>
      <c r="O43" s="130">
        <f t="shared" si="46"/>
        <v>0.23797520291469093</v>
      </c>
      <c r="P43" s="131">
        <f t="shared" si="46"/>
        <v>0.17422246641518821</v>
      </c>
      <c r="Q43" s="129">
        <f>G38</f>
        <v>0.26152724915462433</v>
      </c>
      <c r="R43" s="130">
        <f t="shared" ref="R43:T44" si="47">H38</f>
        <v>0.22053311735750666</v>
      </c>
      <c r="S43" s="130">
        <f t="shared" si="47"/>
        <v>0.27265464358128927</v>
      </c>
      <c r="T43" s="130">
        <f t="shared" si="47"/>
        <v>0.27681222289988078</v>
      </c>
      <c r="U43" s="130"/>
      <c r="V43" s="130"/>
      <c r="W43" s="130">
        <f t="shared" ref="W43:X44" si="48">M38</f>
        <v>0.23071787027730464</v>
      </c>
      <c r="X43" s="131">
        <f t="shared" si="48"/>
        <v>0.25133804617148425</v>
      </c>
      <c r="Y43" s="129">
        <f>S38</f>
        <v>0.25488675635888453</v>
      </c>
      <c r="Z43" s="130">
        <f t="shared" ref="Z43:AF44" si="49">T38</f>
        <v>0.25433166169155474</v>
      </c>
      <c r="AA43" s="130">
        <f t="shared" si="49"/>
        <v>0.25321308412320165</v>
      </c>
      <c r="AB43" s="130">
        <f t="shared" si="49"/>
        <v>0.20673172766249853</v>
      </c>
      <c r="AC43" s="130">
        <f t="shared" si="49"/>
        <v>0.27074292106110104</v>
      </c>
      <c r="AD43" s="130">
        <f t="shared" si="49"/>
        <v>0.26305185675112108</v>
      </c>
      <c r="AE43" s="130">
        <f t="shared" si="49"/>
        <v>0.27242777910954136</v>
      </c>
      <c r="AF43" s="131">
        <f t="shared" si="49"/>
        <v>0.21294234051455016</v>
      </c>
    </row>
    <row r="44" spans="1:33">
      <c r="A44" s="36">
        <f>G27</f>
        <v>0.36386432672851343</v>
      </c>
      <c r="B44" s="37">
        <f t="shared" si="45"/>
        <v>0.34326727048410133</v>
      </c>
      <c r="C44" s="37">
        <f t="shared" si="45"/>
        <v>0.35682877777033134</v>
      </c>
      <c r="D44" s="37">
        <f t="shared" si="45"/>
        <v>0.38401210151468601</v>
      </c>
      <c r="E44" s="37">
        <f t="shared" si="45"/>
        <v>0.35698497374851779</v>
      </c>
      <c r="F44" s="37">
        <f t="shared" si="45"/>
        <v>0.35000697529671843</v>
      </c>
      <c r="G44" s="37">
        <f t="shared" si="45"/>
        <v>0.43922259361682892</v>
      </c>
      <c r="H44" s="38">
        <f t="shared" si="45"/>
        <v>0.40761068379765347</v>
      </c>
      <c r="I44" s="132">
        <f>S27</f>
        <v>0.42035901738964854</v>
      </c>
      <c r="J44" s="133">
        <f t="shared" si="46"/>
        <v>0.40680854674972949</v>
      </c>
      <c r="K44" s="133">
        <f t="shared" si="46"/>
        <v>0.43608523929905085</v>
      </c>
      <c r="L44" s="133">
        <f t="shared" si="46"/>
        <v>0.45128416270320154</v>
      </c>
      <c r="M44" s="133">
        <f t="shared" si="46"/>
        <v>0.32473452532590052</v>
      </c>
      <c r="N44" s="133">
        <f t="shared" si="46"/>
        <v>0.40352027572602983</v>
      </c>
      <c r="O44" s="133">
        <f t="shared" si="46"/>
        <v>0.42406342576200995</v>
      </c>
      <c r="P44" s="134">
        <f t="shared" si="46"/>
        <v>0.42492112685649885</v>
      </c>
      <c r="Q44" s="132">
        <f>G39</f>
        <v>0.32449257171857221</v>
      </c>
      <c r="R44" s="133">
        <f t="shared" si="47"/>
        <v>0.38947249141354162</v>
      </c>
      <c r="S44" s="133">
        <f t="shared" si="47"/>
        <v>0.30711180137294747</v>
      </c>
      <c r="T44" s="133">
        <f t="shared" si="47"/>
        <v>0.44197637647619809</v>
      </c>
      <c r="U44" s="133"/>
      <c r="V44" s="133"/>
      <c r="W44" s="133">
        <f t="shared" si="48"/>
        <v>0.44292532033342874</v>
      </c>
      <c r="X44" s="134">
        <f t="shared" si="48"/>
        <v>0.33961299507950787</v>
      </c>
      <c r="Y44" s="132">
        <f>S39</f>
        <v>0.32657055478667085</v>
      </c>
      <c r="Z44" s="133">
        <f t="shared" si="49"/>
        <v>0.36099390603747261</v>
      </c>
      <c r="AA44" s="133">
        <f t="shared" si="49"/>
        <v>0.35883530870119656</v>
      </c>
      <c r="AB44" s="133">
        <f t="shared" si="49"/>
        <v>0.40063473690090085</v>
      </c>
      <c r="AC44" s="133">
        <f t="shared" si="49"/>
        <v>0.41560682365805868</v>
      </c>
      <c r="AD44" s="133">
        <f t="shared" si="49"/>
        <v>0.42764752011376078</v>
      </c>
      <c r="AE44" s="133">
        <f t="shared" si="49"/>
        <v>0.34057833381683911</v>
      </c>
      <c r="AF44" s="134">
        <f t="shared" si="49"/>
        <v>0.4629013137829236</v>
      </c>
    </row>
  </sheetData>
  <mergeCells count="31">
    <mergeCell ref="A35:A37"/>
    <mergeCell ref="A38:A39"/>
    <mergeCell ref="C40:F40"/>
    <mergeCell ref="O40:R40"/>
    <mergeCell ref="C30:F30"/>
    <mergeCell ref="G30:N30"/>
    <mergeCell ref="O30:R30"/>
    <mergeCell ref="S30:Z30"/>
    <mergeCell ref="A31:B31"/>
    <mergeCell ref="A32:A34"/>
    <mergeCell ref="A19:B19"/>
    <mergeCell ref="A20:A22"/>
    <mergeCell ref="A23:A25"/>
    <mergeCell ref="A26:A27"/>
    <mergeCell ref="C28:F28"/>
    <mergeCell ref="O28:R28"/>
    <mergeCell ref="A9:A10"/>
    <mergeCell ref="C11:F11"/>
    <mergeCell ref="A13:B13"/>
    <mergeCell ref="H13:X13"/>
    <mergeCell ref="A14:B14"/>
    <mergeCell ref="C18:F18"/>
    <mergeCell ref="G18:N18"/>
    <mergeCell ref="O18:R18"/>
    <mergeCell ref="S18:Z18"/>
    <mergeCell ref="C1:F1"/>
    <mergeCell ref="A2:B2"/>
    <mergeCell ref="H2:I2"/>
    <mergeCell ref="P2:Q2"/>
    <mergeCell ref="A3:A5"/>
    <mergeCell ref="A6:A8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AN50"/>
  <sheetViews>
    <sheetView zoomScale="70" zoomScaleNormal="70" workbookViewId="0">
      <selection activeCell="Y2" sqref="Y2:Y7"/>
    </sheetView>
  </sheetViews>
  <sheetFormatPr defaultRowHeight="15"/>
  <cols>
    <col min="1" max="1" width="8.140625" style="82" bestFit="1" customWidth="1"/>
    <col min="2" max="2" width="6.85546875" style="82" customWidth="1"/>
    <col min="3" max="35" width="6.5703125" style="82" customWidth="1"/>
    <col min="36" max="39" width="3.42578125" style="82" bestFit="1" customWidth="1"/>
    <col min="40" max="40" width="6.42578125" style="82" bestFit="1" customWidth="1"/>
    <col min="41" max="16384" width="9.140625" style="82"/>
  </cols>
  <sheetData>
    <row r="1" spans="1:40">
      <c r="A1" s="79"/>
      <c r="B1" s="79" t="s">
        <v>50</v>
      </c>
      <c r="C1" s="79" t="s">
        <v>6</v>
      </c>
      <c r="D1" s="118">
        <v>0</v>
      </c>
      <c r="E1" s="119">
        <f>D1+1</f>
        <v>1</v>
      </c>
      <c r="F1" s="119">
        <f t="shared" ref="F1:AI1" si="0">E1+1</f>
        <v>2</v>
      </c>
      <c r="G1" s="119">
        <f t="shared" si="0"/>
        <v>3</v>
      </c>
      <c r="H1" s="119">
        <f t="shared" si="0"/>
        <v>4</v>
      </c>
      <c r="I1" s="119">
        <f t="shared" si="0"/>
        <v>5</v>
      </c>
      <c r="J1" s="119">
        <f t="shared" si="0"/>
        <v>6</v>
      </c>
      <c r="K1" s="120">
        <f t="shared" si="0"/>
        <v>7</v>
      </c>
      <c r="L1" s="118">
        <f t="shared" si="0"/>
        <v>8</v>
      </c>
      <c r="M1" s="119">
        <f t="shared" si="0"/>
        <v>9</v>
      </c>
      <c r="N1" s="119">
        <f t="shared" si="0"/>
        <v>10</v>
      </c>
      <c r="O1" s="119">
        <f t="shared" si="0"/>
        <v>11</v>
      </c>
      <c r="P1" s="119">
        <f t="shared" si="0"/>
        <v>12</v>
      </c>
      <c r="Q1" s="119">
        <f t="shared" si="0"/>
        <v>13</v>
      </c>
      <c r="R1" s="119">
        <f t="shared" si="0"/>
        <v>14</v>
      </c>
      <c r="S1" s="120">
        <f t="shared" si="0"/>
        <v>15</v>
      </c>
      <c r="T1" s="118">
        <f t="shared" si="0"/>
        <v>16</v>
      </c>
      <c r="U1" s="119">
        <f t="shared" si="0"/>
        <v>17</v>
      </c>
      <c r="V1" s="119">
        <f t="shared" si="0"/>
        <v>18</v>
      </c>
      <c r="W1" s="119">
        <f t="shared" si="0"/>
        <v>19</v>
      </c>
      <c r="X1" s="119">
        <f t="shared" si="0"/>
        <v>20</v>
      </c>
      <c r="Y1" s="119">
        <f t="shared" si="0"/>
        <v>21</v>
      </c>
      <c r="Z1" s="119">
        <f t="shared" si="0"/>
        <v>22</v>
      </c>
      <c r="AA1" s="120">
        <f t="shared" si="0"/>
        <v>23</v>
      </c>
      <c r="AB1" s="118">
        <f t="shared" si="0"/>
        <v>24</v>
      </c>
      <c r="AC1" s="119">
        <f t="shared" si="0"/>
        <v>25</v>
      </c>
      <c r="AD1" s="119">
        <f t="shared" si="0"/>
        <v>26</v>
      </c>
      <c r="AE1" s="119">
        <f t="shared" si="0"/>
        <v>27</v>
      </c>
      <c r="AF1" s="119">
        <f t="shared" si="0"/>
        <v>28</v>
      </c>
      <c r="AG1" s="119">
        <f t="shared" si="0"/>
        <v>29</v>
      </c>
      <c r="AH1" s="119">
        <f t="shared" si="0"/>
        <v>30</v>
      </c>
      <c r="AI1" s="120">
        <f t="shared" si="0"/>
        <v>31</v>
      </c>
    </row>
    <row r="2" spans="1:40" ht="18">
      <c r="A2" s="80" t="s">
        <v>52</v>
      </c>
      <c r="B2" s="81">
        <f t="shared" ref="B2:B3" si="1">AVERAGE(D2:AI2)</f>
        <v>3355.1274861656671</v>
      </c>
      <c r="C2" s="81">
        <f t="shared" ref="C2:C3" si="2">STDEV(D2:AI2)</f>
        <v>191.84799739346022</v>
      </c>
      <c r="D2" s="121">
        <f>getCCT(red!B2,green!B2,blue!B2)</f>
        <v>3348.9834444158982</v>
      </c>
      <c r="E2" s="81">
        <f>getCCT(red!C2,green!C2,blue!C2)</f>
        <v>3310.8367206975986</v>
      </c>
      <c r="F2" s="81">
        <f>getCCT(red!D2,green!D2,blue!D2)</f>
        <v>3233.0062594023452</v>
      </c>
      <c r="G2" s="81">
        <f>getCCT(red!E2,green!E2,blue!E2)</f>
        <v>3397.3644978148754</v>
      </c>
      <c r="H2" s="81">
        <f>getCCT(red!F2,green!F2,blue!F2)</f>
        <v>3298.9740544337997</v>
      </c>
      <c r="I2" s="81">
        <f>getCCT(red!G2,green!G2,blue!G2)</f>
        <v>3182.0338115940144</v>
      </c>
      <c r="J2" s="81">
        <f>getCCT(red!H2,green!H2,blue!H2)</f>
        <v>3181.1264907043837</v>
      </c>
      <c r="K2" s="122">
        <f>getCCT(red!I2,green!I2,blue!I2)</f>
        <v>3332.1004128981117</v>
      </c>
      <c r="L2" s="121">
        <f>getCCT(red!J2,green!J2,blue!J2)</f>
        <v>3384.4038400929612</v>
      </c>
      <c r="M2" s="81">
        <f>getCCT(red!K2,green!K2,blue!K2)</f>
        <v>3106.107955899623</v>
      </c>
      <c r="N2" s="81">
        <f>getCCT(red!L2,green!L2,blue!L2)</f>
        <v>3409.159818360215</v>
      </c>
      <c r="O2" s="81">
        <f>getCCT(red!M2,green!M2,blue!M2)</f>
        <v>3659.4952119634395</v>
      </c>
      <c r="P2" s="81">
        <f>getCCT(red!N2,green!N2,blue!N2)</f>
        <v>3090.0862553971333</v>
      </c>
      <c r="Q2" s="81">
        <f>getCCT(red!O2,green!O2,blue!O2)</f>
        <v>3667.1804273489292</v>
      </c>
      <c r="R2" s="81">
        <f>getCCT(red!P2,green!P2,blue!P2)</f>
        <v>3553.5478133714255</v>
      </c>
      <c r="S2" s="122">
        <f>getCCT(red!Q2,green!Q2,blue!Q2)</f>
        <v>3631.9924208232173</v>
      </c>
      <c r="T2" s="121">
        <f>getCCT(red!R2,green!R2,blue!R2)</f>
        <v>3271.584158896078</v>
      </c>
      <c r="U2" s="81">
        <f>getCCT(red!S2,green!S2,blue!S2)</f>
        <v>3485.2105401556446</v>
      </c>
      <c r="V2" s="81">
        <f>getCCT(red!T2,green!T2,blue!T2)</f>
        <v>3152.5801773436756</v>
      </c>
      <c r="W2" s="81">
        <f>getCCT(red!U2,green!U2,blue!U2)</f>
        <v>3618.7034045160722</v>
      </c>
      <c r="X2" s="81">
        <f>getCCT(red!V2,green!V2,blue!V2)</f>
        <v>3210.9830473858383</v>
      </c>
      <c r="Y2" s="81"/>
      <c r="Z2" s="81">
        <f>getCCT(red!X2,green!X2,blue!X2)</f>
        <v>3638.3036696213303</v>
      </c>
      <c r="AA2" s="122">
        <f>getCCT(red!Y2,green!Y2,blue!Y2)</f>
        <v>3079.8588314000513</v>
      </c>
      <c r="AB2" s="121">
        <f>getCCT(red!Z2,green!Z2,blue!Z2)</f>
        <v>3253.2180963428859</v>
      </c>
      <c r="AC2" s="81">
        <f>getCCT(red!AA2,green!AA2,blue!AA2)</f>
        <v>3293.4279139088471</v>
      </c>
      <c r="AD2" s="81">
        <f>getCCT(red!AB2,green!AB2,blue!AB2)</f>
        <v>3227.4498695443667</v>
      </c>
      <c r="AE2" s="81">
        <f>getCCT(red!AC2,green!AC2,blue!AC2)</f>
        <v>3166.1019673427222</v>
      </c>
      <c r="AF2" s="81">
        <f>getCCT(red!AD2,green!AD2,blue!AD2)</f>
        <v>3374.0541959840048</v>
      </c>
      <c r="AG2" s="81">
        <f>getCCT(red!AE2,green!AE2,blue!AE2)</f>
        <v>3791.788264900521</v>
      </c>
      <c r="AH2" s="81">
        <f>getCCT(red!AF2,green!AF2,blue!AF2)</f>
        <v>3259.7032783540499</v>
      </c>
      <c r="AI2" s="122">
        <f>getCCT(red!AG2,green!AG2,blue!AG2)</f>
        <v>3399.5852202216247</v>
      </c>
      <c r="AL2" s="83"/>
      <c r="AM2" s="83"/>
      <c r="AN2" s="83"/>
    </row>
    <row r="3" spans="1:40" ht="18">
      <c r="A3" s="80" t="s">
        <v>53</v>
      </c>
      <c r="B3" s="81">
        <f t="shared" si="1"/>
        <v>3181.988093922721</v>
      </c>
      <c r="C3" s="81">
        <f t="shared" si="2"/>
        <v>202.6592978559168</v>
      </c>
      <c r="D3" s="121">
        <f>getCCT(red!B3,green!B3,blue!B3)</f>
        <v>3153.4599984896945</v>
      </c>
      <c r="E3" s="81">
        <f>getCCT(red!C3,green!C3,blue!C3)</f>
        <v>3249.7835665198099</v>
      </c>
      <c r="F3" s="81">
        <f>getCCT(red!D3,green!D3,blue!D3)</f>
        <v>3132.1024248962103</v>
      </c>
      <c r="G3" s="81">
        <f>getCCT(red!E3,green!E3,blue!E3)</f>
        <v>3238.9854592678616</v>
      </c>
      <c r="H3" s="81">
        <f>getCCT(red!F3,green!F3,blue!F3)</f>
        <v>3275.3162477471215</v>
      </c>
      <c r="I3" s="81">
        <f>getCCT(red!G3,green!G3,blue!G3)</f>
        <v>3114.8753867738142</v>
      </c>
      <c r="J3" s="81">
        <f>getCCT(red!H3,green!H3,blue!H3)</f>
        <v>2735.5351627823657</v>
      </c>
      <c r="K3" s="122">
        <f>getCCT(red!I3,green!I3,blue!I3)</f>
        <v>3137.602694123223</v>
      </c>
      <c r="L3" s="121">
        <f>getCCT(red!J3,green!J3,blue!J3)</f>
        <v>2944.6127738508112</v>
      </c>
      <c r="M3" s="81">
        <f>getCCT(red!K3,green!K3,blue!K3)</f>
        <v>2731.5382780517843</v>
      </c>
      <c r="N3" s="81">
        <f>getCCT(red!L3,green!L3,blue!L3)</f>
        <v>2995.1307736109575</v>
      </c>
      <c r="O3" s="81">
        <f>getCCT(red!M3,green!M3,blue!M3)</f>
        <v>3427.6723839140473</v>
      </c>
      <c r="P3" s="81">
        <f>getCCT(red!N3,green!N3,blue!N3)</f>
        <v>3091.6764550767862</v>
      </c>
      <c r="Q3" s="81">
        <f>getCCT(red!O3,green!O3,blue!O3)</f>
        <v>3320.03252304547</v>
      </c>
      <c r="R3" s="81">
        <f>getCCT(red!P3,green!P3,blue!P3)</f>
        <v>3225.6120045392399</v>
      </c>
      <c r="S3" s="122">
        <f>getCCT(red!Q3,green!Q3,blue!Q3)</f>
        <v>3212.6548038344499</v>
      </c>
      <c r="T3" s="121">
        <f>getCCT(red!R3,green!R3,blue!R3)</f>
        <v>3362.8707587658978</v>
      </c>
      <c r="U3" s="81">
        <f>getCCT(red!S3,green!S3,blue!S3)</f>
        <v>3237.7506993437469</v>
      </c>
      <c r="V3" s="81">
        <f>getCCT(red!T3,green!T3,blue!T3)</f>
        <v>3252.9974874505824</v>
      </c>
      <c r="W3" s="81">
        <f>getCCT(red!U3,green!U3,blue!U3)</f>
        <v>3389.9907087786764</v>
      </c>
      <c r="X3" s="81">
        <f>getCCT(red!V3,green!V3,blue!V3)</f>
        <v>3183.9119773765219</v>
      </c>
      <c r="Y3" s="81"/>
      <c r="Z3" s="81">
        <f>getCCT(red!X3,green!X3,blue!X3)</f>
        <v>3339.1754128391408</v>
      </c>
      <c r="AA3" s="122">
        <f>getCCT(red!Y3,green!Y3,blue!Y3)</f>
        <v>3055.4330218710911</v>
      </c>
      <c r="AB3" s="121">
        <f>getCCT(red!Z3,green!Z3,blue!Z3)</f>
        <v>3304.8980766066534</v>
      </c>
      <c r="AC3" s="81">
        <f>getCCT(red!AA3,green!AA3,blue!AA3)</f>
        <v>3226.3336296319694</v>
      </c>
      <c r="AD3" s="81">
        <f>getCCT(red!AB3,green!AB3,blue!AB3)</f>
        <v>3182.954259574863</v>
      </c>
      <c r="AE3" s="81">
        <f>getCCT(red!AC3,green!AC3,blue!AC3)</f>
        <v>2846.4956431974538</v>
      </c>
      <c r="AF3" s="81">
        <f>getCCT(red!AD3,green!AD3,blue!AD3)</f>
        <v>3252.8824398579191</v>
      </c>
      <c r="AG3" s="81">
        <f>getCCT(red!AE3,green!AE3,blue!AE3)</f>
        <v>3757.3668123598577</v>
      </c>
      <c r="AH3" s="81">
        <f>getCCT(red!AF3,green!AF3,blue!AF3)</f>
        <v>3245.2399250145359</v>
      </c>
      <c r="AI3" s="122">
        <f>getCCT(red!AG3,green!AG3,blue!AG3)</f>
        <v>3016.7391224117678</v>
      </c>
      <c r="AL3" s="83"/>
      <c r="AM3" s="83"/>
      <c r="AN3" s="83"/>
    </row>
    <row r="4" spans="1:40" ht="18">
      <c r="A4" s="80" t="s">
        <v>51</v>
      </c>
      <c r="B4" s="81">
        <f>AVERAGE(D4:AI4)</f>
        <v>4790.5392548241307</v>
      </c>
      <c r="C4" s="81">
        <f>STDEV(D4:AI4)</f>
        <v>85.974955342771935</v>
      </c>
      <c r="D4" s="121">
        <f>getCCT(red!B4,green!B4,blue!B4)</f>
        <v>4737.9071785128281</v>
      </c>
      <c r="E4" s="81">
        <f>getCCT(red!C4,green!C4,blue!C4)</f>
        <v>4801.0638700946238</v>
      </c>
      <c r="F4" s="81">
        <f>getCCT(red!D4,green!D4,blue!D4)</f>
        <v>4669.3781232964502</v>
      </c>
      <c r="G4" s="81">
        <f>getCCT(red!E4,green!E4,blue!E4)</f>
        <v>4807.6170554332821</v>
      </c>
      <c r="H4" s="81">
        <f>getCCT(red!F4,green!F4,blue!F4)</f>
        <v>4833.4134736250908</v>
      </c>
      <c r="I4" s="81">
        <f>getCCT(red!G4,green!G4,blue!G4)</f>
        <v>4709.1577600357632</v>
      </c>
      <c r="J4" s="81">
        <f>getCCT(red!H4,green!H4,blue!H4)</f>
        <v>4687.0449984592897</v>
      </c>
      <c r="K4" s="122">
        <f>getCCT(red!I4,green!I4,blue!I4)</f>
        <v>4847.2724290406031</v>
      </c>
      <c r="L4" s="121">
        <f>getCCT(red!J4,green!J4,blue!J4)</f>
        <v>4872.3285942982966</v>
      </c>
      <c r="M4" s="81">
        <f>getCCT(red!K4,green!K4,blue!K4)</f>
        <v>4702.9697554557006</v>
      </c>
      <c r="N4" s="81">
        <f>getCCT(red!L4,green!L4,blue!L4)</f>
        <v>4830.0813427929052</v>
      </c>
      <c r="O4" s="81">
        <f>getCCT(red!M4,green!M4,blue!M4)</f>
        <v>4888.9422734830441</v>
      </c>
      <c r="P4" s="81">
        <f>getCCT(red!N4,green!N4,blue!N4)</f>
        <v>4634.2802751819263</v>
      </c>
      <c r="Q4" s="81">
        <f>getCCT(red!O4,green!O4,blue!O4)</f>
        <v>4976.4126964948364</v>
      </c>
      <c r="R4" s="81">
        <f>getCCT(red!P4,green!P4,blue!P4)</f>
        <v>4822.8823957707682</v>
      </c>
      <c r="S4" s="122">
        <f>getCCT(red!Q4,green!Q4,blue!Q4)</f>
        <v>4878.746878613385</v>
      </c>
      <c r="T4" s="121">
        <f>getCCT(red!R4,green!R4,blue!R4)</f>
        <v>4866.5991670762523</v>
      </c>
      <c r="U4" s="81">
        <f>getCCT(red!S4,green!S4,blue!S4)</f>
        <v>4806.4354718593586</v>
      </c>
      <c r="V4" s="81">
        <f>getCCT(red!T4,green!T4,blue!T4)</f>
        <v>4652.529004086512</v>
      </c>
      <c r="W4" s="81">
        <f>getCCT(red!U4,green!U4,blue!U4)</f>
        <v>4812.3375528196075</v>
      </c>
      <c r="X4" s="81">
        <f>getCCT(red!V4,green!V4,blue!V4)</f>
        <v>4768.1257669675124</v>
      </c>
      <c r="Y4" s="81"/>
      <c r="Z4" s="81">
        <f>getCCT(red!X4,green!X4,blue!X4)</f>
        <v>4946.4834924174938</v>
      </c>
      <c r="AA4" s="122">
        <f>getCCT(red!Y4,green!Y4,blue!Y4)</f>
        <v>4705.1759126475508</v>
      </c>
      <c r="AB4" s="121">
        <f>getCCT(red!Z4,green!Z4,blue!Z4)</f>
        <v>4794.7280969526228</v>
      </c>
      <c r="AC4" s="81">
        <f>getCCT(red!AA4,green!AA4,blue!AA4)</f>
        <v>4740.4498037030817</v>
      </c>
      <c r="AD4" s="81">
        <f>getCCT(red!AB4,green!AB4,blue!AB4)</f>
        <v>4730.5421226083554</v>
      </c>
      <c r="AE4" s="81">
        <f>getCCT(red!AC4,green!AC4,blue!AC4)</f>
        <v>4709.0777988480831</v>
      </c>
      <c r="AF4" s="81">
        <f>getCCT(red!AD4,green!AD4,blue!AD4)</f>
        <v>4899.4981742777645</v>
      </c>
      <c r="AG4" s="81">
        <f>getCCT(red!AE4,green!AE4,blue!AE4)</f>
        <v>4853.9181231660305</v>
      </c>
      <c r="AH4" s="81">
        <f>getCCT(red!AF4,green!AF4,blue!AF4)</f>
        <v>4758.9521297829488</v>
      </c>
      <c r="AI4" s="122">
        <f>getCCT(red!AG4,green!AG4,blue!AG4)</f>
        <v>4762.3651817461005</v>
      </c>
      <c r="AL4" s="83"/>
      <c r="AM4" s="83"/>
      <c r="AN4" s="83"/>
    </row>
    <row r="5" spans="1:40" ht="18">
      <c r="A5" s="80" t="s">
        <v>54</v>
      </c>
      <c r="B5" s="81">
        <f>AVERAGE(D5:AI5)</f>
        <v>4739.9475068124948</v>
      </c>
      <c r="C5" s="81">
        <f>STDEV(D5:AI5)</f>
        <v>82.776175398048409</v>
      </c>
      <c r="D5" s="121">
        <f>getCCT(red!B5,green!B5,blue!B5)</f>
        <v>4658.8885654951737</v>
      </c>
      <c r="E5" s="81">
        <f>getCCT(red!C5,green!C5,blue!C5)</f>
        <v>4796.3352427342024</v>
      </c>
      <c r="F5" s="81">
        <f>getCCT(red!D5,green!D5,blue!D5)</f>
        <v>4648.9589340509983</v>
      </c>
      <c r="G5" s="81">
        <f>getCCT(red!E5,green!E5,blue!E5)</f>
        <v>4733.6312516871676</v>
      </c>
      <c r="H5" s="81">
        <f>getCCT(red!F5,green!F5,blue!F5)</f>
        <v>4795.4492522881937</v>
      </c>
      <c r="I5" s="81">
        <f>getCCT(red!G5,green!G5,blue!G5)</f>
        <v>4684.7521088183294</v>
      </c>
      <c r="J5" s="81">
        <f>getCCT(red!H5,green!H5,blue!H5)</f>
        <v>4580.9717236943015</v>
      </c>
      <c r="K5" s="122">
        <f>getCCT(red!I5,green!I5,blue!I5)</f>
        <v>4790.6539693702252</v>
      </c>
      <c r="L5" s="121">
        <f>getCCT(red!J5,green!J5,blue!J5)</f>
        <v>4701.9681809400963</v>
      </c>
      <c r="M5" s="81">
        <f>getCCT(red!K5,green!K5,blue!K5)</f>
        <v>4669.903735017675</v>
      </c>
      <c r="N5" s="81">
        <f>getCCT(red!L5,green!L5,blue!L5)</f>
        <v>4799.9125847212954</v>
      </c>
      <c r="O5" s="81">
        <f>getCCT(red!M5,green!M5,blue!M5)</f>
        <v>4854.8266128281703</v>
      </c>
      <c r="P5" s="81">
        <f>getCCT(red!N5,green!N5,blue!N5)</f>
        <v>4632.7439482791997</v>
      </c>
      <c r="Q5" s="81">
        <f>getCCT(red!O5,green!O5,blue!O5)</f>
        <v>4791.9804845075651</v>
      </c>
      <c r="R5" s="81">
        <f>getCCT(red!P5,green!P5,blue!P5)</f>
        <v>4717.6827757120172</v>
      </c>
      <c r="S5" s="122">
        <f>getCCT(red!Q5,green!Q5,blue!Q5)</f>
        <v>4735.039836017877</v>
      </c>
      <c r="T5" s="121">
        <f>getCCT(red!R5,green!R5,blue!R5)</f>
        <v>4865.4694357904946</v>
      </c>
      <c r="U5" s="81">
        <f>getCCT(red!S5,green!S5,blue!S5)</f>
        <v>4696.0650199485508</v>
      </c>
      <c r="V5" s="81">
        <f>getCCT(red!T5,green!T5,blue!T5)</f>
        <v>4676.4610131858253</v>
      </c>
      <c r="W5" s="81">
        <f>getCCT(red!U5,green!U5,blue!U5)</f>
        <v>4667.2589890965874</v>
      </c>
      <c r="X5" s="81">
        <f>getCCT(red!V5,green!V5,blue!V5)</f>
        <v>4750.7016475127566</v>
      </c>
      <c r="Y5" s="81"/>
      <c r="Z5" s="81">
        <f>getCCT(red!X5,green!X5,blue!X5)</f>
        <v>4821.4235004363882</v>
      </c>
      <c r="AA5" s="122">
        <f>getCCT(red!Y5,green!Y5,blue!Y5)</f>
        <v>4693.4013355647148</v>
      </c>
      <c r="AB5" s="121">
        <f>getCCT(red!Z5,green!Z5,blue!Z5)</f>
        <v>4793.6657732585882</v>
      </c>
      <c r="AC5" s="81">
        <f>getCCT(red!AA5,green!AA5,blue!AA5)</f>
        <v>4707.8544071371662</v>
      </c>
      <c r="AD5" s="81">
        <f>getCCT(red!AB5,green!AB5,blue!AB5)</f>
        <v>4707.9546559915671</v>
      </c>
      <c r="AE5" s="81">
        <f>getCCT(red!AC5,green!AC5,blue!AC5)</f>
        <v>4690.6622274816527</v>
      </c>
      <c r="AF5" s="81">
        <f>getCCT(red!AD5,green!AD5,blue!AD5)</f>
        <v>4836.3341740194846</v>
      </c>
      <c r="AG5" s="81">
        <f>getCCT(red!AE5,green!AE5,blue!AE5)</f>
        <v>4989.9990900025468</v>
      </c>
      <c r="AH5" s="81">
        <f>getCCT(red!AF5,green!AF5,blue!AF5)</f>
        <v>4727.4079202199109</v>
      </c>
      <c r="AI5" s="122">
        <f>getCCT(red!AG5,green!AG5,blue!AG5)</f>
        <v>4720.0143153786103</v>
      </c>
      <c r="AL5" s="83"/>
      <c r="AM5" s="83"/>
      <c r="AN5" s="83"/>
    </row>
    <row r="6" spans="1:40" ht="18">
      <c r="A6" s="108" t="s">
        <v>72</v>
      </c>
      <c r="B6" s="81">
        <f t="shared" ref="B6:B7" si="3">AVERAGE(D6:AI6)</f>
        <v>5893.563374077813</v>
      </c>
      <c r="C6" s="81">
        <f t="shared" ref="C6:C7" si="4">STDEV(D6:AI6)</f>
        <v>216.81806078293599</v>
      </c>
      <c r="D6" s="121">
        <f>getCCT(red!B6,green!B6,blue!B6)</f>
        <v>6040.774319425529</v>
      </c>
      <c r="E6" s="81">
        <f>getCCT(red!C6,green!C6,blue!C6)</f>
        <v>6127.7447789428634</v>
      </c>
      <c r="F6" s="81">
        <f>getCCT(red!D6,green!D6,blue!D6)</f>
        <v>5694.2847918927364</v>
      </c>
      <c r="G6" s="81">
        <f>getCCT(red!E6,green!E6,blue!E6)</f>
        <v>5834.435949338118</v>
      </c>
      <c r="H6" s="81">
        <f>getCCT(red!F6,green!F6,blue!F6)</f>
        <v>6032.9370136383504</v>
      </c>
      <c r="I6" s="81">
        <f>getCCT(red!G6,green!G6,blue!G6)</f>
        <v>5694.7071964202523</v>
      </c>
      <c r="J6" s="81">
        <f>getCCT(red!H6,green!H6,blue!H6)</f>
        <v>5416.7118709972492</v>
      </c>
      <c r="K6" s="122">
        <f>getCCT(red!I6,green!I6,blue!I6)</f>
        <v>5885.799835015031</v>
      </c>
      <c r="L6" s="121">
        <f>getCCT(red!J6,green!J6,blue!J6)</f>
        <v>5866.1471284060854</v>
      </c>
      <c r="M6" s="81">
        <f>getCCT(red!K6,green!K6,blue!K6)</f>
        <v>5682.8818710701426</v>
      </c>
      <c r="N6" s="81">
        <f>getCCT(red!L6,green!L6,blue!L6)</f>
        <v>5927.9708422563854</v>
      </c>
      <c r="O6" s="81">
        <f>getCCT(red!M6,green!M6,blue!M6)</f>
        <v>5879.5091194176402</v>
      </c>
      <c r="P6" s="81">
        <f>getCCT(red!N6,green!N6,blue!N6)</f>
        <v>5695.7495996860034</v>
      </c>
      <c r="Q6" s="81">
        <f>getCCT(red!O6,green!O6,blue!O6)</f>
        <v>6073.1080790240294</v>
      </c>
      <c r="R6" s="81">
        <f>getCCT(red!P6,green!P6,blue!P6)</f>
        <v>6019.2330108972728</v>
      </c>
      <c r="S6" s="122">
        <f>getCCT(red!Q6,green!Q6,blue!Q6)</f>
        <v>6171.1914016208693</v>
      </c>
      <c r="T6" s="121">
        <f>getCCT(red!R6,green!R6,blue!R6)</f>
        <v>6511.1426989383035</v>
      </c>
      <c r="U6" s="81">
        <f>getCCT(red!S6,green!S6,blue!S6)</f>
        <v>5703.7778057492787</v>
      </c>
      <c r="V6" s="81">
        <f>getCCT(red!T6,green!T6,blue!T6)</f>
        <v>5942.1881557978231</v>
      </c>
      <c r="W6" s="81">
        <f>getCCT(red!U6,green!U6,blue!U6)</f>
        <v>5655.0790021498015</v>
      </c>
      <c r="X6" s="81">
        <f>getCCT(red!V6,green!V6,blue!V6)</f>
        <v>5867.1895864499411</v>
      </c>
      <c r="Y6" s="81"/>
      <c r="Z6" s="81">
        <f>getCCT(red!X6,green!X6,blue!X6)</f>
        <v>6112.5820812480242</v>
      </c>
      <c r="AA6" s="122">
        <f>getCCT(red!Y6,green!Y6,blue!Y6)</f>
        <v>5878.4219497350432</v>
      </c>
      <c r="AB6" s="121">
        <f>getCCT(red!Z6,green!Z6,blue!Z6)</f>
        <v>6145.5265247294838</v>
      </c>
      <c r="AC6" s="81">
        <f>getCCT(red!AA6,green!AA6,blue!AA6)</f>
        <v>5679.2485997968661</v>
      </c>
      <c r="AD6" s="81">
        <f>getCCT(red!AB6,green!AB6,blue!AB6)</f>
        <v>5715.2108834678966</v>
      </c>
      <c r="AE6" s="81">
        <f>getCCT(red!AC6,green!AC6,blue!AC6)</f>
        <v>5735.783156510608</v>
      </c>
      <c r="AF6" s="81">
        <f>getCCT(red!AD6,green!AD6,blue!AD6)</f>
        <v>5926.8658744954337</v>
      </c>
      <c r="AG6" s="81">
        <f>getCCT(red!AE6,green!AE6,blue!AE6)</f>
        <v>6181.8662410558027</v>
      </c>
      <c r="AH6" s="81">
        <f>getCCT(red!AF6,green!AF6,blue!AF6)</f>
        <v>5786.3264142548342</v>
      </c>
      <c r="AI6" s="122">
        <f>getCCT(red!AG6,green!AG6,blue!AG6)</f>
        <v>5816.068813984496</v>
      </c>
      <c r="AL6" s="83"/>
      <c r="AM6" s="83"/>
      <c r="AN6" s="83"/>
    </row>
    <row r="7" spans="1:40" ht="18">
      <c r="A7" s="108" t="s">
        <v>73</v>
      </c>
      <c r="B7" s="81">
        <f t="shared" si="3"/>
        <v>6148.8721664787372</v>
      </c>
      <c r="C7" s="81">
        <f t="shared" si="4"/>
        <v>301.16910097851945</v>
      </c>
      <c r="D7" s="123">
        <f>getCCT(red!B7,green!B7,blue!B7)</f>
        <v>6375.7177726650061</v>
      </c>
      <c r="E7" s="124">
        <f>getCCT(red!C7,green!C7,blue!C7)</f>
        <v>6249.9477644473773</v>
      </c>
      <c r="F7" s="124">
        <f>getCCT(red!D7,green!D7,blue!D7)</f>
        <v>5857.7942577189706</v>
      </c>
      <c r="G7" s="124">
        <f>getCCT(red!E7,green!E7,blue!E7)</f>
        <v>6200.7162002893692</v>
      </c>
      <c r="H7" s="124">
        <f>getCCT(red!F7,green!F7,blue!F7)</f>
        <v>6359.6359847484373</v>
      </c>
      <c r="I7" s="124">
        <f>getCCT(red!G7,green!G7,blue!G7)</f>
        <v>5975.4636981420399</v>
      </c>
      <c r="J7" s="124">
        <f>getCCT(red!H7,green!H7,blue!H7)</f>
        <v>5750.81007582855</v>
      </c>
      <c r="K7" s="125">
        <f>getCCT(red!I7,green!I7,blue!I7)</f>
        <v>6230.0658166879157</v>
      </c>
      <c r="L7" s="123">
        <f>getCCT(red!J7,green!J7,blue!J7)</f>
        <v>6420.4464015013709</v>
      </c>
      <c r="M7" s="124">
        <f>getCCT(red!K7,green!K7,blue!K7)</f>
        <v>5652.7529556461268</v>
      </c>
      <c r="N7" s="124">
        <f>getCCT(red!L7,green!L7,blue!L7)</f>
        <v>5895.8427698930682</v>
      </c>
      <c r="O7" s="124">
        <f>getCCT(red!M7,green!M7,blue!M7)</f>
        <v>6052.3960559433817</v>
      </c>
      <c r="P7" s="124">
        <f>getCCT(red!N7,green!N7,blue!N7)</f>
        <v>5936.3627529059595</v>
      </c>
      <c r="Q7" s="124">
        <f>getCCT(red!O7,green!O7,blue!O7)</f>
        <v>7073.6911247649759</v>
      </c>
      <c r="R7" s="124">
        <f>getCCT(red!P7,green!P7,blue!P7)</f>
        <v>6453.2224810014241</v>
      </c>
      <c r="S7" s="125">
        <f>getCCT(red!Q7,green!Q7,blue!Q7)</f>
        <v>6391.2379918317147</v>
      </c>
      <c r="T7" s="123">
        <f>getCCT(red!R7,green!R7,blue!R7)</f>
        <v>6732.6880836118726</v>
      </c>
      <c r="U7" s="124">
        <f>getCCT(red!S7,green!S7,blue!S7)</f>
        <v>6020.2052578583452</v>
      </c>
      <c r="V7" s="124">
        <f>getCCT(red!T7,green!T7,blue!T7)</f>
        <v>6199.7984766114268</v>
      </c>
      <c r="W7" s="124">
        <f>getCCT(red!U7,green!U7,blue!U7)</f>
        <v>6039.4697775844925</v>
      </c>
      <c r="X7" s="124">
        <f>getCCT(red!V7,green!V7,blue!V7)</f>
        <v>6179.8519166842489</v>
      </c>
      <c r="Y7" s="124"/>
      <c r="Z7" s="124">
        <f>getCCT(red!X7,green!X7,blue!X7)</f>
        <v>6398.5754075718833</v>
      </c>
      <c r="AA7" s="125">
        <f>getCCT(red!Y7,green!Y7,blue!Y7)</f>
        <v>6010.8918188936323</v>
      </c>
      <c r="AB7" s="123">
        <f>getCCT(red!Z7,green!Z7,blue!Z7)</f>
        <v>6379.7649309392154</v>
      </c>
      <c r="AC7" s="124">
        <f>getCCT(red!AA7,green!AA7,blue!AA7)</f>
        <v>5953.577095804354</v>
      </c>
      <c r="AD7" s="124">
        <f>getCCT(red!AB7,green!AB7,blue!AB7)</f>
        <v>5817.1156927066222</v>
      </c>
      <c r="AE7" s="124">
        <f>getCCT(red!AC7,green!AC7,blue!AC7)</f>
        <v>5990.0090173843819</v>
      </c>
      <c r="AF7" s="124">
        <f>getCCT(red!AD7,green!AD7,blue!AD7)</f>
        <v>6207.876594032532</v>
      </c>
      <c r="AG7" s="124">
        <f>getCCT(red!AE7,green!AE7,blue!AE7)</f>
        <v>5837.280606067091</v>
      </c>
      <c r="AH7" s="124">
        <f>getCCT(red!AF7,green!AF7,blue!AF7)</f>
        <v>6148.2059161983198</v>
      </c>
      <c r="AI7" s="125">
        <f>getCCT(red!AG7,green!AG7,blue!AG7)</f>
        <v>5823.6224648767493</v>
      </c>
      <c r="AL7" s="83"/>
      <c r="AM7" s="83"/>
      <c r="AN7" s="83"/>
    </row>
    <row r="8" spans="1:40" ht="15.75" thickBot="1"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L8" s="83"/>
      <c r="AM8" s="83"/>
      <c r="AN8" s="83"/>
    </row>
    <row r="9" spans="1:40">
      <c r="A9" s="111" t="s">
        <v>9</v>
      </c>
      <c r="B9" s="112">
        <f>AVERAGE(D2:AI2,D3:AI3)</f>
        <v>3268.5577900441922</v>
      </c>
      <c r="C9" s="113">
        <f>STDEV(D2:AI2,D3:AI3)</f>
        <v>214.28266589579403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L9" s="83"/>
      <c r="AM9" s="83"/>
      <c r="AN9" s="83"/>
    </row>
    <row r="10" spans="1:40">
      <c r="A10" s="114" t="s">
        <v>55</v>
      </c>
      <c r="B10" s="81">
        <f>AVERAGE(D4:AI4,D5:AI5)</f>
        <v>4765.2433808183132</v>
      </c>
      <c r="C10" s="115">
        <f>STDEV(D4:AI4,D5:AI5)</f>
        <v>87.495225328990529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L10" s="83"/>
      <c r="AM10" s="83"/>
      <c r="AN10" s="83"/>
    </row>
    <row r="11" spans="1:40" s="83" customFormat="1" ht="15.75" thickBot="1">
      <c r="A11" s="116" t="s">
        <v>65</v>
      </c>
      <c r="B11" s="117">
        <f>AVERAGE(D6:AI6,D7:AI7)</f>
        <v>6021.2177702782737</v>
      </c>
      <c r="C11" s="110">
        <f>STDEV(D6:AI6,D7:AI7)</f>
        <v>290.32816220346763</v>
      </c>
    </row>
    <row r="12" spans="1:40" s="83" customFormat="1" ht="15.75" thickBot="1">
      <c r="A12" s="89"/>
      <c r="B12" s="81"/>
      <c r="C12" s="81"/>
    </row>
    <row r="13" spans="1:40" s="83" customFormat="1">
      <c r="A13" s="178" t="s">
        <v>57</v>
      </c>
      <c r="B13" s="179"/>
      <c r="C13" s="81"/>
    </row>
    <row r="14" spans="1:40" s="83" customFormat="1">
      <c r="A14" s="107" t="s">
        <v>9</v>
      </c>
      <c r="B14" s="86">
        <f>2*(B2-B3)/(B2+B3)</f>
        <v>5.2971188935473916E-2</v>
      </c>
      <c r="C14" s="81"/>
    </row>
    <row r="15" spans="1:40" s="83" customFormat="1">
      <c r="A15" s="107" t="s">
        <v>55</v>
      </c>
      <c r="B15" s="86">
        <f>2*(B4-B5)/(B4+B5)</f>
        <v>1.0616823521603218E-2</v>
      </c>
      <c r="C15" s="81"/>
      <c r="E15" s="30" t="str">
        <f>A14</f>
        <v>QTH</v>
      </c>
      <c r="F15" s="75" t="str">
        <f>F29</f>
        <v>HI</v>
      </c>
      <c r="U15" s="30" t="str">
        <f>E15</f>
        <v>QTH</v>
      </c>
      <c r="V15" s="75" t="str">
        <f>V29</f>
        <v>LO</v>
      </c>
    </row>
    <row r="16" spans="1:40" s="83" customFormat="1" ht="15.75" thickBot="1">
      <c r="A16" s="109" t="s">
        <v>65</v>
      </c>
      <c r="B16" s="88">
        <f>2*(B6-B7)/(B6+B7)</f>
        <v>-4.2401521111089933E-2</v>
      </c>
      <c r="C16" s="81"/>
      <c r="E16" s="82">
        <f>C2*3/5</f>
        <v>115.10879843607613</v>
      </c>
      <c r="F16" s="79"/>
      <c r="U16" s="82">
        <f>C3*3/5</f>
        <v>121.5955787135501</v>
      </c>
      <c r="V16" s="79"/>
    </row>
    <row r="17" spans="1:39" s="83" customFormat="1" ht="15.75" thickBot="1">
      <c r="A17" s="89"/>
      <c r="B17" s="81"/>
      <c r="C17" s="81"/>
      <c r="E17" s="83">
        <f>B2-1.5*C2</f>
        <v>3067.3554900754766</v>
      </c>
      <c r="F17" s="79">
        <f t="shared" ref="F17:F22" si="5">histogram(D$2:AI$2,E$17:E$22,E17)</f>
        <v>0</v>
      </c>
      <c r="U17" s="83">
        <f>B3-1.5*C3</f>
        <v>2877.9991471388457</v>
      </c>
      <c r="V17" s="79">
        <f t="shared" ref="V17:V22" si="6">histogram(D$3:AI$3,U$17:U$22,U17)</f>
        <v>3</v>
      </c>
    </row>
    <row r="18" spans="1:39" s="83" customFormat="1">
      <c r="A18" s="178" t="s">
        <v>58</v>
      </c>
      <c r="B18" s="180"/>
      <c r="C18" s="90">
        <f>MAX(C22:C27)</f>
        <v>7.3469351652903858E-2</v>
      </c>
      <c r="E18" s="83">
        <f>E17+E$30</f>
        <v>3118.9404632811397</v>
      </c>
      <c r="F18" s="79">
        <f t="shared" si="5"/>
        <v>3</v>
      </c>
      <c r="U18" s="83">
        <f>U17+U$30</f>
        <v>2927.6648523776748</v>
      </c>
      <c r="V18" s="79">
        <f t="shared" si="6"/>
        <v>0</v>
      </c>
    </row>
    <row r="19" spans="1:39" s="83" customFormat="1">
      <c r="A19" s="107" t="s">
        <v>9</v>
      </c>
      <c r="B19" s="106" t="s">
        <v>14</v>
      </c>
      <c r="C19" s="86">
        <f>1.5*C2/B2</f>
        <v>8.5770808196341947E-2</v>
      </c>
      <c r="E19" s="83">
        <f>E18+E$30</f>
        <v>3170.5254364868028</v>
      </c>
      <c r="F19" s="79">
        <f t="shared" si="5"/>
        <v>2</v>
      </c>
      <c r="U19" s="83">
        <f>U18+U$30</f>
        <v>2977.3305576165039</v>
      </c>
      <c r="V19" s="79">
        <f t="shared" si="6"/>
        <v>1</v>
      </c>
    </row>
    <row r="20" spans="1:39" s="83" customFormat="1">
      <c r="A20" s="107" t="s">
        <v>9</v>
      </c>
      <c r="B20" s="106" t="s">
        <v>15</v>
      </c>
      <c r="C20" s="86">
        <f>1.5*C3/B3</f>
        <v>9.5534281653807479E-2</v>
      </c>
      <c r="E20" s="83">
        <f>E19+E$30</f>
        <v>3222.110409692466</v>
      </c>
      <c r="F20" s="79">
        <f t="shared" si="5"/>
        <v>3</v>
      </c>
      <c r="U20" s="83">
        <f>U19+U$30</f>
        <v>3026.996262855333</v>
      </c>
      <c r="V20" s="79">
        <f t="shared" si="6"/>
        <v>2</v>
      </c>
    </row>
    <row r="21" spans="1:39" s="83" customFormat="1">
      <c r="A21" s="107" t="s">
        <v>9</v>
      </c>
      <c r="B21" s="79"/>
      <c r="C21" s="86">
        <f>1.5*C9/B9</f>
        <v>9.8338172212443967E-2</v>
      </c>
      <c r="E21" s="83">
        <f>E20+E$30</f>
        <v>3273.6953828981291</v>
      </c>
      <c r="F21" s="79">
        <f t="shared" si="5"/>
        <v>5</v>
      </c>
      <c r="U21" s="83">
        <f>U20+U$30</f>
        <v>3076.6619680941621</v>
      </c>
      <c r="V21" s="79">
        <f t="shared" si="6"/>
        <v>1</v>
      </c>
    </row>
    <row r="22" spans="1:39" s="83" customFormat="1">
      <c r="A22" s="107" t="s">
        <v>55</v>
      </c>
      <c r="B22" s="106" t="s">
        <v>14</v>
      </c>
      <c r="C22" s="86">
        <f>1.5*C4/B4</f>
        <v>2.6920233016416929E-2</v>
      </c>
      <c r="E22" s="83">
        <f>E21+E$30</f>
        <v>3325.2803561037922</v>
      </c>
      <c r="F22" s="79">
        <f t="shared" si="5"/>
        <v>18</v>
      </c>
      <c r="U22" s="83">
        <f>U21+U$30</f>
        <v>3126.3276733329913</v>
      </c>
      <c r="V22" s="79">
        <f t="shared" si="6"/>
        <v>24</v>
      </c>
    </row>
    <row r="23" spans="1:39" s="83" customFormat="1">
      <c r="A23" s="107" t="s">
        <v>55</v>
      </c>
      <c r="B23" s="106" t="s">
        <v>15</v>
      </c>
      <c r="C23" s="86">
        <f>1.5*C5/B5</f>
        <v>2.6195282314544075E-2</v>
      </c>
    </row>
    <row r="24" spans="1:39" s="83" customFormat="1">
      <c r="A24" s="107" t="s">
        <v>55</v>
      </c>
      <c r="B24" s="79"/>
      <c r="C24" s="86">
        <f>1.5*C10/B10</f>
        <v>2.754168622777628E-2</v>
      </c>
    </row>
    <row r="25" spans="1:39" s="83" customFormat="1">
      <c r="A25" s="107" t="s">
        <v>65</v>
      </c>
      <c r="B25" s="106" t="s">
        <v>14</v>
      </c>
      <c r="C25" s="86">
        <f>1.5*C6/B6</f>
        <v>5.5183438360038584E-2</v>
      </c>
    </row>
    <row r="26" spans="1:39" s="83" customFormat="1">
      <c r="A26" s="107" t="s">
        <v>65</v>
      </c>
      <c r="B26" s="106" t="s">
        <v>15</v>
      </c>
      <c r="C26" s="86">
        <f>1.5*C7/B7</f>
        <v>7.3469351652903858E-2</v>
      </c>
    </row>
    <row r="27" spans="1:39" ht="15.75" thickBot="1">
      <c r="A27" s="87" t="s">
        <v>65</v>
      </c>
      <c r="B27" s="91"/>
      <c r="C27" s="88">
        <f>1.5*C11/B11</f>
        <v>7.2326273508137029E-2</v>
      </c>
      <c r="D27" s="84"/>
      <c r="E27" s="84"/>
      <c r="F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</row>
    <row r="28" spans="1:39">
      <c r="E28" s="30"/>
      <c r="G28" s="85"/>
    </row>
    <row r="29" spans="1:39">
      <c r="E29" s="30" t="str">
        <f>A15</f>
        <v>PLED</v>
      </c>
      <c r="F29" s="75" t="s">
        <v>14</v>
      </c>
      <c r="G29" s="85"/>
      <c r="U29" s="30" t="str">
        <f>E29</f>
        <v>PLED</v>
      </c>
      <c r="V29" s="75" t="s">
        <v>15</v>
      </c>
    </row>
    <row r="30" spans="1:39">
      <c r="E30" s="82">
        <f>C4*3/5</f>
        <v>51.584973205663161</v>
      </c>
      <c r="F30" s="79"/>
      <c r="G30" s="85"/>
      <c r="U30" s="82">
        <f>C5*3/5</f>
        <v>49.665705238829048</v>
      </c>
      <c r="V30" s="79"/>
    </row>
    <row r="31" spans="1:39">
      <c r="E31" s="83">
        <f>B4-1.5*C4</f>
        <v>4661.5768218099729</v>
      </c>
      <c r="F31" s="79">
        <f t="shared" ref="F31:F36" si="7">histogram(D$4:AI$4,E$31:E$36,E31)</f>
        <v>2</v>
      </c>
      <c r="G31" s="85"/>
      <c r="U31" s="83">
        <f>B5-1.5*C5</f>
        <v>4615.783243715422</v>
      </c>
      <c r="V31" s="79">
        <f t="shared" ref="V31:V36" si="8">histogram(D$5:AI$5,U$31:U$36,U31)</f>
        <v>1</v>
      </c>
    </row>
    <row r="32" spans="1:39">
      <c r="E32" s="83">
        <f>E31+E$30</f>
        <v>4713.161795015636</v>
      </c>
      <c r="F32" s="79">
        <f t="shared" si="7"/>
        <v>6</v>
      </c>
      <c r="U32" s="83">
        <f>U31+U$30</f>
        <v>4665.4489489542511</v>
      </c>
      <c r="V32" s="79">
        <f t="shared" si="8"/>
        <v>3</v>
      </c>
    </row>
    <row r="33" spans="5:22">
      <c r="E33" s="83">
        <f>E32+E$30</f>
        <v>4764.7467682212991</v>
      </c>
      <c r="F33" s="79">
        <f t="shared" si="7"/>
        <v>5</v>
      </c>
      <c r="U33" s="83">
        <f>U32+U$30</f>
        <v>4715.1146541930802</v>
      </c>
      <c r="V33" s="79">
        <f t="shared" si="8"/>
        <v>10</v>
      </c>
    </row>
    <row r="34" spans="5:22">
      <c r="E34" s="83">
        <f>E33+E$30</f>
        <v>4816.3317414269623</v>
      </c>
      <c r="F34" s="79">
        <f t="shared" si="7"/>
        <v>6</v>
      </c>
      <c r="U34" s="83">
        <f>U33+U$30</f>
        <v>4764.7803594319093</v>
      </c>
      <c r="V34" s="79">
        <f t="shared" si="8"/>
        <v>6</v>
      </c>
    </row>
    <row r="35" spans="5:22">
      <c r="E35" s="83">
        <f>E34+E$30</f>
        <v>4867.9167146326254</v>
      </c>
      <c r="F35" s="79">
        <f t="shared" si="7"/>
        <v>6</v>
      </c>
      <c r="U35" s="83">
        <f>U34+U$30</f>
        <v>4814.4460646707385</v>
      </c>
      <c r="V35" s="79">
        <f t="shared" si="8"/>
        <v>6</v>
      </c>
    </row>
    <row r="36" spans="5:22">
      <c r="E36" s="83">
        <f>E35+E$30</f>
        <v>4919.5016878382885</v>
      </c>
      <c r="F36" s="79">
        <f t="shared" si="7"/>
        <v>6</v>
      </c>
      <c r="U36" s="83">
        <f>U35+U$30</f>
        <v>4864.1117699095676</v>
      </c>
      <c r="V36" s="79">
        <f t="shared" si="8"/>
        <v>5</v>
      </c>
    </row>
    <row r="42" spans="5:22">
      <c r="E42" s="30"/>
      <c r="G42" s="85"/>
    </row>
    <row r="43" spans="5:22">
      <c r="E43" s="6" t="str">
        <f>A16</f>
        <v>Solar</v>
      </c>
      <c r="F43" s="106" t="s">
        <v>14</v>
      </c>
      <c r="G43" s="85"/>
      <c r="U43" s="30" t="str">
        <f>E43</f>
        <v>Solar</v>
      </c>
      <c r="V43" s="106" t="s">
        <v>15</v>
      </c>
    </row>
    <row r="44" spans="5:22">
      <c r="E44" s="82">
        <f>C6*3/5</f>
        <v>130.0908364697616</v>
      </c>
      <c r="F44" s="79"/>
      <c r="G44" s="85"/>
      <c r="U44" s="82">
        <f>C7*3/5</f>
        <v>180.70146058711165</v>
      </c>
      <c r="V44" s="79"/>
    </row>
    <row r="45" spans="5:22">
      <c r="E45" s="83">
        <f>B6-1.5*C6</f>
        <v>5568.3362829034086</v>
      </c>
      <c r="F45" s="79">
        <f>histogram(D$6:AI$6,E$45:E$50,E45)</f>
        <v>1</v>
      </c>
      <c r="G45" s="85"/>
      <c r="U45" s="83">
        <f>B7-1.5*C7</f>
        <v>5697.1185150109577</v>
      </c>
      <c r="V45" s="79">
        <f>histogram(D$7:AI$7,U$45:U$50,U45)</f>
        <v>1</v>
      </c>
    </row>
    <row r="46" spans="5:22">
      <c r="E46" s="83">
        <f>E45+E$44</f>
        <v>5698.4271193731702</v>
      </c>
      <c r="F46" s="79">
        <f t="shared" ref="F46:F50" si="9">histogram(D$6:AI$6,E$45:E$50,E46)</f>
        <v>6</v>
      </c>
      <c r="U46" s="83">
        <f>U45+U$44</f>
        <v>5877.8199755980695</v>
      </c>
      <c r="V46" s="79">
        <f t="shared" ref="V46:V50" si="10">histogram(D$7:AI$7,U$45:U$50,U46)</f>
        <v>5</v>
      </c>
    </row>
    <row r="47" spans="5:22">
      <c r="E47" s="83">
        <f t="shared" ref="E47:E50" si="11">E46+E$44</f>
        <v>5828.5179558429318</v>
      </c>
      <c r="F47" s="79">
        <f t="shared" si="9"/>
        <v>5</v>
      </c>
      <c r="U47" s="83">
        <f t="shared" ref="U47:U50" si="12">U46+U$44</f>
        <v>6058.5214361851813</v>
      </c>
      <c r="V47" s="79">
        <f t="shared" si="10"/>
        <v>9</v>
      </c>
    </row>
    <row r="48" spans="5:22">
      <c r="E48" s="83">
        <f t="shared" si="11"/>
        <v>5958.6087923126934</v>
      </c>
      <c r="F48" s="79">
        <f t="shared" si="9"/>
        <v>9</v>
      </c>
      <c r="U48" s="83">
        <f t="shared" si="12"/>
        <v>6239.2228967722931</v>
      </c>
      <c r="V48" s="79">
        <f t="shared" si="10"/>
        <v>6</v>
      </c>
    </row>
    <row r="49" spans="5:22">
      <c r="E49" s="83">
        <f t="shared" si="11"/>
        <v>6088.699628782455</v>
      </c>
      <c r="F49" s="79">
        <f t="shared" si="9"/>
        <v>4</v>
      </c>
      <c r="U49" s="83">
        <f t="shared" si="12"/>
        <v>6419.9243573594049</v>
      </c>
      <c r="V49" s="79">
        <f t="shared" si="10"/>
        <v>6</v>
      </c>
    </row>
    <row r="50" spans="5:22">
      <c r="E50" s="83">
        <f t="shared" si="11"/>
        <v>6218.7904652522166</v>
      </c>
      <c r="F50" s="79">
        <f t="shared" si="9"/>
        <v>6</v>
      </c>
      <c r="U50" s="83">
        <f t="shared" si="12"/>
        <v>6600.6258179465167</v>
      </c>
      <c r="V50" s="79">
        <f t="shared" si="10"/>
        <v>4</v>
      </c>
    </row>
  </sheetData>
  <mergeCells count="2">
    <mergeCell ref="A13:B13"/>
    <mergeCell ref="A18:B18"/>
  </mergeCells>
  <pageMargins left="0.7" right="0.7" top="0.75" bottom="0.75" header="0.3" footer="0.3"/>
  <pageSetup paperSize="3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L13"/>
  <sheetViews>
    <sheetView zoomScale="70" zoomScaleNormal="70" workbookViewId="0">
      <selection activeCell="B8" sqref="B8"/>
    </sheetView>
  </sheetViews>
  <sheetFormatPr defaultRowHeight="18.75"/>
  <cols>
    <col min="1" max="1" width="9.28515625" style="50" bestFit="1" customWidth="1"/>
    <col min="2" max="2" width="11.7109375" style="30" customWidth="1"/>
    <col min="3" max="3" width="9.140625" style="30" customWidth="1"/>
    <col min="4" max="4" width="6.140625" style="30" customWidth="1"/>
    <col min="5" max="5" width="7.7109375" style="30" customWidth="1"/>
    <col min="6" max="12" width="6.5703125" style="30" bestFit="1" customWidth="1"/>
    <col min="13" max="13" width="7.28515625" style="30" customWidth="1"/>
    <col min="14" max="14" width="6.5703125" style="30" bestFit="1" customWidth="1"/>
    <col min="15" max="15" width="6.5703125" style="30" customWidth="1"/>
    <col min="16" max="16" width="8.28515625" style="30" customWidth="1"/>
    <col min="17" max="33" width="6.5703125" style="30" bestFit="1" customWidth="1"/>
    <col min="34" max="37" width="3.42578125" style="30" bestFit="1" customWidth="1"/>
    <col min="38" max="38" width="6.42578125" style="30" bestFit="1" customWidth="1"/>
    <col min="39" max="16384" width="9.140625" style="30"/>
  </cols>
  <sheetData>
    <row r="1" spans="1:38">
      <c r="A1" s="46"/>
      <c r="B1" s="30">
        <v>0</v>
      </c>
      <c r="C1" s="30">
        <f>B1+1</f>
        <v>1</v>
      </c>
      <c r="D1" s="30">
        <f t="shared" ref="D1:AG1" si="0">C1+1</f>
        <v>2</v>
      </c>
      <c r="E1" s="30">
        <f t="shared" si="0"/>
        <v>3</v>
      </c>
      <c r="F1" s="30">
        <f t="shared" si="0"/>
        <v>4</v>
      </c>
      <c r="G1" s="30">
        <f t="shared" si="0"/>
        <v>5</v>
      </c>
      <c r="H1" s="30">
        <f t="shared" si="0"/>
        <v>6</v>
      </c>
      <c r="I1" s="30">
        <f t="shared" si="0"/>
        <v>7</v>
      </c>
      <c r="J1" s="30">
        <f t="shared" si="0"/>
        <v>8</v>
      </c>
      <c r="K1" s="30">
        <f t="shared" si="0"/>
        <v>9</v>
      </c>
      <c r="L1" s="30">
        <f t="shared" si="0"/>
        <v>10</v>
      </c>
      <c r="M1" s="30">
        <f t="shared" si="0"/>
        <v>11</v>
      </c>
      <c r="N1" s="30">
        <f t="shared" si="0"/>
        <v>12</v>
      </c>
      <c r="O1" s="30">
        <f t="shared" si="0"/>
        <v>13</v>
      </c>
      <c r="P1" s="30">
        <f t="shared" si="0"/>
        <v>14</v>
      </c>
      <c r="Q1" s="30">
        <f t="shared" si="0"/>
        <v>15</v>
      </c>
      <c r="R1" s="30">
        <f t="shared" si="0"/>
        <v>16</v>
      </c>
      <c r="S1" s="30">
        <f t="shared" si="0"/>
        <v>17</v>
      </c>
      <c r="T1" s="30">
        <f t="shared" si="0"/>
        <v>18</v>
      </c>
      <c r="U1" s="30">
        <f t="shared" si="0"/>
        <v>19</v>
      </c>
      <c r="V1" s="30">
        <f t="shared" si="0"/>
        <v>20</v>
      </c>
      <c r="W1" s="30">
        <f t="shared" si="0"/>
        <v>21</v>
      </c>
      <c r="X1" s="30">
        <f t="shared" si="0"/>
        <v>22</v>
      </c>
      <c r="Y1" s="30">
        <f t="shared" si="0"/>
        <v>23</v>
      </c>
      <c r="Z1" s="30">
        <f t="shared" si="0"/>
        <v>24</v>
      </c>
      <c r="AA1" s="30">
        <f t="shared" si="0"/>
        <v>25</v>
      </c>
      <c r="AB1" s="30">
        <f t="shared" si="0"/>
        <v>26</v>
      </c>
      <c r="AC1" s="30">
        <f t="shared" si="0"/>
        <v>27</v>
      </c>
      <c r="AD1" s="30">
        <f t="shared" si="0"/>
        <v>28</v>
      </c>
      <c r="AE1" s="30">
        <f t="shared" si="0"/>
        <v>29</v>
      </c>
      <c r="AF1" s="30">
        <f t="shared" si="0"/>
        <v>30</v>
      </c>
      <c r="AG1" s="30">
        <f t="shared" si="0"/>
        <v>31</v>
      </c>
    </row>
    <row r="2" spans="1:38" ht="20.25">
      <c r="A2" s="47" t="s">
        <v>21</v>
      </c>
      <c r="B2" s="6">
        <f>getRed(data0!B3,data1!B3,data2!B3)</f>
        <v>869.87433886619351</v>
      </c>
      <c r="C2" s="6">
        <f>getRed(data0!C3,data1!C3,data2!C3)</f>
        <v>855.47198163489463</v>
      </c>
      <c r="D2" s="6">
        <f>getRed(data0!D3,data1!D3,data2!D3)</f>
        <v>901.37010886974758</v>
      </c>
      <c r="E2" s="6">
        <f>getRed(data0!E3,data1!E3,data2!E3)</f>
        <v>880.44090746102643</v>
      </c>
      <c r="F2" s="6">
        <f>getRed(data0!F3,data1!F3,data2!F3)</f>
        <v>837.01573277843943</v>
      </c>
      <c r="G2" s="6">
        <f>getRed(data0!G3,data1!G3,data2!G3)</f>
        <v>902.77976028122907</v>
      </c>
      <c r="H2" s="6">
        <f>getRed(data0!H3,data1!H3,data2!H3)</f>
        <v>896.8112696352008</v>
      </c>
      <c r="I2" s="6">
        <f>getRed(data0!I3,data1!I3,data2!I3)</f>
        <v>898.70967585116955</v>
      </c>
      <c r="J2" s="6">
        <f>getRed(data0!J3,data1!J3,data2!J3)</f>
        <v>888.58392549059386</v>
      </c>
      <c r="K2" s="6">
        <f>getRed(data0!K3,data1!K3,data2!K3)</f>
        <v>909.66857160075983</v>
      </c>
      <c r="L2" s="6">
        <f>getRed(data0!L3,data1!L3,data2!L3)</f>
        <v>874.65301758561907</v>
      </c>
      <c r="M2" s="6">
        <f>getRed(data0!M3,data1!M3,data2!M3)</f>
        <v>888.54473643012068</v>
      </c>
      <c r="N2" s="6">
        <f>getRed(data0!N3,data1!N3,data2!N3)</f>
        <v>834.46309132092802</v>
      </c>
      <c r="O2" s="6">
        <f>getRed(data0!O3,data1!O3,data2!O3)</f>
        <v>850.17905416922565</v>
      </c>
      <c r="P2" s="6">
        <f>getRed(data0!P3,data1!P3,data2!P3)</f>
        <v>867.88744418696604</v>
      </c>
      <c r="Q2" s="6">
        <f>getRed(data0!Q3,data1!Q3,data2!Q3)</f>
        <v>820.10743813698207</v>
      </c>
      <c r="R2" s="6">
        <f>getRed(data0!R3,data1!R3,data2!R3)</f>
        <v>813.51743043875467</v>
      </c>
      <c r="S2" s="6">
        <f>getRed(data0!S3,data1!S3,data2!S3)</f>
        <v>980.61022796083648</v>
      </c>
      <c r="T2" s="6">
        <f>getRed(data0!T3,data1!T3,data2!T3)</f>
        <v>762.65466639815975</v>
      </c>
      <c r="U2" s="6">
        <f>getRed(data0!U3,data1!U3,data2!U3)</f>
        <v>935.96967192101499</v>
      </c>
      <c r="V2" s="6">
        <f>getRed(data0!V3,data1!V3,data2!V3)</f>
        <v>841.32460528332729</v>
      </c>
      <c r="W2" s="6">
        <f>getRed(data0!W3,data1!W3,data2!W3)</f>
        <v>7626.4770700436329</v>
      </c>
      <c r="X2" s="6">
        <f>getRed(data0!X3,data1!X3,data2!X3)</f>
        <v>902.44701023254913</v>
      </c>
      <c r="Y2" s="6">
        <f>getRed(data0!Y3,data1!Y3,data2!Y3)</f>
        <v>868.56788515852759</v>
      </c>
      <c r="Z2" s="6">
        <f>getRed(data0!Z3,data1!Z3,data2!Z3)</f>
        <v>790.75781926123125</v>
      </c>
      <c r="AA2" s="6">
        <f>getRed(data0!AA3,data1!AA3,data2!AA3)</f>
        <v>842.19393252822488</v>
      </c>
      <c r="AB2" s="6">
        <f>getRed(data0!AB3,data1!AB3,data2!AB3)</f>
        <v>893.63243585619637</v>
      </c>
      <c r="AC2" s="6">
        <f>getRed(data0!AC3,data1!AC3,data2!AC3)</f>
        <v>918.23494851009889</v>
      </c>
      <c r="AD2" s="6">
        <f>getRed(data0!AD3,data1!AD3,data2!AD3)</f>
        <v>862.64301599241116</v>
      </c>
      <c r="AE2" s="6">
        <f>getRed(data0!AE3,data1!AE3,data2!AE3)</f>
        <v>879.91510173340055</v>
      </c>
      <c r="AF2" s="6">
        <f>getRed(data0!AF3,data1!AF3,data2!AF3)</f>
        <v>819.50675437612597</v>
      </c>
      <c r="AG2" s="6">
        <f>getRed(data0!AG3,data1!AG3,data2!AG3)</f>
        <v>931.72684789743357</v>
      </c>
      <c r="AJ2" s="6"/>
      <c r="AK2" s="6"/>
      <c r="AL2" s="6"/>
    </row>
    <row r="3" spans="1:38" ht="20.25">
      <c r="A3" s="47" t="s">
        <v>22</v>
      </c>
      <c r="B3" s="6">
        <f>getRed(data0!B4,data1!B4,data2!B4)</f>
        <v>879.72910939353403</v>
      </c>
      <c r="C3" s="6">
        <f>getRed(data0!C4,data1!C4,data2!C4)</f>
        <v>874.22240448955426</v>
      </c>
      <c r="D3" s="6">
        <f>getRed(data0!D4,data1!D4,data2!D4)</f>
        <v>917.35955422805</v>
      </c>
      <c r="E3" s="6">
        <f>getRed(data0!E4,data1!E4,data2!E4)</f>
        <v>886.39651131162327</v>
      </c>
      <c r="F3" s="6">
        <f>getRed(data0!F4,data1!F4,data2!F4)</f>
        <v>849.95531779483815</v>
      </c>
      <c r="G3" s="6">
        <f>getRed(data0!G4,data1!G4,data2!G4)</f>
        <v>918.50200672775281</v>
      </c>
      <c r="H3" s="6">
        <f>getRed(data0!H4,data1!H4,data2!H4)</f>
        <v>881.16857346660493</v>
      </c>
      <c r="I3" s="6">
        <f>getRed(data0!I4,data1!I4,data2!I4)</f>
        <v>910.0435225270121</v>
      </c>
      <c r="J3" s="6">
        <f>getRed(data0!J4,data1!J4,data2!J4)</f>
        <v>881.52088337608961</v>
      </c>
      <c r="K3" s="6">
        <f>getRed(data0!K4,data1!K4,data2!K4)</f>
        <v>888.38643628319073</v>
      </c>
      <c r="L3" s="6">
        <f>getRed(data0!L4,data1!L4,data2!L4)</f>
        <v>851.34019199299973</v>
      </c>
      <c r="M3" s="6">
        <f>getRed(data0!M4,data1!M4,data2!M4)</f>
        <v>891.82937461060817</v>
      </c>
      <c r="N3" s="6">
        <f>getRed(data0!N4,data1!N4,data2!N4)</f>
        <v>849.53483492780458</v>
      </c>
      <c r="O3" s="6">
        <f>getRed(data0!O4,data1!O4,data2!O4)</f>
        <v>853.6994642469831</v>
      </c>
      <c r="P3" s="6">
        <f>getRed(data0!P4,data1!P4,data2!P4)</f>
        <v>869.01745586792015</v>
      </c>
      <c r="Q3" s="6">
        <f>getRed(data0!Q4,data1!Q4,data2!Q4)</f>
        <v>817.91647295626217</v>
      </c>
      <c r="R3" s="6">
        <f>getRed(data0!R4,data1!R4,data2!R4)</f>
        <v>827.23286637550007</v>
      </c>
      <c r="S3" s="6">
        <f>getRed(data0!S4,data1!S4,data2!S4)</f>
        <v>973.84125002649637</v>
      </c>
      <c r="T3" s="6">
        <f>getRed(data0!T4,data1!T4,data2!T4)</f>
        <v>785.23838985660143</v>
      </c>
      <c r="U3" s="6">
        <f>getRed(data0!U4,data1!U4,data2!U4)</f>
        <v>933.57548549495459</v>
      </c>
      <c r="V3" s="6">
        <f>getRed(data0!V4,data1!V4,data2!V4)</f>
        <v>858.09684505143855</v>
      </c>
      <c r="W3" s="6">
        <f>getRed(data0!W4,data1!W4,data2!W4)</f>
        <v>1525.2954140087268</v>
      </c>
      <c r="X3" s="6">
        <f>getRed(data0!X4,data1!X4,data2!X4)</f>
        <v>883.85502249741671</v>
      </c>
      <c r="Y3" s="6">
        <f>getRed(data0!Y4,data1!Y4,data2!Y4)</f>
        <v>883.19384235493362</v>
      </c>
      <c r="Z3" s="6">
        <f>getRed(data0!Z4,data1!Z4,data2!Z4)</f>
        <v>803.08403359672945</v>
      </c>
      <c r="AA3" s="6">
        <f>getRed(data0!AA4,data1!AA4,data2!AA4)</f>
        <v>852.08104183454373</v>
      </c>
      <c r="AB3" s="6">
        <f>getRed(data0!AB4,data1!AB4,data2!AB4)</f>
        <v>905.07252209727426</v>
      </c>
      <c r="AC3" s="6">
        <f>getRed(data0!AC4,data1!AC4,data2!AC4)</f>
        <v>920.02989415965328</v>
      </c>
      <c r="AD3" s="6">
        <f>getRed(data0!AD4,data1!AD4,data2!AD4)</f>
        <v>856.11304047593717</v>
      </c>
      <c r="AE3" s="6">
        <f>getRed(data0!AE4,data1!AE4,data2!AE4)</f>
        <v>875.70053527536629</v>
      </c>
      <c r="AF3" s="6">
        <f>getRed(data0!AF4,data1!AF4,data2!AF4)</f>
        <v>833.82910181774696</v>
      </c>
      <c r="AG3" s="6">
        <f>getRed(data0!AG4,data1!AG4,data2!AG4)</f>
        <v>910.28659511853391</v>
      </c>
      <c r="AJ3" s="6"/>
      <c r="AK3" s="6"/>
      <c r="AL3" s="6"/>
    </row>
    <row r="4" spans="1:38" ht="20.25">
      <c r="A4" s="47" t="s">
        <v>20</v>
      </c>
      <c r="B4" s="6">
        <f>getRed(data0!B2,data1!B2,data2!B2)</f>
        <v>465.93097861582737</v>
      </c>
      <c r="C4" s="6">
        <f>getRed(data0!C2,data1!C2,data2!C2)</f>
        <v>439.6658000361976</v>
      </c>
      <c r="D4" s="6">
        <f>getRed(data0!D2,data1!D2,data2!D2)</f>
        <v>468.91991061338291</v>
      </c>
      <c r="E4" s="6">
        <f>getRed(data0!E2,data1!E2,data2!E2)</f>
        <v>455.72385074325473</v>
      </c>
      <c r="F4" s="6">
        <f>getRed(data0!F2,data1!F2,data2!F2)</f>
        <v>429.88694702012356</v>
      </c>
      <c r="G4" s="6">
        <f>getRed(data0!G2,data1!G2,data2!G2)</f>
        <v>465.02711842397571</v>
      </c>
      <c r="H4" s="6">
        <f>getRed(data0!H2,data1!H2,data2!H2)</f>
        <v>440.53115573447468</v>
      </c>
      <c r="I4" s="6">
        <f>getRed(data0!I2,data1!I2,data2!I2)</f>
        <v>439.56516731582968</v>
      </c>
      <c r="J4" s="6">
        <f>getRed(data0!J2,data1!J2,data2!J2)</f>
        <v>443.66699765363808</v>
      </c>
      <c r="K4" s="6">
        <f>getRed(data0!K2,data1!K2,data2!K2)</f>
        <v>441.03400780292452</v>
      </c>
      <c r="L4" s="6">
        <f>getRed(data0!L2,data1!L2,data2!L2)</f>
        <v>426.7820723012594</v>
      </c>
      <c r="M4" s="6">
        <f>getRed(data0!M2,data1!M2,data2!M2)</f>
        <v>432.49700690432985</v>
      </c>
      <c r="N4" s="6">
        <f>getRed(data0!N2,data1!N2,data2!N2)</f>
        <v>436.80859940321119</v>
      </c>
      <c r="O4" s="6">
        <f>getRed(data0!O2,data1!O2,data2!O2)</f>
        <v>440.19163663990781</v>
      </c>
      <c r="P4" s="6">
        <f>getRed(data0!P2,data1!P2,data2!P2)</f>
        <v>445.54952310219267</v>
      </c>
      <c r="Q4" s="6">
        <f>getRed(data0!Q2,data1!Q2,data2!Q2)</f>
        <v>440.79894716461314</v>
      </c>
      <c r="R4" s="6">
        <f>getRed(data0!R2,data1!R2,data2!R2)</f>
        <v>424.236805060888</v>
      </c>
      <c r="S4" s="6">
        <f>getRed(data0!S2,data1!S2,data2!S2)</f>
        <v>502.08852934925608</v>
      </c>
      <c r="T4" s="6">
        <f>getRed(data0!T2,data1!T2,data2!T2)</f>
        <v>407.03434917493928</v>
      </c>
      <c r="U4" s="6">
        <f>getRed(data0!U2,data1!U2,data2!U2)</f>
        <v>470.43528866902494</v>
      </c>
      <c r="V4" s="6">
        <f>getRed(data0!V2,data1!V2,data2!V2)</f>
        <v>431.29649748571296</v>
      </c>
      <c r="W4" s="6">
        <f>getRed(data0!W2,data1!W2,data2!W2)</f>
        <v>3397.9143947586717</v>
      </c>
      <c r="X4" s="6">
        <f>getRed(data0!X2,data1!X2,data2!X2)</f>
        <v>446.64325382133438</v>
      </c>
      <c r="Y4" s="6">
        <f>getRed(data0!Y2,data1!Y2,data2!Y2)</f>
        <v>444.11858874276032</v>
      </c>
      <c r="Z4" s="6">
        <f>getRed(data0!Z2,data1!Z2,data2!Z2)</f>
        <v>413.96170594611579</v>
      </c>
      <c r="AA4" s="6">
        <f>getRed(data0!AA2,data1!AA2,data2!AA2)</f>
        <v>435.1488914063641</v>
      </c>
      <c r="AB4" s="6">
        <f>getRed(data0!AB2,data1!AB2,data2!AB2)</f>
        <v>458.54914365260521</v>
      </c>
      <c r="AC4" s="6">
        <f>getRed(data0!AC2,data1!AC2,data2!AC2)</f>
        <v>458.57136271302352</v>
      </c>
      <c r="AD4" s="6">
        <f>getRed(data0!AD2,data1!AD2,data2!AD2)</f>
        <v>416.01878158698327</v>
      </c>
      <c r="AE4" s="6">
        <f>getRed(data0!AE2,data1!AE2,data2!AE2)</f>
        <v>435.97230263719609</v>
      </c>
      <c r="AF4" s="6">
        <f>getRed(data0!AF2,data1!AF2,data2!AF2)</f>
        <v>417.53321281804699</v>
      </c>
      <c r="AG4" s="6">
        <f>getRed(data0!AG2,data1!AG2,data2!AG2)</f>
        <v>451.31655460731508</v>
      </c>
      <c r="AJ4" s="6"/>
      <c r="AK4" s="6"/>
      <c r="AL4" s="6"/>
    </row>
    <row r="5" spans="1:38" ht="20.25">
      <c r="A5" s="47" t="s">
        <v>23</v>
      </c>
      <c r="B5" s="6">
        <f>getRed(data0!B5,data1!B5,data2!B5)</f>
        <v>444.34625948644225</v>
      </c>
      <c r="C5" s="6">
        <f>getRed(data0!C5,data1!C5,data2!C5)</f>
        <v>424.26605655909646</v>
      </c>
      <c r="D5" s="6">
        <f>getRed(data0!D5,data1!D5,data2!D5)</f>
        <v>449.87689862362686</v>
      </c>
      <c r="E5" s="6">
        <f>getRed(data0!E5,data1!E5,data2!E5)</f>
        <v>433.66028906586047</v>
      </c>
      <c r="F5" s="6">
        <f>getRed(data0!F5,data1!F5,data2!F5)</f>
        <v>410.13597210021521</v>
      </c>
      <c r="G5" s="6">
        <f>getRed(data0!G5,data1!G5,data2!G5)</f>
        <v>446.02517696985046</v>
      </c>
      <c r="H5" s="6">
        <f>getRed(data0!H5,data1!H5,data2!H5)</f>
        <v>408.6558896434131</v>
      </c>
      <c r="I5" s="6">
        <f>getRed(data0!I5,data1!I5,data2!I5)</f>
        <v>417.44781367716041</v>
      </c>
      <c r="J5" s="6">
        <f>getRed(data0!J5,data1!J5,data2!J5)</f>
        <v>416.14313734813913</v>
      </c>
      <c r="K5" s="6">
        <f>getRed(data0!K5,data1!K5,data2!K5)</f>
        <v>413.60007763437602</v>
      </c>
      <c r="L5" s="6">
        <f>getRed(data0!L5,data1!L5,data2!L5)</f>
        <v>397.33971381693254</v>
      </c>
      <c r="M5" s="6">
        <f>getRed(data0!M5,data1!M5,data2!M5)</f>
        <v>408.91104065667071</v>
      </c>
      <c r="N5" s="6">
        <f>getRed(data0!N5,data1!N5,data2!N5)</f>
        <v>421.9994216571389</v>
      </c>
      <c r="O5" s="6">
        <f>getRed(data0!O5,data1!O5,data2!O5)</f>
        <v>417.01933876884021</v>
      </c>
      <c r="P5" s="6">
        <f>getRed(data0!P5,data1!P5,data2!P5)</f>
        <v>421.16932047360581</v>
      </c>
      <c r="Q5" s="6">
        <f>getRed(data0!Q5,data1!Q5,data2!Q5)</f>
        <v>410.94477866589779</v>
      </c>
      <c r="R5" s="6">
        <f>getRed(data0!R5,data1!R5,data2!R5)</f>
        <v>409.43987881905866</v>
      </c>
      <c r="S5" s="6">
        <f>getRed(data0!S5,data1!S5,data2!S5)</f>
        <v>477.17994665855304</v>
      </c>
      <c r="T5" s="6">
        <f>getRed(data0!T5,data1!T5,data2!T5)</f>
        <v>397.29357332743257</v>
      </c>
      <c r="U5" s="6">
        <f>getRed(data0!U5,data1!U5,data2!U5)</f>
        <v>447.52262645534472</v>
      </c>
      <c r="V5" s="6">
        <f>getRed(data0!V5,data1!V5,data2!V5)</f>
        <v>414.93055911087868</v>
      </c>
      <c r="W5" s="6">
        <f>getRed(data0!W5,data1!W5,data2!W5)</f>
        <v>1525.2954140087268</v>
      </c>
      <c r="X5" s="6">
        <f>getRed(data0!X5,data1!X5,data2!X5)</f>
        <v>420.21474246946133</v>
      </c>
      <c r="Y5" s="6">
        <f>getRed(data0!Y5,data1!Y5,data2!Y5)</f>
        <v>427.66654586604324</v>
      </c>
      <c r="Z5" s="6">
        <f>getRed(data0!Z5,data1!Z5,data2!Z5)</f>
        <v>400.75888242396354</v>
      </c>
      <c r="AA5" s="6">
        <f>getRed(data0!AA5,data1!AA5,data2!AA5)</f>
        <v>415.15311932069483</v>
      </c>
      <c r="AB5" s="6">
        <f>getRed(data0!AB5,data1!AB5,data2!AB5)</f>
        <v>440.35586922946635</v>
      </c>
      <c r="AC5" s="6">
        <f>getRed(data0!AC5,data1!AC5,data2!AC5)</f>
        <v>431.47564271991035</v>
      </c>
      <c r="AD5" s="6">
        <f>getRed(data0!AD5,data1!AD5,data2!AD5)</f>
        <v>394.7472086628062</v>
      </c>
      <c r="AE5" s="6">
        <f>getRed(data0!AE5,data1!AE5,data2!AE5)</f>
        <v>408.04412237647614</v>
      </c>
      <c r="AF5" s="6">
        <f>getRed(data0!AF5,data1!AF5,data2!AF5)</f>
        <v>404.70648969465856</v>
      </c>
      <c r="AG5" s="6">
        <f>getRed(data0!AG5,data1!AG5,data2!AG5)</f>
        <v>418.8994811129877</v>
      </c>
      <c r="AJ5" s="6"/>
      <c r="AK5" s="6"/>
      <c r="AL5" s="6"/>
    </row>
    <row r="6" spans="1:38" s="6" customFormat="1" ht="20.25">
      <c r="A6" s="48" t="s">
        <v>70</v>
      </c>
      <c r="B6" s="6">
        <f>getRed(data0!B6,data1!B6,data2!B6)</f>
        <v>739.51027786081772</v>
      </c>
      <c r="C6" s="6">
        <f>getRed(data0!C6,data1!C6,data2!C6)</f>
        <v>730.58996224662872</v>
      </c>
      <c r="D6" s="6">
        <f>getRed(data0!D6,data1!D6,data2!D6)</f>
        <v>765.31559424064619</v>
      </c>
      <c r="E6" s="6">
        <f>getRed(data0!E6,data1!E6,data2!E6)</f>
        <v>747.75909184820443</v>
      </c>
      <c r="F6" s="6">
        <f>getRed(data0!F6,data1!F6,data2!F6)</f>
        <v>705.2858061778777</v>
      </c>
      <c r="G6" s="6">
        <f>getRed(data0!G6,data1!G6,data2!G6)</f>
        <v>761.88437135823756</v>
      </c>
      <c r="H6" s="6">
        <f>getRed(data0!H6,data1!H6,data2!H6)</f>
        <v>712.9134805322384</v>
      </c>
      <c r="I6" s="6">
        <f>getRed(data0!I6,data1!I6,data2!I6)</f>
        <v>745.14939305035261</v>
      </c>
      <c r="J6" s="6">
        <f>getRed(data0!J6,data1!J6,data2!J6)</f>
        <v>715.58612392055363</v>
      </c>
      <c r="K6" s="6">
        <f>getRed(data0!K6,data1!K6,data2!K6)</f>
        <v>726.00341405784229</v>
      </c>
      <c r="L6" s="6">
        <f>getRed(data0!L6,data1!L6,data2!L6)</f>
        <v>694.8073192633442</v>
      </c>
      <c r="M6" s="6">
        <f>getRed(data0!M6,data1!M6,data2!M6)</f>
        <v>736.6128541083898</v>
      </c>
      <c r="N6" s="6">
        <f>getRed(data0!N6,data1!N6,data2!N6)</f>
        <v>713.83540406519546</v>
      </c>
      <c r="O6" s="6">
        <f>getRed(data0!O6,data1!O6,data2!O6)</f>
        <v>707.39968874774024</v>
      </c>
      <c r="P6" s="6">
        <f>getRed(data0!P6,data1!P6,data2!P6)</f>
        <v>717.12544145203356</v>
      </c>
      <c r="Q6" s="6">
        <f>getRed(data0!Q6,data1!Q6,data2!Q6)</f>
        <v>674.99978409545088</v>
      </c>
      <c r="R6" s="6">
        <f>getRed(data0!R6,data1!R6,data2!R6)</f>
        <v>688.06576030010035</v>
      </c>
      <c r="S6" s="6">
        <f>getRed(data0!S6,data1!S6,data2!S6)</f>
        <v>801.52423892008756</v>
      </c>
      <c r="T6" s="6">
        <f>getRed(data0!T6,data1!T6,data2!T6)</f>
        <v>659.64615330677134</v>
      </c>
      <c r="U6" s="6">
        <f>getRed(data0!U6,data1!U6,data2!U6)</f>
        <v>776.35573512574774</v>
      </c>
      <c r="V6" s="6">
        <f>getRed(data0!V6,data1!V6,data2!V6)</f>
        <v>711.77858299449269</v>
      </c>
      <c r="W6" s="6">
        <f>getRed(data0!W6,data1!W6,data2!W6)</f>
        <v>1525.2954140087268</v>
      </c>
      <c r="X6" s="6">
        <f>getRed(data0!X6,data1!X6,data2!X6)</f>
        <v>723.95278927536083</v>
      </c>
      <c r="Y6" s="6">
        <f>getRed(data0!Y6,data1!Y6,data2!Y6)</f>
        <v>731.35572550913309</v>
      </c>
      <c r="Z6" s="6">
        <f>getRed(data0!Z6,data1!Z6,data2!Z6)</f>
        <v>672.89852114837174</v>
      </c>
      <c r="AA6" s="6">
        <f>getRed(data0!AA6,data1!AA6,data2!AA6)</f>
        <v>718.29308072056187</v>
      </c>
      <c r="AB6" s="6">
        <f>getRed(data0!AB6,data1!AB6,data2!AB6)</f>
        <v>753.71917492386331</v>
      </c>
      <c r="AC6" s="6">
        <f>getRed(data0!AC6,data1!AC6,data2!AC6)</f>
        <v>756.38776129551547</v>
      </c>
      <c r="AD6" s="6">
        <f>getRed(data0!AD6,data1!AD6,data2!AD6)</f>
        <v>710.94505154100136</v>
      </c>
      <c r="AE6" s="6">
        <f>getRed(data0!AE6,data1!AE6,data2!AE6)</f>
        <v>721.28261615022791</v>
      </c>
      <c r="AF6" s="6">
        <f>getRed(data0!AF6,data1!AF6,data2!AF6)</f>
        <v>693.54254184227648</v>
      </c>
      <c r="AG6" s="6">
        <f>getRed(data0!AG6,data1!AG6,data2!AG6)</f>
        <v>740.10203576157176</v>
      </c>
    </row>
    <row r="7" spans="1:38" ht="20.25">
      <c r="A7" s="48" t="s">
        <v>71</v>
      </c>
      <c r="B7" s="6">
        <f>getRed(data0!B7,data1!B7,data2!B7)</f>
        <v>737.25695682724927</v>
      </c>
      <c r="C7" s="6">
        <f>getRed(data0!C7,data1!C7,data2!C7)</f>
        <v>717.00358955228069</v>
      </c>
      <c r="D7" s="6">
        <f>getRed(data0!D7,data1!D7,data2!D7)</f>
        <v>760.36997894282263</v>
      </c>
      <c r="E7" s="6">
        <f>getRed(data0!E7,data1!E7,data2!E7)</f>
        <v>749.28820217468456</v>
      </c>
      <c r="F7" s="6">
        <f>getRed(data0!F7,data1!F7,data2!F7)</f>
        <v>700.90727316870959</v>
      </c>
      <c r="G7" s="6">
        <f>getRed(data0!G7,data1!G7,data2!G7)</f>
        <v>756.17088251206337</v>
      </c>
      <c r="H7" s="6">
        <f>getRed(data0!H7,data1!H7,data2!H7)</f>
        <v>735.26746112147157</v>
      </c>
      <c r="I7" s="6">
        <f>getRed(data0!I7,data1!I7,data2!I7)</f>
        <v>747.55196925207599</v>
      </c>
      <c r="J7" s="6">
        <f>getRed(data0!J7,data1!J7,data2!J7)</f>
        <v>736.16055841442028</v>
      </c>
      <c r="K7" s="6">
        <f>getRed(data0!K7,data1!K7,data2!K7)</f>
        <v>749.24460098477107</v>
      </c>
      <c r="L7" s="6">
        <f>getRed(data0!L7,data1!L7,data2!L7)</f>
        <v>726.41321727797833</v>
      </c>
      <c r="M7" s="6">
        <f>getRed(data0!M7,data1!M7,data2!M7)</f>
        <v>744.07969483858142</v>
      </c>
      <c r="N7" s="6">
        <f>getRed(data0!N7,data1!N7,data2!N7)</f>
        <v>700.5486208578111</v>
      </c>
      <c r="O7" s="6">
        <f>getRed(data0!O7,data1!O7,data2!O7)</f>
        <v>707.68766292902831</v>
      </c>
      <c r="P7" s="6">
        <f>getRed(data0!P7,data1!P7,data2!P7)</f>
        <v>730.15861258581879</v>
      </c>
      <c r="Q7" s="6">
        <f>getRed(data0!Q7,data1!Q7,data2!Q7)</f>
        <v>700.23103865405915</v>
      </c>
      <c r="R7" s="6">
        <f>getRed(data0!R7,data1!R7,data2!R7)</f>
        <v>681.45544324617526</v>
      </c>
      <c r="S7" s="6">
        <f>getRed(data0!S7,data1!S7,data2!S7)</f>
        <v>817.46996684316935</v>
      </c>
      <c r="T7" s="6">
        <f>getRed(data0!T7,data1!T7,data2!T7)</f>
        <v>639.99249867049252</v>
      </c>
      <c r="U7" s="6">
        <f>getRed(data0!U7,data1!U7,data2!U7)</f>
        <v>793.96648349653174</v>
      </c>
      <c r="V7" s="6">
        <f>getRed(data0!V7,data1!V7,data2!V7)</f>
        <v>701.8945382340637</v>
      </c>
      <c r="W7" s="6">
        <f>getRed(data0!W7,data1!W7,data2!W7)</f>
        <v>7626.4770700436329</v>
      </c>
      <c r="X7" s="6">
        <f>getRed(data0!X7,data1!X7,data2!X7)</f>
        <v>754.23551409443917</v>
      </c>
      <c r="Y7" s="6">
        <f>getRed(data0!Y7,data1!Y7,data2!Y7)</f>
        <v>725.7987030477334</v>
      </c>
      <c r="Z7" s="6">
        <f>getRed(data0!Z7,data1!Z7,data2!Z7)</f>
        <v>666.15281954719262</v>
      </c>
      <c r="AA7" s="6">
        <f>getRed(data0!AA7,data1!AA7,data2!AA7)</f>
        <v>710.56159789562992</v>
      </c>
      <c r="AB7" s="6">
        <f>getRed(data0!AB7,data1!AB7,data2!AB7)</f>
        <v>753.87864213637158</v>
      </c>
      <c r="AC7" s="6">
        <f>getRed(data0!AC7,data1!AC7,data2!AC7)</f>
        <v>765.0057027780075</v>
      </c>
      <c r="AD7" s="6">
        <f>getRed(data0!AD7,data1!AD7,data2!AD7)</f>
        <v>721.46411101663648</v>
      </c>
      <c r="AE7" s="6">
        <f>getRed(data0!AE7,data1!AE7,data2!AE7)</f>
        <v>736.37873928645786</v>
      </c>
      <c r="AF7" s="6">
        <f>getRed(data0!AF7,data1!AF7,data2!AF7)</f>
        <v>682.59419054014188</v>
      </c>
      <c r="AG7" s="6">
        <f>getRed(data0!AG7,data1!AG7,data2!AG7)</f>
        <v>772.60628559899567</v>
      </c>
      <c r="AH7" s="49"/>
      <c r="AI7" s="49"/>
      <c r="AJ7" s="49"/>
      <c r="AK7" s="49"/>
    </row>
    <row r="8" spans="1:38">
      <c r="B8" s="71"/>
      <c r="E8" s="51"/>
    </row>
    <row r="9" spans="1:38">
      <c r="B9" s="71"/>
      <c r="E9" s="51"/>
    </row>
    <row r="10" spans="1:38">
      <c r="B10" s="71"/>
      <c r="E10" s="51"/>
    </row>
    <row r="11" spans="1:38">
      <c r="B11" s="71"/>
      <c r="E11" s="51"/>
    </row>
    <row r="12" spans="1:38">
      <c r="B12" s="71"/>
    </row>
    <row r="13" spans="1:38">
      <c r="B13" s="71"/>
    </row>
  </sheetData>
  <pageMargins left="0.7" right="0.7" top="0.75" bottom="0.75" header="0.3" footer="0.3"/>
  <pageSetup paperSize="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AL13"/>
  <sheetViews>
    <sheetView zoomScale="70" zoomScaleNormal="70" workbookViewId="0">
      <selection activeCell="A2" sqref="A2:XFD2"/>
    </sheetView>
  </sheetViews>
  <sheetFormatPr defaultRowHeight="18.75"/>
  <cols>
    <col min="1" max="1" width="9.28515625" style="50" bestFit="1" customWidth="1"/>
    <col min="2" max="2" width="11.7109375" style="30" customWidth="1"/>
    <col min="3" max="3" width="9.140625" style="30" customWidth="1"/>
    <col min="4" max="4" width="6.140625" style="30" customWidth="1"/>
    <col min="5" max="5" width="7.7109375" style="30" customWidth="1"/>
    <col min="6" max="12" width="6.5703125" style="30" bestFit="1" customWidth="1"/>
    <col min="13" max="13" width="7.28515625" style="30" customWidth="1"/>
    <col min="14" max="14" width="6.5703125" style="30" bestFit="1" customWidth="1"/>
    <col min="15" max="15" width="6.5703125" style="30" customWidth="1"/>
    <col min="16" max="16" width="8.28515625" style="30" customWidth="1"/>
    <col min="17" max="33" width="6.5703125" style="30" bestFit="1" customWidth="1"/>
    <col min="34" max="37" width="3.42578125" style="30" bestFit="1" customWidth="1"/>
    <col min="38" max="38" width="6.42578125" style="30" bestFit="1" customWidth="1"/>
    <col min="39" max="16384" width="9.140625" style="30"/>
  </cols>
  <sheetData>
    <row r="1" spans="1:38">
      <c r="A1" s="46"/>
      <c r="B1" s="30">
        <v>0</v>
      </c>
      <c r="C1" s="30">
        <f>B1+1</f>
        <v>1</v>
      </c>
      <c r="D1" s="30">
        <f t="shared" ref="D1:AG1" si="0">C1+1</f>
        <v>2</v>
      </c>
      <c r="E1" s="30">
        <f t="shared" si="0"/>
        <v>3</v>
      </c>
      <c r="F1" s="30">
        <f t="shared" si="0"/>
        <v>4</v>
      </c>
      <c r="G1" s="30">
        <f t="shared" si="0"/>
        <v>5</v>
      </c>
      <c r="H1" s="30">
        <f t="shared" si="0"/>
        <v>6</v>
      </c>
      <c r="I1" s="30">
        <f t="shared" si="0"/>
        <v>7</v>
      </c>
      <c r="J1" s="30">
        <f t="shared" si="0"/>
        <v>8</v>
      </c>
      <c r="K1" s="30">
        <f t="shared" si="0"/>
        <v>9</v>
      </c>
      <c r="L1" s="30">
        <f t="shared" si="0"/>
        <v>10</v>
      </c>
      <c r="M1" s="30">
        <f t="shared" si="0"/>
        <v>11</v>
      </c>
      <c r="N1" s="30">
        <f t="shared" si="0"/>
        <v>12</v>
      </c>
      <c r="O1" s="30">
        <f t="shared" si="0"/>
        <v>13</v>
      </c>
      <c r="P1" s="30">
        <f t="shared" si="0"/>
        <v>14</v>
      </c>
      <c r="Q1" s="30">
        <f t="shared" si="0"/>
        <v>15</v>
      </c>
      <c r="R1" s="30">
        <f t="shared" si="0"/>
        <v>16</v>
      </c>
      <c r="S1" s="30">
        <f t="shared" si="0"/>
        <v>17</v>
      </c>
      <c r="T1" s="30">
        <f t="shared" si="0"/>
        <v>18</v>
      </c>
      <c r="U1" s="30">
        <f t="shared" si="0"/>
        <v>19</v>
      </c>
      <c r="V1" s="30">
        <f t="shared" si="0"/>
        <v>20</v>
      </c>
      <c r="W1" s="30">
        <f t="shared" si="0"/>
        <v>21</v>
      </c>
      <c r="X1" s="30">
        <f t="shared" si="0"/>
        <v>22</v>
      </c>
      <c r="Y1" s="30">
        <f t="shared" si="0"/>
        <v>23</v>
      </c>
      <c r="Z1" s="30">
        <f t="shared" si="0"/>
        <v>24</v>
      </c>
      <c r="AA1" s="30">
        <f t="shared" si="0"/>
        <v>25</v>
      </c>
      <c r="AB1" s="30">
        <f t="shared" si="0"/>
        <v>26</v>
      </c>
      <c r="AC1" s="30">
        <f t="shared" si="0"/>
        <v>27</v>
      </c>
      <c r="AD1" s="30">
        <f t="shared" si="0"/>
        <v>28</v>
      </c>
      <c r="AE1" s="30">
        <f t="shared" si="0"/>
        <v>29</v>
      </c>
      <c r="AF1" s="30">
        <f t="shared" si="0"/>
        <v>30</v>
      </c>
      <c r="AG1" s="30">
        <f t="shared" si="0"/>
        <v>31</v>
      </c>
    </row>
    <row r="2" spans="1:38" ht="20.25">
      <c r="A2" s="47" t="s">
        <v>21</v>
      </c>
      <c r="B2" s="6">
        <f>getGreen(data0!B3,data1!B3,data2!B3)</f>
        <v>821.83262178261259</v>
      </c>
      <c r="C2" s="6">
        <f>getGreen(data0!C3,data1!C3,data2!C3)</f>
        <v>811.2262966427827</v>
      </c>
      <c r="D2" s="6">
        <f>getGreen(data0!D3,data1!D3,data2!D3)</f>
        <v>852.37311798375958</v>
      </c>
      <c r="E2" s="6">
        <f>getGreen(data0!E3,data1!E3,data2!E3)</f>
        <v>844.78177920831877</v>
      </c>
      <c r="F2" s="6">
        <f>getGreen(data0!F3,data1!F3,data2!F3)</f>
        <v>787.25499566291376</v>
      </c>
      <c r="G2" s="6">
        <f>getGreen(data0!G3,data1!G3,data2!G3)</f>
        <v>851.9024604706284</v>
      </c>
      <c r="H2" s="6">
        <f>getGreen(data0!H3,data1!H3,data2!H3)</f>
        <v>861.86920618835131</v>
      </c>
      <c r="I2" s="6">
        <f>getGreen(data0!I3,data1!I3,data2!I3)</f>
        <v>867.85969905382422</v>
      </c>
      <c r="J2" s="6">
        <f>getGreen(data0!J3,data1!J3,data2!J3)</f>
        <v>835.83474939164046</v>
      </c>
      <c r="K2" s="6">
        <f>getGreen(data0!K3,data1!K3,data2!K3)</f>
        <v>868.45574862991407</v>
      </c>
      <c r="L2" s="6">
        <f>getGreen(data0!L3,data1!L3,data2!L3)</f>
        <v>876.07527278016607</v>
      </c>
      <c r="M2" s="6">
        <f>getGreen(data0!M3,data1!M3,data2!M3)</f>
        <v>924.93911917614037</v>
      </c>
      <c r="N2" s="6">
        <f>getGreen(data0!N3,data1!N3,data2!N3)</f>
        <v>765.80469343925677</v>
      </c>
      <c r="O2" s="6">
        <f>getGreen(data0!O3,data1!O3,data2!O3)</f>
        <v>834.24762448944273</v>
      </c>
      <c r="P2" s="6">
        <f>getGreen(data0!P3,data1!P3,data2!P3)</f>
        <v>857.36425362677039</v>
      </c>
      <c r="Q2" s="6">
        <f>getGreen(data0!Q3,data1!Q3,data2!Q3)</f>
        <v>814.55558406187788</v>
      </c>
      <c r="R2" s="6">
        <f>getGreen(data0!R3,data1!R3,data2!R3)</f>
        <v>750.48405222476515</v>
      </c>
      <c r="S2" s="6">
        <f>getGreen(data0!S3,data1!S3,data2!S3)</f>
        <v>973.97122297899739</v>
      </c>
      <c r="T2" s="6">
        <f>getGreen(data0!T3,data1!T3,data2!T3)</f>
        <v>699.47946862710057</v>
      </c>
      <c r="U2" s="6">
        <f>getGreen(data0!U3,data1!U3,data2!U3)</f>
        <v>961.80032649572854</v>
      </c>
      <c r="V2" s="6">
        <f>getGreen(data0!V3,data1!V3,data2!V3)</f>
        <v>785.22175170071739</v>
      </c>
      <c r="W2" s="6">
        <f>getGreen(data0!W3,data1!W3,data2!W3)</f>
        <v>5642.2277751850888</v>
      </c>
      <c r="X2" s="6">
        <f>getGreen(data0!X3,data1!X3,data2!X3)</f>
        <v>907.85824844205331</v>
      </c>
      <c r="Y2" s="6">
        <f>getGreen(data0!Y3,data1!Y3,data2!Y3)</f>
        <v>794.57805633680061</v>
      </c>
      <c r="Z2" s="6">
        <f>getGreen(data0!Z3,data1!Z3,data2!Z3)</f>
        <v>738.60248007998734</v>
      </c>
      <c r="AA2" s="6">
        <f>getGreen(data0!AA3,data1!AA3,data2!AA3)</f>
        <v>806.11030484708817</v>
      </c>
      <c r="AB2" s="6">
        <f>getGreen(data0!AB3,data1!AB3,data2!AB3)</f>
        <v>863.17714816719683</v>
      </c>
      <c r="AC2" s="6">
        <f>getGreen(data0!AC3,data1!AC3,data2!AC3)</f>
        <v>869.11245740696188</v>
      </c>
      <c r="AD2" s="6">
        <f>getGreen(data0!AD3,data1!AD3,data2!AD3)</f>
        <v>837.68429336090117</v>
      </c>
      <c r="AE2" s="6">
        <f>getGreen(data0!AE3,data1!AE3,data2!AE3)</f>
        <v>1013.5839530758104</v>
      </c>
      <c r="AF2" s="6">
        <f>getGreen(data0!AF3,data1!AF3,data2!AF3)</f>
        <v>771.98800417981249</v>
      </c>
      <c r="AG2" s="6">
        <f>getGreen(data0!AG3,data1!AG3,data2!AG3)</f>
        <v>930.1587804852752</v>
      </c>
      <c r="AJ2" s="6"/>
      <c r="AK2" s="6"/>
      <c r="AL2" s="6"/>
    </row>
    <row r="3" spans="1:38" ht="20.25">
      <c r="A3" s="47" t="s">
        <v>22</v>
      </c>
      <c r="B3" s="6">
        <f>getGreen(data0!B4,data1!B4,data2!B4)</f>
        <v>780.86017117071628</v>
      </c>
      <c r="C3" s="6">
        <f>getGreen(data0!C4,data1!C4,data2!C4)</f>
        <v>792.11886215006916</v>
      </c>
      <c r="D3" s="6">
        <f>getGreen(data0!D4,data1!D4,data2!D4)</f>
        <v>825.87198995587721</v>
      </c>
      <c r="E3" s="6">
        <f>getGreen(data0!E4,data1!E4,data2!E4)</f>
        <v>807.66489501507965</v>
      </c>
      <c r="F3" s="6">
        <f>getGreen(data0!F4,data1!F4,data2!F4)</f>
        <v>777.12905156301804</v>
      </c>
      <c r="G3" s="6">
        <f>getGreen(data0!G4,data1!G4,data2!G4)</f>
        <v>831.24055243242753</v>
      </c>
      <c r="H3" s="6">
        <f>getGreen(data0!H4,data1!H4,data2!H4)</f>
        <v>743.31513216142969</v>
      </c>
      <c r="I3" s="6">
        <f>getGreen(data0!I4,data1!I4,data2!I4)</f>
        <v>827.24862405970964</v>
      </c>
      <c r="J3" s="6">
        <f>getGreen(data0!J4,data1!J4,data2!J4)</f>
        <v>754.92914603383224</v>
      </c>
      <c r="K3" s="6">
        <f>getGreen(data0!K4,data1!K4,data2!K4)</f>
        <v>748.41500825618914</v>
      </c>
      <c r="L3" s="6">
        <f>getGreen(data0!L4,data1!L4,data2!L4)</f>
        <v>742.2458886337738</v>
      </c>
      <c r="M3" s="6">
        <f>getGreen(data0!M4,data1!M4,data2!M4)</f>
        <v>854.93795962260231</v>
      </c>
      <c r="N3" s="6">
        <f>getGreen(data0!N4,data1!N4,data2!N4)</f>
        <v>757.594086651868</v>
      </c>
      <c r="O3" s="6">
        <f>getGreen(data0!O4,data1!O4,data2!O4)</f>
        <v>788.16755343614625</v>
      </c>
      <c r="P3" s="6">
        <f>getGreen(data0!P4,data1!P4,data2!P4)</f>
        <v>788.04664841808017</v>
      </c>
      <c r="Q3" s="6">
        <f>getGreen(data0!Q4,data1!Q4,data2!Q4)</f>
        <v>731.2889364430406</v>
      </c>
      <c r="R3" s="6">
        <f>getGreen(data0!R4,data1!R4,data2!R4)</f>
        <v>757.58472610632248</v>
      </c>
      <c r="S3" s="6">
        <f>getGreen(data0!S4,data1!S4,data2!S4)</f>
        <v>905.09420041935016</v>
      </c>
      <c r="T3" s="6">
        <f>getGreen(data0!T4,data1!T4,data2!T4)</f>
        <v>713.85350930026073</v>
      </c>
      <c r="U3" s="6">
        <f>getGreen(data0!U4,data1!U4,data2!U4)</f>
        <v>910.26429707861826</v>
      </c>
      <c r="V3" s="6">
        <f>getGreen(data0!V4,data1!V4,data2!V4)</f>
        <v>778.38169085125833</v>
      </c>
      <c r="W3" s="6">
        <f>getGreen(data0!W4,data1!W4,data2!W4)</f>
        <v>1128.4455550370178</v>
      </c>
      <c r="X3" s="6">
        <f>getGreen(data0!X4,data1!X4,data2!X4)</f>
        <v>819.03357309195587</v>
      </c>
      <c r="Y3" s="6">
        <f>getGreen(data0!Y4,data1!Y4,data2!Y4)</f>
        <v>781.51408176914697</v>
      </c>
      <c r="Z3" s="6">
        <f>getGreen(data0!Z4,data1!Z4,data2!Z4)</f>
        <v>737.02342463183015</v>
      </c>
      <c r="AA3" s="6">
        <f>getGreen(data0!AA4,data1!AA4,data2!AA4)</f>
        <v>781.42373078657067</v>
      </c>
      <c r="AB3" s="6">
        <f>getGreen(data0!AB4,data1!AB4,data2!AB4)</f>
        <v>839.28440587705563</v>
      </c>
      <c r="AC3" s="6">
        <f>getGreen(data0!AC4,data1!AC4,data2!AC4)</f>
        <v>781.5439232885193</v>
      </c>
      <c r="AD3" s="6">
        <f>getGreen(data0!AD4,data1!AD4,data2!AD4)</f>
        <v>794.30934816494573</v>
      </c>
      <c r="AE3" s="6">
        <f>getGreen(data0!AE4,data1!AE4,data2!AE4)</f>
        <v>903.35264672451376</v>
      </c>
      <c r="AF3" s="6">
        <f>getGreen(data0!AF4,data1!AF4,data2!AF4)</f>
        <v>769.69679622109697</v>
      </c>
      <c r="AG3" s="6">
        <f>getGreen(data0!AG4,data1!AG4,data2!AG4)</f>
        <v>795.45061400994587</v>
      </c>
      <c r="AJ3" s="6"/>
      <c r="AK3" s="6"/>
      <c r="AL3" s="6"/>
    </row>
    <row r="4" spans="1:38" ht="20.25">
      <c r="A4" s="47" t="s">
        <v>20</v>
      </c>
      <c r="B4" s="6">
        <f>getGreen(data0!B2,data1!B2,data2!B2)</f>
        <v>756.22390494639251</v>
      </c>
      <c r="C4" s="6">
        <f>getGreen(data0!C2,data1!C2,data2!C2)</f>
        <v>724.88964071356338</v>
      </c>
      <c r="D4" s="6">
        <f>getGreen(data0!D2,data1!D2,data2!D2)</f>
        <v>773.39536639875928</v>
      </c>
      <c r="E4" s="6">
        <f>getGreen(data0!E2,data1!E2,data2!E2)</f>
        <v>751.91707128168866</v>
      </c>
      <c r="F4" s="6">
        <f>getGreen(data0!F2,data1!F2,data2!F2)</f>
        <v>718.65309717787864</v>
      </c>
      <c r="G4" s="6">
        <f>getGreen(data0!G2,data1!G2,data2!G2)</f>
        <v>771.2235069125378</v>
      </c>
      <c r="H4" s="6">
        <f>getGreen(data0!H2,data1!H2,data2!H2)</f>
        <v>732.60334827876511</v>
      </c>
      <c r="I4" s="6">
        <f>getGreen(data0!I2,data1!I2,data2!I2)</f>
        <v>751.11900059167272</v>
      </c>
      <c r="J4" s="6">
        <f>getGreen(data0!J2,data1!J2,data2!J2)</f>
        <v>724.61116711127613</v>
      </c>
      <c r="K4" s="6">
        <f>getGreen(data0!K2,data1!K2,data2!K2)</f>
        <v>753.07798372327841</v>
      </c>
      <c r="L4" s="6">
        <f>getGreen(data0!L2,data1!L2,data2!L2)</f>
        <v>733.72572793907966</v>
      </c>
      <c r="M4" s="6">
        <f>getGreen(data0!M2,data1!M2,data2!M2)</f>
        <v>753.69129962773582</v>
      </c>
      <c r="N4" s="6">
        <f>getGreen(data0!N2,data1!N2,data2!N2)</f>
        <v>713.55335989892899</v>
      </c>
      <c r="O4" s="6">
        <f>getGreen(data0!O2,data1!O2,data2!O2)</f>
        <v>719.72297197678768</v>
      </c>
      <c r="P4" s="6">
        <f>getGreen(data0!P2,data1!P2,data2!P2)</f>
        <v>728.73684810548161</v>
      </c>
      <c r="Q4" s="6">
        <f>getGreen(data0!Q2,data1!Q2,data2!Q2)</f>
        <v>722.23945243641754</v>
      </c>
      <c r="R4" s="6">
        <f>getGreen(data0!R2,data1!R2,data2!R2)</f>
        <v>703.89758462972429</v>
      </c>
      <c r="S4" s="6">
        <f>getGreen(data0!S2,data1!S2,data2!S2)</f>
        <v>835.87198081418319</v>
      </c>
      <c r="T4" s="6">
        <f>getGreen(data0!T2,data1!T2,data2!T2)</f>
        <v>656.31164501886485</v>
      </c>
      <c r="U4" s="6">
        <f>getGreen(data0!U2,data1!U2,data2!U2)</f>
        <v>785.57161586202881</v>
      </c>
      <c r="V4" s="6">
        <f>getGreen(data0!V2,data1!V2,data2!V2)</f>
        <v>717.8044692213947</v>
      </c>
      <c r="W4" s="6">
        <f>getGreen(data0!W2,data1!W2,data2!W2)</f>
        <v>4700.7209491927842</v>
      </c>
      <c r="X4" s="6">
        <f>getGreen(data0!X2,data1!X2,data2!X2)</f>
        <v>751.19315504845679</v>
      </c>
      <c r="Y4" s="6">
        <f>getGreen(data0!Y2,data1!Y2,data2!Y2)</f>
        <v>733.49303394888784</v>
      </c>
      <c r="Z4" s="6">
        <f>getGreen(data0!Z2,data1!Z2,data2!Z2)</f>
        <v>685.3637611374071</v>
      </c>
      <c r="AA4" s="6">
        <f>getGreen(data0!AA2,data1!AA2,data2!AA2)</f>
        <v>725.47567977637073</v>
      </c>
      <c r="AB4" s="6">
        <f>getGreen(data0!AB2,data1!AB2,data2!AB2)</f>
        <v>770.53010963804297</v>
      </c>
      <c r="AC4" s="6">
        <f>getGreen(data0!AC2,data1!AC2,data2!AC2)</f>
        <v>773.34996270519264</v>
      </c>
      <c r="AD4" s="6">
        <f>getGreen(data0!AD2,data1!AD2,data2!AD2)</f>
        <v>722.62153610175653</v>
      </c>
      <c r="AE4" s="6">
        <f>getGreen(data0!AE2,data1!AE2,data2!AE2)</f>
        <v>829.57910795690952</v>
      </c>
      <c r="AF4" s="6">
        <f>getGreen(data0!AF2,data1!AF2,data2!AF2)</f>
        <v>693.19956116665367</v>
      </c>
      <c r="AG4" s="6">
        <f>getGreen(data0!AG2,data1!AG2,data2!AG2)</f>
        <v>763.82551036344103</v>
      </c>
      <c r="AJ4" s="6"/>
      <c r="AK4" s="6"/>
      <c r="AL4" s="6"/>
    </row>
    <row r="5" spans="1:38" ht="20.25">
      <c r="A5" s="47" t="s">
        <v>23</v>
      </c>
      <c r="B5" s="6">
        <f>getGreen(data0!B5,data1!B5,data2!B5)</f>
        <v>687.76077761735098</v>
      </c>
      <c r="C5" s="6">
        <f>getGreen(data0!C5,data1!C5,data2!C5)</f>
        <v>671.88891027374473</v>
      </c>
      <c r="D5" s="6">
        <f>getGreen(data0!D5,data1!D5,data2!D5)</f>
        <v>707.25803459665917</v>
      </c>
      <c r="E5" s="6">
        <f>getGreen(data0!E5,data1!E5,data2!E5)</f>
        <v>680.40485754657118</v>
      </c>
      <c r="F5" s="6">
        <f>getGreen(data0!F5,data1!F5,data2!F5)</f>
        <v>652.60950453990029</v>
      </c>
      <c r="G5" s="6">
        <f>getGreen(data0!G5,data1!G5,data2!G5)</f>
        <v>705.91961078292172</v>
      </c>
      <c r="H5" s="6">
        <f>getGreen(data0!H5,data1!H5,data2!H5)</f>
        <v>626.99478872247994</v>
      </c>
      <c r="I5" s="6">
        <f>getGreen(data0!I5,data1!I5,data2!I5)</f>
        <v>678.28379946112273</v>
      </c>
      <c r="J5" s="6">
        <f>getGreen(data0!J5,data1!J5,data2!J5)</f>
        <v>640.76524081569517</v>
      </c>
      <c r="K5" s="6">
        <f>getGreen(data0!K5,data1!K5,data2!K5)</f>
        <v>657.65069711086528</v>
      </c>
      <c r="L5" s="6">
        <f>getGreen(data0!L5,data1!L5,data2!L5)</f>
        <v>632.98592715091161</v>
      </c>
      <c r="M5" s="6">
        <f>getGreen(data0!M5,data1!M5,data2!M5)</f>
        <v>674.36546652571053</v>
      </c>
      <c r="N5" s="6">
        <f>getGreen(data0!N5,data1!N5,data2!N5)</f>
        <v>660.28643257380668</v>
      </c>
      <c r="O5" s="6">
        <f>getGreen(data0!O5,data1!O5,data2!O5)</f>
        <v>652.64259939654403</v>
      </c>
      <c r="P5" s="6">
        <f>getGreen(data0!P5,data1!P5,data2!P5)</f>
        <v>650.60579397966148</v>
      </c>
      <c r="Q5" s="6">
        <f>getGreen(data0!Q5,data1!Q5,data2!Q5)</f>
        <v>627.96045937269503</v>
      </c>
      <c r="R5" s="6">
        <f>getGreen(data0!R5,data1!R5,data2!R5)</f>
        <v>652.79040304534078</v>
      </c>
      <c r="S5" s="6">
        <f>getGreen(data0!S5,data1!S5,data2!S5)</f>
        <v>757.59197092534475</v>
      </c>
      <c r="T5" s="6">
        <f>getGreen(data0!T5,data1!T5,data2!T5)</f>
        <v>619.6544554854172</v>
      </c>
      <c r="U5" s="6">
        <f>getGreen(data0!U5,data1!U5,data2!U5)</f>
        <v>717.08379710116492</v>
      </c>
      <c r="V5" s="6">
        <f>getGreen(data0!V5,data1!V5,data2!V5)</f>
        <v>661.43994272555187</v>
      </c>
      <c r="W5" s="6">
        <f>getGreen(data0!W5,data1!W5,data2!W5)</f>
        <v>1128.4455550370178</v>
      </c>
      <c r="X5" s="6">
        <f>getGreen(data0!X5,data1!X5,data2!X5)</f>
        <v>668.99190288229215</v>
      </c>
      <c r="Y5" s="6">
        <f>getGreen(data0!Y5,data1!Y5,data2!Y5)</f>
        <v>675.65713078243004</v>
      </c>
      <c r="Z5" s="6">
        <f>getGreen(data0!Z5,data1!Z5,data2!Z5)</f>
        <v>639.32862513027226</v>
      </c>
      <c r="AA5" s="6">
        <f>getGreen(data0!AA5,data1!AA5,data2!AA5)</f>
        <v>657.00531405988329</v>
      </c>
      <c r="AB5" s="6">
        <f>getGreen(data0!AB5,data1!AB5,data2!AB5)</f>
        <v>707.80003463361368</v>
      </c>
      <c r="AC5" s="6">
        <f>getGreen(data0!AC5,data1!AC5,data2!AC5)</f>
        <v>678.42562493200035</v>
      </c>
      <c r="AD5" s="6">
        <f>getGreen(data0!AD5,data1!AD5,data2!AD5)</f>
        <v>653.10259029090821</v>
      </c>
      <c r="AE5" s="6">
        <f>getGreen(data0!AE5,data1!AE5,data2!AE5)</f>
        <v>721.28814799516056</v>
      </c>
      <c r="AF5" s="6">
        <f>getGreen(data0!AF5,data1!AF5,data2!AF5)</f>
        <v>650.22076958659875</v>
      </c>
      <c r="AG5" s="6">
        <f>getGreen(data0!AG5,data1!AG5,data2!AG5)</f>
        <v>652.29590921149429</v>
      </c>
      <c r="AJ5" s="6"/>
      <c r="AK5" s="6"/>
      <c r="AL5" s="6"/>
    </row>
    <row r="6" spans="1:38" s="6" customFormat="1" ht="20.25">
      <c r="A6" s="48" t="s">
        <v>70</v>
      </c>
      <c r="B6" s="6">
        <f>getGreen(data0!B6,data1!B6,data2!B6)</f>
        <v>726.15468879772186</v>
      </c>
      <c r="C6" s="6">
        <f>getGreen(data0!C6,data1!C6,data2!C6)</f>
        <v>730.70538338960421</v>
      </c>
      <c r="D6" s="6">
        <f>getGreen(data0!D6,data1!D6,data2!D6)</f>
        <v>762.70696706115257</v>
      </c>
      <c r="E6" s="6">
        <f>getGreen(data0!E6,data1!E6,data2!E6)</f>
        <v>758.9442675175809</v>
      </c>
      <c r="F6" s="6">
        <f>getGreen(data0!F6,data1!F6,data2!F6)</f>
        <v>722.04136977572409</v>
      </c>
      <c r="G6" s="6">
        <f>getGreen(data0!G6,data1!G6,data2!G6)</f>
        <v>765.89317153959371</v>
      </c>
      <c r="H6" s="6">
        <f>getGreen(data0!H6,data1!H6,data2!H6)</f>
        <v>667.30878782252125</v>
      </c>
      <c r="I6" s="6">
        <f>getGreen(data0!I6,data1!I6,data2!I6)</f>
        <v>754.35762254802501</v>
      </c>
      <c r="J6" s="6">
        <f>getGreen(data0!J6,data1!J6,data2!J6)</f>
        <v>689.16739405845738</v>
      </c>
      <c r="K6" s="6">
        <f>getGreen(data0!K6,data1!K6,data2!K6)</f>
        <v>691.26390439150282</v>
      </c>
      <c r="L6" s="6">
        <f>getGreen(data0!L6,data1!L6,data2!L6)</f>
        <v>685.12902659222129</v>
      </c>
      <c r="M6" s="6">
        <f>getGreen(data0!M6,data1!M6,data2!M6)</f>
        <v>790.40271189404666</v>
      </c>
      <c r="N6" s="6">
        <f>getGreen(data0!N6,data1!N6,data2!N6)</f>
        <v>712.0423063014772</v>
      </c>
      <c r="O6" s="6">
        <f>getGreen(data0!O6,data1!O6,data2!O6)</f>
        <v>729.52580111629493</v>
      </c>
      <c r="P6" s="6">
        <f>getGreen(data0!P6,data1!P6,data2!P6)</f>
        <v>723.21093104087265</v>
      </c>
      <c r="Q6" s="6">
        <f>getGreen(data0!Q6,data1!Q6,data2!Q6)</f>
        <v>664.45111287548116</v>
      </c>
      <c r="R6" s="6">
        <f>getGreen(data0!R6,data1!R6,data2!R6)</f>
        <v>705.99815532565242</v>
      </c>
      <c r="S6" s="6">
        <f>getGreen(data0!S6,data1!S6,data2!S6)</f>
        <v>826.33079298954988</v>
      </c>
      <c r="T6" s="6">
        <f>getGreen(data0!T6,data1!T6,data2!T6)</f>
        <v>668.07458418172644</v>
      </c>
      <c r="U6" s="6">
        <f>getGreen(data0!U6,data1!U6,data2!U6)</f>
        <v>841.89517707839832</v>
      </c>
      <c r="V6" s="6">
        <f>getGreen(data0!V6,data1!V6,data2!V6)</f>
        <v>719.07915172824517</v>
      </c>
      <c r="W6" s="6">
        <f>getGreen(data0!W6,data1!W6,data2!W6)</f>
        <v>1128.4455550370178</v>
      </c>
      <c r="X6" s="6">
        <f>getGreen(data0!X6,data1!X6,data2!X6)</f>
        <v>746.91000618786143</v>
      </c>
      <c r="Y6" s="6">
        <f>getGreen(data0!Y6,data1!Y6,data2!Y6)</f>
        <v>724.28492831603796</v>
      </c>
      <c r="Z6" s="6">
        <f>getGreen(data0!Z6,data1!Z6,data2!Z6)</f>
        <v>685.56602755653989</v>
      </c>
      <c r="AA6" s="6">
        <f>getGreen(data0!AA6,data1!AA6,data2!AA6)</f>
        <v>734.68993025223074</v>
      </c>
      <c r="AB6" s="6">
        <f>getGreen(data0!AB6,data1!AB6,data2!AB6)</f>
        <v>777.55548729347026</v>
      </c>
      <c r="AC6" s="6">
        <f>getGreen(data0!AC6,data1!AC6,data2!AC6)</f>
        <v>715.64575801323997</v>
      </c>
      <c r="AD6" s="6">
        <f>getGreen(data0!AD6,data1!AD6,data2!AD6)</f>
        <v>747.22937521965071</v>
      </c>
      <c r="AE6" s="6">
        <f>getGreen(data0!AE6,data1!AE6,data2!AE6)</f>
        <v>843.56567242113897</v>
      </c>
      <c r="AF6" s="6">
        <f>getGreen(data0!AF6,data1!AF6,data2!AF6)</f>
        <v>718.58354957471988</v>
      </c>
      <c r="AG6" s="6">
        <f>getGreen(data0!AG6,data1!AG6,data2!AG6)</f>
        <v>722.44728232606792</v>
      </c>
    </row>
    <row r="7" spans="1:38" ht="20.25">
      <c r="A7" s="48" t="s">
        <v>71</v>
      </c>
      <c r="B7" s="6">
        <f>getGreen(data0!B7,data1!B7,data2!B7)</f>
        <v>780.68901426208151</v>
      </c>
      <c r="C7" s="6">
        <f>getGreen(data0!C7,data1!C7,data2!C7)</f>
        <v>755.46894599170116</v>
      </c>
      <c r="D7" s="6">
        <f>getGreen(data0!D7,data1!D7,data2!D7)</f>
        <v>811.90410976948692</v>
      </c>
      <c r="E7" s="6">
        <f>getGreen(data0!E7,data1!E7,data2!E7)</f>
        <v>802.60713484487326</v>
      </c>
      <c r="F7" s="6">
        <f>getGreen(data0!F7,data1!F7,data2!F7)</f>
        <v>740.17504636065428</v>
      </c>
      <c r="G7" s="6">
        <f>getGreen(data0!G7,data1!G7,data2!G7)</f>
        <v>798.39881418154243</v>
      </c>
      <c r="H7" s="6">
        <f>getGreen(data0!H7,data1!H7,data2!H7)</f>
        <v>804.24291899353364</v>
      </c>
      <c r="I7" s="6">
        <f>getGreen(data0!I7,data1!I7,data2!I7)</f>
        <v>823.0275964158559</v>
      </c>
      <c r="J7" s="6">
        <f>getGreen(data0!J7,data1!J7,data2!J7)</f>
        <v>783.77713551473994</v>
      </c>
      <c r="K7" s="6">
        <f>getGreen(data0!K7,data1!K7,data2!K7)</f>
        <v>810.57396386997948</v>
      </c>
      <c r="L7" s="6">
        <f>getGreen(data0!L7,data1!L7,data2!L7)</f>
        <v>823.3115060139196</v>
      </c>
      <c r="M7" s="6">
        <f>getGreen(data0!M7,data1!M7,data2!M7)</f>
        <v>896.70415485167837</v>
      </c>
      <c r="N7" s="6">
        <f>getGreen(data0!N7,data1!N7,data2!N7)</f>
        <v>718.45161773961604</v>
      </c>
      <c r="O7" s="6">
        <f>getGreen(data0!O7,data1!O7,data2!O7)</f>
        <v>773.94681532653408</v>
      </c>
      <c r="P7" s="6">
        <f>getGreen(data0!P7,data1!P7,data2!P7)</f>
        <v>807.19341397341896</v>
      </c>
      <c r="Q7" s="6">
        <f>getGreen(data0!Q7,data1!Q7,data2!Q7)</f>
        <v>789.20461451744222</v>
      </c>
      <c r="R7" s="6">
        <f>getGreen(data0!R7,data1!R7,data2!R7)</f>
        <v>703.99439721286763</v>
      </c>
      <c r="S7" s="6">
        <f>getGreen(data0!S7,data1!S7,data2!S7)</f>
        <v>914.76264760997219</v>
      </c>
      <c r="T7" s="6">
        <f>getGreen(data0!T7,data1!T7,data2!T7)</f>
        <v>658.95640357474906</v>
      </c>
      <c r="U7" s="6">
        <f>getGreen(data0!U7,data1!U7,data2!U7)</f>
        <v>921.92630023265326</v>
      </c>
      <c r="V7" s="6">
        <f>getGreen(data0!V7,data1!V7,data2!V7)</f>
        <v>734.12272990450549</v>
      </c>
      <c r="W7" s="6">
        <f>getGreen(data0!W7,data1!W7,data2!W7)</f>
        <v>5642.2277751850888</v>
      </c>
      <c r="X7" s="6">
        <f>getGreen(data0!X7,data1!X7,data2!X7)</f>
        <v>860.36196249113789</v>
      </c>
      <c r="Y7" s="6">
        <f>getGreen(data0!Y7,data1!Y7,data2!Y7)</f>
        <v>748.96226706365564</v>
      </c>
      <c r="Z7" s="6">
        <f>getGreen(data0!Z7,data1!Z7,data2!Z7)</f>
        <v>696.90440114290845</v>
      </c>
      <c r="AA7" s="6">
        <f>getGreen(data0!AA7,data1!AA7,data2!AA7)</f>
        <v>758.71045190690359</v>
      </c>
      <c r="AB7" s="6">
        <f>getGreen(data0!AB7,data1!AB7,data2!AB7)</f>
        <v>819.85655669949176</v>
      </c>
      <c r="AC7" s="6">
        <f>getGreen(data0!AC7,data1!AC7,data2!AC7)</f>
        <v>816.92262307256874</v>
      </c>
      <c r="AD7" s="6">
        <f>getGreen(data0!AD7,data1!AD7,data2!AD7)</f>
        <v>801.92630111854487</v>
      </c>
      <c r="AE7" s="6">
        <f>getGreen(data0!AE7,data1!AE7,data2!AE7)</f>
        <v>964.67683759545559</v>
      </c>
      <c r="AF7" s="6">
        <f>getGreen(data0!AF7,data1!AF7,data2!AF7)</f>
        <v>723.76046053887865</v>
      </c>
      <c r="AG7" s="6">
        <f>getGreen(data0!AG7,data1!AG7,data2!AG7)</f>
        <v>879.26296001708454</v>
      </c>
      <c r="AH7" s="49"/>
      <c r="AI7" s="49"/>
      <c r="AJ7" s="49"/>
      <c r="AK7" s="49"/>
    </row>
    <row r="8" spans="1:38">
      <c r="B8" s="71"/>
      <c r="E8" s="51"/>
    </row>
    <row r="9" spans="1:38">
      <c r="B9" s="71"/>
      <c r="E9" s="51"/>
    </row>
    <row r="10" spans="1:38">
      <c r="B10" s="71"/>
      <c r="E10" s="51"/>
    </row>
    <row r="11" spans="1:38">
      <c r="B11" s="71"/>
      <c r="E11" s="51"/>
    </row>
    <row r="12" spans="1:38">
      <c r="B12" s="71"/>
    </row>
    <row r="13" spans="1:38">
      <c r="B13" s="71"/>
    </row>
  </sheetData>
  <pageMargins left="0.7" right="0.7" top="0.75" bottom="0.75" header="0.3" footer="0.3"/>
  <pageSetup paperSize="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AL13"/>
  <sheetViews>
    <sheetView zoomScale="70" zoomScaleNormal="70" workbookViewId="0">
      <selection activeCell="A2" sqref="A2:XFD2"/>
    </sheetView>
  </sheetViews>
  <sheetFormatPr defaultRowHeight="18.75"/>
  <cols>
    <col min="1" max="1" width="9.28515625" style="50" bestFit="1" customWidth="1"/>
    <col min="2" max="2" width="11.7109375" style="30" customWidth="1"/>
    <col min="3" max="3" width="9.140625" style="30" customWidth="1"/>
    <col min="4" max="4" width="6.140625" style="30" customWidth="1"/>
    <col min="5" max="5" width="7.7109375" style="30" customWidth="1"/>
    <col min="6" max="12" width="6.5703125" style="30" bestFit="1" customWidth="1"/>
    <col min="13" max="13" width="7.28515625" style="30" customWidth="1"/>
    <col min="14" max="14" width="6.5703125" style="30" bestFit="1" customWidth="1"/>
    <col min="15" max="15" width="6.5703125" style="30" customWidth="1"/>
    <col min="16" max="16" width="8.28515625" style="30" customWidth="1"/>
    <col min="17" max="33" width="6.5703125" style="30" bestFit="1" customWidth="1"/>
    <col min="34" max="37" width="3.42578125" style="30" bestFit="1" customWidth="1"/>
    <col min="38" max="38" width="6.42578125" style="30" bestFit="1" customWidth="1"/>
    <col min="39" max="16384" width="9.140625" style="30"/>
  </cols>
  <sheetData>
    <row r="1" spans="1:38">
      <c r="A1" s="46"/>
      <c r="B1" s="30">
        <v>0</v>
      </c>
      <c r="C1" s="30">
        <f>B1+1</f>
        <v>1</v>
      </c>
      <c r="D1" s="30">
        <f t="shared" ref="D1:AG1" si="0">C1+1</f>
        <v>2</v>
      </c>
      <c r="E1" s="30">
        <f t="shared" si="0"/>
        <v>3</v>
      </c>
      <c r="F1" s="30">
        <f t="shared" si="0"/>
        <v>4</v>
      </c>
      <c r="G1" s="30">
        <f t="shared" si="0"/>
        <v>5</v>
      </c>
      <c r="H1" s="30">
        <f t="shared" si="0"/>
        <v>6</v>
      </c>
      <c r="I1" s="30">
        <f t="shared" si="0"/>
        <v>7</v>
      </c>
      <c r="J1" s="30">
        <f t="shared" si="0"/>
        <v>8</v>
      </c>
      <c r="K1" s="30">
        <f t="shared" si="0"/>
        <v>9</v>
      </c>
      <c r="L1" s="30">
        <f t="shared" si="0"/>
        <v>10</v>
      </c>
      <c r="M1" s="30">
        <f t="shared" si="0"/>
        <v>11</v>
      </c>
      <c r="N1" s="30">
        <f t="shared" si="0"/>
        <v>12</v>
      </c>
      <c r="O1" s="30">
        <f t="shared" si="0"/>
        <v>13</v>
      </c>
      <c r="P1" s="30">
        <f t="shared" si="0"/>
        <v>14</v>
      </c>
      <c r="Q1" s="30">
        <f t="shared" si="0"/>
        <v>15</v>
      </c>
      <c r="R1" s="30">
        <f t="shared" si="0"/>
        <v>16</v>
      </c>
      <c r="S1" s="30">
        <f t="shared" si="0"/>
        <v>17</v>
      </c>
      <c r="T1" s="30">
        <f t="shared" si="0"/>
        <v>18</v>
      </c>
      <c r="U1" s="30">
        <f t="shared" si="0"/>
        <v>19</v>
      </c>
      <c r="V1" s="30">
        <f t="shared" si="0"/>
        <v>20</v>
      </c>
      <c r="W1" s="30">
        <f t="shared" si="0"/>
        <v>21</v>
      </c>
      <c r="X1" s="30">
        <f t="shared" si="0"/>
        <v>22</v>
      </c>
      <c r="Y1" s="30">
        <f t="shared" si="0"/>
        <v>23</v>
      </c>
      <c r="Z1" s="30">
        <f t="shared" si="0"/>
        <v>24</v>
      </c>
      <c r="AA1" s="30">
        <f t="shared" si="0"/>
        <v>25</v>
      </c>
      <c r="AB1" s="30">
        <f t="shared" si="0"/>
        <v>26</v>
      </c>
      <c r="AC1" s="30">
        <f t="shared" si="0"/>
        <v>27</v>
      </c>
      <c r="AD1" s="30">
        <f t="shared" si="0"/>
        <v>28</v>
      </c>
      <c r="AE1" s="30">
        <f t="shared" si="0"/>
        <v>29</v>
      </c>
      <c r="AF1" s="30">
        <f t="shared" si="0"/>
        <v>30</v>
      </c>
      <c r="AG1" s="30">
        <f t="shared" si="0"/>
        <v>31</v>
      </c>
    </row>
    <row r="2" spans="1:38" ht="20.25">
      <c r="A2" s="47" t="s">
        <v>21</v>
      </c>
      <c r="B2" s="6">
        <f>getBlue(data0!B3,data1!B3,data2!B3)</f>
        <v>417.29283953527209</v>
      </c>
      <c r="C2" s="6">
        <f>getBlue(data0!C3,data1!C3,data2!C3)</f>
        <v>387.81031893342561</v>
      </c>
      <c r="D2" s="6">
        <f>getBlue(data0!D3,data1!D3,data2!D3)</f>
        <v>381.40533370891131</v>
      </c>
      <c r="E2" s="6">
        <f>getBlue(data0!E3,data1!E3,data2!E3)</f>
        <v>409.17920331953178</v>
      </c>
      <c r="F2" s="6">
        <f>getBlue(data0!F3,data1!F3,data2!F3)</f>
        <v>391.52675045778221</v>
      </c>
      <c r="G2" s="6">
        <f>getBlue(data0!G3,data1!G3,data2!G3)</f>
        <v>364.0508620008743</v>
      </c>
      <c r="H2" s="6">
        <f>getBlue(data0!H3,data1!H3,data2!H3)</f>
        <v>318.5971180353344</v>
      </c>
      <c r="I2" s="6">
        <f>getBlue(data0!I3,data1!I3,data2!I3)</f>
        <v>376.45229828686792</v>
      </c>
      <c r="J2" s="6">
        <f>getBlue(data0!J3,data1!J3,data2!J3)</f>
        <v>449.38053428916777</v>
      </c>
      <c r="K2" s="6">
        <f>getBlue(data0!K3,data1!K3,data2!K3)</f>
        <v>302.5313472733792</v>
      </c>
      <c r="L2" s="6">
        <f>getBlue(data0!L3,data1!L3,data2!L3)</f>
        <v>320.61130720624715</v>
      </c>
      <c r="M2" s="6">
        <f>getBlue(data0!M3,data1!M3,data2!M3)</f>
        <v>351.04946296846424</v>
      </c>
      <c r="N2" s="6">
        <f>getBlue(data0!N3,data1!N3,data2!N3)</f>
        <v>358.28508243370624</v>
      </c>
      <c r="O2" s="6">
        <f>getBlue(data0!O3,data1!O3,data2!O3)</f>
        <v>450.03140013841897</v>
      </c>
      <c r="P2" s="6">
        <f>getBlue(data0!P3,data1!P3,data2!P3)</f>
        <v>404.98159256834765</v>
      </c>
      <c r="Q2" s="6">
        <f>getBlue(data0!Q3,data1!Q3,data2!Q3)</f>
        <v>400.50568033632192</v>
      </c>
      <c r="R2" s="6">
        <f>getBlue(data0!R3,data1!R3,data2!R3)</f>
        <v>408.59937844708037</v>
      </c>
      <c r="S2" s="6">
        <f>getBlue(data0!S3,data1!S3,data2!S3)</f>
        <v>415.08427630863923</v>
      </c>
      <c r="T2" s="6">
        <f>getBlue(data0!T3,data1!T3,data2!T3)</f>
        <v>352.06709309813715</v>
      </c>
      <c r="U2" s="6">
        <f>getBlue(data0!U3,data1!U3,data2!U3)</f>
        <v>379.85143776786504</v>
      </c>
      <c r="V2" s="6">
        <f>getBlue(data0!V3,data1!V3,data2!V3)</f>
        <v>374.82393560503562</v>
      </c>
      <c r="W2" s="6">
        <f>getBlue(data0!W3,data1!W3,data2!W3)</f>
        <v>10056.609109727795</v>
      </c>
      <c r="X2" s="6">
        <f>getBlue(data0!X3,data1!X3,data2!X3)</f>
        <v>417.58455927985636</v>
      </c>
      <c r="Y2" s="6">
        <f>getBlue(data0!Y3,data1!Y3,data2!Y3)</f>
        <v>375.68850682461903</v>
      </c>
      <c r="Z2" s="6">
        <f>getBlue(data0!Z3,data1!Z3,data2!Z3)</f>
        <v>366.56827551234812</v>
      </c>
      <c r="AA2" s="6">
        <f>getBlue(data0!AA3,data1!AA3,data2!AA3)</f>
        <v>355.55195405437195</v>
      </c>
      <c r="AB2" s="6">
        <f>getBlue(data0!AB3,data1!AB3,data2!AB3)</f>
        <v>327.25558413616773</v>
      </c>
      <c r="AC2" s="6">
        <f>getBlue(data0!AC3,data1!AC3,data2!AC3)</f>
        <v>355.63992432452841</v>
      </c>
      <c r="AD2" s="6">
        <f>getBlue(data0!AD3,data1!AD3,data2!AD3)</f>
        <v>366.83352038895612</v>
      </c>
      <c r="AE2" s="6">
        <f>getBlue(data0!AE3,data1!AE3,data2!AE3)</f>
        <v>197.14446454807111</v>
      </c>
      <c r="AF2" s="6">
        <f>getBlue(data0!AF3,data1!AF3,data2!AF3)</f>
        <v>365.16905644047017</v>
      </c>
      <c r="AG2" s="6">
        <f>getBlue(data0!AG3,data1!AG3,data2!AG3)</f>
        <v>344.70279654013223</v>
      </c>
      <c r="AJ2" s="6"/>
      <c r="AK2" s="6"/>
      <c r="AL2" s="6"/>
    </row>
    <row r="3" spans="1:38" ht="20.25">
      <c r="A3" s="47" t="s">
        <v>22</v>
      </c>
      <c r="B3" s="6">
        <f>getBlue(data0!B4,data1!B4,data2!B4)</f>
        <v>478.49247217743346</v>
      </c>
      <c r="C3" s="6">
        <f>getBlue(data0!C4,data1!C4,data2!C4)</f>
        <v>468.51841761256105</v>
      </c>
      <c r="D3" s="6">
        <f>getBlue(data0!D4,data1!D4,data2!D4)</f>
        <v>457.78303168803961</v>
      </c>
      <c r="E3" s="6">
        <f>getBlue(data0!E4,data1!E4,data2!E4)</f>
        <v>458.87759881102357</v>
      </c>
      <c r="F3" s="6">
        <f>getBlue(data0!F4,data1!F4,data2!F4)</f>
        <v>446.53236370273896</v>
      </c>
      <c r="G3" s="6">
        <f>getBlue(data0!G4,data1!G4,data2!G4)</f>
        <v>438.71545466983787</v>
      </c>
      <c r="H3" s="6">
        <f>getBlue(data0!H4,data1!H4,data2!H4)</f>
        <v>419.69590171018746</v>
      </c>
      <c r="I3" s="6">
        <f>getBlue(data0!I4,data1!I4,data2!I4)</f>
        <v>434.22117299048477</v>
      </c>
      <c r="J3" s="6">
        <f>getBlue(data0!J4,data1!J4,data2!J4)</f>
        <v>476.186121901273</v>
      </c>
      <c r="K3" s="6">
        <f>getBlue(data0!K4,data1!K4,data2!K4)</f>
        <v>424.60252933589118</v>
      </c>
      <c r="L3" s="6">
        <f>getBlue(data0!L4,data1!L4,data2!L4)</f>
        <v>440.22753887116824</v>
      </c>
      <c r="M3" s="6">
        <f>getBlue(data0!M4,data1!M4,data2!M4)</f>
        <v>428.44896201466986</v>
      </c>
      <c r="N3" s="6">
        <f>getBlue(data0!N4,data1!N4,data2!N4)</f>
        <v>428.36208041705066</v>
      </c>
      <c r="O3" s="6">
        <f>getBlue(data0!O4,data1!O4,data2!O4)</f>
        <v>445.37109198414112</v>
      </c>
      <c r="P3" s="6">
        <f>getBlue(data0!P4,data1!P4,data2!P4)</f>
        <v>454.83405032835662</v>
      </c>
      <c r="Q3" s="6">
        <f>getBlue(data0!Q4,data1!Q4,data2!Q4)</f>
        <v>451.43875179020642</v>
      </c>
      <c r="R3" s="6">
        <f>getBlue(data0!R4,data1!R4,data2!R4)</f>
        <v>462.10784524361395</v>
      </c>
      <c r="S3" s="6">
        <f>getBlue(data0!S4,data1!S4,data2!S4)</f>
        <v>456.3862924071139</v>
      </c>
      <c r="T3" s="6">
        <f>getBlue(data0!T4,data1!T4,data2!T4)</f>
        <v>415.68290383942656</v>
      </c>
      <c r="U3" s="6">
        <f>getBlue(data0!U4,data1!U4,data2!U4)</f>
        <v>394.81736138131265</v>
      </c>
      <c r="V3" s="6">
        <f>getBlue(data0!V4,data1!V4,data2!V4)</f>
        <v>432.43534551306595</v>
      </c>
      <c r="W3" s="6">
        <f>getBlue(data0!W4,data1!W4,data2!W4)</f>
        <v>2011.3218219455591</v>
      </c>
      <c r="X3" s="6">
        <f>getBlue(data0!X4,data1!X4,data2!X4)</f>
        <v>460.7025732614652</v>
      </c>
      <c r="Y3" s="6">
        <f>getBlue(data0!Y4,data1!Y4,data2!Y4)</f>
        <v>447.90590762065915</v>
      </c>
      <c r="Z3" s="6">
        <f>getBlue(data0!Z4,data1!Z4,data2!Z4)</f>
        <v>425.05685183703855</v>
      </c>
      <c r="AA3" s="6">
        <f>getBlue(data0!AA4,data1!AA4,data2!AA4)</f>
        <v>422.87424953245932</v>
      </c>
      <c r="AB3" s="6">
        <f>getBlue(data0!AB4,data1!AB4,data2!AB4)</f>
        <v>405.76252010092031</v>
      </c>
      <c r="AC3" s="6">
        <f>getBlue(data0!AC4,data1!AC4,data2!AC4)</f>
        <v>473.31197504747973</v>
      </c>
      <c r="AD3" s="6">
        <f>getBlue(data0!AD4,data1!AD4,data2!AD4)</f>
        <v>410.83044824621305</v>
      </c>
      <c r="AE3" s="6">
        <f>getBlue(data0!AE4,data1!AE4,data2!AE4)</f>
        <v>401.90764578717364</v>
      </c>
      <c r="AF3" s="6">
        <f>getBlue(data0!AF4,data1!AF4,data2!AF4)</f>
        <v>407.64175589224686</v>
      </c>
      <c r="AG3" s="6">
        <f>getBlue(data0!AG4,data1!AG4,data2!AG4)</f>
        <v>474.57515854660852</v>
      </c>
      <c r="AJ3" s="6"/>
      <c r="AK3" s="6"/>
      <c r="AL3" s="6"/>
    </row>
    <row r="4" spans="1:38" ht="20.25">
      <c r="A4" s="47" t="s">
        <v>20</v>
      </c>
      <c r="B4" s="6">
        <f>getBlue(data0!B2,data1!B2,data2!B2)</f>
        <v>-14.629723289972398</v>
      </c>
      <c r="C4" s="6">
        <f>getBlue(data0!C2,data1!C2,data2!C2)</f>
        <v>-12.229802631090131</v>
      </c>
      <c r="D4" s="6">
        <f>getBlue(data0!D2,data1!D2,data2!D2)</f>
        <v>-52.508263112627027</v>
      </c>
      <c r="E4" s="6">
        <f>getBlue(data0!E2,data1!E2,data2!E2)</f>
        <v>-11.585094287949735</v>
      </c>
      <c r="F4" s="6">
        <f>getBlue(data0!F2,data1!F2,data2!F2)</f>
        <v>-16.689690086056583</v>
      </c>
      <c r="G4" s="6">
        <f>getBlue(data0!G2,data1!G2,data2!G2)</f>
        <v>-46.150095694514746</v>
      </c>
      <c r="H4" s="6">
        <f>getBlue(data0!H2,data1!H2,data2!H2)</f>
        <v>-52.885253361417391</v>
      </c>
      <c r="I4" s="6">
        <f>getBlue(data0!I2,data1!I2,data2!I2)</f>
        <v>-34.998739243108346</v>
      </c>
      <c r="J4" s="6">
        <f>getBlue(data0!J2,data1!J2,data2!J2)</f>
        <v>15.969826563509788</v>
      </c>
      <c r="K4" s="6">
        <f>getBlue(data0!K2,data1!K2,data2!K2)</f>
        <v>-76.176023129091107</v>
      </c>
      <c r="L4" s="6">
        <f>getBlue(data0!L2,data1!L2,data2!L2)</f>
        <v>-44.663671520782273</v>
      </c>
      <c r="M4" s="6">
        <f>getBlue(data0!M2,data1!M2,data2!M2)</f>
        <v>-42.195264638489711</v>
      </c>
      <c r="N4" s="6">
        <f>getBlue(data0!N2,data1!N2,data2!N2)</f>
        <v>-48.91786760792499</v>
      </c>
      <c r="O4" s="6">
        <f>getBlue(data0!O2,data1!O2,data2!O2)</f>
        <v>41.45095129880891</v>
      </c>
      <c r="P4" s="6">
        <f>getBlue(data0!P2,data1!P2,data2!P2)</f>
        <v>1.4611478883781253</v>
      </c>
      <c r="Q4" s="6">
        <f>getBlue(data0!Q2,data1!Q2,data2!Q2)</f>
        <v>14.49631796322339</v>
      </c>
      <c r="R4" s="6">
        <f>getBlue(data0!R2,data1!R2,data2!R2)</f>
        <v>-0.74402287978594484</v>
      </c>
      <c r="S4" s="6">
        <f>getBlue(data0!S2,data1!S2,data2!S2)</f>
        <v>-23.240268592495518</v>
      </c>
      <c r="T4" s="6">
        <f>getBlue(data0!T2,data1!T2,data2!T2)</f>
        <v>-28.340456593979241</v>
      </c>
      <c r="U4" s="6">
        <f>getBlue(data0!U2,data1!U2,data2!U2)</f>
        <v>-23.283612290614144</v>
      </c>
      <c r="V4" s="6">
        <f>getBlue(data0!V2,data1!V2,data2!V2)</f>
        <v>-30.065082984207663</v>
      </c>
      <c r="W4" s="6">
        <f>getBlue(data0!W2,data1!W2,data2!W2)</f>
        <v>11397.40505202416</v>
      </c>
      <c r="X4" s="6">
        <f>getBlue(data0!X2,data1!X2,data2!X2)</f>
        <v>7.6311584522042182</v>
      </c>
      <c r="Y4" s="6">
        <f>getBlue(data0!Y2,data1!Y2,data2!Y2)</f>
        <v>-40.895430697629671</v>
      </c>
      <c r="Z4" s="6">
        <f>getBlue(data0!Z2,data1!Z2,data2!Z2)</f>
        <v>-17.022574719843089</v>
      </c>
      <c r="AA4" s="6">
        <f>getBlue(data0!AA2,data1!AA2,data2!AA2)</f>
        <v>-39.760231592489603</v>
      </c>
      <c r="AB4" s="6">
        <f>getBlue(data0!AB2,data1!AB2,data2!AB2)</f>
        <v>-53.277060840181221</v>
      </c>
      <c r="AC4" s="6">
        <f>getBlue(data0!AC2,data1!AC2,data2!AC2)</f>
        <v>-63.655387686415224</v>
      </c>
      <c r="AD4" s="6">
        <f>getBlue(data0!AD2,data1!AD2,data2!AD2)</f>
        <v>-34.676317194499468</v>
      </c>
      <c r="AE4" s="6">
        <f>getBlue(data0!AE2,data1!AE2,data2!AE2)</f>
        <v>-145.33770584513289</v>
      </c>
      <c r="AF4" s="6">
        <f>getBlue(data0!AF2,data1!AF2,data2!AF2)</f>
        <v>-29.186931824614472</v>
      </c>
      <c r="AG4" s="6">
        <f>getBlue(data0!AG2,data1!AG2,data2!AG2)</f>
        <v>-50.653510040457121</v>
      </c>
      <c r="AJ4" s="6"/>
      <c r="AK4" s="6"/>
      <c r="AL4" s="6"/>
    </row>
    <row r="5" spans="1:38" ht="20.25">
      <c r="A5" s="47" t="s">
        <v>23</v>
      </c>
      <c r="B5" s="6">
        <f>getBlue(data0!B5,data1!B5,data2!B5)</f>
        <v>12.246987979379348</v>
      </c>
      <c r="C5" s="6">
        <f>getBlue(data0!C5,data1!C5,data2!C5)</f>
        <v>24.56091855682617</v>
      </c>
      <c r="D5" s="6">
        <f>getBlue(data0!D5,data1!D5,data2!D5)</f>
        <v>-6.083315480858202</v>
      </c>
      <c r="E5" s="6">
        <f>getBlue(data0!E5,data1!E5,data2!E5)</f>
        <v>18.006917839656865</v>
      </c>
      <c r="F5" s="6">
        <f>getBlue(data0!F5,data1!F5,data2!F5)</f>
        <v>19.311707679359678</v>
      </c>
      <c r="G5" s="6">
        <f>getBlue(data0!G5,data1!G5,data2!G5)</f>
        <v>-3.1150237961080438</v>
      </c>
      <c r="H5" s="6">
        <f>getBlue(data0!H5,data1!H5,data2!H5)</f>
        <v>0.35899042295530509</v>
      </c>
      <c r="I5" s="6">
        <f>getBlue(data0!I5,data1!I5,data2!I5)</f>
        <v>-0.68183414231094308</v>
      </c>
      <c r="J5" s="6">
        <f>getBlue(data0!J5,data1!J5,data2!J5)</f>
        <v>26.717951857836649</v>
      </c>
      <c r="K5" s="6">
        <f>getBlue(data0!K5,data1!K5,data2!K5)</f>
        <v>-10.999685068941659</v>
      </c>
      <c r="L5" s="6">
        <f>getBlue(data0!L5,data1!L5,data2!L5)</f>
        <v>18.743227031171166</v>
      </c>
      <c r="M5" s="6">
        <f>getBlue(data0!M5,data1!M5,data2!M5)</f>
        <v>1.8055642447926477</v>
      </c>
      <c r="N5" s="6">
        <f>getBlue(data0!N5,data1!N5,data2!N5)</f>
        <v>-5.299059276388661</v>
      </c>
      <c r="O5" s="6">
        <f>getBlue(data0!O5,data1!O5,data2!O5)</f>
        <v>33.686096873852755</v>
      </c>
      <c r="P5" s="6">
        <f>getBlue(data0!P5,data1!P5,data2!P5)</f>
        <v>27.889423391151187</v>
      </c>
      <c r="Q5" s="6">
        <f>getBlue(data0!Q5,data1!Q5,data2!Q5)</f>
        <v>40.878790644300139</v>
      </c>
      <c r="R5" s="6">
        <f>getBlue(data0!R5,data1!R5,data2!R5)</f>
        <v>34.137295087253101</v>
      </c>
      <c r="S5" s="6">
        <f>getBlue(data0!S5,data1!S5,data2!S5)</f>
        <v>-3.4242950025719106</v>
      </c>
      <c r="T5" s="6">
        <f>getBlue(data0!T5,data1!T5,data2!T5)</f>
        <v>8.3060385163274777</v>
      </c>
      <c r="U5" s="6">
        <f>getBlue(data0!U5,data1!U5,data2!U5)</f>
        <v>-20.523561247056005</v>
      </c>
      <c r="V5" s="6">
        <f>getBlue(data0!V5,data1!V5,data2!V5)</f>
        <v>6.9061336707709229</v>
      </c>
      <c r="W5" s="6">
        <f>getBlue(data0!W5,data1!W5,data2!W5)</f>
        <v>2011.3218219455591</v>
      </c>
      <c r="X5" s="6">
        <f>getBlue(data0!X5,data1!X5,data2!X5)</f>
        <v>25.679815275849514</v>
      </c>
      <c r="Y5" s="6">
        <f>getBlue(data0!Y5,data1!Y5,data2!Y5)</f>
        <v>0.96630095987589393</v>
      </c>
      <c r="Z5" s="6">
        <f>getBlue(data0!Z5,data1!Z5,data2!Z5)</f>
        <v>16.215754956282503</v>
      </c>
      <c r="AA5" s="6">
        <f>getBlue(data0!AA5,data1!AA5,data2!AA5)</f>
        <v>2.963071257585927</v>
      </c>
      <c r="AB5" s="6">
        <f>getBlue(data0!AB5,data1!AB5,data2!AB5)</f>
        <v>-12.244216758893524</v>
      </c>
      <c r="AC5" s="6">
        <f>getBlue(data0!AC5,data1!AC5,data2!AC5)</f>
        <v>4.8864771792809796</v>
      </c>
      <c r="AD5" s="6">
        <f>getBlue(data0!AD5,data1!AD5,data2!AD5)</f>
        <v>-5.4926499205282227</v>
      </c>
      <c r="AE5" s="6">
        <f>getBlue(data0!AE5,data1!AE5,data2!AE5)</f>
        <v>-26.396027760807268</v>
      </c>
      <c r="AF5" s="6">
        <f>getBlue(data0!AF5,data1!AF5,data2!AF5)</f>
        <v>-6.0382158003166939</v>
      </c>
      <c r="AG5" s="6">
        <f>getBlue(data0!AG5,data1!AG5,data2!AG5)</f>
        <v>20.996571979816395</v>
      </c>
      <c r="AJ5" s="6"/>
      <c r="AK5" s="6"/>
      <c r="AL5" s="6"/>
    </row>
    <row r="6" spans="1:38" s="6" customFormat="1" ht="20.25">
      <c r="A6" s="48" t="s">
        <v>70</v>
      </c>
      <c r="B6" s="6">
        <f>getBlue(data0!B6,data1!B6,data2!B6)</f>
        <v>828.1477965119758</v>
      </c>
      <c r="C6" s="6">
        <f>getBlue(data0!C6,data1!C6,data2!C6)</f>
        <v>818.13460061205933</v>
      </c>
      <c r="D6" s="6">
        <f>getBlue(data0!D6,data1!D6,data2!D6)</f>
        <v>802.14128618784468</v>
      </c>
      <c r="E6" s="6">
        <f>getBlue(data0!E6,data1!E6,data2!E6)</f>
        <v>790.58079122120523</v>
      </c>
      <c r="F6" s="6">
        <f>getBlue(data0!F6,data1!F6,data2!F6)</f>
        <v>765.62507454376384</v>
      </c>
      <c r="G6" s="6">
        <f>getBlue(data0!G6,data1!G6,data2!G6)</f>
        <v>792.49298469876112</v>
      </c>
      <c r="H6" s="6">
        <f>getBlue(data0!H6,data1!H6,data2!H6)</f>
        <v>754.62912313342838</v>
      </c>
      <c r="I6" s="6">
        <f>getBlue(data0!I6,data1!I6,data2!I6)</f>
        <v>796.40345505448806</v>
      </c>
      <c r="J6" s="6">
        <f>getBlue(data0!J6,data1!J6,data2!J6)</f>
        <v>792.43786957087366</v>
      </c>
      <c r="K6" s="6">
        <f>getBlue(data0!K6,data1!K6,data2!K6)</f>
        <v>789.42891816761562</v>
      </c>
      <c r="L6" s="6">
        <f>getBlue(data0!L6,data1!L6,data2!L6)</f>
        <v>762.98414596474095</v>
      </c>
      <c r="M6" s="6">
        <f>getBlue(data0!M6,data1!M6,data2!M6)</f>
        <v>748.47154662840489</v>
      </c>
      <c r="N6" s="6">
        <f>getBlue(data0!N6,data1!N6,data2!N6)</f>
        <v>747.78322468984231</v>
      </c>
      <c r="O6" s="6">
        <f>getBlue(data0!O6,data1!O6,data2!O6)</f>
        <v>768.76536780804224</v>
      </c>
      <c r="P6" s="6">
        <f>getBlue(data0!P6,data1!P6,data2!P6)</f>
        <v>785.45902053126542</v>
      </c>
      <c r="Q6" s="6">
        <f>getBlue(data0!Q6,data1!Q6,data2!Q6)</f>
        <v>768.49818499322498</v>
      </c>
      <c r="R6" s="6">
        <f>getBlue(data0!R6,data1!R6,data2!R6)</f>
        <v>800.21770711843374</v>
      </c>
      <c r="S6" s="6">
        <f>getBlue(data0!S6,data1!S6,data2!S6)</f>
        <v>816.11013497025328</v>
      </c>
      <c r="T6" s="6">
        <f>getBlue(data0!T6,data1!T6,data2!T6)</f>
        <v>711.39239368364781</v>
      </c>
      <c r="U6" s="6">
        <f>getBlue(data0!U6,data1!U6,data2!U6)</f>
        <v>743.90177480960062</v>
      </c>
      <c r="V6" s="6">
        <f>getBlue(data0!V6,data1!V6,data2!V6)</f>
        <v>759.63871027781795</v>
      </c>
      <c r="W6" s="6">
        <f>getBlue(data0!W6,data1!W6,data2!W6)</f>
        <v>2011.3218219455591</v>
      </c>
      <c r="X6" s="6">
        <f>getBlue(data0!X6,data1!X6,data2!X6)</f>
        <v>791.53948236454846</v>
      </c>
      <c r="Y6" s="6">
        <f>getBlue(data0!Y6,data1!Y6,data2!Y6)</f>
        <v>794.39160211798855</v>
      </c>
      <c r="Z6" s="6">
        <f>getBlue(data0!Z6,data1!Z6,data2!Z6)</f>
        <v>746.06985258678094</v>
      </c>
      <c r="AA6" s="6">
        <f>getBlue(data0!AA6,data1!AA6,data2!AA6)</f>
        <v>733.32205846854708</v>
      </c>
      <c r="AB6" s="6">
        <f>getBlue(data0!AB6,data1!AB6,data2!AB6)</f>
        <v>768.65958106599328</v>
      </c>
      <c r="AC6" s="6">
        <f>getBlue(data0!AC6,data1!AC6,data2!AC6)</f>
        <v>833.13838091156811</v>
      </c>
      <c r="AD6" s="6">
        <f>getBlue(data0!AD6,data1!AD6,data2!AD6)</f>
        <v>742.18140174320388</v>
      </c>
      <c r="AE6" s="6">
        <f>getBlue(data0!AE6,data1!AE6,data2!AE6)</f>
        <v>724.20037294567555</v>
      </c>
      <c r="AF6" s="6">
        <f>getBlue(data0!AF6,data1!AF6,data2!AF6)</f>
        <v>714.10722021665913</v>
      </c>
      <c r="AG6" s="6">
        <f>getBlue(data0!AG6,data1!AG6,data2!AG6)</f>
        <v>805.13643783405234</v>
      </c>
    </row>
    <row r="7" spans="1:38" ht="20.25">
      <c r="A7" s="48" t="s">
        <v>71</v>
      </c>
      <c r="B7" s="6">
        <f>getBlue(data0!B7,data1!B7,data2!B7)</f>
        <v>825.48412921180045</v>
      </c>
      <c r="C7" s="6">
        <f>getBlue(data0!C7,data1!C7,data2!C7)</f>
        <v>789.6790785787606</v>
      </c>
      <c r="D7" s="6">
        <f>getBlue(data0!D7,data1!D7,data2!D7)</f>
        <v>772.66988158551646</v>
      </c>
      <c r="E7" s="6">
        <f>getBlue(data0!E7,data1!E7,data2!E7)</f>
        <v>809.12936763543416</v>
      </c>
      <c r="F7" s="6">
        <f>getBlue(data0!F7,data1!F7,data2!F7)</f>
        <v>784.19633487736849</v>
      </c>
      <c r="G7" s="6">
        <f>getBlue(data0!G7,data1!G7,data2!G7)</f>
        <v>793.44525846819192</v>
      </c>
      <c r="H7" s="6">
        <f>getBlue(data0!H7,data1!H7,data2!H7)</f>
        <v>713.7173214274294</v>
      </c>
      <c r="I7" s="6">
        <f>getBlue(data0!I7,data1!I7,data2!I7)</f>
        <v>795.307974815139</v>
      </c>
      <c r="J7" s="6">
        <f>getBlue(data0!J7,data1!J7,data2!J7)</f>
        <v>827.13427285126056</v>
      </c>
      <c r="K7" s="6">
        <f>getBlue(data0!K7,data1!K7,data2!K7)</f>
        <v>719.3479922273192</v>
      </c>
      <c r="L7" s="6">
        <f>getBlue(data0!L7,data1!L7,data2!L7)</f>
        <v>703.52733349605126</v>
      </c>
      <c r="M7" s="6">
        <f>getBlue(data0!M7,data1!M7,data2!M7)</f>
        <v>704.6028795605821</v>
      </c>
      <c r="N7" s="6">
        <f>getBlue(data0!N7,data1!N7,data2!N7)</f>
        <v>747.37563010491908</v>
      </c>
      <c r="O7" s="6">
        <f>getBlue(data0!O7,data1!O7,data2!O7)</f>
        <v>859.56377140521693</v>
      </c>
      <c r="P7" s="6">
        <f>getBlue(data0!P7,data1!P7,data2!P7)</f>
        <v>805.42401355808317</v>
      </c>
      <c r="Q7" s="6">
        <f>getBlue(data0!Q7,data1!Q7,data2!Q7)</f>
        <v>754.3477619286864</v>
      </c>
      <c r="R7" s="6">
        <f>getBlue(data0!R7,data1!R7,data2!R7)</f>
        <v>812.7474500827841</v>
      </c>
      <c r="S7" s="6">
        <f>getBlue(data0!S7,data1!S7,data2!S7)</f>
        <v>823.64362213681534</v>
      </c>
      <c r="T7" s="6">
        <f>getBlue(data0!T7,data1!T7,data2!T7)</f>
        <v>710.36170398921593</v>
      </c>
      <c r="U7" s="6">
        <f>getBlue(data0!U7,data1!U7,data2!U7)</f>
        <v>776.83928754768124</v>
      </c>
      <c r="V7" s="6">
        <f>getBlue(data0!V7,data1!V7,data2!V7)</f>
        <v>768.27097312986916</v>
      </c>
      <c r="W7" s="6">
        <f>getBlue(data0!W7,data1!W7,data2!W7)</f>
        <v>10056.609109727795</v>
      </c>
      <c r="X7" s="6">
        <f>getBlue(data0!X7,data1!X7,data2!X7)</f>
        <v>806.82756206572071</v>
      </c>
      <c r="Y7" s="6">
        <f>getBlue(data0!Y7,data1!Y7,data2!Y7)</f>
        <v>780.34022148921053</v>
      </c>
      <c r="Z7" s="6">
        <f>getBlue(data0!Z7,data1!Z7,data2!Z7)</f>
        <v>751.98304106201022</v>
      </c>
      <c r="AA7" s="6">
        <f>getBlue(data0!AA7,data1!AA7,data2!AA7)</f>
        <v>735.65497231896404</v>
      </c>
      <c r="AB7" s="6">
        <f>getBlue(data0!AB7,data1!AB7,data2!AB7)</f>
        <v>746.80659982654856</v>
      </c>
      <c r="AC7" s="6">
        <f>getBlue(data0!AC7,data1!AC7,data2!AC7)</f>
        <v>797.41894920824222</v>
      </c>
      <c r="AD7" s="6">
        <f>getBlue(data0!AD7,data1!AD7,data2!AD7)</f>
        <v>758.90301970000712</v>
      </c>
      <c r="AE7" s="6">
        <f>getBlue(data0!AE7,data1!AE7,data2!AE7)</f>
        <v>590.61292872932802</v>
      </c>
      <c r="AF7" s="6">
        <f>getBlue(data0!AF7,data1!AF7,data2!AF7)</f>
        <v>735.96334313322211</v>
      </c>
      <c r="AG7" s="6">
        <f>getBlue(data0!AG7,data1!AG7,data2!AG7)</f>
        <v>732.37793359241084</v>
      </c>
      <c r="AH7" s="49"/>
      <c r="AI7" s="49"/>
      <c r="AJ7" s="49"/>
      <c r="AK7" s="49"/>
    </row>
    <row r="8" spans="1:38">
      <c r="B8" s="71"/>
      <c r="E8" s="51"/>
    </row>
    <row r="9" spans="1:38">
      <c r="B9" s="71"/>
      <c r="E9" s="51"/>
    </row>
    <row r="10" spans="1:38">
      <c r="B10" s="71"/>
      <c r="E10" s="51"/>
    </row>
    <row r="11" spans="1:38">
      <c r="B11" s="71"/>
      <c r="E11" s="51"/>
    </row>
    <row r="12" spans="1:38">
      <c r="B12" s="71"/>
    </row>
    <row r="13" spans="1:38">
      <c r="B13" s="71"/>
    </row>
  </sheetData>
  <pageMargins left="0.7" right="0.7" top="0.75" bottom="0.75" header="0.3" footer="0.3"/>
  <pageSetup paperSize="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AL13"/>
  <sheetViews>
    <sheetView zoomScale="70" zoomScaleNormal="70" workbookViewId="0">
      <selection activeCell="B2" sqref="B2:AG7"/>
    </sheetView>
  </sheetViews>
  <sheetFormatPr defaultRowHeight="18.75"/>
  <cols>
    <col min="1" max="1" width="9.7109375" style="50" bestFit="1" customWidth="1"/>
    <col min="2" max="2" width="11.7109375" style="30" customWidth="1"/>
    <col min="3" max="3" width="9.140625" style="30" customWidth="1"/>
    <col min="4" max="4" width="6.140625" style="30" customWidth="1"/>
    <col min="5" max="5" width="7.7109375" style="30" customWidth="1"/>
    <col min="6" max="12" width="6.5703125" style="30" bestFit="1" customWidth="1"/>
    <col min="13" max="13" width="7.28515625" style="30" customWidth="1"/>
    <col min="14" max="14" width="6.5703125" style="30" bestFit="1" customWidth="1"/>
    <col min="15" max="15" width="5.85546875" style="30" customWidth="1"/>
    <col min="16" max="16" width="8.28515625" style="30" customWidth="1"/>
    <col min="17" max="25" width="6.5703125" style="30" bestFit="1" customWidth="1"/>
    <col min="26" max="26" width="5.5703125" style="30" bestFit="1" customWidth="1"/>
    <col min="27" max="31" width="6.5703125" style="30" bestFit="1" customWidth="1"/>
    <col min="32" max="33" width="5.85546875" style="30" bestFit="1" customWidth="1"/>
    <col min="34" max="37" width="3.42578125" style="30" bestFit="1" customWidth="1"/>
    <col min="38" max="38" width="6.42578125" style="30" bestFit="1" customWidth="1"/>
    <col min="39" max="16384" width="9.140625" style="30"/>
  </cols>
  <sheetData>
    <row r="1" spans="1:38">
      <c r="A1" s="46"/>
      <c r="B1" s="30">
        <v>0</v>
      </c>
      <c r="C1" s="30">
        <f>B1+1</f>
        <v>1</v>
      </c>
      <c r="D1" s="30">
        <f t="shared" ref="D1:AG1" si="0">C1+1</f>
        <v>2</v>
      </c>
      <c r="E1" s="30">
        <f t="shared" si="0"/>
        <v>3</v>
      </c>
      <c r="F1" s="30">
        <f t="shared" si="0"/>
        <v>4</v>
      </c>
      <c r="G1" s="30">
        <f t="shared" si="0"/>
        <v>5</v>
      </c>
      <c r="H1" s="30">
        <f t="shared" si="0"/>
        <v>6</v>
      </c>
      <c r="I1" s="30">
        <f t="shared" si="0"/>
        <v>7</v>
      </c>
      <c r="J1" s="30">
        <f t="shared" si="0"/>
        <v>8</v>
      </c>
      <c r="K1" s="30">
        <f t="shared" si="0"/>
        <v>9</v>
      </c>
      <c r="L1" s="30">
        <f t="shared" si="0"/>
        <v>10</v>
      </c>
      <c r="M1" s="30">
        <f t="shared" si="0"/>
        <v>11</v>
      </c>
      <c r="N1" s="30">
        <f t="shared" si="0"/>
        <v>12</v>
      </c>
      <c r="O1" s="30">
        <f t="shared" si="0"/>
        <v>13</v>
      </c>
      <c r="P1" s="30">
        <f t="shared" si="0"/>
        <v>14</v>
      </c>
      <c r="Q1" s="30">
        <f t="shared" si="0"/>
        <v>15</v>
      </c>
      <c r="R1" s="30">
        <f t="shared" si="0"/>
        <v>16</v>
      </c>
      <c r="S1" s="30">
        <f t="shared" si="0"/>
        <v>17</v>
      </c>
      <c r="T1" s="30">
        <f t="shared" si="0"/>
        <v>18</v>
      </c>
      <c r="U1" s="30">
        <f t="shared" si="0"/>
        <v>19</v>
      </c>
      <c r="V1" s="30">
        <f t="shared" si="0"/>
        <v>20</v>
      </c>
      <c r="W1" s="30">
        <f t="shared" si="0"/>
        <v>21</v>
      </c>
      <c r="X1" s="30">
        <f t="shared" si="0"/>
        <v>22</v>
      </c>
      <c r="Y1" s="30">
        <f t="shared" si="0"/>
        <v>23</v>
      </c>
      <c r="Z1" s="30">
        <f t="shared" si="0"/>
        <v>24</v>
      </c>
      <c r="AA1" s="30">
        <f t="shared" si="0"/>
        <v>25</v>
      </c>
      <c r="AB1" s="30">
        <f t="shared" si="0"/>
        <v>26</v>
      </c>
      <c r="AC1" s="30">
        <f t="shared" si="0"/>
        <v>27</v>
      </c>
      <c r="AD1" s="30">
        <f t="shared" si="0"/>
        <v>28</v>
      </c>
      <c r="AE1" s="30">
        <f t="shared" si="0"/>
        <v>29</v>
      </c>
      <c r="AF1" s="30">
        <f t="shared" si="0"/>
        <v>30</v>
      </c>
      <c r="AG1" s="30">
        <f t="shared" si="0"/>
        <v>31</v>
      </c>
    </row>
    <row r="2" spans="1:38" ht="20.25">
      <c r="A2" s="47" t="s">
        <v>20</v>
      </c>
      <c r="B2" s="6">
        <v>339.64980544747084</v>
      </c>
      <c r="C2" s="6">
        <v>314.25879301136797</v>
      </c>
      <c r="D2" s="6">
        <v>339.53002212558175</v>
      </c>
      <c r="E2" s="6">
        <v>325.31548027771419</v>
      </c>
      <c r="F2" s="6">
        <v>302.50171663996338</v>
      </c>
      <c r="G2" s="6">
        <v>333.75371938658731</v>
      </c>
      <c r="H2" s="6">
        <v>316.14328221560999</v>
      </c>
      <c r="I2" s="6">
        <v>302.61615930418861</v>
      </c>
      <c r="J2" s="6">
        <v>317.57610437170979</v>
      </c>
      <c r="K2" s="6">
        <v>308.61371786068514</v>
      </c>
      <c r="L2" s="6">
        <v>292.64667734798201</v>
      </c>
      <c r="M2" s="6">
        <v>290.77058060578315</v>
      </c>
      <c r="N2" s="6">
        <v>319.97405966277563</v>
      </c>
      <c r="O2" s="6">
        <v>311.74029144731821</v>
      </c>
      <c r="P2" s="6">
        <v>320.02441443503471</v>
      </c>
      <c r="Q2" s="6">
        <v>314.43808651865413</v>
      </c>
      <c r="R2" s="6">
        <v>299.58037689784084</v>
      </c>
      <c r="S2" s="6">
        <v>355.60616464484627</v>
      </c>
      <c r="T2" s="6">
        <v>300.8133058670939</v>
      </c>
      <c r="U2" s="6">
        <v>332.07370107576105</v>
      </c>
      <c r="V2" s="6">
        <v>306.73609521629663</v>
      </c>
      <c r="W2" s="6">
        <v>1599.9755855649653</v>
      </c>
      <c r="X2" s="6">
        <v>309.00892652780959</v>
      </c>
      <c r="Y2" s="6">
        <v>320.02441443503471</v>
      </c>
      <c r="Z2" s="6">
        <v>294.98359655146106</v>
      </c>
      <c r="AA2" s="6">
        <v>309.87640192263677</v>
      </c>
      <c r="AB2" s="6">
        <v>324.59601739528495</v>
      </c>
      <c r="AC2" s="6">
        <v>324.30304417486838</v>
      </c>
      <c r="AD2" s="6">
        <v>280.28076600289921</v>
      </c>
      <c r="AE2" s="6">
        <v>267.35713740749219</v>
      </c>
      <c r="AF2" s="6">
        <v>297.86907759212636</v>
      </c>
      <c r="AG2" s="6">
        <v>316.34699015793086</v>
      </c>
      <c r="AJ2" s="6"/>
      <c r="AK2" s="6"/>
      <c r="AL2" s="6"/>
    </row>
    <row r="3" spans="1:38" ht="20.25">
      <c r="A3" s="47" t="s">
        <v>21</v>
      </c>
      <c r="B3" s="6">
        <v>900.1068131532769</v>
      </c>
      <c r="C3" s="6">
        <v>886.17151140611884</v>
      </c>
      <c r="D3" s="6">
        <v>938.10177767605092</v>
      </c>
      <c r="E3" s="6">
        <v>905.58480201419081</v>
      </c>
      <c r="F3" s="6">
        <v>869.14625772487977</v>
      </c>
      <c r="G3" s="6">
        <v>942.5879301136797</v>
      </c>
      <c r="H3" s="6">
        <v>932.89845120927748</v>
      </c>
      <c r="I3" s="6">
        <v>926.10437170977343</v>
      </c>
      <c r="J3" s="6">
        <v>918.79911497672992</v>
      </c>
      <c r="K3" s="6">
        <v>951.72808422980086</v>
      </c>
      <c r="L3" s="6">
        <v>889.658197909514</v>
      </c>
      <c r="M3" s="6">
        <v>882.12787060349433</v>
      </c>
      <c r="N3" s="6">
        <v>880.38452735179669</v>
      </c>
      <c r="O3" s="6">
        <v>858.25131609063851</v>
      </c>
      <c r="P3" s="6">
        <v>879.26298924238949</v>
      </c>
      <c r="Q3" s="6">
        <v>826.46295872434575</v>
      </c>
      <c r="R3" s="6">
        <v>849.41634241245129</v>
      </c>
      <c r="S3" s="6">
        <v>995.49858854047454</v>
      </c>
      <c r="T3" s="6">
        <v>802.04089417868317</v>
      </c>
      <c r="U3" s="6">
        <v>934.77531090257116</v>
      </c>
      <c r="V3" s="6">
        <v>879.02647440299074</v>
      </c>
      <c r="W3" s="6">
        <v>7999.8779278248257</v>
      </c>
      <c r="X3" s="6">
        <v>905.89761196307313</v>
      </c>
      <c r="Y3" s="6">
        <v>917.40672922865645</v>
      </c>
      <c r="Z3" s="6">
        <v>824.25421530479889</v>
      </c>
      <c r="AA3" s="6">
        <v>871.40077821011675</v>
      </c>
      <c r="AB3" s="6">
        <v>926.13107499809257</v>
      </c>
      <c r="AC3" s="6">
        <v>958.98756389715413</v>
      </c>
      <c r="AD3" s="6">
        <v>885.81292439154652</v>
      </c>
      <c r="AE3" s="6">
        <v>838.33447775997558</v>
      </c>
      <c r="AF3" s="6">
        <v>852.3956664377813</v>
      </c>
      <c r="AG3" s="6">
        <v>949.00434882124057</v>
      </c>
      <c r="AJ3" s="6"/>
      <c r="AK3" s="6"/>
      <c r="AL3" s="6"/>
    </row>
    <row r="4" spans="1:38" ht="20.25">
      <c r="A4" s="47" t="s">
        <v>22</v>
      </c>
      <c r="B4" s="6">
        <v>930.8506904707408</v>
      </c>
      <c r="C4" s="6">
        <v>917.1519035629816</v>
      </c>
      <c r="D4" s="6">
        <v>969.13786526283661</v>
      </c>
      <c r="E4" s="6">
        <v>929.34615091172657</v>
      </c>
      <c r="F4" s="6">
        <v>888.96162355992976</v>
      </c>
      <c r="G4" s="6">
        <v>970.25787747005415</v>
      </c>
      <c r="H4" s="6">
        <v>960.02441443503471</v>
      </c>
      <c r="I4" s="6">
        <v>959.40794995040812</v>
      </c>
      <c r="J4" s="6">
        <v>947.89806973373004</v>
      </c>
      <c r="K4" s="6">
        <v>968.25131609063862</v>
      </c>
      <c r="L4" s="6">
        <v>910.62256809338521</v>
      </c>
      <c r="M4" s="6">
        <v>916.1158159761959</v>
      </c>
      <c r="N4" s="6">
        <v>900.854505226215</v>
      </c>
      <c r="O4" s="6">
        <v>889.14625772487989</v>
      </c>
      <c r="P4" s="6">
        <v>912.59021896696424</v>
      </c>
      <c r="Q4" s="6">
        <v>861.85320820935374</v>
      </c>
      <c r="R4" s="6">
        <v>861.39238574807359</v>
      </c>
      <c r="S4" s="6">
        <v>1016.9527733272297</v>
      </c>
      <c r="T4" s="6">
        <v>823.11818112458991</v>
      </c>
      <c r="U4" s="6">
        <v>956.91309987029831</v>
      </c>
      <c r="V4" s="6">
        <v>902.89997711146714</v>
      </c>
      <c r="W4" s="6">
        <v>1599.9755855649653</v>
      </c>
      <c r="X4" s="6">
        <v>918.97535667963689</v>
      </c>
      <c r="Y4" s="6">
        <v>939.52620737010761</v>
      </c>
      <c r="Z4" s="6">
        <v>838.10330357824068</v>
      </c>
      <c r="AA4" s="6">
        <v>892.75272755016408</v>
      </c>
      <c r="AB4" s="6">
        <v>948.2589456015869</v>
      </c>
      <c r="AC4" s="6">
        <v>995.42839703974971</v>
      </c>
      <c r="AD4" s="6">
        <v>893.64843213550012</v>
      </c>
      <c r="AE4" s="6">
        <v>867.39833676661328</v>
      </c>
      <c r="AF4" s="6">
        <v>871.64415960936901</v>
      </c>
      <c r="AG4" s="6">
        <v>972.25909819180595</v>
      </c>
      <c r="AJ4" s="6"/>
      <c r="AK4" s="6"/>
      <c r="AL4" s="6"/>
    </row>
    <row r="5" spans="1:38" ht="20.25">
      <c r="A5" s="47" t="s">
        <v>23</v>
      </c>
      <c r="B5" s="6">
        <v>338.8715953307393</v>
      </c>
      <c r="C5" s="6">
        <v>313.92233157854582</v>
      </c>
      <c r="D5" s="6">
        <v>339.32860303654536</v>
      </c>
      <c r="E5" s="6">
        <v>325.09956511787595</v>
      </c>
      <c r="F5" s="6">
        <v>302.31021591515986</v>
      </c>
      <c r="G5" s="6">
        <v>333.55764095521477</v>
      </c>
      <c r="H5" s="6">
        <v>315.86480506599526</v>
      </c>
      <c r="I5" s="6">
        <v>302.484931715877</v>
      </c>
      <c r="J5" s="6">
        <v>317.41588464179443</v>
      </c>
      <c r="K5" s="6">
        <v>308.59769588769359</v>
      </c>
      <c r="L5" s="6">
        <v>292.47806515602349</v>
      </c>
      <c r="M5" s="6">
        <v>290.6729228656443</v>
      </c>
      <c r="N5" s="6">
        <v>319.94354161898224</v>
      </c>
      <c r="O5" s="6">
        <v>311.64187075608453</v>
      </c>
      <c r="P5" s="6">
        <v>320.02441443503471</v>
      </c>
      <c r="Q5" s="6">
        <v>314.37247272449838</v>
      </c>
      <c r="R5" s="6">
        <v>299.40794995040818</v>
      </c>
      <c r="S5" s="6">
        <v>355.59777218280306</v>
      </c>
      <c r="T5" s="6">
        <v>300.75455863279166</v>
      </c>
      <c r="U5" s="6">
        <v>331.94323643854426</v>
      </c>
      <c r="V5" s="6">
        <v>306.64225223163197</v>
      </c>
      <c r="W5" s="6">
        <v>1599.9755855649653</v>
      </c>
      <c r="X5" s="6">
        <v>308.88075074387734</v>
      </c>
      <c r="Y5" s="6">
        <v>320.02441443503471</v>
      </c>
      <c r="Z5" s="6">
        <v>294.82108796826122</v>
      </c>
      <c r="AA5" s="6">
        <v>309.829098954757</v>
      </c>
      <c r="AB5" s="6">
        <v>324.53803311207753</v>
      </c>
      <c r="AC5" s="6">
        <v>324.17257953765164</v>
      </c>
      <c r="AD5" s="6">
        <v>280.30594338902876</v>
      </c>
      <c r="AE5" s="6">
        <v>267.31670099946592</v>
      </c>
      <c r="AF5" s="6">
        <v>297.81872281986722</v>
      </c>
      <c r="AG5" s="6">
        <v>316.2798504615854</v>
      </c>
      <c r="AJ5" s="6"/>
      <c r="AK5" s="6"/>
      <c r="AL5" s="6"/>
    </row>
    <row r="6" spans="1:38" s="6" customFormat="1" ht="20.25">
      <c r="A6" s="48" t="s">
        <v>70</v>
      </c>
      <c r="B6" s="6">
        <v>696.3759822995346</v>
      </c>
      <c r="C6" s="6">
        <v>680.83237964446482</v>
      </c>
      <c r="D6" s="6">
        <v>720.92774853131914</v>
      </c>
      <c r="E6" s="6">
        <v>696.23407339589528</v>
      </c>
      <c r="F6" s="6">
        <v>651.07652399481196</v>
      </c>
      <c r="G6" s="6">
        <v>714.84016174563214</v>
      </c>
      <c r="H6" s="6">
        <v>693.89944304570076</v>
      </c>
      <c r="I6" s="6">
        <v>693.86434729533835</v>
      </c>
      <c r="J6" s="6">
        <v>682.11184863050278</v>
      </c>
      <c r="K6" s="6">
        <v>697.96444647898068</v>
      </c>
      <c r="L6" s="6">
        <v>654.46478980697339</v>
      </c>
      <c r="M6" s="6">
        <v>666.35538261997408</v>
      </c>
      <c r="N6" s="6">
        <v>672.13550011444272</v>
      </c>
      <c r="O6" s="6">
        <v>650.0747692072938</v>
      </c>
      <c r="P6" s="6">
        <v>667.08857862211028</v>
      </c>
      <c r="Q6" s="6">
        <v>633.30815594720377</v>
      </c>
      <c r="R6" s="6">
        <v>628.24139772640569</v>
      </c>
      <c r="S6" s="6">
        <v>742.99000534065772</v>
      </c>
      <c r="T6" s="6">
        <v>613.36919203479056</v>
      </c>
      <c r="U6" s="6">
        <v>702.69245441367207</v>
      </c>
      <c r="V6" s="6">
        <v>663.71862363622495</v>
      </c>
      <c r="W6" s="6">
        <v>1599.9755855649653</v>
      </c>
      <c r="X6" s="6">
        <v>664.57160296025029</v>
      </c>
      <c r="Y6" s="6">
        <v>688.21469443808655</v>
      </c>
      <c r="Z6" s="6">
        <v>621.17799649042502</v>
      </c>
      <c r="AA6" s="6">
        <v>668.74570840009153</v>
      </c>
      <c r="AB6" s="6">
        <v>698.2627603570611</v>
      </c>
      <c r="AC6" s="6">
        <v>728.39856565194168</v>
      </c>
      <c r="AD6" s="6">
        <v>649.26756694895857</v>
      </c>
      <c r="AE6" s="6">
        <v>616.10437170977343</v>
      </c>
      <c r="AF6" s="6">
        <v>640.06637674525064</v>
      </c>
      <c r="AG6" s="6">
        <v>701.94018463416489</v>
      </c>
    </row>
    <row r="7" spans="1:38" ht="20.25">
      <c r="A7" s="48" t="s">
        <v>71</v>
      </c>
      <c r="B7" s="6">
        <v>663.80178530556191</v>
      </c>
      <c r="C7" s="6">
        <v>649.0920881971465</v>
      </c>
      <c r="D7" s="6">
        <v>689.98245212481879</v>
      </c>
      <c r="E7" s="6">
        <v>673.11360341802083</v>
      </c>
      <c r="F7" s="6">
        <v>632.22705424582284</v>
      </c>
      <c r="G7" s="6">
        <v>688.15518425268942</v>
      </c>
      <c r="H7" s="6">
        <v>660.74616617074844</v>
      </c>
      <c r="I7" s="6">
        <v>660.95597772182805</v>
      </c>
      <c r="J7" s="6">
        <v>660.20447089341576</v>
      </c>
      <c r="K7" s="6">
        <v>679.02265964751655</v>
      </c>
      <c r="L7" s="6">
        <v>637.53337911039898</v>
      </c>
      <c r="M7" s="6">
        <v>626.21499961852442</v>
      </c>
      <c r="N7" s="6">
        <v>647.52422369726094</v>
      </c>
      <c r="O7" s="6">
        <v>616.3118944075685</v>
      </c>
      <c r="P7" s="6">
        <v>640.52796215762567</v>
      </c>
      <c r="Q7" s="6">
        <v>608.23224231326765</v>
      </c>
      <c r="R7" s="6">
        <v>617.33043411917299</v>
      </c>
      <c r="S7" s="6">
        <v>720.11139085984587</v>
      </c>
      <c r="T7" s="6">
        <v>586.99931334401458</v>
      </c>
      <c r="U7" s="6">
        <v>684.08102540627146</v>
      </c>
      <c r="V7" s="6">
        <v>638.87235828183407</v>
      </c>
      <c r="W7" s="6">
        <v>7999.8779278248257</v>
      </c>
      <c r="X7" s="6">
        <v>650.2670328831922</v>
      </c>
      <c r="Y7" s="6">
        <v>667.6966506446937</v>
      </c>
      <c r="Z7" s="6">
        <v>603.64309147783626</v>
      </c>
      <c r="AA7" s="6">
        <v>643.23643854428929</v>
      </c>
      <c r="AB7" s="6">
        <v>678.30167086289771</v>
      </c>
      <c r="AC7" s="6">
        <v>691.86312657358667</v>
      </c>
      <c r="AD7" s="6">
        <v>634.78675516899364</v>
      </c>
      <c r="AE7" s="6">
        <v>590.44403753719382</v>
      </c>
      <c r="AF7" s="6">
        <v>617.30754558632793</v>
      </c>
      <c r="AG7" s="6">
        <v>677.95834287022205</v>
      </c>
      <c r="AH7" s="49"/>
      <c r="AI7" s="49"/>
      <c r="AJ7" s="49"/>
      <c r="AK7" s="49"/>
    </row>
    <row r="8" spans="1:38">
      <c r="B8" s="13"/>
      <c r="E8" s="51"/>
    </row>
    <row r="9" spans="1:38">
      <c r="B9" s="13"/>
      <c r="E9" s="51"/>
    </row>
    <row r="10" spans="1:38">
      <c r="B10" s="13"/>
      <c r="E10" s="51"/>
    </row>
    <row r="11" spans="1:38">
      <c r="B11" s="13"/>
      <c r="E11" s="51"/>
    </row>
    <row r="12" spans="1:38">
      <c r="B12" s="13"/>
    </row>
    <row r="13" spans="1:38">
      <c r="B13" s="13"/>
    </row>
  </sheetData>
  <dataConsolidate/>
  <pageMargins left="0.7" right="0.7" top="0.75" bottom="0.75" header="0.3" footer="0.3"/>
  <pageSetup paperSize="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AL13"/>
  <sheetViews>
    <sheetView zoomScale="70" zoomScaleNormal="70" workbookViewId="0">
      <selection activeCell="B2" sqref="B2:AG7"/>
    </sheetView>
  </sheetViews>
  <sheetFormatPr defaultRowHeight="18.75"/>
  <cols>
    <col min="1" max="1" width="9.28515625" style="50" bestFit="1" customWidth="1"/>
    <col min="2" max="2" width="11.7109375" style="30" customWidth="1"/>
    <col min="3" max="3" width="9.140625" style="30" customWidth="1"/>
    <col min="4" max="4" width="6.140625" style="30" customWidth="1"/>
    <col min="5" max="5" width="7.7109375" style="30" customWidth="1"/>
    <col min="6" max="12" width="6.5703125" style="30" bestFit="1" customWidth="1"/>
    <col min="13" max="13" width="7.28515625" style="30" customWidth="1"/>
    <col min="14" max="14" width="6.5703125" style="30" bestFit="1" customWidth="1"/>
    <col min="15" max="15" width="5.85546875" style="30" customWidth="1"/>
    <col min="16" max="16" width="8.28515625" style="30" customWidth="1"/>
    <col min="17" max="25" width="6.5703125" style="30" bestFit="1" customWidth="1"/>
    <col min="26" max="26" width="5.5703125" style="30" bestFit="1" customWidth="1"/>
    <col min="27" max="31" width="6.5703125" style="30" bestFit="1" customWidth="1"/>
    <col min="32" max="33" width="5.85546875" style="30" bestFit="1" customWidth="1"/>
    <col min="34" max="37" width="3.42578125" style="30" bestFit="1" customWidth="1"/>
    <col min="38" max="38" width="6.42578125" style="30" bestFit="1" customWidth="1"/>
    <col min="39" max="16384" width="9.140625" style="30"/>
  </cols>
  <sheetData>
    <row r="1" spans="1:38">
      <c r="A1" s="46"/>
      <c r="B1" s="30">
        <v>0</v>
      </c>
      <c r="C1" s="30">
        <f>B1+1</f>
        <v>1</v>
      </c>
      <c r="D1" s="30">
        <f t="shared" ref="D1:AG1" si="0">C1+1</f>
        <v>2</v>
      </c>
      <c r="E1" s="30">
        <f t="shared" si="0"/>
        <v>3</v>
      </c>
      <c r="F1" s="30">
        <f t="shared" si="0"/>
        <v>4</v>
      </c>
      <c r="G1" s="30">
        <f t="shared" si="0"/>
        <v>5</v>
      </c>
      <c r="H1" s="30">
        <f t="shared" si="0"/>
        <v>6</v>
      </c>
      <c r="I1" s="30">
        <f t="shared" si="0"/>
        <v>7</v>
      </c>
      <c r="J1" s="30">
        <f t="shared" si="0"/>
        <v>8</v>
      </c>
      <c r="K1" s="30">
        <f t="shared" si="0"/>
        <v>9</v>
      </c>
      <c r="L1" s="30">
        <f t="shared" si="0"/>
        <v>10</v>
      </c>
      <c r="M1" s="30">
        <f t="shared" si="0"/>
        <v>11</v>
      </c>
      <c r="N1" s="30">
        <f t="shared" si="0"/>
        <v>12</v>
      </c>
      <c r="O1" s="30">
        <f t="shared" si="0"/>
        <v>13</v>
      </c>
      <c r="P1" s="30">
        <f t="shared" si="0"/>
        <v>14</v>
      </c>
      <c r="Q1" s="30">
        <f t="shared" si="0"/>
        <v>15</v>
      </c>
      <c r="R1" s="30">
        <f t="shared" si="0"/>
        <v>16</v>
      </c>
      <c r="S1" s="30">
        <f t="shared" si="0"/>
        <v>17</v>
      </c>
      <c r="T1" s="30">
        <f t="shared" si="0"/>
        <v>18</v>
      </c>
      <c r="U1" s="30">
        <f t="shared" si="0"/>
        <v>19</v>
      </c>
      <c r="V1" s="30">
        <f t="shared" si="0"/>
        <v>20</v>
      </c>
      <c r="W1" s="30">
        <f t="shared" si="0"/>
        <v>21</v>
      </c>
      <c r="X1" s="30">
        <f t="shared" si="0"/>
        <v>22</v>
      </c>
      <c r="Y1" s="30">
        <f t="shared" si="0"/>
        <v>23</v>
      </c>
      <c r="Z1" s="30">
        <f t="shared" si="0"/>
        <v>24</v>
      </c>
      <c r="AA1" s="30">
        <f t="shared" si="0"/>
        <v>25</v>
      </c>
      <c r="AB1" s="30">
        <f t="shared" si="0"/>
        <v>26</v>
      </c>
      <c r="AC1" s="30">
        <f t="shared" si="0"/>
        <v>27</v>
      </c>
      <c r="AD1" s="30">
        <f t="shared" si="0"/>
        <v>28</v>
      </c>
      <c r="AE1" s="30">
        <f t="shared" si="0"/>
        <v>29</v>
      </c>
      <c r="AF1" s="30">
        <f t="shared" si="0"/>
        <v>30</v>
      </c>
      <c r="AG1" s="30">
        <f t="shared" si="0"/>
        <v>31</v>
      </c>
    </row>
    <row r="2" spans="1:38" ht="20.25">
      <c r="A2" s="47" t="s">
        <v>20</v>
      </c>
      <c r="B2" s="83">
        <v>732.81834134431983</v>
      </c>
      <c r="C2" s="83">
        <v>703.97116044861525</v>
      </c>
      <c r="D2" s="83">
        <v>739.02876325627528</v>
      </c>
      <c r="E2" s="83">
        <v>730.60196841382469</v>
      </c>
      <c r="F2" s="83">
        <v>697.35255970092317</v>
      </c>
      <c r="G2" s="83">
        <v>739.21187151903564</v>
      </c>
      <c r="H2" s="83">
        <v>699.59563591973756</v>
      </c>
      <c r="I2" s="83">
        <v>724.8416876478218</v>
      </c>
      <c r="J2" s="83">
        <v>711.74563210498206</v>
      </c>
      <c r="K2" s="83">
        <v>714.11841000991831</v>
      </c>
      <c r="L2" s="83">
        <v>705.21477073319602</v>
      </c>
      <c r="M2" s="83">
        <v>726.35233081559466</v>
      </c>
      <c r="N2" s="83">
        <v>681.12077515831231</v>
      </c>
      <c r="O2" s="83">
        <v>714.83939879453726</v>
      </c>
      <c r="P2" s="83">
        <v>711.42137788967727</v>
      </c>
      <c r="Q2" s="83">
        <v>709.17830167086288</v>
      </c>
      <c r="R2" s="83">
        <v>687.36552986953529</v>
      </c>
      <c r="S2" s="83">
        <v>809.63607232776371</v>
      </c>
      <c r="T2" s="83">
        <v>630.84229800869764</v>
      </c>
      <c r="U2" s="83">
        <v>760.67368581673918</v>
      </c>
      <c r="V2" s="83">
        <v>692.1644922560464</v>
      </c>
      <c r="W2" s="83">
        <v>7999.8779278248257</v>
      </c>
      <c r="X2" s="83">
        <v>736.97642481116964</v>
      </c>
      <c r="Y2" s="83">
        <v>703.70794232089725</v>
      </c>
      <c r="Z2" s="83">
        <v>664.15655756466003</v>
      </c>
      <c r="AA2" s="83">
        <v>696.7994201571679</v>
      </c>
      <c r="AB2" s="83">
        <v>737.19768062867172</v>
      </c>
      <c r="AC2" s="83">
        <v>737.01075761043717</v>
      </c>
      <c r="AD2" s="83">
        <v>697.98962386511027</v>
      </c>
      <c r="AE2" s="83">
        <v>774.81116960402835</v>
      </c>
      <c r="AF2" s="83">
        <v>668.24979018844886</v>
      </c>
      <c r="AG2" s="83">
        <v>731.89517051956966</v>
      </c>
      <c r="AJ2" s="6"/>
      <c r="AK2" s="6"/>
      <c r="AL2" s="6"/>
    </row>
    <row r="3" spans="1:38" ht="20.25">
      <c r="A3" s="47" t="s">
        <v>21</v>
      </c>
      <c r="B3" s="83">
        <v>878.32455939574265</v>
      </c>
      <c r="C3" s="83">
        <v>860.05951018539713</v>
      </c>
      <c r="D3" s="83">
        <v>895.35744258793011</v>
      </c>
      <c r="E3" s="83">
        <v>898.71442740520331</v>
      </c>
      <c r="F3" s="83">
        <v>838.33829251544978</v>
      </c>
      <c r="G3" s="83">
        <v>889.35301747158007</v>
      </c>
      <c r="H3" s="83">
        <v>886.85053788052187</v>
      </c>
      <c r="I3" s="83">
        <v>910.63935301747154</v>
      </c>
      <c r="J3" s="83">
        <v>900.38910505836577</v>
      </c>
      <c r="K3" s="83">
        <v>887.13282978561074</v>
      </c>
      <c r="L3" s="83">
        <v>905.61913481345846</v>
      </c>
      <c r="M3" s="83">
        <v>964.82795452811467</v>
      </c>
      <c r="N3" s="83">
        <v>805.77172503242537</v>
      </c>
      <c r="O3" s="83">
        <v>904.24963759822992</v>
      </c>
      <c r="P3" s="83">
        <v>912.52384222171361</v>
      </c>
      <c r="Q3" s="83">
        <v>872.39642938887619</v>
      </c>
      <c r="R3" s="83">
        <v>807.82787823300521</v>
      </c>
      <c r="S3" s="83">
        <v>1023.6133363851377</v>
      </c>
      <c r="T3" s="83">
        <v>743.51110093842988</v>
      </c>
      <c r="U3" s="83">
        <v>1006.1379415579461</v>
      </c>
      <c r="V3" s="83">
        <v>830.47226672770273</v>
      </c>
      <c r="W3" s="83">
        <v>7999.8779278248257</v>
      </c>
      <c r="X3" s="83">
        <v>965.12932021057452</v>
      </c>
      <c r="Y3" s="83">
        <v>836.86961165789273</v>
      </c>
      <c r="Z3" s="83">
        <v>785.53444724193173</v>
      </c>
      <c r="AA3" s="83">
        <v>846.61249713893335</v>
      </c>
      <c r="AB3" s="83">
        <v>891.32906080720227</v>
      </c>
      <c r="AC3" s="83">
        <v>902.88395513847559</v>
      </c>
      <c r="AD3" s="83">
        <v>880.70878156710148</v>
      </c>
      <c r="AE3" s="83">
        <v>1012.9739833676661</v>
      </c>
      <c r="AF3" s="83">
        <v>816.5178912031738</v>
      </c>
      <c r="AG3" s="83">
        <v>962.41321431296251</v>
      </c>
      <c r="AJ3" s="6"/>
      <c r="AK3" s="6"/>
      <c r="AL3" s="6"/>
    </row>
    <row r="4" spans="1:38" ht="20.25">
      <c r="A4" s="47" t="s">
        <v>22</v>
      </c>
      <c r="B4" s="83">
        <v>852.21484702830548</v>
      </c>
      <c r="C4" s="83">
        <v>861.8722819867246</v>
      </c>
      <c r="D4" s="83">
        <v>888.38712138551921</v>
      </c>
      <c r="E4" s="83">
        <v>873.71862363622495</v>
      </c>
      <c r="F4" s="83">
        <v>842.623788815137</v>
      </c>
      <c r="G4" s="83">
        <v>888.08957045853356</v>
      </c>
      <c r="H4" s="83">
        <v>794.20309758144504</v>
      </c>
      <c r="I4" s="83">
        <v>883.65758754863816</v>
      </c>
      <c r="J4" s="83">
        <v>823.75448233768213</v>
      </c>
      <c r="K4" s="83">
        <v>800.10910200656133</v>
      </c>
      <c r="L4" s="83">
        <v>803.50118257419695</v>
      </c>
      <c r="M4" s="83">
        <v>913.79720759899294</v>
      </c>
      <c r="N4" s="83">
        <v>816.40268558785385</v>
      </c>
      <c r="O4" s="83">
        <v>853.45616845960171</v>
      </c>
      <c r="P4" s="83">
        <v>854.09094377050428</v>
      </c>
      <c r="Q4" s="83">
        <v>799.96032654306862</v>
      </c>
      <c r="R4" s="83">
        <v>829.81994354161895</v>
      </c>
      <c r="S4" s="83">
        <v>964.13138017853055</v>
      </c>
      <c r="T4" s="83">
        <v>775.07591363393601</v>
      </c>
      <c r="U4" s="83">
        <v>956.38437476157776</v>
      </c>
      <c r="V4" s="83">
        <v>838.50690470740824</v>
      </c>
      <c r="W4" s="83">
        <v>1599.9755855649653</v>
      </c>
      <c r="X4" s="83">
        <v>886.68955519951169</v>
      </c>
      <c r="Y4" s="83">
        <v>843.06935225452048</v>
      </c>
      <c r="Z4" s="83">
        <v>800.03662165255207</v>
      </c>
      <c r="AA4" s="83">
        <v>839.64599069199664</v>
      </c>
      <c r="AB4" s="83">
        <v>888.41000991836427</v>
      </c>
      <c r="AC4" s="83">
        <v>845.74654764629588</v>
      </c>
      <c r="AD4" s="83">
        <v>849.06843671320667</v>
      </c>
      <c r="AE4" s="83">
        <v>959.27672236209662</v>
      </c>
      <c r="AF4" s="83">
        <v>825.0873579003586</v>
      </c>
      <c r="AG4" s="83">
        <v>862.24002441443508</v>
      </c>
      <c r="AJ4" s="6"/>
      <c r="AK4" s="6"/>
      <c r="AL4" s="6"/>
    </row>
    <row r="5" spans="1:38" ht="20.25">
      <c r="A5" s="47" t="s">
        <v>23</v>
      </c>
      <c r="B5" s="83">
        <v>671.42442969405658</v>
      </c>
      <c r="C5" s="83">
        <v>661.15053025101088</v>
      </c>
      <c r="D5" s="83">
        <v>685.72823682001979</v>
      </c>
      <c r="E5" s="83">
        <v>666.87113756008239</v>
      </c>
      <c r="F5" s="83">
        <v>641.06126497291518</v>
      </c>
      <c r="G5" s="83">
        <v>685.7526512550545</v>
      </c>
      <c r="H5" s="83">
        <v>608.29938200961317</v>
      </c>
      <c r="I5" s="83">
        <v>661.16044861524381</v>
      </c>
      <c r="J5" s="83">
        <v>629.92751964599074</v>
      </c>
      <c r="K5" s="83">
        <v>636.6536964980545</v>
      </c>
      <c r="L5" s="83">
        <v>621.85320820935374</v>
      </c>
      <c r="M5" s="83">
        <v>658.9532310978866</v>
      </c>
      <c r="N5" s="83">
        <v>640.02441443503471</v>
      </c>
      <c r="O5" s="83">
        <v>644.53574425879299</v>
      </c>
      <c r="P5" s="83">
        <v>640.02441443503471</v>
      </c>
      <c r="Q5" s="83">
        <v>621.40077821011675</v>
      </c>
      <c r="R5" s="83">
        <v>645.88540474555577</v>
      </c>
      <c r="S5" s="83">
        <v>736.13183794918746</v>
      </c>
      <c r="T5" s="83">
        <v>604.52582589456017</v>
      </c>
      <c r="U5" s="83">
        <v>692.06073090714881</v>
      </c>
      <c r="V5" s="83">
        <v>645.96551461051342</v>
      </c>
      <c r="W5" s="83">
        <v>1599.9755855649653</v>
      </c>
      <c r="X5" s="83">
        <v>658.98374914168005</v>
      </c>
      <c r="Y5" s="83">
        <v>657.45632104982076</v>
      </c>
      <c r="Z5" s="83">
        <v>627.33196002136265</v>
      </c>
      <c r="AA5" s="83">
        <v>640.02441443503471</v>
      </c>
      <c r="AB5" s="83">
        <v>685.74349584191657</v>
      </c>
      <c r="AC5" s="83">
        <v>661.06202792401007</v>
      </c>
      <c r="AD5" s="83">
        <v>636.13794155794619</v>
      </c>
      <c r="AE5" s="83">
        <v>700.21820401312277</v>
      </c>
      <c r="AF5" s="83">
        <v>631.52819104295418</v>
      </c>
      <c r="AG5" s="83">
        <v>640.02441443503471</v>
      </c>
      <c r="AJ5" s="6"/>
      <c r="AK5" s="6"/>
      <c r="AL5" s="6"/>
    </row>
    <row r="6" spans="1:38" s="6" customFormat="1" ht="20.25">
      <c r="A6" s="48" t="s">
        <v>70</v>
      </c>
      <c r="B6" s="83">
        <v>920.66758220798044</v>
      </c>
      <c r="C6" s="83">
        <v>923.67284657053483</v>
      </c>
      <c r="D6" s="83">
        <v>947.89196612497142</v>
      </c>
      <c r="E6" s="83">
        <v>942.80766002899213</v>
      </c>
      <c r="F6" s="83">
        <v>901.94094758525978</v>
      </c>
      <c r="G6" s="83">
        <v>948.79758907454027</v>
      </c>
      <c r="H6" s="83">
        <v>839.45983062485698</v>
      </c>
      <c r="I6" s="83">
        <v>940.08697642481116</v>
      </c>
      <c r="J6" s="83">
        <v>873.83993286030363</v>
      </c>
      <c r="K6" s="83">
        <v>873.69344625009535</v>
      </c>
      <c r="L6" s="83">
        <v>863.43785763332573</v>
      </c>
      <c r="M6" s="83">
        <v>964.845502403296</v>
      </c>
      <c r="N6" s="83">
        <v>884.68680857557035</v>
      </c>
      <c r="O6" s="83">
        <v>910.54627298390176</v>
      </c>
      <c r="P6" s="83">
        <v>907.60128175783927</v>
      </c>
      <c r="Q6" s="83">
        <v>845.94796673533222</v>
      </c>
      <c r="R6" s="83">
        <v>897.90264744029912</v>
      </c>
      <c r="S6" s="83">
        <v>1014.6128023193713</v>
      </c>
      <c r="T6" s="83">
        <v>834.45868619821465</v>
      </c>
      <c r="U6" s="83">
        <v>1012.5352864881361</v>
      </c>
      <c r="V6" s="83">
        <v>896.06393530174716</v>
      </c>
      <c r="W6" s="83">
        <v>1599.9755855649653</v>
      </c>
      <c r="X6" s="83">
        <v>933.649195086595</v>
      </c>
      <c r="Y6" s="83">
        <v>909.49263752193485</v>
      </c>
      <c r="Z6" s="83">
        <v>861.77615014877551</v>
      </c>
      <c r="AA6" s="83">
        <v>903.66521705958644</v>
      </c>
      <c r="AB6" s="83">
        <v>955.01335164415957</v>
      </c>
      <c r="AC6" s="83">
        <v>908.69840543221176</v>
      </c>
      <c r="AD6" s="83">
        <v>920.69886320286867</v>
      </c>
      <c r="AE6" s="83">
        <v>1015.9449149309529</v>
      </c>
      <c r="AF6" s="83">
        <v>884.1474021515221</v>
      </c>
      <c r="AG6" s="83">
        <v>909.61318379491877</v>
      </c>
    </row>
    <row r="7" spans="1:38" ht="20.25">
      <c r="A7" s="48" t="s">
        <v>71</v>
      </c>
      <c r="B7" s="83">
        <v>978.01174944686045</v>
      </c>
      <c r="C7" s="83">
        <v>943.12581063553819</v>
      </c>
      <c r="D7" s="83">
        <v>991.74868390936138</v>
      </c>
      <c r="E7" s="83">
        <v>994.58304722667276</v>
      </c>
      <c r="F7" s="83">
        <v>927.46623941405358</v>
      </c>
      <c r="G7" s="83">
        <v>984.36331731136033</v>
      </c>
      <c r="H7" s="83">
        <v>969.08140688181879</v>
      </c>
      <c r="I7" s="83">
        <v>1012.2568093385214</v>
      </c>
      <c r="J7" s="83">
        <v>981.94476234073397</v>
      </c>
      <c r="K7" s="83">
        <v>975.57412069886323</v>
      </c>
      <c r="L7" s="83">
        <v>987.422751201648</v>
      </c>
      <c r="M7" s="83">
        <v>1063.1418326085297</v>
      </c>
      <c r="N7" s="83">
        <v>893.20973525597003</v>
      </c>
      <c r="O7" s="83">
        <v>985.40093080033569</v>
      </c>
      <c r="P7" s="83">
        <v>1000.9765774013886</v>
      </c>
      <c r="Q7" s="83">
        <v>970.43564507515066</v>
      </c>
      <c r="R7" s="83">
        <v>900.53025101091021</v>
      </c>
      <c r="S7" s="83">
        <v>1108.4992751964598</v>
      </c>
      <c r="T7" s="83">
        <v>827.20683604180965</v>
      </c>
      <c r="U7" s="83">
        <v>1105.0507362478065</v>
      </c>
      <c r="V7" s="83">
        <v>916.03723201342791</v>
      </c>
      <c r="W7" s="83">
        <v>7999.8779278248257</v>
      </c>
      <c r="X7" s="83">
        <v>1054.4518196383613</v>
      </c>
      <c r="Y7" s="83">
        <v>932.143129625391</v>
      </c>
      <c r="Z7" s="83">
        <v>876.55069810025179</v>
      </c>
      <c r="AA7" s="83">
        <v>930.93385214007776</v>
      </c>
      <c r="AB7" s="83">
        <v>993.1754024567025</v>
      </c>
      <c r="AC7" s="83">
        <v>1003.9978637369344</v>
      </c>
      <c r="AD7" s="83">
        <v>982.36820019836728</v>
      </c>
      <c r="AE7" s="83">
        <v>1101.4419775692377</v>
      </c>
      <c r="AF7" s="83">
        <v>897.84847791256573</v>
      </c>
      <c r="AG7" s="83">
        <v>1049.1683833066299</v>
      </c>
      <c r="AH7" s="49"/>
      <c r="AI7" s="49"/>
      <c r="AJ7" s="49"/>
      <c r="AK7" s="49"/>
    </row>
    <row r="8" spans="1:38">
      <c r="B8" s="71"/>
      <c r="E8" s="51"/>
    </row>
    <row r="9" spans="1:38">
      <c r="B9" s="71"/>
      <c r="E9" s="51"/>
    </row>
    <row r="10" spans="1:38">
      <c r="B10" s="71"/>
      <c r="E10" s="51"/>
    </row>
    <row r="11" spans="1:38">
      <c r="B11" s="71"/>
      <c r="E11" s="51"/>
    </row>
    <row r="12" spans="1:38">
      <c r="B12" s="71"/>
    </row>
    <row r="13" spans="1:38">
      <c r="B13" s="71"/>
    </row>
  </sheetData>
  <pageMargins left="0.7" right="0.7" top="0.75" bottom="0.75" header="0.3" footer="0.3"/>
  <pageSetup paperSize="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AL13"/>
  <sheetViews>
    <sheetView zoomScale="70" zoomScaleNormal="70" workbookViewId="0">
      <selection activeCell="B2" sqref="B2:AG7"/>
    </sheetView>
  </sheetViews>
  <sheetFormatPr defaultRowHeight="18.75"/>
  <cols>
    <col min="1" max="1" width="9.28515625" style="50" bestFit="1" customWidth="1"/>
    <col min="2" max="2" width="11.7109375" style="30" customWidth="1"/>
    <col min="3" max="3" width="9.140625" style="30" customWidth="1"/>
    <col min="4" max="4" width="6.140625" style="30" customWidth="1"/>
    <col min="5" max="5" width="7.7109375" style="30" customWidth="1"/>
    <col min="6" max="12" width="6.5703125" style="30" bestFit="1" customWidth="1"/>
    <col min="13" max="13" width="7.28515625" style="30" customWidth="1"/>
    <col min="14" max="14" width="6.5703125" style="30" bestFit="1" customWidth="1"/>
    <col min="15" max="15" width="5.85546875" style="30" customWidth="1"/>
    <col min="16" max="16" width="8.28515625" style="30" customWidth="1"/>
    <col min="17" max="25" width="6.5703125" style="30" bestFit="1" customWidth="1"/>
    <col min="26" max="26" width="5.5703125" style="30" bestFit="1" customWidth="1"/>
    <col min="27" max="31" width="6.5703125" style="30" bestFit="1" customWidth="1"/>
    <col min="32" max="33" width="5.85546875" style="30" bestFit="1" customWidth="1"/>
    <col min="34" max="37" width="3.42578125" style="30" bestFit="1" customWidth="1"/>
    <col min="38" max="38" width="6.42578125" style="30" bestFit="1" customWidth="1"/>
    <col min="39" max="16384" width="9.140625" style="30"/>
  </cols>
  <sheetData>
    <row r="1" spans="1:38">
      <c r="A1" s="46"/>
      <c r="B1" s="30">
        <v>0</v>
      </c>
      <c r="C1" s="30">
        <f>B1+1</f>
        <v>1</v>
      </c>
      <c r="D1" s="30">
        <f t="shared" ref="D1:AG1" si="0">C1+1</f>
        <v>2</v>
      </c>
      <c r="E1" s="30">
        <f t="shared" si="0"/>
        <v>3</v>
      </c>
      <c r="F1" s="30">
        <f t="shared" si="0"/>
        <v>4</v>
      </c>
      <c r="G1" s="30">
        <f t="shared" si="0"/>
        <v>5</v>
      </c>
      <c r="H1" s="30">
        <f t="shared" si="0"/>
        <v>6</v>
      </c>
      <c r="I1" s="30">
        <f t="shared" si="0"/>
        <v>7</v>
      </c>
      <c r="J1" s="30">
        <f t="shared" si="0"/>
        <v>8</v>
      </c>
      <c r="K1" s="30">
        <f t="shared" si="0"/>
        <v>9</v>
      </c>
      <c r="L1" s="30">
        <f t="shared" si="0"/>
        <v>10</v>
      </c>
      <c r="M1" s="30">
        <f t="shared" si="0"/>
        <v>11</v>
      </c>
      <c r="N1" s="30">
        <f t="shared" si="0"/>
        <v>12</v>
      </c>
      <c r="O1" s="30">
        <f t="shared" si="0"/>
        <v>13</v>
      </c>
      <c r="P1" s="30">
        <f t="shared" si="0"/>
        <v>14</v>
      </c>
      <c r="Q1" s="30">
        <f t="shared" si="0"/>
        <v>15</v>
      </c>
      <c r="R1" s="30">
        <f t="shared" si="0"/>
        <v>16</v>
      </c>
      <c r="S1" s="30">
        <f t="shared" si="0"/>
        <v>17</v>
      </c>
      <c r="T1" s="30">
        <f t="shared" si="0"/>
        <v>18</v>
      </c>
      <c r="U1" s="30">
        <f t="shared" si="0"/>
        <v>19</v>
      </c>
      <c r="V1" s="30">
        <f t="shared" si="0"/>
        <v>20</v>
      </c>
      <c r="W1" s="30">
        <f t="shared" si="0"/>
        <v>21</v>
      </c>
      <c r="X1" s="30">
        <f t="shared" si="0"/>
        <v>22</v>
      </c>
      <c r="Y1" s="30">
        <f t="shared" si="0"/>
        <v>23</v>
      </c>
      <c r="Z1" s="30">
        <f t="shared" si="0"/>
        <v>24</v>
      </c>
      <c r="AA1" s="30">
        <f t="shared" si="0"/>
        <v>25</v>
      </c>
      <c r="AB1" s="30">
        <f t="shared" si="0"/>
        <v>26</v>
      </c>
      <c r="AC1" s="30">
        <f t="shared" si="0"/>
        <v>27</v>
      </c>
      <c r="AD1" s="30">
        <f t="shared" si="0"/>
        <v>28</v>
      </c>
      <c r="AE1" s="30">
        <f t="shared" si="0"/>
        <v>29</v>
      </c>
      <c r="AF1" s="30">
        <f t="shared" si="0"/>
        <v>30</v>
      </c>
      <c r="AG1" s="30">
        <f t="shared" si="0"/>
        <v>31</v>
      </c>
    </row>
    <row r="2" spans="1:38" ht="20.25">
      <c r="A2" s="47" t="s">
        <v>20</v>
      </c>
      <c r="B2" s="6">
        <v>236.08758678568702</v>
      </c>
      <c r="C2" s="6">
        <v>226.45532921339742</v>
      </c>
      <c r="D2" s="6">
        <v>219.36369878690775</v>
      </c>
      <c r="E2" s="6">
        <v>235.47722590981917</v>
      </c>
      <c r="F2" s="6">
        <v>221.19478141451131</v>
      </c>
      <c r="G2" s="6">
        <v>221.92721446555277</v>
      </c>
      <c r="H2" s="6">
        <v>205.56954299229417</v>
      </c>
      <c r="I2" s="6">
        <v>220.09613183794917</v>
      </c>
      <c r="J2" s="6">
        <v>242.76340886549173</v>
      </c>
      <c r="K2" s="6">
        <v>197.57000076295108</v>
      </c>
      <c r="L2" s="6">
        <v>208.77775234607461</v>
      </c>
      <c r="M2" s="6">
        <v>215.80453192950333</v>
      </c>
      <c r="N2" s="6">
        <v>202.63981078812847</v>
      </c>
      <c r="O2" s="6">
        <v>255.477988860914</v>
      </c>
      <c r="P2" s="6">
        <v>235.84344243533988</v>
      </c>
      <c r="Q2" s="6">
        <v>240.99336232547492</v>
      </c>
      <c r="R2" s="6">
        <v>225.83352407110704</v>
      </c>
      <c r="S2" s="6">
        <v>255.37499046311132</v>
      </c>
      <c r="T2" s="6">
        <v>196.41412985427633</v>
      </c>
      <c r="U2" s="6">
        <v>239.01731898985275</v>
      </c>
      <c r="V2" s="6">
        <v>213.62630655374988</v>
      </c>
      <c r="W2" s="6">
        <v>7999.8779278248257</v>
      </c>
      <c r="X2" s="6">
        <v>244.99885557335773</v>
      </c>
      <c r="Y2" s="6">
        <v>212.98542763408864</v>
      </c>
      <c r="Z2" s="6">
        <v>210.81864652475775</v>
      </c>
      <c r="AA2" s="6">
        <v>210.53635461966888</v>
      </c>
      <c r="AB2" s="6">
        <v>216.94132906080719</v>
      </c>
      <c r="AC2" s="6">
        <v>211.79522392614632</v>
      </c>
      <c r="AD2" s="6">
        <v>210.33035782406347</v>
      </c>
      <c r="AE2" s="6">
        <v>176.88258182650492</v>
      </c>
      <c r="AF2" s="6">
        <v>206.34393835355152</v>
      </c>
      <c r="AG2" s="6">
        <v>215.86938277256428</v>
      </c>
      <c r="AJ2" s="6"/>
      <c r="AK2" s="6"/>
      <c r="AL2" s="6"/>
    </row>
    <row r="3" spans="1:38" ht="20.25">
      <c r="A3" s="47" t="s">
        <v>21</v>
      </c>
      <c r="B3" s="6">
        <v>545.47951476310368</v>
      </c>
      <c r="C3" s="6">
        <v>524.47547112230109</v>
      </c>
      <c r="D3" s="6">
        <v>536.70176241702904</v>
      </c>
      <c r="E3" s="6">
        <v>547.88281071183337</v>
      </c>
      <c r="F3" s="6">
        <v>518.36804760814834</v>
      </c>
      <c r="G3" s="6">
        <v>526.98558022430757</v>
      </c>
      <c r="H3" s="6">
        <v>503.10902571145186</v>
      </c>
      <c r="I3" s="6">
        <v>537.40749217975122</v>
      </c>
      <c r="J3" s="6">
        <v>569.32173647669185</v>
      </c>
      <c r="K3" s="6">
        <v>497.27626459143966</v>
      </c>
      <c r="L3" s="6">
        <v>505.01258869306474</v>
      </c>
      <c r="M3" s="6">
        <v>535.93881132219428</v>
      </c>
      <c r="N3" s="6">
        <v>494.03372243839169</v>
      </c>
      <c r="O3" s="6">
        <v>564.5494773785</v>
      </c>
      <c r="P3" s="6">
        <v>547.07408255130849</v>
      </c>
      <c r="Q3" s="6">
        <v>528.07660028992143</v>
      </c>
      <c r="R3" s="6">
        <v>515.99908445868618</v>
      </c>
      <c r="S3" s="6">
        <v>595.49095902952615</v>
      </c>
      <c r="T3" s="6">
        <v>465.27809567406729</v>
      </c>
      <c r="U3" s="6">
        <v>567.12443732356758</v>
      </c>
      <c r="V3" s="6">
        <v>508.99137865262833</v>
      </c>
      <c r="W3" s="6">
        <v>7999.8779278248257</v>
      </c>
      <c r="X3" s="6">
        <v>570.91248950942247</v>
      </c>
      <c r="Y3" s="6">
        <v>515.15602349889366</v>
      </c>
      <c r="Z3" s="6">
        <v>486.57969024185547</v>
      </c>
      <c r="AA3" s="6">
        <v>503.40276188296326</v>
      </c>
      <c r="AB3" s="6">
        <v>507.91561760891125</v>
      </c>
      <c r="AC3" s="6">
        <v>528.4084840161745</v>
      </c>
      <c r="AD3" s="6">
        <v>520.08087281605242</v>
      </c>
      <c r="AE3" s="6">
        <v>470.08087281605248</v>
      </c>
      <c r="AF3" s="6">
        <v>497.58907454032197</v>
      </c>
      <c r="AG3" s="6">
        <v>538.99061570153356</v>
      </c>
      <c r="AJ3" s="6"/>
      <c r="AK3" s="6"/>
      <c r="AL3" s="6"/>
    </row>
    <row r="4" spans="1:38" ht="20.25">
      <c r="A4" s="47" t="s">
        <v>22</v>
      </c>
      <c r="B4" s="6">
        <v>571.04829480430305</v>
      </c>
      <c r="C4" s="6">
        <v>567.53032730601967</v>
      </c>
      <c r="D4" s="6">
        <v>575.15068284122992</v>
      </c>
      <c r="E4" s="6">
        <v>567.4441138323034</v>
      </c>
      <c r="F4" s="6">
        <v>548.44663157091634</v>
      </c>
      <c r="G4" s="6">
        <v>565.87853818570227</v>
      </c>
      <c r="H4" s="6">
        <v>528.84031433585108</v>
      </c>
      <c r="I4" s="6">
        <v>561.31609063859003</v>
      </c>
      <c r="J4" s="6">
        <v>563.56755931944758</v>
      </c>
      <c r="K4" s="6">
        <v>533.75524528877702</v>
      </c>
      <c r="L4" s="6">
        <v>536.45304036011294</v>
      </c>
      <c r="M4" s="6">
        <v>562.65125505455103</v>
      </c>
      <c r="N4" s="6">
        <v>533.33714808880745</v>
      </c>
      <c r="O4" s="6">
        <v>550.98115510795753</v>
      </c>
      <c r="P4" s="6">
        <v>558.17425803006029</v>
      </c>
      <c r="Q4" s="6">
        <v>535.93041886015101</v>
      </c>
      <c r="R4" s="6">
        <v>549.58419165331497</v>
      </c>
      <c r="S4" s="6">
        <v>600.90791180285339</v>
      </c>
      <c r="T4" s="6">
        <v>507.44792858777754</v>
      </c>
      <c r="U4" s="6">
        <v>562.53147173266188</v>
      </c>
      <c r="V4" s="6">
        <v>541.8226901655604</v>
      </c>
      <c r="W4" s="6">
        <v>1599.9755855649653</v>
      </c>
      <c r="X4" s="6">
        <v>570.96513313496609</v>
      </c>
      <c r="Y4" s="6">
        <v>554.41138323033499</v>
      </c>
      <c r="Z4" s="6">
        <v>520.65461203936832</v>
      </c>
      <c r="AA4" s="6">
        <v>536.44541084916455</v>
      </c>
      <c r="AB4" s="6">
        <v>547.64553292133974</v>
      </c>
      <c r="AC4" s="6">
        <v>573.28068970778975</v>
      </c>
      <c r="AD4" s="6">
        <v>533.3424887464713</v>
      </c>
      <c r="AE4" s="6">
        <v>557.6646066987106</v>
      </c>
      <c r="AF4" s="6">
        <v>522.71457999542224</v>
      </c>
      <c r="AG4" s="6">
        <v>576.22186617837792</v>
      </c>
      <c r="AJ4" s="6"/>
      <c r="AK4" s="6"/>
      <c r="AL4" s="6"/>
    </row>
    <row r="5" spans="1:38" ht="20.25">
      <c r="A5" s="47" t="s">
        <v>23</v>
      </c>
      <c r="B5" s="6">
        <v>231.65102616922255</v>
      </c>
      <c r="C5" s="6">
        <v>232.18509193560692</v>
      </c>
      <c r="D5" s="6">
        <v>226.8253604943923</v>
      </c>
      <c r="E5" s="6">
        <v>231.75783932249942</v>
      </c>
      <c r="F5" s="6">
        <v>222.7214465552758</v>
      </c>
      <c r="G5" s="6">
        <v>227.690547035935</v>
      </c>
      <c r="H5" s="6">
        <v>205.53902494850081</v>
      </c>
      <c r="I5" s="6">
        <v>218.70450904097046</v>
      </c>
      <c r="J5" s="6">
        <v>224.71046005951018</v>
      </c>
      <c r="K5" s="6">
        <v>207.3228046082246</v>
      </c>
      <c r="L5" s="6">
        <v>215.97390707255664</v>
      </c>
      <c r="M5" s="6">
        <v>218.08270389868011</v>
      </c>
      <c r="N5" s="6">
        <v>212.22247653925385</v>
      </c>
      <c r="O5" s="6">
        <v>231.67620355535209</v>
      </c>
      <c r="P5" s="6">
        <v>228.42145418478677</v>
      </c>
      <c r="Q5" s="6">
        <v>228.88151369497214</v>
      </c>
      <c r="R5" s="6">
        <v>231.02998397802702</v>
      </c>
      <c r="S5" s="6">
        <v>244.12680247196155</v>
      </c>
      <c r="T5" s="6">
        <v>206.79789425497825</v>
      </c>
      <c r="U5" s="6">
        <v>220.82780193789577</v>
      </c>
      <c r="V5" s="6">
        <v>218.5076676585031</v>
      </c>
      <c r="W5" s="6">
        <v>1599.9755855649653</v>
      </c>
      <c r="X5" s="6">
        <v>231.59914549477378</v>
      </c>
      <c r="Y5" s="6">
        <v>220.24719615472648</v>
      </c>
      <c r="Z5" s="6">
        <v>216.53925383382926</v>
      </c>
      <c r="AA5" s="6">
        <v>215.21934843976501</v>
      </c>
      <c r="AB5" s="6">
        <v>222.31250476844434</v>
      </c>
      <c r="AC5" s="6">
        <v>223.60952162966353</v>
      </c>
      <c r="AD5" s="6">
        <v>206.97108415350576</v>
      </c>
      <c r="AE5" s="6">
        <v>213.67895017929351</v>
      </c>
      <c r="AF5" s="6">
        <v>207.18318455786985</v>
      </c>
      <c r="AG5" s="6">
        <v>224.67612726024262</v>
      </c>
      <c r="AJ5" s="6"/>
      <c r="AK5" s="6"/>
      <c r="AL5" s="6"/>
    </row>
    <row r="6" spans="1:38" s="6" customFormat="1" ht="20.25">
      <c r="A6" s="48" t="s">
        <v>70</v>
      </c>
      <c r="B6" s="6">
        <v>737.1374074921797</v>
      </c>
      <c r="C6" s="6">
        <v>731.51903562981613</v>
      </c>
      <c r="D6" s="6">
        <v>734.70588235294122</v>
      </c>
      <c r="E6" s="6">
        <v>725.09575036240176</v>
      </c>
      <c r="F6" s="6">
        <v>696.67811093308921</v>
      </c>
      <c r="G6" s="6">
        <v>729.63454642557417</v>
      </c>
      <c r="H6" s="6">
        <v>677.91256580453194</v>
      </c>
      <c r="I6" s="6">
        <v>726.91996643015182</v>
      </c>
      <c r="J6" s="6">
        <v>704.93476768139158</v>
      </c>
      <c r="K6" s="6">
        <v>705.04539559014268</v>
      </c>
      <c r="L6" s="6">
        <v>684.78065156023501</v>
      </c>
      <c r="M6" s="6">
        <v>707.76989394979785</v>
      </c>
      <c r="N6" s="6">
        <v>685.21705958648056</v>
      </c>
      <c r="O6" s="6">
        <v>700.55619134813458</v>
      </c>
      <c r="P6" s="6">
        <v>709.60097657740141</v>
      </c>
      <c r="Q6" s="6">
        <v>680.33188372625318</v>
      </c>
      <c r="R6" s="6">
        <v>710.0709544518196</v>
      </c>
      <c r="S6" s="6">
        <v>762.75959411001759</v>
      </c>
      <c r="T6" s="6">
        <v>647.1663996337835</v>
      </c>
      <c r="U6" s="6">
        <v>722.82368200198368</v>
      </c>
      <c r="V6" s="6">
        <v>693.37758449683372</v>
      </c>
      <c r="W6" s="6">
        <v>1599.9755855649653</v>
      </c>
      <c r="X6" s="6">
        <v>719.72152285038533</v>
      </c>
      <c r="Y6" s="6">
        <v>716.65598535133893</v>
      </c>
      <c r="Z6" s="6">
        <v>672.65430685893034</v>
      </c>
      <c r="AA6" s="6">
        <v>683.21583886472877</v>
      </c>
      <c r="AB6" s="6">
        <v>718.08194094758528</v>
      </c>
      <c r="AC6" s="6">
        <v>739.43923094529646</v>
      </c>
      <c r="AD6" s="6">
        <v>690.39368276493474</v>
      </c>
      <c r="AE6" s="6">
        <v>705.33302815289539</v>
      </c>
      <c r="AF6" s="6">
        <v>665.35744258793011</v>
      </c>
      <c r="AG6" s="6">
        <v>723.33485923552303</v>
      </c>
    </row>
    <row r="7" spans="1:38" ht="20.25">
      <c r="A7" s="48" t="s">
        <v>71</v>
      </c>
      <c r="B7" s="6">
        <v>748.82505531395441</v>
      </c>
      <c r="C7" s="6">
        <v>719.92828259708551</v>
      </c>
      <c r="D7" s="6">
        <v>729.64446478980699</v>
      </c>
      <c r="E7" s="6">
        <v>746.51331349660484</v>
      </c>
      <c r="F7" s="6">
        <v>711.07423514152742</v>
      </c>
      <c r="G7" s="6">
        <v>737.49141680018306</v>
      </c>
      <c r="H7" s="6">
        <v>691.44731822690164</v>
      </c>
      <c r="I7" s="6">
        <v>743.55687800411988</v>
      </c>
      <c r="J7" s="6">
        <v>750.38147554741738</v>
      </c>
      <c r="K7" s="6">
        <v>697.90951400015263</v>
      </c>
      <c r="L7" s="6">
        <v>689.32249942778662</v>
      </c>
      <c r="M7" s="6">
        <v>710.2349889372091</v>
      </c>
      <c r="N7" s="6">
        <v>684.92790112153807</v>
      </c>
      <c r="O7" s="6">
        <v>762.69932097352557</v>
      </c>
      <c r="P7" s="6">
        <v>743.19447623407336</v>
      </c>
      <c r="Q7" s="6">
        <v>706.2867170214389</v>
      </c>
      <c r="R7" s="6">
        <v>715.81597619592583</v>
      </c>
      <c r="S7" s="6">
        <v>790.81025406271453</v>
      </c>
      <c r="T7" s="6">
        <v>641.90508888380248</v>
      </c>
      <c r="U7" s="6">
        <v>763.31349660486762</v>
      </c>
      <c r="V7" s="6">
        <v>700.73243305104143</v>
      </c>
      <c r="W7" s="6">
        <v>7999.8779278248257</v>
      </c>
      <c r="X7" s="6">
        <v>760.09002822919047</v>
      </c>
      <c r="Y7" s="6">
        <v>714.14892805371176</v>
      </c>
      <c r="Z7" s="6">
        <v>677.95071335927366</v>
      </c>
      <c r="AA7" s="6">
        <v>689.50560769054698</v>
      </c>
      <c r="AB7" s="6">
        <v>716.23941405355913</v>
      </c>
      <c r="AC7" s="6">
        <v>745.39559014267184</v>
      </c>
      <c r="AD7" s="6">
        <v>714.61814297703518</v>
      </c>
      <c r="AE7" s="6">
        <v>661.86770428015564</v>
      </c>
      <c r="AF7" s="6">
        <v>677.59212634470134</v>
      </c>
      <c r="AG7" s="6">
        <v>725.09727626459141</v>
      </c>
      <c r="AH7" s="49"/>
      <c r="AI7" s="49"/>
      <c r="AJ7" s="49"/>
      <c r="AK7" s="49"/>
    </row>
    <row r="8" spans="1:38">
      <c r="B8" s="71"/>
      <c r="E8" s="51"/>
    </row>
    <row r="9" spans="1:38">
      <c r="B9" s="71"/>
      <c r="E9" s="51"/>
    </row>
    <row r="10" spans="1:38">
      <c r="B10" s="71"/>
      <c r="E10" s="51"/>
    </row>
    <row r="11" spans="1:38">
      <c r="B11" s="71"/>
      <c r="E11" s="51"/>
    </row>
    <row r="12" spans="1:38">
      <c r="B12" s="71"/>
    </row>
    <row r="13" spans="1:38">
      <c r="B13" s="71"/>
    </row>
  </sheetData>
  <pageMargins left="0.7" right="0.7" top="0.75" bottom="0.75" header="0.3" footer="0.3"/>
  <pageSetup paperSize="3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AL13"/>
  <sheetViews>
    <sheetView zoomScale="70" zoomScaleNormal="70" workbookViewId="0">
      <selection activeCell="A8" sqref="A8"/>
    </sheetView>
  </sheetViews>
  <sheetFormatPr defaultRowHeight="18.75"/>
  <cols>
    <col min="1" max="1" width="9.28515625" style="50" bestFit="1" customWidth="1"/>
    <col min="2" max="22" width="6.42578125" style="30" customWidth="1"/>
    <col min="23" max="23" width="7.42578125" style="30" customWidth="1"/>
    <col min="24" max="33" width="6.42578125" style="30" customWidth="1"/>
    <col min="34" max="37" width="3.42578125" style="30" bestFit="1" customWidth="1"/>
    <col min="38" max="38" width="6.42578125" style="30" bestFit="1" customWidth="1"/>
    <col min="39" max="16384" width="9.140625" style="30"/>
  </cols>
  <sheetData>
    <row r="1" spans="1:38">
      <c r="A1" s="46">
        <f>Ncodes/RangeHi</f>
        <v>8.1918749999999996</v>
      </c>
      <c r="B1" s="30">
        <v>0</v>
      </c>
      <c r="C1" s="30">
        <f>B1+1</f>
        <v>1</v>
      </c>
      <c r="D1" s="30">
        <f t="shared" ref="D1:AG1" si="0">C1+1</f>
        <v>2</v>
      </c>
      <c r="E1" s="30">
        <f t="shared" si="0"/>
        <v>3</v>
      </c>
      <c r="F1" s="30">
        <f t="shared" si="0"/>
        <v>4</v>
      </c>
      <c r="G1" s="30">
        <f t="shared" si="0"/>
        <v>5</v>
      </c>
      <c r="H1" s="30">
        <f t="shared" si="0"/>
        <v>6</v>
      </c>
      <c r="I1" s="30">
        <f t="shared" si="0"/>
        <v>7</v>
      </c>
      <c r="J1" s="30">
        <f t="shared" si="0"/>
        <v>8</v>
      </c>
      <c r="K1" s="30">
        <f t="shared" si="0"/>
        <v>9</v>
      </c>
      <c r="L1" s="30">
        <f t="shared" si="0"/>
        <v>10</v>
      </c>
      <c r="M1" s="30">
        <f t="shared" si="0"/>
        <v>11</v>
      </c>
      <c r="N1" s="30">
        <f t="shared" si="0"/>
        <v>12</v>
      </c>
      <c r="O1" s="30">
        <f t="shared" si="0"/>
        <v>13</v>
      </c>
      <c r="P1" s="30">
        <f t="shared" si="0"/>
        <v>14</v>
      </c>
      <c r="Q1" s="30">
        <f t="shared" si="0"/>
        <v>15</v>
      </c>
      <c r="R1" s="30">
        <f t="shared" si="0"/>
        <v>16</v>
      </c>
      <c r="S1" s="30">
        <f t="shared" si="0"/>
        <v>17</v>
      </c>
      <c r="T1" s="30">
        <f t="shared" si="0"/>
        <v>18</v>
      </c>
      <c r="U1" s="30">
        <f t="shared" si="0"/>
        <v>19</v>
      </c>
      <c r="V1" s="30">
        <f t="shared" si="0"/>
        <v>20</v>
      </c>
      <c r="W1" s="30">
        <f t="shared" si="0"/>
        <v>21</v>
      </c>
      <c r="X1" s="30">
        <f t="shared" si="0"/>
        <v>22</v>
      </c>
      <c r="Y1" s="30">
        <f t="shared" si="0"/>
        <v>23</v>
      </c>
      <c r="Z1" s="30">
        <f t="shared" si="0"/>
        <v>24</v>
      </c>
      <c r="AA1" s="30">
        <f t="shared" si="0"/>
        <v>25</v>
      </c>
      <c r="AB1" s="30">
        <f t="shared" si="0"/>
        <v>26</v>
      </c>
      <c r="AC1" s="30">
        <f t="shared" si="0"/>
        <v>27</v>
      </c>
      <c r="AD1" s="30">
        <f t="shared" si="0"/>
        <v>28</v>
      </c>
      <c r="AE1" s="30">
        <f t="shared" si="0"/>
        <v>29</v>
      </c>
      <c r="AF1" s="30">
        <f t="shared" si="0"/>
        <v>30</v>
      </c>
      <c r="AG1" s="30">
        <f t="shared" si="0"/>
        <v>31</v>
      </c>
    </row>
    <row r="2" spans="1:38" ht="20.25">
      <c r="A2" s="47" t="s">
        <v>20</v>
      </c>
      <c r="B2" s="74">
        <f>INT(data0!B2*$A$1)</f>
        <v>2782</v>
      </c>
      <c r="C2" s="74">
        <f>INT(data0!C2*$A$1)</f>
        <v>2574</v>
      </c>
      <c r="D2" s="74">
        <f>INT(data0!D2*$A$1)</f>
        <v>2781</v>
      </c>
      <c r="E2" s="74">
        <f>INT(data0!E2*$A$1)</f>
        <v>2664</v>
      </c>
      <c r="F2" s="74">
        <f>INT(data0!F2*$A$1)</f>
        <v>2478</v>
      </c>
      <c r="G2" s="74">
        <f>INT(data0!G2*$A$1)</f>
        <v>2734</v>
      </c>
      <c r="H2" s="74">
        <f>INT(data0!H2*$A$1)</f>
        <v>2589</v>
      </c>
      <c r="I2" s="74">
        <f>INT(data0!I2*$A$1)</f>
        <v>2478</v>
      </c>
      <c r="J2" s="74">
        <f>INT(data0!J2*$A$1)</f>
        <v>2601</v>
      </c>
      <c r="K2" s="74">
        <f>INT(data0!K2*$A$1)</f>
        <v>2528</v>
      </c>
      <c r="L2" s="74">
        <f>INT(data0!L2*$A$1)</f>
        <v>2397</v>
      </c>
      <c r="M2" s="74">
        <f>INT(data0!M2*$A$1)</f>
        <v>2381</v>
      </c>
      <c r="N2" s="74">
        <f>INT(data0!N2*$A$1)</f>
        <v>2621</v>
      </c>
      <c r="O2" s="74">
        <f>INT(data0!O2*$A$1)</f>
        <v>2553</v>
      </c>
      <c r="P2" s="74">
        <f>INT(data0!P2*$A$1)</f>
        <v>2621</v>
      </c>
      <c r="Q2" s="74">
        <f>INT(data0!Q2*$A$1)</f>
        <v>2575</v>
      </c>
      <c r="R2" s="74">
        <f>INT(data0!R2*$A$1)</f>
        <v>2454</v>
      </c>
      <c r="S2" s="74">
        <f>INT(data0!S2*$A$1)</f>
        <v>2913</v>
      </c>
      <c r="T2" s="74">
        <f>INT(data0!T2*$A$1)</f>
        <v>2464</v>
      </c>
      <c r="U2" s="74">
        <f>INT(data0!U2*$A$1)</f>
        <v>2720</v>
      </c>
      <c r="V2" s="74">
        <f>INT(data0!V2*$A$1)</f>
        <v>2512</v>
      </c>
      <c r="W2" s="74">
        <f>INT(data0!W2*$A$1)</f>
        <v>13106</v>
      </c>
      <c r="X2" s="74">
        <f>INT(data0!X2*$A$1)</f>
        <v>2531</v>
      </c>
      <c r="Y2" s="74">
        <f>INT(data0!Y2*$A$1)</f>
        <v>2621</v>
      </c>
      <c r="Z2" s="74">
        <f>INT(data0!Z2*$A$1)</f>
        <v>2416</v>
      </c>
      <c r="AA2" s="74">
        <f>INT(data0!AA2*$A$1)</f>
        <v>2538</v>
      </c>
      <c r="AB2" s="74">
        <f>INT(data0!AB2*$A$1)</f>
        <v>2659</v>
      </c>
      <c r="AC2" s="74">
        <f>INT(data0!AC2*$A$1)</f>
        <v>2656</v>
      </c>
      <c r="AD2" s="74">
        <f>INT(data0!AD2*$A$1)</f>
        <v>2296</v>
      </c>
      <c r="AE2" s="74">
        <f>INT(data0!AE2*$A$1)</f>
        <v>2190</v>
      </c>
      <c r="AF2" s="74">
        <f>INT(data0!AF2*$A$1)</f>
        <v>2440</v>
      </c>
      <c r="AG2" s="74">
        <f>INT(data0!AG2*$A$1)</f>
        <v>2591</v>
      </c>
      <c r="AJ2" s="6"/>
      <c r="AK2" s="6"/>
      <c r="AL2" s="6"/>
    </row>
    <row r="3" spans="1:38" ht="20.25">
      <c r="A3" s="47" t="s">
        <v>21</v>
      </c>
      <c r="B3" s="74">
        <f>INT(data0!B3*$A$1)</f>
        <v>7373</v>
      </c>
      <c r="C3" s="74">
        <f>INT(data0!C3*$A$1)</f>
        <v>7259</v>
      </c>
      <c r="D3" s="74">
        <f>INT(data0!D3*$A$1)</f>
        <v>7684</v>
      </c>
      <c r="E3" s="74">
        <f>INT(data0!E3*$A$1)</f>
        <v>7418</v>
      </c>
      <c r="F3" s="74">
        <f>INT(data0!F3*$A$1)</f>
        <v>7119</v>
      </c>
      <c r="G3" s="74">
        <f>INT(data0!G3*$A$1)</f>
        <v>7721</v>
      </c>
      <c r="H3" s="74">
        <f>INT(data0!H3*$A$1)</f>
        <v>7642</v>
      </c>
      <c r="I3" s="74">
        <f>INT(data0!I3*$A$1)</f>
        <v>7586</v>
      </c>
      <c r="J3" s="74">
        <f>INT(data0!J3*$A$1)</f>
        <v>7526</v>
      </c>
      <c r="K3" s="74">
        <f>INT(data0!K3*$A$1)</f>
        <v>7796</v>
      </c>
      <c r="L3" s="74">
        <f>INT(data0!L3*$A$1)</f>
        <v>7287</v>
      </c>
      <c r="M3" s="74">
        <f>INT(data0!M3*$A$1)</f>
        <v>7226</v>
      </c>
      <c r="N3" s="74">
        <f>INT(data0!N3*$A$1)</f>
        <v>7212</v>
      </c>
      <c r="O3" s="74">
        <f>INT(data0!O3*$A$1)</f>
        <v>7030</v>
      </c>
      <c r="P3" s="74">
        <f>INT(data0!P3*$A$1)</f>
        <v>7202</v>
      </c>
      <c r="Q3" s="74">
        <f>INT(data0!Q3*$A$1)</f>
        <v>6770</v>
      </c>
      <c r="R3" s="74">
        <f>INT(data0!R3*$A$1)</f>
        <v>6958</v>
      </c>
      <c r="S3" s="74">
        <f>INT(data0!S3*$A$1)</f>
        <v>8155</v>
      </c>
      <c r="T3" s="74">
        <f>INT(data0!T3*$A$1)</f>
        <v>6570</v>
      </c>
      <c r="U3" s="74">
        <f>INT(data0!U3*$A$1)</f>
        <v>7657</v>
      </c>
      <c r="V3" s="74">
        <f>INT(data0!V3*$A$1)</f>
        <v>7200</v>
      </c>
      <c r="W3" s="74">
        <f>INT(data0!W3*$A$1)</f>
        <v>65534</v>
      </c>
      <c r="X3" s="74">
        <f>INT(data0!X3*$A$1)</f>
        <v>7421</v>
      </c>
      <c r="Y3" s="74">
        <f>INT(data0!Y3*$A$1)</f>
        <v>7515</v>
      </c>
      <c r="Z3" s="74">
        <f>INT(data0!Z3*$A$1)</f>
        <v>6752</v>
      </c>
      <c r="AA3" s="74">
        <f>INT(data0!AA3*$A$1)</f>
        <v>7138</v>
      </c>
      <c r="AB3" s="74">
        <f>INT(data0!AB3*$A$1)</f>
        <v>7586</v>
      </c>
      <c r="AC3" s="74">
        <f>INT(data0!AC3*$A$1)</f>
        <v>7855</v>
      </c>
      <c r="AD3" s="74">
        <f>INT(data0!AD3*$A$1)</f>
        <v>7256</v>
      </c>
      <c r="AE3" s="74">
        <f>INT(data0!AE3*$A$1)</f>
        <v>6867</v>
      </c>
      <c r="AF3" s="74">
        <f>INT(data0!AF3*$A$1)</f>
        <v>6982</v>
      </c>
      <c r="AG3" s="74">
        <f>INT(data0!AG3*$A$1)</f>
        <v>7774</v>
      </c>
      <c r="AJ3" s="6"/>
      <c r="AK3" s="6"/>
      <c r="AL3" s="6"/>
    </row>
    <row r="4" spans="1:38" ht="20.25">
      <c r="A4" s="47" t="s">
        <v>22</v>
      </c>
      <c r="B4" s="74">
        <f>INT(data0!B4*$A$8)</f>
        <v>38127</v>
      </c>
      <c r="C4" s="74">
        <f>INT(data0!C4*$A$8)</f>
        <v>37565</v>
      </c>
      <c r="D4" s="74">
        <f>INT(data0!D4*$A$8)</f>
        <v>39695</v>
      </c>
      <c r="E4" s="74">
        <f>INT(data0!E4*$A$8)</f>
        <v>38065</v>
      </c>
      <c r="F4" s="74">
        <f>INT(data0!F4*$A$8)</f>
        <v>36411</v>
      </c>
      <c r="G4" s="74">
        <f>INT(data0!G4*$A$8)</f>
        <v>39741</v>
      </c>
      <c r="H4" s="74">
        <f>INT(data0!H4*$A$8)</f>
        <v>39322</v>
      </c>
      <c r="I4" s="74">
        <f>INT(data0!I4*$A$8)</f>
        <v>39296</v>
      </c>
      <c r="J4" s="74">
        <f>INT(data0!J4*$A$8)</f>
        <v>38825</v>
      </c>
      <c r="K4" s="74">
        <f>INT(data0!K4*$A$8)</f>
        <v>39658</v>
      </c>
      <c r="L4" s="74">
        <f>INT(data0!L4*$A$8)</f>
        <v>37298</v>
      </c>
      <c r="M4" s="74">
        <f>INT(data0!M4*$A$8)</f>
        <v>37523</v>
      </c>
      <c r="N4" s="74">
        <f>INT(data0!N4*$A$8)</f>
        <v>36898</v>
      </c>
      <c r="O4" s="74">
        <f>INT(data0!O4*$A$8)</f>
        <v>36418</v>
      </c>
      <c r="P4" s="74">
        <f>INT(data0!P4*$A$8)</f>
        <v>37379</v>
      </c>
      <c r="Q4" s="74">
        <f>INT(data0!Q4*$A$8)</f>
        <v>35300</v>
      </c>
      <c r="R4" s="74">
        <f>INT(data0!R4*$A$8)</f>
        <v>35282</v>
      </c>
      <c r="S4" s="74">
        <f>INT(data0!S4*$A$8)</f>
        <v>41653</v>
      </c>
      <c r="T4" s="74">
        <f>INT(data0!T4*$A$8)</f>
        <v>33714</v>
      </c>
      <c r="U4" s="74">
        <f>INT(data0!U4*$A$8)</f>
        <v>39194</v>
      </c>
      <c r="V4" s="74">
        <f>INT(data0!V4*$A$8)</f>
        <v>36982</v>
      </c>
      <c r="W4" s="74">
        <f>INT(data0!W4*$A$8)</f>
        <v>65534</v>
      </c>
      <c r="X4" s="74">
        <f>INT(data0!X4*$A$8)</f>
        <v>37640</v>
      </c>
      <c r="Y4" s="74">
        <f>INT(data0!Y4*$A$8)</f>
        <v>38482</v>
      </c>
      <c r="Z4" s="74">
        <f>INT(data0!Z4*$A$8)</f>
        <v>34328</v>
      </c>
      <c r="AA4" s="74">
        <f>INT(data0!AA4*$A$8)</f>
        <v>36566</v>
      </c>
      <c r="AB4" s="74">
        <f>INT(data0!AB4*$A$8)</f>
        <v>38840</v>
      </c>
      <c r="AC4" s="74">
        <f>INT(data0!AC4*$A$8)</f>
        <v>40772</v>
      </c>
      <c r="AD4" s="74">
        <f>INT(data0!AD4*$A$8)</f>
        <v>36603</v>
      </c>
      <c r="AE4" s="74">
        <f>INT(data0!AE4*$A$8)</f>
        <v>35528</v>
      </c>
      <c r="AF4" s="74">
        <f>INT(data0!AF4*$A$8)</f>
        <v>35702</v>
      </c>
      <c r="AG4" s="74">
        <f>INT(data0!AG4*$A$8)</f>
        <v>39823</v>
      </c>
      <c r="AJ4" s="6"/>
      <c r="AK4" s="6"/>
      <c r="AL4" s="6"/>
    </row>
    <row r="5" spans="1:38" ht="20.25">
      <c r="A5" s="47" t="s">
        <v>23</v>
      </c>
      <c r="B5" s="74">
        <f>INT(data0!B5*$A$8)</f>
        <v>13879</v>
      </c>
      <c r="C5" s="74">
        <f>INT(data0!C5*$A$8)</f>
        <v>12858</v>
      </c>
      <c r="D5" s="74">
        <f>INT(data0!D5*$A$8)</f>
        <v>13898</v>
      </c>
      <c r="E5" s="74">
        <f>INT(data0!E5*$A$8)</f>
        <v>13315</v>
      </c>
      <c r="F5" s="74">
        <f>INT(data0!F5*$A$8)</f>
        <v>12382</v>
      </c>
      <c r="G5" s="74">
        <f>INT(data0!G5*$A$8)</f>
        <v>13662</v>
      </c>
      <c r="H5" s="74">
        <f>INT(data0!H5*$A$8)</f>
        <v>12937</v>
      </c>
      <c r="I5" s="74">
        <f>INT(data0!I5*$A$8)</f>
        <v>12389</v>
      </c>
      <c r="J5" s="74">
        <f>INT(data0!J5*$A$8)</f>
        <v>13001</v>
      </c>
      <c r="K5" s="74">
        <f>INT(data0!K5*$A$8)</f>
        <v>12639</v>
      </c>
      <c r="L5" s="74">
        <f>INT(data0!L5*$A$8)</f>
        <v>11979</v>
      </c>
      <c r="M5" s="74">
        <f>INT(data0!M5*$A$8)</f>
        <v>11905</v>
      </c>
      <c r="N5" s="74">
        <f>INT(data0!N5*$A$8)</f>
        <v>13104</v>
      </c>
      <c r="O5" s="74">
        <f>INT(data0!O5*$A$8)</f>
        <v>12764</v>
      </c>
      <c r="P5" s="74">
        <f>INT(data0!P5*$A$8)</f>
        <v>13108</v>
      </c>
      <c r="Q5" s="74">
        <f>INT(data0!Q5*$A$8)</f>
        <v>12876</v>
      </c>
      <c r="R5" s="74">
        <f>INT(data0!R5*$A$8)</f>
        <v>12263</v>
      </c>
      <c r="S5" s="74">
        <f>INT(data0!S5*$A$8)</f>
        <v>14565</v>
      </c>
      <c r="T5" s="74">
        <f>INT(data0!T5*$A$8)</f>
        <v>12318</v>
      </c>
      <c r="U5" s="74">
        <f>INT(data0!U5*$A$8)</f>
        <v>13596</v>
      </c>
      <c r="V5" s="74">
        <f>INT(data0!V5*$A$8)</f>
        <v>12559</v>
      </c>
      <c r="W5" s="74">
        <f>INT(data0!W5*$A$8)</f>
        <v>65534</v>
      </c>
      <c r="X5" s="74">
        <f>INT(data0!X5*$A$8)</f>
        <v>12651</v>
      </c>
      <c r="Y5" s="74">
        <f>INT(data0!Y5*$A$8)</f>
        <v>13108</v>
      </c>
      <c r="Z5" s="74">
        <f>INT(data0!Z5*$A$8)</f>
        <v>12075</v>
      </c>
      <c r="AA5" s="74">
        <f>INT(data0!AA5*$A$8)</f>
        <v>12690</v>
      </c>
      <c r="AB5" s="74">
        <f>INT(data0!AB5*$A$8)</f>
        <v>13292</v>
      </c>
      <c r="AC5" s="74">
        <f>INT(data0!AC5*$A$8)</f>
        <v>13277</v>
      </c>
      <c r="AD5" s="74">
        <f>INT(data0!AD5*$A$8)</f>
        <v>11481</v>
      </c>
      <c r="AE5" s="74">
        <f>INT(data0!AE5*$A$8)</f>
        <v>10949</v>
      </c>
      <c r="AF5" s="74">
        <f>INT(data0!AF5*$A$8)</f>
        <v>12198</v>
      </c>
      <c r="AG5" s="74">
        <f>INT(data0!AG5*$A$8)</f>
        <v>12954</v>
      </c>
      <c r="AJ5" s="6"/>
      <c r="AK5" s="6"/>
      <c r="AL5" s="6"/>
    </row>
    <row r="6" spans="1:38" s="6" customFormat="1" ht="20.25">
      <c r="A6" s="48" t="s">
        <v>70</v>
      </c>
      <c r="B6" s="74">
        <f>INT(data0!B6*$A$1)</f>
        <v>5704</v>
      </c>
      <c r="C6" s="74">
        <f>INT(data0!C6*$A$1)</f>
        <v>5577</v>
      </c>
      <c r="D6" s="74">
        <f>INT(data0!D6*$A$1)</f>
        <v>5905</v>
      </c>
      <c r="E6" s="74">
        <f>INT(data0!E6*$A$1)</f>
        <v>5703</v>
      </c>
      <c r="F6" s="74">
        <f>INT(data0!F6*$A$1)</f>
        <v>5333</v>
      </c>
      <c r="G6" s="74">
        <f>INT(data0!G6*$A$1)</f>
        <v>5855</v>
      </c>
      <c r="H6" s="74">
        <f>INT(data0!H6*$A$1)</f>
        <v>5684</v>
      </c>
      <c r="I6" s="74">
        <f>INT(data0!I6*$A$1)</f>
        <v>5684</v>
      </c>
      <c r="J6" s="74">
        <f>INT(data0!J6*$A$1)</f>
        <v>5587</v>
      </c>
      <c r="K6" s="74">
        <f>INT(data0!K6*$A$1)</f>
        <v>5717</v>
      </c>
      <c r="L6" s="74">
        <f>INT(data0!L6*$A$1)</f>
        <v>5361</v>
      </c>
      <c r="M6" s="74">
        <f>INT(data0!M6*$A$1)</f>
        <v>5458</v>
      </c>
      <c r="N6" s="74">
        <f>INT(data0!N6*$A$1)</f>
        <v>5506</v>
      </c>
      <c r="O6" s="74">
        <f>INT(data0!O6*$A$1)</f>
        <v>5325</v>
      </c>
      <c r="P6" s="74">
        <f>INT(data0!P6*$A$1)</f>
        <v>5464</v>
      </c>
      <c r="Q6" s="74">
        <f>INT(data0!Q6*$A$1)</f>
        <v>5187</v>
      </c>
      <c r="R6" s="74">
        <f>INT(data0!R6*$A$1)</f>
        <v>5146</v>
      </c>
      <c r="S6" s="74">
        <f>INT(data0!S6*$A$1)</f>
        <v>6086</v>
      </c>
      <c r="T6" s="74">
        <f>INT(data0!T6*$A$1)</f>
        <v>5024</v>
      </c>
      <c r="U6" s="74">
        <f>INT(data0!U6*$A$1)</f>
        <v>5756</v>
      </c>
      <c r="V6" s="74">
        <f>INT(data0!V6*$A$1)</f>
        <v>5437</v>
      </c>
      <c r="W6" s="74">
        <f>INT(data0!W6*$A$1)</f>
        <v>13106</v>
      </c>
      <c r="X6" s="74">
        <f>INT(data0!X6*$A$1)</f>
        <v>5444</v>
      </c>
      <c r="Y6" s="74">
        <f>INT(data0!Y6*$A$1)</f>
        <v>5637</v>
      </c>
      <c r="Z6" s="74">
        <f>INT(data0!Z6*$A$1)</f>
        <v>5088</v>
      </c>
      <c r="AA6" s="74">
        <f>INT(data0!AA6*$A$1)</f>
        <v>5478</v>
      </c>
      <c r="AB6" s="74">
        <f>INT(data0!AB6*$A$1)</f>
        <v>5720</v>
      </c>
      <c r="AC6" s="74">
        <f>INT(data0!AC6*$A$1)</f>
        <v>5966</v>
      </c>
      <c r="AD6" s="74">
        <f>INT(data0!AD6*$A$1)</f>
        <v>5318</v>
      </c>
      <c r="AE6" s="74">
        <f>INT(data0!AE6*$A$1)</f>
        <v>5047</v>
      </c>
      <c r="AF6" s="74">
        <f>INT(data0!AF6*$A$1)</f>
        <v>5243</v>
      </c>
      <c r="AG6" s="74">
        <f>INT(data0!AG6*$A$1)</f>
        <v>5750</v>
      </c>
    </row>
    <row r="7" spans="1:38" ht="20.25">
      <c r="A7" s="48" t="s">
        <v>71</v>
      </c>
      <c r="B7" s="74">
        <f>INT(data0!B7*$A$8)</f>
        <v>27188</v>
      </c>
      <c r="C7" s="74">
        <f>INT(data0!C7*$A$8)</f>
        <v>26586</v>
      </c>
      <c r="D7" s="74">
        <f>INT(data0!D7*$A$8)</f>
        <v>28261</v>
      </c>
      <c r="E7" s="74">
        <f>INT(data0!E7*$A$8)</f>
        <v>27570</v>
      </c>
      <c r="F7" s="74">
        <f>INT(data0!F7*$A$8)</f>
        <v>25895</v>
      </c>
      <c r="G7" s="74">
        <f>INT(data0!G7*$A$8)</f>
        <v>28186</v>
      </c>
      <c r="H7" s="74">
        <f>INT(data0!H7*$A$8)</f>
        <v>27063</v>
      </c>
      <c r="I7" s="74">
        <f>INT(data0!I7*$A$8)</f>
        <v>27072</v>
      </c>
      <c r="J7" s="74">
        <f>INT(data0!J7*$A$8)</f>
        <v>27041</v>
      </c>
      <c r="K7" s="74">
        <f>INT(data0!K7*$A$8)</f>
        <v>27812</v>
      </c>
      <c r="L7" s="74">
        <f>INT(data0!L7*$A$8)</f>
        <v>26112</v>
      </c>
      <c r="M7" s="74">
        <f>INT(data0!M7*$A$8)</f>
        <v>25649</v>
      </c>
      <c r="N7" s="74">
        <f>INT(data0!N7*$A$8)</f>
        <v>26522</v>
      </c>
      <c r="O7" s="74">
        <f>INT(data0!O7*$A$8)</f>
        <v>25243</v>
      </c>
      <c r="P7" s="74">
        <f>INT(data0!P7*$A$8)</f>
        <v>26235</v>
      </c>
      <c r="Q7" s="74">
        <f>INT(data0!Q7*$A$8)</f>
        <v>24912</v>
      </c>
      <c r="R7" s="74">
        <f>INT(data0!R7*$A$8)</f>
        <v>25285</v>
      </c>
      <c r="S7" s="74">
        <f>INT(data0!S7*$A$8)</f>
        <v>29495</v>
      </c>
      <c r="T7" s="74">
        <f>INT(data0!T7*$A$8)</f>
        <v>24043</v>
      </c>
      <c r="U7" s="74">
        <f>INT(data0!U7*$A$8)</f>
        <v>28019</v>
      </c>
      <c r="V7" s="74">
        <f>INT(data0!V7*$A$8)</f>
        <v>26167</v>
      </c>
      <c r="W7" s="74">
        <f>INT(data0!W7*$A$8)</f>
        <v>327670</v>
      </c>
      <c r="X7" s="74">
        <f>INT(data0!X7*$A$8)</f>
        <v>26634</v>
      </c>
      <c r="Y7" s="74">
        <f>INT(data0!Y7*$A$8)</f>
        <v>27348</v>
      </c>
      <c r="Z7" s="74">
        <f>INT(data0!Z7*$A$8)</f>
        <v>24724</v>
      </c>
      <c r="AA7" s="74">
        <f>INT(data0!AA7*$A$8)</f>
        <v>26346</v>
      </c>
      <c r="AB7" s="74">
        <f>INT(data0!AB7*$A$8)</f>
        <v>27782</v>
      </c>
      <c r="AC7" s="74">
        <f>INT(data0!AC7*$A$8)</f>
        <v>28338</v>
      </c>
      <c r="AD7" s="74">
        <f>INT(data0!AD7*$A$8)</f>
        <v>26000</v>
      </c>
      <c r="AE7" s="74">
        <f>INT(data0!AE7*$A$8)</f>
        <v>24184</v>
      </c>
      <c r="AF7" s="74">
        <f>INT(data0!AF7*$A$8)</f>
        <v>25284</v>
      </c>
      <c r="AG7" s="74">
        <f>INT(data0!AG7*$A$8)</f>
        <v>27768</v>
      </c>
      <c r="AH7" s="49"/>
      <c r="AI7" s="49"/>
      <c r="AJ7" s="49"/>
      <c r="AK7" s="49"/>
    </row>
    <row r="8" spans="1:38">
      <c r="A8" s="46">
        <f>Ncodes/RangeLo</f>
        <v>40.959375000000001</v>
      </c>
      <c r="B8" s="71"/>
      <c r="E8" s="51"/>
    </row>
    <row r="9" spans="1:38">
      <c r="B9" s="71"/>
      <c r="E9" s="51"/>
    </row>
    <row r="10" spans="1:38">
      <c r="B10" s="71"/>
      <c r="E10" s="51"/>
    </row>
    <row r="11" spans="1:38">
      <c r="B11" s="71"/>
      <c r="E11" s="51"/>
    </row>
    <row r="12" spans="1:38">
      <c r="B12" s="71"/>
    </row>
    <row r="13" spans="1:38">
      <c r="B13" s="71"/>
    </row>
  </sheetData>
  <pageMargins left="0.7" right="0.7" top="0.75" bottom="0.75" header="0.3" footer="0.3"/>
  <pageSetup paperSize="3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AL13"/>
  <sheetViews>
    <sheetView zoomScale="70" zoomScaleNormal="70" workbookViewId="0">
      <selection activeCell="A6" sqref="A6:B7"/>
    </sheetView>
  </sheetViews>
  <sheetFormatPr defaultRowHeight="18.75"/>
  <cols>
    <col min="1" max="1" width="8.140625" style="50" bestFit="1" customWidth="1"/>
    <col min="2" max="33" width="6.42578125" style="30" customWidth="1"/>
    <col min="34" max="37" width="3.42578125" style="30" bestFit="1" customWidth="1"/>
    <col min="38" max="38" width="6.42578125" style="30" bestFit="1" customWidth="1"/>
    <col min="39" max="16384" width="9.140625" style="30"/>
  </cols>
  <sheetData>
    <row r="1" spans="1:38">
      <c r="A1" s="46">
        <f>Ncodes/RangeHi</f>
        <v>8.1918749999999996</v>
      </c>
      <c r="B1" s="30">
        <v>0</v>
      </c>
      <c r="C1" s="30">
        <f>B1+1</f>
        <v>1</v>
      </c>
      <c r="D1" s="30">
        <f t="shared" ref="D1:AG1" si="0">C1+1</f>
        <v>2</v>
      </c>
      <c r="E1" s="30">
        <f t="shared" si="0"/>
        <v>3</v>
      </c>
      <c r="F1" s="30">
        <f t="shared" si="0"/>
        <v>4</v>
      </c>
      <c r="G1" s="30">
        <f t="shared" si="0"/>
        <v>5</v>
      </c>
      <c r="H1" s="30">
        <f t="shared" si="0"/>
        <v>6</v>
      </c>
      <c r="I1" s="30">
        <f t="shared" si="0"/>
        <v>7</v>
      </c>
      <c r="J1" s="30">
        <f t="shared" si="0"/>
        <v>8</v>
      </c>
      <c r="K1" s="30">
        <f t="shared" si="0"/>
        <v>9</v>
      </c>
      <c r="L1" s="30">
        <f t="shared" si="0"/>
        <v>10</v>
      </c>
      <c r="M1" s="30">
        <f t="shared" si="0"/>
        <v>11</v>
      </c>
      <c r="N1" s="30">
        <f t="shared" si="0"/>
        <v>12</v>
      </c>
      <c r="O1" s="30">
        <f t="shared" si="0"/>
        <v>13</v>
      </c>
      <c r="P1" s="30">
        <f t="shared" si="0"/>
        <v>14</v>
      </c>
      <c r="Q1" s="30">
        <f t="shared" si="0"/>
        <v>15</v>
      </c>
      <c r="R1" s="30">
        <f t="shared" si="0"/>
        <v>16</v>
      </c>
      <c r="S1" s="30">
        <f t="shared" si="0"/>
        <v>17</v>
      </c>
      <c r="T1" s="30">
        <f t="shared" si="0"/>
        <v>18</v>
      </c>
      <c r="U1" s="30">
        <f t="shared" si="0"/>
        <v>19</v>
      </c>
      <c r="V1" s="30">
        <f t="shared" si="0"/>
        <v>20</v>
      </c>
      <c r="W1" s="30">
        <f t="shared" si="0"/>
        <v>21</v>
      </c>
      <c r="X1" s="30">
        <f t="shared" si="0"/>
        <v>22</v>
      </c>
      <c r="Y1" s="30">
        <f t="shared" si="0"/>
        <v>23</v>
      </c>
      <c r="Z1" s="30">
        <f t="shared" si="0"/>
        <v>24</v>
      </c>
      <c r="AA1" s="30">
        <f t="shared" si="0"/>
        <v>25</v>
      </c>
      <c r="AB1" s="30">
        <f t="shared" si="0"/>
        <v>26</v>
      </c>
      <c r="AC1" s="30">
        <f t="shared" si="0"/>
        <v>27</v>
      </c>
      <c r="AD1" s="30">
        <f t="shared" si="0"/>
        <v>28</v>
      </c>
      <c r="AE1" s="30">
        <f t="shared" si="0"/>
        <v>29</v>
      </c>
      <c r="AF1" s="30">
        <f t="shared" si="0"/>
        <v>30</v>
      </c>
      <c r="AG1" s="30">
        <f t="shared" si="0"/>
        <v>31</v>
      </c>
    </row>
    <row r="2" spans="1:38" ht="20.25">
      <c r="A2" s="47" t="s">
        <v>20</v>
      </c>
      <c r="B2" s="74">
        <f>INT(data1!B2*$A$1)</f>
        <v>6003</v>
      </c>
      <c r="C2" s="74">
        <f>INT(data1!C2*$A$1)</f>
        <v>5766</v>
      </c>
      <c r="D2" s="74">
        <f>INT(data1!D2*$A$1)</f>
        <v>6054</v>
      </c>
      <c r="E2" s="74">
        <f>INT(data1!E2*$A$1)</f>
        <v>5985</v>
      </c>
      <c r="F2" s="74">
        <f>INT(data1!F2*$A$1)</f>
        <v>5712</v>
      </c>
      <c r="G2" s="74">
        <f>INT(data1!G2*$A$1)</f>
        <v>6055</v>
      </c>
      <c r="H2" s="74">
        <f>INT(data1!H2*$A$1)</f>
        <v>5731</v>
      </c>
      <c r="I2" s="74">
        <f>INT(data1!I2*$A$1)</f>
        <v>5937</v>
      </c>
      <c r="J2" s="74">
        <f>INT(data1!J2*$A$1)</f>
        <v>5830</v>
      </c>
      <c r="K2" s="74">
        <f>INT(data1!K2*$A$1)</f>
        <v>5849</v>
      </c>
      <c r="L2" s="74">
        <f>INT(data1!L2*$A$1)</f>
        <v>5777</v>
      </c>
      <c r="M2" s="74">
        <f>INT(data1!M2*$A$1)</f>
        <v>5950</v>
      </c>
      <c r="N2" s="74">
        <f>INT(data1!N2*$A$1)</f>
        <v>5579</v>
      </c>
      <c r="O2" s="74">
        <f>INT(data1!O2*$A$1)</f>
        <v>5855</v>
      </c>
      <c r="P2" s="74">
        <f>INT(data1!P2*$A$1)</f>
        <v>5827</v>
      </c>
      <c r="Q2" s="74">
        <f>INT(data1!Q2*$A$1)</f>
        <v>5809</v>
      </c>
      <c r="R2" s="74">
        <f>INT(data1!R2*$A$1)</f>
        <v>5630</v>
      </c>
      <c r="S2" s="74">
        <f>INT(data1!S2*$A$1)</f>
        <v>6632</v>
      </c>
      <c r="T2" s="74">
        <f>INT(data1!T2*$A$1)</f>
        <v>5167</v>
      </c>
      <c r="U2" s="74">
        <f>INT(data1!U2*$A$1)</f>
        <v>6231</v>
      </c>
      <c r="V2" s="74">
        <f>INT(data1!V2*$A$1)</f>
        <v>5670</v>
      </c>
      <c r="W2" s="74">
        <f>INT(data1!W2*$A$1)</f>
        <v>65534</v>
      </c>
      <c r="X2" s="74">
        <f>INT(data1!X2*$A$1)</f>
        <v>6037</v>
      </c>
      <c r="Y2" s="74">
        <f>INT(data1!Y2*$A$1)</f>
        <v>5764</v>
      </c>
      <c r="Z2" s="74">
        <f>INT(data1!Z2*$A$1)</f>
        <v>5440</v>
      </c>
      <c r="AA2" s="74">
        <f>INT(data1!AA2*$A$1)</f>
        <v>5708</v>
      </c>
      <c r="AB2" s="74">
        <f>INT(data1!AB2*$A$1)</f>
        <v>6039</v>
      </c>
      <c r="AC2" s="74">
        <f>INT(data1!AC2*$A$1)</f>
        <v>6037</v>
      </c>
      <c r="AD2" s="74">
        <f>INT(data1!AD2*$A$1)</f>
        <v>5717</v>
      </c>
      <c r="AE2" s="74">
        <f>INT(data1!AE2*$A$1)</f>
        <v>6347</v>
      </c>
      <c r="AF2" s="74">
        <f>INT(data1!AF2*$A$1)</f>
        <v>5474</v>
      </c>
      <c r="AG2" s="74">
        <f>INT(data1!AG2*$A$1)</f>
        <v>5995</v>
      </c>
      <c r="AJ2" s="6"/>
      <c r="AK2" s="6"/>
      <c r="AL2" s="6"/>
    </row>
    <row r="3" spans="1:38" ht="20.25">
      <c r="A3" s="47" t="s">
        <v>21</v>
      </c>
      <c r="B3" s="74">
        <f>INT(data1!B3*$A$1)</f>
        <v>7195</v>
      </c>
      <c r="C3" s="74">
        <f>INT(data1!C3*$A$1)</f>
        <v>7045</v>
      </c>
      <c r="D3" s="74">
        <f>INT(data1!D3*$A$1)</f>
        <v>7334</v>
      </c>
      <c r="E3" s="74">
        <f>INT(data1!E3*$A$1)</f>
        <v>7362</v>
      </c>
      <c r="F3" s="74">
        <f>INT(data1!F3*$A$1)</f>
        <v>6867</v>
      </c>
      <c r="G3" s="74">
        <f>INT(data1!G3*$A$1)</f>
        <v>7285</v>
      </c>
      <c r="H3" s="74">
        <f>INT(data1!H3*$A$1)</f>
        <v>7264</v>
      </c>
      <c r="I3" s="74">
        <f>INT(data1!I3*$A$1)</f>
        <v>7459</v>
      </c>
      <c r="J3" s="74">
        <f>INT(data1!J3*$A$1)</f>
        <v>7375</v>
      </c>
      <c r="K3" s="74">
        <f>INT(data1!K3*$A$1)</f>
        <v>7267</v>
      </c>
      <c r="L3" s="74">
        <f>INT(data1!L3*$A$1)</f>
        <v>7418</v>
      </c>
      <c r="M3" s="74">
        <f>INT(data1!M3*$A$1)</f>
        <v>7903</v>
      </c>
      <c r="N3" s="74">
        <f>INT(data1!N3*$A$1)</f>
        <v>6600</v>
      </c>
      <c r="O3" s="74">
        <f>INT(data1!O3*$A$1)</f>
        <v>7407</v>
      </c>
      <c r="P3" s="74">
        <f>INT(data1!P3*$A$1)</f>
        <v>7475</v>
      </c>
      <c r="Q3" s="74">
        <f>INT(data1!Q3*$A$1)</f>
        <v>7146</v>
      </c>
      <c r="R3" s="74">
        <f>INT(data1!R3*$A$1)</f>
        <v>6617</v>
      </c>
      <c r="S3" s="74">
        <f>INT(data1!S3*$A$1)</f>
        <v>8385</v>
      </c>
      <c r="T3" s="74">
        <f>INT(data1!T3*$A$1)</f>
        <v>6090</v>
      </c>
      <c r="U3" s="74">
        <f>INT(data1!U3*$A$1)</f>
        <v>8242</v>
      </c>
      <c r="V3" s="74">
        <f>INT(data1!V3*$A$1)</f>
        <v>6803</v>
      </c>
      <c r="W3" s="74">
        <f>INT(data1!W3*$A$1)</f>
        <v>65534</v>
      </c>
      <c r="X3" s="74">
        <f>INT(data1!X3*$A$1)</f>
        <v>7906</v>
      </c>
      <c r="Y3" s="74">
        <f>INT(data1!Y3*$A$1)</f>
        <v>6855</v>
      </c>
      <c r="Z3" s="74">
        <f>INT(data1!Z3*$A$1)</f>
        <v>6435</v>
      </c>
      <c r="AA3" s="74">
        <f>INT(data1!AA3*$A$1)</f>
        <v>6935</v>
      </c>
      <c r="AB3" s="74">
        <f>INT(data1!AB3*$A$1)</f>
        <v>7301</v>
      </c>
      <c r="AC3" s="74">
        <f>INT(data1!AC3*$A$1)</f>
        <v>7396</v>
      </c>
      <c r="AD3" s="74">
        <f>INT(data1!AD3*$A$1)</f>
        <v>7214</v>
      </c>
      <c r="AE3" s="74">
        <f>INT(data1!AE3*$A$1)</f>
        <v>8298</v>
      </c>
      <c r="AF3" s="74">
        <f>INT(data1!AF3*$A$1)</f>
        <v>6688</v>
      </c>
      <c r="AG3" s="74">
        <f>INT(data1!AG3*$A$1)</f>
        <v>7883</v>
      </c>
      <c r="AJ3" s="6"/>
      <c r="AK3" s="6"/>
      <c r="AL3" s="6"/>
    </row>
    <row r="4" spans="1:38" ht="20.25">
      <c r="A4" s="47" t="s">
        <v>22</v>
      </c>
      <c r="B4" s="74">
        <f>INT(data1!B4*$A$8)</f>
        <v>34906</v>
      </c>
      <c r="C4" s="74">
        <f>INT(data1!C4*$A$8)</f>
        <v>35301</v>
      </c>
      <c r="D4" s="74">
        <f>INT(data1!D4*$A$8)</f>
        <v>36387</v>
      </c>
      <c r="E4" s="74">
        <f>INT(data1!E4*$A$8)</f>
        <v>35786</v>
      </c>
      <c r="F4" s="74">
        <f>INT(data1!F4*$A$8)</f>
        <v>34513</v>
      </c>
      <c r="G4" s="74">
        <f>INT(data1!G4*$A$8)</f>
        <v>36375</v>
      </c>
      <c r="H4" s="74">
        <f>INT(data1!H4*$A$8)</f>
        <v>32530</v>
      </c>
      <c r="I4" s="74">
        <f>INT(data1!I4*$A$8)</f>
        <v>36194</v>
      </c>
      <c r="J4" s="74">
        <f>INT(data1!J4*$A$8)</f>
        <v>33740</v>
      </c>
      <c r="K4" s="74">
        <f>INT(data1!K4*$A$8)</f>
        <v>32771</v>
      </c>
      <c r="L4" s="74">
        <f>INT(data1!L4*$A$8)</f>
        <v>32910</v>
      </c>
      <c r="M4" s="74">
        <f>INT(data1!M4*$A$8)</f>
        <v>37428</v>
      </c>
      <c r="N4" s="74">
        <f>INT(data1!N4*$A$8)</f>
        <v>33439</v>
      </c>
      <c r="O4" s="74">
        <f>INT(data1!O4*$A$8)</f>
        <v>34957</v>
      </c>
      <c r="P4" s="74">
        <f>INT(data1!P4*$A$8)</f>
        <v>34983</v>
      </c>
      <c r="Q4" s="74">
        <f>INT(data1!Q4*$A$8)</f>
        <v>32765</v>
      </c>
      <c r="R4" s="74">
        <f>INT(data1!R4*$A$8)</f>
        <v>33988</v>
      </c>
      <c r="S4" s="74">
        <f>INT(data1!S4*$A$8)</f>
        <v>39490</v>
      </c>
      <c r="T4" s="74">
        <f>INT(data1!T4*$A$8)</f>
        <v>31746</v>
      </c>
      <c r="U4" s="74">
        <f>INT(data1!U4*$A$8)</f>
        <v>39172</v>
      </c>
      <c r="V4" s="74">
        <f>INT(data1!V4*$A$8)</f>
        <v>34344</v>
      </c>
      <c r="W4" s="74">
        <f>INT(data1!W4*$A$8)</f>
        <v>65534</v>
      </c>
      <c r="X4" s="74">
        <f>INT(data1!X4*$A$8)</f>
        <v>36318</v>
      </c>
      <c r="Y4" s="74">
        <f>INT(data1!Y4*$A$8)</f>
        <v>34531</v>
      </c>
      <c r="Z4" s="74">
        <f>INT(data1!Z4*$A$8)</f>
        <v>32769</v>
      </c>
      <c r="AA4" s="74">
        <f>INT(data1!AA4*$A$8)</f>
        <v>34391</v>
      </c>
      <c r="AB4" s="74">
        <f>INT(data1!AB4*$A$8)</f>
        <v>36388</v>
      </c>
      <c r="AC4" s="74">
        <f>INT(data1!AC4*$A$8)</f>
        <v>34641</v>
      </c>
      <c r="AD4" s="74">
        <f>INT(data1!AD4*$A$8)</f>
        <v>34777</v>
      </c>
      <c r="AE4" s="74">
        <f>INT(data1!AE4*$A$8)</f>
        <v>39291</v>
      </c>
      <c r="AF4" s="74">
        <f>INT(data1!AF4*$A$8)</f>
        <v>33795</v>
      </c>
      <c r="AG4" s="74">
        <f>INT(data1!AG4*$A$8)</f>
        <v>35316</v>
      </c>
      <c r="AJ4" s="6"/>
      <c r="AK4" s="6"/>
      <c r="AL4" s="6"/>
    </row>
    <row r="5" spans="1:38" ht="20.25">
      <c r="A5" s="47" t="s">
        <v>23</v>
      </c>
      <c r="B5" s="74">
        <f>INT(data1!B5*$A$8)</f>
        <v>27501</v>
      </c>
      <c r="C5" s="74">
        <f>INT(data1!C5*$A$8)</f>
        <v>27080</v>
      </c>
      <c r="D5" s="74">
        <f>INT(data1!D5*$A$8)</f>
        <v>28087</v>
      </c>
      <c r="E5" s="74">
        <f>INT(data1!E5*$A$8)</f>
        <v>27314</v>
      </c>
      <c r="F5" s="74">
        <f>INT(data1!F5*$A$8)</f>
        <v>26257</v>
      </c>
      <c r="G5" s="74">
        <f>INT(data1!G5*$A$8)</f>
        <v>28088</v>
      </c>
      <c r="H5" s="74">
        <f>INT(data1!H5*$A$8)</f>
        <v>24915</v>
      </c>
      <c r="I5" s="74">
        <f>INT(data1!I5*$A$8)</f>
        <v>27080</v>
      </c>
      <c r="J5" s="74">
        <f>INT(data1!J5*$A$8)</f>
        <v>25801</v>
      </c>
      <c r="K5" s="74">
        <f>INT(data1!K5*$A$8)</f>
        <v>26076</v>
      </c>
      <c r="L5" s="74">
        <f>INT(data1!L5*$A$8)</f>
        <v>25470</v>
      </c>
      <c r="M5" s="74">
        <f>INT(data1!M5*$A$8)</f>
        <v>26990</v>
      </c>
      <c r="N5" s="74">
        <f>INT(data1!N5*$A$8)</f>
        <v>26215</v>
      </c>
      <c r="O5" s="74">
        <f>INT(data1!O5*$A$8)</f>
        <v>26399</v>
      </c>
      <c r="P5" s="74">
        <f>INT(data1!P5*$A$8)</f>
        <v>26215</v>
      </c>
      <c r="Q5" s="74">
        <f>INT(data1!Q5*$A$8)</f>
        <v>25452</v>
      </c>
      <c r="R5" s="74">
        <f>INT(data1!R5*$A$8)</f>
        <v>26455</v>
      </c>
      <c r="S5" s="74">
        <f>INT(data1!S5*$A$8)</f>
        <v>30151</v>
      </c>
      <c r="T5" s="74">
        <f>INT(data1!T5*$A$8)</f>
        <v>24761</v>
      </c>
      <c r="U5" s="74">
        <f>INT(data1!U5*$A$8)</f>
        <v>28346</v>
      </c>
      <c r="V5" s="74">
        <f>INT(data1!V5*$A$8)</f>
        <v>26458</v>
      </c>
      <c r="W5" s="74">
        <f>INT(data1!W5*$A$8)</f>
        <v>65534</v>
      </c>
      <c r="X5" s="74">
        <f>INT(data1!X5*$A$8)</f>
        <v>26991</v>
      </c>
      <c r="Y5" s="74">
        <f>INT(data1!Y5*$A$8)</f>
        <v>26929</v>
      </c>
      <c r="Z5" s="74">
        <f>INT(data1!Z5*$A$8)</f>
        <v>25695</v>
      </c>
      <c r="AA5" s="74">
        <f>INT(data1!AA5*$A$8)</f>
        <v>26215</v>
      </c>
      <c r="AB5" s="74">
        <f>INT(data1!AB5*$A$8)</f>
        <v>28087</v>
      </c>
      <c r="AC5" s="74">
        <f>INT(data1!AC5*$A$8)</f>
        <v>27076</v>
      </c>
      <c r="AD5" s="74">
        <f>INT(data1!AD5*$A$8)</f>
        <v>26055</v>
      </c>
      <c r="AE5" s="74">
        <f>INT(data1!AE5*$A$8)</f>
        <v>28680</v>
      </c>
      <c r="AF5" s="74">
        <f>INT(data1!AF5*$A$8)</f>
        <v>25867</v>
      </c>
      <c r="AG5" s="74">
        <f>INT(data1!AG5*$A$8)</f>
        <v>26215</v>
      </c>
      <c r="AJ5" s="6"/>
      <c r="AK5" s="6"/>
      <c r="AL5" s="6"/>
    </row>
    <row r="6" spans="1:38" s="6" customFormat="1" ht="20.25">
      <c r="A6" s="48" t="s">
        <v>70</v>
      </c>
      <c r="B6" s="74">
        <f>INT(data1!B6*$A$1)</f>
        <v>7541</v>
      </c>
      <c r="C6" s="74">
        <f>INT(data1!C6*$A$1)</f>
        <v>7566</v>
      </c>
      <c r="D6" s="74">
        <f>INT(data1!D6*$A$1)</f>
        <v>7765</v>
      </c>
      <c r="E6" s="74">
        <f>INT(data1!E6*$A$1)</f>
        <v>7723</v>
      </c>
      <c r="F6" s="74">
        <f>INT(data1!F6*$A$1)</f>
        <v>7388</v>
      </c>
      <c r="G6" s="74">
        <f>INT(data1!G6*$A$1)</f>
        <v>7772</v>
      </c>
      <c r="H6" s="74">
        <f>INT(data1!H6*$A$1)</f>
        <v>6876</v>
      </c>
      <c r="I6" s="74">
        <f>INT(data1!I6*$A$1)</f>
        <v>7701</v>
      </c>
      <c r="J6" s="74">
        <f>INT(data1!J6*$A$1)</f>
        <v>7158</v>
      </c>
      <c r="K6" s="74">
        <f>INT(data1!K6*$A$1)</f>
        <v>7157</v>
      </c>
      <c r="L6" s="74">
        <f>INT(data1!L6*$A$1)</f>
        <v>7073</v>
      </c>
      <c r="M6" s="74">
        <f>INT(data1!M6*$A$1)</f>
        <v>7903</v>
      </c>
      <c r="N6" s="74">
        <f>INT(data1!N6*$A$1)</f>
        <v>7247</v>
      </c>
      <c r="O6" s="74">
        <f>INT(data1!O6*$A$1)</f>
        <v>7459</v>
      </c>
      <c r="P6" s="74">
        <f>INT(data1!P6*$A$1)</f>
        <v>7434</v>
      </c>
      <c r="Q6" s="74">
        <f>INT(data1!Q6*$A$1)</f>
        <v>6929</v>
      </c>
      <c r="R6" s="74">
        <f>INT(data1!R6*$A$1)</f>
        <v>7355</v>
      </c>
      <c r="S6" s="74">
        <f>INT(data1!S6*$A$1)</f>
        <v>8311</v>
      </c>
      <c r="T6" s="74">
        <f>INT(data1!T6*$A$1)</f>
        <v>6835</v>
      </c>
      <c r="U6" s="74">
        <f>INT(data1!U6*$A$1)</f>
        <v>8294</v>
      </c>
      <c r="V6" s="74">
        <f>INT(data1!V6*$A$1)</f>
        <v>7340</v>
      </c>
      <c r="W6" s="74">
        <f>INT(data1!W6*$A$1)</f>
        <v>13106</v>
      </c>
      <c r="X6" s="74">
        <f>INT(data1!X6*$A$1)</f>
        <v>7648</v>
      </c>
      <c r="Y6" s="74">
        <f>INT(data1!Y6*$A$1)</f>
        <v>7450</v>
      </c>
      <c r="Z6" s="74">
        <f>INT(data1!Z6*$A$1)</f>
        <v>7059</v>
      </c>
      <c r="AA6" s="74">
        <f>INT(data1!AA6*$A$1)</f>
        <v>7402</v>
      </c>
      <c r="AB6" s="74">
        <f>INT(data1!AB6*$A$1)</f>
        <v>7823</v>
      </c>
      <c r="AC6" s="74">
        <f>INT(data1!AC6*$A$1)</f>
        <v>7443</v>
      </c>
      <c r="AD6" s="74">
        <f>INT(data1!AD6*$A$1)</f>
        <v>7542</v>
      </c>
      <c r="AE6" s="74">
        <f>INT(data1!AE6*$A$1)</f>
        <v>8322</v>
      </c>
      <c r="AF6" s="74">
        <f>INT(data1!AF6*$A$1)</f>
        <v>7242</v>
      </c>
      <c r="AG6" s="74">
        <f>INT(data1!AG6*$A$1)</f>
        <v>7451</v>
      </c>
    </row>
    <row r="7" spans="1:38" ht="20.25">
      <c r="A7" s="48" t="s">
        <v>71</v>
      </c>
      <c r="B7" s="74">
        <f>INT(data1!B7*$A$8)</f>
        <v>40058</v>
      </c>
      <c r="C7" s="74">
        <f>INT(data1!C7*$A$8)</f>
        <v>38629</v>
      </c>
      <c r="D7" s="74">
        <f>INT(data1!D7*$A$8)</f>
        <v>40621</v>
      </c>
      <c r="E7" s="74">
        <f>INT(data1!E7*$A$8)</f>
        <v>40737</v>
      </c>
      <c r="F7" s="74">
        <f>INT(data1!F7*$A$8)</f>
        <v>37988</v>
      </c>
      <c r="G7" s="74">
        <f>INT(data1!G7*$A$8)</f>
        <v>40318</v>
      </c>
      <c r="H7" s="74">
        <f>INT(data1!H7*$A$8)</f>
        <v>39692</v>
      </c>
      <c r="I7" s="74">
        <f>INT(data1!I7*$A$8)</f>
        <v>41461</v>
      </c>
      <c r="J7" s="74">
        <f>INT(data1!J7*$A$8)</f>
        <v>40219</v>
      </c>
      <c r="K7" s="74">
        <f>INT(data1!K7*$A$8)</f>
        <v>39958</v>
      </c>
      <c r="L7" s="74">
        <f>INT(data1!L7*$A$8)</f>
        <v>40444</v>
      </c>
      <c r="M7" s="74">
        <f>INT(data1!M7*$A$8)</f>
        <v>43545</v>
      </c>
      <c r="N7" s="74">
        <f>INT(data1!N7*$A$8)</f>
        <v>36585</v>
      </c>
      <c r="O7" s="74">
        <f>INT(data1!O7*$A$8)</f>
        <v>40361</v>
      </c>
      <c r="P7" s="74">
        <f>INT(data1!P7*$A$8)</f>
        <v>40999</v>
      </c>
      <c r="Q7" s="74">
        <f>INT(data1!Q7*$A$8)</f>
        <v>39748</v>
      </c>
      <c r="R7" s="74">
        <f>INT(data1!R7*$A$8)</f>
        <v>36885</v>
      </c>
      <c r="S7" s="74">
        <f>INT(data1!S7*$A$8)</f>
        <v>45403</v>
      </c>
      <c r="T7" s="74">
        <f>INT(data1!T7*$A$8)</f>
        <v>33881</v>
      </c>
      <c r="U7" s="74">
        <f>INT(data1!U7*$A$8)</f>
        <v>45262</v>
      </c>
      <c r="V7" s="74">
        <f>INT(data1!V7*$A$8)</f>
        <v>37520</v>
      </c>
      <c r="W7" s="74">
        <f>INT(data1!W7*$A$8)</f>
        <v>327670</v>
      </c>
      <c r="X7" s="74">
        <f>INT(data1!X7*$A$8)</f>
        <v>43189</v>
      </c>
      <c r="Y7" s="74">
        <f>INT(data1!Y7*$A$8)</f>
        <v>38180</v>
      </c>
      <c r="Z7" s="74">
        <f>INT(data1!Z7*$A$8)</f>
        <v>35902</v>
      </c>
      <c r="AA7" s="74">
        <f>INT(data1!AA7*$A$8)</f>
        <v>38130</v>
      </c>
      <c r="AB7" s="74">
        <f>INT(data1!AB7*$A$8)</f>
        <v>40679</v>
      </c>
      <c r="AC7" s="74">
        <f>INT(data1!AC7*$A$8)</f>
        <v>41123</v>
      </c>
      <c r="AD7" s="74">
        <f>INT(data1!AD7*$A$8)</f>
        <v>40237</v>
      </c>
      <c r="AE7" s="74">
        <f>INT(data1!AE7*$A$8)</f>
        <v>45114</v>
      </c>
      <c r="AF7" s="74">
        <f>INT(data1!AF7*$A$8)</f>
        <v>36775</v>
      </c>
      <c r="AG7" s="74">
        <f>INT(data1!AG7*$A$8)</f>
        <v>42973</v>
      </c>
      <c r="AH7" s="49"/>
      <c r="AI7" s="49"/>
      <c r="AJ7" s="49"/>
      <c r="AK7" s="49"/>
    </row>
    <row r="8" spans="1:38">
      <c r="A8" s="46">
        <f>Ncodes/RangeLo</f>
        <v>40.959375000000001</v>
      </c>
      <c r="B8" s="71"/>
      <c r="E8" s="51"/>
    </row>
    <row r="9" spans="1:38">
      <c r="B9" s="71"/>
      <c r="E9" s="51"/>
    </row>
    <row r="10" spans="1:38">
      <c r="B10" s="71"/>
      <c r="E10" s="51"/>
    </row>
    <row r="11" spans="1:38">
      <c r="B11" s="71"/>
      <c r="E11" s="51"/>
    </row>
    <row r="12" spans="1:38">
      <c r="B12" s="71"/>
    </row>
    <row r="13" spans="1:38">
      <c r="B13" s="71"/>
    </row>
  </sheetData>
  <pageMargins left="0.7" right="0.7" top="0.75" bottom="0.75" header="0.3" footer="0.3"/>
  <pageSetup paperSize="3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AL13"/>
  <sheetViews>
    <sheetView zoomScale="70" zoomScaleNormal="70" workbookViewId="0">
      <selection activeCell="K17" sqref="K17"/>
    </sheetView>
  </sheetViews>
  <sheetFormatPr defaultRowHeight="18.75"/>
  <cols>
    <col min="1" max="1" width="8.140625" style="50" bestFit="1" customWidth="1"/>
    <col min="2" max="33" width="6.42578125" style="30" customWidth="1"/>
    <col min="34" max="37" width="3.42578125" style="30" bestFit="1" customWidth="1"/>
    <col min="38" max="38" width="6.42578125" style="30" bestFit="1" customWidth="1"/>
    <col min="39" max="16384" width="9.140625" style="30"/>
  </cols>
  <sheetData>
    <row r="1" spans="1:38">
      <c r="A1" s="46">
        <f>Ncodes/RangeHi</f>
        <v>8.1918749999999996</v>
      </c>
      <c r="B1" s="30">
        <v>0</v>
      </c>
      <c r="C1" s="30">
        <f>B1+1</f>
        <v>1</v>
      </c>
      <c r="D1" s="30">
        <f t="shared" ref="D1:AG1" si="0">C1+1</f>
        <v>2</v>
      </c>
      <c r="E1" s="30">
        <f t="shared" si="0"/>
        <v>3</v>
      </c>
      <c r="F1" s="30">
        <f t="shared" si="0"/>
        <v>4</v>
      </c>
      <c r="G1" s="30">
        <f t="shared" si="0"/>
        <v>5</v>
      </c>
      <c r="H1" s="30">
        <f t="shared" si="0"/>
        <v>6</v>
      </c>
      <c r="I1" s="30">
        <f t="shared" si="0"/>
        <v>7</v>
      </c>
      <c r="J1" s="30">
        <f t="shared" si="0"/>
        <v>8</v>
      </c>
      <c r="K1" s="30">
        <f t="shared" si="0"/>
        <v>9</v>
      </c>
      <c r="L1" s="30">
        <f t="shared" si="0"/>
        <v>10</v>
      </c>
      <c r="M1" s="30">
        <f t="shared" si="0"/>
        <v>11</v>
      </c>
      <c r="N1" s="30">
        <f t="shared" si="0"/>
        <v>12</v>
      </c>
      <c r="O1" s="30">
        <f t="shared" si="0"/>
        <v>13</v>
      </c>
      <c r="P1" s="30">
        <f t="shared" si="0"/>
        <v>14</v>
      </c>
      <c r="Q1" s="30">
        <f t="shared" si="0"/>
        <v>15</v>
      </c>
      <c r="R1" s="30">
        <f t="shared" si="0"/>
        <v>16</v>
      </c>
      <c r="S1" s="30">
        <f t="shared" si="0"/>
        <v>17</v>
      </c>
      <c r="T1" s="30">
        <f t="shared" si="0"/>
        <v>18</v>
      </c>
      <c r="U1" s="30">
        <f t="shared" si="0"/>
        <v>19</v>
      </c>
      <c r="V1" s="30">
        <f t="shared" si="0"/>
        <v>20</v>
      </c>
      <c r="W1" s="30">
        <f t="shared" si="0"/>
        <v>21</v>
      </c>
      <c r="X1" s="30">
        <f t="shared" si="0"/>
        <v>22</v>
      </c>
      <c r="Y1" s="30">
        <f t="shared" si="0"/>
        <v>23</v>
      </c>
      <c r="Z1" s="30">
        <f t="shared" si="0"/>
        <v>24</v>
      </c>
      <c r="AA1" s="30">
        <f t="shared" si="0"/>
        <v>25</v>
      </c>
      <c r="AB1" s="30">
        <f t="shared" si="0"/>
        <v>26</v>
      </c>
      <c r="AC1" s="30">
        <f t="shared" si="0"/>
        <v>27</v>
      </c>
      <c r="AD1" s="30">
        <f t="shared" si="0"/>
        <v>28</v>
      </c>
      <c r="AE1" s="30">
        <f t="shared" si="0"/>
        <v>29</v>
      </c>
      <c r="AF1" s="30">
        <f t="shared" si="0"/>
        <v>30</v>
      </c>
      <c r="AG1" s="30">
        <f t="shared" si="0"/>
        <v>31</v>
      </c>
    </row>
    <row r="2" spans="1:38" ht="20.25">
      <c r="A2" s="47" t="s">
        <v>20</v>
      </c>
      <c r="B2" s="74">
        <f>INT(data2!B2*$A$1)</f>
        <v>1934</v>
      </c>
      <c r="C2" s="74">
        <f>INT(data2!C2*$A$1)</f>
        <v>1855</v>
      </c>
      <c r="D2" s="74">
        <f>INT(data2!D2*$A$1)</f>
        <v>1797</v>
      </c>
      <c r="E2" s="74">
        <f>INT(data2!E2*$A$1)</f>
        <v>1929</v>
      </c>
      <c r="F2" s="74">
        <f>INT(data2!F2*$A$1)</f>
        <v>1812</v>
      </c>
      <c r="G2" s="74">
        <f>INT(data2!G2*$A$1)</f>
        <v>1818</v>
      </c>
      <c r="H2" s="74">
        <f>INT(data2!H2*$A$1)</f>
        <v>1684</v>
      </c>
      <c r="I2" s="74">
        <f>INT(data2!I2*$A$1)</f>
        <v>1803</v>
      </c>
      <c r="J2" s="74">
        <f>INT(data2!J2*$A$1)</f>
        <v>1988</v>
      </c>
      <c r="K2" s="74">
        <f>INT(data2!K2*$A$1)</f>
        <v>1618</v>
      </c>
      <c r="L2" s="74">
        <f>INT(data2!L2*$A$1)</f>
        <v>1710</v>
      </c>
      <c r="M2" s="74">
        <f>INT(data2!M2*$A$1)</f>
        <v>1767</v>
      </c>
      <c r="N2" s="74">
        <f>INT(data2!N2*$A$1)</f>
        <v>1660</v>
      </c>
      <c r="O2" s="74">
        <f>INT(data2!O2*$A$1)</f>
        <v>2092</v>
      </c>
      <c r="P2" s="74">
        <f>INT(data2!P2*$A$1)</f>
        <v>1932</v>
      </c>
      <c r="Q2" s="74">
        <f>INT(data2!Q2*$A$1)</f>
        <v>1974</v>
      </c>
      <c r="R2" s="74">
        <f>INT(data2!R2*$A$1)</f>
        <v>1850</v>
      </c>
      <c r="S2" s="74">
        <f>INT(data2!S2*$A$1)</f>
        <v>2092</v>
      </c>
      <c r="T2" s="74">
        <f>INT(data2!T2*$A$1)</f>
        <v>1609</v>
      </c>
      <c r="U2" s="74">
        <f>INT(data2!U2*$A$1)</f>
        <v>1958</v>
      </c>
      <c r="V2" s="74">
        <f>INT(data2!V2*$A$1)</f>
        <v>1750</v>
      </c>
      <c r="W2" s="74">
        <f>INT(data2!W2*$A$1)</f>
        <v>65534</v>
      </c>
      <c r="X2" s="74">
        <f>INT(data2!X2*$A$1)</f>
        <v>2007</v>
      </c>
      <c r="Y2" s="74">
        <f>INT(data2!Y2*$A$1)</f>
        <v>1744</v>
      </c>
      <c r="Z2" s="74">
        <f>INT(data2!Z2*$A$1)</f>
        <v>1727</v>
      </c>
      <c r="AA2" s="74">
        <f>INT(data2!AA2*$A$1)</f>
        <v>1724</v>
      </c>
      <c r="AB2" s="74">
        <f>INT(data2!AB2*$A$1)</f>
        <v>1777</v>
      </c>
      <c r="AC2" s="74">
        <f>INT(data2!AC2*$A$1)</f>
        <v>1735</v>
      </c>
      <c r="AD2" s="74">
        <f>INT(data2!AD2*$A$1)</f>
        <v>1723</v>
      </c>
      <c r="AE2" s="74">
        <f>INT(data2!AE2*$A$1)</f>
        <v>1449</v>
      </c>
      <c r="AF2" s="74">
        <f>INT(data2!AF2*$A$1)</f>
        <v>1690</v>
      </c>
      <c r="AG2" s="74">
        <f>INT(data2!AG2*$A$1)</f>
        <v>1768</v>
      </c>
      <c r="AJ2" s="6"/>
      <c r="AK2" s="6"/>
      <c r="AL2" s="6"/>
    </row>
    <row r="3" spans="1:38" ht="20.25">
      <c r="A3" s="47" t="s">
        <v>21</v>
      </c>
      <c r="B3" s="74">
        <f>INT(data2!B3*$A$1)</f>
        <v>4468</v>
      </c>
      <c r="C3" s="74">
        <f>INT(data2!C3*$A$1)</f>
        <v>4296</v>
      </c>
      <c r="D3" s="74">
        <f>INT(data2!D3*$A$1)</f>
        <v>4396</v>
      </c>
      <c r="E3" s="74">
        <f>INT(data2!E3*$A$1)</f>
        <v>4488</v>
      </c>
      <c r="F3" s="74">
        <f>INT(data2!F3*$A$1)</f>
        <v>4246</v>
      </c>
      <c r="G3" s="74">
        <f>INT(data2!G3*$A$1)</f>
        <v>4317</v>
      </c>
      <c r="H3" s="74">
        <f>INT(data2!H3*$A$1)</f>
        <v>4121</v>
      </c>
      <c r="I3" s="74">
        <f>INT(data2!I3*$A$1)</f>
        <v>4402</v>
      </c>
      <c r="J3" s="74">
        <f>INT(data2!J3*$A$1)</f>
        <v>4663</v>
      </c>
      <c r="K3" s="74">
        <f>INT(data2!K3*$A$1)</f>
        <v>4073</v>
      </c>
      <c r="L3" s="74">
        <f>INT(data2!L3*$A$1)</f>
        <v>4137</v>
      </c>
      <c r="M3" s="74">
        <f>INT(data2!M3*$A$1)</f>
        <v>4390</v>
      </c>
      <c r="N3" s="74">
        <f>INT(data2!N3*$A$1)</f>
        <v>4047</v>
      </c>
      <c r="O3" s="74">
        <f>INT(data2!O3*$A$1)</f>
        <v>4624</v>
      </c>
      <c r="P3" s="74">
        <f>INT(data2!P3*$A$1)</f>
        <v>4481</v>
      </c>
      <c r="Q3" s="74">
        <f>INT(data2!Q3*$A$1)</f>
        <v>4325</v>
      </c>
      <c r="R3" s="74">
        <f>INT(data2!R3*$A$1)</f>
        <v>4227</v>
      </c>
      <c r="S3" s="74">
        <f>INT(data2!S3*$A$1)</f>
        <v>4878</v>
      </c>
      <c r="T3" s="74">
        <f>INT(data2!T3*$A$1)</f>
        <v>3811</v>
      </c>
      <c r="U3" s="74">
        <f>INT(data2!U3*$A$1)</f>
        <v>4645</v>
      </c>
      <c r="V3" s="74">
        <f>INT(data2!V3*$A$1)</f>
        <v>4169</v>
      </c>
      <c r="W3" s="74">
        <f>INT(data2!W3*$A$1)</f>
        <v>65534</v>
      </c>
      <c r="X3" s="74">
        <f>INT(data2!X3*$A$1)</f>
        <v>4676</v>
      </c>
      <c r="Y3" s="74">
        <f>INT(data2!Y3*$A$1)</f>
        <v>4220</v>
      </c>
      <c r="Z3" s="74">
        <f>INT(data2!Z3*$A$1)</f>
        <v>3986</v>
      </c>
      <c r="AA3" s="74">
        <f>INT(data2!AA3*$A$1)</f>
        <v>4123</v>
      </c>
      <c r="AB3" s="74">
        <f>INT(data2!AB3*$A$1)</f>
        <v>4160</v>
      </c>
      <c r="AC3" s="74">
        <f>INT(data2!AC3*$A$1)</f>
        <v>4328</v>
      </c>
      <c r="AD3" s="74">
        <f>INT(data2!AD3*$A$1)</f>
        <v>4260</v>
      </c>
      <c r="AE3" s="74">
        <f>INT(data2!AE3*$A$1)</f>
        <v>3850</v>
      </c>
      <c r="AF3" s="74">
        <f>INT(data2!AF3*$A$1)</f>
        <v>4076</v>
      </c>
      <c r="AG3" s="74">
        <f>INT(data2!AG3*$A$1)</f>
        <v>4415</v>
      </c>
      <c r="AJ3" s="6"/>
      <c r="AK3" s="6"/>
      <c r="AL3" s="6"/>
    </row>
    <row r="4" spans="1:38" ht="20.25">
      <c r="A4" s="47" t="s">
        <v>22</v>
      </c>
      <c r="B4" s="74">
        <f>INT(data2!B4*$A$8)</f>
        <v>23389</v>
      </c>
      <c r="C4" s="74">
        <f>INT(data2!C4*$A$8)</f>
        <v>23245</v>
      </c>
      <c r="D4" s="74">
        <f>INT(data2!D4*$A$8)</f>
        <v>23557</v>
      </c>
      <c r="E4" s="74">
        <f>INT(data2!E4*$A$8)</f>
        <v>23242</v>
      </c>
      <c r="F4" s="74">
        <f>INT(data2!F4*$A$8)</f>
        <v>22464</v>
      </c>
      <c r="G4" s="74">
        <f>INT(data2!G4*$A$8)</f>
        <v>23178</v>
      </c>
      <c r="H4" s="74">
        <f>INT(data2!H4*$A$8)</f>
        <v>21660</v>
      </c>
      <c r="I4" s="74">
        <f>INT(data2!I4*$A$8)</f>
        <v>22991</v>
      </c>
      <c r="J4" s="74">
        <f>INT(data2!J4*$A$8)</f>
        <v>23083</v>
      </c>
      <c r="K4" s="74">
        <f>INT(data2!K4*$A$8)</f>
        <v>21862</v>
      </c>
      <c r="L4" s="74">
        <f>INT(data2!L4*$A$8)</f>
        <v>21972</v>
      </c>
      <c r="M4" s="74">
        <f>INT(data2!M4*$A$8)</f>
        <v>23045</v>
      </c>
      <c r="N4" s="74">
        <f>INT(data2!N4*$A$8)</f>
        <v>21845</v>
      </c>
      <c r="O4" s="74">
        <f>INT(data2!O4*$A$8)</f>
        <v>22567</v>
      </c>
      <c r="P4" s="74">
        <f>INT(data2!P4*$A$8)</f>
        <v>22862</v>
      </c>
      <c r="Q4" s="74">
        <f>INT(data2!Q4*$A$8)</f>
        <v>21951</v>
      </c>
      <c r="R4" s="74">
        <f>INT(data2!R4*$A$8)</f>
        <v>22510</v>
      </c>
      <c r="S4" s="74">
        <f>INT(data2!S4*$A$8)</f>
        <v>24612</v>
      </c>
      <c r="T4" s="74">
        <f>INT(data2!T4*$A$8)</f>
        <v>20784</v>
      </c>
      <c r="U4" s="74">
        <f>INT(data2!U4*$A$8)</f>
        <v>23040</v>
      </c>
      <c r="V4" s="74">
        <f>INT(data2!V4*$A$8)</f>
        <v>22192</v>
      </c>
      <c r="W4" s="74">
        <f>INT(data2!W4*$A$8)</f>
        <v>65534</v>
      </c>
      <c r="X4" s="74">
        <f>INT(data2!X4*$A$8)</f>
        <v>23386</v>
      </c>
      <c r="Y4" s="74">
        <f>INT(data2!Y4*$A$8)</f>
        <v>22708</v>
      </c>
      <c r="Z4" s="74">
        <f>INT(data2!Z4*$A$8)</f>
        <v>21325</v>
      </c>
      <c r="AA4" s="74">
        <f>INT(data2!AA4*$A$8)</f>
        <v>21972</v>
      </c>
      <c r="AB4" s="74">
        <f>INT(data2!AB4*$A$8)</f>
        <v>22431</v>
      </c>
      <c r="AC4" s="74">
        <f>INT(data2!AC4*$A$8)</f>
        <v>23481</v>
      </c>
      <c r="AD4" s="74">
        <f>INT(data2!AD4*$A$8)</f>
        <v>21845</v>
      </c>
      <c r="AE4" s="74">
        <f>INT(data2!AE4*$A$8)</f>
        <v>22841</v>
      </c>
      <c r="AF4" s="74">
        <f>INT(data2!AF4*$A$8)</f>
        <v>21410</v>
      </c>
      <c r="AG4" s="74">
        <f>INT(data2!AG4*$A$8)</f>
        <v>23601</v>
      </c>
      <c r="AJ4" s="6"/>
      <c r="AK4" s="6"/>
      <c r="AL4" s="6"/>
    </row>
    <row r="5" spans="1:38" ht="20.25">
      <c r="A5" s="47" t="s">
        <v>23</v>
      </c>
      <c r="B5" s="74">
        <f>INT(data2!B5*$A$8)</f>
        <v>9488</v>
      </c>
      <c r="C5" s="74">
        <f>INT(data2!C5*$A$8)</f>
        <v>9510</v>
      </c>
      <c r="D5" s="74">
        <f>INT(data2!D5*$A$8)</f>
        <v>9290</v>
      </c>
      <c r="E5" s="74">
        <f>INT(data2!E5*$A$8)</f>
        <v>9492</v>
      </c>
      <c r="F5" s="74">
        <f>INT(data2!F5*$A$8)</f>
        <v>9122</v>
      </c>
      <c r="G5" s="74">
        <f>INT(data2!G5*$A$8)</f>
        <v>9326</v>
      </c>
      <c r="H5" s="74">
        <f>INT(data2!H5*$A$8)</f>
        <v>8418</v>
      </c>
      <c r="I5" s="74">
        <f>INT(data2!I5*$A$8)</f>
        <v>8958</v>
      </c>
      <c r="J5" s="74">
        <f>INT(data2!J5*$A$8)</f>
        <v>9204</v>
      </c>
      <c r="K5" s="74">
        <f>INT(data2!K5*$A$8)</f>
        <v>8491</v>
      </c>
      <c r="L5" s="74">
        <f>INT(data2!L5*$A$8)</f>
        <v>8846</v>
      </c>
      <c r="M5" s="74">
        <f>INT(data2!M5*$A$8)</f>
        <v>8932</v>
      </c>
      <c r="N5" s="74">
        <f>INT(data2!N5*$A$8)</f>
        <v>8692</v>
      </c>
      <c r="O5" s="74">
        <f>INT(data2!O5*$A$8)</f>
        <v>9489</v>
      </c>
      <c r="P5" s="74">
        <f>INT(data2!P5*$A$8)</f>
        <v>9356</v>
      </c>
      <c r="Q5" s="74">
        <f>INT(data2!Q5*$A$8)</f>
        <v>9374</v>
      </c>
      <c r="R5" s="74">
        <f>INT(data2!R5*$A$8)</f>
        <v>9462</v>
      </c>
      <c r="S5" s="74">
        <f>INT(data2!S5*$A$8)</f>
        <v>9999</v>
      </c>
      <c r="T5" s="74">
        <f>INT(data2!T5*$A$8)</f>
        <v>8470</v>
      </c>
      <c r="U5" s="74">
        <f>INT(data2!U5*$A$8)</f>
        <v>9044</v>
      </c>
      <c r="V5" s="74">
        <f>INT(data2!V5*$A$8)</f>
        <v>8949</v>
      </c>
      <c r="W5" s="74">
        <f>INT(data2!W5*$A$8)</f>
        <v>65534</v>
      </c>
      <c r="X5" s="74">
        <f>INT(data2!X5*$A$8)</f>
        <v>9486</v>
      </c>
      <c r="Y5" s="74">
        <f>INT(data2!Y5*$A$8)</f>
        <v>9021</v>
      </c>
      <c r="Z5" s="74">
        <f>INT(data2!Z5*$A$8)</f>
        <v>8869</v>
      </c>
      <c r="AA5" s="74">
        <f>INT(data2!AA5*$A$8)</f>
        <v>8815</v>
      </c>
      <c r="AB5" s="74">
        <f>INT(data2!AB5*$A$8)</f>
        <v>9105</v>
      </c>
      <c r="AC5" s="74">
        <f>INT(data2!AC5*$A$8)</f>
        <v>9158</v>
      </c>
      <c r="AD5" s="74">
        <f>INT(data2!AD5*$A$8)</f>
        <v>8477</v>
      </c>
      <c r="AE5" s="74">
        <f>INT(data2!AE5*$A$8)</f>
        <v>8752</v>
      </c>
      <c r="AF5" s="74">
        <f>INT(data2!AF5*$A$8)</f>
        <v>8486</v>
      </c>
      <c r="AG5" s="74">
        <f>INT(data2!AG5*$A$8)</f>
        <v>9202</v>
      </c>
      <c r="AJ5" s="6"/>
      <c r="AK5" s="6"/>
      <c r="AL5" s="6"/>
    </row>
    <row r="6" spans="1:38" s="6" customFormat="1" ht="20.25">
      <c r="A6" s="48" t="s">
        <v>70</v>
      </c>
      <c r="B6" s="74">
        <f>INT(data2!B6*$A$1)</f>
        <v>6038</v>
      </c>
      <c r="C6" s="74">
        <f>INT(data2!C6*$A$1)</f>
        <v>5992</v>
      </c>
      <c r="D6" s="74">
        <f>INT(data2!D6*$A$1)</f>
        <v>6018</v>
      </c>
      <c r="E6" s="74">
        <f>INT(data2!E6*$A$1)</f>
        <v>5939</v>
      </c>
      <c r="F6" s="74">
        <f>INT(data2!F6*$A$1)</f>
        <v>5707</v>
      </c>
      <c r="G6" s="74">
        <f>INT(data2!G6*$A$1)</f>
        <v>5977</v>
      </c>
      <c r="H6" s="74">
        <f>INT(data2!H6*$A$1)</f>
        <v>5553</v>
      </c>
      <c r="I6" s="74">
        <f>INT(data2!I6*$A$1)</f>
        <v>5954</v>
      </c>
      <c r="J6" s="74">
        <f>INT(data2!J6*$A$1)</f>
        <v>5774</v>
      </c>
      <c r="K6" s="74">
        <f>INT(data2!K6*$A$1)</f>
        <v>5775</v>
      </c>
      <c r="L6" s="74">
        <f>INT(data2!L6*$A$1)</f>
        <v>5609</v>
      </c>
      <c r="M6" s="74">
        <f>INT(data2!M6*$A$1)</f>
        <v>5797</v>
      </c>
      <c r="N6" s="74">
        <f>INT(data2!N6*$A$1)</f>
        <v>5613</v>
      </c>
      <c r="O6" s="74">
        <f>INT(data2!O6*$A$1)</f>
        <v>5738</v>
      </c>
      <c r="P6" s="74">
        <f>INT(data2!P6*$A$1)</f>
        <v>5812</v>
      </c>
      <c r="Q6" s="74">
        <f>INT(data2!Q6*$A$1)</f>
        <v>5573</v>
      </c>
      <c r="R6" s="74">
        <f>INT(data2!R6*$A$1)</f>
        <v>5816</v>
      </c>
      <c r="S6" s="74">
        <f>INT(data2!S6*$A$1)</f>
        <v>6248</v>
      </c>
      <c r="T6" s="74">
        <f>INT(data2!T6*$A$1)</f>
        <v>5301</v>
      </c>
      <c r="U6" s="74">
        <f>INT(data2!U6*$A$1)</f>
        <v>5921</v>
      </c>
      <c r="V6" s="74">
        <f>INT(data2!V6*$A$1)</f>
        <v>5680</v>
      </c>
      <c r="W6" s="74">
        <f>INT(data2!W6*$A$1)</f>
        <v>13106</v>
      </c>
      <c r="X6" s="74">
        <f>INT(data2!X6*$A$1)</f>
        <v>5895</v>
      </c>
      <c r="Y6" s="74">
        <f>INT(data2!Y6*$A$1)</f>
        <v>5870</v>
      </c>
      <c r="Z6" s="74">
        <f>INT(data2!Z6*$A$1)</f>
        <v>5510</v>
      </c>
      <c r="AA6" s="74">
        <f>INT(data2!AA6*$A$1)</f>
        <v>5596</v>
      </c>
      <c r="AB6" s="74">
        <f>INT(data2!AB6*$A$1)</f>
        <v>5882</v>
      </c>
      <c r="AC6" s="74">
        <f>INT(data2!AC6*$A$1)</f>
        <v>6057</v>
      </c>
      <c r="AD6" s="74">
        <f>INT(data2!AD6*$A$1)</f>
        <v>5655</v>
      </c>
      <c r="AE6" s="74">
        <f>INT(data2!AE6*$A$1)</f>
        <v>5778</v>
      </c>
      <c r="AF6" s="74">
        <f>INT(data2!AF6*$A$1)</f>
        <v>5450</v>
      </c>
      <c r="AG6" s="74">
        <f>INT(data2!AG6*$A$1)</f>
        <v>5925</v>
      </c>
    </row>
    <row r="7" spans="1:38" ht="20.25">
      <c r="A7" s="48" t="s">
        <v>71</v>
      </c>
      <c r="B7" s="74">
        <f>INT(data2!B7*$A$8)</f>
        <v>30671</v>
      </c>
      <c r="C7" s="74">
        <f>INT(data2!C7*$A$8)</f>
        <v>29487</v>
      </c>
      <c r="D7" s="74">
        <f>INT(data2!D7*$A$8)</f>
        <v>29885</v>
      </c>
      <c r="E7" s="74">
        <f>INT(data2!E7*$A$8)</f>
        <v>30576</v>
      </c>
      <c r="F7" s="74">
        <f>INT(data2!F7*$A$8)</f>
        <v>29125</v>
      </c>
      <c r="G7" s="74">
        <f>INT(data2!G7*$A$8)</f>
        <v>30207</v>
      </c>
      <c r="H7" s="74">
        <f>INT(data2!H7*$A$8)</f>
        <v>28321</v>
      </c>
      <c r="I7" s="74">
        <f>INT(data2!I7*$A$8)</f>
        <v>30455</v>
      </c>
      <c r="J7" s="74">
        <f>INT(data2!J7*$A$8)</f>
        <v>30735</v>
      </c>
      <c r="K7" s="74">
        <f>INT(data2!K7*$A$8)</f>
        <v>28585</v>
      </c>
      <c r="L7" s="74">
        <f>INT(data2!L7*$A$8)</f>
        <v>28234</v>
      </c>
      <c r="M7" s="74">
        <f>INT(data2!M7*$A$8)</f>
        <v>29090</v>
      </c>
      <c r="N7" s="74">
        <f>INT(data2!N7*$A$8)</f>
        <v>28054</v>
      </c>
      <c r="O7" s="74">
        <f>INT(data2!O7*$A$8)</f>
        <v>31239</v>
      </c>
      <c r="P7" s="74">
        <f>INT(data2!P7*$A$8)</f>
        <v>30440</v>
      </c>
      <c r="Q7" s="74">
        <f>INT(data2!Q7*$A$8)</f>
        <v>28929</v>
      </c>
      <c r="R7" s="74">
        <f>INT(data2!R7*$A$8)</f>
        <v>29319</v>
      </c>
      <c r="S7" s="74">
        <f>INT(data2!S7*$A$8)</f>
        <v>32391</v>
      </c>
      <c r="T7" s="74">
        <f>INT(data2!T7*$A$8)</f>
        <v>26292</v>
      </c>
      <c r="U7" s="74">
        <f>INT(data2!U7*$A$8)</f>
        <v>31264</v>
      </c>
      <c r="V7" s="74">
        <f>INT(data2!V7*$A$8)</f>
        <v>28701</v>
      </c>
      <c r="W7" s="74">
        <f>INT(data2!W7*$A$8)</f>
        <v>327670</v>
      </c>
      <c r="X7" s="74">
        <f>INT(data2!X7*$A$8)</f>
        <v>31132</v>
      </c>
      <c r="Y7" s="74">
        <f>INT(data2!Y7*$A$8)</f>
        <v>29251</v>
      </c>
      <c r="Z7" s="74">
        <f>INT(data2!Z7*$A$8)</f>
        <v>27768</v>
      </c>
      <c r="AA7" s="74">
        <f>INT(data2!AA7*$A$8)</f>
        <v>28241</v>
      </c>
      <c r="AB7" s="74">
        <f>INT(data2!AB7*$A$8)</f>
        <v>29336</v>
      </c>
      <c r="AC7" s="74">
        <f>INT(data2!AC7*$A$8)</f>
        <v>30530</v>
      </c>
      <c r="AD7" s="74">
        <f>INT(data2!AD7*$A$8)</f>
        <v>29270</v>
      </c>
      <c r="AE7" s="74">
        <f>INT(data2!AE7*$A$8)</f>
        <v>27109</v>
      </c>
      <c r="AF7" s="74">
        <f>INT(data2!AF7*$A$8)</f>
        <v>27753</v>
      </c>
      <c r="AG7" s="74">
        <f>INT(data2!AG7*$A$8)</f>
        <v>29699</v>
      </c>
      <c r="AH7" s="49"/>
      <c r="AI7" s="49"/>
      <c r="AJ7" s="49"/>
      <c r="AK7" s="49"/>
    </row>
    <row r="8" spans="1:38">
      <c r="A8" s="46">
        <f>Ncodes/RangeLo</f>
        <v>40.959375000000001</v>
      </c>
      <c r="B8" s="71"/>
      <c r="E8" s="51"/>
    </row>
    <row r="9" spans="1:38">
      <c r="B9" s="71"/>
      <c r="E9" s="51"/>
    </row>
    <row r="10" spans="1:38">
      <c r="B10" s="71"/>
      <c r="E10" s="51"/>
    </row>
    <row r="11" spans="1:38">
      <c r="B11" s="71"/>
      <c r="E11" s="51"/>
    </row>
    <row r="12" spans="1:38">
      <c r="B12" s="71"/>
    </row>
    <row r="13" spans="1:38">
      <c r="B13" s="71"/>
    </row>
  </sheetData>
  <pageMargins left="0.7" right="0.7" top="0.75" bottom="0.75" header="0.3" footer="0.3"/>
  <pageSetup paperSize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26</vt:i4>
      </vt:variant>
    </vt:vector>
  </HeadingPairs>
  <TitlesOfParts>
    <vt:vector size="39" baseType="lpstr">
      <vt:lpstr>Summary</vt:lpstr>
      <vt:lpstr>Calc-green</vt:lpstr>
      <vt:lpstr>Calc-data1</vt:lpstr>
      <vt:lpstr>CCT</vt:lpstr>
      <vt:lpstr>red</vt:lpstr>
      <vt:lpstr>green</vt:lpstr>
      <vt:lpstr>blue</vt:lpstr>
      <vt:lpstr>data0</vt:lpstr>
      <vt:lpstr>data1</vt:lpstr>
      <vt:lpstr>data2</vt:lpstr>
      <vt:lpstr>count0</vt:lpstr>
      <vt:lpstr>count1</vt:lpstr>
      <vt:lpstr>count2</vt:lpstr>
      <vt:lpstr>Alpha</vt:lpstr>
      <vt:lpstr>Beta</vt:lpstr>
      <vt:lpstr>Gamma</vt:lpstr>
      <vt:lpstr>Kbg</vt:lpstr>
      <vt:lpstr>Kbr</vt:lpstr>
      <vt:lpstr>Kgb</vt:lpstr>
      <vt:lpstr>Kgr</vt:lpstr>
      <vt:lpstr>Krb</vt:lpstr>
      <vt:lpstr>Krg</vt:lpstr>
      <vt:lpstr>LoFilterIndex</vt:lpstr>
      <vt:lpstr>Lux</vt:lpstr>
      <vt:lpstr>Ncodes</vt:lpstr>
      <vt:lpstr>blue!Print_Area</vt:lpstr>
      <vt:lpstr>CCT!Print_Area</vt:lpstr>
      <vt:lpstr>count0!Print_Area</vt:lpstr>
      <vt:lpstr>count1!Print_Area</vt:lpstr>
      <vt:lpstr>count2!Print_Area</vt:lpstr>
      <vt:lpstr>data0!Print_Area</vt:lpstr>
      <vt:lpstr>data1!Print_Area</vt:lpstr>
      <vt:lpstr>data2!Print_Area</vt:lpstr>
      <vt:lpstr>green!Print_Area</vt:lpstr>
      <vt:lpstr>red!Print_Area</vt:lpstr>
      <vt:lpstr>Summary!Print_Area</vt:lpstr>
      <vt:lpstr>RangeHi</vt:lpstr>
      <vt:lpstr>RangeLo</vt:lpstr>
      <vt:lpstr>set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2012-12-19T23:45:16Z</dcterms:modified>
</cp:coreProperties>
</file>