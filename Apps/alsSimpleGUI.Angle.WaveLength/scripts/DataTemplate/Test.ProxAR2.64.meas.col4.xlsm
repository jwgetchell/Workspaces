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filterPrivacy="1" defaultThemeVersion="124226"/>
  <bookViews>
    <workbookView xWindow="6255" yWindow="-15" windowWidth="9930" windowHeight="9015" tabRatio="682"/>
  </bookViews>
  <sheets>
    <sheet name="Summary" sheetId="2" r:id="rId1"/>
    <sheet name="Calculations" sheetId="4" r:id="rId2"/>
    <sheet name="data0" sheetId="3" r:id="rId3"/>
  </sheets>
  <definedNames>
    <definedName name="_xlnm.Print_Area" localSheetId="2">data0!$A$1:$AO$26</definedName>
    <definedName name="_xlnm.Print_Area" localSheetId="0">Summary!$A$1:$G$6</definedName>
  </definedNames>
  <calcPr calcId="125725"/>
</workbook>
</file>

<file path=xl/calcChain.xml><?xml version="1.0" encoding="utf-8"?>
<calcChain xmlns="http://schemas.openxmlformats.org/spreadsheetml/2006/main">
  <c r="P7" i="4"/>
  <c r="P21"/>
  <c r="O21"/>
  <c r="N21"/>
  <c r="M21"/>
  <c r="L21"/>
  <c r="K21"/>
  <c r="P20"/>
  <c r="O20"/>
  <c r="N20"/>
  <c r="M20"/>
  <c r="L20"/>
  <c r="K20"/>
  <c r="P19"/>
  <c r="O19"/>
  <c r="N19"/>
  <c r="M19"/>
  <c r="L19"/>
  <c r="K19"/>
  <c r="P18"/>
  <c r="O18"/>
  <c r="N18"/>
  <c r="M18"/>
  <c r="L18"/>
  <c r="K18"/>
  <c r="P17"/>
  <c r="O17"/>
  <c r="N17"/>
  <c r="M17"/>
  <c r="L17"/>
  <c r="K17"/>
  <c r="P16"/>
  <c r="O16"/>
  <c r="N16"/>
  <c r="M16"/>
  <c r="L16"/>
  <c r="K16"/>
  <c r="J21"/>
  <c r="J20"/>
  <c r="J19"/>
  <c r="J18"/>
  <c r="J17"/>
  <c r="J16"/>
  <c r="O15"/>
  <c r="N15"/>
  <c r="M15"/>
  <c r="L15"/>
  <c r="O14"/>
  <c r="N14"/>
  <c r="M14"/>
  <c r="L14"/>
  <c r="O10"/>
  <c r="O11" s="1"/>
  <c r="N10"/>
  <c r="N11" s="1"/>
  <c r="M10"/>
  <c r="M11" s="1"/>
  <c r="L10"/>
  <c r="L11" s="1"/>
  <c r="P9"/>
  <c r="O9"/>
  <c r="N9"/>
  <c r="M9"/>
  <c r="L9"/>
  <c r="K9"/>
  <c r="J9"/>
  <c r="P8"/>
  <c r="O8"/>
  <c r="N8"/>
  <c r="M8"/>
  <c r="L8"/>
  <c r="K8"/>
  <c r="J8"/>
  <c r="O7"/>
  <c r="N7"/>
  <c r="M7"/>
  <c r="L7"/>
  <c r="K7"/>
  <c r="J7"/>
  <c r="P6"/>
  <c r="O6"/>
  <c r="N6"/>
  <c r="M6"/>
  <c r="L6"/>
  <c r="K6"/>
  <c r="J6"/>
  <c r="P5"/>
  <c r="O5"/>
  <c r="N5"/>
  <c r="M5"/>
  <c r="L5"/>
  <c r="K5"/>
  <c r="J5"/>
  <c r="P4"/>
  <c r="O4"/>
  <c r="N4"/>
  <c r="M4"/>
  <c r="L4"/>
  <c r="K4"/>
  <c r="J4"/>
  <c r="O3"/>
  <c r="N3"/>
  <c r="M3"/>
  <c r="L3"/>
  <c r="O2"/>
  <c r="N2"/>
  <c r="M2"/>
  <c r="L2"/>
  <c r="K107" l="1"/>
  <c r="J107"/>
  <c r="I107"/>
  <c r="K106"/>
  <c r="J106"/>
  <c r="I106"/>
  <c r="K105"/>
  <c r="J105"/>
  <c r="I105"/>
  <c r="K104"/>
  <c r="J104"/>
  <c r="I104"/>
  <c r="K103"/>
  <c r="J103"/>
  <c r="I103"/>
  <c r="K102"/>
  <c r="J102"/>
  <c r="I102"/>
  <c r="K101"/>
  <c r="J101"/>
  <c r="I101"/>
  <c r="K100"/>
  <c r="J100"/>
  <c r="I100"/>
  <c r="K99"/>
  <c r="J99"/>
  <c r="I99"/>
  <c r="K98"/>
  <c r="J98"/>
  <c r="I98"/>
  <c r="K97"/>
  <c r="J97"/>
  <c r="I97"/>
  <c r="K96"/>
  <c r="J96"/>
  <c r="I96"/>
  <c r="K95"/>
  <c r="J95"/>
  <c r="I95"/>
  <c r="K94"/>
  <c r="J94"/>
  <c r="I94"/>
  <c r="K93"/>
  <c r="J93"/>
  <c r="I93"/>
  <c r="K92"/>
  <c r="J92"/>
  <c r="I92"/>
  <c r="K91"/>
  <c r="J91"/>
  <c r="I91"/>
  <c r="K90"/>
  <c r="J90"/>
  <c r="I90"/>
  <c r="K89"/>
  <c r="J89"/>
  <c r="I89"/>
  <c r="K88"/>
  <c r="J88"/>
  <c r="I88"/>
  <c r="K87"/>
  <c r="J87"/>
  <c r="I87"/>
  <c r="K86"/>
  <c r="J86"/>
  <c r="I86"/>
  <c r="K85"/>
  <c r="J85"/>
  <c r="I85"/>
  <c r="K84"/>
  <c r="J84"/>
  <c r="I84"/>
  <c r="K83"/>
  <c r="J83"/>
  <c r="I83"/>
  <c r="K82"/>
  <c r="J82"/>
  <c r="I82"/>
  <c r="K81"/>
  <c r="J81"/>
  <c r="I81"/>
  <c r="K80"/>
  <c r="J80"/>
  <c r="I80"/>
  <c r="K79"/>
  <c r="J79"/>
  <c r="I79"/>
  <c r="K78"/>
  <c r="J78"/>
  <c r="I78"/>
  <c r="K77"/>
  <c r="J77"/>
  <c r="I77"/>
  <c r="K76"/>
  <c r="J76"/>
  <c r="I76"/>
  <c r="K75"/>
  <c r="J75"/>
  <c r="I75"/>
  <c r="K74"/>
  <c r="J74"/>
  <c r="I74"/>
  <c r="K73"/>
  <c r="J73"/>
  <c r="I73"/>
  <c r="K72"/>
  <c r="J72"/>
  <c r="I72"/>
  <c r="K71"/>
  <c r="J71"/>
  <c r="I71"/>
  <c r="K70"/>
  <c r="J70"/>
  <c r="I70"/>
  <c r="K69"/>
  <c r="J69"/>
  <c r="I69"/>
  <c r="K68"/>
  <c r="J68"/>
  <c r="I68"/>
  <c r="K67"/>
  <c r="J67"/>
  <c r="I67"/>
  <c r="K66"/>
  <c r="J66"/>
  <c r="I66"/>
  <c r="K65"/>
  <c r="J65"/>
  <c r="I65"/>
  <c r="K64"/>
  <c r="J64"/>
  <c r="I64"/>
  <c r="K63"/>
  <c r="J63"/>
  <c r="I63"/>
  <c r="K62"/>
  <c r="J62"/>
  <c r="I62"/>
  <c r="K61"/>
  <c r="J61"/>
  <c r="I61"/>
  <c r="K60"/>
  <c r="J60"/>
  <c r="I60"/>
  <c r="K59"/>
  <c r="K122" s="1"/>
  <c r="J59"/>
  <c r="J122" s="1"/>
  <c r="I59"/>
  <c r="I122" s="1"/>
  <c r="K58"/>
  <c r="K120" s="1"/>
  <c r="J58"/>
  <c r="J120" s="1"/>
  <c r="I58"/>
  <c r="I120" s="1"/>
  <c r="K57"/>
  <c r="K118" s="1"/>
  <c r="J57"/>
  <c r="J118" s="1"/>
  <c r="I57"/>
  <c r="I118" s="1"/>
  <c r="K56"/>
  <c r="K116" s="1"/>
  <c r="J56"/>
  <c r="J116" s="1"/>
  <c r="I56"/>
  <c r="I116" s="1"/>
  <c r="K55"/>
  <c r="K114" s="1"/>
  <c r="J55"/>
  <c r="J114" s="1"/>
  <c r="I55"/>
  <c r="I114" s="1"/>
  <c r="K54"/>
  <c r="K112" s="1"/>
  <c r="J54"/>
  <c r="J112" s="1"/>
  <c r="I54"/>
  <c r="I112" s="1"/>
  <c r="K53"/>
  <c r="K110" s="1"/>
  <c r="J53"/>
  <c r="J110" s="1"/>
  <c r="I53"/>
  <c r="I110" s="1"/>
  <c r="K52"/>
  <c r="J52"/>
  <c r="I52"/>
  <c r="D114"/>
  <c r="D116" s="1"/>
  <c r="D118" s="1"/>
  <c r="D120" s="1"/>
  <c r="D122" s="1"/>
  <c r="D113"/>
  <c r="D115" s="1"/>
  <c r="D117" s="1"/>
  <c r="D119" s="1"/>
  <c r="D121" s="1"/>
  <c r="D123" s="1"/>
  <c r="D112"/>
  <c r="C122"/>
  <c r="C120"/>
  <c r="C118"/>
  <c r="C116"/>
  <c r="C114"/>
  <c r="C112"/>
  <c r="C110"/>
  <c r="I111" l="1"/>
  <c r="K111"/>
  <c r="J113"/>
  <c r="I115"/>
  <c r="K115"/>
  <c r="J117"/>
  <c r="I119"/>
  <c r="K119"/>
  <c r="J121"/>
  <c r="I123"/>
  <c r="K123"/>
  <c r="J111"/>
  <c r="I113"/>
  <c r="K113"/>
  <c r="J115"/>
  <c r="I117"/>
  <c r="K117"/>
  <c r="J119"/>
  <c r="I121"/>
  <c r="K121"/>
  <c r="J123"/>
  <c r="H107"/>
  <c r="G107"/>
  <c r="F107"/>
  <c r="E107"/>
  <c r="H106"/>
  <c r="G106"/>
  <c r="E106"/>
  <c r="H105"/>
  <c r="G105"/>
  <c r="F105" s="1"/>
  <c r="E105"/>
  <c r="H104"/>
  <c r="G104"/>
  <c r="E104" s="1"/>
  <c r="H103"/>
  <c r="G103"/>
  <c r="F103"/>
  <c r="E103"/>
  <c r="H102"/>
  <c r="G102"/>
  <c r="E102"/>
  <c r="D102"/>
  <c r="D103" s="1"/>
  <c r="D104" s="1"/>
  <c r="D105" s="1"/>
  <c r="D106" s="1"/>
  <c r="D107" s="1"/>
  <c r="H101"/>
  <c r="G101"/>
  <c r="E101"/>
  <c r="H100"/>
  <c r="G100"/>
  <c r="F100" s="1"/>
  <c r="G9" s="1"/>
  <c r="H99"/>
  <c r="G99"/>
  <c r="E99"/>
  <c r="H98"/>
  <c r="G98"/>
  <c r="F98" s="1"/>
  <c r="H97"/>
  <c r="G97"/>
  <c r="F97" s="1"/>
  <c r="H96"/>
  <c r="G96"/>
  <c r="H95"/>
  <c r="E95" s="1"/>
  <c r="G95"/>
  <c r="F95"/>
  <c r="H94"/>
  <c r="G94"/>
  <c r="E94" s="1"/>
  <c r="D94"/>
  <c r="D95" s="1"/>
  <c r="D96" s="1"/>
  <c r="D97" s="1"/>
  <c r="D98" s="1"/>
  <c r="D99" s="1"/>
  <c r="H93"/>
  <c r="G93"/>
  <c r="F93" s="1"/>
  <c r="H92"/>
  <c r="G92"/>
  <c r="H91"/>
  <c r="G91"/>
  <c r="H90"/>
  <c r="G90"/>
  <c r="F90" s="1"/>
  <c r="H89"/>
  <c r="G89"/>
  <c r="E89" s="1"/>
  <c r="H88"/>
  <c r="G88"/>
  <c r="H87"/>
  <c r="G87"/>
  <c r="E87" s="1"/>
  <c r="H86"/>
  <c r="G86"/>
  <c r="F86" s="1"/>
  <c r="D86"/>
  <c r="D87" s="1"/>
  <c r="D88" s="1"/>
  <c r="D89" s="1"/>
  <c r="D90" s="1"/>
  <c r="D91" s="1"/>
  <c r="H85"/>
  <c r="G85"/>
  <c r="H84"/>
  <c r="G84"/>
  <c r="E84"/>
  <c r="F7" s="1"/>
  <c r="H83"/>
  <c r="G83"/>
  <c r="F83" s="1"/>
  <c r="H82"/>
  <c r="G82"/>
  <c r="E82" s="1"/>
  <c r="H81"/>
  <c r="G81"/>
  <c r="H80"/>
  <c r="G80"/>
  <c r="E80" s="1"/>
  <c r="H79"/>
  <c r="G79"/>
  <c r="F79" s="1"/>
  <c r="H78"/>
  <c r="G78"/>
  <c r="E78" s="1"/>
  <c r="D78"/>
  <c r="D79" s="1"/>
  <c r="D80" s="1"/>
  <c r="D81" s="1"/>
  <c r="D82" s="1"/>
  <c r="D83" s="1"/>
  <c r="H77"/>
  <c r="G77"/>
  <c r="H76"/>
  <c r="E76" s="1"/>
  <c r="F6" s="1"/>
  <c r="G76"/>
  <c r="F76"/>
  <c r="G6" s="1"/>
  <c r="D68"/>
  <c r="D76" s="1"/>
  <c r="D84" s="1"/>
  <c r="D92" s="1"/>
  <c r="D60"/>
  <c r="H75"/>
  <c r="G75"/>
  <c r="E75" s="1"/>
  <c r="H74"/>
  <c r="G74"/>
  <c r="H73"/>
  <c r="G73"/>
  <c r="H72"/>
  <c r="G72"/>
  <c r="H71"/>
  <c r="G71"/>
  <c r="H70"/>
  <c r="G70"/>
  <c r="D70"/>
  <c r="D71" s="1"/>
  <c r="D72" s="1"/>
  <c r="D73" s="1"/>
  <c r="D74" s="1"/>
  <c r="D75" s="1"/>
  <c r="H69"/>
  <c r="G69"/>
  <c r="F69" s="1"/>
  <c r="H68"/>
  <c r="G68"/>
  <c r="E68" s="1"/>
  <c r="F5" s="1"/>
  <c r="H67"/>
  <c r="G67"/>
  <c r="H66"/>
  <c r="G66"/>
  <c r="H65"/>
  <c r="G65"/>
  <c r="F65" s="1"/>
  <c r="H64"/>
  <c r="G64"/>
  <c r="H63"/>
  <c r="G63"/>
  <c r="H62"/>
  <c r="G62"/>
  <c r="D62"/>
  <c r="D63" s="1"/>
  <c r="D64" s="1"/>
  <c r="D65" s="1"/>
  <c r="D66" s="1"/>
  <c r="D67" s="1"/>
  <c r="H61"/>
  <c r="G61"/>
  <c r="F61" s="1"/>
  <c r="H60"/>
  <c r="G60"/>
  <c r="H59"/>
  <c r="H122" s="1"/>
  <c r="H123" s="1"/>
  <c r="H58"/>
  <c r="H120" s="1"/>
  <c r="H121" s="1"/>
  <c r="H57"/>
  <c r="H118" s="1"/>
  <c r="H119" s="1"/>
  <c r="H56"/>
  <c r="H116" s="1"/>
  <c r="H117" s="1"/>
  <c r="H55"/>
  <c r="H114" s="1"/>
  <c r="H115" s="1"/>
  <c r="H54"/>
  <c r="H112" s="1"/>
  <c r="H113" s="1"/>
  <c r="H53"/>
  <c r="H110" s="1"/>
  <c r="H111" s="1"/>
  <c r="H52"/>
  <c r="G59"/>
  <c r="G58"/>
  <c r="G120" s="1"/>
  <c r="F120" s="1"/>
  <c r="G57"/>
  <c r="G56"/>
  <c r="G55"/>
  <c r="G54"/>
  <c r="G112" s="1"/>
  <c r="F112" s="1"/>
  <c r="F59"/>
  <c r="F58"/>
  <c r="E58"/>
  <c r="F56"/>
  <c r="E55"/>
  <c r="F54"/>
  <c r="E54"/>
  <c r="D54"/>
  <c r="D55" s="1"/>
  <c r="D56" s="1"/>
  <c r="D57" s="1"/>
  <c r="D58" s="1"/>
  <c r="D59" s="1"/>
  <c r="F55" l="1"/>
  <c r="G114"/>
  <c r="E57"/>
  <c r="G118"/>
  <c r="E59"/>
  <c r="G122"/>
  <c r="F101"/>
  <c r="F102"/>
  <c r="G113"/>
  <c r="F106"/>
  <c r="G121"/>
  <c r="E62"/>
  <c r="E64"/>
  <c r="E65"/>
  <c r="F73"/>
  <c r="F74"/>
  <c r="F77"/>
  <c r="E83"/>
  <c r="F92"/>
  <c r="G8" s="1"/>
  <c r="E93"/>
  <c r="F96"/>
  <c r="E97"/>
  <c r="F99"/>
  <c r="E100"/>
  <c r="F9" s="1"/>
  <c r="G115"/>
  <c r="G123"/>
  <c r="E120"/>
  <c r="E112"/>
  <c r="E56"/>
  <c r="G116"/>
  <c r="F104"/>
  <c r="G117"/>
  <c r="G119"/>
  <c r="F60"/>
  <c r="G4" s="1"/>
  <c r="E61"/>
  <c r="F67"/>
  <c r="F71"/>
  <c r="F72"/>
  <c r="E73"/>
  <c r="F75"/>
  <c r="E77"/>
  <c r="F81"/>
  <c r="F85"/>
  <c r="F88"/>
  <c r="E91"/>
  <c r="E92"/>
  <c r="F8" s="1"/>
  <c r="F94"/>
  <c r="E96"/>
  <c r="E98"/>
  <c r="F57"/>
  <c r="E60"/>
  <c r="F4" s="1"/>
  <c r="F63"/>
  <c r="F66"/>
  <c r="E67"/>
  <c r="F68"/>
  <c r="G5" s="1"/>
  <c r="E69"/>
  <c r="F70"/>
  <c r="E71"/>
  <c r="E74"/>
  <c r="F78"/>
  <c r="E79"/>
  <c r="F80"/>
  <c r="E81"/>
  <c r="F82"/>
  <c r="F84"/>
  <c r="G7" s="1"/>
  <c r="E85"/>
  <c r="E86"/>
  <c r="F87"/>
  <c r="E88"/>
  <c r="F89"/>
  <c r="E90"/>
  <c r="F91"/>
  <c r="F62"/>
  <c r="E63"/>
  <c r="F64"/>
  <c r="E66"/>
  <c r="E70"/>
  <c r="E72"/>
  <c r="E117" l="1"/>
  <c r="F117"/>
  <c r="F116"/>
  <c r="E116"/>
  <c r="E123"/>
  <c r="F123"/>
  <c r="E119"/>
  <c r="F119"/>
  <c r="E115"/>
  <c r="F115"/>
  <c r="E121"/>
  <c r="F121"/>
  <c r="E113"/>
  <c r="F113"/>
  <c r="E122"/>
  <c r="F122"/>
  <c r="E118"/>
  <c r="F118"/>
  <c r="E114"/>
  <c r="F114"/>
  <c r="D65" i="3" l="1"/>
  <c r="D58"/>
  <c r="D17"/>
  <c r="D25" s="1"/>
  <c r="D33" s="1"/>
  <c r="D41" s="1"/>
  <c r="D49" s="1"/>
  <c r="D57" s="1"/>
  <c r="D16"/>
  <c r="D24" s="1"/>
  <c r="D32" s="1"/>
  <c r="D40" s="1"/>
  <c r="D48" s="1"/>
  <c r="D56" s="1"/>
  <c r="D64" s="1"/>
  <c r="D15"/>
  <c r="D23" s="1"/>
  <c r="D31" s="1"/>
  <c r="D39" s="1"/>
  <c r="D47" s="1"/>
  <c r="D55" s="1"/>
  <c r="D63" s="1"/>
  <c r="D14"/>
  <c r="D22" s="1"/>
  <c r="D30" s="1"/>
  <c r="D38" s="1"/>
  <c r="D46" s="1"/>
  <c r="D54" s="1"/>
  <c r="D62" s="1"/>
  <c r="D13"/>
  <c r="D21" s="1"/>
  <c r="D29" s="1"/>
  <c r="D37" s="1"/>
  <c r="D45" s="1"/>
  <c r="C14" i="4"/>
  <c r="D12" i="3"/>
  <c r="D20" s="1"/>
  <c r="D28" s="1"/>
  <c r="D36" s="1"/>
  <c r="D44" s="1"/>
  <c r="D53" s="1"/>
  <c r="D61" s="1"/>
  <c r="D11"/>
  <c r="D19" s="1"/>
  <c r="D27" s="1"/>
  <c r="D35" s="1"/>
  <c r="D43" s="1"/>
  <c r="D52" s="1"/>
  <c r="D60" s="1"/>
  <c r="G53" i="4"/>
  <c r="G110" s="1"/>
  <c r="G111" s="1"/>
  <c r="G52"/>
  <c r="F111" l="1"/>
  <c r="E111"/>
  <c r="C6" i="2"/>
  <c r="C8" s="1"/>
  <c r="C5"/>
  <c r="C7" s="1"/>
  <c r="G4"/>
  <c r="G5" s="1"/>
  <c r="G6" s="1"/>
  <c r="G7" s="1"/>
  <c r="G8" s="1"/>
  <c r="A4"/>
  <c r="A5" s="1"/>
  <c r="A6" s="1"/>
  <c r="A7" s="1"/>
  <c r="A8" s="1"/>
  <c r="Y14" i="4"/>
  <c r="Y15" s="1"/>
  <c r="Y16" s="1"/>
  <c r="Y17" s="1"/>
  <c r="Y18" s="1"/>
  <c r="U16"/>
  <c r="U18" s="1"/>
  <c r="U15"/>
  <c r="U17" s="1"/>
  <c r="S14"/>
  <c r="S15" s="1"/>
  <c r="S16" s="1"/>
  <c r="S17" s="1"/>
  <c r="S18" s="1"/>
  <c r="C30" i="2"/>
  <c r="T24" i="4"/>
  <c r="U24" s="1"/>
  <c r="V24" s="1"/>
  <c r="W24" s="1"/>
  <c r="X24" s="1"/>
  <c r="Y24" s="1"/>
  <c r="Z24" s="1"/>
  <c r="AA24" s="1"/>
  <c r="AB24" s="1"/>
  <c r="S23"/>
  <c r="T2"/>
  <c r="U2" s="1"/>
  <c r="V2" s="1"/>
  <c r="W2" s="1"/>
  <c r="X2" s="1"/>
  <c r="Y2" s="1"/>
  <c r="Z2" s="1"/>
  <c r="AA2" s="1"/>
  <c r="AB2" s="1"/>
  <c r="S1"/>
  <c r="I35"/>
  <c r="I23"/>
  <c r="E110" l="1"/>
  <c r="I14"/>
  <c r="P2"/>
  <c r="K2"/>
  <c r="J2"/>
  <c r="J24" s="1"/>
  <c r="I8"/>
  <c r="E52"/>
  <c r="F3" s="1"/>
  <c r="I3" s="1"/>
  <c r="G51"/>
  <c r="D51"/>
  <c r="AA7" l="1"/>
  <c r="I9"/>
  <c r="I21" s="1"/>
  <c r="I4"/>
  <c r="J27"/>
  <c r="U27" s="1"/>
  <c r="K27"/>
  <c r="X27" s="1"/>
  <c r="X1"/>
  <c r="T15"/>
  <c r="B5" i="2" s="1"/>
  <c r="E53" i="4"/>
  <c r="I15"/>
  <c r="S3"/>
  <c r="U23"/>
  <c r="T13"/>
  <c r="B3" i="2" s="1"/>
  <c r="U1" i="4"/>
  <c r="T17"/>
  <c r="B7" i="2" s="1"/>
  <c r="AA1" i="4"/>
  <c r="P24"/>
  <c r="AA23" s="1"/>
  <c r="P14"/>
  <c r="P36" s="1"/>
  <c r="K24"/>
  <c r="X23" s="1"/>
  <c r="K14"/>
  <c r="K36" s="1"/>
  <c r="Q36"/>
  <c r="J14"/>
  <c r="J36" s="1"/>
  <c r="J26"/>
  <c r="J31"/>
  <c r="U31" s="1"/>
  <c r="F52"/>
  <c r="G3" s="1"/>
  <c r="Q42"/>
  <c r="J43"/>
  <c r="Q43"/>
  <c r="F53"/>
  <c r="F1" i="3"/>
  <c r="S9" i="4" l="1"/>
  <c r="J15"/>
  <c r="J37" s="1"/>
  <c r="K43"/>
  <c r="P42"/>
  <c r="J42"/>
  <c r="P40"/>
  <c r="K41"/>
  <c r="J40"/>
  <c r="P39"/>
  <c r="Q37"/>
  <c r="K15"/>
  <c r="K37" s="1"/>
  <c r="P3"/>
  <c r="AA3" s="1"/>
  <c r="K3"/>
  <c r="X3" s="1"/>
  <c r="Y3" s="1"/>
  <c r="K30"/>
  <c r="X30" s="1"/>
  <c r="X6"/>
  <c r="X5"/>
  <c r="Y5" s="1"/>
  <c r="I6"/>
  <c r="I18" s="1"/>
  <c r="I28" s="1"/>
  <c r="I40" s="1"/>
  <c r="P29"/>
  <c r="AA29" s="1"/>
  <c r="P28"/>
  <c r="AA28" s="1"/>
  <c r="X7"/>
  <c r="J28"/>
  <c r="U28" s="1"/>
  <c r="I5"/>
  <c r="P43"/>
  <c r="Q41"/>
  <c r="K42"/>
  <c r="Q40"/>
  <c r="P41"/>
  <c r="J41"/>
  <c r="Q39"/>
  <c r="K40"/>
  <c r="K39"/>
  <c r="Y27" s="1"/>
  <c r="P38"/>
  <c r="J38"/>
  <c r="K38"/>
  <c r="P15"/>
  <c r="P37" s="1"/>
  <c r="I31"/>
  <c r="S31" s="1"/>
  <c r="I25"/>
  <c r="S25" s="1"/>
  <c r="J3"/>
  <c r="J25" s="1"/>
  <c r="U25" s="1"/>
  <c r="Q38"/>
  <c r="J39"/>
  <c r="P26"/>
  <c r="AA26" s="1"/>
  <c r="J30"/>
  <c r="U30" s="1"/>
  <c r="I7"/>
  <c r="U5"/>
  <c r="P27"/>
  <c r="AA27" s="1"/>
  <c r="U26"/>
  <c r="K26"/>
  <c r="X26" s="1"/>
  <c r="U9"/>
  <c r="T9" s="1"/>
  <c r="U4"/>
  <c r="V4" s="1"/>
  <c r="AA6"/>
  <c r="AB6" s="1"/>
  <c r="K28"/>
  <c r="X28" s="1"/>
  <c r="T31"/>
  <c r="G1" i="3"/>
  <c r="H51" i="4"/>
  <c r="I20"/>
  <c r="I30" s="1"/>
  <c r="I42" s="1"/>
  <c r="S8"/>
  <c r="I16"/>
  <c r="S4"/>
  <c r="V31"/>
  <c r="Z7"/>
  <c r="F110"/>
  <c r="I37" l="1"/>
  <c r="K25"/>
  <c r="X25" s="1"/>
  <c r="W25" s="1"/>
  <c r="W5"/>
  <c r="Z6"/>
  <c r="U6"/>
  <c r="T6" s="1"/>
  <c r="AA4"/>
  <c r="AB4" s="1"/>
  <c r="V5"/>
  <c r="S6"/>
  <c r="K29"/>
  <c r="X29" s="1"/>
  <c r="Y29" s="1"/>
  <c r="Y28"/>
  <c r="S30"/>
  <c r="T4"/>
  <c r="AB7"/>
  <c r="I43"/>
  <c r="X4"/>
  <c r="Y4" s="1"/>
  <c r="AA5"/>
  <c r="Z5" s="1"/>
  <c r="X8"/>
  <c r="T5"/>
  <c r="U3"/>
  <c r="T3" s="1"/>
  <c r="AB28"/>
  <c r="W6"/>
  <c r="V26"/>
  <c r="W4"/>
  <c r="Z4"/>
  <c r="V9"/>
  <c r="Z28"/>
  <c r="V6"/>
  <c r="W27"/>
  <c r="V3"/>
  <c r="P10"/>
  <c r="P32" s="1"/>
  <c r="P25"/>
  <c r="AA25" s="1"/>
  <c r="AB25" s="1"/>
  <c r="J10"/>
  <c r="J11" s="1"/>
  <c r="J33" s="1"/>
  <c r="W28"/>
  <c r="T26"/>
  <c r="Z29"/>
  <c r="W30"/>
  <c r="Y26"/>
  <c r="W26"/>
  <c r="AB27"/>
  <c r="Z27"/>
  <c r="AB26"/>
  <c r="Z26"/>
  <c r="Z3"/>
  <c r="AB3"/>
  <c r="T30"/>
  <c r="V30"/>
  <c r="T27"/>
  <c r="V27"/>
  <c r="Y7"/>
  <c r="W7"/>
  <c r="U8"/>
  <c r="AB29"/>
  <c r="Y6"/>
  <c r="V25"/>
  <c r="Y25"/>
  <c r="V28"/>
  <c r="I26"/>
  <c r="S26" s="1"/>
  <c r="I19"/>
  <c r="I29" s="1"/>
  <c r="S7"/>
  <c r="K31"/>
  <c r="X31" s="1"/>
  <c r="X9"/>
  <c r="I17"/>
  <c r="I27" s="1"/>
  <c r="S5"/>
  <c r="P30"/>
  <c r="AA30" s="1"/>
  <c r="AA8"/>
  <c r="J29"/>
  <c r="U29" s="1"/>
  <c r="U7"/>
  <c r="P31"/>
  <c r="AA31" s="1"/>
  <c r="AA9"/>
  <c r="Y30"/>
  <c r="T28"/>
  <c r="W29"/>
  <c r="W3"/>
  <c r="K10"/>
  <c r="S28"/>
  <c r="T25"/>
  <c r="H1" i="3"/>
  <c r="I51" i="4"/>
  <c r="X15"/>
  <c r="F5" i="2" s="1"/>
  <c r="V15" i="4"/>
  <c r="D5" i="2" s="1"/>
  <c r="W15" i="4"/>
  <c r="E5" i="2" s="1"/>
  <c r="X17" i="4"/>
  <c r="V17"/>
  <c r="W17"/>
  <c r="V13"/>
  <c r="D3" i="2" s="1"/>
  <c r="W13" i="4"/>
  <c r="E3" i="2" s="1"/>
  <c r="X13" i="4"/>
  <c r="F3" i="2" s="1"/>
  <c r="J32" i="4" l="1"/>
  <c r="Z25"/>
  <c r="W8"/>
  <c r="Y8"/>
  <c r="AB5"/>
  <c r="P11"/>
  <c r="P33" s="1"/>
  <c r="T8"/>
  <c r="V8"/>
  <c r="K11"/>
  <c r="K33" s="1"/>
  <c r="K32"/>
  <c r="AB31"/>
  <c r="Z31"/>
  <c r="T29"/>
  <c r="V29"/>
  <c r="AB30"/>
  <c r="Z30"/>
  <c r="S27"/>
  <c r="I39"/>
  <c r="Y31"/>
  <c r="W31"/>
  <c r="S29"/>
  <c r="I41"/>
  <c r="I38"/>
  <c r="Z9"/>
  <c r="AB9"/>
  <c r="T7"/>
  <c r="V7"/>
  <c r="Z8"/>
  <c r="AB8"/>
  <c r="Y9"/>
  <c r="W9"/>
  <c r="I1" i="3"/>
  <c r="J51" i="4"/>
  <c r="W16"/>
  <c r="E6" i="2" s="1"/>
  <c r="X16" i="4"/>
  <c r="F6" i="2" s="1"/>
  <c r="V16" i="4"/>
  <c r="D6" i="2" s="1"/>
  <c r="W14" i="4"/>
  <c r="E4" i="2" s="1"/>
  <c r="X14" i="4"/>
  <c r="F4" i="2" s="1"/>
  <c r="V14" i="4"/>
  <c r="D4" i="2" s="1"/>
  <c r="W18" i="4"/>
  <c r="E8" i="2" s="1"/>
  <c r="X18" i="4"/>
  <c r="F8" i="2" s="1"/>
  <c r="V18" i="4"/>
  <c r="D8" i="2" s="1"/>
  <c r="F7"/>
  <c r="D7"/>
  <c r="E7"/>
  <c r="J1" i="3" l="1"/>
  <c r="K51" i="4"/>
  <c r="K1" i="3" l="1"/>
  <c r="P51" i="4"/>
  <c r="L1" i="3" l="1"/>
  <c r="Q51" i="4"/>
  <c r="M1" i="3" l="1"/>
  <c r="R51" i="4"/>
  <c r="N1" i="3" l="1"/>
  <c r="S51" i="4"/>
  <c r="O1" i="3" l="1"/>
  <c r="T51" i="4"/>
  <c r="P1" i="3" l="1"/>
  <c r="U51" i="4"/>
  <c r="Q1" i="3" l="1"/>
  <c r="V51" i="4"/>
  <c r="R1" i="3" l="1"/>
  <c r="W51" i="4"/>
  <c r="S1" i="3" l="1"/>
  <c r="X51" i="4"/>
  <c r="T1" i="3" l="1"/>
  <c r="Y51" i="4"/>
  <c r="U1" i="3" l="1"/>
  <c r="Z51" i="4"/>
  <c r="V1" i="3" l="1"/>
  <c r="AA51" i="4"/>
  <c r="W1" i="3" l="1"/>
  <c r="AB51" i="4"/>
  <c r="X1" i="3" l="1"/>
  <c r="AC51" i="4"/>
  <c r="Y1" i="3" l="1"/>
  <c r="AD51" i="4"/>
  <c r="Z1" i="3" l="1"/>
  <c r="AE51" i="4"/>
  <c r="AA1" i="3" l="1"/>
  <c r="AF51" i="4"/>
  <c r="AB1" i="3" l="1"/>
  <c r="AG51" i="4"/>
  <c r="AC1" i="3" l="1"/>
  <c r="AH51" i="4"/>
  <c r="AD1" i="3" l="1"/>
  <c r="AI51" i="4"/>
  <c r="AE1" i="3" l="1"/>
  <c r="AJ51" i="4"/>
  <c r="AF1" i="3" l="1"/>
  <c r="AK51" i="4"/>
  <c r="AG1" i="3" l="1"/>
  <c r="AL51" i="4"/>
  <c r="AH1" i="3" l="1"/>
  <c r="AM51" i="4"/>
  <c r="AI1" i="3" l="1"/>
  <c r="AN51" i="4"/>
  <c r="AJ1" i="3" l="1"/>
  <c r="AP51" i="4" s="1"/>
  <c r="AO51"/>
</calcChain>
</file>

<file path=xl/sharedStrings.xml><?xml version="1.0" encoding="utf-8"?>
<sst xmlns="http://schemas.openxmlformats.org/spreadsheetml/2006/main" count="60" uniqueCount="37">
  <si>
    <t>#</t>
  </si>
  <si>
    <t>Label</t>
  </si>
  <si>
    <t>%FSR</t>
  </si>
  <si>
    <t>Unit</t>
  </si>
  <si>
    <t>Measurements</t>
  </si>
  <si>
    <r>
      <t>6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Min</t>
    </r>
  </si>
  <si>
    <r>
      <t>6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Max</t>
    </r>
  </si>
  <si>
    <t>Mean</t>
  </si>
  <si>
    <t>FW</t>
  </si>
  <si>
    <t>Offset</t>
  </si>
  <si>
    <t>Delta</t>
  </si>
  <si>
    <t>IR</t>
  </si>
  <si>
    <t>Note: test time ~4min/unit; 3hrs/lot; 30min/sample</t>
  </si>
  <si>
    <t>#/samples=</t>
  </si>
  <si>
    <t>StDev</t>
  </si>
  <si>
    <t>Level</t>
  </si>
  <si>
    <t>Rise</t>
  </si>
  <si>
    <t>Droop</t>
  </si>
  <si>
    <t>Dynamic Range</t>
  </si>
  <si>
    <t>kLux</t>
  </si>
  <si>
    <t>Solar kLux</t>
  </si>
  <si>
    <t>Graph Sigma</t>
  </si>
  <si>
    <t>50%-3s</t>
  </si>
  <si>
    <t>50%+3s</t>
  </si>
  <si>
    <t>128-3s</t>
  </si>
  <si>
    <t>128+3s</t>
  </si>
  <si>
    <t>#/samples</t>
  </si>
  <si>
    <t>Proximity Ambient Rejection C2</t>
  </si>
  <si>
    <t>Proximity Ambient Rejection Constant IR Power: C2</t>
  </si>
  <si>
    <t>20%-3s</t>
  </si>
  <si>
    <t>20%+3s</t>
  </si>
  <si>
    <t>25%-3s</t>
  </si>
  <si>
    <t>25%+3s</t>
  </si>
  <si>
    <t>64-3s</t>
  </si>
  <si>
    <t>64+3s</t>
  </si>
  <si>
    <t>51-3s</t>
  </si>
  <si>
    <t>51+3s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</si>
</sst>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0.0%"/>
    <numFmt numFmtId="166" formatCode="0.000%"/>
    <numFmt numFmtId="167" formatCode="0.0"/>
  </numFmts>
  <fonts count="3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0" xfId="0" applyFont="1" applyAlignment="1">
      <alignment horizontal="left"/>
    </xf>
    <xf numFmtId="0" fontId="0" fillId="2" borderId="1" xfId="0" applyFill="1" applyBorder="1" applyAlignment="1">
      <alignment horizontal="right"/>
    </xf>
    <xf numFmtId="2" fontId="0" fillId="2" borderId="1" xfId="0" applyNumberFormat="1" applyFill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/>
    <xf numFmtId="164" fontId="0" fillId="0" borderId="0" xfId="0" applyNumberFormat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166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Border="1" applyAlignment="1">
      <alignment horizont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/>
    <xf numFmtId="0" fontId="0" fillId="0" borderId="9" xfId="0" applyBorder="1" applyAlignment="1">
      <alignment horizontal="left"/>
    </xf>
    <xf numFmtId="0" fontId="0" fillId="0" borderId="9" xfId="0" applyBorder="1"/>
    <xf numFmtId="0" fontId="0" fillId="0" borderId="10" xfId="0" applyBorder="1"/>
    <xf numFmtId="0" fontId="0" fillId="0" borderId="0" xfId="0" applyAlignment="1">
      <alignment horizontal="center" vertical="top"/>
    </xf>
    <xf numFmtId="2" fontId="0" fillId="0" borderId="0" xfId="0" applyNumberFormat="1"/>
    <xf numFmtId="2" fontId="0" fillId="0" borderId="0" xfId="0" applyNumberFormat="1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0" xfId="0" applyAlignment="1">
      <alignment vertical="top"/>
    </xf>
    <xf numFmtId="9" fontId="0" fillId="0" borderId="0" xfId="0" applyNumberFormat="1" applyBorder="1" applyAlignment="1">
      <alignment vertical="top"/>
    </xf>
    <xf numFmtId="0" fontId="0" fillId="0" borderId="5" xfId="0" quotePrefix="1" applyBorder="1" applyAlignment="1">
      <alignment horizontal="center"/>
    </xf>
    <xf numFmtId="9" fontId="0" fillId="0" borderId="6" xfId="0" applyNumberFormat="1" applyBorder="1"/>
    <xf numFmtId="0" fontId="0" fillId="0" borderId="7" xfId="0" quotePrefix="1" applyBorder="1" applyAlignment="1">
      <alignment horizontal="center"/>
    </xf>
    <xf numFmtId="164" fontId="0" fillId="0" borderId="11" xfId="0" applyNumberFormat="1" applyBorder="1"/>
    <xf numFmtId="164" fontId="0" fillId="0" borderId="0" xfId="0" applyNumberFormat="1" applyBorder="1"/>
    <xf numFmtId="164" fontId="0" fillId="0" borderId="12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0" fontId="0" fillId="0" borderId="5" xfId="0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0" fillId="0" borderId="18" xfId="0" applyBorder="1"/>
    <xf numFmtId="0" fontId="0" fillId="0" borderId="21" xfId="0" applyBorder="1"/>
    <xf numFmtId="0" fontId="0" fillId="3" borderId="1" xfId="0" applyFill="1" applyBorder="1"/>
    <xf numFmtId="165" fontId="0" fillId="3" borderId="1" xfId="0" applyNumberFormat="1" applyFont="1" applyFill="1" applyBorder="1" applyAlignment="1">
      <alignment horizontal="center"/>
    </xf>
    <xf numFmtId="9" fontId="0" fillId="0" borderId="0" xfId="0" applyNumberFormat="1" applyBorder="1" applyAlignment="1">
      <alignment horizontal="center" vertical="top"/>
    </xf>
    <xf numFmtId="9" fontId="0" fillId="0" borderId="0" xfId="0" applyNumberFormat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quotePrefix="1" applyBorder="1" applyAlignment="1">
      <alignment horizontal="center"/>
    </xf>
    <xf numFmtId="9" fontId="0" fillId="0" borderId="0" xfId="0" applyNumberFormat="1" applyBorder="1"/>
    <xf numFmtId="1" fontId="0" fillId="0" borderId="0" xfId="0" applyNumberFormat="1" applyBorder="1" applyAlignment="1">
      <alignment horizontal="center"/>
    </xf>
    <xf numFmtId="2" fontId="0" fillId="0" borderId="0" xfId="0" applyNumberFormat="1" applyFill="1" applyBorder="1"/>
    <xf numFmtId="0" fontId="0" fillId="0" borderId="0" xfId="0" applyFill="1" applyBorder="1"/>
    <xf numFmtId="165" fontId="0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25" xfId="0" applyFill="1" applyBorder="1" applyAlignment="1">
      <alignment horizontal="right"/>
    </xf>
    <xf numFmtId="0" fontId="0" fillId="0" borderId="26" xfId="0" applyBorder="1" applyAlignment="1">
      <alignment horizontal="center"/>
    </xf>
    <xf numFmtId="2" fontId="0" fillId="2" borderId="25" xfId="0" applyNumberFormat="1" applyFill="1" applyBorder="1"/>
    <xf numFmtId="0" fontId="0" fillId="3" borderId="26" xfId="0" applyFill="1" applyBorder="1" applyAlignment="1">
      <alignment horizontal="center"/>
    </xf>
    <xf numFmtId="2" fontId="0" fillId="2" borderId="27" xfId="0" applyNumberFormat="1" applyFill="1" applyBorder="1"/>
    <xf numFmtId="0" fontId="0" fillId="0" borderId="29" xfId="0" applyBorder="1"/>
    <xf numFmtId="165" fontId="0" fillId="0" borderId="29" xfId="0" applyNumberFormat="1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0" xfId="0" applyAlignment="1">
      <alignment horizontal="center" vertical="top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9" fontId="0" fillId="0" borderId="2" xfId="0" applyNumberFormat="1" applyBorder="1" applyAlignment="1">
      <alignment horizontal="center" vertical="top"/>
    </xf>
    <xf numFmtId="9" fontId="0" fillId="0" borderId="13" xfId="0" applyNumberFormat="1" applyBorder="1" applyAlignment="1">
      <alignment horizontal="center" vertical="top"/>
    </xf>
    <xf numFmtId="9" fontId="0" fillId="0" borderId="28" xfId="0" applyNumberFormat="1" applyBorder="1" applyAlignment="1">
      <alignment horizontal="center" vertical="top"/>
    </xf>
    <xf numFmtId="9" fontId="0" fillId="0" borderId="0" xfId="0" applyNumberFormat="1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14" xfId="0" applyBorder="1" applyAlignment="1">
      <alignment horizontal="right"/>
    </xf>
    <xf numFmtId="0" fontId="0" fillId="0" borderId="15" xfId="0" applyBorder="1" applyAlignment="1">
      <alignment horizontal="right"/>
    </xf>
    <xf numFmtId="9" fontId="0" fillId="0" borderId="17" xfId="0" applyNumberFormat="1" applyBorder="1" applyAlignment="1">
      <alignment horizontal="right"/>
    </xf>
    <xf numFmtId="9" fontId="0" fillId="0" borderId="0" xfId="0" applyNumberFormat="1" applyBorder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2" borderId="1" xfId="0" applyFill="1" applyBorder="1" applyAlignment="1">
      <alignment horizontal="center"/>
    </xf>
    <xf numFmtId="9" fontId="0" fillId="0" borderId="1" xfId="0" applyNumberFormat="1" applyBorder="1" applyAlignment="1">
      <alignment horizontal="center" vertical="top"/>
    </xf>
    <xf numFmtId="9" fontId="0" fillId="0" borderId="0" xfId="0" applyNumberFormat="1" applyAlignment="1">
      <alignment horizontal="center" vertical="top"/>
    </xf>
    <xf numFmtId="9" fontId="0" fillId="0" borderId="0" xfId="0" applyNumberFormat="1" applyAlignment="1">
      <alignment vertical="top"/>
    </xf>
    <xf numFmtId="2" fontId="0" fillId="0" borderId="0" xfId="0" applyNumberFormat="1" applyAlignme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ProxAR `38:C2</a:t>
            </a:r>
          </a:p>
        </c:rich>
      </c:tx>
      <c:layout/>
    </c:title>
    <c:plotArea>
      <c:layout/>
      <c:scatterChart>
        <c:scatterStyle val="lineMarker"/>
        <c:ser>
          <c:idx val="1"/>
          <c:order val="0"/>
          <c:tx>
            <c:strRef>
              <c:f>Calculations!$U$1</c:f>
              <c:strCache>
                <c:ptCount val="1"/>
                <c:pt idx="0">
                  <c:v>20%</c:v>
                </c:pt>
              </c:strCache>
            </c:strRef>
          </c:tx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Calculations!$U$2:$U$9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1.5637254901960791E-2</c:v>
                </c:pt>
                <c:pt idx="2">
                  <c:v>2.3602941176470597E-2</c:v>
                </c:pt>
                <c:pt idx="3">
                  <c:v>2.5735294117647061E-2</c:v>
                </c:pt>
                <c:pt idx="4">
                  <c:v>2.9313725490196091E-2</c:v>
                </c:pt>
                <c:pt idx="5">
                  <c:v>3.1176470588235299E-2</c:v>
                </c:pt>
                <c:pt idx="6">
                  <c:v>3.1887254901960781E-2</c:v>
                </c:pt>
                <c:pt idx="7">
                  <c:v>3.4044117647058822E-2</c:v>
                </c:pt>
              </c:numCache>
            </c:numRef>
          </c:yVal>
        </c:ser>
        <c:ser>
          <c:idx val="3"/>
          <c:order val="1"/>
          <c:tx>
            <c:strRef>
              <c:f>Calculations!$W$1</c:f>
              <c:strCache>
                <c:ptCount val="1"/>
                <c:pt idx="0">
                  <c:v>25%-3s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Calculations!$W$2:$W$9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1.6258145566693038E-2</c:v>
                </c:pt>
                <c:pt idx="2">
                  <c:v>2.4888729942846542E-2</c:v>
                </c:pt>
                <c:pt idx="3">
                  <c:v>2.7370353897155985E-2</c:v>
                </c:pt>
                <c:pt idx="4">
                  <c:v>2.7133800483350005E-2</c:v>
                </c:pt>
                <c:pt idx="5">
                  <c:v>2.7465704828145077E-2</c:v>
                </c:pt>
                <c:pt idx="6">
                  <c:v>2.3848612010787699E-2</c:v>
                </c:pt>
                <c:pt idx="7">
                  <c:v>2.364183700814694E-2</c:v>
                </c:pt>
              </c:numCache>
            </c:numRef>
          </c:yVal>
        </c:ser>
        <c:ser>
          <c:idx val="4"/>
          <c:order val="2"/>
          <c:tx>
            <c:strRef>
              <c:f>Calculations!$X$1</c:f>
              <c:strCache>
                <c:ptCount val="1"/>
                <c:pt idx="0">
                  <c:v>25%</c:v>
                </c:pt>
              </c:strCache>
            </c:strRef>
          </c:tx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Calculations!$X$2:$X$9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2.0024509803921554E-2</c:v>
                </c:pt>
                <c:pt idx="2">
                  <c:v>2.9044117647058811E-2</c:v>
                </c:pt>
                <c:pt idx="3">
                  <c:v>3.2230392156862728E-2</c:v>
                </c:pt>
                <c:pt idx="4">
                  <c:v>3.3799019607843116E-2</c:v>
                </c:pt>
                <c:pt idx="5">
                  <c:v>3.6936274509803899E-2</c:v>
                </c:pt>
                <c:pt idx="6">
                  <c:v>3.7941176470588235E-2</c:v>
                </c:pt>
                <c:pt idx="7">
                  <c:v>3.9901960784313718E-2</c:v>
                </c:pt>
              </c:numCache>
            </c:numRef>
          </c:yVal>
        </c:ser>
        <c:ser>
          <c:idx val="5"/>
          <c:order val="3"/>
          <c:tx>
            <c:strRef>
              <c:f>Calculations!$Y$1</c:f>
              <c:strCache>
                <c:ptCount val="1"/>
                <c:pt idx="0">
                  <c:v>25%+3s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Calculations!$Y$2:$Y$9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2.379087404115007E-2</c:v>
                </c:pt>
                <c:pt idx="2">
                  <c:v>3.3199505351271079E-2</c:v>
                </c:pt>
                <c:pt idx="3">
                  <c:v>3.7090430416569467E-2</c:v>
                </c:pt>
                <c:pt idx="4">
                  <c:v>4.0464238732336226E-2</c:v>
                </c:pt>
                <c:pt idx="5">
                  <c:v>4.6406844191462723E-2</c:v>
                </c:pt>
                <c:pt idx="6">
                  <c:v>5.2033740930388775E-2</c:v>
                </c:pt>
                <c:pt idx="7">
                  <c:v>5.6162084560480496E-2</c:v>
                </c:pt>
              </c:numCache>
            </c:numRef>
          </c:yVal>
        </c:ser>
        <c:ser>
          <c:idx val="7"/>
          <c:order val="4"/>
          <c:tx>
            <c:strRef>
              <c:f>Calculations!$AA$1</c:f>
              <c:strCache>
                <c:ptCount val="1"/>
                <c:pt idx="0">
                  <c:v>50%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Calculations!$AA$2:$AA$9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2.6446078431372543E-2</c:v>
                </c:pt>
                <c:pt idx="2">
                  <c:v>3.9852941176470577E-2</c:v>
                </c:pt>
                <c:pt idx="3">
                  <c:v>4.6960784313725523E-2</c:v>
                </c:pt>
                <c:pt idx="4">
                  <c:v>4.9950980392156882E-2</c:v>
                </c:pt>
                <c:pt idx="5">
                  <c:v>5.4632352941176479E-2</c:v>
                </c:pt>
                <c:pt idx="6">
                  <c:v>5.6838235294117648E-2</c:v>
                </c:pt>
                <c:pt idx="7">
                  <c:v>5.6348039215686277E-2</c:v>
                </c:pt>
              </c:numCache>
            </c:numRef>
          </c:yVal>
        </c:ser>
        <c:axId val="76423936"/>
        <c:axId val="76558720"/>
      </c:scatterChart>
      <c:valAx>
        <c:axId val="764239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/>
                  <a:t>Ambient (%/IR FSR) </a:t>
                </a:r>
                <a:endParaRPr lang="en-US"/>
              </a:p>
            </c:rich>
          </c:tx>
          <c:layout/>
        </c:title>
        <c:numFmt formatCode="0%" sourceLinked="0"/>
        <c:tickLblPos val="nextTo"/>
        <c:crossAx val="76558720"/>
        <c:crosses val="autoZero"/>
        <c:crossBetween val="midCat"/>
      </c:valAx>
      <c:valAx>
        <c:axId val="765587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/>
                  <a:t>Prox Delta (%FSR)</a:t>
                </a:r>
                <a:endParaRPr lang="en-US" sz="1000"/>
              </a:p>
            </c:rich>
          </c:tx>
          <c:layout/>
        </c:title>
        <c:numFmt formatCode="0%" sourceLinked="0"/>
        <c:tickLblPos val="nextTo"/>
        <c:crossAx val="764239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ProxAR `38:C2</a:t>
            </a:r>
            <a:endParaRPr lang="en-US"/>
          </a:p>
        </c:rich>
      </c:tx>
      <c:layout>
        <c:manualLayout>
          <c:xMode val="edge"/>
          <c:yMode val="edge"/>
          <c:x val="0.36170099203509132"/>
          <c:y val="2.7722770836372711E-2"/>
        </c:manualLayout>
      </c:layout>
    </c:title>
    <c:plotArea>
      <c:layout/>
      <c:scatterChart>
        <c:scatterStyle val="lineMarker"/>
        <c:ser>
          <c:idx val="1"/>
          <c:order val="0"/>
          <c:tx>
            <c:strRef>
              <c:f>Calculations!$U$23</c:f>
              <c:strCache>
                <c:ptCount val="1"/>
                <c:pt idx="0">
                  <c:v>51</c:v>
                </c:pt>
              </c:strCache>
            </c:strRef>
          </c:tx>
          <c:marker>
            <c:symbol val="none"/>
          </c:marker>
          <c:xVal>
            <c:numRef>
              <c:f>Calculations!$S$24:$S$31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11.433070866141732</c:v>
                </c:pt>
                <c:pt idx="2">
                  <c:v>17.574803149606296</c:v>
                </c:pt>
                <c:pt idx="3">
                  <c:v>23.622047244094489</c:v>
                </c:pt>
                <c:pt idx="4">
                  <c:v>28.251968503937004</c:v>
                </c:pt>
                <c:pt idx="5">
                  <c:v>36.566929133858267</c:v>
                </c:pt>
                <c:pt idx="6">
                  <c:v>44.125984251968504</c:v>
                </c:pt>
                <c:pt idx="7">
                  <c:v>54.330708661417319</c:v>
                </c:pt>
              </c:numCache>
            </c:numRef>
          </c:xVal>
          <c:yVal>
            <c:numRef>
              <c:f>Calculations!$U$24:$U$31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3.9875000000000016</c:v>
                </c:pt>
                <c:pt idx="2">
                  <c:v>6.0187500000000025</c:v>
                </c:pt>
                <c:pt idx="3">
                  <c:v>6.5625000000000009</c:v>
                </c:pt>
                <c:pt idx="4">
                  <c:v>7.4750000000000032</c:v>
                </c:pt>
                <c:pt idx="5">
                  <c:v>7.9500000000000011</c:v>
                </c:pt>
                <c:pt idx="6">
                  <c:v>8.1312499999999996</c:v>
                </c:pt>
                <c:pt idx="7">
                  <c:v>8.6812500000000004</c:v>
                </c:pt>
              </c:numCache>
            </c:numRef>
          </c:yVal>
        </c:ser>
        <c:ser>
          <c:idx val="3"/>
          <c:order val="1"/>
          <c:tx>
            <c:strRef>
              <c:f>Calculations!$W$23</c:f>
              <c:strCache>
                <c:ptCount val="1"/>
                <c:pt idx="0">
                  <c:v>64-3s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Calculations!$S$24:$S$31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11.433070866141732</c:v>
                </c:pt>
                <c:pt idx="2">
                  <c:v>17.574803149606296</c:v>
                </c:pt>
                <c:pt idx="3">
                  <c:v>23.622047244094489</c:v>
                </c:pt>
                <c:pt idx="4">
                  <c:v>28.251968503937004</c:v>
                </c:pt>
                <c:pt idx="5">
                  <c:v>36.566929133858267</c:v>
                </c:pt>
                <c:pt idx="6">
                  <c:v>44.125984251968504</c:v>
                </c:pt>
                <c:pt idx="7">
                  <c:v>54.330708661417319</c:v>
                </c:pt>
              </c:numCache>
            </c:numRef>
          </c:xVal>
          <c:yVal>
            <c:numRef>
              <c:f>Calculations!$W$24:$W$31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4.1458271195067251</c:v>
                </c:pt>
                <c:pt idx="2">
                  <c:v>6.3466261354258684</c:v>
                </c:pt>
                <c:pt idx="3">
                  <c:v>6.9794402437747776</c:v>
                </c:pt>
                <c:pt idx="4">
                  <c:v>6.9191191232542515</c:v>
                </c:pt>
                <c:pt idx="5">
                  <c:v>7.0037547311769952</c:v>
                </c:pt>
                <c:pt idx="6">
                  <c:v>6.0813960627508639</c:v>
                </c:pt>
                <c:pt idx="7">
                  <c:v>6.0286684370774708</c:v>
                </c:pt>
              </c:numCache>
            </c:numRef>
          </c:yVal>
        </c:ser>
        <c:ser>
          <c:idx val="4"/>
          <c:order val="2"/>
          <c:tx>
            <c:strRef>
              <c:f>Calculations!$X$23</c:f>
              <c:strCache>
                <c:ptCount val="1"/>
                <c:pt idx="0">
                  <c:v>64</c:v>
                </c:pt>
              </c:strCache>
            </c:strRef>
          </c:tx>
          <c:marker>
            <c:symbol val="none"/>
          </c:marker>
          <c:xVal>
            <c:numRef>
              <c:f>Calculations!$S$24:$S$31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11.433070866141732</c:v>
                </c:pt>
                <c:pt idx="2">
                  <c:v>17.574803149606296</c:v>
                </c:pt>
                <c:pt idx="3">
                  <c:v>23.622047244094489</c:v>
                </c:pt>
                <c:pt idx="4">
                  <c:v>28.251968503937004</c:v>
                </c:pt>
                <c:pt idx="5">
                  <c:v>36.566929133858267</c:v>
                </c:pt>
                <c:pt idx="6">
                  <c:v>44.125984251968504</c:v>
                </c:pt>
                <c:pt idx="7">
                  <c:v>54.330708661417319</c:v>
                </c:pt>
              </c:numCache>
            </c:numRef>
          </c:xVal>
          <c:yVal>
            <c:numRef>
              <c:f>Calculations!$X$24:$X$31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5.1062499999999966</c:v>
                </c:pt>
                <c:pt idx="2">
                  <c:v>7.4062499999999964</c:v>
                </c:pt>
                <c:pt idx="3">
                  <c:v>8.2187499999999964</c:v>
                </c:pt>
                <c:pt idx="4">
                  <c:v>8.618749999999995</c:v>
                </c:pt>
                <c:pt idx="5">
                  <c:v>9.418749999999994</c:v>
                </c:pt>
                <c:pt idx="6">
                  <c:v>9.6750000000000007</c:v>
                </c:pt>
                <c:pt idx="7">
                  <c:v>10.174999999999999</c:v>
                </c:pt>
              </c:numCache>
            </c:numRef>
          </c:yVal>
        </c:ser>
        <c:ser>
          <c:idx val="5"/>
          <c:order val="3"/>
          <c:tx>
            <c:strRef>
              <c:f>Calculations!$Y$23</c:f>
              <c:strCache>
                <c:ptCount val="1"/>
                <c:pt idx="0">
                  <c:v>64+3s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Calculations!$S$24:$S$31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11.433070866141732</c:v>
                </c:pt>
                <c:pt idx="2">
                  <c:v>17.574803149606296</c:v>
                </c:pt>
                <c:pt idx="3">
                  <c:v>23.622047244094489</c:v>
                </c:pt>
                <c:pt idx="4">
                  <c:v>28.251968503937004</c:v>
                </c:pt>
                <c:pt idx="5">
                  <c:v>36.566929133858267</c:v>
                </c:pt>
                <c:pt idx="6">
                  <c:v>44.125984251968504</c:v>
                </c:pt>
                <c:pt idx="7">
                  <c:v>54.330708661417319</c:v>
                </c:pt>
              </c:numCache>
            </c:numRef>
          </c:xVal>
          <c:yVal>
            <c:numRef>
              <c:f>Calculations!$Y$24:$Y$31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6.0666728804932681</c:v>
                </c:pt>
                <c:pt idx="2">
                  <c:v>8.4658738645741245</c:v>
                </c:pt>
                <c:pt idx="3">
                  <c:v>9.4580597562252162</c:v>
                </c:pt>
                <c:pt idx="4">
                  <c:v>10.318380876745739</c:v>
                </c:pt>
                <c:pt idx="5">
                  <c:v>11.833745268822993</c:v>
                </c:pt>
                <c:pt idx="6">
                  <c:v>13.268603937249138</c:v>
                </c:pt>
                <c:pt idx="7">
                  <c:v>14.321331562922527</c:v>
                </c:pt>
              </c:numCache>
            </c:numRef>
          </c:yVal>
        </c:ser>
        <c:ser>
          <c:idx val="7"/>
          <c:order val="4"/>
          <c:tx>
            <c:strRef>
              <c:f>Calculations!$AA$23</c:f>
              <c:strCache>
                <c:ptCount val="1"/>
                <c:pt idx="0">
                  <c:v>128</c:v>
                </c:pt>
              </c:strCache>
            </c:strRef>
          </c:tx>
          <c:marker>
            <c:symbol val="none"/>
          </c:marker>
          <c:xVal>
            <c:numRef>
              <c:f>Calculations!$S$24:$S$31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11.433070866141732</c:v>
                </c:pt>
                <c:pt idx="2">
                  <c:v>17.574803149606296</c:v>
                </c:pt>
                <c:pt idx="3">
                  <c:v>23.622047244094489</c:v>
                </c:pt>
                <c:pt idx="4">
                  <c:v>28.251968503937004</c:v>
                </c:pt>
                <c:pt idx="5">
                  <c:v>36.566929133858267</c:v>
                </c:pt>
                <c:pt idx="6">
                  <c:v>44.125984251968504</c:v>
                </c:pt>
                <c:pt idx="7">
                  <c:v>54.330708661417319</c:v>
                </c:pt>
              </c:numCache>
            </c:numRef>
          </c:xVal>
          <c:yVal>
            <c:numRef>
              <c:f>Calculations!$AA$24:$AA$31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6.7437499999999986</c:v>
                </c:pt>
                <c:pt idx="2">
                  <c:v>10.162499999999998</c:v>
                </c:pt>
                <c:pt idx="3">
                  <c:v>11.975000000000009</c:v>
                </c:pt>
                <c:pt idx="4">
                  <c:v>12.737500000000004</c:v>
                </c:pt>
                <c:pt idx="5">
                  <c:v>13.931250000000002</c:v>
                </c:pt>
                <c:pt idx="6">
                  <c:v>14.49375</c:v>
                </c:pt>
                <c:pt idx="7">
                  <c:v>14.36875</c:v>
                </c:pt>
              </c:numCache>
            </c:numRef>
          </c:yVal>
        </c:ser>
        <c:axId val="57450880"/>
        <c:axId val="57452800"/>
      </c:scatterChart>
      <c:valAx>
        <c:axId val="574508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baseline="0"/>
                  <a:t>Ambient (kLux Solar) </a:t>
                </a:r>
              </a:p>
            </c:rich>
          </c:tx>
          <c:layout/>
        </c:title>
        <c:numFmt formatCode="#,##0.0" sourceLinked="0"/>
        <c:tickLblPos val="nextTo"/>
        <c:crossAx val="57452800"/>
        <c:crosses val="autoZero"/>
        <c:crossBetween val="midCat"/>
      </c:valAx>
      <c:valAx>
        <c:axId val="574528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/>
                  <a:t>Prox Delta (LSBs)</a:t>
                </a:r>
              </a:p>
            </c:rich>
          </c:tx>
          <c:layout/>
        </c:title>
        <c:numFmt formatCode="#,##0.0" sourceLinked="0"/>
        <c:tickLblPos val="nextTo"/>
        <c:crossAx val="574508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Prox</a:t>
            </a:r>
            <a:r>
              <a:rPr lang="en-US" baseline="0"/>
              <a:t>AR `38:C2</a:t>
            </a:r>
            <a:endParaRPr lang="en-US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Calculations!$T$1</c:f>
              <c:strCache>
                <c:ptCount val="1"/>
                <c:pt idx="0">
                  <c:v>20%-3s</c:v>
                </c:pt>
              </c:strCache>
            </c:strRef>
          </c:tx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Calculations!$T$2:$T$9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1.0739815197641871E-2</c:v>
                </c:pt>
                <c:pt idx="2">
                  <c:v>1.8225356700854473E-2</c:v>
                </c:pt>
                <c:pt idx="3">
                  <c:v>1.817949856082185E-2</c:v>
                </c:pt>
                <c:pt idx="4">
                  <c:v>2.0485027555439038E-2</c:v>
                </c:pt>
                <c:pt idx="5">
                  <c:v>2.0469164202659044E-2</c:v>
                </c:pt>
                <c:pt idx="6">
                  <c:v>1.6859526781691003E-2</c:v>
                </c:pt>
                <c:pt idx="7">
                  <c:v>1.6939933375558887E-2</c:v>
                </c:pt>
              </c:numCache>
            </c:numRef>
          </c:yVal>
        </c:ser>
        <c:ser>
          <c:idx val="1"/>
          <c:order val="1"/>
          <c:tx>
            <c:strRef>
              <c:f>Calculations!$U$1</c:f>
              <c:strCache>
                <c:ptCount val="1"/>
                <c:pt idx="0">
                  <c:v>20%</c:v>
                </c:pt>
              </c:strCache>
            </c:strRef>
          </c:tx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Calculations!$U$2:$U$9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1.5637254901960791E-2</c:v>
                </c:pt>
                <c:pt idx="2">
                  <c:v>2.3602941176470597E-2</c:v>
                </c:pt>
                <c:pt idx="3">
                  <c:v>2.5735294117647061E-2</c:v>
                </c:pt>
                <c:pt idx="4">
                  <c:v>2.9313725490196091E-2</c:v>
                </c:pt>
                <c:pt idx="5">
                  <c:v>3.1176470588235299E-2</c:v>
                </c:pt>
                <c:pt idx="6">
                  <c:v>3.1887254901960781E-2</c:v>
                </c:pt>
                <c:pt idx="7">
                  <c:v>3.4044117647058822E-2</c:v>
                </c:pt>
              </c:numCache>
            </c:numRef>
          </c:yVal>
        </c:ser>
        <c:ser>
          <c:idx val="2"/>
          <c:order val="2"/>
          <c:tx>
            <c:strRef>
              <c:f>Calculations!$V$1</c:f>
              <c:strCache>
                <c:ptCount val="1"/>
                <c:pt idx="0">
                  <c:v>20%+3s</c:v>
                </c:pt>
              </c:strCache>
            </c:strRef>
          </c:tx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Calculations!$V$2:$V$9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2.053469460627971E-2</c:v>
                </c:pt>
                <c:pt idx="2">
                  <c:v>2.8980525652086721E-2</c:v>
                </c:pt>
                <c:pt idx="3">
                  <c:v>3.3291089674472273E-2</c:v>
                </c:pt>
                <c:pt idx="4">
                  <c:v>3.8142423424953144E-2</c:v>
                </c:pt>
                <c:pt idx="5">
                  <c:v>4.1883776973811557E-2</c:v>
                </c:pt>
                <c:pt idx="6">
                  <c:v>4.6914983022230558E-2</c:v>
                </c:pt>
                <c:pt idx="7">
                  <c:v>5.1148301918558757E-2</c:v>
                </c:pt>
              </c:numCache>
            </c:numRef>
          </c:yVal>
        </c:ser>
        <c:ser>
          <c:idx val="3"/>
          <c:order val="3"/>
          <c:tx>
            <c:strRef>
              <c:f>Calculations!$W$1</c:f>
              <c:strCache>
                <c:ptCount val="1"/>
                <c:pt idx="0">
                  <c:v>25%-3s</c:v>
                </c:pt>
              </c:strCache>
            </c:strRef>
          </c:tx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Calculations!$W$2:$W$9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1.6258145566693038E-2</c:v>
                </c:pt>
                <c:pt idx="2">
                  <c:v>2.4888729942846542E-2</c:v>
                </c:pt>
                <c:pt idx="3">
                  <c:v>2.7370353897155985E-2</c:v>
                </c:pt>
                <c:pt idx="4">
                  <c:v>2.7133800483350005E-2</c:v>
                </c:pt>
                <c:pt idx="5">
                  <c:v>2.7465704828145077E-2</c:v>
                </c:pt>
                <c:pt idx="6">
                  <c:v>2.3848612010787699E-2</c:v>
                </c:pt>
                <c:pt idx="7">
                  <c:v>2.364183700814694E-2</c:v>
                </c:pt>
              </c:numCache>
            </c:numRef>
          </c:yVal>
        </c:ser>
        <c:ser>
          <c:idx val="4"/>
          <c:order val="4"/>
          <c:tx>
            <c:strRef>
              <c:f>Calculations!$X$1</c:f>
              <c:strCache>
                <c:ptCount val="1"/>
                <c:pt idx="0">
                  <c:v>25%</c:v>
                </c:pt>
              </c:strCache>
            </c:strRef>
          </c:tx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Calculations!$X$2:$X$9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2.0024509803921554E-2</c:v>
                </c:pt>
                <c:pt idx="2">
                  <c:v>2.9044117647058811E-2</c:v>
                </c:pt>
                <c:pt idx="3">
                  <c:v>3.2230392156862728E-2</c:v>
                </c:pt>
                <c:pt idx="4">
                  <c:v>3.3799019607843116E-2</c:v>
                </c:pt>
                <c:pt idx="5">
                  <c:v>3.6936274509803899E-2</c:v>
                </c:pt>
                <c:pt idx="6">
                  <c:v>3.7941176470588235E-2</c:v>
                </c:pt>
                <c:pt idx="7">
                  <c:v>3.9901960784313718E-2</c:v>
                </c:pt>
              </c:numCache>
            </c:numRef>
          </c:yVal>
        </c:ser>
        <c:ser>
          <c:idx val="5"/>
          <c:order val="5"/>
          <c:tx>
            <c:strRef>
              <c:f>Calculations!$Y$1</c:f>
              <c:strCache>
                <c:ptCount val="1"/>
                <c:pt idx="0">
                  <c:v>25%+3s</c:v>
                </c:pt>
              </c:strCache>
            </c:strRef>
          </c:tx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Calculations!$Y$2:$Y$9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2.379087404115007E-2</c:v>
                </c:pt>
                <c:pt idx="2">
                  <c:v>3.3199505351271079E-2</c:v>
                </c:pt>
                <c:pt idx="3">
                  <c:v>3.7090430416569467E-2</c:v>
                </c:pt>
                <c:pt idx="4">
                  <c:v>4.0464238732336226E-2</c:v>
                </c:pt>
                <c:pt idx="5">
                  <c:v>4.6406844191462723E-2</c:v>
                </c:pt>
                <c:pt idx="6">
                  <c:v>5.2033740930388775E-2</c:v>
                </c:pt>
                <c:pt idx="7">
                  <c:v>5.6162084560480496E-2</c:v>
                </c:pt>
              </c:numCache>
            </c:numRef>
          </c:yVal>
        </c:ser>
        <c:ser>
          <c:idx val="6"/>
          <c:order val="6"/>
          <c:tx>
            <c:strRef>
              <c:f>Calculations!$Z$1</c:f>
              <c:strCache>
                <c:ptCount val="1"/>
                <c:pt idx="0">
                  <c:v>50%-3s</c:v>
                </c:pt>
              </c:strCache>
            </c:strRef>
          </c:tx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Calculations!$Z$2:$Z$9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1.8171568990451643E-2</c:v>
                </c:pt>
                <c:pt idx="2">
                  <c:v>2.888081666844005E-2</c:v>
                </c:pt>
                <c:pt idx="3">
                  <c:v>3.6766116324694495E-2</c:v>
                </c:pt>
                <c:pt idx="4">
                  <c:v>3.7555084966668151E-2</c:v>
                </c:pt>
                <c:pt idx="5">
                  <c:v>3.7041680156113962E-2</c:v>
                </c:pt>
                <c:pt idx="6">
                  <c:v>3.998932716874351E-2</c:v>
                </c:pt>
                <c:pt idx="7">
                  <c:v>3.6405770136648238E-2</c:v>
                </c:pt>
              </c:numCache>
            </c:numRef>
          </c:yVal>
        </c:ser>
        <c:ser>
          <c:idx val="7"/>
          <c:order val="7"/>
          <c:tx>
            <c:strRef>
              <c:f>Calculations!$AA$1</c:f>
              <c:strCache>
                <c:ptCount val="1"/>
                <c:pt idx="0">
                  <c:v>50%</c:v>
                </c:pt>
              </c:strCache>
            </c:strRef>
          </c:tx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Calculations!$AA$2:$AA$9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2.6446078431372543E-2</c:v>
                </c:pt>
                <c:pt idx="2">
                  <c:v>3.9852941176470577E-2</c:v>
                </c:pt>
                <c:pt idx="3">
                  <c:v>4.6960784313725523E-2</c:v>
                </c:pt>
                <c:pt idx="4">
                  <c:v>4.9950980392156882E-2</c:v>
                </c:pt>
                <c:pt idx="5">
                  <c:v>5.4632352941176479E-2</c:v>
                </c:pt>
                <c:pt idx="6">
                  <c:v>5.6838235294117648E-2</c:v>
                </c:pt>
                <c:pt idx="7">
                  <c:v>5.6348039215686277E-2</c:v>
                </c:pt>
              </c:numCache>
            </c:numRef>
          </c:yVal>
        </c:ser>
        <c:ser>
          <c:idx val="8"/>
          <c:order val="8"/>
          <c:tx>
            <c:strRef>
              <c:f>Calculations!$AB$1</c:f>
              <c:strCache>
                <c:ptCount val="1"/>
                <c:pt idx="0">
                  <c:v>50%+3s</c:v>
                </c:pt>
              </c:strCache>
            </c:strRef>
          </c:tx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Calculations!$AB$2:$AB$9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3.4720587872293443E-2</c:v>
                </c:pt>
                <c:pt idx="2">
                  <c:v>5.0825065684501104E-2</c:v>
                </c:pt>
                <c:pt idx="3">
                  <c:v>5.7155452302756551E-2</c:v>
                </c:pt>
                <c:pt idx="4">
                  <c:v>6.2346875817645614E-2</c:v>
                </c:pt>
                <c:pt idx="5">
                  <c:v>7.2223025726238996E-2</c:v>
                </c:pt>
                <c:pt idx="6">
                  <c:v>7.3687143419491785E-2</c:v>
                </c:pt>
                <c:pt idx="7">
                  <c:v>7.6290308294724316E-2</c:v>
                </c:pt>
              </c:numCache>
            </c:numRef>
          </c:yVal>
        </c:ser>
        <c:ser>
          <c:idx val="9"/>
          <c:order val="9"/>
          <c:tx>
            <c:strRef>
              <c:f>Calculations!$AC$1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Calculations!$AC$2:$AC$9</c:f>
              <c:numCache>
                <c:formatCode>0.000</c:formatCode>
                <c:ptCount val="8"/>
              </c:numCache>
            </c:numRef>
          </c:yVal>
        </c:ser>
        <c:ser>
          <c:idx val="10"/>
          <c:order val="10"/>
          <c:tx>
            <c:strRef>
              <c:f>Calculations!$AD$1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Calculations!$AD$2:$AD$9</c:f>
              <c:numCache>
                <c:formatCode>0.000</c:formatCode>
                <c:ptCount val="8"/>
              </c:numCache>
            </c:numRef>
          </c:yVal>
        </c:ser>
        <c:ser>
          <c:idx val="11"/>
          <c:order val="11"/>
          <c:tx>
            <c:strRef>
              <c:f>Calculations!$AE$1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Calculations!$AE$2:$AE$9</c:f>
              <c:numCache>
                <c:formatCode>0.000</c:formatCode>
                <c:ptCount val="8"/>
              </c:numCache>
            </c:numRef>
          </c:yVal>
        </c:ser>
        <c:axId val="62840192"/>
        <c:axId val="76379648"/>
      </c:scatterChart>
      <c:valAx>
        <c:axId val="628401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Ambient</a:t>
                </a:r>
                <a:r>
                  <a:rPr lang="en-US" baseline="0"/>
                  <a:t> (%/IR FSR)  </a:t>
                </a:r>
                <a:endParaRPr lang="en-US"/>
              </a:p>
            </c:rich>
          </c:tx>
          <c:layout/>
        </c:title>
        <c:numFmt formatCode="0%" sourceLinked="0"/>
        <c:tickLblPos val="nextTo"/>
        <c:crossAx val="76379648"/>
        <c:crosses val="autoZero"/>
        <c:crossBetween val="midCat"/>
      </c:valAx>
      <c:valAx>
        <c:axId val="763796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Prox Delta (%FSR)</a:t>
                </a:r>
              </a:p>
            </c:rich>
          </c:tx>
          <c:layout/>
        </c:title>
        <c:numFmt formatCode="0%" sourceLinked="0"/>
        <c:tickLblPos val="nextTo"/>
        <c:crossAx val="628401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ProxAR `38:C2</a:t>
            </a:r>
          </a:p>
        </c:rich>
      </c:tx>
      <c:layout/>
    </c:title>
    <c:plotArea>
      <c:layout/>
      <c:scatterChart>
        <c:scatterStyle val="lineMarker"/>
        <c:ser>
          <c:idx val="1"/>
          <c:order val="0"/>
          <c:tx>
            <c:strRef>
              <c:f>Calculations!$U$1</c:f>
              <c:strCache>
                <c:ptCount val="1"/>
                <c:pt idx="0">
                  <c:v>20%</c:v>
                </c:pt>
              </c:strCache>
            </c:strRef>
          </c:tx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Calculations!$U$2:$U$9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1.5637254901960791E-2</c:v>
                </c:pt>
                <c:pt idx="2">
                  <c:v>2.3602941176470597E-2</c:v>
                </c:pt>
                <c:pt idx="3">
                  <c:v>2.5735294117647061E-2</c:v>
                </c:pt>
                <c:pt idx="4">
                  <c:v>2.9313725490196091E-2</c:v>
                </c:pt>
                <c:pt idx="5">
                  <c:v>3.1176470588235299E-2</c:v>
                </c:pt>
                <c:pt idx="6">
                  <c:v>3.1887254901960781E-2</c:v>
                </c:pt>
                <c:pt idx="7">
                  <c:v>3.4044117647058822E-2</c:v>
                </c:pt>
              </c:numCache>
            </c:numRef>
          </c:yVal>
        </c:ser>
        <c:ser>
          <c:idx val="3"/>
          <c:order val="1"/>
          <c:tx>
            <c:strRef>
              <c:f>Calculations!$W$1</c:f>
              <c:strCache>
                <c:ptCount val="1"/>
                <c:pt idx="0">
                  <c:v>25%-3s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Calculations!$W$2:$W$9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1.6258145566693038E-2</c:v>
                </c:pt>
                <c:pt idx="2">
                  <c:v>2.4888729942846542E-2</c:v>
                </c:pt>
                <c:pt idx="3">
                  <c:v>2.7370353897155985E-2</c:v>
                </c:pt>
                <c:pt idx="4">
                  <c:v>2.7133800483350005E-2</c:v>
                </c:pt>
                <c:pt idx="5">
                  <c:v>2.7465704828145077E-2</c:v>
                </c:pt>
                <c:pt idx="6">
                  <c:v>2.3848612010787699E-2</c:v>
                </c:pt>
                <c:pt idx="7">
                  <c:v>2.364183700814694E-2</c:v>
                </c:pt>
              </c:numCache>
            </c:numRef>
          </c:yVal>
        </c:ser>
        <c:ser>
          <c:idx val="4"/>
          <c:order val="2"/>
          <c:tx>
            <c:strRef>
              <c:f>Calculations!$X$1</c:f>
              <c:strCache>
                <c:ptCount val="1"/>
                <c:pt idx="0">
                  <c:v>25%</c:v>
                </c:pt>
              </c:strCache>
            </c:strRef>
          </c:tx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Calculations!$X$2:$X$9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2.0024509803921554E-2</c:v>
                </c:pt>
                <c:pt idx="2">
                  <c:v>2.9044117647058811E-2</c:v>
                </c:pt>
                <c:pt idx="3">
                  <c:v>3.2230392156862728E-2</c:v>
                </c:pt>
                <c:pt idx="4">
                  <c:v>3.3799019607843116E-2</c:v>
                </c:pt>
                <c:pt idx="5">
                  <c:v>3.6936274509803899E-2</c:v>
                </c:pt>
                <c:pt idx="6">
                  <c:v>3.7941176470588235E-2</c:v>
                </c:pt>
                <c:pt idx="7">
                  <c:v>3.9901960784313718E-2</c:v>
                </c:pt>
              </c:numCache>
            </c:numRef>
          </c:yVal>
        </c:ser>
        <c:ser>
          <c:idx val="5"/>
          <c:order val="3"/>
          <c:tx>
            <c:strRef>
              <c:f>Calculations!$Y$1</c:f>
              <c:strCache>
                <c:ptCount val="1"/>
                <c:pt idx="0">
                  <c:v>25%+3s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Calculations!$Y$2:$Y$9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2.379087404115007E-2</c:v>
                </c:pt>
                <c:pt idx="2">
                  <c:v>3.3199505351271079E-2</c:v>
                </c:pt>
                <c:pt idx="3">
                  <c:v>3.7090430416569467E-2</c:v>
                </c:pt>
                <c:pt idx="4">
                  <c:v>4.0464238732336226E-2</c:v>
                </c:pt>
                <c:pt idx="5">
                  <c:v>4.6406844191462723E-2</c:v>
                </c:pt>
                <c:pt idx="6">
                  <c:v>5.2033740930388775E-2</c:v>
                </c:pt>
                <c:pt idx="7">
                  <c:v>5.6162084560480496E-2</c:v>
                </c:pt>
              </c:numCache>
            </c:numRef>
          </c:yVal>
        </c:ser>
        <c:ser>
          <c:idx val="7"/>
          <c:order val="4"/>
          <c:tx>
            <c:strRef>
              <c:f>Calculations!$AA$1</c:f>
              <c:strCache>
                <c:ptCount val="1"/>
                <c:pt idx="0">
                  <c:v>50%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0.19055118110236219</c:v>
                </c:pt>
                <c:pt idx="2">
                  <c:v>0.29291338582677162</c:v>
                </c:pt>
                <c:pt idx="3">
                  <c:v>0.39370078740157483</c:v>
                </c:pt>
                <c:pt idx="4">
                  <c:v>0.47086614173228342</c:v>
                </c:pt>
                <c:pt idx="5">
                  <c:v>0.6094488188976378</c:v>
                </c:pt>
                <c:pt idx="6">
                  <c:v>0.73543307086614174</c:v>
                </c:pt>
                <c:pt idx="7">
                  <c:v>0.90551181102362199</c:v>
                </c:pt>
              </c:numCache>
            </c:numRef>
          </c:xVal>
          <c:yVal>
            <c:numRef>
              <c:f>Calculations!$AA$2:$AA$9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2.6446078431372543E-2</c:v>
                </c:pt>
                <c:pt idx="2">
                  <c:v>3.9852941176470577E-2</c:v>
                </c:pt>
                <c:pt idx="3">
                  <c:v>4.6960784313725523E-2</c:v>
                </c:pt>
                <c:pt idx="4">
                  <c:v>4.9950980392156882E-2</c:v>
                </c:pt>
                <c:pt idx="5">
                  <c:v>5.4632352941176479E-2</c:v>
                </c:pt>
                <c:pt idx="6">
                  <c:v>5.6838235294117648E-2</c:v>
                </c:pt>
                <c:pt idx="7">
                  <c:v>5.6348039215686277E-2</c:v>
                </c:pt>
              </c:numCache>
            </c:numRef>
          </c:yVal>
        </c:ser>
        <c:axId val="76452992"/>
        <c:axId val="76454912"/>
      </c:scatterChart>
      <c:valAx>
        <c:axId val="764529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/>
                  <a:t>Ambient (%/IR FSR) </a:t>
                </a:r>
                <a:endParaRPr lang="en-US"/>
              </a:p>
            </c:rich>
          </c:tx>
          <c:layout/>
        </c:title>
        <c:numFmt formatCode="0%" sourceLinked="0"/>
        <c:tickLblPos val="nextTo"/>
        <c:crossAx val="76454912"/>
        <c:crosses val="autoZero"/>
        <c:crossBetween val="midCat"/>
      </c:valAx>
      <c:valAx>
        <c:axId val="7645491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/>
                  <a:t>Prox Delta (%FSR)</a:t>
                </a:r>
                <a:endParaRPr lang="en-US" sz="1000"/>
              </a:p>
            </c:rich>
          </c:tx>
          <c:layout/>
        </c:title>
        <c:numFmt formatCode="0%" sourceLinked="0"/>
        <c:tickLblPos val="nextTo"/>
        <c:crossAx val="764529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ProxAR `38:C2</a:t>
            </a:r>
            <a:endParaRPr lang="en-US"/>
          </a:p>
        </c:rich>
      </c:tx>
      <c:layout>
        <c:manualLayout>
          <c:xMode val="edge"/>
          <c:yMode val="edge"/>
          <c:x val="0.36170099203509132"/>
          <c:y val="2.7722770836372711E-2"/>
        </c:manualLayout>
      </c:layout>
    </c:title>
    <c:plotArea>
      <c:layout/>
      <c:scatterChart>
        <c:scatterStyle val="lineMarker"/>
        <c:ser>
          <c:idx val="1"/>
          <c:order val="0"/>
          <c:tx>
            <c:strRef>
              <c:f>Calculations!$U$23</c:f>
              <c:strCache>
                <c:ptCount val="1"/>
                <c:pt idx="0">
                  <c:v>51</c:v>
                </c:pt>
              </c:strCache>
            </c:strRef>
          </c:tx>
          <c:marker>
            <c:symbol val="none"/>
          </c:marker>
          <c:xVal>
            <c:numRef>
              <c:f>Calculations!$S$24:$S$31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11.433070866141732</c:v>
                </c:pt>
                <c:pt idx="2">
                  <c:v>17.574803149606296</c:v>
                </c:pt>
                <c:pt idx="3">
                  <c:v>23.622047244094489</c:v>
                </c:pt>
                <c:pt idx="4">
                  <c:v>28.251968503937004</c:v>
                </c:pt>
                <c:pt idx="5">
                  <c:v>36.566929133858267</c:v>
                </c:pt>
                <c:pt idx="6">
                  <c:v>44.125984251968504</c:v>
                </c:pt>
                <c:pt idx="7">
                  <c:v>54.330708661417319</c:v>
                </c:pt>
              </c:numCache>
            </c:numRef>
          </c:xVal>
          <c:yVal>
            <c:numRef>
              <c:f>Calculations!$U$24:$U$31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3.9875000000000016</c:v>
                </c:pt>
                <c:pt idx="2">
                  <c:v>6.0187500000000025</c:v>
                </c:pt>
                <c:pt idx="3">
                  <c:v>6.5625000000000009</c:v>
                </c:pt>
                <c:pt idx="4">
                  <c:v>7.4750000000000032</c:v>
                </c:pt>
                <c:pt idx="5">
                  <c:v>7.9500000000000011</c:v>
                </c:pt>
                <c:pt idx="6">
                  <c:v>8.1312499999999996</c:v>
                </c:pt>
                <c:pt idx="7">
                  <c:v>8.6812500000000004</c:v>
                </c:pt>
              </c:numCache>
            </c:numRef>
          </c:yVal>
        </c:ser>
        <c:ser>
          <c:idx val="3"/>
          <c:order val="1"/>
          <c:tx>
            <c:strRef>
              <c:f>Calculations!$W$23</c:f>
              <c:strCache>
                <c:ptCount val="1"/>
                <c:pt idx="0">
                  <c:v>64-3s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Calculations!$S$24:$S$31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11.433070866141732</c:v>
                </c:pt>
                <c:pt idx="2">
                  <c:v>17.574803149606296</c:v>
                </c:pt>
                <c:pt idx="3">
                  <c:v>23.622047244094489</c:v>
                </c:pt>
                <c:pt idx="4">
                  <c:v>28.251968503937004</c:v>
                </c:pt>
                <c:pt idx="5">
                  <c:v>36.566929133858267</c:v>
                </c:pt>
                <c:pt idx="6">
                  <c:v>44.125984251968504</c:v>
                </c:pt>
                <c:pt idx="7">
                  <c:v>54.330708661417319</c:v>
                </c:pt>
              </c:numCache>
            </c:numRef>
          </c:xVal>
          <c:yVal>
            <c:numRef>
              <c:f>Calculations!$W$24:$W$31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4.1458271195067251</c:v>
                </c:pt>
                <c:pt idx="2">
                  <c:v>6.3466261354258684</c:v>
                </c:pt>
                <c:pt idx="3">
                  <c:v>6.9794402437747776</c:v>
                </c:pt>
                <c:pt idx="4">
                  <c:v>6.9191191232542515</c:v>
                </c:pt>
                <c:pt idx="5">
                  <c:v>7.0037547311769952</c:v>
                </c:pt>
                <c:pt idx="6">
                  <c:v>6.0813960627508639</c:v>
                </c:pt>
                <c:pt idx="7">
                  <c:v>6.0286684370774708</c:v>
                </c:pt>
              </c:numCache>
            </c:numRef>
          </c:yVal>
        </c:ser>
        <c:ser>
          <c:idx val="4"/>
          <c:order val="2"/>
          <c:tx>
            <c:strRef>
              <c:f>Calculations!$X$23</c:f>
              <c:strCache>
                <c:ptCount val="1"/>
                <c:pt idx="0">
                  <c:v>64</c:v>
                </c:pt>
              </c:strCache>
            </c:strRef>
          </c:tx>
          <c:marker>
            <c:symbol val="none"/>
          </c:marker>
          <c:xVal>
            <c:numRef>
              <c:f>Calculations!$S$24:$S$31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11.433070866141732</c:v>
                </c:pt>
                <c:pt idx="2">
                  <c:v>17.574803149606296</c:v>
                </c:pt>
                <c:pt idx="3">
                  <c:v>23.622047244094489</c:v>
                </c:pt>
                <c:pt idx="4">
                  <c:v>28.251968503937004</c:v>
                </c:pt>
                <c:pt idx="5">
                  <c:v>36.566929133858267</c:v>
                </c:pt>
                <c:pt idx="6">
                  <c:v>44.125984251968504</c:v>
                </c:pt>
                <c:pt idx="7">
                  <c:v>54.330708661417319</c:v>
                </c:pt>
              </c:numCache>
            </c:numRef>
          </c:xVal>
          <c:yVal>
            <c:numRef>
              <c:f>Calculations!$X$24:$X$31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5.1062499999999966</c:v>
                </c:pt>
                <c:pt idx="2">
                  <c:v>7.4062499999999964</c:v>
                </c:pt>
                <c:pt idx="3">
                  <c:v>8.2187499999999964</c:v>
                </c:pt>
                <c:pt idx="4">
                  <c:v>8.618749999999995</c:v>
                </c:pt>
                <c:pt idx="5">
                  <c:v>9.418749999999994</c:v>
                </c:pt>
                <c:pt idx="6">
                  <c:v>9.6750000000000007</c:v>
                </c:pt>
                <c:pt idx="7">
                  <c:v>10.174999999999999</c:v>
                </c:pt>
              </c:numCache>
            </c:numRef>
          </c:yVal>
        </c:ser>
        <c:ser>
          <c:idx val="5"/>
          <c:order val="3"/>
          <c:tx>
            <c:strRef>
              <c:f>Calculations!$Y$23</c:f>
              <c:strCache>
                <c:ptCount val="1"/>
                <c:pt idx="0">
                  <c:v>64+3s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Calculations!$S$24:$S$31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11.433070866141732</c:v>
                </c:pt>
                <c:pt idx="2">
                  <c:v>17.574803149606296</c:v>
                </c:pt>
                <c:pt idx="3">
                  <c:v>23.622047244094489</c:v>
                </c:pt>
                <c:pt idx="4">
                  <c:v>28.251968503937004</c:v>
                </c:pt>
                <c:pt idx="5">
                  <c:v>36.566929133858267</c:v>
                </c:pt>
                <c:pt idx="6">
                  <c:v>44.125984251968504</c:v>
                </c:pt>
                <c:pt idx="7">
                  <c:v>54.330708661417319</c:v>
                </c:pt>
              </c:numCache>
            </c:numRef>
          </c:xVal>
          <c:yVal>
            <c:numRef>
              <c:f>Calculations!$Y$24:$Y$31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6.0666728804932681</c:v>
                </c:pt>
                <c:pt idx="2">
                  <c:v>8.4658738645741245</c:v>
                </c:pt>
                <c:pt idx="3">
                  <c:v>9.4580597562252162</c:v>
                </c:pt>
                <c:pt idx="4">
                  <c:v>10.318380876745739</c:v>
                </c:pt>
                <c:pt idx="5">
                  <c:v>11.833745268822993</c:v>
                </c:pt>
                <c:pt idx="6">
                  <c:v>13.268603937249138</c:v>
                </c:pt>
                <c:pt idx="7">
                  <c:v>14.321331562922527</c:v>
                </c:pt>
              </c:numCache>
            </c:numRef>
          </c:yVal>
        </c:ser>
        <c:ser>
          <c:idx val="7"/>
          <c:order val="4"/>
          <c:tx>
            <c:strRef>
              <c:f>Calculations!$AA$23</c:f>
              <c:strCache>
                <c:ptCount val="1"/>
                <c:pt idx="0">
                  <c:v>128</c:v>
                </c:pt>
              </c:strCache>
            </c:strRef>
          </c:tx>
          <c:marker>
            <c:symbol val="none"/>
          </c:marker>
          <c:xVal>
            <c:numRef>
              <c:f>Calculations!$S$24:$S$31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11.433070866141732</c:v>
                </c:pt>
                <c:pt idx="2">
                  <c:v>17.574803149606296</c:v>
                </c:pt>
                <c:pt idx="3">
                  <c:v>23.622047244094489</c:v>
                </c:pt>
                <c:pt idx="4">
                  <c:v>28.251968503937004</c:v>
                </c:pt>
                <c:pt idx="5">
                  <c:v>36.566929133858267</c:v>
                </c:pt>
                <c:pt idx="6">
                  <c:v>44.125984251968504</c:v>
                </c:pt>
                <c:pt idx="7">
                  <c:v>54.330708661417319</c:v>
                </c:pt>
              </c:numCache>
            </c:numRef>
          </c:xVal>
          <c:yVal>
            <c:numRef>
              <c:f>Calculations!$AA$24:$AA$31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6.7437499999999986</c:v>
                </c:pt>
                <c:pt idx="2">
                  <c:v>10.162499999999998</c:v>
                </c:pt>
                <c:pt idx="3">
                  <c:v>11.975000000000009</c:v>
                </c:pt>
                <c:pt idx="4">
                  <c:v>12.737500000000004</c:v>
                </c:pt>
                <c:pt idx="5">
                  <c:v>13.931250000000002</c:v>
                </c:pt>
                <c:pt idx="6">
                  <c:v>14.49375</c:v>
                </c:pt>
                <c:pt idx="7">
                  <c:v>14.36875</c:v>
                </c:pt>
              </c:numCache>
            </c:numRef>
          </c:yVal>
        </c:ser>
        <c:axId val="76572928"/>
        <c:axId val="76591488"/>
      </c:scatterChart>
      <c:valAx>
        <c:axId val="765729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baseline="0"/>
                  <a:t>Ambient (kLux Solar) </a:t>
                </a:r>
              </a:p>
            </c:rich>
          </c:tx>
          <c:layout/>
        </c:title>
        <c:numFmt formatCode="#,##0.0" sourceLinked="0"/>
        <c:tickLblPos val="nextTo"/>
        <c:crossAx val="76591488"/>
        <c:crosses val="autoZero"/>
        <c:crossBetween val="midCat"/>
      </c:valAx>
      <c:valAx>
        <c:axId val="765914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/>
                  <a:t>Prox Delta (LSBs)</a:t>
                </a:r>
              </a:p>
            </c:rich>
          </c:tx>
          <c:layout/>
        </c:title>
        <c:numFmt formatCode="#,##0.0" sourceLinked="0"/>
        <c:tickLblPos val="nextTo"/>
        <c:crossAx val="765729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11</xdr:row>
      <xdr:rowOff>9525</xdr:rowOff>
    </xdr:from>
    <xdr:to>
      <xdr:col>8</xdr:col>
      <xdr:colOff>254453</xdr:colOff>
      <xdr:row>25</xdr:row>
      <xdr:rowOff>91168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457200</xdr:colOff>
      <xdr:row>11</xdr:row>
      <xdr:rowOff>0</xdr:rowOff>
    </xdr:from>
    <xdr:to>
      <xdr:col>16</xdr:col>
      <xdr:colOff>540203</xdr:colOff>
      <xdr:row>25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15875</xdr:colOff>
      <xdr:row>1</xdr:row>
      <xdr:rowOff>13607</xdr:rowOff>
    </xdr:from>
    <xdr:to>
      <xdr:col>40</xdr:col>
      <xdr:colOff>294821</xdr:colOff>
      <xdr:row>15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0</xdr:colOff>
      <xdr:row>16</xdr:row>
      <xdr:rowOff>0</xdr:rowOff>
    </xdr:from>
    <xdr:to>
      <xdr:col>40</xdr:col>
      <xdr:colOff>278946</xdr:colOff>
      <xdr:row>30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0</xdr:colOff>
      <xdr:row>31</xdr:row>
      <xdr:rowOff>0</xdr:rowOff>
    </xdr:from>
    <xdr:to>
      <xdr:col>40</xdr:col>
      <xdr:colOff>278946</xdr:colOff>
      <xdr:row>45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J30"/>
  <sheetViews>
    <sheetView showGridLines="0" tabSelected="1" zoomScale="90" zoomScaleNormal="90" workbookViewId="0">
      <selection activeCell="I2" sqref="I2"/>
    </sheetView>
  </sheetViews>
  <sheetFormatPr defaultRowHeight="15"/>
  <cols>
    <col min="1" max="1" width="4.5703125" bestFit="1" customWidth="1"/>
    <col min="2" max="2" width="18" customWidth="1"/>
    <col min="3" max="3" width="10.85546875" bestFit="1" customWidth="1"/>
    <col min="4" max="4" width="7.140625" bestFit="1" customWidth="1"/>
    <col min="5" max="5" width="8.28515625" bestFit="1" customWidth="1"/>
    <col min="6" max="6" width="7.42578125" bestFit="1" customWidth="1"/>
    <col min="7" max="7" width="5.7109375" bestFit="1" customWidth="1"/>
    <col min="8" max="8" width="10.28515625" customWidth="1"/>
    <col min="9" max="10" width="9.140625" style="5"/>
  </cols>
  <sheetData>
    <row r="1" spans="1:8">
      <c r="A1" s="75" t="s">
        <v>28</v>
      </c>
      <c r="B1" s="76"/>
      <c r="C1" s="76"/>
      <c r="D1" s="76"/>
      <c r="E1" s="76"/>
      <c r="F1" s="76"/>
      <c r="G1" s="77"/>
    </row>
    <row r="2" spans="1:8">
      <c r="A2" s="64" t="s">
        <v>0</v>
      </c>
      <c r="B2" s="78" t="s">
        <v>1</v>
      </c>
      <c r="C2" s="79"/>
      <c r="D2" s="63" t="s">
        <v>5</v>
      </c>
      <c r="E2" s="4" t="s">
        <v>7</v>
      </c>
      <c r="F2" s="63" t="s">
        <v>6</v>
      </c>
      <c r="G2" s="65" t="s">
        <v>3</v>
      </c>
    </row>
    <row r="3" spans="1:8">
      <c r="A3" s="66">
        <v>1</v>
      </c>
      <c r="B3" s="83">
        <f>Calculations!T13</f>
        <v>0.2</v>
      </c>
      <c r="C3" s="47" t="s">
        <v>16</v>
      </c>
      <c r="D3" s="8">
        <f>Calculations!V13</f>
        <v>7.4273017177493433E-3</v>
      </c>
      <c r="E3" s="8">
        <f>Calculations!W13</f>
        <v>3.5073529411764705E-2</v>
      </c>
      <c r="F3" s="8">
        <f>Calculations!X13</f>
        <v>6.2719757105780066E-2</v>
      </c>
      <c r="G3" s="65" t="s">
        <v>2</v>
      </c>
      <c r="H3" s="1"/>
    </row>
    <row r="4" spans="1:8">
      <c r="A4" s="66">
        <f>A3+0.01</f>
        <v>1.01</v>
      </c>
      <c r="B4" s="84"/>
      <c r="C4" s="47" t="s">
        <v>17</v>
      </c>
      <c r="D4" s="8">
        <f>Calculations!V14</f>
        <v>-7.9349158128670123E-3</v>
      </c>
      <c r="E4" s="8">
        <f>Calculations!W14</f>
        <v>-1.0294117647058842E-3</v>
      </c>
      <c r="F4" s="8">
        <f>Calculations!X14</f>
        <v>5.8760922834552431E-3</v>
      </c>
      <c r="G4" s="65" t="str">
        <f>G3</f>
        <v>%FSR</v>
      </c>
      <c r="H4" s="1"/>
    </row>
    <row r="5" spans="1:8" ht="15" customHeight="1">
      <c r="A5" s="66">
        <f>A4+0.01</f>
        <v>1.02</v>
      </c>
      <c r="B5" s="83">
        <f>Calculations!T15</f>
        <v>0.25</v>
      </c>
      <c r="C5" s="51" t="str">
        <f t="shared" ref="C5:C8" si="0">C3</f>
        <v>Rise</v>
      </c>
      <c r="D5" s="52">
        <f>Calculations!V15</f>
        <v>1.7722598891055149E-2</v>
      </c>
      <c r="E5" s="52">
        <f>Calculations!W15</f>
        <v>4.1249999999999988E-2</v>
      </c>
      <c r="F5" s="52">
        <f>Calculations!X15</f>
        <v>6.4777401108944824E-2</v>
      </c>
      <c r="G5" s="67" t="str">
        <f t="shared" ref="G5:G8" si="1">G4</f>
        <v>%FSR</v>
      </c>
    </row>
    <row r="6" spans="1:8">
      <c r="A6" s="66">
        <f>A5+0.01</f>
        <v>1.03</v>
      </c>
      <c r="B6" s="84"/>
      <c r="C6" s="47" t="str">
        <f t="shared" si="0"/>
        <v>Droop</v>
      </c>
      <c r="D6" s="8">
        <f>Calculations!V16</f>
        <v>-1.0390961183516269E-2</v>
      </c>
      <c r="E6" s="8">
        <f>Calculations!W16</f>
        <v>-1.3480392156862697E-3</v>
      </c>
      <c r="F6" s="8">
        <f>Calculations!X16</f>
        <v>7.6948827521437294E-3</v>
      </c>
      <c r="G6" s="65" t="str">
        <f t="shared" si="1"/>
        <v>%FSR</v>
      </c>
    </row>
    <row r="7" spans="1:8">
      <c r="A7" s="66">
        <f t="shared" ref="A7:A8" si="2">A6+0.01</f>
        <v>1.04</v>
      </c>
      <c r="B7" s="83">
        <f>Calculations!T17</f>
        <v>0.49999999999999994</v>
      </c>
      <c r="C7" s="47" t="str">
        <f t="shared" si="0"/>
        <v>Rise</v>
      </c>
      <c r="D7" s="8">
        <f>Calculations!V17</f>
        <v>1.6559050146945718E-2</v>
      </c>
      <c r="E7" s="8">
        <f>Calculations!W17</f>
        <v>4.6593137254901974E-2</v>
      </c>
      <c r="F7" s="8">
        <f>Calculations!X17</f>
        <v>7.6627224362858237E-2</v>
      </c>
      <c r="G7" s="65" t="str">
        <f t="shared" si="1"/>
        <v>%FSR</v>
      </c>
    </row>
    <row r="8" spans="1:8" ht="15.75" thickBot="1">
      <c r="A8" s="68">
        <f t="shared" si="2"/>
        <v>1.05</v>
      </c>
      <c r="B8" s="85"/>
      <c r="C8" s="69" t="str">
        <f t="shared" si="0"/>
        <v>Droop</v>
      </c>
      <c r="D8" s="70">
        <f>Calculations!V18</f>
        <v>-8.123842379839992E-3</v>
      </c>
      <c r="E8" s="70">
        <f>Calculations!W18</f>
        <v>-1.0539215686274472E-3</v>
      </c>
      <c r="F8" s="70">
        <f>Calculations!X18</f>
        <v>6.015999242585098E-3</v>
      </c>
      <c r="G8" s="71" t="str">
        <f t="shared" si="1"/>
        <v>%FSR</v>
      </c>
    </row>
    <row r="9" spans="1:8">
      <c r="A9" s="59"/>
      <c r="B9" s="86"/>
      <c r="C9" s="60"/>
      <c r="D9" s="61"/>
      <c r="E9" s="61"/>
      <c r="F9" s="61"/>
      <c r="G9" s="62"/>
    </row>
    <row r="10" spans="1:8">
      <c r="A10" s="59"/>
      <c r="B10" s="86"/>
      <c r="C10" s="60"/>
      <c r="D10" s="61"/>
      <c r="E10" s="61"/>
      <c r="F10" s="61"/>
      <c r="G10" s="62"/>
    </row>
    <row r="29" spans="1:9">
      <c r="A29" s="80" t="s">
        <v>12</v>
      </c>
      <c r="B29" s="81"/>
      <c r="C29" s="81"/>
      <c r="D29" s="81"/>
      <c r="E29" s="81"/>
      <c r="F29" s="82"/>
      <c r="G29" s="24"/>
      <c r="H29" s="24"/>
      <c r="I29" s="24"/>
    </row>
    <row r="30" spans="1:9">
      <c r="A30" s="73" t="s">
        <v>13</v>
      </c>
      <c r="B30" s="74"/>
      <c r="C30" s="25">
        <f>Calculations!C14</f>
        <v>5</v>
      </c>
      <c r="D30" s="26"/>
      <c r="E30" s="26"/>
      <c r="F30" s="27"/>
    </row>
  </sheetData>
  <mergeCells count="8">
    <mergeCell ref="A30:B30"/>
    <mergeCell ref="A1:G1"/>
    <mergeCell ref="B2:C2"/>
    <mergeCell ref="A29:F29"/>
    <mergeCell ref="B3:B4"/>
    <mergeCell ref="B5:B6"/>
    <mergeCell ref="B7:B8"/>
    <mergeCell ref="B9:B1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AP123"/>
  <sheetViews>
    <sheetView zoomScale="70" zoomScaleNormal="70" workbookViewId="0">
      <pane ySplit="7350" topLeftCell="A73"/>
      <selection activeCell="C13" sqref="C13"/>
      <selection pane="bottomLeft" activeCell="H84" sqref="H84"/>
    </sheetView>
  </sheetViews>
  <sheetFormatPr defaultRowHeight="15"/>
  <cols>
    <col min="1" max="1" width="14.42578125" bestFit="1" customWidth="1"/>
    <col min="2" max="2" width="6" bestFit="1" customWidth="1"/>
    <col min="3" max="3" width="6.5703125" style="23" bestFit="1" customWidth="1"/>
    <col min="4" max="4" width="9.85546875" bestFit="1" customWidth="1"/>
    <col min="5" max="5" width="6.85546875" bestFit="1" customWidth="1"/>
    <col min="6" max="6" width="7.7109375" bestFit="1" customWidth="1"/>
    <col min="7" max="42" width="8.7109375" customWidth="1"/>
  </cols>
  <sheetData>
    <row r="1" spans="1:31">
      <c r="I1" s="92" t="s">
        <v>7</v>
      </c>
      <c r="J1" s="92"/>
      <c r="K1" s="92"/>
      <c r="L1" s="92"/>
      <c r="M1" s="92"/>
      <c r="N1" s="92"/>
      <c r="O1" s="92"/>
      <c r="P1" s="92"/>
      <c r="Q1" s="9"/>
      <c r="S1" s="45" t="str">
        <f>I2</f>
        <v>IR</v>
      </c>
      <c r="T1" s="36" t="s">
        <v>29</v>
      </c>
      <c r="U1" s="37">
        <f>J2</f>
        <v>0.2</v>
      </c>
      <c r="V1" s="38" t="s">
        <v>30</v>
      </c>
      <c r="W1" s="36" t="s">
        <v>31</v>
      </c>
      <c r="X1" s="37">
        <f>K2</f>
        <v>0.25</v>
      </c>
      <c r="Y1" s="38" t="s">
        <v>32</v>
      </c>
      <c r="Z1" s="36" t="s">
        <v>22</v>
      </c>
      <c r="AA1" s="37">
        <f>P2</f>
        <v>0.49999999999999994</v>
      </c>
      <c r="AB1" s="38" t="s">
        <v>23</v>
      </c>
      <c r="AC1" s="56"/>
      <c r="AD1" s="57"/>
      <c r="AE1" s="56"/>
    </row>
    <row r="2" spans="1:31">
      <c r="F2" t="s">
        <v>11</v>
      </c>
      <c r="G2" t="s">
        <v>14</v>
      </c>
      <c r="I2" s="23" t="s">
        <v>11</v>
      </c>
      <c r="J2" s="6">
        <f>D53</f>
        <v>0.2</v>
      </c>
      <c r="K2" s="6">
        <f>D54</f>
        <v>0.25</v>
      </c>
      <c r="L2" s="6">
        <f>D55</f>
        <v>0.3</v>
      </c>
      <c r="M2" s="6">
        <f>D56</f>
        <v>0.35</v>
      </c>
      <c r="N2" s="6">
        <f>D57</f>
        <v>0.39999999999999997</v>
      </c>
      <c r="O2" s="6">
        <f>D58</f>
        <v>0.44999999999999996</v>
      </c>
      <c r="P2" s="6">
        <f>D59</f>
        <v>0.49999999999999994</v>
      </c>
      <c r="Q2" s="6"/>
      <c r="S2" s="31">
        <v>0</v>
      </c>
      <c r="T2" s="31">
        <f>S2</f>
        <v>0</v>
      </c>
      <c r="U2" s="32">
        <f t="shared" ref="U2:AB2" si="0">T2</f>
        <v>0</v>
      </c>
      <c r="V2" s="33">
        <f t="shared" si="0"/>
        <v>0</v>
      </c>
      <c r="W2" s="31">
        <f t="shared" si="0"/>
        <v>0</v>
      </c>
      <c r="X2" s="32">
        <f t="shared" si="0"/>
        <v>0</v>
      </c>
      <c r="Y2" s="33">
        <f t="shared" si="0"/>
        <v>0</v>
      </c>
      <c r="Z2" s="31">
        <f t="shared" si="0"/>
        <v>0</v>
      </c>
      <c r="AA2" s="32">
        <f t="shared" si="0"/>
        <v>0</v>
      </c>
      <c r="AB2" s="33">
        <f t="shared" si="0"/>
        <v>0</v>
      </c>
      <c r="AC2" s="32"/>
      <c r="AD2" s="32"/>
      <c r="AE2" s="32"/>
    </row>
    <row r="3" spans="1:31">
      <c r="F3" s="13">
        <f>E52</f>
        <v>0.19055118110236219</v>
      </c>
      <c r="G3" s="13">
        <f>F52</f>
        <v>3.5213668937004623E-3</v>
      </c>
      <c r="I3" s="11">
        <f>F3</f>
        <v>0.19055118110236219</v>
      </c>
      <c r="J3" s="11">
        <f>E53</f>
        <v>1.5637254901960791E-2</v>
      </c>
      <c r="K3" s="11">
        <f>E54</f>
        <v>2.0024509803921554E-2</v>
      </c>
      <c r="L3" s="11">
        <f>E55</f>
        <v>2.2916666666666675E-2</v>
      </c>
      <c r="M3" s="11">
        <f>E56</f>
        <v>2.1960784313725491E-2</v>
      </c>
      <c r="N3" s="11">
        <f>E57</f>
        <v>2.7034313725490179E-2</v>
      </c>
      <c r="O3" s="11">
        <f>E58</f>
        <v>2.5465686274509802E-2</v>
      </c>
      <c r="P3" s="11">
        <f>E59</f>
        <v>2.6446078431372543E-2</v>
      </c>
      <c r="Q3" s="11"/>
      <c r="S3" s="39">
        <f t="shared" ref="S3:S9" si="1">I3</f>
        <v>0.19055118110236219</v>
      </c>
      <c r="T3" s="39">
        <f t="shared" ref="T3:T9" si="2">U3-$C$13*J15</f>
        <v>1.0739815197641871E-2</v>
      </c>
      <c r="U3" s="40">
        <f t="shared" ref="U3:U9" si="3">J3</f>
        <v>1.5637254901960791E-2</v>
      </c>
      <c r="V3" s="41">
        <f t="shared" ref="V3:V9" si="4">U3+$C$13*J15</f>
        <v>2.053469460627971E-2</v>
      </c>
      <c r="W3" s="39">
        <f t="shared" ref="W3:W9" si="5">X3-$C$13*K15</f>
        <v>1.6258145566693038E-2</v>
      </c>
      <c r="X3" s="40">
        <f t="shared" ref="X3:X9" si="6">K3</f>
        <v>2.0024509803921554E-2</v>
      </c>
      <c r="Y3" s="41">
        <f>X3+$C$13*K15</f>
        <v>2.379087404115007E-2</v>
      </c>
      <c r="Z3" s="39">
        <f t="shared" ref="Z3:Z9" si="7">AA3-$C$13*P15</f>
        <v>1.8171568990451643E-2</v>
      </c>
      <c r="AA3" s="40">
        <f t="shared" ref="AA3:AA9" si="8">P3</f>
        <v>2.6446078431372543E-2</v>
      </c>
      <c r="AB3" s="41">
        <f t="shared" ref="AB3:AB9" si="9">AA3+$C$13*P15</f>
        <v>3.4720587872293443E-2</v>
      </c>
      <c r="AC3" s="40"/>
      <c r="AD3" s="40"/>
      <c r="AE3" s="40"/>
    </row>
    <row r="4" spans="1:31">
      <c r="F4" s="13">
        <f>E60</f>
        <v>0.29291338582677162</v>
      </c>
      <c r="G4" s="13">
        <f>F60</f>
        <v>3.5213668937004749E-3</v>
      </c>
      <c r="I4" s="11">
        <f t="shared" ref="I4:I9" si="10">F4</f>
        <v>0.29291338582677162</v>
      </c>
      <c r="J4" s="11">
        <f>E61</f>
        <v>2.3602941176470597E-2</v>
      </c>
      <c r="K4" s="11">
        <f>E62</f>
        <v>2.9044117647058811E-2</v>
      </c>
      <c r="L4" s="11">
        <f>E63</f>
        <v>3.2916666666666684E-2</v>
      </c>
      <c r="M4" s="11">
        <f>E64</f>
        <v>3.3112745098039228E-2</v>
      </c>
      <c r="N4" s="11">
        <f>E65</f>
        <v>3.8700980392156838E-2</v>
      </c>
      <c r="O4" s="11">
        <f>E66</f>
        <v>3.9142156862745067E-2</v>
      </c>
      <c r="P4" s="11">
        <f>E67</f>
        <v>3.9852941176470577E-2</v>
      </c>
      <c r="Q4" s="11"/>
      <c r="S4" s="39">
        <f t="shared" si="1"/>
        <v>0.29291338582677162</v>
      </c>
      <c r="T4" s="39">
        <f t="shared" si="2"/>
        <v>1.8225356700854473E-2</v>
      </c>
      <c r="U4" s="40">
        <f t="shared" si="3"/>
        <v>2.3602941176470597E-2</v>
      </c>
      <c r="V4" s="41">
        <f t="shared" si="4"/>
        <v>2.8980525652086721E-2</v>
      </c>
      <c r="W4" s="39">
        <f t="shared" si="5"/>
        <v>2.4888729942846542E-2</v>
      </c>
      <c r="X4" s="40">
        <f t="shared" si="6"/>
        <v>2.9044117647058811E-2</v>
      </c>
      <c r="Y4" s="41">
        <f>X4+$C$13*K16</f>
        <v>3.3199505351271079E-2</v>
      </c>
      <c r="Z4" s="39">
        <f t="shared" si="7"/>
        <v>2.888081666844005E-2</v>
      </c>
      <c r="AA4" s="40">
        <f t="shared" si="8"/>
        <v>3.9852941176470577E-2</v>
      </c>
      <c r="AB4" s="41">
        <f t="shared" si="9"/>
        <v>5.0825065684501104E-2</v>
      </c>
      <c r="AC4" s="40"/>
      <c r="AD4" s="40"/>
      <c r="AE4" s="40"/>
    </row>
    <row r="5" spans="1:31">
      <c r="F5" s="13">
        <f>E68</f>
        <v>0.39370078740157483</v>
      </c>
      <c r="G5" s="13">
        <f>F68</f>
        <v>0</v>
      </c>
      <c r="I5" s="11">
        <f t="shared" si="10"/>
        <v>0.39370078740157483</v>
      </c>
      <c r="J5" s="11">
        <f>E69</f>
        <v>2.5735294117647061E-2</v>
      </c>
      <c r="K5" s="11">
        <f>E70</f>
        <v>3.2230392156862728E-2</v>
      </c>
      <c r="L5" s="11">
        <f>E71</f>
        <v>3.6617647058823546E-2</v>
      </c>
      <c r="M5" s="11">
        <f>E72</f>
        <v>3.7230392156862746E-2</v>
      </c>
      <c r="N5" s="11">
        <f>E73</f>
        <v>4.3970588235294095E-2</v>
      </c>
      <c r="O5" s="11">
        <f>E74</f>
        <v>4.3382352941176462E-2</v>
      </c>
      <c r="P5" s="11">
        <f>E75</f>
        <v>4.6960784313725523E-2</v>
      </c>
      <c r="Q5" s="11"/>
      <c r="S5" s="39">
        <f t="shared" si="1"/>
        <v>0.39370078740157483</v>
      </c>
      <c r="T5" s="39">
        <f t="shared" si="2"/>
        <v>1.817949856082185E-2</v>
      </c>
      <c r="U5" s="40">
        <f t="shared" si="3"/>
        <v>2.5735294117647061E-2</v>
      </c>
      <c r="V5" s="41">
        <f t="shared" si="4"/>
        <v>3.3291089674472273E-2</v>
      </c>
      <c r="W5" s="39">
        <f t="shared" si="5"/>
        <v>2.7370353897155985E-2</v>
      </c>
      <c r="X5" s="40">
        <f t="shared" si="6"/>
        <v>3.2230392156862728E-2</v>
      </c>
      <c r="Y5" s="41">
        <f t="shared" ref="Y5:Y9" si="11">X5+$C$13*K17</f>
        <v>3.7090430416569467E-2</v>
      </c>
      <c r="Z5" s="39">
        <f t="shared" si="7"/>
        <v>3.6766116324694495E-2</v>
      </c>
      <c r="AA5" s="40">
        <f t="shared" si="8"/>
        <v>4.6960784313725523E-2</v>
      </c>
      <c r="AB5" s="41">
        <f t="shared" si="9"/>
        <v>5.7155452302756551E-2</v>
      </c>
      <c r="AC5" s="40"/>
      <c r="AD5" s="40"/>
      <c r="AE5" s="40"/>
    </row>
    <row r="6" spans="1:31">
      <c r="F6" s="13">
        <f>E76</f>
        <v>0.47086614173228342</v>
      </c>
      <c r="G6" s="13">
        <f>F76</f>
        <v>3.5213668937004502E-3</v>
      </c>
      <c r="I6" s="11">
        <f t="shared" si="10"/>
        <v>0.47086614173228342</v>
      </c>
      <c r="J6" s="11">
        <f>E77</f>
        <v>2.9313725490196091E-2</v>
      </c>
      <c r="K6" s="11">
        <f>E78</f>
        <v>3.3799019607843116E-2</v>
      </c>
      <c r="L6" s="11">
        <f>E79</f>
        <v>3.9019607843137259E-2</v>
      </c>
      <c r="M6" s="11">
        <f>E80</f>
        <v>3.9313725490196086E-2</v>
      </c>
      <c r="N6" s="11">
        <f>E81</f>
        <v>4.6397058823529402E-2</v>
      </c>
      <c r="O6" s="11">
        <f>E82</f>
        <v>4.6151960784313731E-2</v>
      </c>
      <c r="P6" s="11">
        <f>E83</f>
        <v>4.9950980392156882E-2</v>
      </c>
      <c r="Q6" s="11"/>
      <c r="S6" s="39">
        <f t="shared" si="1"/>
        <v>0.47086614173228342</v>
      </c>
      <c r="T6" s="39">
        <f t="shared" si="2"/>
        <v>2.0485027555439038E-2</v>
      </c>
      <c r="U6" s="40">
        <f t="shared" si="3"/>
        <v>2.9313725490196091E-2</v>
      </c>
      <c r="V6" s="41">
        <f t="shared" si="4"/>
        <v>3.8142423424953144E-2</v>
      </c>
      <c r="W6" s="39">
        <f t="shared" si="5"/>
        <v>2.7133800483350005E-2</v>
      </c>
      <c r="X6" s="40">
        <f t="shared" si="6"/>
        <v>3.3799019607843116E-2</v>
      </c>
      <c r="Y6" s="41">
        <f t="shared" si="11"/>
        <v>4.0464238732336226E-2</v>
      </c>
      <c r="Z6" s="39">
        <f t="shared" si="7"/>
        <v>3.7555084966668151E-2</v>
      </c>
      <c r="AA6" s="40">
        <f t="shared" si="8"/>
        <v>4.9950980392156882E-2</v>
      </c>
      <c r="AB6" s="41">
        <f t="shared" si="9"/>
        <v>6.2346875817645614E-2</v>
      </c>
      <c r="AC6" s="40"/>
      <c r="AD6" s="40"/>
      <c r="AE6" s="40"/>
    </row>
    <row r="7" spans="1:31">
      <c r="F7" s="13">
        <f>E84</f>
        <v>0.6094488188976378</v>
      </c>
      <c r="G7" s="13">
        <f>F84</f>
        <v>4.3127760433477567E-3</v>
      </c>
      <c r="I7" s="11">
        <f t="shared" si="10"/>
        <v>0.6094488188976378</v>
      </c>
      <c r="J7" s="11">
        <f>E85</f>
        <v>3.1176470588235299E-2</v>
      </c>
      <c r="K7" s="11">
        <f>E86</f>
        <v>3.6936274509803899E-2</v>
      </c>
      <c r="L7" s="11">
        <f>E87</f>
        <v>4.1936274509803917E-2</v>
      </c>
      <c r="M7" s="11">
        <f>E88</f>
        <v>4.3063725490196089E-2</v>
      </c>
      <c r="N7" s="11">
        <f>E89</f>
        <v>5.0465686274509779E-2</v>
      </c>
      <c r="O7" s="11">
        <f>E90</f>
        <v>5.1078431372548992E-2</v>
      </c>
      <c r="P7" s="11">
        <f>E91</f>
        <v>5.4632352941176479E-2</v>
      </c>
      <c r="Q7" s="11"/>
      <c r="S7" s="39">
        <f t="shared" si="1"/>
        <v>0.6094488188976378</v>
      </c>
      <c r="T7" s="39">
        <f t="shared" si="2"/>
        <v>2.0469164202659044E-2</v>
      </c>
      <c r="U7" s="40">
        <f t="shared" si="3"/>
        <v>3.1176470588235299E-2</v>
      </c>
      <c r="V7" s="41">
        <f t="shared" si="4"/>
        <v>4.1883776973811557E-2</v>
      </c>
      <c r="W7" s="39">
        <f t="shared" si="5"/>
        <v>2.7465704828145077E-2</v>
      </c>
      <c r="X7" s="40">
        <f t="shared" si="6"/>
        <v>3.6936274509803899E-2</v>
      </c>
      <c r="Y7" s="41">
        <f t="shared" si="11"/>
        <v>4.6406844191462723E-2</v>
      </c>
      <c r="Z7" s="39">
        <f t="shared" si="7"/>
        <v>3.7041680156113962E-2</v>
      </c>
      <c r="AA7" s="40">
        <f t="shared" si="8"/>
        <v>5.4632352941176479E-2</v>
      </c>
      <c r="AB7" s="41">
        <f t="shared" si="9"/>
        <v>7.2223025726238996E-2</v>
      </c>
      <c r="AC7" s="40"/>
      <c r="AD7" s="40"/>
      <c r="AE7" s="40"/>
    </row>
    <row r="8" spans="1:31">
      <c r="D8" s="6"/>
      <c r="F8" s="13">
        <f>E92</f>
        <v>0.73543307086614174</v>
      </c>
      <c r="G8" s="13">
        <f>F92</f>
        <v>4.3127760433477567E-3</v>
      </c>
      <c r="I8" s="11">
        <f t="shared" si="10"/>
        <v>0.73543307086614174</v>
      </c>
      <c r="J8" s="11">
        <f>E93</f>
        <v>3.1887254901960781E-2</v>
      </c>
      <c r="K8" s="11">
        <f>E94</f>
        <v>3.7941176470588235E-2</v>
      </c>
      <c r="L8" s="11">
        <f>E95</f>
        <v>4.3333333333333349E-2</v>
      </c>
      <c r="M8" s="11">
        <f>E96</f>
        <v>4.4583333333333343E-2</v>
      </c>
      <c r="N8" s="11">
        <f>E97</f>
        <v>5.2794117647058804E-2</v>
      </c>
      <c r="O8" s="11">
        <f>E98</f>
        <v>5.4436274509803893E-2</v>
      </c>
      <c r="P8" s="11">
        <f>E99</f>
        <v>5.6838235294117648E-2</v>
      </c>
      <c r="Q8" s="11"/>
      <c r="S8" s="39">
        <f t="shared" si="1"/>
        <v>0.73543307086614174</v>
      </c>
      <c r="T8" s="39">
        <f t="shared" si="2"/>
        <v>1.6859526781691003E-2</v>
      </c>
      <c r="U8" s="40">
        <f t="shared" si="3"/>
        <v>3.1887254901960781E-2</v>
      </c>
      <c r="V8" s="41">
        <f t="shared" si="4"/>
        <v>4.6914983022230558E-2</v>
      </c>
      <c r="W8" s="39">
        <f t="shared" si="5"/>
        <v>2.3848612010787699E-2</v>
      </c>
      <c r="X8" s="40">
        <f t="shared" si="6"/>
        <v>3.7941176470588235E-2</v>
      </c>
      <c r="Y8" s="41">
        <f t="shared" si="11"/>
        <v>5.2033740930388775E-2</v>
      </c>
      <c r="Z8" s="39">
        <f t="shared" si="7"/>
        <v>3.998932716874351E-2</v>
      </c>
      <c r="AA8" s="40">
        <f t="shared" si="8"/>
        <v>5.6838235294117648E-2</v>
      </c>
      <c r="AB8" s="41">
        <f t="shared" si="9"/>
        <v>7.3687143419491785E-2</v>
      </c>
      <c r="AC8" s="40"/>
      <c r="AD8" s="40"/>
      <c r="AE8" s="40"/>
    </row>
    <row r="9" spans="1:31">
      <c r="D9" s="6"/>
      <c r="F9" s="13">
        <f>E100</f>
        <v>0.90551181102362199</v>
      </c>
      <c r="G9" s="13">
        <f>F100</f>
        <v>5.5677699306027652E-3</v>
      </c>
      <c r="I9" s="11">
        <f t="shared" si="10"/>
        <v>0.90551181102362199</v>
      </c>
      <c r="J9" s="11">
        <f>E101</f>
        <v>3.4044117647058822E-2</v>
      </c>
      <c r="K9" s="11">
        <f>E102</f>
        <v>3.9901960784313718E-2</v>
      </c>
      <c r="L9" s="11">
        <f>E103</f>
        <v>4.5539215686274524E-2</v>
      </c>
      <c r="M9" s="11">
        <f>E104</f>
        <v>4.732843137254903E-2</v>
      </c>
      <c r="N9" s="11">
        <f>E105</f>
        <v>5.5049019607843107E-2</v>
      </c>
      <c r="O9" s="11">
        <f>E106</f>
        <v>5.6102941176470578E-2</v>
      </c>
      <c r="P9" s="11">
        <f>E107</f>
        <v>5.6348039215686277E-2</v>
      </c>
      <c r="Q9" s="11"/>
      <c r="S9" s="42">
        <f t="shared" si="1"/>
        <v>0.90551181102362199</v>
      </c>
      <c r="T9" s="42">
        <f t="shared" si="2"/>
        <v>1.6939933375558887E-2</v>
      </c>
      <c r="U9" s="43">
        <f t="shared" si="3"/>
        <v>3.4044117647058822E-2</v>
      </c>
      <c r="V9" s="44">
        <f t="shared" si="4"/>
        <v>5.1148301918558757E-2</v>
      </c>
      <c r="W9" s="42">
        <f t="shared" si="5"/>
        <v>2.364183700814694E-2</v>
      </c>
      <c r="X9" s="43">
        <f t="shared" si="6"/>
        <v>3.9901960784313718E-2</v>
      </c>
      <c r="Y9" s="44">
        <f t="shared" si="11"/>
        <v>5.6162084560480496E-2</v>
      </c>
      <c r="Z9" s="42">
        <f t="shared" si="7"/>
        <v>3.6405770136648238E-2</v>
      </c>
      <c r="AA9" s="43">
        <f t="shared" si="8"/>
        <v>5.6348039215686277E-2</v>
      </c>
      <c r="AB9" s="44">
        <f t="shared" si="9"/>
        <v>7.6290308294724316E-2</v>
      </c>
      <c r="AC9" s="40"/>
      <c r="AD9" s="40"/>
      <c r="AE9" s="40"/>
    </row>
    <row r="10" spans="1:31" ht="15.75" thickBot="1">
      <c r="D10" s="6"/>
      <c r="I10" t="s">
        <v>16</v>
      </c>
      <c r="J10" s="11">
        <f>MAX(J3:J9)</f>
        <v>3.4044117647058822E-2</v>
      </c>
      <c r="K10" s="11">
        <f t="shared" ref="K10:P10" si="12">MAX(K3:K9)</f>
        <v>3.9901960784313718E-2</v>
      </c>
      <c r="L10" s="11">
        <f t="shared" ref="L10:O10" si="13">MAX(L3:L9)</f>
        <v>4.5539215686274524E-2</v>
      </c>
      <c r="M10" s="11">
        <f t="shared" si="13"/>
        <v>4.732843137254903E-2</v>
      </c>
      <c r="N10" s="11">
        <f t="shared" si="13"/>
        <v>5.5049019607843107E-2</v>
      </c>
      <c r="O10" s="11">
        <f t="shared" si="13"/>
        <v>5.6102941176470578E-2</v>
      </c>
      <c r="P10" s="11">
        <f t="shared" si="12"/>
        <v>5.6838235294117648E-2</v>
      </c>
      <c r="Q10" s="11"/>
    </row>
    <row r="11" spans="1:31">
      <c r="A11" s="88" t="s">
        <v>18</v>
      </c>
      <c r="B11" s="89"/>
      <c r="C11" s="48">
        <v>255</v>
      </c>
      <c r="I11" t="s">
        <v>17</v>
      </c>
      <c r="J11" s="11">
        <f>J10-J9</f>
        <v>0</v>
      </c>
      <c r="K11" s="11">
        <f t="shared" ref="K11:P11" si="14">K10-K9</f>
        <v>0</v>
      </c>
      <c r="L11" s="11">
        <f t="shared" ref="L11:O11" si="15">L10-L9</f>
        <v>0</v>
      </c>
      <c r="M11" s="11">
        <f t="shared" si="15"/>
        <v>0</v>
      </c>
      <c r="N11" s="11">
        <f t="shared" si="15"/>
        <v>0</v>
      </c>
      <c r="O11" s="11">
        <f t="shared" si="15"/>
        <v>0</v>
      </c>
      <c r="P11" s="11">
        <f t="shared" si="14"/>
        <v>4.9019607843137081E-4</v>
      </c>
      <c r="Q11" s="11"/>
      <c r="S11" s="97" t="s">
        <v>27</v>
      </c>
      <c r="T11" s="97"/>
      <c r="U11" s="97"/>
      <c r="V11" s="97"/>
      <c r="W11" s="97"/>
      <c r="X11" s="97"/>
      <c r="Y11" s="97"/>
    </row>
    <row r="12" spans="1:31">
      <c r="A12" s="90" t="s">
        <v>20</v>
      </c>
      <c r="B12" s="91"/>
      <c r="C12" s="49">
        <v>60</v>
      </c>
      <c r="S12" s="2" t="s">
        <v>0</v>
      </c>
      <c r="T12" s="78" t="s">
        <v>1</v>
      </c>
      <c r="U12" s="79"/>
      <c r="V12" s="63" t="s">
        <v>5</v>
      </c>
      <c r="W12" s="4" t="s">
        <v>7</v>
      </c>
      <c r="X12" s="63" t="s">
        <v>6</v>
      </c>
      <c r="Y12" s="4" t="s">
        <v>3</v>
      </c>
    </row>
    <row r="13" spans="1:31">
      <c r="A13" s="93" t="s">
        <v>21</v>
      </c>
      <c r="B13" s="94"/>
      <c r="C13" s="49">
        <v>1.5</v>
      </c>
      <c r="I13" s="92" t="s">
        <v>14</v>
      </c>
      <c r="J13" s="92"/>
      <c r="K13" s="92"/>
      <c r="L13" s="92"/>
      <c r="M13" s="92"/>
      <c r="N13" s="92"/>
      <c r="O13" s="92"/>
      <c r="P13" s="92"/>
      <c r="Q13" s="9"/>
      <c r="S13" s="3">
        <v>1</v>
      </c>
      <c r="T13" s="98">
        <f>J2</f>
        <v>0.2</v>
      </c>
      <c r="U13" s="47" t="s">
        <v>16</v>
      </c>
      <c r="V13" s="8">
        <f>E110-3*F110</f>
        <v>7.4273017177493433E-3</v>
      </c>
      <c r="W13" s="8">
        <f>E110</f>
        <v>3.5073529411764705E-2</v>
      </c>
      <c r="X13" s="8">
        <f>E110+3*F110</f>
        <v>6.2719757105780066E-2</v>
      </c>
      <c r="Y13" s="4" t="s">
        <v>2</v>
      </c>
    </row>
    <row r="14" spans="1:31" ht="15.75" thickBot="1">
      <c r="A14" s="95" t="s">
        <v>26</v>
      </c>
      <c r="B14" s="96"/>
      <c r="C14" s="50">
        <f>COUNT(data0!E2:AJ2)</f>
        <v>5</v>
      </c>
      <c r="I14" s="23" t="str">
        <f>I2</f>
        <v>IR</v>
      </c>
      <c r="J14" s="6">
        <f t="shared" ref="J14:P14" si="16">J2</f>
        <v>0.2</v>
      </c>
      <c r="K14" s="6">
        <f t="shared" si="16"/>
        <v>0.25</v>
      </c>
      <c r="L14" s="6">
        <f t="shared" si="16"/>
        <v>0.3</v>
      </c>
      <c r="M14" s="6">
        <f t="shared" si="16"/>
        <v>0.35</v>
      </c>
      <c r="N14" s="6">
        <f t="shared" si="16"/>
        <v>0.39999999999999997</v>
      </c>
      <c r="O14" s="6">
        <f t="shared" si="16"/>
        <v>0.44999999999999996</v>
      </c>
      <c r="P14" s="6">
        <f t="shared" si="16"/>
        <v>0.49999999999999994</v>
      </c>
      <c r="Q14" s="6"/>
      <c r="S14" s="3">
        <f>S13+0.01</f>
        <v>1.01</v>
      </c>
      <c r="T14" s="98"/>
      <c r="U14" s="47" t="s">
        <v>17</v>
      </c>
      <c r="V14" s="8">
        <f t="shared" ref="V14:V18" si="17">E111-3*F111</f>
        <v>-7.9349158128670123E-3</v>
      </c>
      <c r="W14" s="8">
        <f t="shared" ref="W14:W18" si="18">E111</f>
        <v>-1.0294117647058842E-3</v>
      </c>
      <c r="X14" s="8">
        <f t="shared" ref="X14:X18" si="19">E111+3*F111</f>
        <v>5.8760922834552431E-3</v>
      </c>
      <c r="Y14" s="4" t="str">
        <f>Y13</f>
        <v>%FSR</v>
      </c>
    </row>
    <row r="15" spans="1:31">
      <c r="D15" s="6"/>
      <c r="I15" s="11">
        <f t="shared" ref="I15:I21" si="20">I3</f>
        <v>0.19055118110236219</v>
      </c>
      <c r="J15" s="11">
        <f>F53</f>
        <v>3.2649598028792796E-3</v>
      </c>
      <c r="K15" s="11">
        <f>F54</f>
        <v>2.5109094914856776E-3</v>
      </c>
      <c r="L15" s="11">
        <f>F55</f>
        <v>3.6167535694543438E-3</v>
      </c>
      <c r="M15" s="11">
        <f>F56</f>
        <v>6.9196259702283408E-3</v>
      </c>
      <c r="N15" s="11">
        <f>F57</f>
        <v>3.1239184979776607E-3</v>
      </c>
      <c r="O15" s="11">
        <f>F58</f>
        <v>6.7981024163290635E-3</v>
      </c>
      <c r="P15" s="11">
        <f>F59</f>
        <v>5.516339627280601E-3</v>
      </c>
      <c r="Q15" s="11"/>
      <c r="S15" s="3">
        <f>S14+0.01</f>
        <v>1.02</v>
      </c>
      <c r="T15" s="98">
        <f>K2</f>
        <v>0.25</v>
      </c>
      <c r="U15" s="47" t="str">
        <f t="shared" ref="U15:U18" si="21">U13</f>
        <v>Rise</v>
      </c>
      <c r="V15" s="8">
        <f t="shared" si="17"/>
        <v>1.7722598891055149E-2</v>
      </c>
      <c r="W15" s="8">
        <f t="shared" si="18"/>
        <v>4.1249999999999988E-2</v>
      </c>
      <c r="X15" s="8">
        <f t="shared" si="19"/>
        <v>6.4777401108944824E-2</v>
      </c>
      <c r="Y15" s="4" t="str">
        <f t="shared" ref="Y15:Y18" si="22">Y14</f>
        <v>%FSR</v>
      </c>
    </row>
    <row r="16" spans="1:31">
      <c r="I16" s="11">
        <f t="shared" si="20"/>
        <v>0.29291338582677162</v>
      </c>
      <c r="J16" s="11">
        <f>F61</f>
        <v>3.5850563170774165E-3</v>
      </c>
      <c r="K16" s="11">
        <f>F62</f>
        <v>2.7702584694748456E-3</v>
      </c>
      <c r="L16" s="11">
        <f>F63</f>
        <v>3.9278824785233032E-3</v>
      </c>
      <c r="M16" s="11">
        <f>F64</f>
        <v>7.3567188008514962E-3</v>
      </c>
      <c r="N16" s="11">
        <f>F65</f>
        <v>3.9543665244594316E-3</v>
      </c>
      <c r="O16" s="11">
        <f>F66</f>
        <v>8.2329777613052765E-3</v>
      </c>
      <c r="P16" s="11">
        <f>F67</f>
        <v>7.3147496720203506E-3</v>
      </c>
      <c r="Q16" s="11"/>
      <c r="S16" s="3">
        <f>S15+0.01</f>
        <v>1.03</v>
      </c>
      <c r="T16" s="98"/>
      <c r="U16" s="47" t="str">
        <f t="shared" si="21"/>
        <v>Droop</v>
      </c>
      <c r="V16" s="8">
        <f t="shared" si="17"/>
        <v>-1.0390961183516269E-2</v>
      </c>
      <c r="W16" s="8">
        <f t="shared" si="18"/>
        <v>-1.3480392156862697E-3</v>
      </c>
      <c r="X16" s="8">
        <f t="shared" si="19"/>
        <v>7.6948827521437294E-3</v>
      </c>
      <c r="Y16" s="4" t="str">
        <f t="shared" si="22"/>
        <v>%FSR</v>
      </c>
    </row>
    <row r="17" spans="4:31">
      <c r="D17" s="6"/>
      <c r="I17" s="11">
        <f t="shared" si="20"/>
        <v>0.39370078740157483</v>
      </c>
      <c r="J17" s="11">
        <f>F69</f>
        <v>5.0371970378834752E-3</v>
      </c>
      <c r="K17" s="11">
        <f>F70</f>
        <v>3.2400255064711611E-3</v>
      </c>
      <c r="L17" s="11">
        <f>F71</f>
        <v>4.8707647046588838E-3</v>
      </c>
      <c r="M17" s="11">
        <f>F72</f>
        <v>8.3735154364872454E-3</v>
      </c>
      <c r="N17" s="11">
        <f>F73</f>
        <v>5.1202910400178206E-3</v>
      </c>
      <c r="O17" s="11">
        <f>F74</f>
        <v>7.8555737796751988E-3</v>
      </c>
      <c r="P17" s="11">
        <f>F75</f>
        <v>6.7964453260206835E-3</v>
      </c>
      <c r="Q17" s="11"/>
      <c r="S17" s="3">
        <f t="shared" ref="S17:S18" si="23">S16+0.01</f>
        <v>1.04</v>
      </c>
      <c r="T17" s="98">
        <f>P2</f>
        <v>0.49999999999999994</v>
      </c>
      <c r="U17" s="47" t="str">
        <f t="shared" si="21"/>
        <v>Rise</v>
      </c>
      <c r="V17" s="8">
        <f t="shared" si="17"/>
        <v>1.6559050146945718E-2</v>
      </c>
      <c r="W17" s="8">
        <f t="shared" si="18"/>
        <v>4.6593137254901974E-2</v>
      </c>
      <c r="X17" s="8">
        <f t="shared" si="19"/>
        <v>7.6627224362858237E-2</v>
      </c>
      <c r="Y17" s="4" t="str">
        <f t="shared" si="22"/>
        <v>%FSR</v>
      </c>
    </row>
    <row r="18" spans="4:31">
      <c r="D18" s="6"/>
      <c r="I18" s="11">
        <f t="shared" si="20"/>
        <v>0.47086614173228342</v>
      </c>
      <c r="J18" s="11">
        <f>F77</f>
        <v>5.8857986231713672E-3</v>
      </c>
      <c r="K18" s="11">
        <f>F78</f>
        <v>4.4434794163287416E-3</v>
      </c>
      <c r="L18" s="11">
        <f>F79</f>
        <v>6.0829264688323339E-3</v>
      </c>
      <c r="M18" s="11">
        <f>F80</f>
        <v>8.458723591999168E-3</v>
      </c>
      <c r="N18" s="11">
        <f>F81</f>
        <v>5.2543383422501881E-3</v>
      </c>
      <c r="O18" s="11">
        <f>F82</f>
        <v>9.3401328420485014E-3</v>
      </c>
      <c r="P18" s="11">
        <f>F83</f>
        <v>8.2639302836591561E-3</v>
      </c>
      <c r="Q18" s="11"/>
      <c r="S18" s="3">
        <f t="shared" si="23"/>
        <v>1.05</v>
      </c>
      <c r="T18" s="98"/>
      <c r="U18" s="47" t="str">
        <f t="shared" si="21"/>
        <v>Droop</v>
      </c>
      <c r="V18" s="8">
        <f t="shared" si="17"/>
        <v>-8.123842379839992E-3</v>
      </c>
      <c r="W18" s="8">
        <f t="shared" si="18"/>
        <v>-1.0539215686274472E-3</v>
      </c>
      <c r="X18" s="8">
        <f t="shared" si="19"/>
        <v>6.015999242585098E-3</v>
      </c>
      <c r="Y18" s="4" t="str">
        <f t="shared" si="22"/>
        <v>%FSR</v>
      </c>
    </row>
    <row r="19" spans="4:31">
      <c r="D19" s="6"/>
      <c r="I19" s="11">
        <f t="shared" si="20"/>
        <v>0.6094488188976378</v>
      </c>
      <c r="J19" s="11">
        <f>F85</f>
        <v>7.1382042570508359E-3</v>
      </c>
      <c r="K19" s="11">
        <f>F86</f>
        <v>6.3137131211058808E-3</v>
      </c>
      <c r="L19" s="11">
        <f>F87</f>
        <v>8.224673648970178E-3</v>
      </c>
      <c r="M19" s="11">
        <f>F88</f>
        <v>1.2012492196127092E-2</v>
      </c>
      <c r="N19" s="11">
        <f>F89</f>
        <v>7.0980112866420499E-3</v>
      </c>
      <c r="O19" s="11">
        <f>F90</f>
        <v>1.306265630396417E-2</v>
      </c>
      <c r="P19" s="11">
        <f>F91</f>
        <v>1.1727115190041678E-2</v>
      </c>
      <c r="Q19" s="11"/>
      <c r="S19" s="59"/>
      <c r="T19" s="86"/>
      <c r="U19" s="60"/>
      <c r="V19" s="61"/>
      <c r="W19" s="61"/>
      <c r="X19" s="61"/>
      <c r="Y19" s="62"/>
    </row>
    <row r="20" spans="4:31">
      <c r="D20" s="6"/>
      <c r="I20" s="11">
        <f t="shared" si="20"/>
        <v>0.73543307086614174</v>
      </c>
      <c r="J20" s="11">
        <f>F93</f>
        <v>1.0018485413513186E-2</v>
      </c>
      <c r="K20" s="11">
        <f>F94</f>
        <v>9.3950429732003581E-3</v>
      </c>
      <c r="L20" s="11">
        <f>F95</f>
        <v>1.0151838293728977E-2</v>
      </c>
      <c r="M20" s="11">
        <f>F96</f>
        <v>1.2354497256488907E-2</v>
      </c>
      <c r="N20" s="11">
        <f>F97</f>
        <v>9.6819154724907281E-3</v>
      </c>
      <c r="O20" s="11">
        <f>F98</f>
        <v>1.3291174246861638E-2</v>
      </c>
      <c r="P20" s="11">
        <f>F99</f>
        <v>1.1232605416916092E-2</v>
      </c>
      <c r="Q20" s="11"/>
      <c r="S20" s="59"/>
      <c r="T20" s="86"/>
      <c r="U20" s="60"/>
      <c r="V20" s="61"/>
      <c r="W20" s="61"/>
      <c r="X20" s="61"/>
      <c r="Y20" s="62"/>
    </row>
    <row r="21" spans="4:31">
      <c r="I21" s="11">
        <f t="shared" si="20"/>
        <v>0.90551181102362199</v>
      </c>
      <c r="J21" s="11">
        <f>F101</f>
        <v>1.1402789514333291E-2</v>
      </c>
      <c r="K21" s="11">
        <f>F102</f>
        <v>1.0840082517444519E-2</v>
      </c>
      <c r="L21" s="11">
        <f>F103</f>
        <v>1.2355773582063835E-2</v>
      </c>
      <c r="M21" s="11">
        <f>F104</f>
        <v>1.5010979337565476E-2</v>
      </c>
      <c r="N21" s="11">
        <f>F105</f>
        <v>1.2141757099975991E-2</v>
      </c>
      <c r="O21" s="11">
        <f>F106</f>
        <v>1.5936179516125085E-2</v>
      </c>
      <c r="P21" s="11">
        <f>F107</f>
        <v>1.3294846052692023E-2</v>
      </c>
      <c r="Q21" s="11"/>
    </row>
    <row r="22" spans="4:31">
      <c r="D22" s="6"/>
    </row>
    <row r="23" spans="4:31">
      <c r="I23" s="92" t="str">
        <f>I1</f>
        <v>Mean</v>
      </c>
      <c r="J23" s="92"/>
      <c r="K23" s="92"/>
      <c r="L23" s="92"/>
      <c r="M23" s="92"/>
      <c r="N23" s="92"/>
      <c r="O23" s="92"/>
      <c r="P23" s="92"/>
      <c r="Q23" s="9"/>
      <c r="S23" s="45" t="str">
        <f>I24</f>
        <v>kLux</v>
      </c>
      <c r="T23" s="36" t="s">
        <v>35</v>
      </c>
      <c r="U23" s="46">
        <f>J24</f>
        <v>51</v>
      </c>
      <c r="V23" s="38" t="s">
        <v>36</v>
      </c>
      <c r="W23" s="36" t="s">
        <v>33</v>
      </c>
      <c r="X23" s="46">
        <f>K24</f>
        <v>63.75</v>
      </c>
      <c r="Y23" s="38" t="s">
        <v>34</v>
      </c>
      <c r="Z23" s="36" t="s">
        <v>24</v>
      </c>
      <c r="AA23" s="46">
        <f>P24</f>
        <v>127.49999999999999</v>
      </c>
      <c r="AB23" s="38" t="s">
        <v>25</v>
      </c>
      <c r="AC23" s="56"/>
      <c r="AD23" s="58"/>
      <c r="AE23" s="56"/>
    </row>
    <row r="24" spans="4:31">
      <c r="I24" s="23" t="s">
        <v>19</v>
      </c>
      <c r="J24" s="20">
        <f t="shared" ref="J24:J31" si="24">J2*$C$11</f>
        <v>51</v>
      </c>
      <c r="K24" s="20">
        <f t="shared" ref="J24:P33" si="25">K2*$C$11</f>
        <v>63.75</v>
      </c>
      <c r="L24" s="20"/>
      <c r="M24" s="20"/>
      <c r="N24" s="20"/>
      <c r="O24" s="20"/>
      <c r="P24" s="20">
        <f t="shared" si="25"/>
        <v>127.49999999999999</v>
      </c>
      <c r="Q24" s="20"/>
      <c r="S24" s="31">
        <v>0</v>
      </c>
      <c r="T24" s="31">
        <f>S24</f>
        <v>0</v>
      </c>
      <c r="U24" s="32">
        <f t="shared" ref="U24:AB24" si="26">T24</f>
        <v>0</v>
      </c>
      <c r="V24" s="33">
        <f t="shared" si="26"/>
        <v>0</v>
      </c>
      <c r="W24" s="31">
        <f t="shared" si="26"/>
        <v>0</v>
      </c>
      <c r="X24" s="32">
        <f t="shared" si="26"/>
        <v>0</v>
      </c>
      <c r="Y24" s="33">
        <f t="shared" si="26"/>
        <v>0</v>
      </c>
      <c r="Z24" s="31">
        <f t="shared" si="26"/>
        <v>0</v>
      </c>
      <c r="AA24" s="32">
        <f t="shared" si="26"/>
        <v>0</v>
      </c>
      <c r="AB24" s="33">
        <f t="shared" si="26"/>
        <v>0</v>
      </c>
      <c r="AC24" s="32"/>
      <c r="AD24" s="32"/>
      <c r="AE24" s="32"/>
    </row>
    <row r="25" spans="4:31">
      <c r="I25" s="20">
        <f>I15*$C$12</f>
        <v>11.433070866141732</v>
      </c>
      <c r="J25" s="20">
        <f t="shared" si="24"/>
        <v>3.9875000000000016</v>
      </c>
      <c r="K25" s="20">
        <f t="shared" si="25"/>
        <v>5.1062499999999966</v>
      </c>
      <c r="L25" s="20"/>
      <c r="M25" s="20"/>
      <c r="N25" s="20"/>
      <c r="O25" s="20"/>
      <c r="P25" s="20">
        <f t="shared" si="25"/>
        <v>6.7437499999999986</v>
      </c>
      <c r="Q25" s="20"/>
      <c r="S25" s="39">
        <f t="shared" ref="S25:S31" si="27">I25</f>
        <v>11.433070866141732</v>
      </c>
      <c r="T25" s="39">
        <f t="shared" ref="T25:T31" si="28">U25-$C$13*J37</f>
        <v>2.7386528753986772</v>
      </c>
      <c r="U25" s="40">
        <f t="shared" ref="U25:U31" si="29">J25</f>
        <v>3.9875000000000016</v>
      </c>
      <c r="V25" s="41">
        <f t="shared" ref="V25:V31" si="30">U25+$C$13*J37</f>
        <v>5.236347124601326</v>
      </c>
      <c r="W25" s="39">
        <f t="shared" ref="W25:W31" si="31">X25-$C$13*K37</f>
        <v>4.1458271195067251</v>
      </c>
      <c r="X25" s="40">
        <f t="shared" ref="X25:X31" si="32">K25</f>
        <v>5.1062499999999966</v>
      </c>
      <c r="Y25" s="41">
        <f t="shared" ref="Y25:Y31" si="33">X25+$C$13*K37</f>
        <v>6.0666728804932681</v>
      </c>
      <c r="Z25" s="39">
        <f t="shared" ref="Z25:Z31" si="34">AA25-$C$13*P37</f>
        <v>4.6337500925651689</v>
      </c>
      <c r="AA25" s="40">
        <f t="shared" ref="AA25:AA31" si="35">P25</f>
        <v>6.7437499999999986</v>
      </c>
      <c r="AB25" s="41">
        <f t="shared" ref="AB25:AB31" si="36">AA25+$C$13*P37</f>
        <v>8.8537499074348283</v>
      </c>
      <c r="AC25" s="40"/>
      <c r="AD25" s="40"/>
      <c r="AE25" s="40"/>
    </row>
    <row r="26" spans="4:31">
      <c r="I26" s="20">
        <f>I16*$C$12</f>
        <v>17.574803149606296</v>
      </c>
      <c r="J26" s="20">
        <f t="shared" si="24"/>
        <v>6.0187500000000025</v>
      </c>
      <c r="K26" s="20">
        <f t="shared" si="25"/>
        <v>7.4062499999999964</v>
      </c>
      <c r="L26" s="20"/>
      <c r="M26" s="20"/>
      <c r="N26" s="20"/>
      <c r="O26" s="20"/>
      <c r="P26" s="20">
        <f t="shared" si="25"/>
        <v>10.162499999999998</v>
      </c>
      <c r="Q26" s="20"/>
      <c r="S26" s="39">
        <f t="shared" si="27"/>
        <v>17.574803149606296</v>
      </c>
      <c r="T26" s="39">
        <f t="shared" si="28"/>
        <v>4.6474659587178904</v>
      </c>
      <c r="U26" s="40">
        <f t="shared" si="29"/>
        <v>6.0187500000000025</v>
      </c>
      <c r="V26" s="41">
        <f t="shared" si="30"/>
        <v>7.3900340412821146</v>
      </c>
      <c r="W26" s="39">
        <f t="shared" si="31"/>
        <v>6.3466261354258684</v>
      </c>
      <c r="X26" s="40">
        <f t="shared" si="32"/>
        <v>7.4062499999999964</v>
      </c>
      <c r="Y26" s="41">
        <f t="shared" si="33"/>
        <v>8.4658738645741245</v>
      </c>
      <c r="Z26" s="39">
        <f t="shared" si="34"/>
        <v>7.3646082504522141</v>
      </c>
      <c r="AA26" s="40">
        <f t="shared" si="35"/>
        <v>10.162499999999998</v>
      </c>
      <c r="AB26" s="41">
        <f t="shared" si="36"/>
        <v>12.960391749547782</v>
      </c>
      <c r="AC26" s="40"/>
      <c r="AD26" s="40"/>
      <c r="AE26" s="40"/>
    </row>
    <row r="27" spans="4:31">
      <c r="D27" s="6"/>
      <c r="I27" s="20">
        <f t="shared" ref="I27:I30" si="37">I17*$C$12</f>
        <v>23.622047244094489</v>
      </c>
      <c r="J27" s="20">
        <f t="shared" si="24"/>
        <v>6.5625000000000009</v>
      </c>
      <c r="K27" s="20">
        <f t="shared" si="25"/>
        <v>8.2187499999999964</v>
      </c>
      <c r="L27" s="20"/>
      <c r="M27" s="20"/>
      <c r="N27" s="20"/>
      <c r="O27" s="20"/>
      <c r="P27" s="20">
        <f t="shared" si="25"/>
        <v>11.975000000000009</v>
      </c>
      <c r="Q27" s="20"/>
      <c r="S27" s="39">
        <f t="shared" si="27"/>
        <v>23.622047244094489</v>
      </c>
      <c r="T27" s="39">
        <f t="shared" si="28"/>
        <v>4.6357721330095716</v>
      </c>
      <c r="U27" s="40">
        <f t="shared" si="29"/>
        <v>6.5625000000000009</v>
      </c>
      <c r="V27" s="41">
        <f t="shared" si="30"/>
        <v>8.4892278669904293</v>
      </c>
      <c r="W27" s="39">
        <f t="shared" si="31"/>
        <v>6.9794402437747776</v>
      </c>
      <c r="X27" s="40">
        <f t="shared" si="32"/>
        <v>8.2187499999999964</v>
      </c>
      <c r="Y27" s="41">
        <f t="shared" si="33"/>
        <v>9.4580597562252162</v>
      </c>
      <c r="Z27" s="39">
        <f t="shared" si="34"/>
        <v>9.3753596627970968</v>
      </c>
      <c r="AA27" s="40">
        <f t="shared" si="35"/>
        <v>11.975000000000009</v>
      </c>
      <c r="AB27" s="41">
        <f t="shared" si="36"/>
        <v>14.57464033720292</v>
      </c>
      <c r="AC27" s="40"/>
      <c r="AD27" s="40"/>
      <c r="AE27" s="40"/>
    </row>
    <row r="28" spans="4:31">
      <c r="D28" s="6"/>
      <c r="I28" s="20">
        <f t="shared" si="37"/>
        <v>28.251968503937004</v>
      </c>
      <c r="J28" s="20">
        <f t="shared" si="24"/>
        <v>7.4750000000000032</v>
      </c>
      <c r="K28" s="20">
        <f t="shared" si="25"/>
        <v>8.618749999999995</v>
      </c>
      <c r="L28" s="20"/>
      <c r="M28" s="20"/>
      <c r="N28" s="20"/>
      <c r="O28" s="20"/>
      <c r="P28" s="20">
        <f t="shared" si="25"/>
        <v>12.737500000000004</v>
      </c>
      <c r="Q28" s="20"/>
      <c r="S28" s="39">
        <f t="shared" si="27"/>
        <v>28.251968503937004</v>
      </c>
      <c r="T28" s="39">
        <f t="shared" si="28"/>
        <v>5.223682026636955</v>
      </c>
      <c r="U28" s="40">
        <f t="shared" si="29"/>
        <v>7.4750000000000032</v>
      </c>
      <c r="V28" s="41">
        <f t="shared" si="30"/>
        <v>9.7263179733630523</v>
      </c>
      <c r="W28" s="39">
        <f t="shared" si="31"/>
        <v>6.9191191232542515</v>
      </c>
      <c r="X28" s="40">
        <f t="shared" si="32"/>
        <v>8.618749999999995</v>
      </c>
      <c r="Y28" s="41">
        <f t="shared" si="33"/>
        <v>10.318380876745739</v>
      </c>
      <c r="Z28" s="39">
        <f t="shared" si="34"/>
        <v>9.5765466665003771</v>
      </c>
      <c r="AA28" s="40">
        <f t="shared" si="35"/>
        <v>12.737500000000004</v>
      </c>
      <c r="AB28" s="41">
        <f t="shared" si="36"/>
        <v>15.898453333499631</v>
      </c>
      <c r="AC28" s="40"/>
      <c r="AD28" s="40"/>
      <c r="AE28" s="40"/>
    </row>
    <row r="29" spans="4:31">
      <c r="D29" s="6"/>
      <c r="I29" s="20">
        <f t="shared" si="37"/>
        <v>36.566929133858267</v>
      </c>
      <c r="J29" s="20">
        <f t="shared" si="24"/>
        <v>7.9500000000000011</v>
      </c>
      <c r="K29" s="20">
        <f t="shared" si="25"/>
        <v>9.418749999999994</v>
      </c>
      <c r="L29" s="20"/>
      <c r="M29" s="20"/>
      <c r="N29" s="20"/>
      <c r="O29" s="20"/>
      <c r="P29" s="20">
        <f t="shared" si="25"/>
        <v>13.931250000000002</v>
      </c>
      <c r="Q29" s="20"/>
      <c r="S29" s="39">
        <f t="shared" si="27"/>
        <v>36.566929133858267</v>
      </c>
      <c r="T29" s="39">
        <f t="shared" si="28"/>
        <v>5.2196368716780563</v>
      </c>
      <c r="U29" s="40">
        <f t="shared" si="29"/>
        <v>7.9500000000000011</v>
      </c>
      <c r="V29" s="41">
        <f t="shared" si="30"/>
        <v>10.680363128321947</v>
      </c>
      <c r="W29" s="39">
        <f t="shared" si="31"/>
        <v>7.0037547311769952</v>
      </c>
      <c r="X29" s="40">
        <f t="shared" si="32"/>
        <v>9.418749999999994</v>
      </c>
      <c r="Y29" s="41">
        <f t="shared" si="33"/>
        <v>11.833745268822993</v>
      </c>
      <c r="Z29" s="39">
        <f t="shared" si="34"/>
        <v>9.4456284398090595</v>
      </c>
      <c r="AA29" s="40">
        <f t="shared" si="35"/>
        <v>13.931250000000002</v>
      </c>
      <c r="AB29" s="41">
        <f t="shared" si="36"/>
        <v>18.416871560190945</v>
      </c>
      <c r="AC29" s="40"/>
      <c r="AD29" s="40"/>
      <c r="AE29" s="40"/>
    </row>
    <row r="30" spans="4:31">
      <c r="D30" s="6"/>
      <c r="I30" s="20">
        <f t="shared" si="37"/>
        <v>44.125984251968504</v>
      </c>
      <c r="J30" s="20">
        <f t="shared" si="24"/>
        <v>8.1312499999999996</v>
      </c>
      <c r="K30" s="20">
        <f t="shared" si="25"/>
        <v>9.6750000000000007</v>
      </c>
      <c r="L30" s="20"/>
      <c r="M30" s="20"/>
      <c r="N30" s="20"/>
      <c r="O30" s="20"/>
      <c r="P30" s="20">
        <f t="shared" si="25"/>
        <v>14.49375</v>
      </c>
      <c r="Q30" s="20"/>
      <c r="S30" s="39">
        <f t="shared" si="27"/>
        <v>44.125984251968504</v>
      </c>
      <c r="T30" s="39">
        <f t="shared" si="28"/>
        <v>4.2991793293312055</v>
      </c>
      <c r="U30" s="40">
        <f t="shared" si="29"/>
        <v>8.1312499999999996</v>
      </c>
      <c r="V30" s="41">
        <f t="shared" si="30"/>
        <v>11.963320670668793</v>
      </c>
      <c r="W30" s="39">
        <f t="shared" si="31"/>
        <v>6.0813960627508639</v>
      </c>
      <c r="X30" s="40">
        <f t="shared" si="32"/>
        <v>9.6750000000000007</v>
      </c>
      <c r="Y30" s="41">
        <f t="shared" si="33"/>
        <v>13.268603937249138</v>
      </c>
      <c r="Z30" s="39">
        <f t="shared" si="34"/>
        <v>10.197278428029595</v>
      </c>
      <c r="AA30" s="40">
        <f t="shared" si="35"/>
        <v>14.49375</v>
      </c>
      <c r="AB30" s="41">
        <f t="shared" si="36"/>
        <v>18.790221571970406</v>
      </c>
      <c r="AC30" s="40"/>
      <c r="AD30" s="40"/>
      <c r="AE30" s="40"/>
    </row>
    <row r="31" spans="4:31">
      <c r="I31" s="20">
        <f>I21*$C$12</f>
        <v>54.330708661417319</v>
      </c>
      <c r="J31" s="20">
        <f t="shared" si="24"/>
        <v>8.6812500000000004</v>
      </c>
      <c r="K31" s="20">
        <f>K9*$C$11</f>
        <v>10.174999999999999</v>
      </c>
      <c r="L31" s="20"/>
      <c r="M31" s="20"/>
      <c r="N31" s="20"/>
      <c r="O31" s="20"/>
      <c r="P31" s="20">
        <f t="shared" si="25"/>
        <v>14.36875</v>
      </c>
      <c r="Q31" s="20"/>
      <c r="S31" s="42">
        <f t="shared" si="27"/>
        <v>54.330708661417319</v>
      </c>
      <c r="T31" s="42">
        <f t="shared" si="28"/>
        <v>4.3196830107675162</v>
      </c>
      <c r="U31" s="43">
        <f t="shared" si="29"/>
        <v>8.6812500000000004</v>
      </c>
      <c r="V31" s="44">
        <f t="shared" si="30"/>
        <v>13.042816989232485</v>
      </c>
      <c r="W31" s="42">
        <f t="shared" si="31"/>
        <v>6.0286684370774708</v>
      </c>
      <c r="X31" s="43">
        <f t="shared" si="32"/>
        <v>10.174999999999999</v>
      </c>
      <c r="Y31" s="44">
        <f t="shared" si="33"/>
        <v>14.321331562922527</v>
      </c>
      <c r="Z31" s="42">
        <f t="shared" si="34"/>
        <v>9.283471384845301</v>
      </c>
      <c r="AA31" s="43">
        <f t="shared" si="35"/>
        <v>14.36875</v>
      </c>
      <c r="AB31" s="44">
        <f t="shared" si="36"/>
        <v>19.454028615154698</v>
      </c>
      <c r="AC31" s="40"/>
      <c r="AD31" s="40"/>
      <c r="AE31" s="40"/>
    </row>
    <row r="32" spans="4:31">
      <c r="I32" s="20" t="s">
        <v>16</v>
      </c>
      <c r="J32" s="20">
        <f t="shared" si="25"/>
        <v>8.6812500000000004</v>
      </c>
      <c r="K32" s="20">
        <f t="shared" si="25"/>
        <v>10.174999999999999</v>
      </c>
      <c r="L32" s="20"/>
      <c r="M32" s="20"/>
      <c r="N32" s="20"/>
      <c r="O32" s="20"/>
      <c r="P32" s="20">
        <f t="shared" si="25"/>
        <v>14.49375</v>
      </c>
      <c r="Q32" s="20"/>
    </row>
    <row r="33" spans="4:17">
      <c r="I33" s="20" t="s">
        <v>17</v>
      </c>
      <c r="J33" s="20">
        <f t="shared" si="25"/>
        <v>0</v>
      </c>
      <c r="K33" s="20">
        <f t="shared" si="25"/>
        <v>0</v>
      </c>
      <c r="L33" s="20"/>
      <c r="M33" s="20"/>
      <c r="N33" s="20"/>
      <c r="O33" s="20"/>
      <c r="P33" s="20">
        <f t="shared" si="25"/>
        <v>0.12499999999999956</v>
      </c>
      <c r="Q33" s="20"/>
    </row>
    <row r="34" spans="4:17">
      <c r="I34" s="20"/>
      <c r="J34" s="20"/>
      <c r="K34" s="20"/>
      <c r="L34" s="20"/>
      <c r="M34" s="20"/>
      <c r="N34" s="20"/>
      <c r="O34" s="20"/>
      <c r="P34" s="20"/>
      <c r="Q34" s="20"/>
    </row>
    <row r="35" spans="4:17">
      <c r="I35" s="92" t="str">
        <f>I13</f>
        <v>StDev</v>
      </c>
      <c r="J35" s="92"/>
      <c r="K35" s="92"/>
      <c r="L35" s="92"/>
      <c r="M35" s="92"/>
      <c r="N35" s="92"/>
      <c r="O35" s="92"/>
      <c r="P35" s="92"/>
      <c r="Q35" s="92"/>
    </row>
    <row r="36" spans="4:17">
      <c r="I36" s="23" t="s">
        <v>19</v>
      </c>
      <c r="J36" s="20">
        <f t="shared" ref="J36:Q43" si="38">J14*$C$11</f>
        <v>51</v>
      </c>
      <c r="K36" s="20">
        <f t="shared" si="38"/>
        <v>63.75</v>
      </c>
      <c r="L36" s="20"/>
      <c r="M36" s="20"/>
      <c r="N36" s="20"/>
      <c r="O36" s="20"/>
      <c r="P36" s="20">
        <f t="shared" si="38"/>
        <v>127.49999999999999</v>
      </c>
      <c r="Q36" s="20">
        <f t="shared" si="38"/>
        <v>0</v>
      </c>
    </row>
    <row r="37" spans="4:17">
      <c r="I37" s="20">
        <f>I25</f>
        <v>11.433070866141732</v>
      </c>
      <c r="J37" s="20">
        <f t="shared" si="38"/>
        <v>0.83256474973421624</v>
      </c>
      <c r="K37" s="20">
        <f t="shared" si="38"/>
        <v>0.64028192032884779</v>
      </c>
      <c r="L37" s="20"/>
      <c r="M37" s="20"/>
      <c r="N37" s="20"/>
      <c r="O37" s="20"/>
      <c r="P37" s="20">
        <f t="shared" si="38"/>
        <v>1.4066666049565533</v>
      </c>
      <c r="Q37" s="20">
        <f t="shared" si="38"/>
        <v>0</v>
      </c>
    </row>
    <row r="38" spans="4:17">
      <c r="I38" s="20">
        <f t="shared" ref="I38:I43" si="39">I26</f>
        <v>17.574803149606296</v>
      </c>
      <c r="J38" s="20">
        <f t="shared" si="38"/>
        <v>0.91418936085474123</v>
      </c>
      <c r="K38" s="20">
        <f t="shared" si="38"/>
        <v>0.70641590971608559</v>
      </c>
      <c r="L38" s="20"/>
      <c r="M38" s="20"/>
      <c r="N38" s="20"/>
      <c r="O38" s="20"/>
      <c r="P38" s="20">
        <f t="shared" si="38"/>
        <v>1.8652611663651895</v>
      </c>
      <c r="Q38" s="20">
        <f t="shared" si="38"/>
        <v>0</v>
      </c>
    </row>
    <row r="39" spans="4:17">
      <c r="I39" s="20">
        <f t="shared" si="39"/>
        <v>23.622047244094489</v>
      </c>
      <c r="J39" s="20">
        <f t="shared" si="38"/>
        <v>1.2844852446602861</v>
      </c>
      <c r="K39" s="20">
        <f t="shared" si="38"/>
        <v>0.82620650415014607</v>
      </c>
      <c r="L39" s="20"/>
      <c r="M39" s="20"/>
      <c r="N39" s="20"/>
      <c r="O39" s="20"/>
      <c r="P39" s="20">
        <f t="shared" si="38"/>
        <v>1.7330935581352742</v>
      </c>
      <c r="Q39" s="20">
        <f t="shared" si="38"/>
        <v>0</v>
      </c>
    </row>
    <row r="40" spans="4:17">
      <c r="I40" s="20">
        <f t="shared" si="39"/>
        <v>28.251968503937004</v>
      </c>
      <c r="J40" s="20">
        <f t="shared" si="38"/>
        <v>1.5008786489086987</v>
      </c>
      <c r="K40" s="20">
        <f t="shared" si="38"/>
        <v>1.133087251163829</v>
      </c>
      <c r="L40" s="20"/>
      <c r="M40" s="20"/>
      <c r="N40" s="20"/>
      <c r="O40" s="20"/>
      <c r="P40" s="20">
        <f t="shared" si="38"/>
        <v>2.1073022223330846</v>
      </c>
      <c r="Q40" s="20">
        <f t="shared" si="38"/>
        <v>0</v>
      </c>
    </row>
    <row r="41" spans="4:17">
      <c r="I41" s="20">
        <f t="shared" si="39"/>
        <v>36.566929133858267</v>
      </c>
      <c r="J41" s="20">
        <f t="shared" si="38"/>
        <v>1.8202420855479631</v>
      </c>
      <c r="K41" s="20">
        <f t="shared" si="38"/>
        <v>1.6099968458819995</v>
      </c>
      <c r="L41" s="20"/>
      <c r="M41" s="20"/>
      <c r="N41" s="20"/>
      <c r="O41" s="20"/>
      <c r="P41" s="20">
        <f t="shared" si="38"/>
        <v>2.9904143734606281</v>
      </c>
      <c r="Q41" s="20">
        <f t="shared" si="38"/>
        <v>0</v>
      </c>
    </row>
    <row r="42" spans="4:17">
      <c r="I42" s="20">
        <f t="shared" si="39"/>
        <v>44.125984251968504</v>
      </c>
      <c r="J42" s="20">
        <f t="shared" si="38"/>
        <v>2.5547137804458626</v>
      </c>
      <c r="K42" s="20">
        <f t="shared" si="38"/>
        <v>2.3957359581660915</v>
      </c>
      <c r="L42" s="20"/>
      <c r="M42" s="20"/>
      <c r="N42" s="20"/>
      <c r="O42" s="20"/>
      <c r="P42" s="20">
        <f t="shared" si="38"/>
        <v>2.8643143813136032</v>
      </c>
      <c r="Q42" s="20">
        <f t="shared" si="38"/>
        <v>0</v>
      </c>
    </row>
    <row r="43" spans="4:17">
      <c r="I43" s="20">
        <f t="shared" si="39"/>
        <v>54.330708661417319</v>
      </c>
      <c r="J43" s="20">
        <f t="shared" si="38"/>
        <v>2.9077113261549892</v>
      </c>
      <c r="K43" s="20">
        <f t="shared" si="38"/>
        <v>2.7642210419483524</v>
      </c>
      <c r="L43" s="20"/>
      <c r="M43" s="20"/>
      <c r="N43" s="20"/>
      <c r="O43" s="20"/>
      <c r="P43" s="20">
        <f t="shared" si="38"/>
        <v>3.3901857434364659</v>
      </c>
      <c r="Q43" s="20">
        <f t="shared" si="38"/>
        <v>0</v>
      </c>
    </row>
    <row r="44" spans="4:17">
      <c r="I44" s="20"/>
      <c r="J44" s="20"/>
      <c r="K44" s="20"/>
      <c r="L44" s="20"/>
      <c r="M44" s="20"/>
      <c r="N44" s="20"/>
      <c r="O44" s="20"/>
      <c r="P44" s="20"/>
      <c r="Q44" s="20"/>
    </row>
    <row r="45" spans="4:17">
      <c r="I45" s="20"/>
      <c r="J45" s="20"/>
      <c r="K45" s="20"/>
      <c r="L45" s="20"/>
      <c r="M45" s="20"/>
      <c r="N45" s="20"/>
      <c r="O45" s="20"/>
      <c r="P45" s="20"/>
      <c r="Q45" s="20"/>
    </row>
    <row r="46" spans="4:17">
      <c r="D46" s="6"/>
    </row>
    <row r="47" spans="4:17">
      <c r="D47" s="6"/>
    </row>
    <row r="48" spans="4:17">
      <c r="D48" s="6"/>
    </row>
    <row r="49" spans="1:42">
      <c r="D49" s="6"/>
    </row>
    <row r="51" spans="1:42">
      <c r="B51" s="23" t="s">
        <v>8</v>
      </c>
      <c r="C51" s="23" t="s">
        <v>9</v>
      </c>
      <c r="D51" s="9">
        <f>data0!A1</f>
        <v>0</v>
      </c>
      <c r="E51" s="9" t="s">
        <v>7</v>
      </c>
      <c r="F51" s="9" t="s">
        <v>14</v>
      </c>
      <c r="G51">
        <f>data0!E1</f>
        <v>0</v>
      </c>
      <c r="H51">
        <f>data0!F1</f>
        <v>1</v>
      </c>
      <c r="I51">
        <f>data0!G1</f>
        <v>2</v>
      </c>
      <c r="J51">
        <f>data0!H1</f>
        <v>3</v>
      </c>
      <c r="K51">
        <f>data0!I1</f>
        <v>4</v>
      </c>
      <c r="P51">
        <f>data0!J1</f>
        <v>5</v>
      </c>
      <c r="Q51">
        <f>data0!K1</f>
        <v>6</v>
      </c>
      <c r="R51">
        <f>data0!L1</f>
        <v>7</v>
      </c>
      <c r="S51">
        <f>data0!M1</f>
        <v>8</v>
      </c>
      <c r="T51">
        <f>data0!N1</f>
        <v>9</v>
      </c>
      <c r="U51">
        <f>data0!O1</f>
        <v>10</v>
      </c>
      <c r="V51">
        <f>data0!P1</f>
        <v>11</v>
      </c>
      <c r="W51">
        <f>data0!Q1</f>
        <v>12</v>
      </c>
      <c r="X51">
        <f>data0!R1</f>
        <v>13</v>
      </c>
      <c r="Y51">
        <f>data0!S1</f>
        <v>14</v>
      </c>
      <c r="Z51">
        <f>data0!T1</f>
        <v>15</v>
      </c>
      <c r="AA51">
        <f>data0!U1</f>
        <v>16</v>
      </c>
      <c r="AB51">
        <f>data0!V1</f>
        <v>17</v>
      </c>
      <c r="AC51">
        <f>data0!W1</f>
        <v>18</v>
      </c>
      <c r="AD51">
        <f>data0!X1</f>
        <v>19</v>
      </c>
      <c r="AE51">
        <f>data0!Y1</f>
        <v>20</v>
      </c>
      <c r="AF51">
        <f>data0!Z1</f>
        <v>21</v>
      </c>
      <c r="AG51">
        <f>data0!AA1</f>
        <v>22</v>
      </c>
      <c r="AH51">
        <f>data0!AB1</f>
        <v>23</v>
      </c>
      <c r="AI51">
        <f>data0!AC1</f>
        <v>24</v>
      </c>
      <c r="AJ51">
        <f>data0!AD1</f>
        <v>25</v>
      </c>
      <c r="AK51">
        <f>data0!AE1</f>
        <v>26</v>
      </c>
      <c r="AL51">
        <f>data0!AF1</f>
        <v>27</v>
      </c>
      <c r="AM51">
        <f>data0!AG1</f>
        <v>28</v>
      </c>
      <c r="AN51">
        <f>data0!AH1</f>
        <v>29</v>
      </c>
      <c r="AO51">
        <f>data0!AI1</f>
        <v>30</v>
      </c>
      <c r="AP51">
        <f>data0!AJ1</f>
        <v>31</v>
      </c>
    </row>
    <row r="52" spans="1:42">
      <c r="A52" s="34" t="s">
        <v>10</v>
      </c>
      <c r="B52" s="87">
        <v>13</v>
      </c>
      <c r="C52" s="87">
        <v>0</v>
      </c>
      <c r="D52" s="53">
        <v>0.2</v>
      </c>
      <c r="E52" s="11">
        <f>AVERAGE(G52:AP52)</f>
        <v>0.19055118110236219</v>
      </c>
      <c r="F52" s="11">
        <f>STDEV(G52:AP52)</f>
        <v>3.5213668937004623E-3</v>
      </c>
      <c r="G52" s="29">
        <f>data0!E10</f>
        <v>0.1889763779527559</v>
      </c>
      <c r="H52" s="29">
        <f>data0!F10</f>
        <v>0.19685039370078741</v>
      </c>
      <c r="I52" s="29">
        <f>data0!G10</f>
        <v>0.1889763779527559</v>
      </c>
      <c r="J52" s="29">
        <f>data0!H10</f>
        <v>0.1889763779527559</v>
      </c>
      <c r="K52" s="29">
        <f>data0!I10</f>
        <v>0.1889763779527559</v>
      </c>
      <c r="L52" s="29"/>
      <c r="M52" s="29"/>
      <c r="N52" s="29"/>
      <c r="O52" s="29"/>
      <c r="P52" s="29"/>
      <c r="Q52" s="29"/>
      <c r="R52" s="29"/>
      <c r="S52" s="29"/>
      <c r="T52" s="29"/>
    </row>
    <row r="53" spans="1:42">
      <c r="A53" s="34"/>
      <c r="B53" s="87"/>
      <c r="C53" s="87"/>
      <c r="D53" s="54">
        <v>0.2</v>
      </c>
      <c r="E53" s="11">
        <f>AVERAGE(G53:AP53)</f>
        <v>1.5637254901960791E-2</v>
      </c>
      <c r="F53" s="11">
        <f>STDEV(G53:AP53)</f>
        <v>3.2649598028792796E-3</v>
      </c>
      <c r="G53" s="30">
        <f>data0!E11-data0!E$3</f>
        <v>1.7401960784313719E-2</v>
      </c>
      <c r="H53" s="30">
        <f>data0!F11-data0!F$3</f>
        <v>1.1887254901960798E-2</v>
      </c>
      <c r="I53" s="30">
        <f>data0!G11-data0!G$3</f>
        <v>1.8995098039215702E-2</v>
      </c>
      <c r="J53" s="30">
        <f>data0!H11-data0!H$3</f>
        <v>1.7524509803921562E-2</v>
      </c>
      <c r="K53" s="30">
        <f>data0!I11-data0!I$3</f>
        <v>1.2377450980392168E-2</v>
      </c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</row>
    <row r="54" spans="1:42">
      <c r="A54" s="34"/>
      <c r="B54" s="87"/>
      <c r="C54" s="87"/>
      <c r="D54" s="54">
        <f>D53+5%</f>
        <v>0.25</v>
      </c>
      <c r="E54" s="11">
        <f t="shared" ref="E54:E59" si="40">AVERAGE(G54:AP54)</f>
        <v>2.0024509803921554E-2</v>
      </c>
      <c r="F54" s="11">
        <f t="shared" ref="F54:F59" si="41">STDEV(G54:AP54)</f>
        <v>2.5109094914856776E-3</v>
      </c>
      <c r="G54" s="30">
        <f>data0!E12-data0!E$4</f>
        <v>2.2058823529411742E-2</v>
      </c>
      <c r="H54" s="30">
        <f>data0!F12-data0!F$4</f>
        <v>1.5808823529411764E-2</v>
      </c>
      <c r="I54" s="30">
        <f>data0!G12-data0!G$4</f>
        <v>2.0343137254901944E-2</v>
      </c>
      <c r="J54" s="30">
        <f>data0!H12-data0!H$4</f>
        <v>2.0098039215686259E-2</v>
      </c>
      <c r="K54" s="30">
        <f>data0!I12-data0!I$4</f>
        <v>2.1813725490196056E-2</v>
      </c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</row>
    <row r="55" spans="1:42">
      <c r="A55" s="34"/>
      <c r="B55" s="87"/>
      <c r="C55" s="87"/>
      <c r="D55" s="54">
        <f t="shared" ref="D55:D59" si="42">D54+5%</f>
        <v>0.3</v>
      </c>
      <c r="E55" s="11">
        <f t="shared" si="40"/>
        <v>2.2916666666666675E-2</v>
      </c>
      <c r="F55" s="11">
        <f t="shared" si="41"/>
        <v>3.6167535694543438E-3</v>
      </c>
      <c r="G55" s="30">
        <f>data0!E13-data0!E$5</f>
        <v>2.3774509803921595E-2</v>
      </c>
      <c r="H55" s="30">
        <f>data0!F13-data0!F$5</f>
        <v>1.7156862745098034E-2</v>
      </c>
      <c r="I55" s="30">
        <f>data0!G13-data0!G$5</f>
        <v>2.6960784313725505E-2</v>
      </c>
      <c r="J55" s="30">
        <f>data0!H13-data0!H$5</f>
        <v>2.2426470588235325E-2</v>
      </c>
      <c r="K55" s="30">
        <f>data0!I13-data0!I$5</f>
        <v>2.426470588235291E-2</v>
      </c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</row>
    <row r="56" spans="1:42">
      <c r="A56" s="34"/>
      <c r="B56" s="87"/>
      <c r="C56" s="87"/>
      <c r="D56" s="54">
        <f t="shared" si="42"/>
        <v>0.35</v>
      </c>
      <c r="E56" s="11">
        <f t="shared" si="40"/>
        <v>2.1960784313725491E-2</v>
      </c>
      <c r="F56" s="11">
        <f t="shared" si="41"/>
        <v>6.9196259702283408E-3</v>
      </c>
      <c r="G56" s="30">
        <f>data0!E14-data0!E$6</f>
        <v>1.7156862745098034E-2</v>
      </c>
      <c r="H56" s="30">
        <f>data0!F14-data0!F$6</f>
        <v>1.2132352941176483E-2</v>
      </c>
      <c r="I56" s="30">
        <f>data0!G14-data0!G$6</f>
        <v>2.6838235294117663E-2</v>
      </c>
      <c r="J56" s="30">
        <f>data0!H14-data0!H$6</f>
        <v>2.7328431372548978E-2</v>
      </c>
      <c r="K56" s="30">
        <f>data0!I14-data0!I$6</f>
        <v>2.6348039215686292E-2</v>
      </c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</row>
    <row r="57" spans="1:42">
      <c r="A57" s="34"/>
      <c r="B57" s="87"/>
      <c r="C57" s="87"/>
      <c r="D57" s="54">
        <f t="shared" si="42"/>
        <v>0.39999999999999997</v>
      </c>
      <c r="E57" s="11">
        <f t="shared" si="40"/>
        <v>2.7034313725490179E-2</v>
      </c>
      <c r="F57" s="11">
        <f t="shared" si="41"/>
        <v>3.1239184979776607E-3</v>
      </c>
      <c r="G57" s="30">
        <f>data0!E15-data0!E$7</f>
        <v>3.1127450980392157E-2</v>
      </c>
      <c r="H57" s="30">
        <f>data0!F15-data0!F$7</f>
        <v>2.377450980392154E-2</v>
      </c>
      <c r="I57" s="30">
        <f>data0!G15-data0!G$7</f>
        <v>2.7818627450980349E-2</v>
      </c>
      <c r="J57" s="30">
        <f>data0!H15-data0!H$7</f>
        <v>2.4019607843137225E-2</v>
      </c>
      <c r="K57" s="30">
        <f>data0!I15-data0!I$7</f>
        <v>2.8431372549019618E-2</v>
      </c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</row>
    <row r="58" spans="1:42">
      <c r="A58" s="34"/>
      <c r="B58" s="87"/>
      <c r="C58" s="87"/>
      <c r="D58" s="54">
        <f t="shared" si="42"/>
        <v>0.44999999999999996</v>
      </c>
      <c r="E58" s="11">
        <f t="shared" si="40"/>
        <v>2.5465686274509802E-2</v>
      </c>
      <c r="F58" s="11">
        <f t="shared" si="41"/>
        <v>6.7981024163290635E-3</v>
      </c>
      <c r="G58" s="30">
        <f>data0!E16-data0!E$8</f>
        <v>2.9411764705882359E-2</v>
      </c>
      <c r="H58" s="30">
        <f>data0!F16-data0!F$8</f>
        <v>1.7401960784313719E-2</v>
      </c>
      <c r="I58" s="30">
        <f>data0!G16-data0!G$8</f>
        <v>1.9117647058823517E-2</v>
      </c>
      <c r="J58" s="30">
        <f>data0!H16-data0!H$8</f>
        <v>2.8553921568627461E-2</v>
      </c>
      <c r="K58" s="30">
        <f>data0!I16-data0!I$8</f>
        <v>3.2843137254901955E-2</v>
      </c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</row>
    <row r="59" spans="1:42">
      <c r="A59" s="34"/>
      <c r="B59" s="87"/>
      <c r="C59" s="87"/>
      <c r="D59" s="54">
        <f t="shared" si="42"/>
        <v>0.49999999999999994</v>
      </c>
      <c r="E59" s="11">
        <f t="shared" si="40"/>
        <v>2.6446078431372543E-2</v>
      </c>
      <c r="F59" s="11">
        <f t="shared" si="41"/>
        <v>5.516339627280601E-3</v>
      </c>
      <c r="G59" s="30">
        <f>data0!E17-data0!E$9</f>
        <v>2.7941176470588247E-2</v>
      </c>
      <c r="H59" s="30">
        <f>data0!F17-data0!F$9</f>
        <v>1.9852941176470629E-2</v>
      </c>
      <c r="I59" s="30">
        <f>data0!G17-data0!G$9</f>
        <v>2.1813725490196001E-2</v>
      </c>
      <c r="J59" s="30">
        <f>data0!H17-data0!H$9</f>
        <v>2.9411764705882359E-2</v>
      </c>
      <c r="K59" s="30">
        <f>data0!I17-data0!I$9</f>
        <v>3.3210784313725483E-2</v>
      </c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</row>
    <row r="60" spans="1:42">
      <c r="A60" s="34"/>
      <c r="B60" s="87">
        <v>7</v>
      </c>
      <c r="C60" s="87">
        <v>0</v>
      </c>
      <c r="D60" s="54">
        <f>D52+10%</f>
        <v>0.30000000000000004</v>
      </c>
      <c r="E60" s="11">
        <f>AVERAGE(G60:AP60)</f>
        <v>0.29291338582677162</v>
      </c>
      <c r="F60" s="11">
        <f>STDEV(G60:AP60)</f>
        <v>3.5213668937004749E-3</v>
      </c>
      <c r="G60" s="29">
        <f>data0!E18</f>
        <v>0.29133858267716534</v>
      </c>
      <c r="H60" s="29">
        <f>data0!F18</f>
        <v>0.29921259842519687</v>
      </c>
      <c r="I60" s="29">
        <f>data0!G18</f>
        <v>0.29133858267716534</v>
      </c>
      <c r="J60" s="29">
        <f>data0!H18</f>
        <v>0.29133858267716534</v>
      </c>
      <c r="K60" s="29">
        <f>data0!I18</f>
        <v>0.29133858267716534</v>
      </c>
      <c r="L60" s="29"/>
      <c r="M60" s="29"/>
      <c r="N60" s="29"/>
      <c r="O60" s="29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</row>
    <row r="61" spans="1:42">
      <c r="A61" s="34"/>
      <c r="B61" s="87"/>
      <c r="C61" s="87"/>
      <c r="D61" s="54">
        <v>0.2</v>
      </c>
      <c r="E61" s="11">
        <f>AVERAGE(G61:AP61)</f>
        <v>2.3602941176470597E-2</v>
      </c>
      <c r="F61" s="11">
        <f>STDEV(G61:AP61)</f>
        <v>3.5850563170774165E-3</v>
      </c>
      <c r="G61" s="30">
        <f>data0!E19-data0!E$3</f>
        <v>2.6960784313725505E-2</v>
      </c>
      <c r="H61" s="30">
        <f>data0!F19-data0!F$3</f>
        <v>1.9607843137254916E-2</v>
      </c>
      <c r="I61" s="30">
        <f>data0!G19-data0!G$3</f>
        <v>2.6960784313725505E-2</v>
      </c>
      <c r="J61" s="30">
        <f>data0!H19-data0!H$3</f>
        <v>2.4387254901960781E-2</v>
      </c>
      <c r="K61" s="30">
        <f>data0!I19-data0!I$3</f>
        <v>2.0098039215686286E-2</v>
      </c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</row>
    <row r="62" spans="1:42">
      <c r="A62" s="34"/>
      <c r="B62" s="87"/>
      <c r="C62" s="87"/>
      <c r="D62" s="54">
        <f>D61+5%</f>
        <v>0.25</v>
      </c>
      <c r="E62" s="11">
        <f t="shared" ref="E62:E67" si="43">AVERAGE(G62:AP62)</f>
        <v>2.9044117647058811E-2</v>
      </c>
      <c r="F62" s="11">
        <f t="shared" ref="F62:F67" si="44">STDEV(G62:AP62)</f>
        <v>2.7702584694748456E-3</v>
      </c>
      <c r="G62" s="30">
        <f>data0!E20-data0!E$4</f>
        <v>3.1127450980392157E-2</v>
      </c>
      <c r="H62" s="30">
        <f>data0!F20-data0!F$4</f>
        <v>2.426470588235291E-2</v>
      </c>
      <c r="I62" s="30">
        <f>data0!G20-data0!G$4</f>
        <v>3.0024509803921573E-2</v>
      </c>
      <c r="J62" s="30">
        <f>data0!H20-data0!H$4</f>
        <v>2.9166666666666619E-2</v>
      </c>
      <c r="K62" s="30">
        <f>data0!I20-data0!I$4</f>
        <v>3.0637254901960786E-2</v>
      </c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</row>
    <row r="63" spans="1:42">
      <c r="A63" s="34"/>
      <c r="B63" s="87"/>
      <c r="C63" s="87"/>
      <c r="D63" s="54">
        <f t="shared" ref="D63:D67" si="45">D62+5%</f>
        <v>0.3</v>
      </c>
      <c r="E63" s="11">
        <f t="shared" si="43"/>
        <v>3.2916666666666684E-2</v>
      </c>
      <c r="F63" s="11">
        <f t="shared" si="44"/>
        <v>3.9278824785233032E-3</v>
      </c>
      <c r="G63" s="30">
        <f>data0!E21-data0!E$5</f>
        <v>3.4436274509803966E-2</v>
      </c>
      <c r="H63" s="30">
        <f>data0!F21-data0!F$5</f>
        <v>2.6102941176470607E-2</v>
      </c>
      <c r="I63" s="30">
        <f>data0!G21-data0!G$5</f>
        <v>3.6029411764705921E-2</v>
      </c>
      <c r="J63" s="30">
        <f>data0!H21-data0!H$5</f>
        <v>3.3333333333333326E-2</v>
      </c>
      <c r="K63" s="30">
        <f>data0!I21-data0!I$5</f>
        <v>3.4681372549019596E-2</v>
      </c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</row>
    <row r="64" spans="1:42">
      <c r="A64" s="34"/>
      <c r="B64" s="87"/>
      <c r="C64" s="87"/>
      <c r="D64" s="54">
        <f t="shared" si="45"/>
        <v>0.35</v>
      </c>
      <c r="E64" s="11">
        <f t="shared" si="43"/>
        <v>3.3112745098039228E-2</v>
      </c>
      <c r="F64" s="11">
        <f t="shared" si="44"/>
        <v>7.3567188008514962E-3</v>
      </c>
      <c r="G64" s="30">
        <f>data0!E22-data0!E$6</f>
        <v>2.806372549019609E-2</v>
      </c>
      <c r="H64" s="30">
        <f>data0!F22-data0!F$6</f>
        <v>2.2671568627451011E-2</v>
      </c>
      <c r="I64" s="30">
        <f>data0!G22-data0!G$6</f>
        <v>3.7132352941176505E-2</v>
      </c>
      <c r="J64" s="30">
        <f>data0!H22-data0!H$6</f>
        <v>3.897058823529409E-2</v>
      </c>
      <c r="K64" s="30">
        <f>data0!I22-data0!I$6</f>
        <v>3.872549019607846E-2</v>
      </c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</row>
    <row r="65" spans="1:42">
      <c r="A65" s="34"/>
      <c r="B65" s="87"/>
      <c r="C65" s="87"/>
      <c r="D65" s="54">
        <f t="shared" si="45"/>
        <v>0.39999999999999997</v>
      </c>
      <c r="E65" s="11">
        <f t="shared" si="43"/>
        <v>3.8700980392156838E-2</v>
      </c>
      <c r="F65" s="11">
        <f t="shared" si="44"/>
        <v>3.9543665244594316E-3</v>
      </c>
      <c r="G65" s="30">
        <f>data0!E23-data0!E$7</f>
        <v>4.3137254901960742E-2</v>
      </c>
      <c r="H65" s="30">
        <f>data0!F23-data0!F$7</f>
        <v>3.3088235294117641E-2</v>
      </c>
      <c r="I65" s="30">
        <f>data0!G23-data0!G$7</f>
        <v>4.0441176470588203E-2</v>
      </c>
      <c r="J65" s="30">
        <f>data0!H23-data0!H$7</f>
        <v>3.6397058823529393E-2</v>
      </c>
      <c r="K65" s="30">
        <f>data0!I23-data0!I$7</f>
        <v>4.0441176470588203E-2</v>
      </c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</row>
    <row r="66" spans="1:42">
      <c r="A66" s="34"/>
      <c r="B66" s="87"/>
      <c r="C66" s="87"/>
      <c r="D66" s="54">
        <f t="shared" si="45"/>
        <v>0.44999999999999996</v>
      </c>
      <c r="E66" s="11">
        <f t="shared" si="43"/>
        <v>3.9142156862745067E-2</v>
      </c>
      <c r="F66" s="11">
        <f t="shared" si="44"/>
        <v>8.2329777613052765E-3</v>
      </c>
      <c r="G66" s="30">
        <f>data0!E24-data0!E$8</f>
        <v>4.4975490196078438E-2</v>
      </c>
      <c r="H66" s="30">
        <f>data0!F24-data0!F$8</f>
        <v>2.6593137254901922E-2</v>
      </c>
      <c r="I66" s="30">
        <f>data0!G24-data0!G$8</f>
        <v>3.5171568627450966E-2</v>
      </c>
      <c r="J66" s="30">
        <f>data0!H24-data0!H$8</f>
        <v>4.2647058823529371E-2</v>
      </c>
      <c r="K66" s="30">
        <f>data0!I24-data0!I$8</f>
        <v>4.6323529411764652E-2</v>
      </c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</row>
    <row r="67" spans="1:42">
      <c r="A67" s="34"/>
      <c r="B67" s="87"/>
      <c r="C67" s="87"/>
      <c r="D67" s="54">
        <f t="shared" si="45"/>
        <v>0.49999999999999994</v>
      </c>
      <c r="E67" s="11">
        <f t="shared" si="43"/>
        <v>3.9852941176470577E-2</v>
      </c>
      <c r="F67" s="11">
        <f t="shared" si="44"/>
        <v>7.3147496720203506E-3</v>
      </c>
      <c r="G67" s="30">
        <f>data0!E25-data0!E$9</f>
        <v>4.4117647058823484E-2</v>
      </c>
      <c r="H67" s="30">
        <f>data0!F25-data0!F$9</f>
        <v>2.8431372549019618E-2</v>
      </c>
      <c r="I67" s="30">
        <f>data0!G25-data0!G$9</f>
        <v>3.713235294117645E-2</v>
      </c>
      <c r="J67" s="30">
        <f>data0!H25-data0!H$9</f>
        <v>4.2647058823529371E-2</v>
      </c>
      <c r="K67" s="30">
        <f>data0!I25-data0!I$9</f>
        <v>4.6936274509803977E-2</v>
      </c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</row>
    <row r="68" spans="1:42">
      <c r="A68" s="34"/>
      <c r="B68" s="87">
        <v>5</v>
      </c>
      <c r="C68" s="87">
        <v>0</v>
      </c>
      <c r="D68" s="54">
        <f>D60+10%</f>
        <v>0.4</v>
      </c>
      <c r="E68" s="11">
        <f>AVERAGE(G68:AP68)</f>
        <v>0.39370078740157483</v>
      </c>
      <c r="F68" s="11">
        <f>STDEV(G68:AP68)</f>
        <v>0</v>
      </c>
      <c r="G68" s="29">
        <f>data0!E26</f>
        <v>0.39370078740157483</v>
      </c>
      <c r="H68" s="29">
        <f>data0!F26</f>
        <v>0.39370078740157483</v>
      </c>
      <c r="I68" s="29">
        <f>data0!G26</f>
        <v>0.39370078740157483</v>
      </c>
      <c r="J68" s="29">
        <f>data0!H26</f>
        <v>0.39370078740157483</v>
      </c>
      <c r="K68" s="29">
        <f>data0!I26</f>
        <v>0.39370078740157483</v>
      </c>
      <c r="L68" s="29"/>
      <c r="M68" s="29"/>
      <c r="N68" s="29"/>
      <c r="O68" s="29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</row>
    <row r="69" spans="1:42">
      <c r="A69" s="34"/>
      <c r="B69" s="87"/>
      <c r="C69" s="87"/>
      <c r="D69" s="54">
        <v>0.2</v>
      </c>
      <c r="E69" s="11">
        <f>AVERAGE(G69:AP69)</f>
        <v>2.5735294117647061E-2</v>
      </c>
      <c r="F69" s="11">
        <f>STDEV(G69:AP69)</f>
        <v>5.0371970378834752E-3</v>
      </c>
      <c r="G69" s="30">
        <f>data0!E27-data0!E$3</f>
        <v>3.0024509803921573E-2</v>
      </c>
      <c r="H69" s="30">
        <f>data0!F27-data0!F$3</f>
        <v>1.7401960784313747E-2</v>
      </c>
      <c r="I69" s="30">
        <f>data0!G27-data0!G$3</f>
        <v>2.9166666666666674E-2</v>
      </c>
      <c r="J69" s="30">
        <f>data0!H27-data0!H$3</f>
        <v>2.6960784313725478E-2</v>
      </c>
      <c r="K69" s="30">
        <f>data0!I27-data0!I$3</f>
        <v>2.5122549019607837E-2</v>
      </c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</row>
    <row r="70" spans="1:42">
      <c r="A70" s="34"/>
      <c r="B70" s="87"/>
      <c r="C70" s="87"/>
      <c r="D70" s="54">
        <f>D69+5%</f>
        <v>0.25</v>
      </c>
      <c r="E70" s="11">
        <f t="shared" ref="E70:E75" si="46">AVERAGE(G70:AP70)</f>
        <v>3.2230392156862728E-2</v>
      </c>
      <c r="F70" s="11">
        <f t="shared" ref="F70:F75" si="47">STDEV(G70:AP70)</f>
        <v>3.2400255064711611E-3</v>
      </c>
      <c r="G70" s="30">
        <f>data0!E28-data0!E$4</f>
        <v>3.3088235294117641E-2</v>
      </c>
      <c r="H70" s="30">
        <f>data0!F28-data0!F$4</f>
        <v>2.6470588235294079E-2</v>
      </c>
      <c r="I70" s="30">
        <f>data0!G28-data0!G$4</f>
        <v>3.3700980392156854E-2</v>
      </c>
      <c r="J70" s="30">
        <f>data0!H28-data0!H$4</f>
        <v>3.3823529411764697E-2</v>
      </c>
      <c r="K70" s="30">
        <f>data0!I28-data0!I$4</f>
        <v>3.4068627450980382E-2</v>
      </c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</row>
    <row r="71" spans="1:42">
      <c r="A71" s="34"/>
      <c r="B71" s="87"/>
      <c r="C71" s="87"/>
      <c r="D71" s="54">
        <f t="shared" ref="D71:D75" si="48">D70+5%</f>
        <v>0.3</v>
      </c>
      <c r="E71" s="11">
        <f t="shared" si="46"/>
        <v>3.6617647058823546E-2</v>
      </c>
      <c r="F71" s="11">
        <f t="shared" si="47"/>
        <v>4.8707647046588838E-3</v>
      </c>
      <c r="G71" s="30">
        <f>data0!E29-data0!E$5</f>
        <v>3.8357843137254932E-2</v>
      </c>
      <c r="H71" s="30">
        <f>data0!F29-data0!F$5</f>
        <v>2.8308823529411775E-2</v>
      </c>
      <c r="I71" s="30">
        <f>data0!G29-data0!G$5</f>
        <v>4.1176470588235314E-2</v>
      </c>
      <c r="J71" s="30">
        <f>data0!H29-data0!H$5</f>
        <v>3.7745098039215719E-2</v>
      </c>
      <c r="K71" s="30">
        <f>data0!I29-data0!I$5</f>
        <v>3.7499999999999978E-2</v>
      </c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</row>
    <row r="72" spans="1:42">
      <c r="A72" s="34"/>
      <c r="B72" s="87"/>
      <c r="C72" s="87"/>
      <c r="D72" s="54">
        <f t="shared" si="48"/>
        <v>0.35</v>
      </c>
      <c r="E72" s="11">
        <f t="shared" si="46"/>
        <v>3.7230392156862746E-2</v>
      </c>
      <c r="F72" s="11">
        <f t="shared" si="47"/>
        <v>8.3735154364872454E-3</v>
      </c>
      <c r="G72" s="30">
        <f>data0!E30-data0!E$6</f>
        <v>3.3700980392156854E-2</v>
      </c>
      <c r="H72" s="30">
        <f>data0!F30-data0!F$6</f>
        <v>2.4019607843137281E-2</v>
      </c>
      <c r="I72" s="30">
        <f>data0!G30-data0!G$6</f>
        <v>4.2647058823529427E-2</v>
      </c>
      <c r="J72" s="30">
        <f>data0!H30-data0!H$6</f>
        <v>4.3014705882352899E-2</v>
      </c>
      <c r="K72" s="30">
        <f>data0!I30-data0!I$6</f>
        <v>4.2769607843137269E-2</v>
      </c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</row>
    <row r="73" spans="1:42">
      <c r="A73" s="34"/>
      <c r="B73" s="87"/>
      <c r="C73" s="87"/>
      <c r="D73" s="54">
        <f t="shared" si="48"/>
        <v>0.39999999999999997</v>
      </c>
      <c r="E73" s="11">
        <f t="shared" si="46"/>
        <v>4.3970588235294095E-2</v>
      </c>
      <c r="F73" s="11">
        <f t="shared" si="47"/>
        <v>5.1202910400178206E-3</v>
      </c>
      <c r="G73" s="30">
        <f>data0!E31-data0!E$7</f>
        <v>5.0122549019607832E-2</v>
      </c>
      <c r="H73" s="30">
        <f>data0!F31-data0!F$7</f>
        <v>3.6029411764705865E-2</v>
      </c>
      <c r="I73" s="30">
        <f>data0!G31-data0!G$7</f>
        <v>4.595588235294118E-2</v>
      </c>
      <c r="J73" s="30">
        <f>data0!H31-data0!H$7</f>
        <v>4.3872549019607798E-2</v>
      </c>
      <c r="K73" s="30">
        <f>data0!I31-data0!I$7</f>
        <v>4.3872549019607798E-2</v>
      </c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</row>
    <row r="74" spans="1:42">
      <c r="A74" s="34"/>
      <c r="B74" s="87"/>
      <c r="C74" s="87"/>
      <c r="D74" s="54">
        <f t="shared" si="48"/>
        <v>0.44999999999999996</v>
      </c>
      <c r="E74" s="11">
        <f t="shared" si="46"/>
        <v>4.3382352941176462E-2</v>
      </c>
      <c r="F74" s="11">
        <f t="shared" si="47"/>
        <v>7.8555737796751988E-3</v>
      </c>
      <c r="G74" s="30">
        <f>data0!E32-data0!E$8</f>
        <v>4.6200980392156865E-2</v>
      </c>
      <c r="H74" s="30">
        <f>data0!F32-data0!F$8</f>
        <v>3.1495098039215685E-2</v>
      </c>
      <c r="I74" s="30">
        <f>data0!G32-data0!G$8</f>
        <v>3.9583333333333304E-2</v>
      </c>
      <c r="J74" s="30">
        <f>data0!H32-data0!H$8</f>
        <v>5.0245098039215619E-2</v>
      </c>
      <c r="K74" s="30">
        <f>data0!I32-data0!I$8</f>
        <v>4.9387254901960831E-2</v>
      </c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</row>
    <row r="75" spans="1:42">
      <c r="A75" s="34"/>
      <c r="B75" s="87"/>
      <c r="C75" s="87"/>
      <c r="D75" s="54">
        <f t="shared" si="48"/>
        <v>0.49999999999999994</v>
      </c>
      <c r="E75" s="11">
        <f t="shared" si="46"/>
        <v>4.6960784313725523E-2</v>
      </c>
      <c r="F75" s="11">
        <f t="shared" si="47"/>
        <v>6.7964453260206835E-3</v>
      </c>
      <c r="G75" s="30">
        <f>data0!E33-data0!E$9</f>
        <v>5.1715686274509842E-2</v>
      </c>
      <c r="H75" s="30">
        <f>data0!F33-data0!F$9</f>
        <v>3.5784313725490291E-2</v>
      </c>
      <c r="I75" s="30">
        <f>data0!G33-data0!G$9</f>
        <v>4.5220588235294068E-2</v>
      </c>
      <c r="J75" s="30">
        <f>data0!H33-data0!H$9</f>
        <v>5.0367647058823573E-2</v>
      </c>
      <c r="K75" s="30">
        <f>data0!I33-data0!I$9</f>
        <v>5.1715686274509842E-2</v>
      </c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</row>
    <row r="76" spans="1:42">
      <c r="A76" s="34"/>
      <c r="B76" s="87">
        <v>4</v>
      </c>
      <c r="C76" s="87">
        <v>0</v>
      </c>
      <c r="D76" s="54">
        <f>D68+10%</f>
        <v>0.5</v>
      </c>
      <c r="E76" s="11">
        <f>AVERAGE(G76:AP76)</f>
        <v>0.47086614173228342</v>
      </c>
      <c r="F76" s="11">
        <f>STDEV(G76:AP76)</f>
        <v>3.5213668937004502E-3</v>
      </c>
      <c r="G76" s="29">
        <f>data0!E34</f>
        <v>0.47244094488188976</v>
      </c>
      <c r="H76" s="29">
        <f>data0!F34</f>
        <v>0.47244094488188976</v>
      </c>
      <c r="I76" s="29">
        <f>data0!G34</f>
        <v>0.47244094488188976</v>
      </c>
      <c r="J76" s="29">
        <f>data0!H34</f>
        <v>0.47244094488188976</v>
      </c>
      <c r="K76" s="29">
        <f>data0!I34</f>
        <v>0.46456692913385828</v>
      </c>
      <c r="L76" s="29"/>
      <c r="M76" s="29"/>
      <c r="N76" s="29"/>
      <c r="O76" s="29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</row>
    <row r="77" spans="1:42">
      <c r="A77" s="34"/>
      <c r="B77" s="87"/>
      <c r="C77" s="87"/>
      <c r="D77" s="54">
        <v>0.2</v>
      </c>
      <c r="E77" s="11">
        <f>AVERAGE(G77:AP77)</f>
        <v>2.9313725490196091E-2</v>
      </c>
      <c r="F77" s="11">
        <f>STDEV(G77:AP77)</f>
        <v>5.8857986231713672E-3</v>
      </c>
      <c r="G77" s="30">
        <f>data0!E35-data0!E$3</f>
        <v>3.541666666666668E-2</v>
      </c>
      <c r="H77" s="30">
        <f>data0!F35-data0!F$3</f>
        <v>1.9607843137254916E-2</v>
      </c>
      <c r="I77" s="30">
        <f>data0!G35-data0!G$3</f>
        <v>3.1862745098039241E-2</v>
      </c>
      <c r="J77" s="30">
        <f>data0!H35-data0!H$3</f>
        <v>3.0024509803921573E-2</v>
      </c>
      <c r="K77" s="30">
        <f>data0!I35-data0!I$3</f>
        <v>2.9656862745098045E-2</v>
      </c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</row>
    <row r="78" spans="1:42">
      <c r="A78" s="34"/>
      <c r="B78" s="87"/>
      <c r="C78" s="87"/>
      <c r="D78" s="54">
        <f>D77+5%</f>
        <v>0.25</v>
      </c>
      <c r="E78" s="11">
        <f t="shared" ref="E78:E83" si="49">AVERAGE(G78:AP78)</f>
        <v>3.3799019607843116E-2</v>
      </c>
      <c r="F78" s="11">
        <f t="shared" ref="F78:F83" si="50">STDEV(G78:AP78)</f>
        <v>4.4434794163287416E-3</v>
      </c>
      <c r="G78" s="30">
        <f>data0!E36-data0!E$4</f>
        <v>3.8235294117647034E-2</v>
      </c>
      <c r="H78" s="30">
        <f>data0!F36-data0!F$4</f>
        <v>2.7328431372548978E-2</v>
      </c>
      <c r="I78" s="30">
        <f>data0!G36-data0!G$4</f>
        <v>3.2720588235294112E-2</v>
      </c>
      <c r="J78" s="30">
        <f>data0!H36-data0!H$4</f>
        <v>3.2965686274509798E-2</v>
      </c>
      <c r="K78" s="30">
        <f>data0!I36-data0!I$4</f>
        <v>3.7745098039215663E-2</v>
      </c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</row>
    <row r="79" spans="1:42">
      <c r="A79" s="34"/>
      <c r="B79" s="87"/>
      <c r="C79" s="87"/>
      <c r="D79" s="54">
        <f t="shared" ref="D79:D83" si="51">D78+5%</f>
        <v>0.3</v>
      </c>
      <c r="E79" s="11">
        <f t="shared" si="49"/>
        <v>3.9019607843137259E-2</v>
      </c>
      <c r="F79" s="11">
        <f t="shared" si="50"/>
        <v>6.0829264688323339E-3</v>
      </c>
      <c r="G79" s="30">
        <f>data0!E37-data0!E$5</f>
        <v>4.460784313725491E-2</v>
      </c>
      <c r="H79" s="30">
        <f>data0!F37-data0!F$5</f>
        <v>2.8799019607843146E-2</v>
      </c>
      <c r="I79" s="30">
        <f>data0!G37-data0!G$5</f>
        <v>4.0808823529411786E-2</v>
      </c>
      <c r="J79" s="30">
        <f>data0!H37-data0!H$5</f>
        <v>3.8848039215686303E-2</v>
      </c>
      <c r="K79" s="30">
        <f>data0!I37-data0!I$5</f>
        <v>4.2034313725490158E-2</v>
      </c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</row>
    <row r="80" spans="1:42">
      <c r="A80" s="34"/>
      <c r="B80" s="87"/>
      <c r="C80" s="87"/>
      <c r="D80" s="54">
        <f t="shared" si="51"/>
        <v>0.35</v>
      </c>
      <c r="E80" s="11">
        <f t="shared" si="49"/>
        <v>3.9313725490196086E-2</v>
      </c>
      <c r="F80" s="11">
        <f t="shared" si="50"/>
        <v>8.458723591999168E-3</v>
      </c>
      <c r="G80" s="30">
        <f>data0!E38-data0!E$6</f>
        <v>3.7622549019607876E-2</v>
      </c>
      <c r="H80" s="30">
        <f>data0!F38-data0!F$6</f>
        <v>2.536764705882355E-2</v>
      </c>
      <c r="I80" s="30">
        <f>data0!G38-data0!G$6</f>
        <v>4.2769607843137269E-2</v>
      </c>
      <c r="J80" s="30">
        <f>data0!H38-data0!H$6</f>
        <v>4.6568627450980338E-2</v>
      </c>
      <c r="K80" s="30">
        <f>data0!I38-data0!I$6</f>
        <v>4.4240196078431382E-2</v>
      </c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</row>
    <row r="81" spans="1:42">
      <c r="A81" s="34"/>
      <c r="B81" s="87"/>
      <c r="C81" s="87"/>
      <c r="D81" s="54">
        <f t="shared" si="51"/>
        <v>0.39999999999999997</v>
      </c>
      <c r="E81" s="11">
        <f t="shared" si="49"/>
        <v>4.6397058823529402E-2</v>
      </c>
      <c r="F81" s="11">
        <f t="shared" si="50"/>
        <v>5.2543383422501881E-3</v>
      </c>
      <c r="G81" s="30">
        <f>data0!E39-data0!E$7</f>
        <v>5.4044117647058798E-2</v>
      </c>
      <c r="H81" s="30">
        <f>data0!F39-data0!F$7</f>
        <v>3.9215686274509776E-2</v>
      </c>
      <c r="I81" s="30">
        <f>data0!G39-data0!G$7</f>
        <v>4.6078431372549022E-2</v>
      </c>
      <c r="J81" s="30">
        <f>data0!H39-data0!H$7</f>
        <v>4.6691176470588236E-2</v>
      </c>
      <c r="K81" s="30">
        <f>data0!I39-data0!I$7</f>
        <v>4.595588235294118E-2</v>
      </c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</row>
    <row r="82" spans="1:42">
      <c r="A82" s="34"/>
      <c r="B82" s="87"/>
      <c r="C82" s="87"/>
      <c r="D82" s="54">
        <f t="shared" si="51"/>
        <v>0.44999999999999996</v>
      </c>
      <c r="E82" s="11">
        <f t="shared" si="49"/>
        <v>4.6151960784313731E-2</v>
      </c>
      <c r="F82" s="11">
        <f t="shared" si="50"/>
        <v>9.3401328420485014E-3</v>
      </c>
      <c r="G82" s="30">
        <f>data0!E40-data0!E$8</f>
        <v>5.1838235294117629E-2</v>
      </c>
      <c r="H82" s="30">
        <f>data0!F40-data0!F$8</f>
        <v>3.2475490196078427E-2</v>
      </c>
      <c r="I82" s="30">
        <f>data0!G40-data0!G$8</f>
        <v>4.031862745098036E-2</v>
      </c>
      <c r="J82" s="30">
        <f>data0!H40-data0!H$8</f>
        <v>5.3063725490196112E-2</v>
      </c>
      <c r="K82" s="30">
        <f>data0!I40-data0!I$8</f>
        <v>5.3063725490196112E-2</v>
      </c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  <c r="AP82" s="30"/>
    </row>
    <row r="83" spans="1:42">
      <c r="A83" s="34"/>
      <c r="B83" s="87"/>
      <c r="C83" s="87"/>
      <c r="D83" s="54">
        <f t="shared" si="51"/>
        <v>0.49999999999999994</v>
      </c>
      <c r="E83" s="11">
        <f t="shared" si="49"/>
        <v>4.9950980392156882E-2</v>
      </c>
      <c r="F83" s="11">
        <f t="shared" si="50"/>
        <v>8.2639302836591561E-3</v>
      </c>
      <c r="G83" s="30">
        <f>data0!E41-data0!E$9</f>
        <v>5.4411764705882382E-2</v>
      </c>
      <c r="H83" s="30">
        <f>data0!F41-data0!F$9</f>
        <v>3.7745098039215774E-2</v>
      </c>
      <c r="I83" s="30">
        <f>data0!G41-data0!G$9</f>
        <v>4.5343137254901911E-2</v>
      </c>
      <c r="J83" s="30">
        <f>data0!H41-data0!H$9</f>
        <v>5.4289215686274539E-2</v>
      </c>
      <c r="K83" s="30">
        <f>data0!I41-data0!I$9</f>
        <v>5.796568627450982E-2</v>
      </c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</row>
    <row r="84" spans="1:42">
      <c r="A84" s="34"/>
      <c r="B84" s="87">
        <v>2</v>
      </c>
      <c r="C84" s="87">
        <v>0</v>
      </c>
      <c r="D84" s="54">
        <f>D76+10%</f>
        <v>0.6</v>
      </c>
      <c r="E84" s="11">
        <f>AVERAGE(G84:AP84)</f>
        <v>0.6094488188976378</v>
      </c>
      <c r="F84" s="11">
        <f>STDEV(G84:AP84)</f>
        <v>4.3127760433477567E-3</v>
      </c>
      <c r="G84" s="29">
        <f>data0!E42</f>
        <v>0.61417322834645671</v>
      </c>
      <c r="H84" s="29">
        <f>data0!F42</f>
        <v>0.61417322834645671</v>
      </c>
      <c r="I84" s="29">
        <f>data0!G42</f>
        <v>0.60629921259842523</v>
      </c>
      <c r="J84" s="29">
        <f>data0!H42</f>
        <v>0.60629921259842523</v>
      </c>
      <c r="K84" s="29">
        <f>data0!I42</f>
        <v>0.60629921259842523</v>
      </c>
      <c r="L84" s="29"/>
      <c r="M84" s="29"/>
      <c r="N84" s="29"/>
      <c r="O84" s="29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</row>
    <row r="85" spans="1:42">
      <c r="A85" s="34"/>
      <c r="B85" s="87"/>
      <c r="C85" s="87"/>
      <c r="D85" s="54">
        <v>0.2</v>
      </c>
      <c r="E85" s="11">
        <f>AVERAGE(G85:AP85)</f>
        <v>3.1176470588235299E-2</v>
      </c>
      <c r="F85" s="11">
        <f>STDEV(G85:AP85)</f>
        <v>7.1382042570508359E-3</v>
      </c>
      <c r="G85" s="30">
        <f>data0!E43-data0!E$3</f>
        <v>3.7009803921568635E-2</v>
      </c>
      <c r="H85" s="30">
        <f>data0!F43-data0!F$3</f>
        <v>1.8872549019607859E-2</v>
      </c>
      <c r="I85" s="30">
        <f>data0!G43-data0!G$3</f>
        <v>3.4313725490196095E-2</v>
      </c>
      <c r="J85" s="30">
        <f>data0!H43-data0!H$3</f>
        <v>3.4068627450980382E-2</v>
      </c>
      <c r="K85" s="30">
        <f>data0!I43-data0!I$3</f>
        <v>3.1617647058823528E-2</v>
      </c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</row>
    <row r="86" spans="1:42">
      <c r="A86" s="34"/>
      <c r="B86" s="87"/>
      <c r="C86" s="87"/>
      <c r="D86" s="54">
        <f>D85+5%</f>
        <v>0.25</v>
      </c>
      <c r="E86" s="11">
        <f t="shared" ref="E86:E91" si="52">AVERAGE(G86:AP86)</f>
        <v>3.6936274509803899E-2</v>
      </c>
      <c r="F86" s="11">
        <f t="shared" ref="F86:F91" si="53">STDEV(G86:AP86)</f>
        <v>6.3137131211058808E-3</v>
      </c>
      <c r="G86" s="30">
        <f>data0!E44-data0!E$4</f>
        <v>4.0808823529411786E-2</v>
      </c>
      <c r="H86" s="30">
        <f>data0!F44-data0!F$4</f>
        <v>2.5980392156862708E-2</v>
      </c>
      <c r="I86" s="30">
        <f>data0!G44-data0!G$4</f>
        <v>3.7377450980392135E-2</v>
      </c>
      <c r="J86" s="30">
        <f>data0!H44-data0!H$4</f>
        <v>3.9215686274509776E-2</v>
      </c>
      <c r="K86" s="30">
        <f>data0!I44-data0!I$4</f>
        <v>4.1299019607843102E-2</v>
      </c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  <c r="AP86" s="30"/>
    </row>
    <row r="87" spans="1:42">
      <c r="A87" s="34"/>
      <c r="B87" s="87"/>
      <c r="C87" s="87"/>
      <c r="D87" s="54">
        <f t="shared" ref="D87:D91" si="54">D86+5%</f>
        <v>0.3</v>
      </c>
      <c r="E87" s="11">
        <f t="shared" si="52"/>
        <v>4.1936274509803917E-2</v>
      </c>
      <c r="F87" s="11">
        <f t="shared" si="53"/>
        <v>8.224673648970178E-3</v>
      </c>
      <c r="G87" s="30">
        <f>data0!E45-data0!E$5</f>
        <v>4.460784313725491E-2</v>
      </c>
      <c r="H87" s="30">
        <f>data0!F45-data0!F$5</f>
        <v>2.7450980392156876E-2</v>
      </c>
      <c r="I87" s="30">
        <f>data0!G45-data0!G$5</f>
        <v>4.8039215686274506E-2</v>
      </c>
      <c r="J87" s="30">
        <f>data0!H45-data0!H$5</f>
        <v>4.4975490196078438E-2</v>
      </c>
      <c r="K87" s="30">
        <f>data0!I45-data0!I$5</f>
        <v>4.4607843137254855E-2</v>
      </c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</row>
    <row r="88" spans="1:42">
      <c r="A88" s="34"/>
      <c r="B88" s="87"/>
      <c r="C88" s="87"/>
      <c r="D88" s="54">
        <f t="shared" si="54"/>
        <v>0.35</v>
      </c>
      <c r="E88" s="11">
        <f t="shared" si="52"/>
        <v>4.3063725490196089E-2</v>
      </c>
      <c r="F88" s="11">
        <f t="shared" si="53"/>
        <v>1.2012492196127092E-2</v>
      </c>
      <c r="G88" s="30">
        <f>data0!E46-data0!E$6</f>
        <v>4.3014705882352955E-2</v>
      </c>
      <c r="H88" s="30">
        <f>data0!F46-data0!F$6</f>
        <v>2.2303921568627483E-2</v>
      </c>
      <c r="I88" s="30">
        <f>data0!G46-data0!G$6</f>
        <v>5.0367647058823517E-2</v>
      </c>
      <c r="J88" s="30">
        <f>data0!H46-data0!H$6</f>
        <v>4.8897058823529405E-2</v>
      </c>
      <c r="K88" s="30">
        <f>data0!I46-data0!I$6</f>
        <v>5.0735294117647101E-2</v>
      </c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</row>
    <row r="89" spans="1:42">
      <c r="A89" s="34"/>
      <c r="B89" s="87"/>
      <c r="C89" s="87"/>
      <c r="D89" s="54">
        <f t="shared" si="54"/>
        <v>0.39999999999999997</v>
      </c>
      <c r="E89" s="11">
        <f t="shared" si="52"/>
        <v>5.0465686274509779E-2</v>
      </c>
      <c r="F89" s="11">
        <f t="shared" si="53"/>
        <v>7.0980112866420499E-3</v>
      </c>
      <c r="G89" s="30">
        <f>data0!E47-data0!E$7</f>
        <v>5.7843137254901922E-2</v>
      </c>
      <c r="H89" s="30">
        <f>data0!F47-data0!F$7</f>
        <v>3.8725490196078405E-2</v>
      </c>
      <c r="I89" s="30">
        <f>data0!G47-data0!G$7</f>
        <v>5.1348039215686259E-2</v>
      </c>
      <c r="J89" s="30">
        <f>data0!H47-data0!H$7</f>
        <v>5.1102941176470573E-2</v>
      </c>
      <c r="K89" s="30">
        <f>data0!I47-data0!I$7</f>
        <v>5.3308823529411742E-2</v>
      </c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</row>
    <row r="90" spans="1:42">
      <c r="A90" s="34"/>
      <c r="B90" s="87"/>
      <c r="C90" s="87"/>
      <c r="D90" s="54">
        <f t="shared" si="54"/>
        <v>0.44999999999999996</v>
      </c>
      <c r="E90" s="11">
        <f t="shared" si="52"/>
        <v>5.1078431372548992E-2</v>
      </c>
      <c r="F90" s="11">
        <f t="shared" si="53"/>
        <v>1.306265630396417E-2</v>
      </c>
      <c r="G90" s="30">
        <f>data0!E48-data0!E$8</f>
        <v>5.821078431372545E-2</v>
      </c>
      <c r="H90" s="30">
        <f>data0!F48-data0!F$8</f>
        <v>2.8921568627450933E-2</v>
      </c>
      <c r="I90" s="30">
        <f>data0!G48-data0!G$8</f>
        <v>4.9509803921568563E-2</v>
      </c>
      <c r="J90" s="30">
        <f>data0!H48-data0!H$8</f>
        <v>5.8823529411764719E-2</v>
      </c>
      <c r="K90" s="30">
        <f>data0!I48-data0!I$8</f>
        <v>5.9926470588235303E-2</v>
      </c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</row>
    <row r="91" spans="1:42">
      <c r="A91" s="34"/>
      <c r="B91" s="87"/>
      <c r="C91" s="87"/>
      <c r="D91" s="54">
        <f t="shared" si="54"/>
        <v>0.49999999999999994</v>
      </c>
      <c r="E91" s="11">
        <f t="shared" si="52"/>
        <v>5.4632352941176479E-2</v>
      </c>
      <c r="F91" s="11">
        <f t="shared" si="53"/>
        <v>1.1727115190041678E-2</v>
      </c>
      <c r="G91" s="30">
        <f>data0!E49-data0!E$9</f>
        <v>5.8088235294117663E-2</v>
      </c>
      <c r="H91" s="30">
        <f>data0!F49-data0!F$9</f>
        <v>3.5171568627451077E-2</v>
      </c>
      <c r="I91" s="30">
        <f>data0!G49-data0!G$9</f>
        <v>5.3186274509803844E-2</v>
      </c>
      <c r="J91" s="30">
        <f>data0!H49-data0!H$9</f>
        <v>6.1764705882352944E-2</v>
      </c>
      <c r="K91" s="30">
        <f>data0!I49-data0!I$9</f>
        <v>6.4950980392156854E-2</v>
      </c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</row>
    <row r="92" spans="1:42">
      <c r="A92" s="34"/>
      <c r="B92" s="87">
        <v>1</v>
      </c>
      <c r="C92" s="87">
        <v>0</v>
      </c>
      <c r="D92" s="54">
        <f>D84+10%</f>
        <v>0.7</v>
      </c>
      <c r="E92" s="11">
        <f>AVERAGE(G92:AP92)</f>
        <v>0.73543307086614174</v>
      </c>
      <c r="F92" s="11">
        <f>STDEV(G92:AP92)</f>
        <v>4.3127760433477567E-3</v>
      </c>
      <c r="G92" s="29">
        <f>data0!E50</f>
        <v>0.74015748031496065</v>
      </c>
      <c r="H92" s="29">
        <f>data0!F50</f>
        <v>0.74015748031496065</v>
      </c>
      <c r="I92" s="29">
        <f>data0!G50</f>
        <v>0.73228346456692917</v>
      </c>
      <c r="J92" s="29">
        <f>data0!H50</f>
        <v>0.73228346456692917</v>
      </c>
      <c r="K92" s="29">
        <f>data0!I50</f>
        <v>0.73228346456692917</v>
      </c>
      <c r="L92" s="29"/>
      <c r="M92" s="29"/>
      <c r="N92" s="29"/>
      <c r="O92" s="29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</row>
    <row r="93" spans="1:42">
      <c r="A93" s="34"/>
      <c r="B93" s="87"/>
      <c r="C93" s="87"/>
      <c r="D93" s="54">
        <v>0.2</v>
      </c>
      <c r="E93" s="11">
        <f>AVERAGE(G93:AP93)</f>
        <v>3.1887254901960781E-2</v>
      </c>
      <c r="F93" s="11">
        <f>STDEV(G93:AP93)</f>
        <v>1.0018485413513186E-2</v>
      </c>
      <c r="G93" s="30">
        <f>data0!E51-data0!E$3</f>
        <v>3.8357843137254904E-2</v>
      </c>
      <c r="H93" s="30">
        <f>data0!F51-data0!F$3</f>
        <v>1.4338235294117652E-2</v>
      </c>
      <c r="I93" s="30">
        <f>data0!G51-data0!G$3</f>
        <v>3.6397058823529421E-2</v>
      </c>
      <c r="J93" s="30">
        <f>data0!H51-data0!H$3</f>
        <v>3.7377450980392135E-2</v>
      </c>
      <c r="K93" s="30">
        <f>data0!I51-data0!I$3</f>
        <v>3.2965686274509798E-2</v>
      </c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</row>
    <row r="94" spans="1:42">
      <c r="A94" s="34"/>
      <c r="B94" s="87"/>
      <c r="C94" s="87"/>
      <c r="D94" s="54">
        <f>D93+5%</f>
        <v>0.25</v>
      </c>
      <c r="E94" s="11">
        <f t="shared" ref="E94:E99" si="55">AVERAGE(G94:AP94)</f>
        <v>3.7941176470588235E-2</v>
      </c>
      <c r="F94" s="11">
        <f t="shared" ref="F94:F99" si="56">STDEV(G94:AP94)</f>
        <v>9.3950429732003581E-3</v>
      </c>
      <c r="G94" s="30">
        <f>data0!E52-data0!E$4</f>
        <v>4.2892156862745112E-2</v>
      </c>
      <c r="H94" s="30">
        <f>data0!F52-data0!F$4</f>
        <v>2.1200980392156843E-2</v>
      </c>
      <c r="I94" s="30">
        <f>data0!G52-data0!G$4</f>
        <v>4.1176470588235314E-2</v>
      </c>
      <c r="J94" s="30">
        <f>data0!H52-data0!H$4</f>
        <v>4.1421568627450944E-2</v>
      </c>
      <c r="K94" s="30">
        <f>data0!I52-data0!I$4</f>
        <v>4.3014705882352955E-2</v>
      </c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</row>
    <row r="95" spans="1:42">
      <c r="A95" s="34"/>
      <c r="B95" s="87"/>
      <c r="C95" s="87"/>
      <c r="D95" s="54">
        <f t="shared" ref="D95:D99" si="57">D94+5%</f>
        <v>0.3</v>
      </c>
      <c r="E95" s="11">
        <f t="shared" si="55"/>
        <v>4.3333333333333349E-2</v>
      </c>
      <c r="F95" s="11">
        <f t="shared" si="56"/>
        <v>1.0151838293728977E-2</v>
      </c>
      <c r="G95" s="30">
        <f>data0!E53-data0!E$5</f>
        <v>5.0000000000000044E-2</v>
      </c>
      <c r="H95" s="30">
        <f>data0!F53-data0!F$5</f>
        <v>2.536764705882355E-2</v>
      </c>
      <c r="I95" s="30">
        <f>data0!G53-data0!G$5</f>
        <v>4.7916666666666663E-2</v>
      </c>
      <c r="J95" s="30">
        <f>data0!H53-data0!H$5</f>
        <v>4.5833333333333337E-2</v>
      </c>
      <c r="K95" s="30">
        <f>data0!I53-data0!I$5</f>
        <v>4.7549019607843135E-2</v>
      </c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</row>
    <row r="96" spans="1:42">
      <c r="A96" s="34"/>
      <c r="B96" s="87"/>
      <c r="C96" s="87"/>
      <c r="D96" s="54">
        <f t="shared" si="57"/>
        <v>0.35</v>
      </c>
      <c r="E96" s="11">
        <f t="shared" si="55"/>
        <v>4.4583333333333343E-2</v>
      </c>
      <c r="F96" s="11">
        <f t="shared" si="56"/>
        <v>1.2354497256488907E-2</v>
      </c>
      <c r="G96" s="30">
        <f>data0!E54-data0!E$6</f>
        <v>4.5588235294117652E-2</v>
      </c>
      <c r="H96" s="30">
        <f>data0!F54-data0!F$6</f>
        <v>2.3039215686274539E-2</v>
      </c>
      <c r="I96" s="30">
        <f>data0!G54-data0!G$6</f>
        <v>4.9999999999999989E-2</v>
      </c>
      <c r="J96" s="30">
        <f>data0!H54-data0!H$6</f>
        <v>5.3063725490196056E-2</v>
      </c>
      <c r="K96" s="30">
        <f>data0!I54-data0!I$6</f>
        <v>5.1225490196078471E-2</v>
      </c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</row>
    <row r="97" spans="1:42">
      <c r="A97" s="34"/>
      <c r="B97" s="87"/>
      <c r="C97" s="87"/>
      <c r="D97" s="54">
        <f t="shared" si="57"/>
        <v>0.39999999999999997</v>
      </c>
      <c r="E97" s="11">
        <f t="shared" si="55"/>
        <v>5.2794117647058804E-2</v>
      </c>
      <c r="F97" s="11">
        <f t="shared" si="56"/>
        <v>9.6819154724907281E-3</v>
      </c>
      <c r="G97" s="30">
        <f>data0!E55-data0!E$7</f>
        <v>6.3602941176470584E-2</v>
      </c>
      <c r="H97" s="30">
        <f>data0!F55-data0!F$7</f>
        <v>3.7009803921568607E-2</v>
      </c>
      <c r="I97" s="30">
        <f>data0!G55-data0!G$7</f>
        <v>5.4166666666666641E-2</v>
      </c>
      <c r="J97" s="30">
        <f>data0!H55-data0!H$7</f>
        <v>5.4044117647058798E-2</v>
      </c>
      <c r="K97" s="30">
        <f>data0!I55-data0!I$7</f>
        <v>5.5147058823529382E-2</v>
      </c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</row>
    <row r="98" spans="1:42">
      <c r="A98" s="34"/>
      <c r="B98" s="87"/>
      <c r="C98" s="87"/>
      <c r="D98" s="54">
        <f t="shared" si="57"/>
        <v>0.44999999999999996</v>
      </c>
      <c r="E98" s="11">
        <f t="shared" si="55"/>
        <v>5.4436274509803893E-2</v>
      </c>
      <c r="F98" s="11">
        <f t="shared" si="56"/>
        <v>1.3291174246861638E-2</v>
      </c>
      <c r="G98" s="30">
        <f>data0!E56-data0!E$8</f>
        <v>6.5808823529411697E-2</v>
      </c>
      <c r="H98" s="30">
        <f>data0!F56-data0!F$8</f>
        <v>3.3333333333333326E-2</v>
      </c>
      <c r="I98" s="30">
        <f>data0!G56-data0!G$8</f>
        <v>4.9509803921568563E-2</v>
      </c>
      <c r="J98" s="30">
        <f>data0!H56-data0!H$8</f>
        <v>6.2132352941176472E-2</v>
      </c>
      <c r="K98" s="30">
        <f>data0!I56-data0!I$8</f>
        <v>6.1397058823529416E-2</v>
      </c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</row>
    <row r="99" spans="1:42">
      <c r="A99" s="34"/>
      <c r="B99" s="87"/>
      <c r="C99" s="87"/>
      <c r="D99" s="54">
        <f t="shared" si="57"/>
        <v>0.49999999999999994</v>
      </c>
      <c r="E99" s="11">
        <f t="shared" si="55"/>
        <v>5.6838235294117648E-2</v>
      </c>
      <c r="F99" s="11">
        <f t="shared" si="56"/>
        <v>1.1232605416916092E-2</v>
      </c>
      <c r="G99" s="30">
        <f>data0!E57-data0!E$9</f>
        <v>6.5808823529411753E-2</v>
      </c>
      <c r="H99" s="30">
        <f>data0!F57-data0!F$9</f>
        <v>3.848039215686283E-2</v>
      </c>
      <c r="I99" s="30">
        <f>data0!G57-data0!G$9</f>
        <v>5.39215686274509E-2</v>
      </c>
      <c r="J99" s="30">
        <f>data0!H57-data0!H$9</f>
        <v>6.1764705882352944E-2</v>
      </c>
      <c r="K99" s="30">
        <f>data0!I57-data0!I$9</f>
        <v>6.4215686274509798E-2</v>
      </c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</row>
    <row r="100" spans="1:42">
      <c r="A100" s="34"/>
      <c r="B100" s="87">
        <v>0</v>
      </c>
      <c r="C100" s="87">
        <v>0</v>
      </c>
      <c r="D100" s="54">
        <v>0.9</v>
      </c>
      <c r="E100" s="11">
        <f>AVERAGE(G100:AP100)</f>
        <v>0.90551181102362199</v>
      </c>
      <c r="F100" s="11">
        <f>STDEV(G100:AP100)</f>
        <v>5.5677699306027652E-3</v>
      </c>
      <c r="G100" s="29">
        <f>data0!E58</f>
        <v>0.90551181102362199</v>
      </c>
      <c r="H100" s="29">
        <f>data0!F58</f>
        <v>0.91338582677165359</v>
      </c>
      <c r="I100" s="29">
        <f>data0!G58</f>
        <v>0.90551181102362199</v>
      </c>
      <c r="J100" s="29">
        <f>data0!H58</f>
        <v>0.90551181102362199</v>
      </c>
      <c r="K100" s="29">
        <f>data0!I58</f>
        <v>0.89763779527559051</v>
      </c>
      <c r="L100" s="29"/>
      <c r="M100" s="29"/>
      <c r="N100" s="29"/>
      <c r="O100" s="29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</row>
    <row r="101" spans="1:42">
      <c r="A101" s="34"/>
      <c r="B101" s="87"/>
      <c r="C101" s="87"/>
      <c r="D101" s="54">
        <v>0.2</v>
      </c>
      <c r="E101" s="11">
        <f>AVERAGE(G101:AP101)</f>
        <v>3.4044117647058822E-2</v>
      </c>
      <c r="F101" s="11">
        <f>STDEV(G101:AP101)</f>
        <v>1.1402789514333291E-2</v>
      </c>
      <c r="G101" s="30">
        <f>data0!E59-data0!E$3</f>
        <v>4.4117647058823511E-2</v>
      </c>
      <c r="H101" s="30">
        <f>data0!F59-data0!F$3</f>
        <v>1.4460784313725494E-2</v>
      </c>
      <c r="I101" s="30">
        <f>data0!G59-data0!G$3</f>
        <v>3.8357843137254904E-2</v>
      </c>
      <c r="J101" s="30">
        <f>data0!H59-data0!H$3</f>
        <v>3.7867647058823534E-2</v>
      </c>
      <c r="K101" s="30">
        <f>data0!I59-data0!I$3</f>
        <v>3.5416666666666652E-2</v>
      </c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</row>
    <row r="102" spans="1:42">
      <c r="A102" s="34"/>
      <c r="B102" s="87"/>
      <c r="C102" s="87"/>
      <c r="D102" s="54">
        <f>D101+5%</f>
        <v>0.25</v>
      </c>
      <c r="E102" s="11">
        <f t="shared" ref="E102:E107" si="58">AVERAGE(G102:AP102)</f>
        <v>3.9901960784313718E-2</v>
      </c>
      <c r="F102" s="11">
        <f t="shared" ref="F102:F107" si="59">STDEV(G102:AP102)</f>
        <v>1.0840082517444519E-2</v>
      </c>
      <c r="G102" s="30">
        <f>data0!E60-data0!E$4</f>
        <v>4.5710784313725494E-2</v>
      </c>
      <c r="H102" s="30">
        <f>data0!F60-data0!F$4</f>
        <v>2.0588235294117629E-2</v>
      </c>
      <c r="I102" s="30">
        <f>data0!G60-data0!G$4</f>
        <v>4.4240196078431382E-2</v>
      </c>
      <c r="J102" s="30">
        <f>data0!H60-data0!H$4</f>
        <v>4.3382352941176427E-2</v>
      </c>
      <c r="K102" s="30">
        <f>data0!I60-data0!I$4</f>
        <v>4.5588235294117652E-2</v>
      </c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</row>
    <row r="103" spans="1:42">
      <c r="A103" s="34"/>
      <c r="B103" s="87"/>
      <c r="C103" s="87"/>
      <c r="D103" s="54">
        <f t="shared" ref="D103:D107" si="60">D102+5%</f>
        <v>0.3</v>
      </c>
      <c r="E103" s="11">
        <f t="shared" si="58"/>
        <v>4.5539215686274524E-2</v>
      </c>
      <c r="F103" s="11">
        <f t="shared" si="59"/>
        <v>1.2355773582063835E-2</v>
      </c>
      <c r="G103" s="30">
        <f>data0!E61-data0!E$5</f>
        <v>5.1960784313725528E-2</v>
      </c>
      <c r="H103" s="30">
        <f>data0!F61-data0!F$5</f>
        <v>2.352941176470591E-2</v>
      </c>
      <c r="I103" s="30">
        <f>data0!G61-data0!G$5</f>
        <v>5.1225490196078471E-2</v>
      </c>
      <c r="J103" s="30">
        <f>data0!H61-data0!H$5</f>
        <v>4.914215686274509E-2</v>
      </c>
      <c r="K103" s="30">
        <f>data0!I61-data0!I$5</f>
        <v>5.1838235294117629E-2</v>
      </c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</row>
    <row r="104" spans="1:42">
      <c r="A104" s="34"/>
      <c r="B104" s="87"/>
      <c r="C104" s="87"/>
      <c r="D104" s="54">
        <f t="shared" si="60"/>
        <v>0.35</v>
      </c>
      <c r="E104" s="11">
        <f t="shared" si="58"/>
        <v>4.732843137254903E-2</v>
      </c>
      <c r="F104" s="11">
        <f t="shared" si="59"/>
        <v>1.5010979337565476E-2</v>
      </c>
      <c r="G104" s="30">
        <f>data0!E62-data0!E$6</f>
        <v>4.8161764705882348E-2</v>
      </c>
      <c r="H104" s="30">
        <f>data0!F62-data0!F$6</f>
        <v>2.1200980392156898E-2</v>
      </c>
      <c r="I104" s="30">
        <f>data0!G62-data0!G$6</f>
        <v>5.4166666666666696E-2</v>
      </c>
      <c r="J104" s="30">
        <f>data0!H62-data0!H$6</f>
        <v>5.5882352941176439E-2</v>
      </c>
      <c r="K104" s="30">
        <f>data0!I62-data0!I$6</f>
        <v>5.7230392156862764E-2</v>
      </c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</row>
    <row r="105" spans="1:42">
      <c r="A105" s="34"/>
      <c r="B105" s="87"/>
      <c r="C105" s="87"/>
      <c r="D105" s="54">
        <f t="shared" si="60"/>
        <v>0.39999999999999997</v>
      </c>
      <c r="E105" s="11">
        <f t="shared" si="58"/>
        <v>5.5049019607843107E-2</v>
      </c>
      <c r="F105" s="11">
        <f t="shared" si="59"/>
        <v>1.2141757099975991E-2</v>
      </c>
      <c r="G105" s="30">
        <f>data0!E63-data0!E$7</f>
        <v>6.7769607843137236E-2</v>
      </c>
      <c r="H105" s="30">
        <f>data0!F63-data0!F$7</f>
        <v>3.4926470588235281E-2</v>
      </c>
      <c r="I105" s="30">
        <f>data0!G63-data0!G$7</f>
        <v>5.7475490196078394E-2</v>
      </c>
      <c r="J105" s="30">
        <f>data0!H63-data0!H$7</f>
        <v>5.6004901960784281E-2</v>
      </c>
      <c r="K105" s="30">
        <f>data0!I63-data0!I$7</f>
        <v>5.9068627450980349E-2</v>
      </c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</row>
    <row r="106" spans="1:42">
      <c r="A106" s="34"/>
      <c r="B106" s="87"/>
      <c r="C106" s="87"/>
      <c r="D106" s="54">
        <f t="shared" si="60"/>
        <v>0.44999999999999996</v>
      </c>
      <c r="E106" s="11">
        <f t="shared" si="58"/>
        <v>5.6102941176470578E-2</v>
      </c>
      <c r="F106" s="11">
        <f t="shared" si="59"/>
        <v>1.5936179516125085E-2</v>
      </c>
      <c r="G106" s="30">
        <f>data0!E64-data0!E$8</f>
        <v>6.5808823529411697E-2</v>
      </c>
      <c r="H106" s="30">
        <f>data0!F64-data0!F$8</f>
        <v>2.9656862745098045E-2</v>
      </c>
      <c r="I106" s="30">
        <f>data0!G64-data0!G$8</f>
        <v>5.2696078431372584E-2</v>
      </c>
      <c r="J106" s="30">
        <f>data0!H64-data0!H$8</f>
        <v>6.4215686274509798E-2</v>
      </c>
      <c r="K106" s="30">
        <f>data0!I64-data0!I$8</f>
        <v>6.8137254901960764E-2</v>
      </c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</row>
    <row r="107" spans="1:42">
      <c r="A107" s="34"/>
      <c r="B107" s="87"/>
      <c r="C107" s="87"/>
      <c r="D107" s="54">
        <f t="shared" si="60"/>
        <v>0.49999999999999994</v>
      </c>
      <c r="E107" s="11">
        <f t="shared" si="58"/>
        <v>5.6348039215686277E-2</v>
      </c>
      <c r="F107" s="11">
        <f t="shared" si="59"/>
        <v>1.3294846052692023E-2</v>
      </c>
      <c r="G107" s="30">
        <f>data0!E65-data0!E$9</f>
        <v>6.3602941176470584E-2</v>
      </c>
      <c r="H107" s="30">
        <f>data0!F65-data0!F$9</f>
        <v>3.2720588235294223E-2</v>
      </c>
      <c r="I107" s="30">
        <f>data0!G65-data0!G$9</f>
        <v>5.9926470588235192E-2</v>
      </c>
      <c r="J107" s="30">
        <f>data0!H65-data0!H$9</f>
        <v>6.1887254901960786E-2</v>
      </c>
      <c r="K107" s="30">
        <f>data0!I65-data0!I$9</f>
        <v>6.3602941176470584E-2</v>
      </c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</row>
    <row r="108" spans="1:42">
      <c r="A108" s="34"/>
      <c r="B108" s="72"/>
      <c r="C108" s="72"/>
      <c r="D108" s="54"/>
      <c r="E108" s="11"/>
      <c r="F108" s="11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</row>
    <row r="109" spans="1:42">
      <c r="A109" s="34"/>
      <c r="B109" s="34"/>
      <c r="C109" s="34"/>
      <c r="D109" s="53"/>
      <c r="E109" s="11"/>
      <c r="F109" s="11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P109" s="30"/>
    </row>
    <row r="110" spans="1:42">
      <c r="B110" s="100"/>
      <c r="C110" s="99">
        <f>D101</f>
        <v>0.2</v>
      </c>
      <c r="D110" s="34" t="s">
        <v>16</v>
      </c>
      <c r="E110" s="11">
        <f>AVERAGE(G110:AP110)</f>
        <v>3.5073529411764705E-2</v>
      </c>
      <c r="F110" s="11">
        <f>STDEV(G110:AP110)</f>
        <v>9.2154092313384544E-3</v>
      </c>
      <c r="G110" s="29">
        <f>MAX(G53,G61,G69,G77,G85,G93,G101)</f>
        <v>4.4117647058823511E-2</v>
      </c>
      <c r="H110" s="29">
        <f>MAX(H53,H61,H69,H77,H85,H93,H101)</f>
        <v>1.9607843137254916E-2</v>
      </c>
      <c r="I110" s="29">
        <f t="shared" ref="I110:K110" si="61">MAX(I53,I61,I69,I77,I85,I93,I101)</f>
        <v>3.8357843137254904E-2</v>
      </c>
      <c r="J110" s="29">
        <f t="shared" si="61"/>
        <v>3.7867647058823534E-2</v>
      </c>
      <c r="K110" s="29">
        <f t="shared" si="61"/>
        <v>3.5416666666666652E-2</v>
      </c>
      <c r="L110" s="29"/>
      <c r="M110" s="29"/>
      <c r="N110" s="29"/>
      <c r="O110" s="29"/>
      <c r="P110" s="29"/>
      <c r="Q110" s="29"/>
      <c r="R110" s="29"/>
      <c r="S110" s="29"/>
      <c r="T110" s="29"/>
    </row>
    <row r="111" spans="1:42">
      <c r="B111" s="34"/>
      <c r="C111" s="99"/>
      <c r="D111" s="34" t="s">
        <v>17</v>
      </c>
      <c r="E111" s="11">
        <f t="shared" ref="E111:E123" si="62">AVERAGE(G111:AP111)</f>
        <v>-1.0294117647058842E-3</v>
      </c>
      <c r="F111" s="11">
        <f t="shared" ref="F111:F123" si="63">STDEV(G111:AP111)</f>
        <v>2.3018346827203759E-3</v>
      </c>
      <c r="G111" s="29">
        <f>G101-G110</f>
        <v>0</v>
      </c>
      <c r="H111" s="29">
        <f>H101-H110</f>
        <v>-5.1470588235294212E-3</v>
      </c>
      <c r="I111" s="29">
        <f t="shared" ref="I111:K111" si="64">I101-I110</f>
        <v>0</v>
      </c>
      <c r="J111" s="29">
        <f t="shared" si="64"/>
        <v>0</v>
      </c>
      <c r="K111" s="29">
        <f t="shared" si="64"/>
        <v>0</v>
      </c>
      <c r="L111" s="29"/>
      <c r="M111" s="29"/>
      <c r="N111" s="29"/>
      <c r="O111" s="29"/>
      <c r="P111" s="29"/>
      <c r="Q111" s="29"/>
      <c r="R111" s="29"/>
      <c r="S111" s="29"/>
      <c r="T111" s="29"/>
    </row>
    <row r="112" spans="1:42">
      <c r="B112" s="100"/>
      <c r="C112" s="99">
        <f>D102</f>
        <v>0.25</v>
      </c>
      <c r="D112" t="str">
        <f>D110</f>
        <v>Rise</v>
      </c>
      <c r="E112" s="11">
        <f t="shared" si="62"/>
        <v>4.1249999999999988E-2</v>
      </c>
      <c r="F112" s="11">
        <f t="shared" si="63"/>
        <v>7.8424670363149464E-3</v>
      </c>
      <c r="G112" s="29">
        <f>MAX(G54,G62,G70,G78,G86,G94,G102)</f>
        <v>4.5710784313725494E-2</v>
      </c>
      <c r="H112" s="29">
        <f>MAX(H54,H62,H70,H78,H86,H94,H102)</f>
        <v>2.7328431372548978E-2</v>
      </c>
      <c r="I112" s="29">
        <f t="shared" ref="I112:K112" si="65">MAX(I54,I62,I70,I78,I86,I94,I102)</f>
        <v>4.4240196078431382E-2</v>
      </c>
      <c r="J112" s="29">
        <f t="shared" si="65"/>
        <v>4.3382352941176427E-2</v>
      </c>
      <c r="K112" s="29">
        <f t="shared" si="65"/>
        <v>4.5588235294117652E-2</v>
      </c>
      <c r="L112" s="29"/>
      <c r="M112" s="29"/>
      <c r="N112" s="29"/>
      <c r="O112" s="29"/>
      <c r="P112" s="29"/>
      <c r="Q112" s="29"/>
      <c r="R112" s="29"/>
      <c r="S112" s="29"/>
      <c r="T112" s="29"/>
    </row>
    <row r="113" spans="2:20">
      <c r="B113" s="100"/>
      <c r="C113" s="99"/>
      <c r="D113" t="str">
        <f t="shared" ref="D113:D123" si="66">D111</f>
        <v>Droop</v>
      </c>
      <c r="E113" s="11">
        <f t="shared" si="62"/>
        <v>-1.3480392156862697E-3</v>
      </c>
      <c r="F113" s="11">
        <f t="shared" si="63"/>
        <v>3.0143073226099998E-3</v>
      </c>
      <c r="G113" s="29">
        <f>G102-G112</f>
        <v>0</v>
      </c>
      <c r="H113" s="29">
        <f>H102-H112</f>
        <v>-6.7401960784313486E-3</v>
      </c>
      <c r="I113" s="29">
        <f t="shared" ref="I113:K113" si="67">I102-I112</f>
        <v>0</v>
      </c>
      <c r="J113" s="29">
        <f t="shared" si="67"/>
        <v>0</v>
      </c>
      <c r="K113" s="29">
        <f t="shared" si="67"/>
        <v>0</v>
      </c>
      <c r="L113" s="29"/>
      <c r="M113" s="29"/>
      <c r="N113" s="29"/>
      <c r="O113" s="29"/>
      <c r="P113" s="29"/>
      <c r="Q113" s="29"/>
      <c r="R113" s="29"/>
      <c r="S113" s="29"/>
      <c r="T113" s="29"/>
    </row>
    <row r="114" spans="2:20">
      <c r="B114" s="100"/>
      <c r="C114" s="99">
        <f>D103</f>
        <v>0.3</v>
      </c>
      <c r="D114" t="str">
        <f t="shared" si="66"/>
        <v>Rise</v>
      </c>
      <c r="E114" s="11">
        <f t="shared" si="62"/>
        <v>4.6593137254901974E-2</v>
      </c>
      <c r="F114" s="11">
        <f t="shared" si="63"/>
        <v>1.0011362369318752E-2</v>
      </c>
      <c r="G114" s="29">
        <f>MAX(G55,G63,G71,G79,G87,G95,G103)</f>
        <v>5.1960784313725528E-2</v>
      </c>
      <c r="H114" s="29">
        <f>MAX(H55,H63,H71,H79,H87,H95,H103)</f>
        <v>2.8799019607843146E-2</v>
      </c>
      <c r="I114" s="29">
        <f t="shared" ref="I114:K114" si="68">MAX(I55,I63,I71,I79,I87,I95,I103)</f>
        <v>5.1225490196078471E-2</v>
      </c>
      <c r="J114" s="29">
        <f t="shared" si="68"/>
        <v>4.914215686274509E-2</v>
      </c>
      <c r="K114" s="29">
        <f t="shared" si="68"/>
        <v>5.1838235294117629E-2</v>
      </c>
      <c r="L114" s="29"/>
      <c r="M114" s="29"/>
      <c r="N114" s="29"/>
      <c r="O114" s="29"/>
      <c r="P114" s="29"/>
      <c r="Q114" s="29"/>
      <c r="R114" s="29"/>
      <c r="S114" s="29"/>
      <c r="T114" s="29"/>
    </row>
    <row r="115" spans="2:20">
      <c r="B115" s="100"/>
      <c r="C115" s="99"/>
      <c r="D115" t="str">
        <f t="shared" si="66"/>
        <v>Droop</v>
      </c>
      <c r="E115" s="11">
        <f t="shared" si="62"/>
        <v>-1.0539215686274472E-3</v>
      </c>
      <c r="F115" s="11">
        <f t="shared" si="63"/>
        <v>2.3566402704041818E-3</v>
      </c>
      <c r="G115" s="29">
        <f>G103-G114</f>
        <v>0</v>
      </c>
      <c r="H115" s="29">
        <f>H103-H114</f>
        <v>-5.2696078431372362E-3</v>
      </c>
      <c r="I115" s="29">
        <f t="shared" ref="I115:K115" si="69">I103-I114</f>
        <v>0</v>
      </c>
      <c r="J115" s="29">
        <f t="shared" si="69"/>
        <v>0</v>
      </c>
      <c r="K115" s="29">
        <f t="shared" si="69"/>
        <v>0</v>
      </c>
      <c r="L115" s="29"/>
      <c r="M115" s="29"/>
      <c r="N115" s="29"/>
      <c r="O115" s="29"/>
      <c r="P115" s="29"/>
      <c r="Q115" s="29"/>
      <c r="R115" s="29"/>
      <c r="S115" s="29"/>
      <c r="T115" s="29"/>
    </row>
    <row r="116" spans="2:20" s="9" customFormat="1">
      <c r="C116" s="99">
        <f>D104</f>
        <v>0.35</v>
      </c>
      <c r="D116" t="str">
        <f t="shared" si="66"/>
        <v>Rise</v>
      </c>
      <c r="E116" s="11">
        <f t="shared" si="62"/>
        <v>4.8161764705882362E-2</v>
      </c>
      <c r="F116" s="11">
        <f t="shared" si="63"/>
        <v>1.3204905654814664E-2</v>
      </c>
      <c r="G116" s="29">
        <f>MAX(G56,G64,G72,G80,G88,G96,G104)</f>
        <v>4.8161764705882348E-2</v>
      </c>
      <c r="H116" s="29">
        <f>MAX(H56,H64,H72,H80,H88,H96,H104)</f>
        <v>2.536764705882355E-2</v>
      </c>
      <c r="I116" s="29">
        <f t="shared" ref="I116:K116" si="70">MAX(I56,I64,I72,I80,I88,I96,I104)</f>
        <v>5.4166666666666696E-2</v>
      </c>
      <c r="J116" s="29">
        <f t="shared" si="70"/>
        <v>5.5882352941176439E-2</v>
      </c>
      <c r="K116" s="29">
        <f t="shared" si="70"/>
        <v>5.7230392156862764E-2</v>
      </c>
      <c r="L116" s="29"/>
      <c r="M116" s="29"/>
      <c r="N116" s="29"/>
      <c r="O116" s="29"/>
    </row>
    <row r="117" spans="2:20" s="9" customFormat="1">
      <c r="C117" s="99"/>
      <c r="D117" t="str">
        <f t="shared" si="66"/>
        <v>Droop</v>
      </c>
      <c r="E117" s="11">
        <f t="shared" si="62"/>
        <v>-8.3333333333333035E-4</v>
      </c>
      <c r="F117" s="11">
        <f t="shared" si="63"/>
        <v>1.8633899812498182E-3</v>
      </c>
      <c r="G117" s="101">
        <f>G104-G116</f>
        <v>0</v>
      </c>
      <c r="H117" s="101">
        <f>H104-H116</f>
        <v>-4.1666666666666519E-3</v>
      </c>
      <c r="I117" s="101">
        <f t="shared" ref="I117:K117" si="71">I104-I116</f>
        <v>0</v>
      </c>
      <c r="J117" s="101">
        <f t="shared" si="71"/>
        <v>0</v>
      </c>
      <c r="K117" s="101">
        <f t="shared" si="71"/>
        <v>0</v>
      </c>
      <c r="L117" s="101"/>
      <c r="M117" s="101"/>
      <c r="N117" s="101"/>
      <c r="O117" s="101"/>
    </row>
    <row r="118" spans="2:20">
      <c r="C118" s="99">
        <f>D105</f>
        <v>0.39999999999999997</v>
      </c>
      <c r="D118" t="str">
        <f t="shared" si="66"/>
        <v>Rise</v>
      </c>
      <c r="E118" s="11">
        <f t="shared" si="62"/>
        <v>5.5906862745098006E-2</v>
      </c>
      <c r="F118" s="11">
        <f t="shared" si="63"/>
        <v>1.0389743176042904E-2</v>
      </c>
      <c r="G118" s="29">
        <f>MAX(G57,G65,G73,G81,G89,G97,G105)</f>
        <v>6.7769607843137236E-2</v>
      </c>
      <c r="H118" s="29">
        <f>MAX(H57,H65,H73,H81,H89,H97,H105)</f>
        <v>3.9215686274509776E-2</v>
      </c>
      <c r="I118" s="29">
        <f t="shared" ref="I118:K118" si="72">MAX(I57,I65,I73,I81,I89,I97,I105)</f>
        <v>5.7475490196078394E-2</v>
      </c>
      <c r="J118" s="29">
        <f t="shared" si="72"/>
        <v>5.6004901960784281E-2</v>
      </c>
      <c r="K118" s="29">
        <f t="shared" si="72"/>
        <v>5.9068627450980349E-2</v>
      </c>
      <c r="L118" s="29"/>
      <c r="M118" s="29"/>
      <c r="N118" s="29"/>
      <c r="O118" s="29"/>
    </row>
    <row r="119" spans="2:20">
      <c r="C119" s="99"/>
      <c r="D119" t="str">
        <f t="shared" si="66"/>
        <v>Droop</v>
      </c>
      <c r="E119" s="11">
        <f t="shared" si="62"/>
        <v>-8.5784313725489891E-4</v>
      </c>
      <c r="F119" s="11">
        <f t="shared" si="63"/>
        <v>1.9181955689336365E-3</v>
      </c>
      <c r="G119" s="29">
        <f>G105-G118</f>
        <v>0</v>
      </c>
      <c r="H119" s="29">
        <f>H105-H118</f>
        <v>-4.2892156862744946E-3</v>
      </c>
      <c r="I119" s="29">
        <f t="shared" ref="I119:K119" si="73">I105-I118</f>
        <v>0</v>
      </c>
      <c r="J119" s="29">
        <f t="shared" si="73"/>
        <v>0</v>
      </c>
      <c r="K119" s="29">
        <f t="shared" si="73"/>
        <v>0</v>
      </c>
      <c r="L119" s="29"/>
      <c r="M119" s="29"/>
      <c r="N119" s="29"/>
      <c r="O119" s="29"/>
    </row>
    <row r="120" spans="2:20">
      <c r="C120" s="99">
        <f>D106</f>
        <v>0.44999999999999996</v>
      </c>
      <c r="D120" t="str">
        <f t="shared" si="66"/>
        <v>Rise</v>
      </c>
      <c r="E120" s="11">
        <f t="shared" si="62"/>
        <v>5.6838235294117634E-2</v>
      </c>
      <c r="F120" s="11">
        <f t="shared" si="63"/>
        <v>1.442397275385128E-2</v>
      </c>
      <c r="G120" s="29">
        <f>MAX(G58,G66,G74,G82,G90,G98,G106)</f>
        <v>6.5808823529411697E-2</v>
      </c>
      <c r="H120" s="29">
        <f>MAX(H58,H66,H74,H82,H90,H98,H106)</f>
        <v>3.3333333333333326E-2</v>
      </c>
      <c r="I120" s="29">
        <f t="shared" ref="I120:K120" si="74">MAX(I58,I66,I74,I82,I90,I98,I106)</f>
        <v>5.2696078431372584E-2</v>
      </c>
      <c r="J120" s="29">
        <f t="shared" si="74"/>
        <v>6.4215686274509798E-2</v>
      </c>
      <c r="K120" s="29">
        <f t="shared" si="74"/>
        <v>6.8137254901960764E-2</v>
      </c>
      <c r="L120" s="29"/>
      <c r="M120" s="29"/>
      <c r="N120" s="29"/>
      <c r="O120" s="29"/>
    </row>
    <row r="121" spans="2:20">
      <c r="C121" s="99"/>
      <c r="D121" t="str">
        <f t="shared" si="66"/>
        <v>Droop</v>
      </c>
      <c r="E121" s="11">
        <f t="shared" si="62"/>
        <v>-7.3529411764705621E-4</v>
      </c>
      <c r="F121" s="11">
        <f t="shared" si="63"/>
        <v>1.6441676305145455E-3</v>
      </c>
      <c r="G121" s="29">
        <f>G106-G120</f>
        <v>0</v>
      </c>
      <c r="H121" s="29">
        <f>H106-H120</f>
        <v>-3.6764705882352811E-3</v>
      </c>
      <c r="I121" s="29">
        <f t="shared" ref="I121:K121" si="75">I106-I120</f>
        <v>0</v>
      </c>
      <c r="J121" s="29">
        <f t="shared" si="75"/>
        <v>0</v>
      </c>
      <c r="K121" s="29">
        <f t="shared" si="75"/>
        <v>0</v>
      </c>
      <c r="L121" s="29"/>
      <c r="M121" s="29"/>
      <c r="N121" s="29"/>
      <c r="O121" s="29"/>
    </row>
    <row r="122" spans="2:20">
      <c r="C122" s="99">
        <f>D107</f>
        <v>0.49999999999999994</v>
      </c>
      <c r="D122" t="str">
        <f t="shared" si="66"/>
        <v>Rise</v>
      </c>
      <c r="E122" s="11">
        <f t="shared" si="62"/>
        <v>5.8210784313725485E-2</v>
      </c>
      <c r="F122" s="11">
        <f t="shared" si="63"/>
        <v>1.1279503902445058E-2</v>
      </c>
      <c r="G122" s="29">
        <f>MAX(G59,G67,G75,G83,G91,G99,G107)</f>
        <v>6.5808823529411753E-2</v>
      </c>
      <c r="H122" s="29">
        <f>MAX(H59,H67,H75,H83,H91,H99,H107)</f>
        <v>3.848039215686283E-2</v>
      </c>
      <c r="I122" s="29">
        <f t="shared" ref="I122:K122" si="76">MAX(I59,I67,I75,I83,I91,I99,I107)</f>
        <v>5.9926470588235192E-2</v>
      </c>
      <c r="J122" s="29">
        <f t="shared" si="76"/>
        <v>6.1887254901960786E-2</v>
      </c>
      <c r="K122" s="29">
        <f t="shared" si="76"/>
        <v>6.4950980392156854E-2</v>
      </c>
      <c r="L122" s="29"/>
      <c r="M122" s="29"/>
      <c r="N122" s="29"/>
      <c r="O122" s="29"/>
    </row>
    <row r="123" spans="2:20">
      <c r="C123" s="99"/>
      <c r="D123" t="str">
        <f t="shared" si="66"/>
        <v>Droop</v>
      </c>
      <c r="E123" s="11">
        <f t="shared" si="62"/>
        <v>-1.862745098039209E-3</v>
      </c>
      <c r="F123" s="11">
        <f t="shared" si="63"/>
        <v>2.3722021096239314E-3</v>
      </c>
      <c r="G123" s="29">
        <f>G107-G122</f>
        <v>-2.2058823529411686E-3</v>
      </c>
      <c r="H123" s="29">
        <f>H107-H122</f>
        <v>-5.759803921568607E-3</v>
      </c>
      <c r="I123" s="29">
        <f t="shared" ref="I123:K123" si="77">I107-I122</f>
        <v>0</v>
      </c>
      <c r="J123" s="29">
        <f t="shared" si="77"/>
        <v>0</v>
      </c>
      <c r="K123" s="29">
        <f t="shared" si="77"/>
        <v>-1.3480392156862697E-3</v>
      </c>
      <c r="L123" s="29"/>
      <c r="M123" s="29"/>
      <c r="N123" s="29"/>
      <c r="O123" s="29"/>
    </row>
  </sheetData>
  <mergeCells count="35">
    <mergeCell ref="C116:C117"/>
    <mergeCell ref="C118:C119"/>
    <mergeCell ref="C120:C121"/>
    <mergeCell ref="C122:C123"/>
    <mergeCell ref="B84:B91"/>
    <mergeCell ref="C84:C91"/>
    <mergeCell ref="B92:B99"/>
    <mergeCell ref="C92:C99"/>
    <mergeCell ref="B100:B107"/>
    <mergeCell ref="C100:C107"/>
    <mergeCell ref="C114:C115"/>
    <mergeCell ref="T17:T18"/>
    <mergeCell ref="T19:T20"/>
    <mergeCell ref="C110:C111"/>
    <mergeCell ref="C112:C113"/>
    <mergeCell ref="I23:P23"/>
    <mergeCell ref="C52:C59"/>
    <mergeCell ref="B60:B67"/>
    <mergeCell ref="C60:C67"/>
    <mergeCell ref="B68:B75"/>
    <mergeCell ref="C68:C75"/>
    <mergeCell ref="B76:B83"/>
    <mergeCell ref="C76:C83"/>
    <mergeCell ref="S11:Y11"/>
    <mergeCell ref="T12:U12"/>
    <mergeCell ref="T13:T14"/>
    <mergeCell ref="T15:T16"/>
    <mergeCell ref="I1:P1"/>
    <mergeCell ref="I13:P13"/>
    <mergeCell ref="A11:B11"/>
    <mergeCell ref="A12:B12"/>
    <mergeCell ref="I35:Q35"/>
    <mergeCell ref="A13:B13"/>
    <mergeCell ref="A14:B14"/>
    <mergeCell ref="B52:B59"/>
  </mergeCells>
  <pageMargins left="0.7" right="0.7" top="0.75" bottom="0.75" header="0.3" footer="0.3"/>
  <pageSetup orientation="portrait" r:id="rId1"/>
  <ignoredErrors>
    <ignoredError sqref="C14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BA73"/>
  <sheetViews>
    <sheetView zoomScale="70" zoomScaleNormal="70" workbookViewId="0">
      <selection activeCell="E9" sqref="E9"/>
    </sheetView>
  </sheetViews>
  <sheetFormatPr defaultRowHeight="15"/>
  <cols>
    <col min="1" max="1" width="14.42578125" bestFit="1" customWidth="1"/>
    <col min="2" max="2" width="4.28515625" bestFit="1" customWidth="1"/>
    <col min="3" max="3" width="6.5703125" style="10" bestFit="1" customWidth="1"/>
    <col min="4" max="4" width="9.85546875" bestFit="1" customWidth="1"/>
    <col min="5" max="5" width="5.42578125" style="11" customWidth="1"/>
    <col min="6" max="36" width="5.42578125" customWidth="1"/>
    <col min="37" max="37" width="2.28515625" customWidth="1"/>
    <col min="38" max="38" width="7.140625" style="5" bestFit="1" customWidth="1"/>
    <col min="39" max="39" width="8" style="5" bestFit="1" customWidth="1"/>
    <col min="40" max="40" width="7.42578125" style="5" bestFit="1" customWidth="1"/>
    <col min="41" max="41" width="5.85546875" style="5" bestFit="1" customWidth="1"/>
    <col min="43" max="43" width="10" bestFit="1" customWidth="1"/>
    <col min="44" max="46" width="7.28515625" bestFit="1" customWidth="1"/>
    <col min="47" max="51" width="7.85546875" bestFit="1" customWidth="1"/>
    <col min="52" max="52" width="7.7109375" bestFit="1" customWidth="1"/>
    <col min="54" max="57" width="6.5703125" customWidth="1"/>
    <col min="58" max="62" width="7.7109375" customWidth="1"/>
    <col min="63" max="63" width="7.140625" customWidth="1"/>
  </cols>
  <sheetData>
    <row r="1" spans="1:53">
      <c r="A1" s="9"/>
      <c r="B1" s="10" t="s">
        <v>8</v>
      </c>
      <c r="C1" s="10" t="s">
        <v>9</v>
      </c>
      <c r="D1" t="s">
        <v>15</v>
      </c>
      <c r="E1" s="12">
        <v>0</v>
      </c>
      <c r="F1" s="5">
        <f>E1+1</f>
        <v>1</v>
      </c>
      <c r="G1" s="5">
        <f t="shared" ref="G1:AJ1" si="0">F1+1</f>
        <v>2</v>
      </c>
      <c r="H1" s="5">
        <f t="shared" si="0"/>
        <v>3</v>
      </c>
      <c r="I1" s="5">
        <f t="shared" si="0"/>
        <v>4</v>
      </c>
      <c r="J1" s="5">
        <f t="shared" si="0"/>
        <v>5</v>
      </c>
      <c r="K1" s="5">
        <f t="shared" si="0"/>
        <v>6</v>
      </c>
      <c r="L1" s="5">
        <f t="shared" si="0"/>
        <v>7</v>
      </c>
      <c r="M1" s="5">
        <f t="shared" si="0"/>
        <v>8</v>
      </c>
      <c r="N1" s="5">
        <f t="shared" si="0"/>
        <v>9</v>
      </c>
      <c r="O1" s="5">
        <f t="shared" si="0"/>
        <v>10</v>
      </c>
      <c r="P1" s="5">
        <f t="shared" si="0"/>
        <v>11</v>
      </c>
      <c r="Q1" s="5">
        <f t="shared" si="0"/>
        <v>12</v>
      </c>
      <c r="R1" s="5">
        <f t="shared" si="0"/>
        <v>13</v>
      </c>
      <c r="S1" s="5">
        <f t="shared" si="0"/>
        <v>14</v>
      </c>
      <c r="T1" s="5">
        <f t="shared" si="0"/>
        <v>15</v>
      </c>
      <c r="U1" s="5">
        <f t="shared" si="0"/>
        <v>16</v>
      </c>
      <c r="V1" s="5">
        <f t="shared" si="0"/>
        <v>17</v>
      </c>
      <c r="W1" s="5">
        <f t="shared" si="0"/>
        <v>18</v>
      </c>
      <c r="X1" s="5">
        <f t="shared" si="0"/>
        <v>19</v>
      </c>
      <c r="Y1" s="5">
        <f t="shared" si="0"/>
        <v>20</v>
      </c>
      <c r="Z1" s="5">
        <f t="shared" si="0"/>
        <v>21</v>
      </c>
      <c r="AA1" s="5">
        <f t="shared" si="0"/>
        <v>22</v>
      </c>
      <c r="AB1" s="5">
        <f t="shared" si="0"/>
        <v>23</v>
      </c>
      <c r="AC1" s="5">
        <f t="shared" si="0"/>
        <v>24</v>
      </c>
      <c r="AD1" s="5">
        <f t="shared" si="0"/>
        <v>25</v>
      </c>
      <c r="AE1" s="5">
        <f t="shared" si="0"/>
        <v>26</v>
      </c>
      <c r="AF1" s="5">
        <f t="shared" si="0"/>
        <v>27</v>
      </c>
      <c r="AG1" s="5">
        <f t="shared" si="0"/>
        <v>28</v>
      </c>
      <c r="AH1" s="5">
        <f t="shared" si="0"/>
        <v>29</v>
      </c>
      <c r="AI1" s="5">
        <f t="shared" si="0"/>
        <v>30</v>
      </c>
      <c r="AJ1" s="5">
        <f t="shared" si="0"/>
        <v>31</v>
      </c>
      <c r="AK1" s="5"/>
      <c r="AZ1" s="9"/>
    </row>
    <row r="2" spans="1:53">
      <c r="A2" s="87" t="s">
        <v>4</v>
      </c>
      <c r="B2" s="87">
        <v>35</v>
      </c>
      <c r="C2" s="87">
        <v>0</v>
      </c>
      <c r="D2" s="53">
        <v>0</v>
      </c>
      <c r="E2" s="18">
        <v>0.11023622047244094</v>
      </c>
      <c r="F2" s="18">
        <v>0.11811023622047244</v>
      </c>
      <c r="G2" s="18">
        <v>0.11023622047244094</v>
      </c>
      <c r="H2" s="18">
        <v>0.11023622047244094</v>
      </c>
      <c r="I2" s="18">
        <v>0.11023622047244094</v>
      </c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L2" s="7"/>
      <c r="AM2" s="7"/>
      <c r="AN2" s="7"/>
      <c r="AO2" s="7"/>
      <c r="AR2" s="14"/>
      <c r="AS2" s="14"/>
      <c r="AT2" s="14"/>
      <c r="AZ2" s="9"/>
      <c r="BA2" s="11"/>
    </row>
    <row r="3" spans="1:53">
      <c r="A3" s="87"/>
      <c r="B3" s="87"/>
      <c r="C3" s="87"/>
      <c r="D3" s="54">
        <v>0.2</v>
      </c>
      <c r="E3" s="18">
        <v>0.21323529411764705</v>
      </c>
      <c r="F3" s="18">
        <v>0.20735294117647057</v>
      </c>
      <c r="G3" s="18">
        <v>0.20759803921568626</v>
      </c>
      <c r="H3" s="18">
        <v>0.20931372549019608</v>
      </c>
      <c r="I3" s="18">
        <v>0.21127450980392157</v>
      </c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L3" s="7"/>
      <c r="AM3" s="7"/>
      <c r="AN3" s="7"/>
      <c r="AO3" s="7"/>
      <c r="AQ3" s="6"/>
      <c r="AR3" s="13"/>
      <c r="AS3" s="13"/>
      <c r="AT3" s="13"/>
      <c r="AZ3" s="9"/>
    </row>
    <row r="4" spans="1:53">
      <c r="A4" s="87"/>
      <c r="B4" s="87"/>
      <c r="C4" s="87"/>
      <c r="D4" s="54">
        <v>0.25</v>
      </c>
      <c r="E4" s="18">
        <v>0.26605392156862745</v>
      </c>
      <c r="F4" s="18">
        <v>0.26262254901960785</v>
      </c>
      <c r="G4" s="18">
        <v>0.26801470588235293</v>
      </c>
      <c r="H4" s="18">
        <v>0.25906862745098042</v>
      </c>
      <c r="I4" s="18">
        <v>0.26384803921568628</v>
      </c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L4" s="7"/>
      <c r="AM4" s="7"/>
      <c r="AN4" s="7"/>
      <c r="AO4" s="7"/>
      <c r="AQ4" s="6"/>
      <c r="AR4" s="13"/>
      <c r="AS4" s="13"/>
      <c r="AT4" s="13"/>
      <c r="AZ4" s="9"/>
    </row>
    <row r="5" spans="1:53">
      <c r="A5" s="87"/>
      <c r="B5" s="87"/>
      <c r="C5" s="87"/>
      <c r="D5" s="54">
        <v>0.3</v>
      </c>
      <c r="E5" s="18">
        <v>0.31911764705882351</v>
      </c>
      <c r="F5" s="18">
        <v>0.31544117647058822</v>
      </c>
      <c r="G5" s="18">
        <v>0.31776960784313724</v>
      </c>
      <c r="H5" s="18">
        <v>0.31801470588235292</v>
      </c>
      <c r="I5" s="18">
        <v>0.30674019607843139</v>
      </c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L5" s="7"/>
      <c r="AM5" s="7"/>
      <c r="AN5" s="7"/>
      <c r="AO5" s="7"/>
      <c r="AQ5" s="6"/>
      <c r="AR5" s="13"/>
      <c r="AS5" s="13"/>
      <c r="AT5" s="13"/>
      <c r="AZ5" s="9"/>
    </row>
    <row r="6" spans="1:53">
      <c r="A6" s="87"/>
      <c r="B6" s="87"/>
      <c r="C6" s="87"/>
      <c r="D6" s="54">
        <v>0.35</v>
      </c>
      <c r="E6" s="18">
        <v>0.36605392156862743</v>
      </c>
      <c r="F6" s="18">
        <v>0.36715686274509801</v>
      </c>
      <c r="G6" s="18">
        <v>0.36458333333333331</v>
      </c>
      <c r="H6" s="18">
        <v>0.36899509803921571</v>
      </c>
      <c r="I6" s="18">
        <v>0.36605392156862743</v>
      </c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L6" s="7"/>
      <c r="AM6" s="7"/>
      <c r="AN6" s="7"/>
      <c r="AO6" s="7"/>
      <c r="AQ6" s="6"/>
      <c r="AR6" s="13"/>
      <c r="AS6" s="13"/>
      <c r="AT6" s="13"/>
      <c r="AZ6" s="9"/>
    </row>
    <row r="7" spans="1:53">
      <c r="A7" s="87"/>
      <c r="B7" s="87"/>
      <c r="C7" s="87"/>
      <c r="D7" s="54">
        <v>0.4</v>
      </c>
      <c r="E7" s="18">
        <v>0.41887254901960785</v>
      </c>
      <c r="F7" s="18">
        <v>0.41875000000000001</v>
      </c>
      <c r="G7" s="18">
        <v>0.40245098039215688</v>
      </c>
      <c r="H7" s="18">
        <v>0.40049019607843139</v>
      </c>
      <c r="I7" s="18">
        <v>0.40294117647058825</v>
      </c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L7" s="7"/>
      <c r="AM7" s="7"/>
      <c r="AN7" s="7"/>
      <c r="AO7" s="7"/>
      <c r="AQ7" s="6"/>
      <c r="AR7" s="13"/>
      <c r="AS7" s="13"/>
      <c r="AT7" s="13"/>
      <c r="AZ7" s="9"/>
    </row>
    <row r="8" spans="1:53">
      <c r="A8" s="87"/>
      <c r="B8" s="87"/>
      <c r="C8" s="87"/>
      <c r="D8" s="54">
        <v>0.45</v>
      </c>
      <c r="E8" s="18">
        <v>0.45159313725490197</v>
      </c>
      <c r="F8" s="18">
        <v>0.46458333333333335</v>
      </c>
      <c r="G8" s="18">
        <v>0.46629901960784315</v>
      </c>
      <c r="H8" s="18">
        <v>0.46691176470588236</v>
      </c>
      <c r="I8" s="18">
        <v>0.46948529411764706</v>
      </c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L8" s="7"/>
      <c r="AM8" s="7"/>
      <c r="AN8" s="7"/>
      <c r="AO8" s="7"/>
      <c r="AQ8" s="6"/>
      <c r="AR8" s="13"/>
      <c r="AS8" s="13"/>
      <c r="AT8" s="13"/>
      <c r="AZ8" s="9"/>
    </row>
    <row r="9" spans="1:53">
      <c r="A9" s="87"/>
      <c r="B9" s="87"/>
      <c r="C9" s="87"/>
      <c r="D9" s="54">
        <v>0.5</v>
      </c>
      <c r="E9" s="18">
        <v>0.50355392156862744</v>
      </c>
      <c r="F9" s="18">
        <v>0.51715686274509798</v>
      </c>
      <c r="G9" s="18">
        <v>0.51973039215686279</v>
      </c>
      <c r="H9" s="18">
        <v>0.50600490196078429</v>
      </c>
      <c r="I9" s="18">
        <v>0.50674019607843135</v>
      </c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L9" s="7"/>
      <c r="AM9" s="7"/>
      <c r="AN9" s="7"/>
      <c r="AO9" s="7"/>
      <c r="AQ9" s="6"/>
      <c r="AR9" s="13"/>
      <c r="AS9" s="13"/>
      <c r="AT9" s="13"/>
      <c r="AZ9" s="9"/>
    </row>
    <row r="10" spans="1:53">
      <c r="A10" s="87"/>
      <c r="B10" s="87">
        <v>13</v>
      </c>
      <c r="C10" s="87">
        <v>0</v>
      </c>
      <c r="D10" s="53">
        <v>0.2</v>
      </c>
      <c r="E10" s="18">
        <v>0.1889763779527559</v>
      </c>
      <c r="F10" s="18">
        <v>0.19685039370078741</v>
      </c>
      <c r="G10" s="18">
        <v>0.1889763779527559</v>
      </c>
      <c r="H10" s="18">
        <v>0.1889763779527559</v>
      </c>
      <c r="I10" s="18">
        <v>0.1889763779527559</v>
      </c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L10" s="7"/>
      <c r="AM10" s="7"/>
      <c r="AN10" s="7"/>
      <c r="AO10" s="7"/>
      <c r="AZ10" s="9"/>
    </row>
    <row r="11" spans="1:53">
      <c r="A11" s="87"/>
      <c r="B11" s="87"/>
      <c r="C11" s="87"/>
      <c r="D11" s="54">
        <f>D3</f>
        <v>0.2</v>
      </c>
      <c r="E11" s="18">
        <v>0.23063725490196077</v>
      </c>
      <c r="F11" s="18">
        <v>0.21924019607843137</v>
      </c>
      <c r="G11" s="18">
        <v>0.22659313725490196</v>
      </c>
      <c r="H11" s="18">
        <v>0.22683823529411765</v>
      </c>
      <c r="I11" s="18">
        <v>0.22365196078431374</v>
      </c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L11" s="7"/>
      <c r="AM11" s="7"/>
      <c r="AN11" s="7"/>
      <c r="AO11" s="7"/>
      <c r="AQ11" s="92"/>
      <c r="AR11" s="92"/>
      <c r="AS11" s="92"/>
      <c r="AT11" s="92"/>
      <c r="AU11" s="92"/>
      <c r="AV11" s="92"/>
      <c r="AW11" s="92"/>
      <c r="AX11" s="92"/>
      <c r="AY11" s="92"/>
      <c r="AZ11" s="9"/>
    </row>
    <row r="12" spans="1:53">
      <c r="A12" s="87"/>
      <c r="B12" s="87"/>
      <c r="C12" s="87"/>
      <c r="D12" s="54">
        <f>D4</f>
        <v>0.25</v>
      </c>
      <c r="E12" s="18">
        <v>0.28811274509803919</v>
      </c>
      <c r="F12" s="18">
        <v>0.27843137254901962</v>
      </c>
      <c r="G12" s="18">
        <v>0.28835784313725488</v>
      </c>
      <c r="H12" s="18">
        <v>0.27916666666666667</v>
      </c>
      <c r="I12" s="18">
        <v>0.28566176470588234</v>
      </c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L12" s="7"/>
      <c r="AM12" s="7"/>
      <c r="AN12" s="7"/>
      <c r="AO12" s="7"/>
      <c r="AR12" s="6"/>
      <c r="AS12" s="13"/>
      <c r="AT12" s="13"/>
      <c r="AU12" s="13"/>
      <c r="AV12" s="13"/>
      <c r="AW12" s="13"/>
      <c r="AX12" s="13"/>
      <c r="AY12" s="13"/>
      <c r="AZ12" s="15"/>
    </row>
    <row r="13" spans="1:53">
      <c r="A13" s="87"/>
      <c r="B13" s="87"/>
      <c r="C13" s="87"/>
      <c r="D13" s="54">
        <f t="shared" ref="D13:D17" si="1">D5</f>
        <v>0.3</v>
      </c>
      <c r="E13" s="18">
        <v>0.3428921568627451</v>
      </c>
      <c r="F13" s="18">
        <v>0.33259803921568626</v>
      </c>
      <c r="G13" s="18">
        <v>0.34473039215686274</v>
      </c>
      <c r="H13" s="18">
        <v>0.34044117647058825</v>
      </c>
      <c r="I13" s="18">
        <v>0.3310049019607843</v>
      </c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L13" s="7"/>
      <c r="AM13" s="7"/>
      <c r="AN13" s="7"/>
      <c r="AO13" s="7"/>
      <c r="AR13" s="6"/>
      <c r="AS13" s="13"/>
      <c r="AT13" s="13"/>
      <c r="AU13" s="13"/>
      <c r="AV13" s="13"/>
      <c r="AW13" s="13"/>
      <c r="AX13" s="13"/>
      <c r="AY13" s="13"/>
      <c r="AZ13" s="15"/>
    </row>
    <row r="14" spans="1:53">
      <c r="A14" s="87"/>
      <c r="B14" s="87"/>
      <c r="C14" s="87"/>
      <c r="D14" s="54">
        <f t="shared" si="1"/>
        <v>0.35</v>
      </c>
      <c r="E14" s="18">
        <v>0.38321078431372546</v>
      </c>
      <c r="F14" s="18">
        <v>0.37928921568627449</v>
      </c>
      <c r="G14" s="18">
        <v>0.39142156862745098</v>
      </c>
      <c r="H14" s="18">
        <v>0.39632352941176469</v>
      </c>
      <c r="I14" s="18">
        <v>0.39240196078431372</v>
      </c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L14" s="7"/>
      <c r="AM14" s="7"/>
      <c r="AN14" s="7"/>
      <c r="AO14" s="7"/>
      <c r="AR14" s="6"/>
      <c r="AS14" s="13"/>
      <c r="AT14" s="13"/>
      <c r="AU14" s="13"/>
      <c r="AV14" s="13"/>
      <c r="AW14" s="13"/>
      <c r="AX14" s="13"/>
      <c r="AY14" s="13"/>
      <c r="AZ14" s="15"/>
    </row>
    <row r="15" spans="1:53">
      <c r="A15" s="87"/>
      <c r="B15" s="87"/>
      <c r="C15" s="87"/>
      <c r="D15" s="54">
        <f t="shared" si="1"/>
        <v>0.4</v>
      </c>
      <c r="E15" s="18">
        <v>0.45</v>
      </c>
      <c r="F15" s="18">
        <v>0.44252450980392155</v>
      </c>
      <c r="G15" s="18">
        <v>0.43026960784313723</v>
      </c>
      <c r="H15" s="18">
        <v>0.42450980392156862</v>
      </c>
      <c r="I15" s="18">
        <v>0.43137254901960786</v>
      </c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L15" s="7"/>
      <c r="AM15" s="7"/>
      <c r="AN15" s="7"/>
      <c r="AO15" s="7"/>
      <c r="AR15" s="6"/>
      <c r="AS15" s="13"/>
      <c r="AT15" s="13"/>
      <c r="AU15" s="13"/>
      <c r="AV15" s="13"/>
      <c r="AW15" s="13"/>
      <c r="AX15" s="13"/>
      <c r="AY15" s="13"/>
      <c r="AZ15" s="15"/>
    </row>
    <row r="16" spans="1:53">
      <c r="A16" s="87"/>
      <c r="B16" s="87"/>
      <c r="C16" s="87"/>
      <c r="D16" s="54">
        <f t="shared" si="1"/>
        <v>0.45</v>
      </c>
      <c r="E16" s="18">
        <v>0.48100490196078433</v>
      </c>
      <c r="F16" s="18">
        <v>0.48198529411764707</v>
      </c>
      <c r="G16" s="18">
        <v>0.48541666666666666</v>
      </c>
      <c r="H16" s="18">
        <v>0.49546568627450982</v>
      </c>
      <c r="I16" s="18">
        <v>0.50232843137254901</v>
      </c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L16" s="7"/>
      <c r="AM16" s="7"/>
      <c r="AN16" s="7"/>
      <c r="AO16" s="7"/>
      <c r="AR16" s="6"/>
      <c r="AS16" s="13"/>
      <c r="AT16" s="13"/>
      <c r="AU16" s="13"/>
      <c r="AV16" s="13"/>
      <c r="AW16" s="13"/>
      <c r="AX16" s="13"/>
      <c r="AY16" s="13"/>
      <c r="AZ16" s="15"/>
    </row>
    <row r="17" spans="1:52">
      <c r="A17" s="87"/>
      <c r="B17" s="87"/>
      <c r="C17" s="87"/>
      <c r="D17" s="54">
        <f t="shared" si="1"/>
        <v>0.5</v>
      </c>
      <c r="E17" s="18">
        <v>0.53149509803921569</v>
      </c>
      <c r="F17" s="18">
        <v>0.53700980392156861</v>
      </c>
      <c r="G17" s="18">
        <v>0.54154411764705879</v>
      </c>
      <c r="H17" s="18">
        <v>0.53541666666666665</v>
      </c>
      <c r="I17" s="18">
        <v>0.53995098039215683</v>
      </c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L17" s="7"/>
      <c r="AM17" s="7"/>
      <c r="AN17" s="7"/>
      <c r="AO17" s="7"/>
      <c r="AR17" s="6"/>
      <c r="AS17" s="13"/>
      <c r="AT17" s="13"/>
      <c r="AU17" s="13"/>
      <c r="AV17" s="13"/>
      <c r="AW17" s="13"/>
      <c r="AX17" s="13"/>
      <c r="AY17" s="13"/>
      <c r="AZ17" s="15"/>
    </row>
    <row r="18" spans="1:52">
      <c r="A18" s="87"/>
      <c r="B18" s="87">
        <v>7</v>
      </c>
      <c r="C18" s="87">
        <v>0</v>
      </c>
      <c r="D18" s="53">
        <v>0.3</v>
      </c>
      <c r="E18" s="18">
        <v>0.29133858267716534</v>
      </c>
      <c r="F18" s="18">
        <v>0.29921259842519687</v>
      </c>
      <c r="G18" s="18">
        <v>0.29133858267716534</v>
      </c>
      <c r="H18" s="18">
        <v>0.29133858267716534</v>
      </c>
      <c r="I18" s="18">
        <v>0.29133858267716534</v>
      </c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L18" s="7"/>
      <c r="AM18" s="7"/>
      <c r="AN18" s="7"/>
      <c r="AO18" s="7"/>
      <c r="AQ18" s="6"/>
      <c r="AR18" s="6"/>
      <c r="AS18" s="13"/>
      <c r="AT18" s="13"/>
      <c r="AU18" s="13"/>
      <c r="AV18" s="13"/>
      <c r="AW18" s="13"/>
      <c r="AX18" s="13"/>
      <c r="AY18" s="13"/>
      <c r="AZ18" s="13"/>
    </row>
    <row r="19" spans="1:52">
      <c r="A19" s="87"/>
      <c r="B19" s="87"/>
      <c r="C19" s="87"/>
      <c r="D19" s="54">
        <f>D11</f>
        <v>0.2</v>
      </c>
      <c r="E19" s="18">
        <v>0.24019607843137256</v>
      </c>
      <c r="F19" s="18">
        <v>0.22696078431372549</v>
      </c>
      <c r="G19" s="18">
        <v>0.23455882352941176</v>
      </c>
      <c r="H19" s="18">
        <v>0.23370098039215687</v>
      </c>
      <c r="I19" s="18">
        <v>0.23137254901960785</v>
      </c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L19" s="7"/>
      <c r="AM19" s="7"/>
      <c r="AN19" s="7"/>
      <c r="AO19" s="7"/>
      <c r="AQ19" s="6"/>
      <c r="AR19" s="6"/>
      <c r="AS19" s="13"/>
      <c r="AT19" s="13"/>
      <c r="AU19" s="13"/>
      <c r="AV19" s="13"/>
      <c r="AW19" s="13"/>
      <c r="AX19" s="13"/>
      <c r="AY19" s="13"/>
      <c r="AZ19" s="13"/>
    </row>
    <row r="20" spans="1:52">
      <c r="A20" s="87"/>
      <c r="B20" s="87"/>
      <c r="C20" s="87"/>
      <c r="D20" s="54">
        <f>D12</f>
        <v>0.25</v>
      </c>
      <c r="E20" s="18">
        <v>0.29718137254901961</v>
      </c>
      <c r="F20" s="18">
        <v>0.28688725490196076</v>
      </c>
      <c r="G20" s="18">
        <v>0.29803921568627451</v>
      </c>
      <c r="H20" s="18">
        <v>0.28823529411764703</v>
      </c>
      <c r="I20" s="18">
        <v>0.29448529411764707</v>
      </c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L20" s="7"/>
      <c r="AM20" s="7"/>
      <c r="AN20" s="7"/>
      <c r="AO20" s="7"/>
      <c r="AQ20" s="6"/>
      <c r="AR20" s="6"/>
      <c r="AS20" s="13"/>
      <c r="AT20" s="13"/>
      <c r="AU20" s="13"/>
      <c r="AV20" s="13"/>
      <c r="AW20" s="13"/>
      <c r="AX20" s="13"/>
      <c r="AY20" s="13"/>
      <c r="AZ20" s="13"/>
    </row>
    <row r="21" spans="1:52">
      <c r="A21" s="87"/>
      <c r="B21" s="87"/>
      <c r="C21" s="87"/>
      <c r="D21" s="54">
        <f t="shared" ref="D21:D25" si="2">D13</f>
        <v>0.3</v>
      </c>
      <c r="E21" s="18">
        <v>0.35355392156862747</v>
      </c>
      <c r="F21" s="18">
        <v>0.34154411764705883</v>
      </c>
      <c r="G21" s="18">
        <v>0.35379901960784316</v>
      </c>
      <c r="H21" s="18">
        <v>0.35134803921568625</v>
      </c>
      <c r="I21" s="18">
        <v>0.34142156862745099</v>
      </c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L21" s="7"/>
      <c r="AM21" s="7"/>
      <c r="AN21" s="7"/>
      <c r="AO21" s="7"/>
      <c r="AQ21" s="6"/>
      <c r="AR21" s="6"/>
      <c r="AS21" s="13"/>
      <c r="AT21" s="13"/>
      <c r="AU21" s="13"/>
      <c r="AV21" s="13"/>
      <c r="AW21" s="13"/>
      <c r="AX21" s="13"/>
      <c r="AY21" s="13"/>
      <c r="AZ21" s="13"/>
    </row>
    <row r="22" spans="1:52">
      <c r="A22" s="87"/>
      <c r="B22" s="87"/>
      <c r="C22" s="87"/>
      <c r="D22" s="54">
        <f t="shared" si="2"/>
        <v>0.35</v>
      </c>
      <c r="E22" s="18">
        <v>0.39411764705882352</v>
      </c>
      <c r="F22" s="18">
        <v>0.38982843137254902</v>
      </c>
      <c r="G22" s="18">
        <v>0.40171568627450982</v>
      </c>
      <c r="H22" s="18">
        <v>0.4079656862745098</v>
      </c>
      <c r="I22" s="18">
        <v>0.40477941176470589</v>
      </c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L22" s="7"/>
      <c r="AM22" s="7"/>
      <c r="AN22" s="7"/>
      <c r="AO22" s="7"/>
      <c r="AQ22" s="6"/>
      <c r="AR22" s="6"/>
      <c r="AS22" s="13"/>
      <c r="AT22" s="13"/>
      <c r="AU22" s="13"/>
      <c r="AV22" s="13"/>
      <c r="AW22" s="13"/>
      <c r="AX22" s="13"/>
      <c r="AY22" s="13"/>
      <c r="AZ22" s="13"/>
    </row>
    <row r="23" spans="1:52">
      <c r="A23" s="87"/>
      <c r="B23" s="87"/>
      <c r="C23" s="87"/>
      <c r="D23" s="54">
        <f t="shared" si="2"/>
        <v>0.4</v>
      </c>
      <c r="E23" s="18">
        <v>0.4620098039215686</v>
      </c>
      <c r="F23" s="18">
        <v>0.45183823529411765</v>
      </c>
      <c r="G23" s="18">
        <v>0.44289215686274508</v>
      </c>
      <c r="H23" s="18">
        <v>0.43688725490196079</v>
      </c>
      <c r="I23" s="18">
        <v>0.44338235294117645</v>
      </c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L23" s="7"/>
      <c r="AM23" s="7"/>
      <c r="AN23" s="7"/>
      <c r="AO23" s="7"/>
      <c r="AQ23" s="6"/>
      <c r="AR23" s="6"/>
      <c r="AS23" s="13"/>
      <c r="AT23" s="13"/>
      <c r="AU23" s="13"/>
      <c r="AV23" s="13"/>
      <c r="AW23" s="13"/>
      <c r="AX23" s="13"/>
      <c r="AY23" s="13"/>
      <c r="AZ23" s="13"/>
    </row>
    <row r="24" spans="1:52">
      <c r="A24" s="87"/>
      <c r="B24" s="87"/>
      <c r="C24" s="87"/>
      <c r="D24" s="54">
        <f t="shared" si="2"/>
        <v>0.45</v>
      </c>
      <c r="E24" s="18">
        <v>0.4965686274509804</v>
      </c>
      <c r="F24" s="18">
        <v>0.49117647058823527</v>
      </c>
      <c r="G24" s="18">
        <v>0.50147058823529411</v>
      </c>
      <c r="H24" s="18">
        <v>0.50955882352941173</v>
      </c>
      <c r="I24" s="18">
        <v>0.51580882352941171</v>
      </c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L24" s="7"/>
      <c r="AM24" s="7"/>
      <c r="AN24" s="7"/>
      <c r="AO24" s="7"/>
      <c r="AQ24" s="6"/>
      <c r="AR24" s="6"/>
      <c r="AS24" s="13"/>
      <c r="AT24" s="13"/>
      <c r="AU24" s="13"/>
      <c r="AV24" s="13"/>
      <c r="AW24" s="13"/>
      <c r="AX24" s="13"/>
      <c r="AY24" s="13"/>
      <c r="AZ24" s="13"/>
    </row>
    <row r="25" spans="1:52">
      <c r="A25" s="87"/>
      <c r="B25" s="87"/>
      <c r="C25" s="87"/>
      <c r="D25" s="54">
        <f t="shared" si="2"/>
        <v>0.5</v>
      </c>
      <c r="E25" s="18">
        <v>0.54767156862745092</v>
      </c>
      <c r="F25" s="18">
        <v>0.5455882352941176</v>
      </c>
      <c r="G25" s="18">
        <v>0.55686274509803924</v>
      </c>
      <c r="H25" s="18">
        <v>0.54865196078431366</v>
      </c>
      <c r="I25" s="18">
        <v>0.55367647058823533</v>
      </c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L25" s="7"/>
      <c r="AM25" s="7"/>
      <c r="AN25" s="7"/>
      <c r="AO25" s="7"/>
      <c r="AQ25" s="6"/>
      <c r="AR25" s="6"/>
      <c r="AS25" s="13"/>
      <c r="AT25" s="13"/>
      <c r="AU25" s="13"/>
      <c r="AV25" s="13"/>
      <c r="AW25" s="13"/>
      <c r="AX25" s="13"/>
      <c r="AY25" s="13"/>
      <c r="AZ25" s="13"/>
    </row>
    <row r="26" spans="1:52">
      <c r="A26" s="87"/>
      <c r="B26" s="87">
        <v>5</v>
      </c>
      <c r="C26" s="87">
        <v>0</v>
      </c>
      <c r="D26" s="53">
        <v>0.4</v>
      </c>
      <c r="E26" s="18">
        <v>0.39370078740157483</v>
      </c>
      <c r="F26" s="18">
        <v>0.39370078740157483</v>
      </c>
      <c r="G26" s="18">
        <v>0.39370078740157483</v>
      </c>
      <c r="H26" s="18">
        <v>0.39370078740157483</v>
      </c>
      <c r="I26" s="18">
        <v>0.39370078740157483</v>
      </c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L26" s="7"/>
      <c r="AM26" s="7"/>
      <c r="AN26" s="7"/>
      <c r="AO26" s="7"/>
      <c r="AQ26" s="92"/>
      <c r="AR26" s="92"/>
      <c r="AS26" s="92"/>
      <c r="AT26" s="92"/>
      <c r="AU26" s="92"/>
      <c r="AV26" s="92"/>
      <c r="AW26" s="92"/>
      <c r="AX26" s="92"/>
      <c r="AY26" s="92"/>
      <c r="AZ26" s="9"/>
    </row>
    <row r="27" spans="1:52">
      <c r="A27" s="87"/>
      <c r="B27" s="87"/>
      <c r="C27" s="87"/>
      <c r="D27" s="54">
        <f>D19</f>
        <v>0.2</v>
      </c>
      <c r="E27" s="18">
        <v>0.24325980392156862</v>
      </c>
      <c r="F27" s="18">
        <v>0.22475490196078432</v>
      </c>
      <c r="G27" s="18">
        <v>0.23676470588235293</v>
      </c>
      <c r="H27" s="18">
        <v>0.23627450980392156</v>
      </c>
      <c r="I27" s="18">
        <v>0.2363970588235294</v>
      </c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L27" s="7"/>
      <c r="AM27" s="7"/>
      <c r="AN27" s="7"/>
      <c r="AO27" s="7"/>
      <c r="AR27" s="13"/>
      <c r="AS27" s="13"/>
      <c r="AT27" s="13"/>
      <c r="AU27" s="13"/>
      <c r="AV27" s="13"/>
      <c r="AW27" s="13"/>
      <c r="AX27" s="13"/>
      <c r="AZ27" s="9"/>
    </row>
    <row r="28" spans="1:52" ht="15" customHeight="1">
      <c r="A28" s="87"/>
      <c r="B28" s="87"/>
      <c r="C28" s="87"/>
      <c r="D28" s="54">
        <f>D20</f>
        <v>0.25</v>
      </c>
      <c r="E28" s="18">
        <v>0.29914215686274509</v>
      </c>
      <c r="F28" s="18">
        <v>0.28909313725490193</v>
      </c>
      <c r="G28" s="18">
        <v>0.30171568627450979</v>
      </c>
      <c r="H28" s="18">
        <v>0.29289215686274511</v>
      </c>
      <c r="I28" s="18">
        <v>0.29791666666666666</v>
      </c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L28" s="7"/>
      <c r="AM28" s="7"/>
      <c r="AN28" s="7"/>
      <c r="AO28" s="7"/>
      <c r="AR28" s="16"/>
      <c r="AS28" s="16"/>
      <c r="AT28" s="16"/>
      <c r="AU28" s="16"/>
      <c r="AV28" s="16"/>
      <c r="AW28" s="16"/>
      <c r="AX28" s="16"/>
      <c r="AY28" s="15"/>
      <c r="AZ28" s="9"/>
    </row>
    <row r="29" spans="1:52" ht="15" customHeight="1">
      <c r="A29" s="87"/>
      <c r="B29" s="87"/>
      <c r="C29" s="87"/>
      <c r="D29" s="54">
        <f t="shared" ref="D29:D33" si="3">D21</f>
        <v>0.3</v>
      </c>
      <c r="E29" s="18">
        <v>0.35747549019607844</v>
      </c>
      <c r="F29" s="18">
        <v>0.34375</v>
      </c>
      <c r="G29" s="18">
        <v>0.35894607843137255</v>
      </c>
      <c r="H29" s="18">
        <v>0.35575980392156864</v>
      </c>
      <c r="I29" s="18">
        <v>0.34424019607843137</v>
      </c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L29" s="7"/>
      <c r="AM29" s="7"/>
      <c r="AN29" s="7"/>
      <c r="AO29" s="7"/>
      <c r="AR29" s="16"/>
      <c r="AS29" s="16"/>
      <c r="AT29" s="16"/>
      <c r="AU29" s="16"/>
      <c r="AV29" s="16"/>
      <c r="AW29" s="16"/>
      <c r="AX29" s="16"/>
      <c r="AY29" s="15"/>
      <c r="AZ29" s="9"/>
    </row>
    <row r="30" spans="1:52" ht="15" customHeight="1">
      <c r="A30" s="87"/>
      <c r="B30" s="87"/>
      <c r="C30" s="87"/>
      <c r="D30" s="54">
        <f t="shared" si="3"/>
        <v>0.35</v>
      </c>
      <c r="E30" s="18">
        <v>0.39975490196078428</v>
      </c>
      <c r="F30" s="18">
        <v>0.39117647058823529</v>
      </c>
      <c r="G30" s="18">
        <v>0.40723039215686274</v>
      </c>
      <c r="H30" s="18">
        <v>0.41200980392156861</v>
      </c>
      <c r="I30" s="18">
        <v>0.4088235294117647</v>
      </c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L30" s="7"/>
      <c r="AM30" s="7"/>
      <c r="AN30" s="7"/>
      <c r="AO30" s="7"/>
      <c r="AR30" s="16"/>
      <c r="AS30" s="16"/>
      <c r="AT30" s="16"/>
      <c r="AU30" s="16"/>
      <c r="AV30" s="16"/>
      <c r="AW30" s="16"/>
      <c r="AX30" s="16"/>
      <c r="AY30" s="15"/>
      <c r="AZ30" s="9"/>
    </row>
    <row r="31" spans="1:52" ht="15" customHeight="1">
      <c r="A31" s="87"/>
      <c r="B31" s="87"/>
      <c r="C31" s="87"/>
      <c r="D31" s="54">
        <f t="shared" si="3"/>
        <v>0.4</v>
      </c>
      <c r="E31" s="18">
        <v>0.46899509803921569</v>
      </c>
      <c r="F31" s="18">
        <v>0.45477941176470588</v>
      </c>
      <c r="G31" s="18">
        <v>0.44840686274509806</v>
      </c>
      <c r="H31" s="18">
        <v>0.44436274509803919</v>
      </c>
      <c r="I31" s="18">
        <v>0.44681372549019605</v>
      </c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L31" s="7"/>
      <c r="AM31" s="7"/>
      <c r="AN31" s="7"/>
      <c r="AO31" s="7"/>
      <c r="AR31" s="16"/>
      <c r="AS31" s="16"/>
      <c r="AT31" s="16"/>
      <c r="AU31" s="16"/>
      <c r="AV31" s="16"/>
      <c r="AW31" s="16"/>
      <c r="AX31" s="16"/>
      <c r="AY31" s="15"/>
      <c r="AZ31" s="9"/>
    </row>
    <row r="32" spans="1:52" ht="15" customHeight="1">
      <c r="A32" s="87"/>
      <c r="B32" s="87"/>
      <c r="C32" s="87"/>
      <c r="D32" s="54">
        <f t="shared" si="3"/>
        <v>0.45</v>
      </c>
      <c r="E32" s="18">
        <v>0.49779411764705883</v>
      </c>
      <c r="F32" s="18">
        <v>0.49607843137254903</v>
      </c>
      <c r="G32" s="18">
        <v>0.50588235294117645</v>
      </c>
      <c r="H32" s="18">
        <v>0.51715686274509798</v>
      </c>
      <c r="I32" s="18">
        <v>0.51887254901960789</v>
      </c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L32" s="7"/>
      <c r="AM32" s="7"/>
      <c r="AN32" s="7"/>
      <c r="AO32" s="7"/>
      <c r="AR32" s="16"/>
      <c r="AS32" s="16"/>
      <c r="AT32" s="16"/>
      <c r="AU32" s="16"/>
      <c r="AV32" s="16"/>
      <c r="AW32" s="16"/>
      <c r="AX32" s="16"/>
      <c r="AY32" s="15"/>
      <c r="AZ32" s="9"/>
    </row>
    <row r="33" spans="1:52" ht="15" customHeight="1">
      <c r="A33" s="87"/>
      <c r="B33" s="87"/>
      <c r="C33" s="87"/>
      <c r="D33" s="54">
        <f t="shared" si="3"/>
        <v>0.5</v>
      </c>
      <c r="E33" s="18">
        <v>0.55526960784313728</v>
      </c>
      <c r="F33" s="18">
        <v>0.55294117647058827</v>
      </c>
      <c r="G33" s="18">
        <v>0.56495098039215685</v>
      </c>
      <c r="H33" s="18">
        <v>0.55637254901960786</v>
      </c>
      <c r="I33" s="18">
        <v>0.55845588235294119</v>
      </c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L33" s="7"/>
      <c r="AM33" s="7"/>
      <c r="AN33" s="7"/>
      <c r="AO33" s="7"/>
      <c r="AR33" s="16"/>
      <c r="AS33" s="16"/>
      <c r="AT33" s="16"/>
      <c r="AU33" s="16"/>
      <c r="AV33" s="16"/>
      <c r="AW33" s="16"/>
      <c r="AX33" s="16"/>
      <c r="AY33" s="15"/>
      <c r="AZ33" s="9"/>
    </row>
    <row r="34" spans="1:52">
      <c r="A34" s="87"/>
      <c r="B34" s="87">
        <v>4</v>
      </c>
      <c r="C34" s="87">
        <v>0</v>
      </c>
      <c r="D34" s="53">
        <v>0.5</v>
      </c>
      <c r="E34" s="18">
        <v>0.47244094488188976</v>
      </c>
      <c r="F34" s="18">
        <v>0.47244094488188976</v>
      </c>
      <c r="G34" s="18">
        <v>0.47244094488188976</v>
      </c>
      <c r="H34" s="18">
        <v>0.47244094488188976</v>
      </c>
      <c r="I34" s="18">
        <v>0.46456692913385828</v>
      </c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L34" s="7"/>
      <c r="AM34" s="7"/>
      <c r="AN34" s="7"/>
      <c r="AO34" s="7"/>
      <c r="AQ34" s="6"/>
      <c r="AR34" s="13"/>
      <c r="AS34" s="13"/>
      <c r="AT34" s="13"/>
      <c r="AU34" s="13"/>
      <c r="AV34" s="13"/>
      <c r="AW34" s="13"/>
      <c r="AX34" s="13"/>
      <c r="AY34" s="13"/>
      <c r="AZ34" s="9"/>
    </row>
    <row r="35" spans="1:52">
      <c r="A35" s="87"/>
      <c r="B35" s="87"/>
      <c r="C35" s="87"/>
      <c r="D35" s="54">
        <f>D27</f>
        <v>0.2</v>
      </c>
      <c r="E35" s="18">
        <v>0.24865196078431373</v>
      </c>
      <c r="F35" s="18">
        <v>0.22696078431372549</v>
      </c>
      <c r="G35" s="18">
        <v>0.2394607843137255</v>
      </c>
      <c r="H35" s="18">
        <v>0.23933823529411766</v>
      </c>
      <c r="I35" s="18">
        <v>0.24093137254901961</v>
      </c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L35" s="7"/>
      <c r="AM35" s="7"/>
      <c r="AN35" s="7"/>
      <c r="AO35" s="7"/>
      <c r="AQ35" s="6"/>
      <c r="AR35" s="13"/>
      <c r="AS35" s="13"/>
      <c r="AT35" s="13"/>
      <c r="AU35" s="13"/>
      <c r="AV35" s="13"/>
      <c r="AW35" s="13"/>
      <c r="AX35" s="13"/>
      <c r="AY35" s="13"/>
      <c r="AZ35" s="9"/>
    </row>
    <row r="36" spans="1:52">
      <c r="A36" s="87"/>
      <c r="B36" s="87"/>
      <c r="C36" s="87"/>
      <c r="D36" s="54">
        <f>D28</f>
        <v>0.25</v>
      </c>
      <c r="E36" s="18">
        <v>0.30428921568627448</v>
      </c>
      <c r="F36" s="18">
        <v>0.28995098039215683</v>
      </c>
      <c r="G36" s="18">
        <v>0.30073529411764705</v>
      </c>
      <c r="H36" s="18">
        <v>0.29203431372549021</v>
      </c>
      <c r="I36" s="18">
        <v>0.30159313725490194</v>
      </c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L36" s="7"/>
      <c r="AM36" s="7"/>
      <c r="AN36" s="7"/>
      <c r="AO36" s="7"/>
      <c r="AQ36" s="6"/>
      <c r="AR36" s="13"/>
      <c r="AS36" s="13"/>
      <c r="AT36" s="13"/>
      <c r="AU36" s="13"/>
      <c r="AV36" s="13"/>
      <c r="AW36" s="13"/>
      <c r="AX36" s="13"/>
      <c r="AY36" s="13"/>
      <c r="AZ36" s="9"/>
    </row>
    <row r="37" spans="1:52">
      <c r="A37" s="87"/>
      <c r="B37" s="87"/>
      <c r="C37" s="87"/>
      <c r="D37" s="54">
        <f t="shared" ref="D37:D41" si="4">D29</f>
        <v>0.3</v>
      </c>
      <c r="E37" s="18">
        <v>0.36372549019607842</v>
      </c>
      <c r="F37" s="18">
        <v>0.34424019607843137</v>
      </c>
      <c r="G37" s="18">
        <v>0.35857843137254902</v>
      </c>
      <c r="H37" s="18">
        <v>0.35686274509803922</v>
      </c>
      <c r="I37" s="18">
        <v>0.34877450980392155</v>
      </c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L37" s="7"/>
      <c r="AM37" s="7"/>
      <c r="AN37" s="7"/>
      <c r="AO37" s="7"/>
      <c r="AQ37" s="6"/>
      <c r="AR37" s="13"/>
      <c r="AS37" s="13"/>
      <c r="AT37" s="13"/>
      <c r="AU37" s="13"/>
      <c r="AV37" s="13"/>
      <c r="AW37" s="13"/>
      <c r="AX37" s="13"/>
      <c r="AY37" s="13"/>
      <c r="AZ37" s="9"/>
    </row>
    <row r="38" spans="1:52">
      <c r="A38" s="87"/>
      <c r="B38" s="87"/>
      <c r="C38" s="87"/>
      <c r="D38" s="54">
        <f t="shared" si="4"/>
        <v>0.35</v>
      </c>
      <c r="E38" s="18">
        <v>0.4036764705882353</v>
      </c>
      <c r="F38" s="18">
        <v>0.39252450980392156</v>
      </c>
      <c r="G38" s="18">
        <v>0.40735294117647058</v>
      </c>
      <c r="H38" s="18">
        <v>0.41556372549019605</v>
      </c>
      <c r="I38" s="18">
        <v>0.41029411764705881</v>
      </c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L38" s="7"/>
      <c r="AM38" s="7"/>
      <c r="AN38" s="7"/>
      <c r="AO38" s="7"/>
      <c r="AQ38" s="6"/>
      <c r="AR38" s="13"/>
      <c r="AS38" s="13"/>
      <c r="AT38" s="13"/>
      <c r="AU38" s="13"/>
      <c r="AV38" s="13"/>
      <c r="AW38" s="13"/>
      <c r="AX38" s="13"/>
      <c r="AY38" s="13"/>
      <c r="AZ38" s="9"/>
    </row>
    <row r="39" spans="1:52">
      <c r="A39" s="87"/>
      <c r="B39" s="87"/>
      <c r="C39" s="87"/>
      <c r="D39" s="54">
        <f t="shared" si="4"/>
        <v>0.4</v>
      </c>
      <c r="E39" s="18">
        <v>0.47291666666666665</v>
      </c>
      <c r="F39" s="18">
        <v>0.45796568627450979</v>
      </c>
      <c r="G39" s="18">
        <v>0.4485294117647059</v>
      </c>
      <c r="H39" s="18">
        <v>0.44718137254901963</v>
      </c>
      <c r="I39" s="18">
        <v>0.44889705882352943</v>
      </c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L39" s="7"/>
      <c r="AM39" s="7"/>
      <c r="AN39" s="7"/>
      <c r="AO39" s="7"/>
      <c r="AQ39" s="6"/>
      <c r="AR39" s="13"/>
      <c r="AS39" s="13"/>
      <c r="AT39" s="13"/>
      <c r="AU39" s="13"/>
      <c r="AV39" s="13"/>
      <c r="AW39" s="13"/>
      <c r="AX39" s="13"/>
      <c r="AY39" s="13"/>
      <c r="AZ39" s="9"/>
    </row>
    <row r="40" spans="1:52">
      <c r="A40" s="87"/>
      <c r="B40" s="87"/>
      <c r="C40" s="87"/>
      <c r="D40" s="54">
        <f t="shared" si="4"/>
        <v>0.45</v>
      </c>
      <c r="E40" s="18">
        <v>0.5034313725490196</v>
      </c>
      <c r="F40" s="18">
        <v>0.49705882352941178</v>
      </c>
      <c r="G40" s="18">
        <v>0.50661764705882351</v>
      </c>
      <c r="H40" s="18">
        <v>0.51997549019607847</v>
      </c>
      <c r="I40" s="18">
        <v>0.52254901960784317</v>
      </c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L40" s="7"/>
      <c r="AM40" s="7"/>
      <c r="AN40" s="7"/>
      <c r="AO40" s="7"/>
      <c r="AQ40" s="6"/>
      <c r="AR40" s="13"/>
      <c r="AS40" s="13"/>
      <c r="AT40" s="13"/>
      <c r="AU40" s="13"/>
      <c r="AV40" s="13"/>
      <c r="AW40" s="13"/>
      <c r="AX40" s="13"/>
      <c r="AY40" s="13"/>
      <c r="AZ40" s="9"/>
    </row>
    <row r="41" spans="1:52">
      <c r="A41" s="87"/>
      <c r="B41" s="87"/>
      <c r="C41" s="87"/>
      <c r="D41" s="54">
        <f t="shared" si="4"/>
        <v>0.5</v>
      </c>
      <c r="E41" s="18">
        <v>0.55796568627450982</v>
      </c>
      <c r="F41" s="18">
        <v>0.55490196078431375</v>
      </c>
      <c r="G41" s="18">
        <v>0.5650735294117647</v>
      </c>
      <c r="H41" s="18">
        <v>0.56029411764705883</v>
      </c>
      <c r="I41" s="18">
        <v>0.56470588235294117</v>
      </c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L41" s="7"/>
      <c r="AM41" s="7"/>
      <c r="AN41" s="7"/>
      <c r="AO41" s="7"/>
      <c r="AQ41" s="6"/>
      <c r="AR41" s="13"/>
      <c r="AS41" s="13"/>
      <c r="AT41" s="13"/>
      <c r="AU41" s="13"/>
      <c r="AV41" s="13"/>
      <c r="AW41" s="13"/>
      <c r="AX41" s="13"/>
      <c r="AY41" s="13"/>
      <c r="AZ41" s="9"/>
    </row>
    <row r="42" spans="1:52">
      <c r="A42" s="87"/>
      <c r="B42" s="87">
        <v>2</v>
      </c>
      <c r="C42" s="87">
        <v>0</v>
      </c>
      <c r="D42" s="53">
        <v>0.6</v>
      </c>
      <c r="E42" s="18">
        <v>0.61417322834645671</v>
      </c>
      <c r="F42" s="18">
        <v>0.61417322834645671</v>
      </c>
      <c r="G42" s="18">
        <v>0.60629921259842523</v>
      </c>
      <c r="H42" s="18">
        <v>0.60629921259842523</v>
      </c>
      <c r="I42" s="18">
        <v>0.60629921259842523</v>
      </c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L42" s="7"/>
      <c r="AM42" s="7"/>
      <c r="AN42" s="7"/>
      <c r="AO42" s="7"/>
      <c r="AZ42" s="9"/>
    </row>
    <row r="43" spans="1:52">
      <c r="A43" s="87"/>
      <c r="B43" s="87"/>
      <c r="C43" s="87"/>
      <c r="D43" s="54">
        <f>D35</f>
        <v>0.2</v>
      </c>
      <c r="E43" s="18">
        <v>0.25024509803921569</v>
      </c>
      <c r="F43" s="18">
        <v>0.22622549019607843</v>
      </c>
      <c r="G43" s="18">
        <v>0.24191176470588235</v>
      </c>
      <c r="H43" s="18">
        <v>0.24338235294117647</v>
      </c>
      <c r="I43" s="18">
        <v>0.2428921568627451</v>
      </c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L43" s="7"/>
      <c r="AM43" s="7"/>
      <c r="AN43" s="7"/>
      <c r="AO43" s="7"/>
      <c r="AQ43" s="12"/>
      <c r="AR43" s="21"/>
      <c r="AS43" s="21"/>
      <c r="AT43" s="21"/>
      <c r="AU43" s="21"/>
      <c r="AV43" s="21"/>
      <c r="AW43" s="21"/>
      <c r="AX43" s="21"/>
      <c r="AY43" s="21"/>
      <c r="AZ43" s="17"/>
    </row>
    <row r="44" spans="1:52">
      <c r="A44" s="87"/>
      <c r="B44" s="87"/>
      <c r="C44" s="87"/>
      <c r="D44" s="54">
        <f>D36</f>
        <v>0.25</v>
      </c>
      <c r="E44" s="18">
        <v>0.30686274509803924</v>
      </c>
      <c r="F44" s="18">
        <v>0.28860294117647056</v>
      </c>
      <c r="G44" s="18">
        <v>0.30539215686274507</v>
      </c>
      <c r="H44" s="18">
        <v>0.29828431372549019</v>
      </c>
      <c r="I44" s="18">
        <v>0.30514705882352938</v>
      </c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L44" s="7"/>
      <c r="AM44" s="7"/>
      <c r="AN44" s="7"/>
      <c r="AO44" s="7"/>
      <c r="AQ44" s="22"/>
      <c r="AS44" s="20"/>
      <c r="AT44" s="20"/>
      <c r="AU44" s="20"/>
      <c r="AV44" s="20"/>
      <c r="AW44" s="20"/>
      <c r="AX44" s="20"/>
      <c r="AY44" s="20"/>
      <c r="AZ44" s="20"/>
    </row>
    <row r="45" spans="1:52">
      <c r="A45" s="87"/>
      <c r="B45" s="87"/>
      <c r="C45" s="87"/>
      <c r="D45" s="54">
        <f t="shared" ref="D45:D49" si="5">D37</f>
        <v>0.3</v>
      </c>
      <c r="E45" s="18">
        <v>0.36372549019607842</v>
      </c>
      <c r="F45" s="18">
        <v>0.3428921568627451</v>
      </c>
      <c r="G45" s="18">
        <v>0.36580882352941174</v>
      </c>
      <c r="H45" s="18">
        <v>0.36299019607843136</v>
      </c>
      <c r="I45" s="18">
        <v>0.35134803921568625</v>
      </c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L45" s="7"/>
      <c r="AM45" s="7"/>
      <c r="AN45" s="7"/>
      <c r="AO45" s="7"/>
      <c r="AQ45" s="22"/>
      <c r="AS45" s="20"/>
      <c r="AT45" s="20"/>
      <c r="AU45" s="20"/>
      <c r="AV45" s="20"/>
      <c r="AW45" s="20"/>
      <c r="AX45" s="20"/>
      <c r="AY45" s="20"/>
      <c r="AZ45" s="20"/>
    </row>
    <row r="46" spans="1:52">
      <c r="A46" s="87"/>
      <c r="B46" s="87"/>
      <c r="C46" s="87"/>
      <c r="D46" s="54">
        <f t="shared" si="5"/>
        <v>0.35</v>
      </c>
      <c r="E46" s="18">
        <v>0.40906862745098038</v>
      </c>
      <c r="F46" s="18">
        <v>0.38946078431372549</v>
      </c>
      <c r="G46" s="18">
        <v>0.41495098039215683</v>
      </c>
      <c r="H46" s="18">
        <v>0.41789215686274511</v>
      </c>
      <c r="I46" s="18">
        <v>0.41678921568627453</v>
      </c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L46" s="7"/>
      <c r="AM46" s="7"/>
      <c r="AN46" s="7"/>
      <c r="AO46" s="7"/>
      <c r="AQ46" s="22"/>
      <c r="AS46" s="20"/>
      <c r="AT46" s="20"/>
      <c r="AU46" s="20"/>
      <c r="AV46" s="20"/>
      <c r="AW46" s="20"/>
      <c r="AX46" s="20"/>
      <c r="AY46" s="20"/>
      <c r="AZ46" s="20"/>
    </row>
    <row r="47" spans="1:52">
      <c r="A47" s="87"/>
      <c r="B47" s="87"/>
      <c r="C47" s="87"/>
      <c r="D47" s="54">
        <f t="shared" si="5"/>
        <v>0.4</v>
      </c>
      <c r="E47" s="18">
        <v>0.47671568627450978</v>
      </c>
      <c r="F47" s="18">
        <v>0.45747549019607842</v>
      </c>
      <c r="G47" s="18">
        <v>0.45379901960784313</v>
      </c>
      <c r="H47" s="18">
        <v>0.45159313725490197</v>
      </c>
      <c r="I47" s="18">
        <v>0.45624999999999999</v>
      </c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L47" s="7"/>
      <c r="AM47" s="7"/>
      <c r="AN47" s="7"/>
      <c r="AO47" s="7"/>
      <c r="AQ47" s="22"/>
      <c r="AS47" s="20"/>
      <c r="AT47" s="20"/>
      <c r="AU47" s="20"/>
      <c r="AV47" s="20"/>
      <c r="AW47" s="20"/>
      <c r="AX47" s="20"/>
      <c r="AY47" s="20"/>
      <c r="AZ47" s="20"/>
    </row>
    <row r="48" spans="1:52">
      <c r="A48" s="87"/>
      <c r="B48" s="87"/>
      <c r="C48" s="87"/>
      <c r="D48" s="54">
        <f t="shared" si="5"/>
        <v>0.45</v>
      </c>
      <c r="E48" s="18">
        <v>0.50980392156862742</v>
      </c>
      <c r="F48" s="18">
        <v>0.49350490196078428</v>
      </c>
      <c r="G48" s="18">
        <v>0.51580882352941171</v>
      </c>
      <c r="H48" s="18">
        <v>0.52573529411764708</v>
      </c>
      <c r="I48" s="18">
        <v>0.52941176470588236</v>
      </c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L48" s="7"/>
      <c r="AM48" s="7"/>
      <c r="AN48" s="7"/>
      <c r="AO48" s="7"/>
      <c r="AQ48" s="22"/>
      <c r="AS48" s="20"/>
      <c r="AT48" s="20"/>
      <c r="AU48" s="20"/>
      <c r="AV48" s="20"/>
      <c r="AW48" s="20"/>
      <c r="AX48" s="20"/>
      <c r="AY48" s="20"/>
      <c r="AZ48" s="20"/>
    </row>
    <row r="49" spans="1:52">
      <c r="A49" s="87"/>
      <c r="B49" s="87"/>
      <c r="C49" s="87"/>
      <c r="D49" s="54">
        <f t="shared" si="5"/>
        <v>0.5</v>
      </c>
      <c r="E49" s="18">
        <v>0.5616421568627451</v>
      </c>
      <c r="F49" s="18">
        <v>0.55232843137254906</v>
      </c>
      <c r="G49" s="18">
        <v>0.57291666666666663</v>
      </c>
      <c r="H49" s="18">
        <v>0.56776960784313724</v>
      </c>
      <c r="I49" s="18">
        <v>0.5716911764705882</v>
      </c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L49" s="7"/>
      <c r="AM49" s="7"/>
      <c r="AN49" s="7"/>
      <c r="AO49" s="7"/>
      <c r="AQ49" s="22"/>
      <c r="AS49" s="20"/>
      <c r="AT49" s="20"/>
      <c r="AU49" s="20"/>
      <c r="AV49" s="20"/>
      <c r="AW49" s="20"/>
      <c r="AX49" s="20"/>
      <c r="AY49" s="20"/>
      <c r="AZ49" s="20"/>
    </row>
    <row r="50" spans="1:52" ht="15" hidden="1" customHeight="1">
      <c r="A50" s="87"/>
      <c r="B50" s="87"/>
      <c r="C50" s="55"/>
      <c r="D50" s="54"/>
      <c r="E50" s="18">
        <v>0.74015748031496065</v>
      </c>
      <c r="F50" s="18">
        <v>0.74015748031496065</v>
      </c>
      <c r="G50" s="18">
        <v>0.73228346456692917</v>
      </c>
      <c r="H50" s="18">
        <v>0.73228346456692917</v>
      </c>
      <c r="I50" s="18">
        <v>0.73228346456692917</v>
      </c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L50" s="7"/>
      <c r="AM50" s="7"/>
      <c r="AN50" s="7"/>
      <c r="AO50" s="7"/>
      <c r="AQ50" s="22"/>
      <c r="AS50" s="20"/>
      <c r="AT50" s="20"/>
      <c r="AU50" s="20"/>
      <c r="AV50" s="20"/>
      <c r="AW50" s="20"/>
      <c r="AX50" s="20"/>
      <c r="AY50" s="20"/>
      <c r="AZ50" s="20"/>
    </row>
    <row r="51" spans="1:52">
      <c r="A51" s="87"/>
      <c r="B51" s="87">
        <v>1</v>
      </c>
      <c r="C51" s="87">
        <v>0</v>
      </c>
      <c r="D51" s="53">
        <v>0.7</v>
      </c>
      <c r="E51" s="19">
        <v>0.25159313725490196</v>
      </c>
      <c r="F51" s="18">
        <v>0.22169117647058822</v>
      </c>
      <c r="G51" s="18">
        <v>0.24399509803921568</v>
      </c>
      <c r="H51" s="18">
        <v>0.24669117647058822</v>
      </c>
      <c r="I51" s="18">
        <v>0.24424019607843137</v>
      </c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L51" s="7"/>
      <c r="AM51" s="7"/>
      <c r="AN51" s="7"/>
      <c r="AO51" s="7"/>
      <c r="AQ51" s="22"/>
      <c r="AS51" s="20"/>
      <c r="AT51" s="20"/>
      <c r="AU51" s="20"/>
      <c r="AV51" s="20"/>
      <c r="AW51" s="20"/>
      <c r="AX51" s="20"/>
      <c r="AY51" s="20"/>
      <c r="AZ51" s="20"/>
    </row>
    <row r="52" spans="1:52">
      <c r="A52" s="87"/>
      <c r="B52" s="87"/>
      <c r="C52" s="87"/>
      <c r="D52" s="54">
        <f>D43</f>
        <v>0.2</v>
      </c>
      <c r="E52" s="19">
        <v>0.30894607843137256</v>
      </c>
      <c r="F52" s="18">
        <v>0.2838235294117647</v>
      </c>
      <c r="G52" s="18">
        <v>0.30919117647058825</v>
      </c>
      <c r="H52" s="18">
        <v>0.30049019607843136</v>
      </c>
      <c r="I52" s="18">
        <v>0.30686274509803924</v>
      </c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L52" s="7"/>
      <c r="AM52" s="7"/>
      <c r="AN52" s="7"/>
      <c r="AO52" s="7"/>
      <c r="AQ52" s="22"/>
      <c r="AS52" s="20"/>
      <c r="AT52" s="20"/>
      <c r="AU52" s="20"/>
      <c r="AV52" s="20"/>
      <c r="AW52" s="20"/>
      <c r="AX52" s="20"/>
      <c r="AY52" s="20"/>
      <c r="AZ52" s="20"/>
    </row>
    <row r="53" spans="1:52">
      <c r="A53" s="87"/>
      <c r="B53" s="87"/>
      <c r="C53" s="87"/>
      <c r="D53" s="54">
        <f>D44</f>
        <v>0.25</v>
      </c>
      <c r="E53" s="19">
        <v>0.36911764705882355</v>
      </c>
      <c r="F53" s="18">
        <v>0.34080882352941178</v>
      </c>
      <c r="G53" s="18">
        <v>0.3656862745098039</v>
      </c>
      <c r="H53" s="18">
        <v>0.36384803921568626</v>
      </c>
      <c r="I53" s="18">
        <v>0.35428921568627453</v>
      </c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L53" s="7"/>
      <c r="AM53" s="7"/>
      <c r="AN53" s="7"/>
      <c r="AO53" s="7"/>
      <c r="AZ53" s="9"/>
    </row>
    <row r="54" spans="1:52">
      <c r="A54" s="87"/>
      <c r="B54" s="87"/>
      <c r="C54" s="87"/>
      <c r="D54" s="54">
        <f t="shared" ref="D54:D58" si="6">D46</f>
        <v>0.35</v>
      </c>
      <c r="E54" s="19">
        <v>0.41164215686274508</v>
      </c>
      <c r="F54" s="18">
        <v>0.39019607843137255</v>
      </c>
      <c r="G54" s="18">
        <v>0.4145833333333333</v>
      </c>
      <c r="H54" s="18">
        <v>0.42205882352941176</v>
      </c>
      <c r="I54" s="18">
        <v>0.4172794117647059</v>
      </c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L54" s="7"/>
      <c r="AM54" s="7"/>
      <c r="AN54" s="7"/>
      <c r="AO54" s="7"/>
      <c r="AZ54" s="9"/>
    </row>
    <row r="55" spans="1:52">
      <c r="A55" s="87"/>
      <c r="B55" s="87"/>
      <c r="C55" s="87"/>
      <c r="D55" s="54">
        <f t="shared" si="6"/>
        <v>0.4</v>
      </c>
      <c r="E55" s="19">
        <v>0.48247549019607844</v>
      </c>
      <c r="F55" s="18">
        <v>0.45575980392156862</v>
      </c>
      <c r="G55" s="18">
        <v>0.45661764705882352</v>
      </c>
      <c r="H55" s="18">
        <v>0.45453431372549019</v>
      </c>
      <c r="I55" s="18">
        <v>0.45808823529411763</v>
      </c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L55" s="7"/>
      <c r="AM55" s="7"/>
      <c r="AN55" s="7"/>
      <c r="AO55" s="7"/>
      <c r="AZ55" s="9"/>
    </row>
    <row r="56" spans="1:52">
      <c r="A56" s="87"/>
      <c r="B56" s="87"/>
      <c r="C56" s="87"/>
      <c r="D56" s="54">
        <f t="shared" si="6"/>
        <v>0.45</v>
      </c>
      <c r="E56" s="19">
        <v>0.51740196078431366</v>
      </c>
      <c r="F56" s="18">
        <v>0.49791666666666667</v>
      </c>
      <c r="G56" s="18">
        <v>0.51580882352941171</v>
      </c>
      <c r="H56" s="18">
        <v>0.52904411764705883</v>
      </c>
      <c r="I56" s="18">
        <v>0.53088235294117647</v>
      </c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L56" s="7"/>
      <c r="AM56" s="7"/>
      <c r="AN56" s="7"/>
      <c r="AO56" s="7"/>
      <c r="AZ56" s="9"/>
    </row>
    <row r="57" spans="1:52">
      <c r="A57" s="87"/>
      <c r="B57" s="87"/>
      <c r="C57" s="87"/>
      <c r="D57" s="54">
        <f t="shared" si="6"/>
        <v>0.5</v>
      </c>
      <c r="E57" s="19">
        <v>0.56936274509803919</v>
      </c>
      <c r="F57" s="18">
        <v>0.55563725490196081</v>
      </c>
      <c r="G57" s="18">
        <v>0.57365196078431369</v>
      </c>
      <c r="H57" s="18">
        <v>0.56776960784313724</v>
      </c>
      <c r="I57" s="18">
        <v>0.57095588235294115</v>
      </c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L57" s="7"/>
      <c r="AM57" s="7"/>
      <c r="AN57" s="7"/>
      <c r="AO57" s="7"/>
      <c r="AZ57" s="9"/>
    </row>
    <row r="58" spans="1:52">
      <c r="A58" s="87"/>
      <c r="B58" s="87"/>
      <c r="C58" s="87"/>
      <c r="D58" s="54">
        <f t="shared" si="6"/>
        <v>0</v>
      </c>
      <c r="E58" s="19">
        <v>0.90551181102362199</v>
      </c>
      <c r="F58" s="18">
        <v>0.91338582677165359</v>
      </c>
      <c r="G58" s="18">
        <v>0.90551181102362199</v>
      </c>
      <c r="H58" s="18">
        <v>0.90551181102362199</v>
      </c>
      <c r="I58" s="18">
        <v>0.89763779527559051</v>
      </c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L58" s="7"/>
      <c r="AM58" s="7"/>
      <c r="AN58" s="7"/>
      <c r="AO58" s="7"/>
      <c r="AZ58" s="9"/>
    </row>
    <row r="59" spans="1:52">
      <c r="A59" s="87"/>
      <c r="B59" s="87">
        <v>0</v>
      </c>
      <c r="C59" s="87">
        <v>0</v>
      </c>
      <c r="D59" s="53">
        <v>0.9</v>
      </c>
      <c r="E59" s="19">
        <v>0.25735294117647056</v>
      </c>
      <c r="F59" s="18">
        <v>0.22181372549019607</v>
      </c>
      <c r="G59" s="18">
        <v>0.24595588235294116</v>
      </c>
      <c r="H59" s="18">
        <v>0.24718137254901962</v>
      </c>
      <c r="I59" s="18">
        <v>0.24669117647058822</v>
      </c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L59" s="7"/>
      <c r="AM59" s="7"/>
      <c r="AN59" s="7"/>
      <c r="AO59" s="7"/>
      <c r="AZ59" s="9"/>
    </row>
    <row r="60" spans="1:52">
      <c r="A60" s="87"/>
      <c r="B60" s="87"/>
      <c r="C60" s="87"/>
      <c r="D60" s="54">
        <f>D52</f>
        <v>0.2</v>
      </c>
      <c r="E60" s="19">
        <v>0.31176470588235294</v>
      </c>
      <c r="F60" s="18">
        <v>0.28321078431372548</v>
      </c>
      <c r="G60" s="18">
        <v>0.31225490196078431</v>
      </c>
      <c r="H60" s="18">
        <v>0.30245098039215684</v>
      </c>
      <c r="I60" s="18">
        <v>0.30943627450980393</v>
      </c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L60" s="7"/>
      <c r="AM60" s="7"/>
      <c r="AN60" s="7"/>
      <c r="AO60" s="7"/>
      <c r="AZ60" s="9"/>
    </row>
    <row r="61" spans="1:52">
      <c r="A61" s="87"/>
      <c r="B61" s="87"/>
      <c r="C61" s="87"/>
      <c r="D61" s="54">
        <f>D53</f>
        <v>0.25</v>
      </c>
      <c r="E61" s="19">
        <v>0.37107843137254903</v>
      </c>
      <c r="F61" s="18">
        <v>0.33897058823529413</v>
      </c>
      <c r="G61" s="18">
        <v>0.36899509803921571</v>
      </c>
      <c r="H61" s="18">
        <v>0.36715686274509801</v>
      </c>
      <c r="I61" s="18">
        <v>0.35857843137254902</v>
      </c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L61" s="7"/>
      <c r="AM61" s="7"/>
      <c r="AN61" s="7"/>
      <c r="AO61" s="7"/>
      <c r="AZ61" s="9"/>
    </row>
    <row r="62" spans="1:52">
      <c r="A62" s="87"/>
      <c r="B62" s="87"/>
      <c r="C62" s="87"/>
      <c r="D62" s="54">
        <f t="shared" ref="D62:D65" si="7">D54</f>
        <v>0.35</v>
      </c>
      <c r="E62" s="19">
        <v>0.41421568627450978</v>
      </c>
      <c r="F62" s="18">
        <v>0.38835784313725491</v>
      </c>
      <c r="G62" s="18">
        <v>0.41875000000000001</v>
      </c>
      <c r="H62" s="18">
        <v>0.42487745098039215</v>
      </c>
      <c r="I62" s="18">
        <v>0.42328431372549019</v>
      </c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L62" s="7"/>
      <c r="AM62" s="7"/>
      <c r="AN62" s="7"/>
      <c r="AO62" s="7"/>
      <c r="AZ62" s="9"/>
    </row>
    <row r="63" spans="1:52">
      <c r="A63" s="87"/>
      <c r="B63" s="87"/>
      <c r="C63" s="87"/>
      <c r="D63" s="54">
        <f t="shared" si="7"/>
        <v>0.4</v>
      </c>
      <c r="E63" s="19">
        <v>0.48664215686274509</v>
      </c>
      <c r="F63" s="18">
        <v>0.45367647058823529</v>
      </c>
      <c r="G63" s="18">
        <v>0.45992647058823527</v>
      </c>
      <c r="H63" s="18">
        <v>0.45649509803921567</v>
      </c>
      <c r="I63" s="18">
        <v>0.4620098039215686</v>
      </c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L63" s="7"/>
      <c r="AM63" s="7"/>
      <c r="AN63" s="7"/>
      <c r="AO63" s="7"/>
      <c r="AZ63" s="9"/>
    </row>
    <row r="64" spans="1:52">
      <c r="A64" s="87"/>
      <c r="B64" s="87"/>
      <c r="C64" s="87"/>
      <c r="D64" s="54">
        <f t="shared" si="7"/>
        <v>0.45</v>
      </c>
      <c r="E64" s="19">
        <v>0.51740196078431366</v>
      </c>
      <c r="F64" s="18">
        <v>0.49424019607843139</v>
      </c>
      <c r="G64" s="18">
        <v>0.51899509803921573</v>
      </c>
      <c r="H64" s="18">
        <v>0.53112745098039216</v>
      </c>
      <c r="I64" s="18">
        <v>0.53762254901960782</v>
      </c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L64" s="7"/>
      <c r="AM64" s="7"/>
      <c r="AN64" s="7"/>
      <c r="AO64" s="7"/>
      <c r="AZ64" s="9"/>
    </row>
    <row r="65" spans="1:52">
      <c r="A65" s="87"/>
      <c r="B65" s="87"/>
      <c r="C65" s="87"/>
      <c r="D65" s="54">
        <f t="shared" si="7"/>
        <v>0.5</v>
      </c>
      <c r="E65" s="19">
        <v>0.56715686274509802</v>
      </c>
      <c r="F65" s="18">
        <v>0.5498774509803922</v>
      </c>
      <c r="G65" s="18">
        <v>0.57965686274509798</v>
      </c>
      <c r="H65" s="18">
        <v>0.56789215686274508</v>
      </c>
      <c r="I65" s="18">
        <v>0.57034313725490193</v>
      </c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L65" s="7"/>
      <c r="AM65" s="7"/>
      <c r="AN65" s="7"/>
      <c r="AO65" s="7"/>
      <c r="AZ65" s="9"/>
    </row>
    <row r="66" spans="1:52">
      <c r="A66" s="34"/>
      <c r="B66" s="34"/>
      <c r="C66" s="28"/>
      <c r="D66" s="35"/>
      <c r="E66" s="19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L66" s="7"/>
      <c r="AM66" s="7"/>
      <c r="AN66" s="7"/>
      <c r="AO66" s="7"/>
      <c r="AQ66" s="9"/>
      <c r="AR66" s="9"/>
      <c r="AS66" s="9"/>
      <c r="AT66" s="9"/>
      <c r="AU66" s="9"/>
      <c r="AV66" s="9"/>
      <c r="AW66" s="9"/>
      <c r="AX66" s="9"/>
      <c r="AY66" s="9"/>
      <c r="AZ66" s="9"/>
    </row>
    <row r="67" spans="1:52">
      <c r="A67" s="34"/>
      <c r="B67" s="34"/>
      <c r="C67" s="28"/>
      <c r="D67" s="35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L67" s="7"/>
      <c r="AM67" s="7"/>
      <c r="AN67" s="7"/>
      <c r="AO67" s="7"/>
      <c r="AQ67" s="9"/>
      <c r="AR67" s="9"/>
      <c r="AS67" s="9"/>
      <c r="AT67" s="9"/>
      <c r="AU67" s="9"/>
      <c r="AV67" s="9"/>
      <c r="AW67" s="9"/>
      <c r="AX67" s="9"/>
      <c r="AY67" s="9"/>
      <c r="AZ67" s="9"/>
    </row>
    <row r="68" spans="1:52">
      <c r="A68" s="34"/>
      <c r="B68" s="34"/>
      <c r="C68" s="34"/>
      <c r="D68" s="35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L68" s="7"/>
      <c r="AM68" s="7"/>
      <c r="AN68" s="7"/>
      <c r="AO68" s="7"/>
      <c r="AQ68" s="9"/>
      <c r="AR68" s="9"/>
      <c r="AS68" s="9"/>
      <c r="AT68" s="9"/>
      <c r="AU68" s="9"/>
      <c r="AV68" s="9"/>
      <c r="AW68" s="9"/>
      <c r="AX68" s="9"/>
      <c r="AY68" s="9"/>
      <c r="AZ68" s="9"/>
    </row>
    <row r="69" spans="1:52">
      <c r="A69" s="34"/>
      <c r="B69" s="34"/>
      <c r="C69" s="34"/>
      <c r="D69" s="35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L69" s="7"/>
      <c r="AM69" s="7"/>
      <c r="AN69" s="7"/>
      <c r="AO69" s="7"/>
      <c r="AQ69" s="9"/>
      <c r="AR69" s="9"/>
      <c r="AS69" s="9"/>
      <c r="AT69" s="9"/>
      <c r="AU69" s="9"/>
      <c r="AV69" s="9"/>
      <c r="AW69" s="9"/>
      <c r="AX69" s="9"/>
      <c r="AY69" s="9"/>
      <c r="AZ69" s="9"/>
    </row>
    <row r="70" spans="1:52">
      <c r="A70" s="34"/>
      <c r="B70" s="34"/>
      <c r="C70" s="34"/>
      <c r="D70" s="35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L70" s="7"/>
      <c r="AM70" s="7"/>
      <c r="AN70" s="7"/>
      <c r="AO70" s="7"/>
      <c r="AQ70" s="9"/>
      <c r="AR70" s="9"/>
      <c r="AS70" s="9"/>
      <c r="AT70" s="9"/>
      <c r="AU70" s="9"/>
      <c r="AV70" s="9"/>
      <c r="AW70" s="9"/>
      <c r="AX70" s="9"/>
      <c r="AY70" s="9"/>
      <c r="AZ70" s="9"/>
    </row>
    <row r="71" spans="1:52">
      <c r="A71" s="34"/>
      <c r="B71" s="34"/>
      <c r="C71" s="28"/>
      <c r="D71" s="35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L71" s="7"/>
      <c r="AM71" s="7"/>
      <c r="AN71" s="7"/>
      <c r="AO71" s="7"/>
      <c r="AQ71" s="9"/>
      <c r="AR71" s="9"/>
      <c r="AS71" s="9"/>
      <c r="AT71" s="9"/>
      <c r="AU71" s="9"/>
      <c r="AV71" s="9"/>
      <c r="AW71" s="9"/>
      <c r="AX71" s="9"/>
      <c r="AY71" s="9"/>
      <c r="AZ71" s="9"/>
    </row>
    <row r="72" spans="1:52">
      <c r="A72" s="34"/>
      <c r="B72" s="34"/>
      <c r="C72" s="28"/>
      <c r="D72" s="35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L72" s="7"/>
      <c r="AM72" s="7"/>
      <c r="AN72" s="7"/>
      <c r="AO72" s="7"/>
      <c r="AQ72" s="9"/>
      <c r="AR72" s="9"/>
      <c r="AS72" s="9"/>
      <c r="AT72" s="9"/>
      <c r="AU72" s="9"/>
      <c r="AV72" s="9"/>
      <c r="AW72" s="9"/>
      <c r="AX72" s="9"/>
      <c r="AY72" s="9"/>
      <c r="AZ72" s="9"/>
    </row>
    <row r="73" spans="1:52">
      <c r="A73" s="9"/>
      <c r="B73" s="9"/>
      <c r="C73" s="9"/>
      <c r="D73" s="9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9"/>
      <c r="AL73" s="9"/>
      <c r="AM73" s="9"/>
      <c r="AN73" s="9"/>
      <c r="AO73" s="9"/>
    </row>
  </sheetData>
  <mergeCells count="19">
    <mergeCell ref="AQ11:AY11"/>
    <mergeCell ref="AQ26:AY26"/>
    <mergeCell ref="B2:B9"/>
    <mergeCell ref="B10:B17"/>
    <mergeCell ref="B18:B25"/>
    <mergeCell ref="B26:B33"/>
    <mergeCell ref="C2:C9"/>
    <mergeCell ref="C10:C17"/>
    <mergeCell ref="C18:C25"/>
    <mergeCell ref="A2:A65"/>
    <mergeCell ref="C26:C33"/>
    <mergeCell ref="C34:C41"/>
    <mergeCell ref="C42:C49"/>
    <mergeCell ref="C51:C58"/>
    <mergeCell ref="C59:C65"/>
    <mergeCell ref="B34:B41"/>
    <mergeCell ref="B59:B65"/>
    <mergeCell ref="B42:B50"/>
    <mergeCell ref="B51:B58"/>
  </mergeCells>
  <pageMargins left="0.7" right="0.7" top="0.75" bottom="0.75" header="0.3" footer="0.3"/>
  <pageSetup paperSize="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Summary</vt:lpstr>
      <vt:lpstr>Calculations</vt:lpstr>
      <vt:lpstr>data0</vt:lpstr>
      <vt:lpstr>data0!Print_Area</vt:lpstr>
      <vt:lpstr>Summary!Print_Area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2012-03-27T21:47:19Z</dcterms:modified>
</cp:coreProperties>
</file>